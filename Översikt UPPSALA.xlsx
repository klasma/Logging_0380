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45723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45723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45723</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45723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45723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45723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45723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45723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45723</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45723</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45723</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45723</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45723</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45723</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45723</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45723</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45723</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45723</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45723</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45723</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45723</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45723</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45723</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45723</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45723</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45723</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45723</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45723</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45723</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45723</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45723</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45723</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45723</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45723</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45723</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45723</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45723</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45723</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45723</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45723</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45723</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45723</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45723</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45723</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45723</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45723</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45723</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45723</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45723</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45723</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45723</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45723</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45723</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45723</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45723</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45723</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45723</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45723</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45723</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45723</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45723</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45723</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45723</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45723</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45723</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45723</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45723</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45723</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45723</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45723</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45723</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45723</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45723</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45723</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45723</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45723</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45723</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45723</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45723</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45723</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45723</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45723</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45723</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45723</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45723</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45723</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45723</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45723</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45723</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45723</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45723</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45723</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45723</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45723</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45723</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45723</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45723</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45723</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45723</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45723</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45723</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45723</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45723</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45723</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45723</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45723</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45723</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45723</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45723</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45723</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45723</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45723</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45723</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45723</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45723</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45723</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45723</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45723</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45723</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45723</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45723</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45723</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45723</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45723</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45723</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45723</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45723</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45723</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45723</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45723</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45723</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45723</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3257-2022</t>
        </is>
      </c>
      <c r="B134" s="1" t="n">
        <v>44583</v>
      </c>
      <c r="C134" s="1" t="n">
        <v>45723</v>
      </c>
      <c r="D134" t="inlineStr">
        <is>
          <t>UPPSALA LÄN</t>
        </is>
      </c>
      <c r="E134" t="inlineStr">
        <is>
          <t>UPPSALA</t>
        </is>
      </c>
      <c r="F134" t="inlineStr">
        <is>
          <t>Holmen skog AB</t>
        </is>
      </c>
      <c r="G134" t="n">
        <v>1.9</v>
      </c>
      <c r="H134" t="n">
        <v>0</v>
      </c>
      <c r="I134" t="n">
        <v>1</v>
      </c>
      <c r="J134" t="n">
        <v>0</v>
      </c>
      <c r="K134" t="n">
        <v>0</v>
      </c>
      <c r="L134" t="n">
        <v>0</v>
      </c>
      <c r="M134" t="n">
        <v>0</v>
      </c>
      <c r="N134" t="n">
        <v>0</v>
      </c>
      <c r="O134" t="n">
        <v>0</v>
      </c>
      <c r="P134" t="n">
        <v>0</v>
      </c>
      <c r="Q134" t="n">
        <v>1</v>
      </c>
      <c r="R134" s="2" t="inlineStr">
        <is>
          <t>Gulpudrad spiklav</t>
        </is>
      </c>
      <c r="S134">
        <f>HYPERLINK("https://klasma.github.io/Logging_0380/artfynd/A 3257-2022 artfynd.xlsx", "A 3257-2022")</f>
        <v/>
      </c>
      <c r="T134">
        <f>HYPERLINK("https://klasma.github.io/Logging_0380/kartor/A 3257-2022 karta.png", "A 3257-2022")</f>
        <v/>
      </c>
      <c r="V134">
        <f>HYPERLINK("https://klasma.github.io/Logging_0380/klagomål/A 3257-2022 FSC-klagomål.docx", "A 3257-2022")</f>
        <v/>
      </c>
      <c r="W134">
        <f>HYPERLINK("https://klasma.github.io/Logging_0380/klagomålsmail/A 3257-2022 FSC-klagomål mail.docx", "A 3257-2022")</f>
        <v/>
      </c>
      <c r="X134">
        <f>HYPERLINK("https://klasma.github.io/Logging_0380/tillsyn/A 3257-2022 tillsynsbegäran.docx", "A 3257-2022")</f>
        <v/>
      </c>
      <c r="Y134">
        <f>HYPERLINK("https://klasma.github.io/Logging_0380/tillsynsmail/A 3257-2022 tillsynsbegäran mail.docx", "A 3257-2022")</f>
        <v/>
      </c>
    </row>
    <row r="135" ht="15" customHeight="1">
      <c r="A135" t="inlineStr">
        <is>
          <t>A 4449-2022</t>
        </is>
      </c>
      <c r="B135" s="1" t="n">
        <v>44589</v>
      </c>
      <c r="C135" s="1" t="n">
        <v>45723</v>
      </c>
      <c r="D135" t="inlineStr">
        <is>
          <t>UPPSALA LÄN</t>
        </is>
      </c>
      <c r="E135" t="inlineStr">
        <is>
          <t>UPPSALA</t>
        </is>
      </c>
      <c r="G135" t="n">
        <v>8.9</v>
      </c>
      <c r="H135" t="n">
        <v>0</v>
      </c>
      <c r="I135" t="n">
        <v>0</v>
      </c>
      <c r="J135" t="n">
        <v>1</v>
      </c>
      <c r="K135" t="n">
        <v>0</v>
      </c>
      <c r="L135" t="n">
        <v>0</v>
      </c>
      <c r="M135" t="n">
        <v>0</v>
      </c>
      <c r="N135" t="n">
        <v>0</v>
      </c>
      <c r="O135" t="n">
        <v>1</v>
      </c>
      <c r="P135" t="n">
        <v>0</v>
      </c>
      <c r="Q135" t="n">
        <v>1</v>
      </c>
      <c r="R135" s="2" t="inlineStr">
        <is>
          <t>Gul taggsvamp</t>
        </is>
      </c>
      <c r="S135">
        <f>HYPERLINK("https://klasma.github.io/Logging_0380/artfynd/A 4449-2022 artfynd.xlsx", "A 4449-2022")</f>
        <v/>
      </c>
      <c r="T135">
        <f>HYPERLINK("https://klasma.github.io/Logging_0380/kartor/A 4449-2022 karta.png", "A 4449-2022")</f>
        <v/>
      </c>
      <c r="V135">
        <f>HYPERLINK("https://klasma.github.io/Logging_0380/klagomål/A 4449-2022 FSC-klagomål.docx", "A 4449-2022")</f>
        <v/>
      </c>
      <c r="W135">
        <f>HYPERLINK("https://klasma.github.io/Logging_0380/klagomålsmail/A 4449-2022 FSC-klagomål mail.docx", "A 4449-2022")</f>
        <v/>
      </c>
      <c r="X135">
        <f>HYPERLINK("https://klasma.github.io/Logging_0380/tillsyn/A 4449-2022 tillsynsbegäran.docx", "A 4449-2022")</f>
        <v/>
      </c>
      <c r="Y135">
        <f>HYPERLINK("https://klasma.github.io/Logging_0380/tillsynsmail/A 4449-2022 tillsynsbegäran mail.docx", "A 4449-2022")</f>
        <v/>
      </c>
    </row>
    <row r="136" ht="15" customHeight="1">
      <c r="A136" t="inlineStr">
        <is>
          <t>A 8865-2022</t>
        </is>
      </c>
      <c r="B136" s="1" t="n">
        <v>44614</v>
      </c>
      <c r="C136" s="1" t="n">
        <v>45723</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Narrtagging</t>
        </is>
      </c>
      <c r="S136">
        <f>HYPERLINK("https://klasma.github.io/Logging_0380/artfynd/A 8865-2022 artfynd.xlsx", "A 8865-2022")</f>
        <v/>
      </c>
      <c r="T136">
        <f>HYPERLINK("https://klasma.github.io/Logging_0380/kartor/A 8865-2022 karta.png", "A 8865-2022")</f>
        <v/>
      </c>
      <c r="V136">
        <f>HYPERLINK("https://klasma.github.io/Logging_0380/klagomål/A 8865-2022 FSC-klagomål.docx", "A 8865-2022")</f>
        <v/>
      </c>
      <c r="W136">
        <f>HYPERLINK("https://klasma.github.io/Logging_0380/klagomålsmail/A 8865-2022 FSC-klagomål mail.docx", "A 8865-2022")</f>
        <v/>
      </c>
      <c r="X136">
        <f>HYPERLINK("https://klasma.github.io/Logging_0380/tillsyn/A 8865-2022 tillsynsbegäran.docx", "A 8865-2022")</f>
        <v/>
      </c>
      <c r="Y136">
        <f>HYPERLINK("https://klasma.github.io/Logging_0380/tillsynsmail/A 8865-2022 tillsynsbegäran mail.docx", "A 8865-2022")</f>
        <v/>
      </c>
    </row>
    <row r="137" ht="15" customHeight="1">
      <c r="A137" t="inlineStr">
        <is>
          <t>A 13363-2022</t>
        </is>
      </c>
      <c r="B137" s="1" t="n">
        <v>44645</v>
      </c>
      <c r="C137" s="1" t="n">
        <v>45723</v>
      </c>
      <c r="D137" t="inlineStr">
        <is>
          <t>UPPSALA LÄN</t>
        </is>
      </c>
      <c r="E137" t="inlineStr">
        <is>
          <t>UPPSALA</t>
        </is>
      </c>
      <c r="F137" t="inlineStr">
        <is>
          <t>Övriga Aktiebolag</t>
        </is>
      </c>
      <c r="G137" t="n">
        <v>9.4</v>
      </c>
      <c r="H137" t="n">
        <v>1</v>
      </c>
      <c r="I137" t="n">
        <v>0</v>
      </c>
      <c r="J137" t="n">
        <v>0</v>
      </c>
      <c r="K137" t="n">
        <v>0</v>
      </c>
      <c r="L137" t="n">
        <v>0</v>
      </c>
      <c r="M137" t="n">
        <v>0</v>
      </c>
      <c r="N137" t="n">
        <v>0</v>
      </c>
      <c r="O137" t="n">
        <v>0</v>
      </c>
      <c r="P137" t="n">
        <v>0</v>
      </c>
      <c r="Q137" t="n">
        <v>1</v>
      </c>
      <c r="R137" s="2" t="inlineStr">
        <is>
          <t>Huggorm</t>
        </is>
      </c>
      <c r="S137">
        <f>HYPERLINK("https://klasma.github.io/Logging_0380/artfynd/A 13363-2022 artfynd.xlsx", "A 13363-2022")</f>
        <v/>
      </c>
      <c r="T137">
        <f>HYPERLINK("https://klasma.github.io/Logging_0380/kartor/A 13363-2022 karta.png", "A 13363-2022")</f>
        <v/>
      </c>
      <c r="V137">
        <f>HYPERLINK("https://klasma.github.io/Logging_0380/klagomål/A 13363-2022 FSC-klagomål.docx", "A 13363-2022")</f>
        <v/>
      </c>
      <c r="W137">
        <f>HYPERLINK("https://klasma.github.io/Logging_0380/klagomålsmail/A 13363-2022 FSC-klagomål mail.docx", "A 13363-2022")</f>
        <v/>
      </c>
      <c r="X137">
        <f>HYPERLINK("https://klasma.github.io/Logging_0380/tillsyn/A 13363-2022 tillsynsbegäran.docx", "A 13363-2022")</f>
        <v/>
      </c>
      <c r="Y137">
        <f>HYPERLINK("https://klasma.github.io/Logging_0380/tillsynsmail/A 13363-2022 tillsynsbegäran mail.docx", "A 13363-2022")</f>
        <v/>
      </c>
    </row>
    <row r="138" ht="15" customHeight="1">
      <c r="A138" t="inlineStr">
        <is>
          <t>A 15297-2022</t>
        </is>
      </c>
      <c r="B138" s="1" t="n">
        <v>44659</v>
      </c>
      <c r="C138" s="1" t="n">
        <v>45723</v>
      </c>
      <c r="D138" t="inlineStr">
        <is>
          <t>UPPSALA LÄN</t>
        </is>
      </c>
      <c r="E138" t="inlineStr">
        <is>
          <t>UPPSALA</t>
        </is>
      </c>
      <c r="F138" t="inlineStr">
        <is>
          <t>Övriga Aktiebolag</t>
        </is>
      </c>
      <c r="G138" t="n">
        <v>6.6</v>
      </c>
      <c r="H138" t="n">
        <v>0</v>
      </c>
      <c r="I138" t="n">
        <v>1</v>
      </c>
      <c r="J138" t="n">
        <v>0</v>
      </c>
      <c r="K138" t="n">
        <v>0</v>
      </c>
      <c r="L138" t="n">
        <v>0</v>
      </c>
      <c r="M138" t="n">
        <v>0</v>
      </c>
      <c r="N138" t="n">
        <v>0</v>
      </c>
      <c r="O138" t="n">
        <v>0</v>
      </c>
      <c r="P138" t="n">
        <v>0</v>
      </c>
      <c r="Q138" t="n">
        <v>1</v>
      </c>
      <c r="R138" s="2" t="inlineStr">
        <is>
          <t>Stor aspticka</t>
        </is>
      </c>
      <c r="S138">
        <f>HYPERLINK("https://klasma.github.io/Logging_0380/artfynd/A 15297-2022 artfynd.xlsx", "A 15297-2022")</f>
        <v/>
      </c>
      <c r="T138">
        <f>HYPERLINK("https://klasma.github.io/Logging_0380/kartor/A 15297-2022 karta.png", "A 15297-2022")</f>
        <v/>
      </c>
      <c r="V138">
        <f>HYPERLINK("https://klasma.github.io/Logging_0380/klagomål/A 15297-2022 FSC-klagomål.docx", "A 15297-2022")</f>
        <v/>
      </c>
      <c r="W138">
        <f>HYPERLINK("https://klasma.github.io/Logging_0380/klagomålsmail/A 15297-2022 FSC-klagomål mail.docx", "A 15297-2022")</f>
        <v/>
      </c>
      <c r="X138">
        <f>HYPERLINK("https://klasma.github.io/Logging_0380/tillsyn/A 15297-2022 tillsynsbegäran.docx", "A 15297-2022")</f>
        <v/>
      </c>
      <c r="Y138">
        <f>HYPERLINK("https://klasma.github.io/Logging_0380/tillsynsmail/A 15297-2022 tillsynsbegäran mail.docx", "A 15297-2022")</f>
        <v/>
      </c>
    </row>
    <row r="139" ht="15" customHeight="1">
      <c r="A139" t="inlineStr">
        <is>
          <t>A 19376-2022</t>
        </is>
      </c>
      <c r="B139" s="1" t="n">
        <v>44692</v>
      </c>
      <c r="C139" s="1" t="n">
        <v>45723</v>
      </c>
      <c r="D139" t="inlineStr">
        <is>
          <t>UPPSALA LÄN</t>
        </is>
      </c>
      <c r="E139" t="inlineStr">
        <is>
          <t>UPPSALA</t>
        </is>
      </c>
      <c r="F139" t="inlineStr">
        <is>
          <t>Bergvik skog öst AB</t>
        </is>
      </c>
      <c r="G139" t="n">
        <v>6.8</v>
      </c>
      <c r="H139" t="n">
        <v>0</v>
      </c>
      <c r="I139" t="n">
        <v>1</v>
      </c>
      <c r="J139" t="n">
        <v>0</v>
      </c>
      <c r="K139" t="n">
        <v>0</v>
      </c>
      <c r="L139" t="n">
        <v>0</v>
      </c>
      <c r="M139" t="n">
        <v>0</v>
      </c>
      <c r="N139" t="n">
        <v>0</v>
      </c>
      <c r="O139" t="n">
        <v>0</v>
      </c>
      <c r="P139" t="n">
        <v>0</v>
      </c>
      <c r="Q139" t="n">
        <v>1</v>
      </c>
      <c r="R139" s="2" t="inlineStr">
        <is>
          <t>Vårärt</t>
        </is>
      </c>
      <c r="S139">
        <f>HYPERLINK("https://klasma.github.io/Logging_0380/artfynd/A 19376-2022 artfynd.xlsx", "A 19376-2022")</f>
        <v/>
      </c>
      <c r="T139">
        <f>HYPERLINK("https://klasma.github.io/Logging_0380/kartor/A 19376-2022 karta.png", "A 19376-2022")</f>
        <v/>
      </c>
      <c r="V139">
        <f>HYPERLINK("https://klasma.github.io/Logging_0380/klagomål/A 19376-2022 FSC-klagomål.docx", "A 19376-2022")</f>
        <v/>
      </c>
      <c r="W139">
        <f>HYPERLINK("https://klasma.github.io/Logging_0380/klagomålsmail/A 19376-2022 FSC-klagomål mail.docx", "A 19376-2022")</f>
        <v/>
      </c>
      <c r="X139">
        <f>HYPERLINK("https://klasma.github.io/Logging_0380/tillsyn/A 19376-2022 tillsynsbegäran.docx", "A 19376-2022")</f>
        <v/>
      </c>
      <c r="Y139">
        <f>HYPERLINK("https://klasma.github.io/Logging_0380/tillsynsmail/A 19376-2022 tillsynsbegäran mail.docx", "A 19376-2022")</f>
        <v/>
      </c>
    </row>
    <row r="140" ht="15" customHeight="1">
      <c r="A140" t="inlineStr">
        <is>
          <t>A 23141-2022</t>
        </is>
      </c>
      <c r="B140" s="1" t="n">
        <v>44719</v>
      </c>
      <c r="C140" s="1" t="n">
        <v>45723</v>
      </c>
      <c r="D140" t="inlineStr">
        <is>
          <t>UPPSALA LÄN</t>
        </is>
      </c>
      <c r="E140" t="inlineStr">
        <is>
          <t>UPPSALA</t>
        </is>
      </c>
      <c r="G140" t="n">
        <v>3.1</v>
      </c>
      <c r="H140" t="n">
        <v>1</v>
      </c>
      <c r="I140" t="n">
        <v>0</v>
      </c>
      <c r="J140" t="n">
        <v>0</v>
      </c>
      <c r="K140" t="n">
        <v>0</v>
      </c>
      <c r="L140" t="n">
        <v>0</v>
      </c>
      <c r="M140" t="n">
        <v>0</v>
      </c>
      <c r="N140" t="n">
        <v>0</v>
      </c>
      <c r="O140" t="n">
        <v>0</v>
      </c>
      <c r="P140" t="n">
        <v>0</v>
      </c>
      <c r="Q140" t="n">
        <v>1</v>
      </c>
      <c r="R140" s="2" t="inlineStr">
        <is>
          <t>Enkelbeckasin</t>
        </is>
      </c>
      <c r="S140">
        <f>HYPERLINK("https://klasma.github.io/Logging_0380/artfynd/A 23141-2022 artfynd.xlsx", "A 23141-2022")</f>
        <v/>
      </c>
      <c r="T140">
        <f>HYPERLINK("https://klasma.github.io/Logging_0380/kartor/A 23141-2022 karta.png", "A 23141-2022")</f>
        <v/>
      </c>
      <c r="V140">
        <f>HYPERLINK("https://klasma.github.io/Logging_0380/klagomål/A 23141-2022 FSC-klagomål.docx", "A 23141-2022")</f>
        <v/>
      </c>
      <c r="W140">
        <f>HYPERLINK("https://klasma.github.io/Logging_0380/klagomålsmail/A 23141-2022 FSC-klagomål mail.docx", "A 23141-2022")</f>
        <v/>
      </c>
      <c r="X140">
        <f>HYPERLINK("https://klasma.github.io/Logging_0380/tillsyn/A 23141-2022 tillsynsbegäran.docx", "A 23141-2022")</f>
        <v/>
      </c>
      <c r="Y140">
        <f>HYPERLINK("https://klasma.github.io/Logging_0380/tillsynsmail/A 23141-2022 tillsynsbegäran mail.docx", "A 23141-2022")</f>
        <v/>
      </c>
      <c r="Z140">
        <f>HYPERLINK("https://klasma.github.io/Logging_0380/fåglar/A 23141-2022 prioriterade fågelarter.docx", "A 23141-2022")</f>
        <v/>
      </c>
    </row>
    <row r="141" ht="15" customHeight="1">
      <c r="A141" t="inlineStr">
        <is>
          <t>A 25119-2022</t>
        </is>
      </c>
      <c r="B141" s="1" t="n">
        <v>44729</v>
      </c>
      <c r="C141" s="1" t="n">
        <v>45723</v>
      </c>
      <c r="D141" t="inlineStr">
        <is>
          <t>UPPSALA LÄN</t>
        </is>
      </c>
      <c r="E141" t="inlineStr">
        <is>
          <t>UPPSALA</t>
        </is>
      </c>
      <c r="F141" t="inlineStr">
        <is>
          <t>Kommuner</t>
        </is>
      </c>
      <c r="G141" t="n">
        <v>0.9</v>
      </c>
      <c r="H141" t="n">
        <v>0</v>
      </c>
      <c r="I141" t="n">
        <v>1</v>
      </c>
      <c r="J141" t="n">
        <v>0</v>
      </c>
      <c r="K141" t="n">
        <v>0</v>
      </c>
      <c r="L141" t="n">
        <v>0</v>
      </c>
      <c r="M141" t="n">
        <v>0</v>
      </c>
      <c r="N141" t="n">
        <v>0</v>
      </c>
      <c r="O141" t="n">
        <v>0</v>
      </c>
      <c r="P141" t="n">
        <v>0</v>
      </c>
      <c r="Q141" t="n">
        <v>1</v>
      </c>
      <c r="R141" s="2" t="inlineStr">
        <is>
          <t>Stor aspticka</t>
        </is>
      </c>
      <c r="S141">
        <f>HYPERLINK("https://klasma.github.io/Logging_0380/artfynd/A 25119-2022 artfynd.xlsx", "A 25119-2022")</f>
        <v/>
      </c>
      <c r="T141">
        <f>HYPERLINK("https://klasma.github.io/Logging_0380/kartor/A 25119-2022 karta.png", "A 25119-2022")</f>
        <v/>
      </c>
      <c r="V141">
        <f>HYPERLINK("https://klasma.github.io/Logging_0380/klagomål/A 25119-2022 FSC-klagomål.docx", "A 25119-2022")</f>
        <v/>
      </c>
      <c r="W141">
        <f>HYPERLINK("https://klasma.github.io/Logging_0380/klagomålsmail/A 25119-2022 FSC-klagomål mail.docx", "A 25119-2022")</f>
        <v/>
      </c>
      <c r="X141">
        <f>HYPERLINK("https://klasma.github.io/Logging_0380/tillsyn/A 25119-2022 tillsynsbegäran.docx", "A 25119-2022")</f>
        <v/>
      </c>
      <c r="Y141">
        <f>HYPERLINK("https://klasma.github.io/Logging_0380/tillsynsmail/A 25119-2022 tillsynsbegäran mail.docx", "A 25119-2022")</f>
        <v/>
      </c>
    </row>
    <row r="142" ht="15" customHeight="1">
      <c r="A142" t="inlineStr">
        <is>
          <t>A 46634-2022</t>
        </is>
      </c>
      <c r="B142" s="1" t="n">
        <v>44849</v>
      </c>
      <c r="C142" s="1" t="n">
        <v>45723</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49015-2022</t>
        </is>
      </c>
      <c r="B143" s="1" t="n">
        <v>44855</v>
      </c>
      <c r="C143" s="1" t="n">
        <v>45723</v>
      </c>
      <c r="D143" t="inlineStr">
        <is>
          <t>UPPSALA LÄN</t>
        </is>
      </c>
      <c r="E143" t="inlineStr">
        <is>
          <t>UPPSALA</t>
        </is>
      </c>
      <c r="F143" t="inlineStr">
        <is>
          <t>Kommuner</t>
        </is>
      </c>
      <c r="G143" t="n">
        <v>4.5</v>
      </c>
      <c r="H143" t="n">
        <v>0</v>
      </c>
      <c r="I143" t="n">
        <v>0</v>
      </c>
      <c r="J143" t="n">
        <v>1</v>
      </c>
      <c r="K143" t="n">
        <v>0</v>
      </c>
      <c r="L143" t="n">
        <v>0</v>
      </c>
      <c r="M143" t="n">
        <v>0</v>
      </c>
      <c r="N143" t="n">
        <v>0</v>
      </c>
      <c r="O143" t="n">
        <v>1</v>
      </c>
      <c r="P143" t="n">
        <v>0</v>
      </c>
      <c r="Q143" t="n">
        <v>1</v>
      </c>
      <c r="R143" s="2" t="inlineStr">
        <is>
          <t>Harticka</t>
        </is>
      </c>
      <c r="S143">
        <f>HYPERLINK("https://klasma.github.io/Logging_0380/artfynd/A 49015-2022 artfynd.xlsx", "A 49015-2022")</f>
        <v/>
      </c>
      <c r="T143">
        <f>HYPERLINK("https://klasma.github.io/Logging_0380/kartor/A 49015-2022 karta.png", "A 49015-2022")</f>
        <v/>
      </c>
      <c r="V143">
        <f>HYPERLINK("https://klasma.github.io/Logging_0380/klagomål/A 49015-2022 FSC-klagomål.docx", "A 49015-2022")</f>
        <v/>
      </c>
      <c r="W143">
        <f>HYPERLINK("https://klasma.github.io/Logging_0380/klagomålsmail/A 49015-2022 FSC-klagomål mail.docx", "A 49015-2022")</f>
        <v/>
      </c>
      <c r="X143">
        <f>HYPERLINK("https://klasma.github.io/Logging_0380/tillsyn/A 49015-2022 tillsynsbegäran.docx", "A 49015-2022")</f>
        <v/>
      </c>
      <c r="Y143">
        <f>HYPERLINK("https://klasma.github.io/Logging_0380/tillsynsmail/A 49015-2022 tillsynsbegäran mail.docx", "A 49015-2022")</f>
        <v/>
      </c>
    </row>
    <row r="144" ht="15" customHeight="1">
      <c r="A144" t="inlineStr">
        <is>
          <t>A 57793-2022</t>
        </is>
      </c>
      <c r="B144" s="1" t="n">
        <v>44897</v>
      </c>
      <c r="C144" s="1" t="n">
        <v>45723</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Talltita</t>
        </is>
      </c>
      <c r="S144">
        <f>HYPERLINK("https://klasma.github.io/Logging_0380/artfynd/A 57793-2022 artfynd.xlsx", "A 57793-2022")</f>
        <v/>
      </c>
      <c r="T144">
        <f>HYPERLINK("https://klasma.github.io/Logging_0380/kartor/A 57793-2022 karta.png", "A 57793-2022")</f>
        <v/>
      </c>
      <c r="V144">
        <f>HYPERLINK("https://klasma.github.io/Logging_0380/klagomål/A 57793-2022 FSC-klagomål.docx", "A 57793-2022")</f>
        <v/>
      </c>
      <c r="W144">
        <f>HYPERLINK("https://klasma.github.io/Logging_0380/klagomålsmail/A 57793-2022 FSC-klagomål mail.docx", "A 57793-2022")</f>
        <v/>
      </c>
      <c r="X144">
        <f>HYPERLINK("https://klasma.github.io/Logging_0380/tillsyn/A 57793-2022 tillsynsbegäran.docx", "A 57793-2022")</f>
        <v/>
      </c>
      <c r="Y144">
        <f>HYPERLINK("https://klasma.github.io/Logging_0380/tillsynsmail/A 57793-2022 tillsynsbegäran mail.docx", "A 57793-2022")</f>
        <v/>
      </c>
      <c r="Z144">
        <f>HYPERLINK("https://klasma.github.io/Logging_0380/fåglar/A 57793-2022 prioriterade fågelarter.docx", "A 57793-2022")</f>
        <v/>
      </c>
    </row>
    <row r="145" ht="15" customHeight="1">
      <c r="A145" t="inlineStr">
        <is>
          <t>A 60055-2022</t>
        </is>
      </c>
      <c r="B145" s="1" t="n">
        <v>44909</v>
      </c>
      <c r="C145" s="1" t="n">
        <v>45723</v>
      </c>
      <c r="D145" t="inlineStr">
        <is>
          <t>UPPSALA LÄN</t>
        </is>
      </c>
      <c r="E145" t="inlineStr">
        <is>
          <t>UPPSALA</t>
        </is>
      </c>
      <c r="G145" t="n">
        <v>11.4</v>
      </c>
      <c r="H145" t="n">
        <v>1</v>
      </c>
      <c r="I145" t="n">
        <v>0</v>
      </c>
      <c r="J145" t="n">
        <v>0</v>
      </c>
      <c r="K145" t="n">
        <v>0</v>
      </c>
      <c r="L145" t="n">
        <v>0</v>
      </c>
      <c r="M145" t="n">
        <v>0</v>
      </c>
      <c r="N145" t="n">
        <v>0</v>
      </c>
      <c r="O145" t="n">
        <v>0</v>
      </c>
      <c r="P145" t="n">
        <v>0</v>
      </c>
      <c r="Q145" t="n">
        <v>1</v>
      </c>
      <c r="R145" s="2" t="inlineStr">
        <is>
          <t>Tjäder</t>
        </is>
      </c>
      <c r="S145">
        <f>HYPERLINK("https://klasma.github.io/Logging_0380/artfynd/A 60055-2022 artfynd.xlsx", "A 60055-2022")</f>
        <v/>
      </c>
      <c r="T145">
        <f>HYPERLINK("https://klasma.github.io/Logging_0380/kartor/A 60055-2022 karta.png", "A 60055-2022")</f>
        <v/>
      </c>
      <c r="V145">
        <f>HYPERLINK("https://klasma.github.io/Logging_0380/klagomål/A 60055-2022 FSC-klagomål.docx", "A 60055-2022")</f>
        <v/>
      </c>
      <c r="W145">
        <f>HYPERLINK("https://klasma.github.io/Logging_0380/klagomålsmail/A 60055-2022 FSC-klagomål mail.docx", "A 60055-2022")</f>
        <v/>
      </c>
      <c r="X145">
        <f>HYPERLINK("https://klasma.github.io/Logging_0380/tillsyn/A 60055-2022 tillsynsbegäran.docx", "A 60055-2022")</f>
        <v/>
      </c>
      <c r="Y145">
        <f>HYPERLINK("https://klasma.github.io/Logging_0380/tillsynsmail/A 60055-2022 tillsynsbegäran mail.docx", "A 60055-2022")</f>
        <v/>
      </c>
      <c r="Z145">
        <f>HYPERLINK("https://klasma.github.io/Logging_0380/fåglar/A 60055-2022 prioriterade fågelarter.docx", "A 60055-2022")</f>
        <v/>
      </c>
    </row>
    <row r="146" ht="15" customHeight="1">
      <c r="A146" t="inlineStr">
        <is>
          <t>A 61818-2022</t>
        </is>
      </c>
      <c r="B146" s="1" t="n">
        <v>44917</v>
      </c>
      <c r="C146" s="1" t="n">
        <v>45723</v>
      </c>
      <c r="D146" t="inlineStr">
        <is>
          <t>UPPSALA LÄN</t>
        </is>
      </c>
      <c r="E146" t="inlineStr">
        <is>
          <t>UPPSALA</t>
        </is>
      </c>
      <c r="F146" t="inlineStr">
        <is>
          <t>Holmen skog AB</t>
        </is>
      </c>
      <c r="G146" t="n">
        <v>0.8</v>
      </c>
      <c r="H146" t="n">
        <v>0</v>
      </c>
      <c r="I146" t="n">
        <v>0</v>
      </c>
      <c r="J146" t="n">
        <v>1</v>
      </c>
      <c r="K146" t="n">
        <v>0</v>
      </c>
      <c r="L146" t="n">
        <v>0</v>
      </c>
      <c r="M146" t="n">
        <v>0</v>
      </c>
      <c r="N146" t="n">
        <v>0</v>
      </c>
      <c r="O146" t="n">
        <v>1</v>
      </c>
      <c r="P146" t="n">
        <v>0</v>
      </c>
      <c r="Q146" t="n">
        <v>1</v>
      </c>
      <c r="R146" s="2" t="inlineStr">
        <is>
          <t>Blekticka</t>
        </is>
      </c>
      <c r="S146">
        <f>HYPERLINK("https://klasma.github.io/Logging_0380/artfynd/A 61818-2022 artfynd.xlsx", "A 61818-2022")</f>
        <v/>
      </c>
      <c r="T146">
        <f>HYPERLINK("https://klasma.github.io/Logging_0380/kartor/A 61818-2022 karta.png", "A 61818-2022")</f>
        <v/>
      </c>
      <c r="V146">
        <f>HYPERLINK("https://klasma.github.io/Logging_0380/klagomål/A 61818-2022 FSC-klagomål.docx", "A 61818-2022")</f>
        <v/>
      </c>
      <c r="W146">
        <f>HYPERLINK("https://klasma.github.io/Logging_0380/klagomålsmail/A 61818-2022 FSC-klagomål mail.docx", "A 61818-2022")</f>
        <v/>
      </c>
      <c r="X146">
        <f>HYPERLINK("https://klasma.github.io/Logging_0380/tillsyn/A 61818-2022 tillsynsbegäran.docx", "A 61818-2022")</f>
        <v/>
      </c>
      <c r="Y146">
        <f>HYPERLINK("https://klasma.github.io/Logging_0380/tillsynsmail/A 61818-2022 tillsynsbegäran mail.docx", "A 61818-2022")</f>
        <v/>
      </c>
    </row>
    <row r="147" ht="15" customHeight="1">
      <c r="A147" t="inlineStr">
        <is>
          <t>A 61830-2022</t>
        </is>
      </c>
      <c r="B147" s="1" t="n">
        <v>44917</v>
      </c>
      <c r="C147" s="1" t="n">
        <v>45723</v>
      </c>
      <c r="D147" t="inlineStr">
        <is>
          <t>UPPSALA LÄN</t>
        </is>
      </c>
      <c r="E147" t="inlineStr">
        <is>
          <t>UPPSALA</t>
        </is>
      </c>
      <c r="F147" t="inlineStr">
        <is>
          <t>Holmen skog AB</t>
        </is>
      </c>
      <c r="G147" t="n">
        <v>1.1</v>
      </c>
      <c r="H147" t="n">
        <v>0</v>
      </c>
      <c r="I147" t="n">
        <v>0</v>
      </c>
      <c r="J147" t="n">
        <v>1</v>
      </c>
      <c r="K147" t="n">
        <v>0</v>
      </c>
      <c r="L147" t="n">
        <v>0</v>
      </c>
      <c r="M147" t="n">
        <v>0</v>
      </c>
      <c r="N147" t="n">
        <v>0</v>
      </c>
      <c r="O147" t="n">
        <v>1</v>
      </c>
      <c r="P147" t="n">
        <v>0</v>
      </c>
      <c r="Q147" t="n">
        <v>1</v>
      </c>
      <c r="R147" s="2" t="inlineStr">
        <is>
          <t>Rödbrun blekspik</t>
        </is>
      </c>
      <c r="S147">
        <f>HYPERLINK("https://klasma.github.io/Logging_0380/artfynd/A 61830-2022 artfynd.xlsx", "A 61830-2022")</f>
        <v/>
      </c>
      <c r="T147">
        <f>HYPERLINK("https://klasma.github.io/Logging_0380/kartor/A 61830-2022 karta.png", "A 61830-2022")</f>
        <v/>
      </c>
      <c r="V147">
        <f>HYPERLINK("https://klasma.github.io/Logging_0380/klagomål/A 61830-2022 FSC-klagomål.docx", "A 61830-2022")</f>
        <v/>
      </c>
      <c r="W147">
        <f>HYPERLINK("https://klasma.github.io/Logging_0380/klagomålsmail/A 61830-2022 FSC-klagomål mail.docx", "A 61830-2022")</f>
        <v/>
      </c>
      <c r="X147">
        <f>HYPERLINK("https://klasma.github.io/Logging_0380/tillsyn/A 61830-2022 tillsynsbegäran.docx", "A 61830-2022")</f>
        <v/>
      </c>
      <c r="Y147">
        <f>HYPERLINK("https://klasma.github.io/Logging_0380/tillsynsmail/A 61830-2022 tillsynsbegäran mail.docx", "A 61830-2022")</f>
        <v/>
      </c>
    </row>
    <row r="148" ht="15" customHeight="1">
      <c r="A148" t="inlineStr">
        <is>
          <t>A 5009-2023</t>
        </is>
      </c>
      <c r="B148" s="1" t="n">
        <v>44958</v>
      </c>
      <c r="C148" s="1" t="n">
        <v>45723</v>
      </c>
      <c r="D148" t="inlineStr">
        <is>
          <t>UPPSALA LÄN</t>
        </is>
      </c>
      <c r="E148" t="inlineStr">
        <is>
          <t>UPPSALA</t>
        </is>
      </c>
      <c r="G148" t="n">
        <v>4.7</v>
      </c>
      <c r="H148" t="n">
        <v>1</v>
      </c>
      <c r="I148" t="n">
        <v>0</v>
      </c>
      <c r="J148" t="n">
        <v>0</v>
      </c>
      <c r="K148" t="n">
        <v>0</v>
      </c>
      <c r="L148" t="n">
        <v>0</v>
      </c>
      <c r="M148" t="n">
        <v>0</v>
      </c>
      <c r="N148" t="n">
        <v>0</v>
      </c>
      <c r="O148" t="n">
        <v>0</v>
      </c>
      <c r="P148" t="n">
        <v>0</v>
      </c>
      <c r="Q148" t="n">
        <v>1</v>
      </c>
      <c r="R148" s="2" t="inlineStr">
        <is>
          <t>Blåsippa</t>
        </is>
      </c>
      <c r="S148">
        <f>HYPERLINK("https://klasma.github.io/Logging_0380/artfynd/A 5009-2023 artfynd.xlsx", "A 5009-2023")</f>
        <v/>
      </c>
      <c r="T148">
        <f>HYPERLINK("https://klasma.github.io/Logging_0380/kartor/A 5009-2023 karta.png", "A 5009-2023")</f>
        <v/>
      </c>
      <c r="V148">
        <f>HYPERLINK("https://klasma.github.io/Logging_0380/klagomål/A 5009-2023 FSC-klagomål.docx", "A 5009-2023")</f>
        <v/>
      </c>
      <c r="W148">
        <f>HYPERLINK("https://klasma.github.io/Logging_0380/klagomålsmail/A 5009-2023 FSC-klagomål mail.docx", "A 5009-2023")</f>
        <v/>
      </c>
      <c r="X148">
        <f>HYPERLINK("https://klasma.github.io/Logging_0380/tillsyn/A 5009-2023 tillsynsbegäran.docx", "A 5009-2023")</f>
        <v/>
      </c>
      <c r="Y148">
        <f>HYPERLINK("https://klasma.github.io/Logging_0380/tillsynsmail/A 5009-2023 tillsynsbegäran mail.docx", "A 5009-2023")</f>
        <v/>
      </c>
    </row>
    <row r="149" ht="15" customHeight="1">
      <c r="A149" t="inlineStr">
        <is>
          <t>A 5750-2023</t>
        </is>
      </c>
      <c r="B149" s="1" t="n">
        <v>44963</v>
      </c>
      <c r="C149" s="1" t="n">
        <v>45723</v>
      </c>
      <c r="D149" t="inlineStr">
        <is>
          <t>UPPSALA LÄN</t>
        </is>
      </c>
      <c r="E149" t="inlineStr">
        <is>
          <t>UPPSALA</t>
        </is>
      </c>
      <c r="G149" t="n">
        <v>13.8</v>
      </c>
      <c r="H149" t="n">
        <v>0</v>
      </c>
      <c r="I149" t="n">
        <v>0</v>
      </c>
      <c r="J149" t="n">
        <v>0</v>
      </c>
      <c r="K149" t="n">
        <v>1</v>
      </c>
      <c r="L149" t="n">
        <v>0</v>
      </c>
      <c r="M149" t="n">
        <v>0</v>
      </c>
      <c r="N149" t="n">
        <v>0</v>
      </c>
      <c r="O149" t="n">
        <v>1</v>
      </c>
      <c r="P149" t="n">
        <v>1</v>
      </c>
      <c r="Q149" t="n">
        <v>1</v>
      </c>
      <c r="R149" s="2" t="inlineStr">
        <is>
          <t>Raggbock</t>
        </is>
      </c>
      <c r="S149">
        <f>HYPERLINK("https://klasma.github.io/Logging_0380/artfynd/A 5750-2023 artfynd.xlsx", "A 5750-2023")</f>
        <v/>
      </c>
      <c r="T149">
        <f>HYPERLINK("https://klasma.github.io/Logging_0380/kartor/A 5750-2023 karta.png", "A 5750-2023")</f>
        <v/>
      </c>
      <c r="V149">
        <f>HYPERLINK("https://klasma.github.io/Logging_0380/klagomål/A 5750-2023 FSC-klagomål.docx", "A 5750-2023")</f>
        <v/>
      </c>
      <c r="W149">
        <f>HYPERLINK("https://klasma.github.io/Logging_0380/klagomålsmail/A 5750-2023 FSC-klagomål mail.docx", "A 5750-2023")</f>
        <v/>
      </c>
      <c r="X149">
        <f>HYPERLINK("https://klasma.github.io/Logging_0380/tillsyn/A 5750-2023 tillsynsbegäran.docx", "A 5750-2023")</f>
        <v/>
      </c>
      <c r="Y149">
        <f>HYPERLINK("https://klasma.github.io/Logging_0380/tillsynsmail/A 5750-2023 tillsynsbegäran mail.docx", "A 5750-2023")</f>
        <v/>
      </c>
    </row>
    <row r="150" ht="15" customHeight="1">
      <c r="A150" t="inlineStr">
        <is>
          <t>A 13154-2023</t>
        </is>
      </c>
      <c r="B150" s="1" t="n">
        <v>45002</v>
      </c>
      <c r="C150" s="1" t="n">
        <v>45723</v>
      </c>
      <c r="D150" t="inlineStr">
        <is>
          <t>UPPSALA LÄN</t>
        </is>
      </c>
      <c r="E150" t="inlineStr">
        <is>
          <t>UPPSALA</t>
        </is>
      </c>
      <c r="F150" t="inlineStr">
        <is>
          <t>Holmen skog AB</t>
        </is>
      </c>
      <c r="G150" t="n">
        <v>2.6</v>
      </c>
      <c r="H150" t="n">
        <v>0</v>
      </c>
      <c r="I150" t="n">
        <v>1</v>
      </c>
      <c r="J150" t="n">
        <v>0</v>
      </c>
      <c r="K150" t="n">
        <v>0</v>
      </c>
      <c r="L150" t="n">
        <v>0</v>
      </c>
      <c r="M150" t="n">
        <v>0</v>
      </c>
      <c r="N150" t="n">
        <v>0</v>
      </c>
      <c r="O150" t="n">
        <v>0</v>
      </c>
      <c r="P150" t="n">
        <v>0</v>
      </c>
      <c r="Q150" t="n">
        <v>1</v>
      </c>
      <c r="R150" s="2" t="inlineStr">
        <is>
          <t>Korallblylav</t>
        </is>
      </c>
      <c r="S150">
        <f>HYPERLINK("https://klasma.github.io/Logging_0380/artfynd/A 13154-2023 artfynd.xlsx", "A 13154-2023")</f>
        <v/>
      </c>
      <c r="T150">
        <f>HYPERLINK("https://klasma.github.io/Logging_0380/kartor/A 13154-2023 karta.png", "A 13154-2023")</f>
        <v/>
      </c>
      <c r="V150">
        <f>HYPERLINK("https://klasma.github.io/Logging_0380/klagomål/A 13154-2023 FSC-klagomål.docx", "A 13154-2023")</f>
        <v/>
      </c>
      <c r="W150">
        <f>HYPERLINK("https://klasma.github.io/Logging_0380/klagomålsmail/A 13154-2023 FSC-klagomål mail.docx", "A 13154-2023")</f>
        <v/>
      </c>
      <c r="X150">
        <f>HYPERLINK("https://klasma.github.io/Logging_0380/tillsyn/A 13154-2023 tillsynsbegäran.docx", "A 13154-2023")</f>
        <v/>
      </c>
      <c r="Y150">
        <f>HYPERLINK("https://klasma.github.io/Logging_0380/tillsynsmail/A 13154-2023 tillsynsbegäran mail.docx", "A 13154-2023")</f>
        <v/>
      </c>
    </row>
    <row r="151" ht="15" customHeight="1">
      <c r="A151" t="inlineStr">
        <is>
          <t>A 15722-2023</t>
        </is>
      </c>
      <c r="B151" s="1" t="n">
        <v>45021</v>
      </c>
      <c r="C151" s="1" t="n">
        <v>45723</v>
      </c>
      <c r="D151" t="inlineStr">
        <is>
          <t>UPPSALA LÄN</t>
        </is>
      </c>
      <c r="E151" t="inlineStr">
        <is>
          <t>UPPSALA</t>
        </is>
      </c>
      <c r="G151" t="n">
        <v>15.2</v>
      </c>
      <c r="H151" t="n">
        <v>0</v>
      </c>
      <c r="I151" t="n">
        <v>1</v>
      </c>
      <c r="J151" t="n">
        <v>0</v>
      </c>
      <c r="K151" t="n">
        <v>0</v>
      </c>
      <c r="L151" t="n">
        <v>0</v>
      </c>
      <c r="M151" t="n">
        <v>0</v>
      </c>
      <c r="N151" t="n">
        <v>0</v>
      </c>
      <c r="O151" t="n">
        <v>0</v>
      </c>
      <c r="P151" t="n">
        <v>0</v>
      </c>
      <c r="Q151" t="n">
        <v>1</v>
      </c>
      <c r="R151" s="2" t="inlineStr">
        <is>
          <t>Tibast</t>
        </is>
      </c>
      <c r="S151">
        <f>HYPERLINK("https://klasma.github.io/Logging_0380/artfynd/A 15722-2023 artfynd.xlsx", "A 15722-2023")</f>
        <v/>
      </c>
      <c r="T151">
        <f>HYPERLINK("https://klasma.github.io/Logging_0380/kartor/A 15722-2023 karta.png", "A 15722-2023")</f>
        <v/>
      </c>
      <c r="V151">
        <f>HYPERLINK("https://klasma.github.io/Logging_0380/klagomål/A 15722-2023 FSC-klagomål.docx", "A 15722-2023")</f>
        <v/>
      </c>
      <c r="W151">
        <f>HYPERLINK("https://klasma.github.io/Logging_0380/klagomålsmail/A 15722-2023 FSC-klagomål mail.docx", "A 15722-2023")</f>
        <v/>
      </c>
      <c r="X151">
        <f>HYPERLINK("https://klasma.github.io/Logging_0380/tillsyn/A 15722-2023 tillsynsbegäran.docx", "A 15722-2023")</f>
        <v/>
      </c>
      <c r="Y151">
        <f>HYPERLINK("https://klasma.github.io/Logging_0380/tillsynsmail/A 15722-2023 tillsynsbegäran mail.docx", "A 15722-2023")</f>
        <v/>
      </c>
    </row>
    <row r="152" ht="15" customHeight="1">
      <c r="A152" t="inlineStr">
        <is>
          <t>A 15919-2023</t>
        </is>
      </c>
      <c r="B152" s="1" t="n">
        <v>45022</v>
      </c>
      <c r="C152" s="1" t="n">
        <v>45723</v>
      </c>
      <c r="D152" t="inlineStr">
        <is>
          <t>UPPSALA LÄN</t>
        </is>
      </c>
      <c r="E152" t="inlineStr">
        <is>
          <t>UPPSALA</t>
        </is>
      </c>
      <c r="F152" t="inlineStr">
        <is>
          <t>Holmen skog AB</t>
        </is>
      </c>
      <c r="G152" t="n">
        <v>10</v>
      </c>
      <c r="H152" t="n">
        <v>1</v>
      </c>
      <c r="I152" t="n">
        <v>0</v>
      </c>
      <c r="J152" t="n">
        <v>0</v>
      </c>
      <c r="K152" t="n">
        <v>0</v>
      </c>
      <c r="L152" t="n">
        <v>0</v>
      </c>
      <c r="M152" t="n">
        <v>0</v>
      </c>
      <c r="N152" t="n">
        <v>0</v>
      </c>
      <c r="O152" t="n">
        <v>0</v>
      </c>
      <c r="P152" t="n">
        <v>0</v>
      </c>
      <c r="Q152" t="n">
        <v>1</v>
      </c>
      <c r="R152" s="2" t="inlineStr">
        <is>
          <t>Blåsippa</t>
        </is>
      </c>
      <c r="S152">
        <f>HYPERLINK("https://klasma.github.io/Logging_0380/artfynd/A 15919-2023 artfynd.xlsx", "A 15919-2023")</f>
        <v/>
      </c>
      <c r="T152">
        <f>HYPERLINK("https://klasma.github.io/Logging_0380/kartor/A 15919-2023 karta.png", "A 15919-2023")</f>
        <v/>
      </c>
      <c r="V152">
        <f>HYPERLINK("https://klasma.github.io/Logging_0380/klagomål/A 15919-2023 FSC-klagomål.docx", "A 15919-2023")</f>
        <v/>
      </c>
      <c r="W152">
        <f>HYPERLINK("https://klasma.github.io/Logging_0380/klagomålsmail/A 15919-2023 FSC-klagomål mail.docx", "A 15919-2023")</f>
        <v/>
      </c>
      <c r="X152">
        <f>HYPERLINK("https://klasma.github.io/Logging_0380/tillsyn/A 15919-2023 tillsynsbegäran.docx", "A 15919-2023")</f>
        <v/>
      </c>
      <c r="Y152">
        <f>HYPERLINK("https://klasma.github.io/Logging_0380/tillsynsmail/A 15919-2023 tillsynsbegäran mail.docx", "A 15919-2023")</f>
        <v/>
      </c>
    </row>
    <row r="153" ht="15" customHeight="1">
      <c r="A153" t="inlineStr">
        <is>
          <t>A 15918-2023</t>
        </is>
      </c>
      <c r="B153" s="1" t="n">
        <v>45022</v>
      </c>
      <c r="C153" s="1" t="n">
        <v>45723</v>
      </c>
      <c r="D153" t="inlineStr">
        <is>
          <t>UPPSALA LÄN</t>
        </is>
      </c>
      <c r="E153" t="inlineStr">
        <is>
          <t>UPPSALA</t>
        </is>
      </c>
      <c r="F153" t="inlineStr">
        <is>
          <t>Holmen skog AB</t>
        </is>
      </c>
      <c r="G153" t="n">
        <v>3.2</v>
      </c>
      <c r="H153" t="n">
        <v>1</v>
      </c>
      <c r="I153" t="n">
        <v>0</v>
      </c>
      <c r="J153" t="n">
        <v>0</v>
      </c>
      <c r="K153" t="n">
        <v>0</v>
      </c>
      <c r="L153" t="n">
        <v>0</v>
      </c>
      <c r="M153" t="n">
        <v>0</v>
      </c>
      <c r="N153" t="n">
        <v>0</v>
      </c>
      <c r="O153" t="n">
        <v>0</v>
      </c>
      <c r="P153" t="n">
        <v>0</v>
      </c>
      <c r="Q153" t="n">
        <v>1</v>
      </c>
      <c r="R153" s="2" t="inlineStr">
        <is>
          <t>Blåsippa</t>
        </is>
      </c>
      <c r="S153">
        <f>HYPERLINK("https://klasma.github.io/Logging_0380/artfynd/A 15918-2023 artfynd.xlsx", "A 15918-2023")</f>
        <v/>
      </c>
      <c r="T153">
        <f>HYPERLINK("https://klasma.github.io/Logging_0380/kartor/A 15918-2023 karta.png", "A 15918-2023")</f>
        <v/>
      </c>
      <c r="V153">
        <f>HYPERLINK("https://klasma.github.io/Logging_0380/klagomål/A 15918-2023 FSC-klagomål.docx", "A 15918-2023")</f>
        <v/>
      </c>
      <c r="W153">
        <f>HYPERLINK("https://klasma.github.io/Logging_0380/klagomålsmail/A 15918-2023 FSC-klagomål mail.docx", "A 15918-2023")</f>
        <v/>
      </c>
      <c r="X153">
        <f>HYPERLINK("https://klasma.github.io/Logging_0380/tillsyn/A 15918-2023 tillsynsbegäran.docx", "A 15918-2023")</f>
        <v/>
      </c>
      <c r="Y153">
        <f>HYPERLINK("https://klasma.github.io/Logging_0380/tillsynsmail/A 15918-2023 tillsynsbegäran mail.docx", "A 15918-2023")</f>
        <v/>
      </c>
    </row>
    <row r="154" ht="15" customHeight="1">
      <c r="A154" t="inlineStr">
        <is>
          <t>A 20172-2023</t>
        </is>
      </c>
      <c r="B154" s="1" t="n">
        <v>45055</v>
      </c>
      <c r="C154" s="1" t="n">
        <v>45723</v>
      </c>
      <c r="D154" t="inlineStr">
        <is>
          <t>UPPSALA LÄN</t>
        </is>
      </c>
      <c r="E154" t="inlineStr">
        <is>
          <t>UPPSALA</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HYPERLINK("https://klasma.github.io/Logging_0380/artfynd/A 20172-2023 artfynd.xlsx", "A 20172-2023")</f>
        <v/>
      </c>
      <c r="T154">
        <f>HYPERLINK("https://klasma.github.io/Logging_0380/kartor/A 20172-2023 karta.png", "A 20172-2023")</f>
        <v/>
      </c>
      <c r="V154">
        <f>HYPERLINK("https://klasma.github.io/Logging_0380/klagomål/A 20172-2023 FSC-klagomål.docx", "A 20172-2023")</f>
        <v/>
      </c>
      <c r="W154">
        <f>HYPERLINK("https://klasma.github.io/Logging_0380/klagomålsmail/A 20172-2023 FSC-klagomål mail.docx", "A 20172-2023")</f>
        <v/>
      </c>
      <c r="X154">
        <f>HYPERLINK("https://klasma.github.io/Logging_0380/tillsyn/A 20172-2023 tillsynsbegäran.docx", "A 20172-2023")</f>
        <v/>
      </c>
      <c r="Y154">
        <f>HYPERLINK("https://klasma.github.io/Logging_0380/tillsynsmail/A 20172-2023 tillsynsbegäran mail.docx", "A 20172-2023")</f>
        <v/>
      </c>
    </row>
    <row r="155" ht="15" customHeight="1">
      <c r="A155" t="inlineStr">
        <is>
          <t>A 20930-2023</t>
        </is>
      </c>
      <c r="B155" s="1" t="n">
        <v>45061</v>
      </c>
      <c r="C155" s="1" t="n">
        <v>45723</v>
      </c>
      <c r="D155" t="inlineStr">
        <is>
          <t>UPPSALA LÄN</t>
        </is>
      </c>
      <c r="E155" t="inlineStr">
        <is>
          <t>UPPSALA</t>
        </is>
      </c>
      <c r="G155" t="n">
        <v>5.1</v>
      </c>
      <c r="H155" t="n">
        <v>0</v>
      </c>
      <c r="I155" t="n">
        <v>1</v>
      </c>
      <c r="J155" t="n">
        <v>0</v>
      </c>
      <c r="K155" t="n">
        <v>0</v>
      </c>
      <c r="L155" t="n">
        <v>0</v>
      </c>
      <c r="M155" t="n">
        <v>0</v>
      </c>
      <c r="N155" t="n">
        <v>0</v>
      </c>
      <c r="O155" t="n">
        <v>0</v>
      </c>
      <c r="P155" t="n">
        <v>0</v>
      </c>
      <c r="Q155" t="n">
        <v>1</v>
      </c>
      <c r="R155" s="2" t="inlineStr">
        <is>
          <t>Grönpyrola</t>
        </is>
      </c>
      <c r="S155">
        <f>HYPERLINK("https://klasma.github.io/Logging_0380/artfynd/A 20930-2023 artfynd.xlsx", "A 20930-2023")</f>
        <v/>
      </c>
      <c r="T155">
        <f>HYPERLINK("https://klasma.github.io/Logging_0380/kartor/A 20930-2023 karta.png", "A 20930-2023")</f>
        <v/>
      </c>
      <c r="V155">
        <f>HYPERLINK("https://klasma.github.io/Logging_0380/klagomål/A 20930-2023 FSC-klagomål.docx", "A 20930-2023")</f>
        <v/>
      </c>
      <c r="W155">
        <f>HYPERLINK("https://klasma.github.io/Logging_0380/klagomålsmail/A 20930-2023 FSC-klagomål mail.docx", "A 20930-2023")</f>
        <v/>
      </c>
      <c r="X155">
        <f>HYPERLINK("https://klasma.github.io/Logging_0380/tillsyn/A 20930-2023 tillsynsbegäran.docx", "A 20930-2023")</f>
        <v/>
      </c>
      <c r="Y155">
        <f>HYPERLINK("https://klasma.github.io/Logging_0380/tillsynsmail/A 20930-2023 tillsynsbegäran mail.docx", "A 20930-2023")</f>
        <v/>
      </c>
    </row>
    <row r="156" ht="15" customHeight="1">
      <c r="A156" t="inlineStr">
        <is>
          <t>A 20923-2023</t>
        </is>
      </c>
      <c r="B156" s="1" t="n">
        <v>45061</v>
      </c>
      <c r="C156" s="1" t="n">
        <v>45723</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Dvärghäxört</t>
        </is>
      </c>
      <c r="S156">
        <f>HYPERLINK("https://klasma.github.io/Logging_0380/artfynd/A 20923-2023 artfynd.xlsx", "A 20923-2023")</f>
        <v/>
      </c>
      <c r="T156">
        <f>HYPERLINK("https://klasma.github.io/Logging_0380/kartor/A 20923-2023 karta.png", "A 20923-2023")</f>
        <v/>
      </c>
      <c r="V156">
        <f>HYPERLINK("https://klasma.github.io/Logging_0380/klagomål/A 20923-2023 FSC-klagomål.docx", "A 20923-2023")</f>
        <v/>
      </c>
      <c r="W156">
        <f>HYPERLINK("https://klasma.github.io/Logging_0380/klagomålsmail/A 20923-2023 FSC-klagomål mail.docx", "A 20923-2023")</f>
        <v/>
      </c>
      <c r="X156">
        <f>HYPERLINK("https://klasma.github.io/Logging_0380/tillsyn/A 20923-2023 tillsynsbegäran.docx", "A 20923-2023")</f>
        <v/>
      </c>
      <c r="Y156">
        <f>HYPERLINK("https://klasma.github.io/Logging_0380/tillsynsmail/A 20923-2023 tillsynsbegäran mail.docx", "A 20923-2023")</f>
        <v/>
      </c>
    </row>
    <row r="157" ht="15" customHeight="1">
      <c r="A157" t="inlineStr">
        <is>
          <t>A 22958-2023</t>
        </is>
      </c>
      <c r="B157" s="1" t="n">
        <v>45072</v>
      </c>
      <c r="C157" s="1" t="n">
        <v>45723</v>
      </c>
      <c r="D157" t="inlineStr">
        <is>
          <t>UPPSALA LÄN</t>
        </is>
      </c>
      <c r="E157" t="inlineStr">
        <is>
          <t>UPPSALA</t>
        </is>
      </c>
      <c r="F157" t="inlineStr">
        <is>
          <t>Holmen skog AB</t>
        </is>
      </c>
      <c r="G157" t="n">
        <v>6.4</v>
      </c>
      <c r="H157" t="n">
        <v>0</v>
      </c>
      <c r="I157" t="n">
        <v>0</v>
      </c>
      <c r="J157" t="n">
        <v>1</v>
      </c>
      <c r="K157" t="n">
        <v>0</v>
      </c>
      <c r="L157" t="n">
        <v>0</v>
      </c>
      <c r="M157" t="n">
        <v>0</v>
      </c>
      <c r="N157" t="n">
        <v>0</v>
      </c>
      <c r="O157" t="n">
        <v>1</v>
      </c>
      <c r="P157" t="n">
        <v>0</v>
      </c>
      <c r="Q157" t="n">
        <v>1</v>
      </c>
      <c r="R157" s="2" t="inlineStr">
        <is>
          <t>Krusfrö</t>
        </is>
      </c>
      <c r="S157">
        <f>HYPERLINK("https://klasma.github.io/Logging_0380/artfynd/A 22958-2023 artfynd.xlsx", "A 22958-2023")</f>
        <v/>
      </c>
      <c r="T157">
        <f>HYPERLINK("https://klasma.github.io/Logging_0380/kartor/A 22958-2023 karta.png", "A 22958-2023")</f>
        <v/>
      </c>
      <c r="V157">
        <f>HYPERLINK("https://klasma.github.io/Logging_0380/klagomål/A 22958-2023 FSC-klagomål.docx", "A 22958-2023")</f>
        <v/>
      </c>
      <c r="W157">
        <f>HYPERLINK("https://klasma.github.io/Logging_0380/klagomålsmail/A 22958-2023 FSC-klagomål mail.docx", "A 22958-2023")</f>
        <v/>
      </c>
      <c r="X157">
        <f>HYPERLINK("https://klasma.github.io/Logging_0380/tillsyn/A 22958-2023 tillsynsbegäran.docx", "A 22958-2023")</f>
        <v/>
      </c>
      <c r="Y157">
        <f>HYPERLINK("https://klasma.github.io/Logging_0380/tillsynsmail/A 22958-2023 tillsynsbegäran mail.docx", "A 22958-2023")</f>
        <v/>
      </c>
    </row>
    <row r="158" ht="15" customHeight="1">
      <c r="A158" t="inlineStr">
        <is>
          <t>A 27848-2023</t>
        </is>
      </c>
      <c r="B158" s="1" t="n">
        <v>45098</v>
      </c>
      <c r="C158" s="1" t="n">
        <v>45723</v>
      </c>
      <c r="D158" t="inlineStr">
        <is>
          <t>UPPSALA LÄN</t>
        </is>
      </c>
      <c r="E158" t="inlineStr">
        <is>
          <t>UPPSALA</t>
        </is>
      </c>
      <c r="G158" t="n">
        <v>14.3</v>
      </c>
      <c r="H158" t="n">
        <v>0</v>
      </c>
      <c r="I158" t="n">
        <v>1</v>
      </c>
      <c r="J158" t="n">
        <v>0</v>
      </c>
      <c r="K158" t="n">
        <v>0</v>
      </c>
      <c r="L158" t="n">
        <v>0</v>
      </c>
      <c r="M158" t="n">
        <v>0</v>
      </c>
      <c r="N158" t="n">
        <v>0</v>
      </c>
      <c r="O158" t="n">
        <v>0</v>
      </c>
      <c r="P158" t="n">
        <v>0</v>
      </c>
      <c r="Q158" t="n">
        <v>1</v>
      </c>
      <c r="R158" s="2" t="inlineStr">
        <is>
          <t>Blåmossa</t>
        </is>
      </c>
      <c r="S158">
        <f>HYPERLINK("https://klasma.github.io/Logging_0380/artfynd/A 27848-2023 artfynd.xlsx", "A 27848-2023")</f>
        <v/>
      </c>
      <c r="T158">
        <f>HYPERLINK("https://klasma.github.io/Logging_0380/kartor/A 27848-2023 karta.png", "A 27848-2023")</f>
        <v/>
      </c>
      <c r="V158">
        <f>HYPERLINK("https://klasma.github.io/Logging_0380/klagomål/A 27848-2023 FSC-klagomål.docx", "A 27848-2023")</f>
        <v/>
      </c>
      <c r="W158">
        <f>HYPERLINK("https://klasma.github.io/Logging_0380/klagomålsmail/A 27848-2023 FSC-klagomål mail.docx", "A 27848-2023")</f>
        <v/>
      </c>
      <c r="X158">
        <f>HYPERLINK("https://klasma.github.io/Logging_0380/tillsyn/A 27848-2023 tillsynsbegäran.docx", "A 27848-2023")</f>
        <v/>
      </c>
      <c r="Y158">
        <f>HYPERLINK("https://klasma.github.io/Logging_0380/tillsynsmail/A 27848-2023 tillsynsbegäran mail.docx", "A 27848-2023")</f>
        <v/>
      </c>
    </row>
    <row r="159" ht="15" customHeight="1">
      <c r="A159" t="inlineStr">
        <is>
          <t>A 28951-2023</t>
        </is>
      </c>
      <c r="B159" s="1" t="n">
        <v>45104</v>
      </c>
      <c r="C159" s="1" t="n">
        <v>45723</v>
      </c>
      <c r="D159" t="inlineStr">
        <is>
          <t>UPPSALA LÄN</t>
        </is>
      </c>
      <c r="E159" t="inlineStr">
        <is>
          <t>UPPSALA</t>
        </is>
      </c>
      <c r="G159" t="n">
        <v>3.7</v>
      </c>
      <c r="H159" t="n">
        <v>0</v>
      </c>
      <c r="I159" t="n">
        <v>1</v>
      </c>
      <c r="J159" t="n">
        <v>0</v>
      </c>
      <c r="K159" t="n">
        <v>0</v>
      </c>
      <c r="L159" t="n">
        <v>0</v>
      </c>
      <c r="M159" t="n">
        <v>0</v>
      </c>
      <c r="N159" t="n">
        <v>0</v>
      </c>
      <c r="O159" t="n">
        <v>0</v>
      </c>
      <c r="P159" t="n">
        <v>0</v>
      </c>
      <c r="Q159" t="n">
        <v>1</v>
      </c>
      <c r="R159" s="2" t="inlineStr">
        <is>
          <t>Grönpyrola</t>
        </is>
      </c>
      <c r="S159">
        <f>HYPERLINK("https://klasma.github.io/Logging_0380/artfynd/A 28951-2023 artfynd.xlsx", "A 28951-2023")</f>
        <v/>
      </c>
      <c r="T159">
        <f>HYPERLINK("https://klasma.github.io/Logging_0380/kartor/A 28951-2023 karta.png", "A 28951-2023")</f>
        <v/>
      </c>
      <c r="V159">
        <f>HYPERLINK("https://klasma.github.io/Logging_0380/klagomål/A 28951-2023 FSC-klagomål.docx", "A 28951-2023")</f>
        <v/>
      </c>
      <c r="W159">
        <f>HYPERLINK("https://klasma.github.io/Logging_0380/klagomålsmail/A 28951-2023 FSC-klagomål mail.docx", "A 28951-2023")</f>
        <v/>
      </c>
      <c r="X159">
        <f>HYPERLINK("https://klasma.github.io/Logging_0380/tillsyn/A 28951-2023 tillsynsbegäran.docx", "A 28951-2023")</f>
        <v/>
      </c>
      <c r="Y159">
        <f>HYPERLINK("https://klasma.github.io/Logging_0380/tillsynsmail/A 28951-2023 tillsynsbegäran mail.docx", "A 28951-2023")</f>
        <v/>
      </c>
    </row>
    <row r="160" ht="15" customHeight="1">
      <c r="A160" t="inlineStr">
        <is>
          <t>A 29902-2023</t>
        </is>
      </c>
      <c r="B160" s="1" t="n">
        <v>45107</v>
      </c>
      <c r="C160" s="1" t="n">
        <v>45723</v>
      </c>
      <c r="D160" t="inlineStr">
        <is>
          <t>UPPSALA LÄN</t>
        </is>
      </c>
      <c r="E160" t="inlineStr">
        <is>
          <t>UPPSALA</t>
        </is>
      </c>
      <c r="F160" t="inlineStr">
        <is>
          <t>Kyrkan</t>
        </is>
      </c>
      <c r="G160" t="n">
        <v>10.6</v>
      </c>
      <c r="H160" t="n">
        <v>1</v>
      </c>
      <c r="I160" t="n">
        <v>0</v>
      </c>
      <c r="J160" t="n">
        <v>1</v>
      </c>
      <c r="K160" t="n">
        <v>0</v>
      </c>
      <c r="L160" t="n">
        <v>0</v>
      </c>
      <c r="M160" t="n">
        <v>0</v>
      </c>
      <c r="N160" t="n">
        <v>0</v>
      </c>
      <c r="O160" t="n">
        <v>1</v>
      </c>
      <c r="P160" t="n">
        <v>0</v>
      </c>
      <c r="Q160" t="n">
        <v>1</v>
      </c>
      <c r="R160" s="2" t="inlineStr">
        <is>
          <t>Järpe</t>
        </is>
      </c>
      <c r="S160">
        <f>HYPERLINK("https://klasma.github.io/Logging_0380/artfynd/A 29902-2023 artfynd.xlsx", "A 29902-2023")</f>
        <v/>
      </c>
      <c r="T160">
        <f>HYPERLINK("https://klasma.github.io/Logging_0380/kartor/A 29902-2023 karta.png", "A 29902-2023")</f>
        <v/>
      </c>
      <c r="V160">
        <f>HYPERLINK("https://klasma.github.io/Logging_0380/klagomål/A 29902-2023 FSC-klagomål.docx", "A 29902-2023")</f>
        <v/>
      </c>
      <c r="W160">
        <f>HYPERLINK("https://klasma.github.io/Logging_0380/klagomålsmail/A 29902-2023 FSC-klagomål mail.docx", "A 29902-2023")</f>
        <v/>
      </c>
      <c r="X160">
        <f>HYPERLINK("https://klasma.github.io/Logging_0380/tillsyn/A 29902-2023 tillsynsbegäran.docx", "A 29902-2023")</f>
        <v/>
      </c>
      <c r="Y160">
        <f>HYPERLINK("https://klasma.github.io/Logging_0380/tillsynsmail/A 29902-2023 tillsynsbegäran mail.docx", "A 29902-2023")</f>
        <v/>
      </c>
      <c r="Z160">
        <f>HYPERLINK("https://klasma.github.io/Logging_0380/fåglar/A 29902-2023 prioriterade fågelarter.docx", "A 29902-2023")</f>
        <v/>
      </c>
    </row>
    <row r="161" ht="15" customHeight="1">
      <c r="A161" t="inlineStr">
        <is>
          <t>A 29906-2023</t>
        </is>
      </c>
      <c r="B161" s="1" t="n">
        <v>45107</v>
      </c>
      <c r="C161" s="1" t="n">
        <v>45723</v>
      </c>
      <c r="D161" t="inlineStr">
        <is>
          <t>UPPSALA LÄN</t>
        </is>
      </c>
      <c r="E161" t="inlineStr">
        <is>
          <t>UPPSALA</t>
        </is>
      </c>
      <c r="F161" t="inlineStr">
        <is>
          <t>Kyrkan</t>
        </is>
      </c>
      <c r="G161" t="n">
        <v>0.5</v>
      </c>
      <c r="H161" t="n">
        <v>0</v>
      </c>
      <c r="I161" t="n">
        <v>1</v>
      </c>
      <c r="J161" t="n">
        <v>0</v>
      </c>
      <c r="K161" t="n">
        <v>0</v>
      </c>
      <c r="L161" t="n">
        <v>0</v>
      </c>
      <c r="M161" t="n">
        <v>0</v>
      </c>
      <c r="N161" t="n">
        <v>0</v>
      </c>
      <c r="O161" t="n">
        <v>0</v>
      </c>
      <c r="P161" t="n">
        <v>0</v>
      </c>
      <c r="Q161" t="n">
        <v>1</v>
      </c>
      <c r="R161" s="2" t="inlineStr">
        <is>
          <t>Sotriska</t>
        </is>
      </c>
      <c r="S161">
        <f>HYPERLINK("https://klasma.github.io/Logging_0380/artfynd/A 29906-2023 artfynd.xlsx", "A 29906-2023")</f>
        <v/>
      </c>
      <c r="T161">
        <f>HYPERLINK("https://klasma.github.io/Logging_0380/kartor/A 29906-2023 karta.png", "A 29906-2023")</f>
        <v/>
      </c>
      <c r="V161">
        <f>HYPERLINK("https://klasma.github.io/Logging_0380/klagomål/A 29906-2023 FSC-klagomål.docx", "A 29906-2023")</f>
        <v/>
      </c>
      <c r="W161">
        <f>HYPERLINK("https://klasma.github.io/Logging_0380/klagomålsmail/A 29906-2023 FSC-klagomål mail.docx", "A 29906-2023")</f>
        <v/>
      </c>
      <c r="X161">
        <f>HYPERLINK("https://klasma.github.io/Logging_0380/tillsyn/A 29906-2023 tillsynsbegäran.docx", "A 29906-2023")</f>
        <v/>
      </c>
      <c r="Y161">
        <f>HYPERLINK("https://klasma.github.io/Logging_0380/tillsynsmail/A 29906-2023 tillsynsbegäran mail.docx", "A 29906-2023")</f>
        <v/>
      </c>
    </row>
    <row r="162" ht="15" customHeight="1">
      <c r="A162" t="inlineStr">
        <is>
          <t>A 32668-2023</t>
        </is>
      </c>
      <c r="B162" s="1" t="n">
        <v>45121</v>
      </c>
      <c r="C162" s="1" t="n">
        <v>45723</v>
      </c>
      <c r="D162" t="inlineStr">
        <is>
          <t>UPPSALA LÄN</t>
        </is>
      </c>
      <c r="E162" t="inlineStr">
        <is>
          <t>UPPSALA</t>
        </is>
      </c>
      <c r="F162" t="inlineStr">
        <is>
          <t>Holmen skog AB</t>
        </is>
      </c>
      <c r="G162" t="n">
        <v>6.3</v>
      </c>
      <c r="H162" t="n">
        <v>1</v>
      </c>
      <c r="I162" t="n">
        <v>0</v>
      </c>
      <c r="J162" t="n">
        <v>0</v>
      </c>
      <c r="K162" t="n">
        <v>0</v>
      </c>
      <c r="L162" t="n">
        <v>0</v>
      </c>
      <c r="M162" t="n">
        <v>0</v>
      </c>
      <c r="N162" t="n">
        <v>0</v>
      </c>
      <c r="O162" t="n">
        <v>0</v>
      </c>
      <c r="P162" t="n">
        <v>0</v>
      </c>
      <c r="Q162" t="n">
        <v>1</v>
      </c>
      <c r="R162" s="2" t="inlineStr">
        <is>
          <t>Blåsippa</t>
        </is>
      </c>
      <c r="S162">
        <f>HYPERLINK("https://klasma.github.io/Logging_0380/artfynd/A 32668-2023 artfynd.xlsx", "A 32668-2023")</f>
        <v/>
      </c>
      <c r="T162">
        <f>HYPERLINK("https://klasma.github.io/Logging_0380/kartor/A 32668-2023 karta.png", "A 32668-2023")</f>
        <v/>
      </c>
      <c r="V162">
        <f>HYPERLINK("https://klasma.github.io/Logging_0380/klagomål/A 32668-2023 FSC-klagomål.docx", "A 32668-2023")</f>
        <v/>
      </c>
      <c r="W162">
        <f>HYPERLINK("https://klasma.github.io/Logging_0380/klagomålsmail/A 32668-2023 FSC-klagomål mail.docx", "A 32668-2023")</f>
        <v/>
      </c>
      <c r="X162">
        <f>HYPERLINK("https://klasma.github.io/Logging_0380/tillsyn/A 32668-2023 tillsynsbegäran.docx", "A 32668-2023")</f>
        <v/>
      </c>
      <c r="Y162">
        <f>HYPERLINK("https://klasma.github.io/Logging_0380/tillsynsmail/A 32668-2023 tillsynsbegäran mail.docx", "A 32668-2023")</f>
        <v/>
      </c>
    </row>
    <row r="163" ht="15" customHeight="1">
      <c r="A163" t="inlineStr">
        <is>
          <t>A 32755-2023</t>
        </is>
      </c>
      <c r="B163" s="1" t="n">
        <v>45123</v>
      </c>
      <c r="C163" s="1" t="n">
        <v>45723</v>
      </c>
      <c r="D163" t="inlineStr">
        <is>
          <t>UPPSALA LÄN</t>
        </is>
      </c>
      <c r="E163" t="inlineStr">
        <is>
          <t>UPPSALA</t>
        </is>
      </c>
      <c r="G163" t="n">
        <v>5.7</v>
      </c>
      <c r="H163" t="n">
        <v>1</v>
      </c>
      <c r="I163" t="n">
        <v>0</v>
      </c>
      <c r="J163" t="n">
        <v>1</v>
      </c>
      <c r="K163" t="n">
        <v>0</v>
      </c>
      <c r="L163" t="n">
        <v>0</v>
      </c>
      <c r="M163" t="n">
        <v>0</v>
      </c>
      <c r="N163" t="n">
        <v>0</v>
      </c>
      <c r="O163" t="n">
        <v>1</v>
      </c>
      <c r="P163" t="n">
        <v>0</v>
      </c>
      <c r="Q163" t="n">
        <v>1</v>
      </c>
      <c r="R163" s="2" t="inlineStr">
        <is>
          <t>Spillkråka</t>
        </is>
      </c>
      <c r="S163">
        <f>HYPERLINK("https://klasma.github.io/Logging_0380/artfynd/A 32755-2023 artfynd.xlsx", "A 32755-2023")</f>
        <v/>
      </c>
      <c r="T163">
        <f>HYPERLINK("https://klasma.github.io/Logging_0380/kartor/A 32755-2023 karta.png", "A 32755-2023")</f>
        <v/>
      </c>
      <c r="V163">
        <f>HYPERLINK("https://klasma.github.io/Logging_0380/klagomål/A 32755-2023 FSC-klagomål.docx", "A 32755-2023")</f>
        <v/>
      </c>
      <c r="W163">
        <f>HYPERLINK("https://klasma.github.io/Logging_0380/klagomålsmail/A 32755-2023 FSC-klagomål mail.docx", "A 32755-2023")</f>
        <v/>
      </c>
      <c r="X163">
        <f>HYPERLINK("https://klasma.github.io/Logging_0380/tillsyn/A 32755-2023 tillsynsbegäran.docx", "A 32755-2023")</f>
        <v/>
      </c>
      <c r="Y163">
        <f>HYPERLINK("https://klasma.github.io/Logging_0380/tillsynsmail/A 32755-2023 tillsynsbegäran mail.docx", "A 32755-2023")</f>
        <v/>
      </c>
      <c r="Z163">
        <f>HYPERLINK("https://klasma.github.io/Logging_0380/fåglar/A 32755-2023 prioriterade fågelarter.docx", "A 32755-2023")</f>
        <v/>
      </c>
    </row>
    <row r="164" ht="15" customHeight="1">
      <c r="A164" t="inlineStr">
        <is>
          <t>A 34732-2023</t>
        </is>
      </c>
      <c r="B164" s="1" t="n">
        <v>45139</v>
      </c>
      <c r="C164" s="1" t="n">
        <v>45723</v>
      </c>
      <c r="D164" t="inlineStr">
        <is>
          <t>UPPSALA LÄN</t>
        </is>
      </c>
      <c r="E164" t="inlineStr">
        <is>
          <t>UPPSALA</t>
        </is>
      </c>
      <c r="G164" t="n">
        <v>8.1</v>
      </c>
      <c r="H164" t="n">
        <v>1</v>
      </c>
      <c r="I164" t="n">
        <v>1</v>
      </c>
      <c r="J164" t="n">
        <v>0</v>
      </c>
      <c r="K164" t="n">
        <v>0</v>
      </c>
      <c r="L164" t="n">
        <v>0</v>
      </c>
      <c r="M164" t="n">
        <v>0</v>
      </c>
      <c r="N164" t="n">
        <v>0</v>
      </c>
      <c r="O164" t="n">
        <v>0</v>
      </c>
      <c r="P164" t="n">
        <v>0</v>
      </c>
      <c r="Q164" t="n">
        <v>1</v>
      </c>
      <c r="R164" s="2" t="inlineStr">
        <is>
          <t>Grön sköldmossa</t>
        </is>
      </c>
      <c r="S164">
        <f>HYPERLINK("https://klasma.github.io/Logging_0380/artfynd/A 34732-2023 artfynd.xlsx", "A 34732-2023")</f>
        <v/>
      </c>
      <c r="T164">
        <f>HYPERLINK("https://klasma.github.io/Logging_0380/kartor/A 34732-2023 karta.png", "A 34732-2023")</f>
        <v/>
      </c>
      <c r="V164">
        <f>HYPERLINK("https://klasma.github.io/Logging_0380/klagomål/A 34732-2023 FSC-klagomål.docx", "A 34732-2023")</f>
        <v/>
      </c>
      <c r="W164">
        <f>HYPERLINK("https://klasma.github.io/Logging_0380/klagomålsmail/A 34732-2023 FSC-klagomål mail.docx", "A 34732-2023")</f>
        <v/>
      </c>
      <c r="X164">
        <f>HYPERLINK("https://klasma.github.io/Logging_0380/tillsyn/A 34732-2023 tillsynsbegäran.docx", "A 34732-2023")</f>
        <v/>
      </c>
      <c r="Y164">
        <f>HYPERLINK("https://klasma.github.io/Logging_0380/tillsynsmail/A 34732-2023 tillsynsbegäran mail.docx", "A 34732-2023")</f>
        <v/>
      </c>
    </row>
    <row r="165" ht="15" customHeight="1">
      <c r="A165" t="inlineStr">
        <is>
          <t>A 39741-2023</t>
        </is>
      </c>
      <c r="B165" s="1" t="n">
        <v>45167</v>
      </c>
      <c r="C165" s="1" t="n">
        <v>45723</v>
      </c>
      <c r="D165" t="inlineStr">
        <is>
          <t>UPPSALA LÄN</t>
        </is>
      </c>
      <c r="E165" t="inlineStr">
        <is>
          <t>UPPSALA</t>
        </is>
      </c>
      <c r="G165" t="n">
        <v>5.6</v>
      </c>
      <c r="H165" t="n">
        <v>1</v>
      </c>
      <c r="I165" t="n">
        <v>0</v>
      </c>
      <c r="J165" t="n">
        <v>1</v>
      </c>
      <c r="K165" t="n">
        <v>0</v>
      </c>
      <c r="L165" t="n">
        <v>0</v>
      </c>
      <c r="M165" t="n">
        <v>0</v>
      </c>
      <c r="N165" t="n">
        <v>0</v>
      </c>
      <c r="O165" t="n">
        <v>1</v>
      </c>
      <c r="P165" t="n">
        <v>0</v>
      </c>
      <c r="Q165" t="n">
        <v>1</v>
      </c>
      <c r="R165" s="2" t="inlineStr">
        <is>
          <t>Entita</t>
        </is>
      </c>
      <c r="S165">
        <f>HYPERLINK("https://klasma.github.io/Logging_0380/artfynd/A 39741-2023 artfynd.xlsx", "A 39741-2023")</f>
        <v/>
      </c>
      <c r="T165">
        <f>HYPERLINK("https://klasma.github.io/Logging_0380/kartor/A 39741-2023 karta.png", "A 39741-2023")</f>
        <v/>
      </c>
      <c r="V165">
        <f>HYPERLINK("https://klasma.github.io/Logging_0380/klagomål/A 39741-2023 FSC-klagomål.docx", "A 39741-2023")</f>
        <v/>
      </c>
      <c r="W165">
        <f>HYPERLINK("https://klasma.github.io/Logging_0380/klagomålsmail/A 39741-2023 FSC-klagomål mail.docx", "A 39741-2023")</f>
        <v/>
      </c>
      <c r="X165">
        <f>HYPERLINK("https://klasma.github.io/Logging_0380/tillsyn/A 39741-2023 tillsynsbegäran.docx", "A 39741-2023")</f>
        <v/>
      </c>
      <c r="Y165">
        <f>HYPERLINK("https://klasma.github.io/Logging_0380/tillsynsmail/A 39741-2023 tillsynsbegäran mail.docx", "A 39741-2023")</f>
        <v/>
      </c>
      <c r="Z165">
        <f>HYPERLINK("https://klasma.github.io/Logging_0380/fåglar/A 39741-2023 prioriterade fågelarter.docx", "A 39741-2023")</f>
        <v/>
      </c>
    </row>
    <row r="166" ht="15" customHeight="1">
      <c r="A166" t="inlineStr">
        <is>
          <t>A 51540-2023</t>
        </is>
      </c>
      <c r="B166" s="1" t="n">
        <v>45222</v>
      </c>
      <c r="C166" s="1" t="n">
        <v>45723</v>
      </c>
      <c r="D166" t="inlineStr">
        <is>
          <t>UPPSALA LÄN</t>
        </is>
      </c>
      <c r="E166" t="inlineStr">
        <is>
          <t>UPPSALA</t>
        </is>
      </c>
      <c r="G166" t="n">
        <v>6.4</v>
      </c>
      <c r="H166" t="n">
        <v>0</v>
      </c>
      <c r="I166" t="n">
        <v>0</v>
      </c>
      <c r="J166" t="n">
        <v>1</v>
      </c>
      <c r="K166" t="n">
        <v>0</v>
      </c>
      <c r="L166" t="n">
        <v>0</v>
      </c>
      <c r="M166" t="n">
        <v>0</v>
      </c>
      <c r="N166" t="n">
        <v>0</v>
      </c>
      <c r="O166" t="n">
        <v>1</v>
      </c>
      <c r="P166" t="n">
        <v>0</v>
      </c>
      <c r="Q166" t="n">
        <v>1</v>
      </c>
      <c r="R166" s="2" t="inlineStr">
        <is>
          <t>Svedjenäva</t>
        </is>
      </c>
      <c r="S166">
        <f>HYPERLINK("https://klasma.github.io/Logging_0380/artfynd/A 51540-2023 artfynd.xlsx", "A 51540-2023")</f>
        <v/>
      </c>
      <c r="T166">
        <f>HYPERLINK("https://klasma.github.io/Logging_0380/kartor/A 51540-2023 karta.png", "A 51540-2023")</f>
        <v/>
      </c>
      <c r="V166">
        <f>HYPERLINK("https://klasma.github.io/Logging_0380/klagomål/A 51540-2023 FSC-klagomål.docx", "A 51540-2023")</f>
        <v/>
      </c>
      <c r="W166">
        <f>HYPERLINK("https://klasma.github.io/Logging_0380/klagomålsmail/A 51540-2023 FSC-klagomål mail.docx", "A 51540-2023")</f>
        <v/>
      </c>
      <c r="X166">
        <f>HYPERLINK("https://klasma.github.io/Logging_0380/tillsyn/A 51540-2023 tillsynsbegäran.docx", "A 51540-2023")</f>
        <v/>
      </c>
      <c r="Y166">
        <f>HYPERLINK("https://klasma.github.io/Logging_0380/tillsynsmail/A 51540-2023 tillsynsbegäran mail.docx", "A 51540-2023")</f>
        <v/>
      </c>
    </row>
    <row r="167" ht="15" customHeight="1">
      <c r="A167" t="inlineStr">
        <is>
          <t>A 57332-2023</t>
        </is>
      </c>
      <c r="B167" s="1" t="n">
        <v>45245</v>
      </c>
      <c r="C167" s="1" t="n">
        <v>45723</v>
      </c>
      <c r="D167" t="inlineStr">
        <is>
          <t>UPPSALA LÄN</t>
        </is>
      </c>
      <c r="E167" t="inlineStr">
        <is>
          <t>UPPSALA</t>
        </is>
      </c>
      <c r="F167" t="inlineStr">
        <is>
          <t>Allmännings- och besparingsskogar</t>
        </is>
      </c>
      <c r="G167" t="n">
        <v>11.4</v>
      </c>
      <c r="H167" t="n">
        <v>1</v>
      </c>
      <c r="I167" t="n">
        <v>0</v>
      </c>
      <c r="J167" t="n">
        <v>0</v>
      </c>
      <c r="K167" t="n">
        <v>1</v>
      </c>
      <c r="L167" t="n">
        <v>0</v>
      </c>
      <c r="M167" t="n">
        <v>0</v>
      </c>
      <c r="N167" t="n">
        <v>0</v>
      </c>
      <c r="O167" t="n">
        <v>1</v>
      </c>
      <c r="P167" t="n">
        <v>1</v>
      </c>
      <c r="Q167" t="n">
        <v>1</v>
      </c>
      <c r="R167" s="2" t="inlineStr">
        <is>
          <t>Knärot</t>
        </is>
      </c>
      <c r="S167">
        <f>HYPERLINK("https://klasma.github.io/Logging_0380/artfynd/A 57332-2023 artfynd.xlsx", "A 57332-2023")</f>
        <v/>
      </c>
      <c r="T167">
        <f>HYPERLINK("https://klasma.github.io/Logging_0380/kartor/A 57332-2023 karta.png", "A 57332-2023")</f>
        <v/>
      </c>
      <c r="U167">
        <f>HYPERLINK("https://klasma.github.io/Logging_0380/knärot/A 57332-2023 karta knärot.png", "A 57332-2023")</f>
        <v/>
      </c>
      <c r="V167">
        <f>HYPERLINK("https://klasma.github.io/Logging_0380/klagomål/A 57332-2023 FSC-klagomål.docx", "A 57332-2023")</f>
        <v/>
      </c>
      <c r="W167">
        <f>HYPERLINK("https://klasma.github.io/Logging_0380/klagomålsmail/A 57332-2023 FSC-klagomål mail.docx", "A 57332-2023")</f>
        <v/>
      </c>
      <c r="X167">
        <f>HYPERLINK("https://klasma.github.io/Logging_0380/tillsyn/A 57332-2023 tillsynsbegäran.docx", "A 57332-2023")</f>
        <v/>
      </c>
      <c r="Y167">
        <f>HYPERLINK("https://klasma.github.io/Logging_0380/tillsynsmail/A 57332-2023 tillsynsbegäran mail.docx", "A 57332-2023")</f>
        <v/>
      </c>
    </row>
    <row r="168" ht="15" customHeight="1">
      <c r="A168" t="inlineStr">
        <is>
          <t>A 61068-2023</t>
        </is>
      </c>
      <c r="B168" s="1" t="n">
        <v>45259</v>
      </c>
      <c r="C168" s="1" t="n">
        <v>45723</v>
      </c>
      <c r="D168" t="inlineStr">
        <is>
          <t>UPPSALA LÄN</t>
        </is>
      </c>
      <c r="E168" t="inlineStr">
        <is>
          <t>UPPSALA</t>
        </is>
      </c>
      <c r="F168" t="inlineStr">
        <is>
          <t>Övriga Aktiebolag</t>
        </is>
      </c>
      <c r="G168" t="n">
        <v>8.800000000000001</v>
      </c>
      <c r="H168" t="n">
        <v>1</v>
      </c>
      <c r="I168" t="n">
        <v>0</v>
      </c>
      <c r="J168" t="n">
        <v>0</v>
      </c>
      <c r="K168" t="n">
        <v>1</v>
      </c>
      <c r="L168" t="n">
        <v>0</v>
      </c>
      <c r="M168" t="n">
        <v>0</v>
      </c>
      <c r="N168" t="n">
        <v>0</v>
      </c>
      <c r="O168" t="n">
        <v>1</v>
      </c>
      <c r="P168" t="n">
        <v>1</v>
      </c>
      <c r="Q168" t="n">
        <v>1</v>
      </c>
      <c r="R168" s="2" t="inlineStr">
        <is>
          <t>Knärot</t>
        </is>
      </c>
      <c r="S168">
        <f>HYPERLINK("https://klasma.github.io/Logging_0380/artfynd/A 61068-2023 artfynd.xlsx", "A 61068-2023")</f>
        <v/>
      </c>
      <c r="T168">
        <f>HYPERLINK("https://klasma.github.io/Logging_0380/kartor/A 61068-2023 karta.png", "A 61068-2023")</f>
        <v/>
      </c>
      <c r="U168">
        <f>HYPERLINK("https://klasma.github.io/Logging_0380/knärot/A 61068-2023 karta knärot.png", "A 61068-2023")</f>
        <v/>
      </c>
      <c r="V168">
        <f>HYPERLINK("https://klasma.github.io/Logging_0380/klagomål/A 61068-2023 FSC-klagomål.docx", "A 61068-2023")</f>
        <v/>
      </c>
      <c r="W168">
        <f>HYPERLINK("https://klasma.github.io/Logging_0380/klagomålsmail/A 61068-2023 FSC-klagomål mail.docx", "A 61068-2023")</f>
        <v/>
      </c>
      <c r="X168">
        <f>HYPERLINK("https://klasma.github.io/Logging_0380/tillsyn/A 61068-2023 tillsynsbegäran.docx", "A 61068-2023")</f>
        <v/>
      </c>
      <c r="Y168">
        <f>HYPERLINK("https://klasma.github.io/Logging_0380/tillsynsmail/A 61068-2023 tillsynsbegäran mail.docx", "A 61068-2023")</f>
        <v/>
      </c>
    </row>
    <row r="169" ht="15" customHeight="1">
      <c r="A169" t="inlineStr">
        <is>
          <t>A 61066-2023</t>
        </is>
      </c>
      <c r="B169" s="1" t="n">
        <v>45259</v>
      </c>
      <c r="C169" s="1" t="n">
        <v>45723</v>
      </c>
      <c r="D169" t="inlineStr">
        <is>
          <t>UPPSALA LÄN</t>
        </is>
      </c>
      <c r="E169" t="inlineStr">
        <is>
          <t>UPPSALA</t>
        </is>
      </c>
      <c r="F169" t="inlineStr">
        <is>
          <t>Övriga Aktiebolag</t>
        </is>
      </c>
      <c r="G169" t="n">
        <v>4.7</v>
      </c>
      <c r="H169" t="n">
        <v>0</v>
      </c>
      <c r="I169" t="n">
        <v>0</v>
      </c>
      <c r="J169" t="n">
        <v>1</v>
      </c>
      <c r="K169" t="n">
        <v>0</v>
      </c>
      <c r="L169" t="n">
        <v>0</v>
      </c>
      <c r="M169" t="n">
        <v>0</v>
      </c>
      <c r="N169" t="n">
        <v>0</v>
      </c>
      <c r="O169" t="n">
        <v>1</v>
      </c>
      <c r="P169" t="n">
        <v>0</v>
      </c>
      <c r="Q169" t="n">
        <v>1</v>
      </c>
      <c r="R169" s="2" t="inlineStr">
        <is>
          <t>Igelkott</t>
        </is>
      </c>
      <c r="S169">
        <f>HYPERLINK("https://klasma.github.io/Logging_0380/artfynd/A 61066-2023 artfynd.xlsx", "A 61066-2023")</f>
        <v/>
      </c>
      <c r="T169">
        <f>HYPERLINK("https://klasma.github.io/Logging_0380/kartor/A 61066-2023 karta.png", "A 61066-2023")</f>
        <v/>
      </c>
      <c r="V169">
        <f>HYPERLINK("https://klasma.github.io/Logging_0380/klagomål/A 61066-2023 FSC-klagomål.docx", "A 61066-2023")</f>
        <v/>
      </c>
      <c r="W169">
        <f>HYPERLINK("https://klasma.github.io/Logging_0380/klagomålsmail/A 61066-2023 FSC-klagomål mail.docx", "A 61066-2023")</f>
        <v/>
      </c>
      <c r="X169">
        <f>HYPERLINK("https://klasma.github.io/Logging_0380/tillsyn/A 61066-2023 tillsynsbegäran.docx", "A 61066-2023")</f>
        <v/>
      </c>
      <c r="Y169">
        <f>HYPERLINK("https://klasma.github.io/Logging_0380/tillsynsmail/A 61066-2023 tillsynsbegäran mail.docx", "A 61066-2023")</f>
        <v/>
      </c>
    </row>
    <row r="170" ht="15" customHeight="1">
      <c r="A170" t="inlineStr">
        <is>
          <t>A 63172-2023</t>
        </is>
      </c>
      <c r="B170" s="1" t="n">
        <v>45273</v>
      </c>
      <c r="C170" s="1" t="n">
        <v>45723</v>
      </c>
      <c r="D170" t="inlineStr">
        <is>
          <t>UPPSALA LÄN</t>
        </is>
      </c>
      <c r="E170" t="inlineStr">
        <is>
          <t>UPPSALA</t>
        </is>
      </c>
      <c r="G170" t="n">
        <v>1.8</v>
      </c>
      <c r="H170" t="n">
        <v>0</v>
      </c>
      <c r="I170" t="n">
        <v>1</v>
      </c>
      <c r="J170" t="n">
        <v>0</v>
      </c>
      <c r="K170" t="n">
        <v>0</v>
      </c>
      <c r="L170" t="n">
        <v>0</v>
      </c>
      <c r="M170" t="n">
        <v>0</v>
      </c>
      <c r="N170" t="n">
        <v>0</v>
      </c>
      <c r="O170" t="n">
        <v>0</v>
      </c>
      <c r="P170" t="n">
        <v>0</v>
      </c>
      <c r="Q170" t="n">
        <v>1</v>
      </c>
      <c r="R170" s="2" t="inlineStr">
        <is>
          <t>Ögonpyrola</t>
        </is>
      </c>
      <c r="S170">
        <f>HYPERLINK("https://klasma.github.io/Logging_0380/artfynd/A 63172-2023 artfynd.xlsx", "A 63172-2023")</f>
        <v/>
      </c>
      <c r="T170">
        <f>HYPERLINK("https://klasma.github.io/Logging_0380/kartor/A 63172-2023 karta.png", "A 63172-2023")</f>
        <v/>
      </c>
      <c r="V170">
        <f>HYPERLINK("https://klasma.github.io/Logging_0380/klagomål/A 63172-2023 FSC-klagomål.docx", "A 63172-2023")</f>
        <v/>
      </c>
      <c r="W170">
        <f>HYPERLINK("https://klasma.github.io/Logging_0380/klagomålsmail/A 63172-2023 FSC-klagomål mail.docx", "A 63172-2023")</f>
        <v/>
      </c>
      <c r="X170">
        <f>HYPERLINK("https://klasma.github.io/Logging_0380/tillsyn/A 63172-2023 tillsynsbegäran.docx", "A 63172-2023")</f>
        <v/>
      </c>
      <c r="Y170">
        <f>HYPERLINK("https://klasma.github.io/Logging_0380/tillsynsmail/A 63172-2023 tillsynsbegäran mail.docx", "A 63172-2023")</f>
        <v/>
      </c>
    </row>
    <row r="171" ht="15" customHeight="1">
      <c r="A171" t="inlineStr">
        <is>
          <t>A 584-2024</t>
        </is>
      </c>
      <c r="B171" s="1" t="n">
        <v>45299</v>
      </c>
      <c r="C171" s="1" t="n">
        <v>45723</v>
      </c>
      <c r="D171" t="inlineStr">
        <is>
          <t>UPPSALA LÄN</t>
        </is>
      </c>
      <c r="E171" t="inlineStr">
        <is>
          <t>UPPSALA</t>
        </is>
      </c>
      <c r="G171" t="n">
        <v>0.8</v>
      </c>
      <c r="H171" t="n">
        <v>1</v>
      </c>
      <c r="I171" t="n">
        <v>0</v>
      </c>
      <c r="J171" t="n">
        <v>0</v>
      </c>
      <c r="K171" t="n">
        <v>1</v>
      </c>
      <c r="L171" t="n">
        <v>0</v>
      </c>
      <c r="M171" t="n">
        <v>0</v>
      </c>
      <c r="N171" t="n">
        <v>0</v>
      </c>
      <c r="O171" t="n">
        <v>1</v>
      </c>
      <c r="P171" t="n">
        <v>1</v>
      </c>
      <c r="Q171" t="n">
        <v>1</v>
      </c>
      <c r="R171" s="2" t="inlineStr">
        <is>
          <t>Väddnätfjäril</t>
        </is>
      </c>
      <c r="S171">
        <f>HYPERLINK("https://klasma.github.io/Logging_0380/artfynd/A 584-2024 artfynd.xlsx", "A 584-2024")</f>
        <v/>
      </c>
      <c r="T171">
        <f>HYPERLINK("https://klasma.github.io/Logging_0380/kartor/A 584-2024 karta.png", "A 584-2024")</f>
        <v/>
      </c>
      <c r="V171">
        <f>HYPERLINK("https://klasma.github.io/Logging_0380/klagomål/A 584-2024 FSC-klagomål.docx", "A 584-2024")</f>
        <v/>
      </c>
      <c r="W171">
        <f>HYPERLINK("https://klasma.github.io/Logging_0380/klagomålsmail/A 584-2024 FSC-klagomål mail.docx", "A 584-2024")</f>
        <v/>
      </c>
      <c r="X171">
        <f>HYPERLINK("https://klasma.github.io/Logging_0380/tillsyn/A 584-2024 tillsynsbegäran.docx", "A 584-2024")</f>
        <v/>
      </c>
      <c r="Y171">
        <f>HYPERLINK("https://klasma.github.io/Logging_0380/tillsynsmail/A 584-2024 tillsynsbegäran mail.docx", "A 584-2024")</f>
        <v/>
      </c>
    </row>
    <row r="172" ht="15" customHeight="1">
      <c r="A172" t="inlineStr">
        <is>
          <t>A 2729-2024</t>
        </is>
      </c>
      <c r="B172" s="1" t="n">
        <v>45314</v>
      </c>
      <c r="C172" s="1" t="n">
        <v>45723</v>
      </c>
      <c r="D172" t="inlineStr">
        <is>
          <t>UPPSALA LÄN</t>
        </is>
      </c>
      <c r="E172" t="inlineStr">
        <is>
          <t>UPPSALA</t>
        </is>
      </c>
      <c r="G172" t="n">
        <v>3.3</v>
      </c>
      <c r="H172" t="n">
        <v>1</v>
      </c>
      <c r="I172" t="n">
        <v>0</v>
      </c>
      <c r="J172" t="n">
        <v>0</v>
      </c>
      <c r="K172" t="n">
        <v>0</v>
      </c>
      <c r="L172" t="n">
        <v>0</v>
      </c>
      <c r="M172" t="n">
        <v>0</v>
      </c>
      <c r="N172" t="n">
        <v>0</v>
      </c>
      <c r="O172" t="n">
        <v>0</v>
      </c>
      <c r="P172" t="n">
        <v>0</v>
      </c>
      <c r="Q172" t="n">
        <v>1</v>
      </c>
      <c r="R172" s="2" t="inlineStr">
        <is>
          <t>Revlummer</t>
        </is>
      </c>
      <c r="S172">
        <f>HYPERLINK("https://klasma.github.io/Logging_0380/artfynd/A 2729-2024 artfynd.xlsx", "A 2729-2024")</f>
        <v/>
      </c>
      <c r="T172">
        <f>HYPERLINK("https://klasma.github.io/Logging_0380/kartor/A 2729-2024 karta.png", "A 2729-2024")</f>
        <v/>
      </c>
      <c r="V172">
        <f>HYPERLINK("https://klasma.github.io/Logging_0380/klagomål/A 2729-2024 FSC-klagomål.docx", "A 2729-2024")</f>
        <v/>
      </c>
      <c r="W172">
        <f>HYPERLINK("https://klasma.github.io/Logging_0380/klagomålsmail/A 2729-2024 FSC-klagomål mail.docx", "A 2729-2024")</f>
        <v/>
      </c>
      <c r="X172">
        <f>HYPERLINK("https://klasma.github.io/Logging_0380/tillsyn/A 2729-2024 tillsynsbegäran.docx", "A 2729-2024")</f>
        <v/>
      </c>
      <c r="Y172">
        <f>HYPERLINK("https://klasma.github.io/Logging_0380/tillsynsmail/A 2729-2024 tillsynsbegäran mail.docx", "A 2729-2024")</f>
        <v/>
      </c>
    </row>
    <row r="173" ht="15" customHeight="1">
      <c r="A173" t="inlineStr">
        <is>
          <t>A 5972-2024</t>
        </is>
      </c>
      <c r="B173" s="1" t="n">
        <v>45336</v>
      </c>
      <c r="C173" s="1" t="n">
        <v>45723</v>
      </c>
      <c r="D173" t="inlineStr">
        <is>
          <t>UPPSALA LÄN</t>
        </is>
      </c>
      <c r="E173" t="inlineStr">
        <is>
          <t>UPPSALA</t>
        </is>
      </c>
      <c r="G173" t="n">
        <v>1.6</v>
      </c>
      <c r="H173" t="n">
        <v>1</v>
      </c>
      <c r="I173" t="n">
        <v>0</v>
      </c>
      <c r="J173" t="n">
        <v>0</v>
      </c>
      <c r="K173" t="n">
        <v>0</v>
      </c>
      <c r="L173" t="n">
        <v>0</v>
      </c>
      <c r="M173" t="n">
        <v>0</v>
      </c>
      <c r="N173" t="n">
        <v>0</v>
      </c>
      <c r="O173" t="n">
        <v>0</v>
      </c>
      <c r="P173" t="n">
        <v>0</v>
      </c>
      <c r="Q173" t="n">
        <v>1</v>
      </c>
      <c r="R173" s="2" t="inlineStr">
        <is>
          <t>Sparvuggla</t>
        </is>
      </c>
      <c r="S173">
        <f>HYPERLINK("https://klasma.github.io/Logging_0380/artfynd/A 5972-2024 artfynd.xlsx", "A 5972-2024")</f>
        <v/>
      </c>
      <c r="T173">
        <f>HYPERLINK("https://klasma.github.io/Logging_0380/kartor/A 5972-2024 karta.png", "A 5972-2024")</f>
        <v/>
      </c>
      <c r="V173">
        <f>HYPERLINK("https://klasma.github.io/Logging_0380/klagomål/A 5972-2024 FSC-klagomål.docx", "A 5972-2024")</f>
        <v/>
      </c>
      <c r="W173">
        <f>HYPERLINK("https://klasma.github.io/Logging_0380/klagomålsmail/A 5972-2024 FSC-klagomål mail.docx", "A 5972-2024")</f>
        <v/>
      </c>
      <c r="X173">
        <f>HYPERLINK("https://klasma.github.io/Logging_0380/tillsyn/A 5972-2024 tillsynsbegäran.docx", "A 5972-2024")</f>
        <v/>
      </c>
      <c r="Y173">
        <f>HYPERLINK("https://klasma.github.io/Logging_0380/tillsynsmail/A 5972-2024 tillsynsbegäran mail.docx", "A 5972-2024")</f>
        <v/>
      </c>
      <c r="Z173">
        <f>HYPERLINK("https://klasma.github.io/Logging_0380/fåglar/A 5972-2024 prioriterade fågelarter.docx", "A 5972-2024")</f>
        <v/>
      </c>
    </row>
    <row r="174" ht="15" customHeight="1">
      <c r="A174" t="inlineStr">
        <is>
          <t>A 6044-2024</t>
        </is>
      </c>
      <c r="B174" s="1" t="n">
        <v>45336</v>
      </c>
      <c r="C174" s="1" t="n">
        <v>45723</v>
      </c>
      <c r="D174" t="inlineStr">
        <is>
          <t>UPPSALA LÄN</t>
        </is>
      </c>
      <c r="E174" t="inlineStr">
        <is>
          <t>UPPSALA</t>
        </is>
      </c>
      <c r="F174" t="inlineStr">
        <is>
          <t>Holmen skog AB</t>
        </is>
      </c>
      <c r="G174" t="n">
        <v>7.4</v>
      </c>
      <c r="H174" t="n">
        <v>0</v>
      </c>
      <c r="I174" t="n">
        <v>0</v>
      </c>
      <c r="J174" t="n">
        <v>1</v>
      </c>
      <c r="K174" t="n">
        <v>0</v>
      </c>
      <c r="L174" t="n">
        <v>0</v>
      </c>
      <c r="M174" t="n">
        <v>0</v>
      </c>
      <c r="N174" t="n">
        <v>0</v>
      </c>
      <c r="O174" t="n">
        <v>1</v>
      </c>
      <c r="P174" t="n">
        <v>0</v>
      </c>
      <c r="Q174" t="n">
        <v>1</v>
      </c>
      <c r="R174" s="2" t="inlineStr">
        <is>
          <t>Gul dropplav</t>
        </is>
      </c>
      <c r="S174">
        <f>HYPERLINK("https://klasma.github.io/Logging_0380/artfynd/A 6044-2024 artfynd.xlsx", "A 6044-2024")</f>
        <v/>
      </c>
      <c r="T174">
        <f>HYPERLINK("https://klasma.github.io/Logging_0380/kartor/A 6044-2024 karta.png", "A 6044-2024")</f>
        <v/>
      </c>
      <c r="V174">
        <f>HYPERLINK("https://klasma.github.io/Logging_0380/klagomål/A 6044-2024 FSC-klagomål.docx", "A 6044-2024")</f>
        <v/>
      </c>
      <c r="W174">
        <f>HYPERLINK("https://klasma.github.io/Logging_0380/klagomålsmail/A 6044-2024 FSC-klagomål mail.docx", "A 6044-2024")</f>
        <v/>
      </c>
      <c r="X174">
        <f>HYPERLINK("https://klasma.github.io/Logging_0380/tillsyn/A 6044-2024 tillsynsbegäran.docx", "A 6044-2024")</f>
        <v/>
      </c>
      <c r="Y174">
        <f>HYPERLINK("https://klasma.github.io/Logging_0380/tillsynsmail/A 6044-2024 tillsynsbegäran mail.docx", "A 6044-2024")</f>
        <v/>
      </c>
    </row>
    <row r="175" ht="15" customHeight="1">
      <c r="A175" t="inlineStr">
        <is>
          <t>A 7395-2024</t>
        </is>
      </c>
      <c r="B175" s="1" t="n">
        <v>45345</v>
      </c>
      <c r="C175" s="1" t="n">
        <v>45723</v>
      </c>
      <c r="D175" t="inlineStr">
        <is>
          <t>UPPSALA LÄN</t>
        </is>
      </c>
      <c r="E175" t="inlineStr">
        <is>
          <t>UPPSALA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HYPERLINK("https://klasma.github.io/Logging_0380/artfynd/A 7395-2024 artfynd.xlsx", "A 7395-2024")</f>
        <v/>
      </c>
      <c r="T175">
        <f>HYPERLINK("https://klasma.github.io/Logging_0380/kartor/A 7395-2024 karta.png", "A 7395-2024")</f>
        <v/>
      </c>
      <c r="U175">
        <f>HYPERLINK("https://klasma.github.io/Logging_0380/knärot/A 7395-2024 karta knärot.png", "A 7395-2024")</f>
        <v/>
      </c>
      <c r="V175">
        <f>HYPERLINK("https://klasma.github.io/Logging_0380/klagomål/A 7395-2024 FSC-klagomål.docx", "A 7395-2024")</f>
        <v/>
      </c>
      <c r="W175">
        <f>HYPERLINK("https://klasma.github.io/Logging_0380/klagomålsmail/A 7395-2024 FSC-klagomål mail.docx", "A 7395-2024")</f>
        <v/>
      </c>
      <c r="X175">
        <f>HYPERLINK("https://klasma.github.io/Logging_0380/tillsyn/A 7395-2024 tillsynsbegäran.docx", "A 7395-2024")</f>
        <v/>
      </c>
      <c r="Y175">
        <f>HYPERLINK("https://klasma.github.io/Logging_0380/tillsynsmail/A 7395-2024 tillsynsbegäran mail.docx", "A 7395-2024")</f>
        <v/>
      </c>
    </row>
    <row r="176" ht="15" customHeight="1">
      <c r="A176" t="inlineStr">
        <is>
          <t>A 7397-2024</t>
        </is>
      </c>
      <c r="B176" s="1" t="n">
        <v>45345</v>
      </c>
      <c r="C176" s="1" t="n">
        <v>45723</v>
      </c>
      <c r="D176" t="inlineStr">
        <is>
          <t>UPPSALA LÄN</t>
        </is>
      </c>
      <c r="E176" t="inlineStr">
        <is>
          <t>UPPSALA</t>
        </is>
      </c>
      <c r="G176" t="n">
        <v>3.4</v>
      </c>
      <c r="H176" t="n">
        <v>0</v>
      </c>
      <c r="I176" t="n">
        <v>1</v>
      </c>
      <c r="J176" t="n">
        <v>0</v>
      </c>
      <c r="K176" t="n">
        <v>0</v>
      </c>
      <c r="L176" t="n">
        <v>0</v>
      </c>
      <c r="M176" t="n">
        <v>0</v>
      </c>
      <c r="N176" t="n">
        <v>0</v>
      </c>
      <c r="O176" t="n">
        <v>0</v>
      </c>
      <c r="P176" t="n">
        <v>0</v>
      </c>
      <c r="Q176" t="n">
        <v>1</v>
      </c>
      <c r="R176" s="2" t="inlineStr">
        <is>
          <t>Svavelriska</t>
        </is>
      </c>
      <c r="S176">
        <f>HYPERLINK("https://klasma.github.io/Logging_0380/artfynd/A 7397-2024 artfynd.xlsx", "A 7397-2024")</f>
        <v/>
      </c>
      <c r="T176">
        <f>HYPERLINK("https://klasma.github.io/Logging_0380/kartor/A 7397-2024 karta.png", "A 7397-2024")</f>
        <v/>
      </c>
      <c r="U176">
        <f>HYPERLINK("https://klasma.github.io/Logging_0380/knärot/A 7397-2024 karta knärot.png", "A 7397-2024")</f>
        <v/>
      </c>
      <c r="V176">
        <f>HYPERLINK("https://klasma.github.io/Logging_0380/klagomål/A 7397-2024 FSC-klagomål.docx", "A 7397-2024")</f>
        <v/>
      </c>
      <c r="W176">
        <f>HYPERLINK("https://klasma.github.io/Logging_0380/klagomålsmail/A 7397-2024 FSC-klagomål mail.docx", "A 7397-2024")</f>
        <v/>
      </c>
      <c r="X176">
        <f>HYPERLINK("https://klasma.github.io/Logging_0380/tillsyn/A 7397-2024 tillsynsbegäran.docx", "A 7397-2024")</f>
        <v/>
      </c>
      <c r="Y176">
        <f>HYPERLINK("https://klasma.github.io/Logging_0380/tillsynsmail/A 7397-2024 tillsynsbegäran mail.docx", "A 7397-2024")</f>
        <v/>
      </c>
    </row>
    <row r="177" ht="15" customHeight="1">
      <c r="A177" t="inlineStr">
        <is>
          <t>A 8398-2024</t>
        </is>
      </c>
      <c r="B177" s="1" t="n">
        <v>45352</v>
      </c>
      <c r="C177" s="1" t="n">
        <v>45723</v>
      </c>
      <c r="D177" t="inlineStr">
        <is>
          <t>UPPSALA LÄN</t>
        </is>
      </c>
      <c r="E177" t="inlineStr">
        <is>
          <t>UPPSALA</t>
        </is>
      </c>
      <c r="G177" t="n">
        <v>6.2</v>
      </c>
      <c r="H177" t="n">
        <v>1</v>
      </c>
      <c r="I177" t="n">
        <v>0</v>
      </c>
      <c r="J177" t="n">
        <v>0</v>
      </c>
      <c r="K177" t="n">
        <v>0</v>
      </c>
      <c r="L177" t="n">
        <v>0</v>
      </c>
      <c r="M177" t="n">
        <v>0</v>
      </c>
      <c r="N177" t="n">
        <v>0</v>
      </c>
      <c r="O177" t="n">
        <v>0</v>
      </c>
      <c r="P177" t="n">
        <v>0</v>
      </c>
      <c r="Q177" t="n">
        <v>1</v>
      </c>
      <c r="R177" s="2" t="inlineStr">
        <is>
          <t>Tjäder</t>
        </is>
      </c>
      <c r="S177">
        <f>HYPERLINK("https://klasma.github.io/Logging_0380/artfynd/A 8398-2024 artfynd.xlsx", "A 8398-2024")</f>
        <v/>
      </c>
      <c r="T177">
        <f>HYPERLINK("https://klasma.github.io/Logging_0380/kartor/A 8398-2024 karta.png", "A 8398-2024")</f>
        <v/>
      </c>
      <c r="V177">
        <f>HYPERLINK("https://klasma.github.io/Logging_0380/klagomål/A 8398-2024 FSC-klagomål.docx", "A 8398-2024")</f>
        <v/>
      </c>
      <c r="W177">
        <f>HYPERLINK("https://klasma.github.io/Logging_0380/klagomålsmail/A 8398-2024 FSC-klagomål mail.docx", "A 8398-2024")</f>
        <v/>
      </c>
      <c r="X177">
        <f>HYPERLINK("https://klasma.github.io/Logging_0380/tillsyn/A 8398-2024 tillsynsbegäran.docx", "A 8398-2024")</f>
        <v/>
      </c>
      <c r="Y177">
        <f>HYPERLINK("https://klasma.github.io/Logging_0380/tillsynsmail/A 8398-2024 tillsynsbegäran mail.docx", "A 8398-2024")</f>
        <v/>
      </c>
      <c r="Z177">
        <f>HYPERLINK("https://klasma.github.io/Logging_0380/fåglar/A 8398-2024 prioriterade fågelarter.docx", "A 8398-2024")</f>
        <v/>
      </c>
    </row>
    <row r="178" ht="15" customHeight="1">
      <c r="A178" t="inlineStr">
        <is>
          <t>A 9206-2024</t>
        </is>
      </c>
      <c r="B178" s="1" t="n">
        <v>45358</v>
      </c>
      <c r="C178" s="1" t="n">
        <v>45723</v>
      </c>
      <c r="D178" t="inlineStr">
        <is>
          <t>UPPSALA LÄN</t>
        </is>
      </c>
      <c r="E178" t="inlineStr">
        <is>
          <t>UPPSALA</t>
        </is>
      </c>
      <c r="F178" t="inlineStr">
        <is>
          <t>Allmännings- och besparingsskogar</t>
        </is>
      </c>
      <c r="G178" t="n">
        <v>22.2</v>
      </c>
      <c r="H178" t="n">
        <v>1</v>
      </c>
      <c r="I178" t="n">
        <v>0</v>
      </c>
      <c r="J178" t="n">
        <v>0</v>
      </c>
      <c r="K178" t="n">
        <v>1</v>
      </c>
      <c r="L178" t="n">
        <v>0</v>
      </c>
      <c r="M178" t="n">
        <v>0</v>
      </c>
      <c r="N178" t="n">
        <v>0</v>
      </c>
      <c r="O178" t="n">
        <v>1</v>
      </c>
      <c r="P178" t="n">
        <v>1</v>
      </c>
      <c r="Q178" t="n">
        <v>1</v>
      </c>
      <c r="R178" s="2" t="inlineStr">
        <is>
          <t>Knärot</t>
        </is>
      </c>
      <c r="S178">
        <f>HYPERLINK("https://klasma.github.io/Logging_0380/artfynd/A 9206-2024 artfynd.xlsx", "A 9206-2024")</f>
        <v/>
      </c>
      <c r="T178">
        <f>HYPERLINK("https://klasma.github.io/Logging_0380/kartor/A 9206-2024 karta.png", "A 9206-2024")</f>
        <v/>
      </c>
      <c r="U178">
        <f>HYPERLINK("https://klasma.github.io/Logging_0380/knärot/A 9206-2024 karta knärot.png", "A 9206-2024")</f>
        <v/>
      </c>
      <c r="V178">
        <f>HYPERLINK("https://klasma.github.io/Logging_0380/klagomål/A 9206-2024 FSC-klagomål.docx", "A 9206-2024")</f>
        <v/>
      </c>
      <c r="W178">
        <f>HYPERLINK("https://klasma.github.io/Logging_0380/klagomålsmail/A 9206-2024 FSC-klagomål mail.docx", "A 9206-2024")</f>
        <v/>
      </c>
      <c r="X178">
        <f>HYPERLINK("https://klasma.github.io/Logging_0380/tillsyn/A 9206-2024 tillsynsbegäran.docx", "A 9206-2024")</f>
        <v/>
      </c>
      <c r="Y178">
        <f>HYPERLINK("https://klasma.github.io/Logging_0380/tillsynsmail/A 9206-2024 tillsynsbegäran mail.docx", "A 9206-2024")</f>
        <v/>
      </c>
    </row>
    <row r="179" ht="15" customHeight="1">
      <c r="A179" t="inlineStr">
        <is>
          <t>A 13093-2024</t>
        </is>
      </c>
      <c r="B179" s="1" t="n">
        <v>45385</v>
      </c>
      <c r="C179" s="1" t="n">
        <v>45723</v>
      </c>
      <c r="D179" t="inlineStr">
        <is>
          <t>UPPSALA LÄN</t>
        </is>
      </c>
      <c r="E179" t="inlineStr">
        <is>
          <t>UPPSALA</t>
        </is>
      </c>
      <c r="G179" t="n">
        <v>1.1</v>
      </c>
      <c r="H179" t="n">
        <v>1</v>
      </c>
      <c r="I179" t="n">
        <v>1</v>
      </c>
      <c r="J179" t="n">
        <v>0</v>
      </c>
      <c r="K179" t="n">
        <v>0</v>
      </c>
      <c r="L179" t="n">
        <v>0</v>
      </c>
      <c r="M179" t="n">
        <v>0</v>
      </c>
      <c r="N179" t="n">
        <v>0</v>
      </c>
      <c r="O179" t="n">
        <v>0</v>
      </c>
      <c r="P179" t="n">
        <v>0</v>
      </c>
      <c r="Q179" t="n">
        <v>1</v>
      </c>
      <c r="R179" s="2" t="inlineStr">
        <is>
          <t>Skogsknipprot</t>
        </is>
      </c>
      <c r="S179">
        <f>HYPERLINK("https://klasma.github.io/Logging_0380/artfynd/A 13093-2024 artfynd.xlsx", "A 13093-2024")</f>
        <v/>
      </c>
      <c r="T179">
        <f>HYPERLINK("https://klasma.github.io/Logging_0380/kartor/A 13093-2024 karta.png", "A 13093-2024")</f>
        <v/>
      </c>
      <c r="V179">
        <f>HYPERLINK("https://klasma.github.io/Logging_0380/klagomål/A 13093-2024 FSC-klagomål.docx", "A 13093-2024")</f>
        <v/>
      </c>
      <c r="W179">
        <f>HYPERLINK("https://klasma.github.io/Logging_0380/klagomålsmail/A 13093-2024 FSC-klagomål mail.docx", "A 13093-2024")</f>
        <v/>
      </c>
      <c r="X179">
        <f>HYPERLINK("https://klasma.github.io/Logging_0380/tillsyn/A 13093-2024 tillsynsbegäran.docx", "A 13093-2024")</f>
        <v/>
      </c>
      <c r="Y179">
        <f>HYPERLINK("https://klasma.github.io/Logging_0380/tillsynsmail/A 13093-2024 tillsynsbegäran mail.docx", "A 13093-2024")</f>
        <v/>
      </c>
    </row>
    <row r="180" ht="15" customHeight="1">
      <c r="A180" t="inlineStr">
        <is>
          <t>A 13661-2024</t>
        </is>
      </c>
      <c r="B180" s="1" t="n">
        <v>45390</v>
      </c>
      <c r="C180" s="1" t="n">
        <v>45723</v>
      </c>
      <c r="D180" t="inlineStr">
        <is>
          <t>UPPSALA LÄN</t>
        </is>
      </c>
      <c r="E180" t="inlineStr">
        <is>
          <t>UPPSALA</t>
        </is>
      </c>
      <c r="F180" t="inlineStr">
        <is>
          <t>Holmen skog AB</t>
        </is>
      </c>
      <c r="G180" t="n">
        <v>3.7</v>
      </c>
      <c r="H180" t="n">
        <v>0</v>
      </c>
      <c r="I180" t="n">
        <v>0</v>
      </c>
      <c r="J180" t="n">
        <v>1</v>
      </c>
      <c r="K180" t="n">
        <v>0</v>
      </c>
      <c r="L180" t="n">
        <v>0</v>
      </c>
      <c r="M180" t="n">
        <v>0</v>
      </c>
      <c r="N180" t="n">
        <v>0</v>
      </c>
      <c r="O180" t="n">
        <v>1</v>
      </c>
      <c r="P180" t="n">
        <v>0</v>
      </c>
      <c r="Q180" t="n">
        <v>1</v>
      </c>
      <c r="R180" s="2" t="inlineStr">
        <is>
          <t>Skogsklocka</t>
        </is>
      </c>
      <c r="S180">
        <f>HYPERLINK("https://klasma.github.io/Logging_0380/artfynd/A 13661-2024 artfynd.xlsx", "A 13661-2024")</f>
        <v/>
      </c>
      <c r="T180">
        <f>HYPERLINK("https://klasma.github.io/Logging_0380/kartor/A 13661-2024 karta.png", "A 13661-2024")</f>
        <v/>
      </c>
      <c r="V180">
        <f>HYPERLINK("https://klasma.github.io/Logging_0380/klagomål/A 13661-2024 FSC-klagomål.docx", "A 13661-2024")</f>
        <v/>
      </c>
      <c r="W180">
        <f>HYPERLINK("https://klasma.github.io/Logging_0380/klagomålsmail/A 13661-2024 FSC-klagomål mail.docx", "A 13661-2024")</f>
        <v/>
      </c>
      <c r="X180">
        <f>HYPERLINK("https://klasma.github.io/Logging_0380/tillsyn/A 13661-2024 tillsynsbegäran.docx", "A 13661-2024")</f>
        <v/>
      </c>
      <c r="Y180">
        <f>HYPERLINK("https://klasma.github.io/Logging_0380/tillsynsmail/A 13661-2024 tillsynsbegäran mail.docx", "A 13661-2024")</f>
        <v/>
      </c>
    </row>
    <row r="181" ht="15" customHeight="1">
      <c r="A181" t="inlineStr">
        <is>
          <t>A 18348-2024</t>
        </is>
      </c>
      <c r="B181" s="1" t="n">
        <v>45422</v>
      </c>
      <c r="C181" s="1" t="n">
        <v>45723</v>
      </c>
      <c r="D181" t="inlineStr">
        <is>
          <t>UPPSALA LÄN</t>
        </is>
      </c>
      <c r="E181" t="inlineStr">
        <is>
          <t>UPPSALA</t>
        </is>
      </c>
      <c r="F181" t="inlineStr">
        <is>
          <t>Holmen skog AB</t>
        </is>
      </c>
      <c r="G181" t="n">
        <v>2.8</v>
      </c>
      <c r="H181" t="n">
        <v>0</v>
      </c>
      <c r="I181" t="n">
        <v>0</v>
      </c>
      <c r="J181" t="n">
        <v>1</v>
      </c>
      <c r="K181" t="n">
        <v>0</v>
      </c>
      <c r="L181" t="n">
        <v>0</v>
      </c>
      <c r="M181" t="n">
        <v>0</v>
      </c>
      <c r="N181" t="n">
        <v>0</v>
      </c>
      <c r="O181" t="n">
        <v>1</v>
      </c>
      <c r="P181" t="n">
        <v>0</v>
      </c>
      <c r="Q181" t="n">
        <v>1</v>
      </c>
      <c r="R181" s="2" t="inlineStr">
        <is>
          <t>Granticka</t>
        </is>
      </c>
      <c r="S181">
        <f>HYPERLINK("https://klasma.github.io/Logging_0380/artfynd/A 18348-2024 artfynd.xlsx", "A 18348-2024")</f>
        <v/>
      </c>
      <c r="T181">
        <f>HYPERLINK("https://klasma.github.io/Logging_0380/kartor/A 18348-2024 karta.png", "A 18348-2024")</f>
        <v/>
      </c>
      <c r="V181">
        <f>HYPERLINK("https://klasma.github.io/Logging_0380/klagomål/A 18348-2024 FSC-klagomål.docx", "A 18348-2024")</f>
        <v/>
      </c>
      <c r="W181">
        <f>HYPERLINK("https://klasma.github.io/Logging_0380/klagomålsmail/A 18348-2024 FSC-klagomål mail.docx", "A 18348-2024")</f>
        <v/>
      </c>
      <c r="X181">
        <f>HYPERLINK("https://klasma.github.io/Logging_0380/tillsyn/A 18348-2024 tillsynsbegäran.docx", "A 18348-2024")</f>
        <v/>
      </c>
      <c r="Y181">
        <f>HYPERLINK("https://klasma.github.io/Logging_0380/tillsynsmail/A 18348-2024 tillsynsbegäran mail.docx", "A 18348-2024")</f>
        <v/>
      </c>
    </row>
    <row r="182" ht="15" customHeight="1">
      <c r="A182" t="inlineStr">
        <is>
          <t>A 18509-2024</t>
        </is>
      </c>
      <c r="B182" s="1" t="n">
        <v>45425</v>
      </c>
      <c r="C182" s="1" t="n">
        <v>45723</v>
      </c>
      <c r="D182" t="inlineStr">
        <is>
          <t>UPPSALA LÄN</t>
        </is>
      </c>
      <c r="E182" t="inlineStr">
        <is>
          <t>UPPSALA</t>
        </is>
      </c>
      <c r="G182" t="n">
        <v>4</v>
      </c>
      <c r="H182" t="n">
        <v>0</v>
      </c>
      <c r="I182" t="n">
        <v>1</v>
      </c>
      <c r="J182" t="n">
        <v>0</v>
      </c>
      <c r="K182" t="n">
        <v>0</v>
      </c>
      <c r="L182" t="n">
        <v>0</v>
      </c>
      <c r="M182" t="n">
        <v>0</v>
      </c>
      <c r="N182" t="n">
        <v>0</v>
      </c>
      <c r="O182" t="n">
        <v>0</v>
      </c>
      <c r="P182" t="n">
        <v>0</v>
      </c>
      <c r="Q182" t="n">
        <v>1</v>
      </c>
      <c r="R182" s="2" t="inlineStr">
        <is>
          <t>Fällmossa</t>
        </is>
      </c>
      <c r="S182">
        <f>HYPERLINK("https://klasma.github.io/Logging_0380/artfynd/A 18509-2024 artfynd.xlsx", "A 18509-2024")</f>
        <v/>
      </c>
      <c r="T182">
        <f>HYPERLINK("https://klasma.github.io/Logging_0380/kartor/A 18509-2024 karta.png", "A 18509-2024")</f>
        <v/>
      </c>
      <c r="V182">
        <f>HYPERLINK("https://klasma.github.io/Logging_0380/klagomål/A 18509-2024 FSC-klagomål.docx", "A 18509-2024")</f>
        <v/>
      </c>
      <c r="W182">
        <f>HYPERLINK("https://klasma.github.io/Logging_0380/klagomålsmail/A 18509-2024 FSC-klagomål mail.docx", "A 18509-2024")</f>
        <v/>
      </c>
      <c r="X182">
        <f>HYPERLINK("https://klasma.github.io/Logging_0380/tillsyn/A 18509-2024 tillsynsbegäran.docx", "A 18509-2024")</f>
        <v/>
      </c>
      <c r="Y182">
        <f>HYPERLINK("https://klasma.github.io/Logging_0380/tillsynsmail/A 18509-2024 tillsynsbegäran mail.docx", "A 18509-2024")</f>
        <v/>
      </c>
    </row>
    <row r="183" ht="15" customHeight="1">
      <c r="A183" t="inlineStr">
        <is>
          <t>A 21671-2024</t>
        </is>
      </c>
      <c r="B183" s="1" t="n">
        <v>45442</v>
      </c>
      <c r="C183" s="1" t="n">
        <v>45723</v>
      </c>
      <c r="D183" t="inlineStr">
        <is>
          <t>UPPSALA LÄN</t>
        </is>
      </c>
      <c r="E183" t="inlineStr">
        <is>
          <t>UPPSALA</t>
        </is>
      </c>
      <c r="G183" t="n">
        <v>3.7</v>
      </c>
      <c r="H183" t="n">
        <v>1</v>
      </c>
      <c r="I183" t="n">
        <v>0</v>
      </c>
      <c r="J183" t="n">
        <v>0</v>
      </c>
      <c r="K183" t="n">
        <v>1</v>
      </c>
      <c r="L183" t="n">
        <v>0</v>
      </c>
      <c r="M183" t="n">
        <v>0</v>
      </c>
      <c r="N183" t="n">
        <v>0</v>
      </c>
      <c r="O183" t="n">
        <v>1</v>
      </c>
      <c r="P183" t="n">
        <v>1</v>
      </c>
      <c r="Q183" t="n">
        <v>1</v>
      </c>
      <c r="R183" s="2" t="inlineStr">
        <is>
          <t>Knärot</t>
        </is>
      </c>
      <c r="S183">
        <f>HYPERLINK("https://klasma.github.io/Logging_0380/artfynd/A 21671-2024 artfynd.xlsx", "A 21671-2024")</f>
        <v/>
      </c>
      <c r="T183">
        <f>HYPERLINK("https://klasma.github.io/Logging_0380/kartor/A 21671-2024 karta.png", "A 21671-2024")</f>
        <v/>
      </c>
      <c r="U183">
        <f>HYPERLINK("https://klasma.github.io/Logging_0380/knärot/A 21671-2024 karta knärot.png", "A 21671-2024")</f>
        <v/>
      </c>
      <c r="V183">
        <f>HYPERLINK("https://klasma.github.io/Logging_0380/klagomål/A 21671-2024 FSC-klagomål.docx", "A 21671-2024")</f>
        <v/>
      </c>
      <c r="W183">
        <f>HYPERLINK("https://klasma.github.io/Logging_0380/klagomålsmail/A 21671-2024 FSC-klagomål mail.docx", "A 21671-2024")</f>
        <v/>
      </c>
      <c r="X183">
        <f>HYPERLINK("https://klasma.github.io/Logging_0380/tillsyn/A 21671-2024 tillsynsbegäran.docx", "A 21671-2024")</f>
        <v/>
      </c>
      <c r="Y183">
        <f>HYPERLINK("https://klasma.github.io/Logging_0380/tillsynsmail/A 21671-2024 tillsynsbegäran mail.docx", "A 21671-2024")</f>
        <v/>
      </c>
    </row>
    <row r="184" ht="15" customHeight="1">
      <c r="A184" t="inlineStr">
        <is>
          <t>A 23321-2024</t>
        </is>
      </c>
      <c r="B184" s="1" t="n">
        <v>45453</v>
      </c>
      <c r="C184" s="1" t="n">
        <v>45723</v>
      </c>
      <c r="D184" t="inlineStr">
        <is>
          <t>UPPSALA LÄN</t>
        </is>
      </c>
      <c r="E184" t="inlineStr">
        <is>
          <t>UPPSALA</t>
        </is>
      </c>
      <c r="G184" t="n">
        <v>11.8</v>
      </c>
      <c r="H184" t="n">
        <v>1</v>
      </c>
      <c r="I184" t="n">
        <v>0</v>
      </c>
      <c r="J184" t="n">
        <v>1</v>
      </c>
      <c r="K184" t="n">
        <v>0</v>
      </c>
      <c r="L184" t="n">
        <v>0</v>
      </c>
      <c r="M184" t="n">
        <v>0</v>
      </c>
      <c r="N184" t="n">
        <v>0</v>
      </c>
      <c r="O184" t="n">
        <v>1</v>
      </c>
      <c r="P184" t="n">
        <v>0</v>
      </c>
      <c r="Q184" t="n">
        <v>1</v>
      </c>
      <c r="R184" s="2" t="inlineStr">
        <is>
          <t>Talltita</t>
        </is>
      </c>
      <c r="S184">
        <f>HYPERLINK("https://klasma.github.io/Logging_0380/artfynd/A 23321-2024 artfynd.xlsx", "A 23321-2024")</f>
        <v/>
      </c>
      <c r="T184">
        <f>HYPERLINK("https://klasma.github.io/Logging_0380/kartor/A 23321-2024 karta.png", "A 23321-2024")</f>
        <v/>
      </c>
      <c r="U184">
        <f>HYPERLINK("https://klasma.github.io/Logging_0380/knärot/A 23321-2024 karta knärot.png", "A 23321-2024")</f>
        <v/>
      </c>
      <c r="V184">
        <f>HYPERLINK("https://klasma.github.io/Logging_0380/klagomål/A 23321-2024 FSC-klagomål.docx", "A 23321-2024")</f>
        <v/>
      </c>
      <c r="W184">
        <f>HYPERLINK("https://klasma.github.io/Logging_0380/klagomålsmail/A 23321-2024 FSC-klagomål mail.docx", "A 23321-2024")</f>
        <v/>
      </c>
      <c r="X184">
        <f>HYPERLINK("https://klasma.github.io/Logging_0380/tillsyn/A 23321-2024 tillsynsbegäran.docx", "A 23321-2024")</f>
        <v/>
      </c>
      <c r="Y184">
        <f>HYPERLINK("https://klasma.github.io/Logging_0380/tillsynsmail/A 23321-2024 tillsynsbegäran mail.docx", "A 23321-2024")</f>
        <v/>
      </c>
      <c r="Z184">
        <f>HYPERLINK("https://klasma.github.io/Logging_0380/fåglar/A 23321-2024 prioriterade fågelarter.docx", "A 23321-2024")</f>
        <v/>
      </c>
    </row>
    <row r="185" ht="15" customHeight="1">
      <c r="A185" t="inlineStr">
        <is>
          <t>A 25482-2024</t>
        </is>
      </c>
      <c r="B185" s="1" t="n">
        <v>45463</v>
      </c>
      <c r="C185" s="1" t="n">
        <v>45723</v>
      </c>
      <c r="D185" t="inlineStr">
        <is>
          <t>UPPSALA LÄN</t>
        </is>
      </c>
      <c r="E185" t="inlineStr">
        <is>
          <t>UPPSALA</t>
        </is>
      </c>
      <c r="F185" t="inlineStr">
        <is>
          <t>Övriga Aktiebolag</t>
        </is>
      </c>
      <c r="G185" t="n">
        <v>1</v>
      </c>
      <c r="H185" t="n">
        <v>0</v>
      </c>
      <c r="I185" t="n">
        <v>1</v>
      </c>
      <c r="J185" t="n">
        <v>0</v>
      </c>
      <c r="K185" t="n">
        <v>0</v>
      </c>
      <c r="L185" t="n">
        <v>0</v>
      </c>
      <c r="M185" t="n">
        <v>0</v>
      </c>
      <c r="N185" t="n">
        <v>0</v>
      </c>
      <c r="O185" t="n">
        <v>0</v>
      </c>
      <c r="P185" t="n">
        <v>0</v>
      </c>
      <c r="Q185" t="n">
        <v>1</v>
      </c>
      <c r="R185" s="2" t="inlineStr">
        <is>
          <t>Stor aspticka</t>
        </is>
      </c>
      <c r="S185">
        <f>HYPERLINK("https://klasma.github.io/Logging_0380/artfynd/A 25482-2024 artfynd.xlsx", "A 25482-2024")</f>
        <v/>
      </c>
      <c r="T185">
        <f>HYPERLINK("https://klasma.github.io/Logging_0380/kartor/A 25482-2024 karta.png", "A 25482-2024")</f>
        <v/>
      </c>
      <c r="V185">
        <f>HYPERLINK("https://klasma.github.io/Logging_0380/klagomål/A 25482-2024 FSC-klagomål.docx", "A 25482-2024")</f>
        <v/>
      </c>
      <c r="W185">
        <f>HYPERLINK("https://klasma.github.io/Logging_0380/klagomålsmail/A 25482-2024 FSC-klagomål mail.docx", "A 25482-2024")</f>
        <v/>
      </c>
      <c r="X185">
        <f>HYPERLINK("https://klasma.github.io/Logging_0380/tillsyn/A 25482-2024 tillsynsbegäran.docx", "A 25482-2024")</f>
        <v/>
      </c>
      <c r="Y185">
        <f>HYPERLINK("https://klasma.github.io/Logging_0380/tillsynsmail/A 25482-2024 tillsynsbegäran mail.docx", "A 25482-2024")</f>
        <v/>
      </c>
    </row>
    <row r="186" ht="15" customHeight="1">
      <c r="A186" t="inlineStr">
        <is>
          <t>A 25729-2024</t>
        </is>
      </c>
      <c r="B186" s="1" t="n">
        <v>45464</v>
      </c>
      <c r="C186" s="1" t="n">
        <v>45723</v>
      </c>
      <c r="D186" t="inlineStr">
        <is>
          <t>UPPSALA LÄN</t>
        </is>
      </c>
      <c r="E186" t="inlineStr">
        <is>
          <t>UPPSALA</t>
        </is>
      </c>
      <c r="G186" t="n">
        <v>22.3</v>
      </c>
      <c r="H186" t="n">
        <v>0</v>
      </c>
      <c r="I186" t="n">
        <v>0</v>
      </c>
      <c r="J186" t="n">
        <v>1</v>
      </c>
      <c r="K186" t="n">
        <v>0</v>
      </c>
      <c r="L186" t="n">
        <v>0</v>
      </c>
      <c r="M186" t="n">
        <v>0</v>
      </c>
      <c r="N186" t="n">
        <v>0</v>
      </c>
      <c r="O186" t="n">
        <v>1</v>
      </c>
      <c r="P186" t="n">
        <v>0</v>
      </c>
      <c r="Q186" t="n">
        <v>1</v>
      </c>
      <c r="R186" s="2" t="inlineStr">
        <is>
          <t>Ullticka</t>
        </is>
      </c>
      <c r="S186">
        <f>HYPERLINK("https://klasma.github.io/Logging_0380/artfynd/A 25729-2024 artfynd.xlsx", "A 25729-2024")</f>
        <v/>
      </c>
      <c r="T186">
        <f>HYPERLINK("https://klasma.github.io/Logging_0380/kartor/A 25729-2024 karta.png", "A 25729-2024")</f>
        <v/>
      </c>
      <c r="V186">
        <f>HYPERLINK("https://klasma.github.io/Logging_0380/klagomål/A 25729-2024 FSC-klagomål.docx", "A 25729-2024")</f>
        <v/>
      </c>
      <c r="W186">
        <f>HYPERLINK("https://klasma.github.io/Logging_0380/klagomålsmail/A 25729-2024 FSC-klagomål mail.docx", "A 25729-2024")</f>
        <v/>
      </c>
      <c r="X186">
        <f>HYPERLINK("https://klasma.github.io/Logging_0380/tillsyn/A 25729-2024 tillsynsbegäran.docx", "A 25729-2024")</f>
        <v/>
      </c>
      <c r="Y186">
        <f>HYPERLINK("https://klasma.github.io/Logging_0380/tillsynsmail/A 25729-2024 tillsynsbegäran mail.docx", "A 25729-2024")</f>
        <v/>
      </c>
    </row>
    <row r="187" ht="15" customHeight="1">
      <c r="A187" t="inlineStr">
        <is>
          <t>A 29139-2024</t>
        </is>
      </c>
      <c r="B187" s="1" t="n">
        <v>45482</v>
      </c>
      <c r="C187" s="1" t="n">
        <v>45723</v>
      </c>
      <c r="D187" t="inlineStr">
        <is>
          <t>UPPSALA LÄN</t>
        </is>
      </c>
      <c r="E187" t="inlineStr">
        <is>
          <t>UPPSALA</t>
        </is>
      </c>
      <c r="F187" t="inlineStr">
        <is>
          <t>Allmännings- och besparingsskogar</t>
        </is>
      </c>
      <c r="G187" t="n">
        <v>26.4</v>
      </c>
      <c r="H187" t="n">
        <v>0</v>
      </c>
      <c r="I187" t="n">
        <v>0</v>
      </c>
      <c r="J187" t="n">
        <v>1</v>
      </c>
      <c r="K187" t="n">
        <v>0</v>
      </c>
      <c r="L187" t="n">
        <v>0</v>
      </c>
      <c r="M187" t="n">
        <v>0</v>
      </c>
      <c r="N187" t="n">
        <v>0</v>
      </c>
      <c r="O187" t="n">
        <v>1</v>
      </c>
      <c r="P187" t="n">
        <v>0</v>
      </c>
      <c r="Q187" t="n">
        <v>1</v>
      </c>
      <c r="R187" s="2" t="inlineStr">
        <is>
          <t>Granskugglöpare</t>
        </is>
      </c>
      <c r="S187">
        <f>HYPERLINK("https://klasma.github.io/Logging_0380/artfynd/A 29139-2024 artfynd.xlsx", "A 29139-2024")</f>
        <v/>
      </c>
      <c r="T187">
        <f>HYPERLINK("https://klasma.github.io/Logging_0380/kartor/A 29139-2024 karta.png", "A 29139-2024")</f>
        <v/>
      </c>
      <c r="V187">
        <f>HYPERLINK("https://klasma.github.io/Logging_0380/klagomål/A 29139-2024 FSC-klagomål.docx", "A 29139-2024")</f>
        <v/>
      </c>
      <c r="W187">
        <f>HYPERLINK("https://klasma.github.io/Logging_0380/klagomålsmail/A 29139-2024 FSC-klagomål mail.docx", "A 29139-2024")</f>
        <v/>
      </c>
      <c r="X187">
        <f>HYPERLINK("https://klasma.github.io/Logging_0380/tillsyn/A 29139-2024 tillsynsbegäran.docx", "A 29139-2024")</f>
        <v/>
      </c>
      <c r="Y187">
        <f>HYPERLINK("https://klasma.github.io/Logging_0380/tillsynsmail/A 29139-2024 tillsynsbegäran mail.docx", "A 29139-2024")</f>
        <v/>
      </c>
    </row>
    <row r="188" ht="15" customHeight="1">
      <c r="A188" t="inlineStr">
        <is>
          <t>A 34159-2024</t>
        </is>
      </c>
      <c r="B188" s="1" t="n">
        <v>45524</v>
      </c>
      <c r="C188" s="1" t="n">
        <v>45723</v>
      </c>
      <c r="D188" t="inlineStr">
        <is>
          <t>UPPSALA LÄN</t>
        </is>
      </c>
      <c r="E188" t="inlineStr">
        <is>
          <t>UPPSALA</t>
        </is>
      </c>
      <c r="G188" t="n">
        <v>3.7</v>
      </c>
      <c r="H188" t="n">
        <v>0</v>
      </c>
      <c r="I188" t="n">
        <v>1</v>
      </c>
      <c r="J188" t="n">
        <v>0</v>
      </c>
      <c r="K188" t="n">
        <v>0</v>
      </c>
      <c r="L188" t="n">
        <v>0</v>
      </c>
      <c r="M188" t="n">
        <v>0</v>
      </c>
      <c r="N188" t="n">
        <v>0</v>
      </c>
      <c r="O188" t="n">
        <v>0</v>
      </c>
      <c r="P188" t="n">
        <v>0</v>
      </c>
      <c r="Q188" t="n">
        <v>1</v>
      </c>
      <c r="R188" s="2" t="inlineStr">
        <is>
          <t>Granbarkgnagare</t>
        </is>
      </c>
      <c r="S188">
        <f>HYPERLINK("https://klasma.github.io/Logging_0380/artfynd/A 34159-2024 artfynd.xlsx", "A 34159-2024")</f>
        <v/>
      </c>
      <c r="T188">
        <f>HYPERLINK("https://klasma.github.io/Logging_0380/kartor/A 34159-2024 karta.png", "A 34159-2024")</f>
        <v/>
      </c>
      <c r="V188">
        <f>HYPERLINK("https://klasma.github.io/Logging_0380/klagomål/A 34159-2024 FSC-klagomål.docx", "A 34159-2024")</f>
        <v/>
      </c>
      <c r="W188">
        <f>HYPERLINK("https://klasma.github.io/Logging_0380/klagomålsmail/A 34159-2024 FSC-klagomål mail.docx", "A 34159-2024")</f>
        <v/>
      </c>
      <c r="X188">
        <f>HYPERLINK("https://klasma.github.io/Logging_0380/tillsyn/A 34159-2024 tillsynsbegäran.docx", "A 34159-2024")</f>
        <v/>
      </c>
      <c r="Y188">
        <f>HYPERLINK("https://klasma.github.io/Logging_0380/tillsynsmail/A 34159-2024 tillsynsbegäran mail.docx", "A 34159-2024")</f>
        <v/>
      </c>
    </row>
    <row r="189" ht="15" customHeight="1">
      <c r="A189" t="inlineStr">
        <is>
          <t>A 37563-2024</t>
        </is>
      </c>
      <c r="B189" s="1" t="n">
        <v>45541</v>
      </c>
      <c r="C189" s="1" t="n">
        <v>45723</v>
      </c>
      <c r="D189" t="inlineStr">
        <is>
          <t>UPPSALA LÄN</t>
        </is>
      </c>
      <c r="E189" t="inlineStr">
        <is>
          <t>UPPSALA</t>
        </is>
      </c>
      <c r="F189" t="inlineStr">
        <is>
          <t>Övriga Aktiebolag</t>
        </is>
      </c>
      <c r="G189" t="n">
        <v>6.1</v>
      </c>
      <c r="H189" t="n">
        <v>0</v>
      </c>
      <c r="I189" t="n">
        <v>0</v>
      </c>
      <c r="J189" t="n">
        <v>1</v>
      </c>
      <c r="K189" t="n">
        <v>0</v>
      </c>
      <c r="L189" t="n">
        <v>0</v>
      </c>
      <c r="M189" t="n">
        <v>0</v>
      </c>
      <c r="N189" t="n">
        <v>0</v>
      </c>
      <c r="O189" t="n">
        <v>1</v>
      </c>
      <c r="P189" t="n">
        <v>0</v>
      </c>
      <c r="Q189" t="n">
        <v>1</v>
      </c>
      <c r="R189" s="2" t="inlineStr">
        <is>
          <t>Skogshare</t>
        </is>
      </c>
      <c r="S189">
        <f>HYPERLINK("https://klasma.github.io/Logging_0380/artfynd/A 37563-2024 artfynd.xlsx", "A 37563-2024")</f>
        <v/>
      </c>
      <c r="T189">
        <f>HYPERLINK("https://klasma.github.io/Logging_0380/kartor/A 37563-2024 karta.png", "A 37563-2024")</f>
        <v/>
      </c>
      <c r="V189">
        <f>HYPERLINK("https://klasma.github.io/Logging_0380/klagomål/A 37563-2024 FSC-klagomål.docx", "A 37563-2024")</f>
        <v/>
      </c>
      <c r="W189">
        <f>HYPERLINK("https://klasma.github.io/Logging_0380/klagomålsmail/A 37563-2024 FSC-klagomål mail.docx", "A 37563-2024")</f>
        <v/>
      </c>
      <c r="X189">
        <f>HYPERLINK("https://klasma.github.io/Logging_0380/tillsyn/A 37563-2024 tillsynsbegäran.docx", "A 37563-2024")</f>
        <v/>
      </c>
      <c r="Y189">
        <f>HYPERLINK("https://klasma.github.io/Logging_0380/tillsynsmail/A 37563-2024 tillsynsbegäran mail.docx", "A 37563-2024")</f>
        <v/>
      </c>
    </row>
    <row r="190" ht="15" customHeight="1">
      <c r="A190" t="inlineStr">
        <is>
          <t>A 42787-2024</t>
        </is>
      </c>
      <c r="B190" s="1" t="n">
        <v>45566</v>
      </c>
      <c r="C190" s="1" t="n">
        <v>45723</v>
      </c>
      <c r="D190" t="inlineStr">
        <is>
          <t>UPPSALA LÄN</t>
        </is>
      </c>
      <c r="E190" t="inlineStr">
        <is>
          <t>UPPSALA</t>
        </is>
      </c>
      <c r="G190" t="n">
        <v>3.2</v>
      </c>
      <c r="H190" t="n">
        <v>1</v>
      </c>
      <c r="I190" t="n">
        <v>0</v>
      </c>
      <c r="J190" t="n">
        <v>0</v>
      </c>
      <c r="K190" t="n">
        <v>0</v>
      </c>
      <c r="L190" t="n">
        <v>0</v>
      </c>
      <c r="M190" t="n">
        <v>0</v>
      </c>
      <c r="N190" t="n">
        <v>0</v>
      </c>
      <c r="O190" t="n">
        <v>0</v>
      </c>
      <c r="P190" t="n">
        <v>0</v>
      </c>
      <c r="Q190" t="n">
        <v>1</v>
      </c>
      <c r="R190" s="2" t="inlineStr">
        <is>
          <t>Mattlummer</t>
        </is>
      </c>
      <c r="S190">
        <f>HYPERLINK("https://klasma.github.io/Logging_0380/artfynd/A 42787-2024 artfynd.xlsx", "A 42787-2024")</f>
        <v/>
      </c>
      <c r="T190">
        <f>HYPERLINK("https://klasma.github.io/Logging_0380/kartor/A 42787-2024 karta.png", "A 42787-2024")</f>
        <v/>
      </c>
      <c r="V190">
        <f>HYPERLINK("https://klasma.github.io/Logging_0380/klagomål/A 42787-2024 FSC-klagomål.docx", "A 42787-2024")</f>
        <v/>
      </c>
      <c r="W190">
        <f>HYPERLINK("https://klasma.github.io/Logging_0380/klagomålsmail/A 42787-2024 FSC-klagomål mail.docx", "A 42787-2024")</f>
        <v/>
      </c>
      <c r="X190">
        <f>HYPERLINK("https://klasma.github.io/Logging_0380/tillsyn/A 42787-2024 tillsynsbegäran.docx", "A 42787-2024")</f>
        <v/>
      </c>
      <c r="Y190">
        <f>HYPERLINK("https://klasma.github.io/Logging_0380/tillsynsmail/A 42787-2024 tillsynsbegäran mail.docx", "A 42787-2024")</f>
        <v/>
      </c>
    </row>
    <row r="191" ht="15" customHeight="1">
      <c r="A191" t="inlineStr">
        <is>
          <t>A 54144-2024</t>
        </is>
      </c>
      <c r="B191" s="1" t="n">
        <v>45616</v>
      </c>
      <c r="C191" s="1" t="n">
        <v>45723</v>
      </c>
      <c r="D191" t="inlineStr">
        <is>
          <t>UPPSALA LÄN</t>
        </is>
      </c>
      <c r="E191" t="inlineStr">
        <is>
          <t>UPPSALA</t>
        </is>
      </c>
      <c r="G191" t="n">
        <v>3.2</v>
      </c>
      <c r="H191" t="n">
        <v>0</v>
      </c>
      <c r="I191" t="n">
        <v>1</v>
      </c>
      <c r="J191" t="n">
        <v>0</v>
      </c>
      <c r="K191" t="n">
        <v>0</v>
      </c>
      <c r="L191" t="n">
        <v>0</v>
      </c>
      <c r="M191" t="n">
        <v>0</v>
      </c>
      <c r="N191" t="n">
        <v>0</v>
      </c>
      <c r="O191" t="n">
        <v>0</v>
      </c>
      <c r="P191" t="n">
        <v>0</v>
      </c>
      <c r="Q191" t="n">
        <v>1</v>
      </c>
      <c r="R191" s="2" t="inlineStr">
        <is>
          <t>Svavelriska</t>
        </is>
      </c>
      <c r="S191">
        <f>HYPERLINK("https://klasma.github.io/Logging_0380/artfynd/A 54144-2024 artfynd.xlsx", "A 54144-2024")</f>
        <v/>
      </c>
      <c r="T191">
        <f>HYPERLINK("https://klasma.github.io/Logging_0380/kartor/A 54144-2024 karta.png", "A 54144-2024")</f>
        <v/>
      </c>
      <c r="V191">
        <f>HYPERLINK("https://klasma.github.io/Logging_0380/klagomål/A 54144-2024 FSC-klagomål.docx", "A 54144-2024")</f>
        <v/>
      </c>
      <c r="W191">
        <f>HYPERLINK("https://klasma.github.io/Logging_0380/klagomålsmail/A 54144-2024 FSC-klagomål mail.docx", "A 54144-2024")</f>
        <v/>
      </c>
      <c r="X191">
        <f>HYPERLINK("https://klasma.github.io/Logging_0380/tillsyn/A 54144-2024 tillsynsbegäran.docx", "A 54144-2024")</f>
        <v/>
      </c>
      <c r="Y191">
        <f>HYPERLINK("https://klasma.github.io/Logging_0380/tillsynsmail/A 54144-2024 tillsynsbegäran mail.docx", "A 54144-2024")</f>
        <v/>
      </c>
    </row>
    <row r="192" ht="15" customHeight="1">
      <c r="A192" t="inlineStr">
        <is>
          <t>A 59588-2024</t>
        </is>
      </c>
      <c r="B192" s="1" t="n">
        <v>45638</v>
      </c>
      <c r="C192" s="1" t="n">
        <v>45723</v>
      </c>
      <c r="D192" t="inlineStr">
        <is>
          <t>UPPSALA LÄN</t>
        </is>
      </c>
      <c r="E192" t="inlineStr">
        <is>
          <t>UPPSALA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HYPERLINK("https://klasma.github.io/Logging_0380/artfynd/A 59588-2024 artfynd.xlsx", "A 59588-2024")</f>
        <v/>
      </c>
      <c r="T192">
        <f>HYPERLINK("https://klasma.github.io/Logging_0380/kartor/A 59588-2024 karta.png", "A 59588-2024")</f>
        <v/>
      </c>
      <c r="U192">
        <f>HYPERLINK("https://klasma.github.io/Logging_0380/knärot/A 59588-2024 karta knärot.png", "A 59588-2024")</f>
        <v/>
      </c>
      <c r="V192">
        <f>HYPERLINK("https://klasma.github.io/Logging_0380/klagomål/A 59588-2024 FSC-klagomål.docx", "A 59588-2024")</f>
        <v/>
      </c>
      <c r="W192">
        <f>HYPERLINK("https://klasma.github.io/Logging_0380/klagomålsmail/A 59588-2024 FSC-klagomål mail.docx", "A 59588-2024")</f>
        <v/>
      </c>
      <c r="X192">
        <f>HYPERLINK("https://klasma.github.io/Logging_0380/tillsyn/A 59588-2024 tillsynsbegäran.docx", "A 59588-2024")</f>
        <v/>
      </c>
      <c r="Y192">
        <f>HYPERLINK("https://klasma.github.io/Logging_0380/tillsynsmail/A 59588-2024 tillsynsbegäran mail.docx", "A 59588-2024")</f>
        <v/>
      </c>
    </row>
    <row r="193" ht="15" customHeight="1">
      <c r="A193" t="inlineStr">
        <is>
          <t>A 3304-2025</t>
        </is>
      </c>
      <c r="B193" s="1" t="n">
        <v>45679</v>
      </c>
      <c r="C193" s="1" t="n">
        <v>45723</v>
      </c>
      <c r="D193" t="inlineStr">
        <is>
          <t>UPPSALA LÄN</t>
        </is>
      </c>
      <c r="E193" t="inlineStr">
        <is>
          <t>UPPSALA</t>
        </is>
      </c>
      <c r="F193" t="inlineStr">
        <is>
          <t>Övriga statliga verk och myndigheter</t>
        </is>
      </c>
      <c r="G193" t="n">
        <v>3.8</v>
      </c>
      <c r="H193" t="n">
        <v>1</v>
      </c>
      <c r="I193" t="n">
        <v>0</v>
      </c>
      <c r="J193" t="n">
        <v>0</v>
      </c>
      <c r="K193" t="n">
        <v>0</v>
      </c>
      <c r="L193" t="n">
        <v>0</v>
      </c>
      <c r="M193" t="n">
        <v>0</v>
      </c>
      <c r="N193" t="n">
        <v>0</v>
      </c>
      <c r="O193" t="n">
        <v>0</v>
      </c>
      <c r="P193" t="n">
        <v>0</v>
      </c>
      <c r="Q193" t="n">
        <v>1</v>
      </c>
      <c r="R193" s="2" t="inlineStr">
        <is>
          <t>Blåsippa</t>
        </is>
      </c>
      <c r="S193">
        <f>HYPERLINK("https://klasma.github.io/Logging_0380/artfynd/A 3304-2025 artfynd.xlsx", "A 3304-2025")</f>
        <v/>
      </c>
      <c r="T193">
        <f>HYPERLINK("https://klasma.github.io/Logging_0380/kartor/A 3304-2025 karta.png", "A 3304-2025")</f>
        <v/>
      </c>
      <c r="V193">
        <f>HYPERLINK("https://klasma.github.io/Logging_0380/klagomål/A 3304-2025 FSC-klagomål.docx", "A 3304-2025")</f>
        <v/>
      </c>
      <c r="W193">
        <f>HYPERLINK("https://klasma.github.io/Logging_0380/klagomålsmail/A 3304-2025 FSC-klagomål mail.docx", "A 3304-2025")</f>
        <v/>
      </c>
      <c r="X193">
        <f>HYPERLINK("https://klasma.github.io/Logging_0380/tillsyn/A 3304-2025 tillsynsbegäran.docx", "A 3304-2025")</f>
        <v/>
      </c>
      <c r="Y193">
        <f>HYPERLINK("https://klasma.github.io/Logging_0380/tillsynsmail/A 3304-2025 tillsynsbegäran mail.docx", "A 3304-2025")</f>
        <v/>
      </c>
    </row>
    <row r="194" ht="15" customHeight="1">
      <c r="A194" t="inlineStr">
        <is>
          <t>A 4657-2025</t>
        </is>
      </c>
      <c r="B194" s="1" t="n">
        <v>45687</v>
      </c>
      <c r="C194" s="1" t="n">
        <v>45723</v>
      </c>
      <c r="D194" t="inlineStr">
        <is>
          <t>UPPSALA LÄN</t>
        </is>
      </c>
      <c r="E194" t="inlineStr">
        <is>
          <t>UPPSALA</t>
        </is>
      </c>
      <c r="G194" t="n">
        <v>2.9</v>
      </c>
      <c r="H194" t="n">
        <v>1</v>
      </c>
      <c r="I194" t="n">
        <v>0</v>
      </c>
      <c r="J194" t="n">
        <v>1</v>
      </c>
      <c r="K194" t="n">
        <v>0</v>
      </c>
      <c r="L194" t="n">
        <v>0</v>
      </c>
      <c r="M194" t="n">
        <v>0</v>
      </c>
      <c r="N194" t="n">
        <v>0</v>
      </c>
      <c r="O194" t="n">
        <v>1</v>
      </c>
      <c r="P194" t="n">
        <v>0</v>
      </c>
      <c r="Q194" t="n">
        <v>1</v>
      </c>
      <c r="R194" s="2" t="inlineStr">
        <is>
          <t>Grönsångare</t>
        </is>
      </c>
      <c r="S194">
        <f>HYPERLINK("https://klasma.github.io/Logging_0380/artfynd/A 4657-2025 artfynd.xlsx", "A 4657-2025")</f>
        <v/>
      </c>
      <c r="T194">
        <f>HYPERLINK("https://klasma.github.io/Logging_0380/kartor/A 4657-2025 karta.png", "A 4657-2025")</f>
        <v/>
      </c>
      <c r="V194">
        <f>HYPERLINK("https://klasma.github.io/Logging_0380/klagomål/A 4657-2025 FSC-klagomål.docx", "A 4657-2025")</f>
        <v/>
      </c>
      <c r="W194">
        <f>HYPERLINK("https://klasma.github.io/Logging_0380/klagomålsmail/A 4657-2025 FSC-klagomål mail.docx", "A 4657-2025")</f>
        <v/>
      </c>
      <c r="X194">
        <f>HYPERLINK("https://klasma.github.io/Logging_0380/tillsyn/A 4657-2025 tillsynsbegäran.docx", "A 4657-2025")</f>
        <v/>
      </c>
      <c r="Y194">
        <f>HYPERLINK("https://klasma.github.io/Logging_0380/tillsynsmail/A 4657-2025 tillsynsbegäran mail.docx", "A 4657-2025")</f>
        <v/>
      </c>
      <c r="Z194">
        <f>HYPERLINK("https://klasma.github.io/Logging_0380/fåglar/A 4657-2025 prioriterade fågelarter.docx", "A 4657-2025")</f>
        <v/>
      </c>
    </row>
    <row r="195" ht="15" customHeight="1">
      <c r="A195" t="inlineStr">
        <is>
          <t>A 5619-2025</t>
        </is>
      </c>
      <c r="B195" s="1" t="n">
        <v>45693</v>
      </c>
      <c r="C195" s="1" t="n">
        <v>45723</v>
      </c>
      <c r="D195" t="inlineStr">
        <is>
          <t>UPPSALA LÄN</t>
        </is>
      </c>
      <c r="E195" t="inlineStr">
        <is>
          <t>UPPSALA</t>
        </is>
      </c>
      <c r="G195" t="n">
        <v>6.8</v>
      </c>
      <c r="H195" t="n">
        <v>1</v>
      </c>
      <c r="I195" t="n">
        <v>0</v>
      </c>
      <c r="J195" t="n">
        <v>1</v>
      </c>
      <c r="K195" t="n">
        <v>0</v>
      </c>
      <c r="L195" t="n">
        <v>0</v>
      </c>
      <c r="M195" t="n">
        <v>0</v>
      </c>
      <c r="N195" t="n">
        <v>0</v>
      </c>
      <c r="O195" t="n">
        <v>1</v>
      </c>
      <c r="P195" t="n">
        <v>0</v>
      </c>
      <c r="Q195" t="n">
        <v>1</v>
      </c>
      <c r="R195" s="2" t="inlineStr">
        <is>
          <t>Spillkråka</t>
        </is>
      </c>
      <c r="S195">
        <f>HYPERLINK("https://klasma.github.io/Logging_0380/artfynd/A 5619-2025 artfynd.xlsx", "A 5619-2025")</f>
        <v/>
      </c>
      <c r="T195">
        <f>HYPERLINK("https://klasma.github.io/Logging_0380/kartor/A 5619-2025 karta.png", "A 5619-2025")</f>
        <v/>
      </c>
      <c r="V195">
        <f>HYPERLINK("https://klasma.github.io/Logging_0380/klagomål/A 5619-2025 FSC-klagomål.docx", "A 5619-2025")</f>
        <v/>
      </c>
      <c r="W195">
        <f>HYPERLINK("https://klasma.github.io/Logging_0380/klagomålsmail/A 5619-2025 FSC-klagomål mail.docx", "A 5619-2025")</f>
        <v/>
      </c>
      <c r="X195">
        <f>HYPERLINK("https://klasma.github.io/Logging_0380/tillsyn/A 5619-2025 tillsynsbegäran.docx", "A 5619-2025")</f>
        <v/>
      </c>
      <c r="Y195">
        <f>HYPERLINK("https://klasma.github.io/Logging_0380/tillsynsmail/A 5619-2025 tillsynsbegäran mail.docx", "A 5619-2025")</f>
        <v/>
      </c>
      <c r="Z195">
        <f>HYPERLINK("https://klasma.github.io/Logging_0380/fåglar/A 5619-2025 prioriterade fågelarter.docx", "A 5619-2025")</f>
        <v/>
      </c>
    </row>
    <row r="196" ht="15" customHeight="1">
      <c r="A196" t="inlineStr">
        <is>
          <t>A 5624-2025</t>
        </is>
      </c>
      <c r="B196" s="1" t="n">
        <v>45693</v>
      </c>
      <c r="C196" s="1" t="n">
        <v>45723</v>
      </c>
      <c r="D196" t="inlineStr">
        <is>
          <t>UPPSALA LÄN</t>
        </is>
      </c>
      <c r="E196" t="inlineStr">
        <is>
          <t>UPPSALA</t>
        </is>
      </c>
      <c r="G196" t="n">
        <v>6.1</v>
      </c>
      <c r="H196" t="n">
        <v>0</v>
      </c>
      <c r="I196" t="n">
        <v>1</v>
      </c>
      <c r="J196" t="n">
        <v>0</v>
      </c>
      <c r="K196" t="n">
        <v>0</v>
      </c>
      <c r="L196" t="n">
        <v>0</v>
      </c>
      <c r="M196" t="n">
        <v>0</v>
      </c>
      <c r="N196" t="n">
        <v>0</v>
      </c>
      <c r="O196" t="n">
        <v>0</v>
      </c>
      <c r="P196" t="n">
        <v>0</v>
      </c>
      <c r="Q196" t="n">
        <v>1</v>
      </c>
      <c r="R196" s="2" t="inlineStr">
        <is>
          <t>Mindre märgborre</t>
        </is>
      </c>
      <c r="S196">
        <f>HYPERLINK("https://klasma.github.io/Logging_0380/artfynd/A 5624-2025 artfynd.xlsx", "A 5624-2025")</f>
        <v/>
      </c>
      <c r="T196">
        <f>HYPERLINK("https://klasma.github.io/Logging_0380/kartor/A 5624-2025 karta.png", "A 5624-2025")</f>
        <v/>
      </c>
      <c r="V196">
        <f>HYPERLINK("https://klasma.github.io/Logging_0380/klagomål/A 5624-2025 FSC-klagomål.docx", "A 5624-2025")</f>
        <v/>
      </c>
      <c r="W196">
        <f>HYPERLINK("https://klasma.github.io/Logging_0380/klagomålsmail/A 5624-2025 FSC-klagomål mail.docx", "A 5624-2025")</f>
        <v/>
      </c>
      <c r="X196">
        <f>HYPERLINK("https://klasma.github.io/Logging_0380/tillsyn/A 5624-2025 tillsynsbegäran.docx", "A 5624-2025")</f>
        <v/>
      </c>
      <c r="Y196">
        <f>HYPERLINK("https://klasma.github.io/Logging_0380/tillsynsmail/A 5624-2025 tillsynsbegäran mail.docx", "A 5624-2025")</f>
        <v/>
      </c>
    </row>
    <row r="197" ht="15" customHeight="1">
      <c r="A197" t="inlineStr">
        <is>
          <t>A 5732-2025</t>
        </is>
      </c>
      <c r="B197" s="1" t="n">
        <v>45694</v>
      </c>
      <c r="C197" s="1" t="n">
        <v>45723</v>
      </c>
      <c r="D197" t="inlineStr">
        <is>
          <t>UPPSALA LÄN</t>
        </is>
      </c>
      <c r="E197" t="inlineStr">
        <is>
          <t>UPPSALA</t>
        </is>
      </c>
      <c r="G197" t="n">
        <v>1.9</v>
      </c>
      <c r="H197" t="n">
        <v>0</v>
      </c>
      <c r="I197" t="n">
        <v>1</v>
      </c>
      <c r="J197" t="n">
        <v>0</v>
      </c>
      <c r="K197" t="n">
        <v>0</v>
      </c>
      <c r="L197" t="n">
        <v>0</v>
      </c>
      <c r="M197" t="n">
        <v>0</v>
      </c>
      <c r="N197" t="n">
        <v>0</v>
      </c>
      <c r="O197" t="n">
        <v>0</v>
      </c>
      <c r="P197" t="n">
        <v>0</v>
      </c>
      <c r="Q197" t="n">
        <v>1</v>
      </c>
      <c r="R197" s="2" t="inlineStr">
        <is>
          <t>Fällmossa</t>
        </is>
      </c>
      <c r="S197">
        <f>HYPERLINK("https://klasma.github.io/Logging_0380/artfynd/A 5732-2025 artfynd.xlsx", "A 5732-2025")</f>
        <v/>
      </c>
      <c r="T197">
        <f>HYPERLINK("https://klasma.github.io/Logging_0380/kartor/A 5732-2025 karta.png", "A 5732-2025")</f>
        <v/>
      </c>
      <c r="V197">
        <f>HYPERLINK("https://klasma.github.io/Logging_0380/klagomål/A 5732-2025 FSC-klagomål.docx", "A 5732-2025")</f>
        <v/>
      </c>
      <c r="W197">
        <f>HYPERLINK("https://klasma.github.io/Logging_0380/klagomålsmail/A 5732-2025 FSC-klagomål mail.docx", "A 5732-2025")</f>
        <v/>
      </c>
      <c r="X197">
        <f>HYPERLINK("https://klasma.github.io/Logging_0380/tillsyn/A 5732-2025 tillsynsbegäran.docx", "A 5732-2025")</f>
        <v/>
      </c>
      <c r="Y197">
        <f>HYPERLINK("https://klasma.github.io/Logging_0380/tillsynsmail/A 5732-2025 tillsynsbegäran mail.docx", "A 5732-2025")</f>
        <v/>
      </c>
    </row>
    <row r="198" ht="15" customHeight="1">
      <c r="A198" t="inlineStr">
        <is>
          <t>A 17828-2019</t>
        </is>
      </c>
      <c r="B198" s="1" t="n">
        <v>43556</v>
      </c>
      <c r="C198" s="1" t="n">
        <v>45723</v>
      </c>
      <c r="D198" t="inlineStr">
        <is>
          <t>UPPSALA LÄN</t>
        </is>
      </c>
      <c r="E198" t="inlineStr">
        <is>
          <t>UPPSALA</t>
        </is>
      </c>
      <c r="G198" t="n">
        <v>2.8</v>
      </c>
      <c r="H198" t="n">
        <v>0</v>
      </c>
      <c r="I198" t="n">
        <v>0</v>
      </c>
      <c r="J198" t="n">
        <v>0</v>
      </c>
      <c r="K198" t="n">
        <v>0</v>
      </c>
      <c r="L198" t="n">
        <v>0</v>
      </c>
      <c r="M198" t="n">
        <v>0</v>
      </c>
      <c r="N198" t="n">
        <v>0</v>
      </c>
      <c r="O198" t="n">
        <v>0</v>
      </c>
      <c r="P198" t="n">
        <v>0</v>
      </c>
      <c r="Q198" t="n">
        <v>0</v>
      </c>
      <c r="R198" s="2" t="inlineStr"/>
    </row>
    <row r="199" ht="15" customHeight="1">
      <c r="A199" t="inlineStr">
        <is>
          <t>A 18446-2019</t>
        </is>
      </c>
      <c r="B199" s="1" t="n">
        <v>43559</v>
      </c>
      <c r="C199" s="1" t="n">
        <v>45723</v>
      </c>
      <c r="D199" t="inlineStr">
        <is>
          <t>UPPSALA LÄN</t>
        </is>
      </c>
      <c r="E199" t="inlineStr">
        <is>
          <t>UPPSALA</t>
        </is>
      </c>
      <c r="G199" t="n">
        <v>9.1</v>
      </c>
      <c r="H199" t="n">
        <v>0</v>
      </c>
      <c r="I199" t="n">
        <v>0</v>
      </c>
      <c r="J199" t="n">
        <v>0</v>
      </c>
      <c r="K199" t="n">
        <v>0</v>
      </c>
      <c r="L199" t="n">
        <v>0</v>
      </c>
      <c r="M199" t="n">
        <v>0</v>
      </c>
      <c r="N199" t="n">
        <v>0</v>
      </c>
      <c r="O199" t="n">
        <v>0</v>
      </c>
      <c r="P199" t="n">
        <v>0</v>
      </c>
      <c r="Q199" t="n">
        <v>0</v>
      </c>
      <c r="R199" s="2" t="inlineStr"/>
    </row>
    <row r="200" ht="15" customHeight="1">
      <c r="A200" t="inlineStr">
        <is>
          <t>A 18554-2019</t>
        </is>
      </c>
      <c r="B200" s="1" t="n">
        <v>43559</v>
      </c>
      <c r="C200" s="1" t="n">
        <v>45723</v>
      </c>
      <c r="D200" t="inlineStr">
        <is>
          <t>UPPSALA LÄN</t>
        </is>
      </c>
      <c r="E200" t="inlineStr">
        <is>
          <t>UPPSALA</t>
        </is>
      </c>
      <c r="G200" t="n">
        <v>5.6</v>
      </c>
      <c r="H200" t="n">
        <v>0</v>
      </c>
      <c r="I200" t="n">
        <v>0</v>
      </c>
      <c r="J200" t="n">
        <v>0</v>
      </c>
      <c r="K200" t="n">
        <v>0</v>
      </c>
      <c r="L200" t="n">
        <v>0</v>
      </c>
      <c r="M200" t="n">
        <v>0</v>
      </c>
      <c r="N200" t="n">
        <v>0</v>
      </c>
      <c r="O200" t="n">
        <v>0</v>
      </c>
      <c r="P200" t="n">
        <v>0</v>
      </c>
      <c r="Q200" t="n">
        <v>0</v>
      </c>
      <c r="R200" s="2" t="inlineStr"/>
    </row>
    <row r="201" ht="15" customHeight="1">
      <c r="A201" t="inlineStr">
        <is>
          <t>A 18810-2019</t>
        </is>
      </c>
      <c r="B201" s="1" t="n">
        <v>43560</v>
      </c>
      <c r="C201" s="1" t="n">
        <v>45723</v>
      </c>
      <c r="D201" t="inlineStr">
        <is>
          <t>UPPSALA LÄN</t>
        </is>
      </c>
      <c r="E201" t="inlineStr">
        <is>
          <t>UPPSALA</t>
        </is>
      </c>
      <c r="G201" t="n">
        <v>4</v>
      </c>
      <c r="H201" t="n">
        <v>0</v>
      </c>
      <c r="I201" t="n">
        <v>0</v>
      </c>
      <c r="J201" t="n">
        <v>0</v>
      </c>
      <c r="K201" t="n">
        <v>0</v>
      </c>
      <c r="L201" t="n">
        <v>0</v>
      </c>
      <c r="M201" t="n">
        <v>0</v>
      </c>
      <c r="N201" t="n">
        <v>0</v>
      </c>
      <c r="O201" t="n">
        <v>0</v>
      </c>
      <c r="P201" t="n">
        <v>0</v>
      </c>
      <c r="Q201" t="n">
        <v>0</v>
      </c>
      <c r="R201" s="2" t="inlineStr"/>
    </row>
    <row r="202" ht="15" customHeight="1">
      <c r="A202" t="inlineStr">
        <is>
          <t>A 20011-2019</t>
        </is>
      </c>
      <c r="B202" s="1" t="n">
        <v>43570</v>
      </c>
      <c r="C202" s="1" t="n">
        <v>45723</v>
      </c>
      <c r="D202" t="inlineStr">
        <is>
          <t>UPPSALA LÄN</t>
        </is>
      </c>
      <c r="E202" t="inlineStr">
        <is>
          <t>UPPSALA</t>
        </is>
      </c>
      <c r="G202" t="n">
        <v>6.3</v>
      </c>
      <c r="H202" t="n">
        <v>0</v>
      </c>
      <c r="I202" t="n">
        <v>0</v>
      </c>
      <c r="J202" t="n">
        <v>0</v>
      </c>
      <c r="K202" t="n">
        <v>0</v>
      </c>
      <c r="L202" t="n">
        <v>0</v>
      </c>
      <c r="M202" t="n">
        <v>0</v>
      </c>
      <c r="N202" t="n">
        <v>0</v>
      </c>
      <c r="O202" t="n">
        <v>0</v>
      </c>
      <c r="P202" t="n">
        <v>0</v>
      </c>
      <c r="Q202" t="n">
        <v>0</v>
      </c>
      <c r="R202" s="2" t="inlineStr"/>
    </row>
    <row r="203" ht="15" customHeight="1">
      <c r="A203" t="inlineStr">
        <is>
          <t>A 21087-2019</t>
        </is>
      </c>
      <c r="B203" s="1" t="n">
        <v>43578</v>
      </c>
      <c r="C203" s="1" t="n">
        <v>45723</v>
      </c>
      <c r="D203" t="inlineStr">
        <is>
          <t>UPPSALA LÄN</t>
        </is>
      </c>
      <c r="E203" t="inlineStr">
        <is>
          <t>UPPSALA</t>
        </is>
      </c>
      <c r="G203" t="n">
        <v>1.8</v>
      </c>
      <c r="H203" t="n">
        <v>0</v>
      </c>
      <c r="I203" t="n">
        <v>0</v>
      </c>
      <c r="J203" t="n">
        <v>0</v>
      </c>
      <c r="K203" t="n">
        <v>0</v>
      </c>
      <c r="L203" t="n">
        <v>0</v>
      </c>
      <c r="M203" t="n">
        <v>0</v>
      </c>
      <c r="N203" t="n">
        <v>0</v>
      </c>
      <c r="O203" t="n">
        <v>0</v>
      </c>
      <c r="P203" t="n">
        <v>0</v>
      </c>
      <c r="Q203" t="n">
        <v>0</v>
      </c>
      <c r="R203" s="2" t="inlineStr"/>
    </row>
    <row r="204" ht="15" customHeight="1">
      <c r="A204" t="inlineStr">
        <is>
          <t>A 21082-2019</t>
        </is>
      </c>
      <c r="B204" s="1" t="n">
        <v>43578</v>
      </c>
      <c r="C204" s="1" t="n">
        <v>45723</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22153-2019</t>
        </is>
      </c>
      <c r="B205" s="1" t="n">
        <v>43585</v>
      </c>
      <c r="C205" s="1" t="n">
        <v>45723</v>
      </c>
      <c r="D205" t="inlineStr">
        <is>
          <t>UPPSALA LÄN</t>
        </is>
      </c>
      <c r="E205" t="inlineStr">
        <is>
          <t>UPPSALA</t>
        </is>
      </c>
      <c r="F205" t="inlineStr">
        <is>
          <t>Holmen skog AB</t>
        </is>
      </c>
      <c r="G205" t="n">
        <v>0.7</v>
      </c>
      <c r="H205" t="n">
        <v>0</v>
      </c>
      <c r="I205" t="n">
        <v>0</v>
      </c>
      <c r="J205" t="n">
        <v>0</v>
      </c>
      <c r="K205" t="n">
        <v>0</v>
      </c>
      <c r="L205" t="n">
        <v>0</v>
      </c>
      <c r="M205" t="n">
        <v>0</v>
      </c>
      <c r="N205" t="n">
        <v>0</v>
      </c>
      <c r="O205" t="n">
        <v>0</v>
      </c>
      <c r="P205" t="n">
        <v>0</v>
      </c>
      <c r="Q205" t="n">
        <v>0</v>
      </c>
      <c r="R205" s="2" t="inlineStr"/>
    </row>
    <row r="206" ht="15" customHeight="1">
      <c r="A206" t="inlineStr">
        <is>
          <t>A 23042-2019</t>
        </is>
      </c>
      <c r="B206" s="1" t="n">
        <v>43591</v>
      </c>
      <c r="C206" s="1" t="n">
        <v>45723</v>
      </c>
      <c r="D206" t="inlineStr">
        <is>
          <t>UPPSALA LÄN</t>
        </is>
      </c>
      <c r="E206" t="inlineStr">
        <is>
          <t>UPPSALA</t>
        </is>
      </c>
      <c r="G206" t="n">
        <v>2.7</v>
      </c>
      <c r="H206" t="n">
        <v>0</v>
      </c>
      <c r="I206" t="n">
        <v>0</v>
      </c>
      <c r="J206" t="n">
        <v>0</v>
      </c>
      <c r="K206" t="n">
        <v>0</v>
      </c>
      <c r="L206" t="n">
        <v>0</v>
      </c>
      <c r="M206" t="n">
        <v>0</v>
      </c>
      <c r="N206" t="n">
        <v>0</v>
      </c>
      <c r="O206" t="n">
        <v>0</v>
      </c>
      <c r="P206" t="n">
        <v>0</v>
      </c>
      <c r="Q206" t="n">
        <v>0</v>
      </c>
      <c r="R206" s="2" t="inlineStr"/>
    </row>
    <row r="207" ht="15" customHeight="1">
      <c r="A207" t="inlineStr">
        <is>
          <t>A 23262-2019</t>
        </is>
      </c>
      <c r="B207" s="1" t="n">
        <v>43592</v>
      </c>
      <c r="C207" s="1" t="n">
        <v>45723</v>
      </c>
      <c r="D207" t="inlineStr">
        <is>
          <t>UPPSALA LÄN</t>
        </is>
      </c>
      <c r="E207" t="inlineStr">
        <is>
          <t>UPPSALA</t>
        </is>
      </c>
      <c r="F207" t="inlineStr">
        <is>
          <t>Kyrkan</t>
        </is>
      </c>
      <c r="G207" t="n">
        <v>7.6</v>
      </c>
      <c r="H207" t="n">
        <v>0</v>
      </c>
      <c r="I207" t="n">
        <v>0</v>
      </c>
      <c r="J207" t="n">
        <v>0</v>
      </c>
      <c r="K207" t="n">
        <v>0</v>
      </c>
      <c r="L207" t="n">
        <v>0</v>
      </c>
      <c r="M207" t="n">
        <v>0</v>
      </c>
      <c r="N207" t="n">
        <v>0</v>
      </c>
      <c r="O207" t="n">
        <v>0</v>
      </c>
      <c r="P207" t="n">
        <v>0</v>
      </c>
      <c r="Q207" t="n">
        <v>0</v>
      </c>
      <c r="R207" s="2" t="inlineStr"/>
    </row>
    <row r="208" ht="15" customHeight="1">
      <c r="A208" t="inlineStr">
        <is>
          <t>A 24998-2019</t>
        </is>
      </c>
      <c r="B208" s="1" t="n">
        <v>43600</v>
      </c>
      <c r="C208" s="1" t="n">
        <v>45723</v>
      </c>
      <c r="D208" t="inlineStr">
        <is>
          <t>UPPSALA LÄN</t>
        </is>
      </c>
      <c r="E208" t="inlineStr">
        <is>
          <t>UPPSALA</t>
        </is>
      </c>
      <c r="G208" t="n">
        <v>0.9</v>
      </c>
      <c r="H208" t="n">
        <v>0</v>
      </c>
      <c r="I208" t="n">
        <v>0</v>
      </c>
      <c r="J208" t="n">
        <v>0</v>
      </c>
      <c r="K208" t="n">
        <v>0</v>
      </c>
      <c r="L208" t="n">
        <v>0</v>
      </c>
      <c r="M208" t="n">
        <v>0</v>
      </c>
      <c r="N208" t="n">
        <v>0</v>
      </c>
      <c r="O208" t="n">
        <v>0</v>
      </c>
      <c r="P208" t="n">
        <v>0</v>
      </c>
      <c r="Q208" t="n">
        <v>0</v>
      </c>
      <c r="R208" s="2" t="inlineStr"/>
    </row>
    <row r="209" ht="15" customHeight="1">
      <c r="A209" t="inlineStr">
        <is>
          <t>A 25164-2019</t>
        </is>
      </c>
      <c r="B209" s="1" t="n">
        <v>43605</v>
      </c>
      <c r="C209" s="1" t="n">
        <v>45723</v>
      </c>
      <c r="D209" t="inlineStr">
        <is>
          <t>UPPSALA LÄN</t>
        </is>
      </c>
      <c r="E209" t="inlineStr">
        <is>
          <t>UPPSALA</t>
        </is>
      </c>
      <c r="G209" t="n">
        <v>1.6</v>
      </c>
      <c r="H209" t="n">
        <v>0</v>
      </c>
      <c r="I209" t="n">
        <v>0</v>
      </c>
      <c r="J209" t="n">
        <v>0</v>
      </c>
      <c r="K209" t="n">
        <v>0</v>
      </c>
      <c r="L209" t="n">
        <v>0</v>
      </c>
      <c r="M209" t="n">
        <v>0</v>
      </c>
      <c r="N209" t="n">
        <v>0</v>
      </c>
      <c r="O209" t="n">
        <v>0</v>
      </c>
      <c r="P209" t="n">
        <v>0</v>
      </c>
      <c r="Q209" t="n">
        <v>0</v>
      </c>
      <c r="R209" s="2" t="inlineStr"/>
    </row>
    <row r="210" ht="15" customHeight="1">
      <c r="A210" t="inlineStr">
        <is>
          <t>A 25157-2019</t>
        </is>
      </c>
      <c r="B210" s="1" t="n">
        <v>43605</v>
      </c>
      <c r="C210" s="1" t="n">
        <v>45723</v>
      </c>
      <c r="D210" t="inlineStr">
        <is>
          <t>UPPSALA LÄN</t>
        </is>
      </c>
      <c r="E210" t="inlineStr">
        <is>
          <t>UPPSALA</t>
        </is>
      </c>
      <c r="G210" t="n">
        <v>3</v>
      </c>
      <c r="H210" t="n">
        <v>0</v>
      </c>
      <c r="I210" t="n">
        <v>0</v>
      </c>
      <c r="J210" t="n">
        <v>0</v>
      </c>
      <c r="K210" t="n">
        <v>0</v>
      </c>
      <c r="L210" t="n">
        <v>0</v>
      </c>
      <c r="M210" t="n">
        <v>0</v>
      </c>
      <c r="N210" t="n">
        <v>0</v>
      </c>
      <c r="O210" t="n">
        <v>0</v>
      </c>
      <c r="P210" t="n">
        <v>0</v>
      </c>
      <c r="Q210" t="n">
        <v>0</v>
      </c>
      <c r="R210" s="2" t="inlineStr"/>
    </row>
    <row r="211" ht="15" customHeight="1">
      <c r="A211" t="inlineStr">
        <is>
          <t>A 25667-2019</t>
        </is>
      </c>
      <c r="B211" s="1" t="n">
        <v>43607</v>
      </c>
      <c r="C211" s="1" t="n">
        <v>45723</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29105-2019</t>
        </is>
      </c>
      <c r="B212" s="1" t="n">
        <v>43628</v>
      </c>
      <c r="C212" s="1" t="n">
        <v>45723</v>
      </c>
      <c r="D212" t="inlineStr">
        <is>
          <t>UPPSALA LÄN</t>
        </is>
      </c>
      <c r="E212" t="inlineStr">
        <is>
          <t>UPPSALA</t>
        </is>
      </c>
      <c r="G212" t="n">
        <v>2.1</v>
      </c>
      <c r="H212" t="n">
        <v>0</v>
      </c>
      <c r="I212" t="n">
        <v>0</v>
      </c>
      <c r="J212" t="n">
        <v>0</v>
      </c>
      <c r="K212" t="n">
        <v>0</v>
      </c>
      <c r="L212" t="n">
        <v>0</v>
      </c>
      <c r="M212" t="n">
        <v>0</v>
      </c>
      <c r="N212" t="n">
        <v>0</v>
      </c>
      <c r="O212" t="n">
        <v>0</v>
      </c>
      <c r="P212" t="n">
        <v>0</v>
      </c>
      <c r="Q212" t="n">
        <v>0</v>
      </c>
      <c r="R212" s="2" t="inlineStr"/>
    </row>
    <row r="213" ht="15" customHeight="1">
      <c r="A213" t="inlineStr">
        <is>
          <t>A 29183-2019</t>
        </is>
      </c>
      <c r="B213" s="1" t="n">
        <v>43628</v>
      </c>
      <c r="C213" s="1" t="n">
        <v>45723</v>
      </c>
      <c r="D213" t="inlineStr">
        <is>
          <t>UPPSALA LÄN</t>
        </is>
      </c>
      <c r="E213" t="inlineStr">
        <is>
          <t>UPPSALA</t>
        </is>
      </c>
      <c r="F213" t="inlineStr">
        <is>
          <t>Allmännings- och besparingsskogar</t>
        </is>
      </c>
      <c r="G213" t="n">
        <v>6.3</v>
      </c>
      <c r="H213" t="n">
        <v>0</v>
      </c>
      <c r="I213" t="n">
        <v>0</v>
      </c>
      <c r="J213" t="n">
        <v>0</v>
      </c>
      <c r="K213" t="n">
        <v>0</v>
      </c>
      <c r="L213" t="n">
        <v>0</v>
      </c>
      <c r="M213" t="n">
        <v>0</v>
      </c>
      <c r="N213" t="n">
        <v>0</v>
      </c>
      <c r="O213" t="n">
        <v>0</v>
      </c>
      <c r="P213" t="n">
        <v>0</v>
      </c>
      <c r="Q213" t="n">
        <v>0</v>
      </c>
      <c r="R213" s="2" t="inlineStr"/>
    </row>
    <row r="214" ht="15" customHeight="1">
      <c r="A214" t="inlineStr">
        <is>
          <t>A 29081-2019</t>
        </is>
      </c>
      <c r="B214" s="1" t="n">
        <v>43628</v>
      </c>
      <c r="C214" s="1" t="n">
        <v>45723</v>
      </c>
      <c r="D214" t="inlineStr">
        <is>
          <t>UPPSALA LÄN</t>
        </is>
      </c>
      <c r="E214" t="inlineStr">
        <is>
          <t>UPPSALA</t>
        </is>
      </c>
      <c r="G214" t="n">
        <v>8.4</v>
      </c>
      <c r="H214" t="n">
        <v>0</v>
      </c>
      <c r="I214" t="n">
        <v>0</v>
      </c>
      <c r="J214" t="n">
        <v>0</v>
      </c>
      <c r="K214" t="n">
        <v>0</v>
      </c>
      <c r="L214" t="n">
        <v>0</v>
      </c>
      <c r="M214" t="n">
        <v>0</v>
      </c>
      <c r="N214" t="n">
        <v>0</v>
      </c>
      <c r="O214" t="n">
        <v>0</v>
      </c>
      <c r="P214" t="n">
        <v>0</v>
      </c>
      <c r="Q214" t="n">
        <v>0</v>
      </c>
      <c r="R214" s="2" t="inlineStr"/>
    </row>
    <row r="215" ht="15" customHeight="1">
      <c r="A215" t="inlineStr">
        <is>
          <t>A 29719-2019</t>
        </is>
      </c>
      <c r="B215" s="1" t="n">
        <v>43630</v>
      </c>
      <c r="C215" s="1" t="n">
        <v>45723</v>
      </c>
      <c r="D215" t="inlineStr">
        <is>
          <t>UPPSALA LÄN</t>
        </is>
      </c>
      <c r="E215" t="inlineStr">
        <is>
          <t>UPPSALA</t>
        </is>
      </c>
      <c r="G215" t="n">
        <v>1.4</v>
      </c>
      <c r="H215" t="n">
        <v>0</v>
      </c>
      <c r="I215" t="n">
        <v>0</v>
      </c>
      <c r="J215" t="n">
        <v>0</v>
      </c>
      <c r="K215" t="n">
        <v>0</v>
      </c>
      <c r="L215" t="n">
        <v>0</v>
      </c>
      <c r="M215" t="n">
        <v>0</v>
      </c>
      <c r="N215" t="n">
        <v>0</v>
      </c>
      <c r="O215" t="n">
        <v>0</v>
      </c>
      <c r="P215" t="n">
        <v>0</v>
      </c>
      <c r="Q215" t="n">
        <v>0</v>
      </c>
      <c r="R215" s="2" t="inlineStr"/>
    </row>
    <row r="216" ht="15" customHeight="1">
      <c r="A216" t="inlineStr">
        <is>
          <t>A 29713-2019</t>
        </is>
      </c>
      <c r="B216" s="1" t="n">
        <v>43630</v>
      </c>
      <c r="C216" s="1" t="n">
        <v>45723</v>
      </c>
      <c r="D216" t="inlineStr">
        <is>
          <t>UPPSALA LÄN</t>
        </is>
      </c>
      <c r="E216" t="inlineStr">
        <is>
          <t>UPPSALA</t>
        </is>
      </c>
      <c r="G216" t="n">
        <v>1</v>
      </c>
      <c r="H216" t="n">
        <v>0</v>
      </c>
      <c r="I216" t="n">
        <v>0</v>
      </c>
      <c r="J216" t="n">
        <v>0</v>
      </c>
      <c r="K216" t="n">
        <v>0</v>
      </c>
      <c r="L216" t="n">
        <v>0</v>
      </c>
      <c r="M216" t="n">
        <v>0</v>
      </c>
      <c r="N216" t="n">
        <v>0</v>
      </c>
      <c r="O216" t="n">
        <v>0</v>
      </c>
      <c r="P216" t="n">
        <v>0</v>
      </c>
      <c r="Q216" t="n">
        <v>0</v>
      </c>
      <c r="R216" s="2" t="inlineStr"/>
    </row>
    <row r="217" ht="15" customHeight="1">
      <c r="A217" t="inlineStr">
        <is>
          <t>A 32558-2019</t>
        </is>
      </c>
      <c r="B217" s="1" t="n">
        <v>43647</v>
      </c>
      <c r="C217" s="1" t="n">
        <v>45723</v>
      </c>
      <c r="D217" t="inlineStr">
        <is>
          <t>UPPSALA LÄN</t>
        </is>
      </c>
      <c r="E217" t="inlineStr">
        <is>
          <t>UPPSALA</t>
        </is>
      </c>
      <c r="G217" t="n">
        <v>4.2</v>
      </c>
      <c r="H217" t="n">
        <v>0</v>
      </c>
      <c r="I217" t="n">
        <v>0</v>
      </c>
      <c r="J217" t="n">
        <v>0</v>
      </c>
      <c r="K217" t="n">
        <v>0</v>
      </c>
      <c r="L217" t="n">
        <v>0</v>
      </c>
      <c r="M217" t="n">
        <v>0</v>
      </c>
      <c r="N217" t="n">
        <v>0</v>
      </c>
      <c r="O217" t="n">
        <v>0</v>
      </c>
      <c r="P217" t="n">
        <v>0</v>
      </c>
      <c r="Q217" t="n">
        <v>0</v>
      </c>
      <c r="R217" s="2" t="inlineStr"/>
    </row>
    <row r="218" ht="15" customHeight="1">
      <c r="A218" t="inlineStr">
        <is>
          <t>A 34560-2019</t>
        </is>
      </c>
      <c r="B218" s="1" t="n">
        <v>43647</v>
      </c>
      <c r="C218" s="1" t="n">
        <v>45723</v>
      </c>
      <c r="D218" t="inlineStr">
        <is>
          <t>UPPSALA LÄN</t>
        </is>
      </c>
      <c r="E218" t="inlineStr">
        <is>
          <t>UPPSALA</t>
        </is>
      </c>
      <c r="G218" t="n">
        <v>8.6</v>
      </c>
      <c r="H218" t="n">
        <v>0</v>
      </c>
      <c r="I218" t="n">
        <v>0</v>
      </c>
      <c r="J218" t="n">
        <v>0</v>
      </c>
      <c r="K218" t="n">
        <v>0</v>
      </c>
      <c r="L218" t="n">
        <v>0</v>
      </c>
      <c r="M218" t="n">
        <v>0</v>
      </c>
      <c r="N218" t="n">
        <v>0</v>
      </c>
      <c r="O218" t="n">
        <v>0</v>
      </c>
      <c r="P218" t="n">
        <v>0</v>
      </c>
      <c r="Q218" t="n">
        <v>0</v>
      </c>
      <c r="R218" s="2" t="inlineStr"/>
    </row>
    <row r="219" ht="15" customHeight="1">
      <c r="A219" t="inlineStr">
        <is>
          <t>A 32830-2019</t>
        </is>
      </c>
      <c r="B219" s="1" t="n">
        <v>43648</v>
      </c>
      <c r="C219" s="1" t="n">
        <v>45723</v>
      </c>
      <c r="D219" t="inlineStr">
        <is>
          <t>UPPSALA LÄN</t>
        </is>
      </c>
      <c r="E219" t="inlineStr">
        <is>
          <t>UPPSALA</t>
        </is>
      </c>
      <c r="G219" t="n">
        <v>13.6</v>
      </c>
      <c r="H219" t="n">
        <v>0</v>
      </c>
      <c r="I219" t="n">
        <v>0</v>
      </c>
      <c r="J219" t="n">
        <v>0</v>
      </c>
      <c r="K219" t="n">
        <v>0</v>
      </c>
      <c r="L219" t="n">
        <v>0</v>
      </c>
      <c r="M219" t="n">
        <v>0</v>
      </c>
      <c r="N219" t="n">
        <v>0</v>
      </c>
      <c r="O219" t="n">
        <v>0</v>
      </c>
      <c r="P219" t="n">
        <v>0</v>
      </c>
      <c r="Q219" t="n">
        <v>0</v>
      </c>
      <c r="R219" s="2" t="inlineStr"/>
    </row>
    <row r="220" ht="15" customHeight="1">
      <c r="A220" t="inlineStr">
        <is>
          <t>A 33602-2019</t>
        </is>
      </c>
      <c r="B220" s="1" t="n">
        <v>43651</v>
      </c>
      <c r="C220" s="1" t="n">
        <v>45723</v>
      </c>
      <c r="D220" t="inlineStr">
        <is>
          <t>UPPSALA LÄN</t>
        </is>
      </c>
      <c r="E220" t="inlineStr">
        <is>
          <t>UPPSALA</t>
        </is>
      </c>
      <c r="G220" t="n">
        <v>0.6</v>
      </c>
      <c r="H220" t="n">
        <v>0</v>
      </c>
      <c r="I220" t="n">
        <v>0</v>
      </c>
      <c r="J220" t="n">
        <v>0</v>
      </c>
      <c r="K220" t="n">
        <v>0</v>
      </c>
      <c r="L220" t="n">
        <v>0</v>
      </c>
      <c r="M220" t="n">
        <v>0</v>
      </c>
      <c r="N220" t="n">
        <v>0</v>
      </c>
      <c r="O220" t="n">
        <v>0</v>
      </c>
      <c r="P220" t="n">
        <v>0</v>
      </c>
      <c r="Q220" t="n">
        <v>0</v>
      </c>
      <c r="R220" s="2" t="inlineStr"/>
    </row>
    <row r="221" ht="15" customHeight="1">
      <c r="A221" t="inlineStr">
        <is>
          <t>A 33614-2019</t>
        </is>
      </c>
      <c r="B221" s="1" t="n">
        <v>43651</v>
      </c>
      <c r="C221" s="1" t="n">
        <v>45723</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33615-2019</t>
        </is>
      </c>
      <c r="B222" s="1" t="n">
        <v>43651</v>
      </c>
      <c r="C222" s="1" t="n">
        <v>45723</v>
      </c>
      <c r="D222" t="inlineStr">
        <is>
          <t>UPPSALA LÄN</t>
        </is>
      </c>
      <c r="E222" t="inlineStr">
        <is>
          <t>UPPSALA</t>
        </is>
      </c>
      <c r="G222" t="n">
        <v>1.4</v>
      </c>
      <c r="H222" t="n">
        <v>0</v>
      </c>
      <c r="I222" t="n">
        <v>0</v>
      </c>
      <c r="J222" t="n">
        <v>0</v>
      </c>
      <c r="K222" t="n">
        <v>0</v>
      </c>
      <c r="L222" t="n">
        <v>0</v>
      </c>
      <c r="M222" t="n">
        <v>0</v>
      </c>
      <c r="N222" t="n">
        <v>0</v>
      </c>
      <c r="O222" t="n">
        <v>0</v>
      </c>
      <c r="P222" t="n">
        <v>0</v>
      </c>
      <c r="Q222" t="n">
        <v>0</v>
      </c>
      <c r="R222" s="2" t="inlineStr"/>
    </row>
    <row r="223" ht="15" customHeight="1">
      <c r="A223" t="inlineStr">
        <is>
          <t>A 33596-2019</t>
        </is>
      </c>
      <c r="B223" s="1" t="n">
        <v>43651</v>
      </c>
      <c r="C223" s="1" t="n">
        <v>45723</v>
      </c>
      <c r="D223" t="inlineStr">
        <is>
          <t>UPPSALA LÄN</t>
        </is>
      </c>
      <c r="E223" t="inlineStr">
        <is>
          <t>UPPSALA</t>
        </is>
      </c>
      <c r="G223" t="n">
        <v>1.3</v>
      </c>
      <c r="H223" t="n">
        <v>0</v>
      </c>
      <c r="I223" t="n">
        <v>0</v>
      </c>
      <c r="J223" t="n">
        <v>0</v>
      </c>
      <c r="K223" t="n">
        <v>0</v>
      </c>
      <c r="L223" t="n">
        <v>0</v>
      </c>
      <c r="M223" t="n">
        <v>0</v>
      </c>
      <c r="N223" t="n">
        <v>0</v>
      </c>
      <c r="O223" t="n">
        <v>0</v>
      </c>
      <c r="P223" t="n">
        <v>0</v>
      </c>
      <c r="Q223" t="n">
        <v>0</v>
      </c>
      <c r="R223" s="2" t="inlineStr"/>
    </row>
    <row r="224" ht="15" customHeight="1">
      <c r="A224" t="inlineStr">
        <is>
          <t>A 34007-2019</t>
        </is>
      </c>
      <c r="B224" s="1" t="n">
        <v>43654</v>
      </c>
      <c r="C224" s="1" t="n">
        <v>45723</v>
      </c>
      <c r="D224" t="inlineStr">
        <is>
          <t>UPPSALA LÄN</t>
        </is>
      </c>
      <c r="E224" t="inlineStr">
        <is>
          <t>UPPSALA</t>
        </is>
      </c>
      <c r="G224" t="n">
        <v>2</v>
      </c>
      <c r="H224" t="n">
        <v>0</v>
      </c>
      <c r="I224" t="n">
        <v>0</v>
      </c>
      <c r="J224" t="n">
        <v>0</v>
      </c>
      <c r="K224" t="n">
        <v>0</v>
      </c>
      <c r="L224" t="n">
        <v>0</v>
      </c>
      <c r="M224" t="n">
        <v>0</v>
      </c>
      <c r="N224" t="n">
        <v>0</v>
      </c>
      <c r="O224" t="n">
        <v>0</v>
      </c>
      <c r="P224" t="n">
        <v>0</v>
      </c>
      <c r="Q224" t="n">
        <v>0</v>
      </c>
      <c r="R224" s="2" t="inlineStr"/>
    </row>
    <row r="225" ht="15" customHeight="1">
      <c r="A225" t="inlineStr">
        <is>
          <t>A 34063-2019</t>
        </is>
      </c>
      <c r="B225" s="1" t="n">
        <v>43654</v>
      </c>
      <c r="C225" s="1" t="n">
        <v>45723</v>
      </c>
      <c r="D225" t="inlineStr">
        <is>
          <t>UPPSALA LÄN</t>
        </is>
      </c>
      <c r="E225" t="inlineStr">
        <is>
          <t>UPPSALA</t>
        </is>
      </c>
      <c r="G225" t="n">
        <v>1.5</v>
      </c>
      <c r="H225" t="n">
        <v>0</v>
      </c>
      <c r="I225" t="n">
        <v>0</v>
      </c>
      <c r="J225" t="n">
        <v>0</v>
      </c>
      <c r="K225" t="n">
        <v>0</v>
      </c>
      <c r="L225" t="n">
        <v>0</v>
      </c>
      <c r="M225" t="n">
        <v>0</v>
      </c>
      <c r="N225" t="n">
        <v>0</v>
      </c>
      <c r="O225" t="n">
        <v>0</v>
      </c>
      <c r="P225" t="n">
        <v>0</v>
      </c>
      <c r="Q225" t="n">
        <v>0</v>
      </c>
      <c r="R225" s="2" t="inlineStr"/>
    </row>
    <row r="226" ht="15" customHeight="1">
      <c r="A226" t="inlineStr">
        <is>
          <t>A 34331-2019</t>
        </is>
      </c>
      <c r="B226" s="1" t="n">
        <v>43656</v>
      </c>
      <c r="C226" s="1" t="n">
        <v>45723</v>
      </c>
      <c r="D226" t="inlineStr">
        <is>
          <t>UPPSALA LÄN</t>
        </is>
      </c>
      <c r="E226" t="inlineStr">
        <is>
          <t>UPPSALA</t>
        </is>
      </c>
      <c r="G226" t="n">
        <v>2</v>
      </c>
      <c r="H226" t="n">
        <v>0</v>
      </c>
      <c r="I226" t="n">
        <v>0</v>
      </c>
      <c r="J226" t="n">
        <v>0</v>
      </c>
      <c r="K226" t="n">
        <v>0</v>
      </c>
      <c r="L226" t="n">
        <v>0</v>
      </c>
      <c r="M226" t="n">
        <v>0</v>
      </c>
      <c r="N226" t="n">
        <v>0</v>
      </c>
      <c r="O226" t="n">
        <v>0</v>
      </c>
      <c r="P226" t="n">
        <v>0</v>
      </c>
      <c r="Q226" t="n">
        <v>0</v>
      </c>
      <c r="R226" s="2" t="inlineStr"/>
    </row>
    <row r="227" ht="15" customHeight="1">
      <c r="A227" t="inlineStr">
        <is>
          <t>A 36345-2019</t>
        </is>
      </c>
      <c r="B227" s="1" t="n">
        <v>43661</v>
      </c>
      <c r="C227" s="1" t="n">
        <v>45723</v>
      </c>
      <c r="D227" t="inlineStr">
        <is>
          <t>UPPSALA LÄN</t>
        </is>
      </c>
      <c r="E227" t="inlineStr">
        <is>
          <t>UPPSALA</t>
        </is>
      </c>
      <c r="G227" t="n">
        <v>5.3</v>
      </c>
      <c r="H227" t="n">
        <v>0</v>
      </c>
      <c r="I227" t="n">
        <v>0</v>
      </c>
      <c r="J227" t="n">
        <v>0</v>
      </c>
      <c r="K227" t="n">
        <v>0</v>
      </c>
      <c r="L227" t="n">
        <v>0</v>
      </c>
      <c r="M227" t="n">
        <v>0</v>
      </c>
      <c r="N227" t="n">
        <v>0</v>
      </c>
      <c r="O227" t="n">
        <v>0</v>
      </c>
      <c r="P227" t="n">
        <v>0</v>
      </c>
      <c r="Q227" t="n">
        <v>0</v>
      </c>
      <c r="R227" s="2" t="inlineStr"/>
    </row>
    <row r="228" ht="15" customHeight="1">
      <c r="A228" t="inlineStr">
        <is>
          <t>A 36394-2019</t>
        </is>
      </c>
      <c r="B228" s="1" t="n">
        <v>43663</v>
      </c>
      <c r="C228" s="1" t="n">
        <v>45723</v>
      </c>
      <c r="D228" t="inlineStr">
        <is>
          <t>UPPSALA LÄN</t>
        </is>
      </c>
      <c r="E228" t="inlineStr">
        <is>
          <t>UPPSALA</t>
        </is>
      </c>
      <c r="G228" t="n">
        <v>2.4</v>
      </c>
      <c r="H228" t="n">
        <v>0</v>
      </c>
      <c r="I228" t="n">
        <v>0</v>
      </c>
      <c r="J228" t="n">
        <v>0</v>
      </c>
      <c r="K228" t="n">
        <v>0</v>
      </c>
      <c r="L228" t="n">
        <v>0</v>
      </c>
      <c r="M228" t="n">
        <v>0</v>
      </c>
      <c r="N228" t="n">
        <v>0</v>
      </c>
      <c r="O228" t="n">
        <v>0</v>
      </c>
      <c r="P228" t="n">
        <v>0</v>
      </c>
      <c r="Q228" t="n">
        <v>0</v>
      </c>
      <c r="R228" s="2" t="inlineStr"/>
    </row>
    <row r="229" ht="15" customHeight="1">
      <c r="A229" t="inlineStr">
        <is>
          <t>A 37234-2019</t>
        </is>
      </c>
      <c r="B229" s="1" t="n">
        <v>43677</v>
      </c>
      <c r="C229" s="1" t="n">
        <v>45723</v>
      </c>
      <c r="D229" t="inlineStr">
        <is>
          <t>UPPSALA LÄN</t>
        </is>
      </c>
      <c r="E229" t="inlineStr">
        <is>
          <t>UPPSALA</t>
        </is>
      </c>
      <c r="G229" t="n">
        <v>3.2</v>
      </c>
      <c r="H229" t="n">
        <v>0</v>
      </c>
      <c r="I229" t="n">
        <v>0</v>
      </c>
      <c r="J229" t="n">
        <v>0</v>
      </c>
      <c r="K229" t="n">
        <v>0</v>
      </c>
      <c r="L229" t="n">
        <v>0</v>
      </c>
      <c r="M229" t="n">
        <v>0</v>
      </c>
      <c r="N229" t="n">
        <v>0</v>
      </c>
      <c r="O229" t="n">
        <v>0</v>
      </c>
      <c r="P229" t="n">
        <v>0</v>
      </c>
      <c r="Q229" t="n">
        <v>0</v>
      </c>
      <c r="R229" s="2" t="inlineStr"/>
    </row>
    <row r="230" ht="15" customHeight="1">
      <c r="A230" t="inlineStr">
        <is>
          <t>A 37711-2019</t>
        </is>
      </c>
      <c r="B230" s="1" t="n">
        <v>43682</v>
      </c>
      <c r="C230" s="1" t="n">
        <v>45723</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38684-2019</t>
        </is>
      </c>
      <c r="B231" s="1" t="n">
        <v>43686</v>
      </c>
      <c r="C231" s="1" t="n">
        <v>45723</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40151-2019</t>
        </is>
      </c>
      <c r="B232" s="1" t="n">
        <v>43693</v>
      </c>
      <c r="C232" s="1" t="n">
        <v>45723</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41609-2019</t>
        </is>
      </c>
      <c r="B233" s="1" t="n">
        <v>43696</v>
      </c>
      <c r="C233" s="1" t="n">
        <v>45723</v>
      </c>
      <c r="D233" t="inlineStr">
        <is>
          <t>UPPSALA LÄN</t>
        </is>
      </c>
      <c r="E233" t="inlineStr">
        <is>
          <t>UPPSALA</t>
        </is>
      </c>
      <c r="F233" t="inlineStr">
        <is>
          <t>Övriga Aktiebolag</t>
        </is>
      </c>
      <c r="G233" t="n">
        <v>1.7</v>
      </c>
      <c r="H233" t="n">
        <v>0</v>
      </c>
      <c r="I233" t="n">
        <v>0</v>
      </c>
      <c r="J233" t="n">
        <v>0</v>
      </c>
      <c r="K233" t="n">
        <v>0</v>
      </c>
      <c r="L233" t="n">
        <v>0</v>
      </c>
      <c r="M233" t="n">
        <v>0</v>
      </c>
      <c r="N233" t="n">
        <v>0</v>
      </c>
      <c r="O233" t="n">
        <v>0</v>
      </c>
      <c r="P233" t="n">
        <v>0</v>
      </c>
      <c r="Q233" t="n">
        <v>0</v>
      </c>
      <c r="R233" s="2" t="inlineStr"/>
    </row>
    <row r="234" ht="15" customHeight="1">
      <c r="A234" t="inlineStr">
        <is>
          <t>A 41653-2019</t>
        </is>
      </c>
      <c r="B234" s="1" t="n">
        <v>43696</v>
      </c>
      <c r="C234" s="1" t="n">
        <v>45723</v>
      </c>
      <c r="D234" t="inlineStr">
        <is>
          <t>UPPSALA LÄN</t>
        </is>
      </c>
      <c r="E234" t="inlineStr">
        <is>
          <t>UPPSALA</t>
        </is>
      </c>
      <c r="G234" t="n">
        <v>5.2</v>
      </c>
      <c r="H234" t="n">
        <v>0</v>
      </c>
      <c r="I234" t="n">
        <v>0</v>
      </c>
      <c r="J234" t="n">
        <v>0</v>
      </c>
      <c r="K234" t="n">
        <v>0</v>
      </c>
      <c r="L234" t="n">
        <v>0</v>
      </c>
      <c r="M234" t="n">
        <v>0</v>
      </c>
      <c r="N234" t="n">
        <v>0</v>
      </c>
      <c r="O234" t="n">
        <v>0</v>
      </c>
      <c r="P234" t="n">
        <v>0</v>
      </c>
      <c r="Q234" t="n">
        <v>0</v>
      </c>
      <c r="R234" s="2" t="inlineStr"/>
    </row>
    <row r="235" ht="15" customHeight="1">
      <c r="A235" t="inlineStr">
        <is>
          <t>A 41524-2019</t>
        </is>
      </c>
      <c r="B235" s="1" t="n">
        <v>43699</v>
      </c>
      <c r="C235" s="1" t="n">
        <v>45723</v>
      </c>
      <c r="D235" t="inlineStr">
        <is>
          <t>UPPSALA LÄN</t>
        </is>
      </c>
      <c r="E235" t="inlineStr">
        <is>
          <t>UPPSALA</t>
        </is>
      </c>
      <c r="G235" t="n">
        <v>2.4</v>
      </c>
      <c r="H235" t="n">
        <v>0</v>
      </c>
      <c r="I235" t="n">
        <v>0</v>
      </c>
      <c r="J235" t="n">
        <v>0</v>
      </c>
      <c r="K235" t="n">
        <v>0</v>
      </c>
      <c r="L235" t="n">
        <v>0</v>
      </c>
      <c r="M235" t="n">
        <v>0</v>
      </c>
      <c r="N235" t="n">
        <v>0</v>
      </c>
      <c r="O235" t="n">
        <v>0</v>
      </c>
      <c r="P235" t="n">
        <v>0</v>
      </c>
      <c r="Q235" t="n">
        <v>0</v>
      </c>
      <c r="R235" s="2" t="inlineStr"/>
    </row>
    <row r="236" ht="15" customHeight="1">
      <c r="A236" t="inlineStr">
        <is>
          <t>A 41535-2019</t>
        </is>
      </c>
      <c r="B236" s="1" t="n">
        <v>43699</v>
      </c>
      <c r="C236" s="1" t="n">
        <v>45723</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41695-2019</t>
        </is>
      </c>
      <c r="B237" s="1" t="n">
        <v>43699</v>
      </c>
      <c r="C237" s="1" t="n">
        <v>45723</v>
      </c>
      <c r="D237" t="inlineStr">
        <is>
          <t>UPPSALA LÄN</t>
        </is>
      </c>
      <c r="E237" t="inlineStr">
        <is>
          <t>UPPSALA</t>
        </is>
      </c>
      <c r="G237" t="n">
        <v>3.1</v>
      </c>
      <c r="H237" t="n">
        <v>0</v>
      </c>
      <c r="I237" t="n">
        <v>0</v>
      </c>
      <c r="J237" t="n">
        <v>0</v>
      </c>
      <c r="K237" t="n">
        <v>0</v>
      </c>
      <c r="L237" t="n">
        <v>0</v>
      </c>
      <c r="M237" t="n">
        <v>0</v>
      </c>
      <c r="N237" t="n">
        <v>0</v>
      </c>
      <c r="O237" t="n">
        <v>0</v>
      </c>
      <c r="P237" t="n">
        <v>0</v>
      </c>
      <c r="Q237" t="n">
        <v>0</v>
      </c>
      <c r="R237" s="2" t="inlineStr"/>
    </row>
    <row r="238" ht="15" customHeight="1">
      <c r="A238" t="inlineStr">
        <is>
          <t>A 42111-2019</t>
        </is>
      </c>
      <c r="B238" s="1" t="n">
        <v>43703</v>
      </c>
      <c r="C238" s="1" t="n">
        <v>45723</v>
      </c>
      <c r="D238" t="inlineStr">
        <is>
          <t>UPPSALA LÄN</t>
        </is>
      </c>
      <c r="E238" t="inlineStr">
        <is>
          <t>UPPSALA</t>
        </is>
      </c>
      <c r="G238" t="n">
        <v>2.7</v>
      </c>
      <c r="H238" t="n">
        <v>0</v>
      </c>
      <c r="I238" t="n">
        <v>0</v>
      </c>
      <c r="J238" t="n">
        <v>0</v>
      </c>
      <c r="K238" t="n">
        <v>0</v>
      </c>
      <c r="L238" t="n">
        <v>0</v>
      </c>
      <c r="M238" t="n">
        <v>0</v>
      </c>
      <c r="N238" t="n">
        <v>0</v>
      </c>
      <c r="O238" t="n">
        <v>0</v>
      </c>
      <c r="P238" t="n">
        <v>0</v>
      </c>
      <c r="Q238" t="n">
        <v>0</v>
      </c>
      <c r="R238" s="2" t="inlineStr"/>
    </row>
    <row r="239" ht="15" customHeight="1">
      <c r="A239" t="inlineStr">
        <is>
          <t>A 42986-2019</t>
        </is>
      </c>
      <c r="B239" s="1" t="n">
        <v>43705</v>
      </c>
      <c r="C239" s="1" t="n">
        <v>45723</v>
      </c>
      <c r="D239" t="inlineStr">
        <is>
          <t>UPPSALA LÄN</t>
        </is>
      </c>
      <c r="E239" t="inlineStr">
        <is>
          <t>UPPSALA</t>
        </is>
      </c>
      <c r="G239" t="n">
        <v>1.7</v>
      </c>
      <c r="H239" t="n">
        <v>0</v>
      </c>
      <c r="I239" t="n">
        <v>0</v>
      </c>
      <c r="J239" t="n">
        <v>0</v>
      </c>
      <c r="K239" t="n">
        <v>0</v>
      </c>
      <c r="L239" t="n">
        <v>0</v>
      </c>
      <c r="M239" t="n">
        <v>0</v>
      </c>
      <c r="N239" t="n">
        <v>0</v>
      </c>
      <c r="O239" t="n">
        <v>0</v>
      </c>
      <c r="P239" t="n">
        <v>0</v>
      </c>
      <c r="Q239" t="n">
        <v>0</v>
      </c>
      <c r="R239" s="2" t="inlineStr"/>
    </row>
    <row r="240" ht="15" customHeight="1">
      <c r="A240" t="inlineStr">
        <is>
          <t>A 43222-2019</t>
        </is>
      </c>
      <c r="B240" s="1" t="n">
        <v>43706</v>
      </c>
      <c r="C240" s="1" t="n">
        <v>45723</v>
      </c>
      <c r="D240" t="inlineStr">
        <is>
          <t>UPPSALA LÄN</t>
        </is>
      </c>
      <c r="E240" t="inlineStr">
        <is>
          <t>UPPSALA</t>
        </is>
      </c>
      <c r="F240" t="inlineStr">
        <is>
          <t>Bergvik skog öst AB</t>
        </is>
      </c>
      <c r="G240" t="n">
        <v>3.6</v>
      </c>
      <c r="H240" t="n">
        <v>0</v>
      </c>
      <c r="I240" t="n">
        <v>0</v>
      </c>
      <c r="J240" t="n">
        <v>0</v>
      </c>
      <c r="K240" t="n">
        <v>0</v>
      </c>
      <c r="L240" t="n">
        <v>0</v>
      </c>
      <c r="M240" t="n">
        <v>0</v>
      </c>
      <c r="N240" t="n">
        <v>0</v>
      </c>
      <c r="O240" t="n">
        <v>0</v>
      </c>
      <c r="P240" t="n">
        <v>0</v>
      </c>
      <c r="Q240" t="n">
        <v>0</v>
      </c>
      <c r="R240" s="2" t="inlineStr"/>
    </row>
    <row r="241" ht="15" customHeight="1">
      <c r="A241" t="inlineStr">
        <is>
          <t>A 43410-2019</t>
        </is>
      </c>
      <c r="B241" s="1" t="n">
        <v>43706</v>
      </c>
      <c r="C241" s="1" t="n">
        <v>45723</v>
      </c>
      <c r="D241" t="inlineStr">
        <is>
          <t>UPPSALA LÄN</t>
        </is>
      </c>
      <c r="E241" t="inlineStr">
        <is>
          <t>UPPSALA</t>
        </is>
      </c>
      <c r="F241" t="inlineStr">
        <is>
          <t>Övriga statliga verk och myndigheter</t>
        </is>
      </c>
      <c r="G241" t="n">
        <v>8.6</v>
      </c>
      <c r="H241" t="n">
        <v>0</v>
      </c>
      <c r="I241" t="n">
        <v>0</v>
      </c>
      <c r="J241" t="n">
        <v>0</v>
      </c>
      <c r="K241" t="n">
        <v>0</v>
      </c>
      <c r="L241" t="n">
        <v>0</v>
      </c>
      <c r="M241" t="n">
        <v>0</v>
      </c>
      <c r="N241" t="n">
        <v>0</v>
      </c>
      <c r="O241" t="n">
        <v>0</v>
      </c>
      <c r="P241" t="n">
        <v>0</v>
      </c>
      <c r="Q241" t="n">
        <v>0</v>
      </c>
      <c r="R241" s="2" t="inlineStr"/>
    </row>
    <row r="242" ht="15" customHeight="1">
      <c r="A242" t="inlineStr">
        <is>
          <t>A 43715-2019</t>
        </is>
      </c>
      <c r="B242" s="1" t="n">
        <v>43706</v>
      </c>
      <c r="C242" s="1" t="n">
        <v>45723</v>
      </c>
      <c r="D242" t="inlineStr">
        <is>
          <t>UPPSALA LÄN</t>
        </is>
      </c>
      <c r="E242" t="inlineStr">
        <is>
          <t>UPPSALA</t>
        </is>
      </c>
      <c r="F242" t="inlineStr">
        <is>
          <t>Övriga statliga verk och myndigheter</t>
        </is>
      </c>
      <c r="G242" t="n">
        <v>0.8</v>
      </c>
      <c r="H242" t="n">
        <v>0</v>
      </c>
      <c r="I242" t="n">
        <v>0</v>
      </c>
      <c r="J242" t="n">
        <v>0</v>
      </c>
      <c r="K242" t="n">
        <v>0</v>
      </c>
      <c r="L242" t="n">
        <v>0</v>
      </c>
      <c r="M242" t="n">
        <v>0</v>
      </c>
      <c r="N242" t="n">
        <v>0</v>
      </c>
      <c r="O242" t="n">
        <v>0</v>
      </c>
      <c r="P242" t="n">
        <v>0</v>
      </c>
      <c r="Q242" t="n">
        <v>0</v>
      </c>
      <c r="R242" s="2" t="inlineStr"/>
    </row>
    <row r="243" ht="15" customHeight="1">
      <c r="A243" t="inlineStr">
        <is>
          <t>A 43224-2019</t>
        </is>
      </c>
      <c r="B243" s="1" t="n">
        <v>43706</v>
      </c>
      <c r="C243" s="1" t="n">
        <v>45723</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43435-2019</t>
        </is>
      </c>
      <c r="B244" s="1" t="n">
        <v>43706</v>
      </c>
      <c r="C244" s="1" t="n">
        <v>45723</v>
      </c>
      <c r="D244" t="inlineStr">
        <is>
          <t>UPPSALA LÄN</t>
        </is>
      </c>
      <c r="E244" t="inlineStr">
        <is>
          <t>UPPSALA</t>
        </is>
      </c>
      <c r="G244" t="n">
        <v>5.4</v>
      </c>
      <c r="H244" t="n">
        <v>0</v>
      </c>
      <c r="I244" t="n">
        <v>0</v>
      </c>
      <c r="J244" t="n">
        <v>0</v>
      </c>
      <c r="K244" t="n">
        <v>0</v>
      </c>
      <c r="L244" t="n">
        <v>0</v>
      </c>
      <c r="M244" t="n">
        <v>0</v>
      </c>
      <c r="N244" t="n">
        <v>0</v>
      </c>
      <c r="O244" t="n">
        <v>0</v>
      </c>
      <c r="P244" t="n">
        <v>0</v>
      </c>
      <c r="Q244" t="n">
        <v>0</v>
      </c>
      <c r="R244" s="2" t="inlineStr"/>
    </row>
    <row r="245" ht="15" customHeight="1">
      <c r="A245" t="inlineStr">
        <is>
          <t>A 43722-2019</t>
        </is>
      </c>
      <c r="B245" s="1" t="n">
        <v>43706</v>
      </c>
      <c r="C245" s="1" t="n">
        <v>45723</v>
      </c>
      <c r="D245" t="inlineStr">
        <is>
          <t>UPPSALA LÄN</t>
        </is>
      </c>
      <c r="E245" t="inlineStr">
        <is>
          <t>UPPSALA</t>
        </is>
      </c>
      <c r="F245" t="inlineStr">
        <is>
          <t>Övriga statliga verk och myndigheter</t>
        </is>
      </c>
      <c r="G245" t="n">
        <v>0.6</v>
      </c>
      <c r="H245" t="n">
        <v>0</v>
      </c>
      <c r="I245" t="n">
        <v>0</v>
      </c>
      <c r="J245" t="n">
        <v>0</v>
      </c>
      <c r="K245" t="n">
        <v>0</v>
      </c>
      <c r="L245" t="n">
        <v>0</v>
      </c>
      <c r="M245" t="n">
        <v>0</v>
      </c>
      <c r="N245" t="n">
        <v>0</v>
      </c>
      <c r="O245" t="n">
        <v>0</v>
      </c>
      <c r="P245" t="n">
        <v>0</v>
      </c>
      <c r="Q245" t="n">
        <v>0</v>
      </c>
      <c r="R245" s="2" t="inlineStr"/>
    </row>
    <row r="246" ht="15" customHeight="1">
      <c r="A246" t="inlineStr">
        <is>
          <t>A 43704-2019</t>
        </is>
      </c>
      <c r="B246" s="1" t="n">
        <v>43707</v>
      </c>
      <c r="C246" s="1" t="n">
        <v>45723</v>
      </c>
      <c r="D246" t="inlineStr">
        <is>
          <t>UPPSALA LÄN</t>
        </is>
      </c>
      <c r="E246" t="inlineStr">
        <is>
          <t>UPPSALA</t>
        </is>
      </c>
      <c r="F246" t="inlineStr">
        <is>
          <t>Bergvik skog öst AB</t>
        </is>
      </c>
      <c r="G246" t="n">
        <v>2.7</v>
      </c>
      <c r="H246" t="n">
        <v>0</v>
      </c>
      <c r="I246" t="n">
        <v>0</v>
      </c>
      <c r="J246" t="n">
        <v>0</v>
      </c>
      <c r="K246" t="n">
        <v>0</v>
      </c>
      <c r="L246" t="n">
        <v>0</v>
      </c>
      <c r="M246" t="n">
        <v>0</v>
      </c>
      <c r="N246" t="n">
        <v>0</v>
      </c>
      <c r="O246" t="n">
        <v>0</v>
      </c>
      <c r="P246" t="n">
        <v>0</v>
      </c>
      <c r="Q246" t="n">
        <v>0</v>
      </c>
      <c r="R246" s="2" t="inlineStr"/>
    </row>
    <row r="247" ht="15" customHeight="1">
      <c r="A247" t="inlineStr">
        <is>
          <t>A 43725-2019</t>
        </is>
      </c>
      <c r="B247" s="1" t="n">
        <v>43707</v>
      </c>
      <c r="C247" s="1" t="n">
        <v>45723</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44109-2019</t>
        </is>
      </c>
      <c r="B248" s="1" t="n">
        <v>43707</v>
      </c>
      <c r="C248" s="1" t="n">
        <v>45723</v>
      </c>
      <c r="D248" t="inlineStr">
        <is>
          <t>UPPSALA LÄN</t>
        </is>
      </c>
      <c r="E248" t="inlineStr">
        <is>
          <t>UPPSALA</t>
        </is>
      </c>
      <c r="F248" t="inlineStr">
        <is>
          <t>Allmännings- och besparingsskogar</t>
        </is>
      </c>
      <c r="G248" t="n">
        <v>81.3</v>
      </c>
      <c r="H248" t="n">
        <v>0</v>
      </c>
      <c r="I248" t="n">
        <v>0</v>
      </c>
      <c r="J248" t="n">
        <v>0</v>
      </c>
      <c r="K248" t="n">
        <v>0</v>
      </c>
      <c r="L248" t="n">
        <v>0</v>
      </c>
      <c r="M248" t="n">
        <v>0</v>
      </c>
      <c r="N248" t="n">
        <v>0</v>
      </c>
      <c r="O248" t="n">
        <v>0</v>
      </c>
      <c r="P248" t="n">
        <v>0</v>
      </c>
      <c r="Q248" t="n">
        <v>0</v>
      </c>
      <c r="R248" s="2" t="inlineStr"/>
    </row>
    <row r="249" ht="15" customHeight="1">
      <c r="A249" t="inlineStr">
        <is>
          <t>A 43713-2019</t>
        </is>
      </c>
      <c r="B249" s="1" t="n">
        <v>43707</v>
      </c>
      <c r="C249" s="1" t="n">
        <v>45723</v>
      </c>
      <c r="D249" t="inlineStr">
        <is>
          <t>UPPSALA LÄN</t>
        </is>
      </c>
      <c r="E249" t="inlineStr">
        <is>
          <t>UPPSALA</t>
        </is>
      </c>
      <c r="F249" t="inlineStr">
        <is>
          <t>Bergvik skog öst AB</t>
        </is>
      </c>
      <c r="G249" t="n">
        <v>7.9</v>
      </c>
      <c r="H249" t="n">
        <v>0</v>
      </c>
      <c r="I249" t="n">
        <v>0</v>
      </c>
      <c r="J249" t="n">
        <v>0</v>
      </c>
      <c r="K249" t="n">
        <v>0</v>
      </c>
      <c r="L249" t="n">
        <v>0</v>
      </c>
      <c r="M249" t="n">
        <v>0</v>
      </c>
      <c r="N249" t="n">
        <v>0</v>
      </c>
      <c r="O249" t="n">
        <v>0</v>
      </c>
      <c r="P249" t="n">
        <v>0</v>
      </c>
      <c r="Q249" t="n">
        <v>0</v>
      </c>
      <c r="R249" s="2" t="inlineStr"/>
    </row>
    <row r="250" ht="15" customHeight="1">
      <c r="A250" t="inlineStr">
        <is>
          <t>A 43853-2019</t>
        </is>
      </c>
      <c r="B250" s="1" t="n">
        <v>43707</v>
      </c>
      <c r="C250" s="1" t="n">
        <v>45723</v>
      </c>
      <c r="D250" t="inlineStr">
        <is>
          <t>UPPSALA LÄN</t>
        </is>
      </c>
      <c r="E250" t="inlineStr">
        <is>
          <t>UPPSALA</t>
        </is>
      </c>
      <c r="F250" t="inlineStr">
        <is>
          <t>Övriga statliga verk och myndigheter</t>
        </is>
      </c>
      <c r="G250" t="n">
        <v>1.8</v>
      </c>
      <c r="H250" t="n">
        <v>0</v>
      </c>
      <c r="I250" t="n">
        <v>0</v>
      </c>
      <c r="J250" t="n">
        <v>0</v>
      </c>
      <c r="K250" t="n">
        <v>0</v>
      </c>
      <c r="L250" t="n">
        <v>0</v>
      </c>
      <c r="M250" t="n">
        <v>0</v>
      </c>
      <c r="N250" t="n">
        <v>0</v>
      </c>
      <c r="O250" t="n">
        <v>0</v>
      </c>
      <c r="P250" t="n">
        <v>0</v>
      </c>
      <c r="Q250" t="n">
        <v>0</v>
      </c>
      <c r="R250" s="2" t="inlineStr"/>
    </row>
    <row r="251" ht="15" customHeight="1">
      <c r="A251" t="inlineStr">
        <is>
          <t>A 44141-2019</t>
        </is>
      </c>
      <c r="B251" s="1" t="n">
        <v>43710</v>
      </c>
      <c r="C251" s="1" t="n">
        <v>45723</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44701-2019</t>
        </is>
      </c>
      <c r="B252" s="1" t="n">
        <v>43712</v>
      </c>
      <c r="C252" s="1" t="n">
        <v>45723</v>
      </c>
      <c r="D252" t="inlineStr">
        <is>
          <t>UPPSALA LÄN</t>
        </is>
      </c>
      <c r="E252" t="inlineStr">
        <is>
          <t>UPPSALA</t>
        </is>
      </c>
      <c r="G252" t="n">
        <v>3.4</v>
      </c>
      <c r="H252" t="n">
        <v>0</v>
      </c>
      <c r="I252" t="n">
        <v>0</v>
      </c>
      <c r="J252" t="n">
        <v>0</v>
      </c>
      <c r="K252" t="n">
        <v>0</v>
      </c>
      <c r="L252" t="n">
        <v>0</v>
      </c>
      <c r="M252" t="n">
        <v>0</v>
      </c>
      <c r="N252" t="n">
        <v>0</v>
      </c>
      <c r="O252" t="n">
        <v>0</v>
      </c>
      <c r="P252" t="n">
        <v>0</v>
      </c>
      <c r="Q252" t="n">
        <v>0</v>
      </c>
      <c r="R252" s="2" t="inlineStr"/>
    </row>
    <row r="253" ht="15" customHeight="1">
      <c r="A253" t="inlineStr">
        <is>
          <t>A 44687-2019</t>
        </is>
      </c>
      <c r="B253" s="1" t="n">
        <v>43712</v>
      </c>
      <c r="C253" s="1" t="n">
        <v>45723</v>
      </c>
      <c r="D253" t="inlineStr">
        <is>
          <t>UPPSALA LÄN</t>
        </is>
      </c>
      <c r="E253" t="inlineStr">
        <is>
          <t>UPPSALA</t>
        </is>
      </c>
      <c r="G253" t="n">
        <v>3.3</v>
      </c>
      <c r="H253" t="n">
        <v>0</v>
      </c>
      <c r="I253" t="n">
        <v>0</v>
      </c>
      <c r="J253" t="n">
        <v>0</v>
      </c>
      <c r="K253" t="n">
        <v>0</v>
      </c>
      <c r="L253" t="n">
        <v>0</v>
      </c>
      <c r="M253" t="n">
        <v>0</v>
      </c>
      <c r="N253" t="n">
        <v>0</v>
      </c>
      <c r="O253" t="n">
        <v>0</v>
      </c>
      <c r="P253" t="n">
        <v>0</v>
      </c>
      <c r="Q253" t="n">
        <v>0</v>
      </c>
      <c r="R253" s="2" t="inlineStr"/>
    </row>
    <row r="254" ht="15" customHeight="1">
      <c r="A254" t="inlineStr">
        <is>
          <t>A 45010-2019</t>
        </is>
      </c>
      <c r="B254" s="1" t="n">
        <v>43713</v>
      </c>
      <c r="C254" s="1" t="n">
        <v>45723</v>
      </c>
      <c r="D254" t="inlineStr">
        <is>
          <t>UPPSALA LÄN</t>
        </is>
      </c>
      <c r="E254" t="inlineStr">
        <is>
          <t>UPPSALA</t>
        </is>
      </c>
      <c r="G254" t="n">
        <v>1</v>
      </c>
      <c r="H254" t="n">
        <v>0</v>
      </c>
      <c r="I254" t="n">
        <v>0</v>
      </c>
      <c r="J254" t="n">
        <v>0</v>
      </c>
      <c r="K254" t="n">
        <v>0</v>
      </c>
      <c r="L254" t="n">
        <v>0</v>
      </c>
      <c r="M254" t="n">
        <v>0</v>
      </c>
      <c r="N254" t="n">
        <v>0</v>
      </c>
      <c r="O254" t="n">
        <v>0</v>
      </c>
      <c r="P254" t="n">
        <v>0</v>
      </c>
      <c r="Q254" t="n">
        <v>0</v>
      </c>
      <c r="R254" s="2" t="inlineStr"/>
    </row>
    <row r="255" ht="15" customHeight="1">
      <c r="A255" t="inlineStr">
        <is>
          <t>A 45574-2019</t>
        </is>
      </c>
      <c r="B255" s="1" t="n">
        <v>43716</v>
      </c>
      <c r="C255" s="1" t="n">
        <v>45723</v>
      </c>
      <c r="D255" t="inlineStr">
        <is>
          <t>UPPSALA LÄN</t>
        </is>
      </c>
      <c r="E255" t="inlineStr">
        <is>
          <t>UPPSALA</t>
        </is>
      </c>
      <c r="G255" t="n">
        <v>0.8</v>
      </c>
      <c r="H255" t="n">
        <v>0</v>
      </c>
      <c r="I255" t="n">
        <v>0</v>
      </c>
      <c r="J255" t="n">
        <v>0</v>
      </c>
      <c r="K255" t="n">
        <v>0</v>
      </c>
      <c r="L255" t="n">
        <v>0</v>
      </c>
      <c r="M255" t="n">
        <v>0</v>
      </c>
      <c r="N255" t="n">
        <v>0</v>
      </c>
      <c r="O255" t="n">
        <v>0</v>
      </c>
      <c r="P255" t="n">
        <v>0</v>
      </c>
      <c r="Q255" t="n">
        <v>0</v>
      </c>
      <c r="R255" s="2" t="inlineStr"/>
    </row>
    <row r="256" ht="15" customHeight="1">
      <c r="A256" t="inlineStr">
        <is>
          <t>A 46311-2019</t>
        </is>
      </c>
      <c r="B256" s="1" t="n">
        <v>43718</v>
      </c>
      <c r="C256" s="1" t="n">
        <v>45723</v>
      </c>
      <c r="D256" t="inlineStr">
        <is>
          <t>UPPSALA LÄN</t>
        </is>
      </c>
      <c r="E256" t="inlineStr">
        <is>
          <t>UPPSALA</t>
        </is>
      </c>
      <c r="G256" t="n">
        <v>1.1</v>
      </c>
      <c r="H256" t="n">
        <v>0</v>
      </c>
      <c r="I256" t="n">
        <v>0</v>
      </c>
      <c r="J256" t="n">
        <v>0</v>
      </c>
      <c r="K256" t="n">
        <v>0</v>
      </c>
      <c r="L256" t="n">
        <v>0</v>
      </c>
      <c r="M256" t="n">
        <v>0</v>
      </c>
      <c r="N256" t="n">
        <v>0</v>
      </c>
      <c r="O256" t="n">
        <v>0</v>
      </c>
      <c r="P256" t="n">
        <v>0</v>
      </c>
      <c r="Q256" t="n">
        <v>0</v>
      </c>
      <c r="R256" s="2" t="inlineStr"/>
    </row>
    <row r="257" ht="15" customHeight="1">
      <c r="A257" t="inlineStr">
        <is>
          <t>A 46307-2019</t>
        </is>
      </c>
      <c r="B257" s="1" t="n">
        <v>43718</v>
      </c>
      <c r="C257" s="1" t="n">
        <v>45723</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46151-2019</t>
        </is>
      </c>
      <c r="B258" s="1" t="n">
        <v>43718</v>
      </c>
      <c r="C258" s="1" t="n">
        <v>45723</v>
      </c>
      <c r="D258" t="inlineStr">
        <is>
          <t>UPPSALA LÄN</t>
        </is>
      </c>
      <c r="E258" t="inlineStr">
        <is>
          <t>UPPSALA</t>
        </is>
      </c>
      <c r="F258" t="inlineStr">
        <is>
          <t>Övriga Aktiebolag</t>
        </is>
      </c>
      <c r="G258" t="n">
        <v>0.5</v>
      </c>
      <c r="H258" t="n">
        <v>0</v>
      </c>
      <c r="I258" t="n">
        <v>0</v>
      </c>
      <c r="J258" t="n">
        <v>0</v>
      </c>
      <c r="K258" t="n">
        <v>0</v>
      </c>
      <c r="L258" t="n">
        <v>0</v>
      </c>
      <c r="M258" t="n">
        <v>0</v>
      </c>
      <c r="N258" t="n">
        <v>0</v>
      </c>
      <c r="O258" t="n">
        <v>0</v>
      </c>
      <c r="P258" t="n">
        <v>0</v>
      </c>
      <c r="Q258" t="n">
        <v>0</v>
      </c>
      <c r="R258" s="2" t="inlineStr"/>
    </row>
    <row r="259" ht="15" customHeight="1">
      <c r="A259" t="inlineStr">
        <is>
          <t>A 46157-2019</t>
        </is>
      </c>
      <c r="B259" s="1" t="n">
        <v>43718</v>
      </c>
      <c r="C259" s="1" t="n">
        <v>45723</v>
      </c>
      <c r="D259" t="inlineStr">
        <is>
          <t>UPPSALA LÄN</t>
        </is>
      </c>
      <c r="E259" t="inlineStr">
        <is>
          <t>UPPSALA</t>
        </is>
      </c>
      <c r="F259" t="inlineStr">
        <is>
          <t>Övriga Aktiebolag</t>
        </is>
      </c>
      <c r="G259" t="n">
        <v>4.5</v>
      </c>
      <c r="H259" t="n">
        <v>0</v>
      </c>
      <c r="I259" t="n">
        <v>0</v>
      </c>
      <c r="J259" t="n">
        <v>0</v>
      </c>
      <c r="K259" t="n">
        <v>0</v>
      </c>
      <c r="L259" t="n">
        <v>0</v>
      </c>
      <c r="M259" t="n">
        <v>0</v>
      </c>
      <c r="N259" t="n">
        <v>0</v>
      </c>
      <c r="O259" t="n">
        <v>0</v>
      </c>
      <c r="P259" t="n">
        <v>0</v>
      </c>
      <c r="Q259" t="n">
        <v>0</v>
      </c>
      <c r="R259" s="2" t="inlineStr"/>
    </row>
    <row r="260" ht="15" customHeight="1">
      <c r="A260" t="inlineStr">
        <is>
          <t>A 46310-2019</t>
        </is>
      </c>
      <c r="B260" s="1" t="n">
        <v>43718</v>
      </c>
      <c r="C260" s="1" t="n">
        <v>45723</v>
      </c>
      <c r="D260" t="inlineStr">
        <is>
          <t>UPPSALA LÄN</t>
        </is>
      </c>
      <c r="E260" t="inlineStr">
        <is>
          <t>UPPSALA</t>
        </is>
      </c>
      <c r="G260" t="n">
        <v>7</v>
      </c>
      <c r="H260" t="n">
        <v>0</v>
      </c>
      <c r="I260" t="n">
        <v>0</v>
      </c>
      <c r="J260" t="n">
        <v>0</v>
      </c>
      <c r="K260" t="n">
        <v>0</v>
      </c>
      <c r="L260" t="n">
        <v>0</v>
      </c>
      <c r="M260" t="n">
        <v>0</v>
      </c>
      <c r="N260" t="n">
        <v>0</v>
      </c>
      <c r="O260" t="n">
        <v>0</v>
      </c>
      <c r="P260" t="n">
        <v>0</v>
      </c>
      <c r="Q260" t="n">
        <v>0</v>
      </c>
      <c r="R260" s="2" t="inlineStr"/>
    </row>
    <row r="261" ht="15" customHeight="1">
      <c r="A261" t="inlineStr">
        <is>
          <t>A 46147-2019</t>
        </is>
      </c>
      <c r="B261" s="1" t="n">
        <v>43718</v>
      </c>
      <c r="C261" s="1" t="n">
        <v>45723</v>
      </c>
      <c r="D261" t="inlineStr">
        <is>
          <t>UPPSALA LÄN</t>
        </is>
      </c>
      <c r="E261" t="inlineStr">
        <is>
          <t>UPPSALA</t>
        </is>
      </c>
      <c r="F261" t="inlineStr">
        <is>
          <t>Övriga Aktiebolag</t>
        </is>
      </c>
      <c r="G261" t="n">
        <v>1.7</v>
      </c>
      <c r="H261" t="n">
        <v>0</v>
      </c>
      <c r="I261" t="n">
        <v>0</v>
      </c>
      <c r="J261" t="n">
        <v>0</v>
      </c>
      <c r="K261" t="n">
        <v>0</v>
      </c>
      <c r="L261" t="n">
        <v>0</v>
      </c>
      <c r="M261" t="n">
        <v>0</v>
      </c>
      <c r="N261" t="n">
        <v>0</v>
      </c>
      <c r="O261" t="n">
        <v>0</v>
      </c>
      <c r="P261" t="n">
        <v>0</v>
      </c>
      <c r="Q261" t="n">
        <v>0</v>
      </c>
      <c r="R261" s="2" t="inlineStr"/>
    </row>
    <row r="262" ht="15" customHeight="1">
      <c r="A262" t="inlineStr">
        <is>
          <t>A 46877-2019</t>
        </is>
      </c>
      <c r="B262" s="1" t="n">
        <v>43720</v>
      </c>
      <c r="C262" s="1" t="n">
        <v>45723</v>
      </c>
      <c r="D262" t="inlineStr">
        <is>
          <t>UPPSALA LÄN</t>
        </is>
      </c>
      <c r="E262" t="inlineStr">
        <is>
          <t>UPPSALA</t>
        </is>
      </c>
      <c r="G262" t="n">
        <v>1.9</v>
      </c>
      <c r="H262" t="n">
        <v>0</v>
      </c>
      <c r="I262" t="n">
        <v>0</v>
      </c>
      <c r="J262" t="n">
        <v>0</v>
      </c>
      <c r="K262" t="n">
        <v>0</v>
      </c>
      <c r="L262" t="n">
        <v>0</v>
      </c>
      <c r="M262" t="n">
        <v>0</v>
      </c>
      <c r="N262" t="n">
        <v>0</v>
      </c>
      <c r="O262" t="n">
        <v>0</v>
      </c>
      <c r="P262" t="n">
        <v>0</v>
      </c>
      <c r="Q262" t="n">
        <v>0</v>
      </c>
      <c r="R262" s="2" t="inlineStr"/>
    </row>
    <row r="263" ht="15" customHeight="1">
      <c r="A263" t="inlineStr">
        <is>
          <t>A 46896-2019</t>
        </is>
      </c>
      <c r="B263" s="1" t="n">
        <v>43720</v>
      </c>
      <c r="C263" s="1" t="n">
        <v>45723</v>
      </c>
      <c r="D263" t="inlineStr">
        <is>
          <t>UPPSALA LÄN</t>
        </is>
      </c>
      <c r="E263" t="inlineStr">
        <is>
          <t>UPPSALA</t>
        </is>
      </c>
      <c r="G263" t="n">
        <v>0.8</v>
      </c>
      <c r="H263" t="n">
        <v>0</v>
      </c>
      <c r="I263" t="n">
        <v>0</v>
      </c>
      <c r="J263" t="n">
        <v>0</v>
      </c>
      <c r="K263" t="n">
        <v>0</v>
      </c>
      <c r="L263" t="n">
        <v>0</v>
      </c>
      <c r="M263" t="n">
        <v>0</v>
      </c>
      <c r="N263" t="n">
        <v>0</v>
      </c>
      <c r="O263" t="n">
        <v>0</v>
      </c>
      <c r="P263" t="n">
        <v>0</v>
      </c>
      <c r="Q263" t="n">
        <v>0</v>
      </c>
      <c r="R263" s="2" t="inlineStr"/>
    </row>
    <row r="264" ht="15" customHeight="1">
      <c r="A264" t="inlineStr">
        <is>
          <t>A 48485-2019</t>
        </is>
      </c>
      <c r="B264" s="1" t="n">
        <v>43727</v>
      </c>
      <c r="C264" s="1" t="n">
        <v>45723</v>
      </c>
      <c r="D264" t="inlineStr">
        <is>
          <t>UPPSALA LÄN</t>
        </is>
      </c>
      <c r="E264" t="inlineStr">
        <is>
          <t>UPPSALA</t>
        </is>
      </c>
      <c r="G264" t="n">
        <v>3</v>
      </c>
      <c r="H264" t="n">
        <v>0</v>
      </c>
      <c r="I264" t="n">
        <v>0</v>
      </c>
      <c r="J264" t="n">
        <v>0</v>
      </c>
      <c r="K264" t="n">
        <v>0</v>
      </c>
      <c r="L264" t="n">
        <v>0</v>
      </c>
      <c r="M264" t="n">
        <v>0</v>
      </c>
      <c r="N264" t="n">
        <v>0</v>
      </c>
      <c r="O264" t="n">
        <v>0</v>
      </c>
      <c r="P264" t="n">
        <v>0</v>
      </c>
      <c r="Q264" t="n">
        <v>0</v>
      </c>
      <c r="R264" s="2" t="inlineStr"/>
    </row>
    <row r="265" ht="15" customHeight="1">
      <c r="A265" t="inlineStr">
        <is>
          <t>A 49567-2019</t>
        </is>
      </c>
      <c r="B265" s="1" t="n">
        <v>43730</v>
      </c>
      <c r="C265" s="1" t="n">
        <v>45723</v>
      </c>
      <c r="D265" t="inlineStr">
        <is>
          <t>UPPSALA LÄN</t>
        </is>
      </c>
      <c r="E265" t="inlineStr">
        <is>
          <t>UPPSALA</t>
        </is>
      </c>
      <c r="G265" t="n">
        <v>6</v>
      </c>
      <c r="H265" t="n">
        <v>0</v>
      </c>
      <c r="I265" t="n">
        <v>0</v>
      </c>
      <c r="J265" t="n">
        <v>0</v>
      </c>
      <c r="K265" t="n">
        <v>0</v>
      </c>
      <c r="L265" t="n">
        <v>0</v>
      </c>
      <c r="M265" t="n">
        <v>0</v>
      </c>
      <c r="N265" t="n">
        <v>0</v>
      </c>
      <c r="O265" t="n">
        <v>0</v>
      </c>
      <c r="P265" t="n">
        <v>0</v>
      </c>
      <c r="Q265" t="n">
        <v>0</v>
      </c>
      <c r="R265" s="2" t="inlineStr"/>
    </row>
    <row r="266" ht="15" customHeight="1">
      <c r="A266" t="inlineStr">
        <is>
          <t>A 50180-2019</t>
        </is>
      </c>
      <c r="B266" s="1" t="n">
        <v>43733</v>
      </c>
      <c r="C266" s="1" t="n">
        <v>45723</v>
      </c>
      <c r="D266" t="inlineStr">
        <is>
          <t>UPPSALA LÄN</t>
        </is>
      </c>
      <c r="E266" t="inlineStr">
        <is>
          <t>UPPSALA</t>
        </is>
      </c>
      <c r="F266" t="inlineStr">
        <is>
          <t>Allmännings- och besparingsskogar</t>
        </is>
      </c>
      <c r="G266" t="n">
        <v>3.7</v>
      </c>
      <c r="H266" t="n">
        <v>0</v>
      </c>
      <c r="I266" t="n">
        <v>0</v>
      </c>
      <c r="J266" t="n">
        <v>0</v>
      </c>
      <c r="K266" t="n">
        <v>0</v>
      </c>
      <c r="L266" t="n">
        <v>0</v>
      </c>
      <c r="M266" t="n">
        <v>0</v>
      </c>
      <c r="N266" t="n">
        <v>0</v>
      </c>
      <c r="O266" t="n">
        <v>0</v>
      </c>
      <c r="P266" t="n">
        <v>0</v>
      </c>
      <c r="Q266" t="n">
        <v>0</v>
      </c>
      <c r="R266" s="2" t="inlineStr"/>
    </row>
    <row r="267" ht="15" customHeight="1">
      <c r="A267" t="inlineStr">
        <is>
          <t>A 50387-2019</t>
        </is>
      </c>
      <c r="B267" s="1" t="n">
        <v>43735</v>
      </c>
      <c r="C267" s="1" t="n">
        <v>45723</v>
      </c>
      <c r="D267" t="inlineStr">
        <is>
          <t>UPPSALA LÄN</t>
        </is>
      </c>
      <c r="E267" t="inlineStr">
        <is>
          <t>UPPSALA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50415-2019</t>
        </is>
      </c>
      <c r="B268" s="1" t="n">
        <v>43735</v>
      </c>
      <c r="C268" s="1" t="n">
        <v>45723</v>
      </c>
      <c r="D268" t="inlineStr">
        <is>
          <t>UPPSALA LÄN</t>
        </is>
      </c>
      <c r="E268" t="inlineStr">
        <is>
          <t>UPPSALA</t>
        </is>
      </c>
      <c r="F268" t="inlineStr">
        <is>
          <t>Kyrkan</t>
        </is>
      </c>
      <c r="G268" t="n">
        <v>13.6</v>
      </c>
      <c r="H268" t="n">
        <v>0</v>
      </c>
      <c r="I268" t="n">
        <v>0</v>
      </c>
      <c r="J268" t="n">
        <v>0</v>
      </c>
      <c r="K268" t="n">
        <v>0</v>
      </c>
      <c r="L268" t="n">
        <v>0</v>
      </c>
      <c r="M268" t="n">
        <v>0</v>
      </c>
      <c r="N268" t="n">
        <v>0</v>
      </c>
      <c r="O268" t="n">
        <v>0</v>
      </c>
      <c r="P268" t="n">
        <v>0</v>
      </c>
      <c r="Q268" t="n">
        <v>0</v>
      </c>
      <c r="R268" s="2" t="inlineStr"/>
    </row>
    <row r="269" ht="15" customHeight="1">
      <c r="A269" t="inlineStr">
        <is>
          <t>A 50616-2019</t>
        </is>
      </c>
      <c r="B269" s="1" t="n">
        <v>43736</v>
      </c>
      <c r="C269" s="1" t="n">
        <v>45723</v>
      </c>
      <c r="D269" t="inlineStr">
        <is>
          <t>UPPSALA LÄN</t>
        </is>
      </c>
      <c r="E269" t="inlineStr">
        <is>
          <t>UPPSALA</t>
        </is>
      </c>
      <c r="G269" t="n">
        <v>4.8</v>
      </c>
      <c r="H269" t="n">
        <v>0</v>
      </c>
      <c r="I269" t="n">
        <v>0</v>
      </c>
      <c r="J269" t="n">
        <v>0</v>
      </c>
      <c r="K269" t="n">
        <v>0</v>
      </c>
      <c r="L269" t="n">
        <v>0</v>
      </c>
      <c r="M269" t="n">
        <v>0</v>
      </c>
      <c r="N269" t="n">
        <v>0</v>
      </c>
      <c r="O269" t="n">
        <v>0</v>
      </c>
      <c r="P269" t="n">
        <v>0</v>
      </c>
      <c r="Q269" t="n">
        <v>0</v>
      </c>
      <c r="R269" s="2" t="inlineStr"/>
    </row>
    <row r="270" ht="15" customHeight="1">
      <c r="A270" t="inlineStr">
        <is>
          <t>A 52386-2019</t>
        </is>
      </c>
      <c r="B270" s="1" t="n">
        <v>43745</v>
      </c>
      <c r="C270" s="1" t="n">
        <v>45723</v>
      </c>
      <c r="D270" t="inlineStr">
        <is>
          <t>UPPSALA LÄN</t>
        </is>
      </c>
      <c r="E270" t="inlineStr">
        <is>
          <t>UPPSALA</t>
        </is>
      </c>
      <c r="G270" t="n">
        <v>15.7</v>
      </c>
      <c r="H270" t="n">
        <v>0</v>
      </c>
      <c r="I270" t="n">
        <v>0</v>
      </c>
      <c r="J270" t="n">
        <v>0</v>
      </c>
      <c r="K270" t="n">
        <v>0</v>
      </c>
      <c r="L270" t="n">
        <v>0</v>
      </c>
      <c r="M270" t="n">
        <v>0</v>
      </c>
      <c r="N270" t="n">
        <v>0</v>
      </c>
      <c r="O270" t="n">
        <v>0</v>
      </c>
      <c r="P270" t="n">
        <v>0</v>
      </c>
      <c r="Q270" t="n">
        <v>0</v>
      </c>
      <c r="R270" s="2" t="inlineStr"/>
    </row>
    <row r="271" ht="15" customHeight="1">
      <c r="A271" t="inlineStr">
        <is>
          <t>A 52419-2019</t>
        </is>
      </c>
      <c r="B271" s="1" t="n">
        <v>43745</v>
      </c>
      <c r="C271" s="1" t="n">
        <v>45723</v>
      </c>
      <c r="D271" t="inlineStr">
        <is>
          <t>UPPSALA LÄN</t>
        </is>
      </c>
      <c r="E271" t="inlineStr">
        <is>
          <t>UPPSALA</t>
        </is>
      </c>
      <c r="F271" t="inlineStr">
        <is>
          <t>Allmännings- och besparingsskogar</t>
        </is>
      </c>
      <c r="G271" t="n">
        <v>5.3</v>
      </c>
      <c r="H271" t="n">
        <v>0</v>
      </c>
      <c r="I271" t="n">
        <v>0</v>
      </c>
      <c r="J271" t="n">
        <v>0</v>
      </c>
      <c r="K271" t="n">
        <v>0</v>
      </c>
      <c r="L271" t="n">
        <v>0</v>
      </c>
      <c r="M271" t="n">
        <v>0</v>
      </c>
      <c r="N271" t="n">
        <v>0</v>
      </c>
      <c r="O271" t="n">
        <v>0</v>
      </c>
      <c r="P271" t="n">
        <v>0</v>
      </c>
      <c r="Q271" t="n">
        <v>0</v>
      </c>
      <c r="R271" s="2" t="inlineStr"/>
    </row>
    <row r="272" ht="15" customHeight="1">
      <c r="A272" t="inlineStr">
        <is>
          <t>A 52950-2019</t>
        </is>
      </c>
      <c r="B272" s="1" t="n">
        <v>43747</v>
      </c>
      <c r="C272" s="1" t="n">
        <v>45723</v>
      </c>
      <c r="D272" t="inlineStr">
        <is>
          <t>UPPSALA LÄN</t>
        </is>
      </c>
      <c r="E272" t="inlineStr">
        <is>
          <t>UPPSALA</t>
        </is>
      </c>
      <c r="G272" t="n">
        <v>0.2</v>
      </c>
      <c r="H272" t="n">
        <v>0</v>
      </c>
      <c r="I272" t="n">
        <v>0</v>
      </c>
      <c r="J272" t="n">
        <v>0</v>
      </c>
      <c r="K272" t="n">
        <v>0</v>
      </c>
      <c r="L272" t="n">
        <v>0</v>
      </c>
      <c r="M272" t="n">
        <v>0</v>
      </c>
      <c r="N272" t="n">
        <v>0</v>
      </c>
      <c r="O272" t="n">
        <v>0</v>
      </c>
      <c r="P272" t="n">
        <v>0</v>
      </c>
      <c r="Q272" t="n">
        <v>0</v>
      </c>
      <c r="R272" s="2" t="inlineStr"/>
    </row>
    <row r="273" ht="15" customHeight="1">
      <c r="A273" t="inlineStr">
        <is>
          <t>A 53303-2019</t>
        </is>
      </c>
      <c r="B273" s="1" t="n">
        <v>43747</v>
      </c>
      <c r="C273" s="1" t="n">
        <v>45723</v>
      </c>
      <c r="D273" t="inlineStr">
        <is>
          <t>UPPSALA LÄN</t>
        </is>
      </c>
      <c r="E273" t="inlineStr">
        <is>
          <t>UPPSALA</t>
        </is>
      </c>
      <c r="F273" t="inlineStr">
        <is>
          <t>Allmännings- och besparingsskogar</t>
        </is>
      </c>
      <c r="G273" t="n">
        <v>17.5</v>
      </c>
      <c r="H273" t="n">
        <v>0</v>
      </c>
      <c r="I273" t="n">
        <v>0</v>
      </c>
      <c r="J273" t="n">
        <v>0</v>
      </c>
      <c r="K273" t="n">
        <v>0</v>
      </c>
      <c r="L273" t="n">
        <v>0</v>
      </c>
      <c r="M273" t="n">
        <v>0</v>
      </c>
      <c r="N273" t="n">
        <v>0</v>
      </c>
      <c r="O273" t="n">
        <v>0</v>
      </c>
      <c r="P273" t="n">
        <v>0</v>
      </c>
      <c r="Q273" t="n">
        <v>0</v>
      </c>
      <c r="R273" s="2" t="inlineStr"/>
    </row>
    <row r="274" ht="15" customHeight="1">
      <c r="A274" t="inlineStr">
        <is>
          <t>A 53316-2019</t>
        </is>
      </c>
      <c r="B274" s="1" t="n">
        <v>43748</v>
      </c>
      <c r="C274" s="1" t="n">
        <v>45723</v>
      </c>
      <c r="D274" t="inlineStr">
        <is>
          <t>UPPSALA LÄN</t>
        </is>
      </c>
      <c r="E274" t="inlineStr">
        <is>
          <t>UPPSALA</t>
        </is>
      </c>
      <c r="G274" t="n">
        <v>2.3</v>
      </c>
      <c r="H274" t="n">
        <v>0</v>
      </c>
      <c r="I274" t="n">
        <v>0</v>
      </c>
      <c r="J274" t="n">
        <v>0</v>
      </c>
      <c r="K274" t="n">
        <v>0</v>
      </c>
      <c r="L274" t="n">
        <v>0</v>
      </c>
      <c r="M274" t="n">
        <v>0</v>
      </c>
      <c r="N274" t="n">
        <v>0</v>
      </c>
      <c r="O274" t="n">
        <v>0</v>
      </c>
      <c r="P274" t="n">
        <v>0</v>
      </c>
      <c r="Q274" t="n">
        <v>0</v>
      </c>
      <c r="R274" s="2" t="inlineStr"/>
    </row>
    <row r="275" ht="15" customHeight="1">
      <c r="A275" t="inlineStr">
        <is>
          <t>A 54757-2019</t>
        </is>
      </c>
      <c r="B275" s="1" t="n">
        <v>43755</v>
      </c>
      <c r="C275" s="1" t="n">
        <v>45723</v>
      </c>
      <c r="D275" t="inlineStr">
        <is>
          <t>UPPSALA LÄN</t>
        </is>
      </c>
      <c r="E275" t="inlineStr">
        <is>
          <t>UPPSALA</t>
        </is>
      </c>
      <c r="F275" t="inlineStr">
        <is>
          <t>Övriga statliga verk och myndigheter</t>
        </is>
      </c>
      <c r="G275" t="n">
        <v>1.5</v>
      </c>
      <c r="H275" t="n">
        <v>0</v>
      </c>
      <c r="I275" t="n">
        <v>0</v>
      </c>
      <c r="J275" t="n">
        <v>0</v>
      </c>
      <c r="K275" t="n">
        <v>0</v>
      </c>
      <c r="L275" t="n">
        <v>0</v>
      </c>
      <c r="M275" t="n">
        <v>0</v>
      </c>
      <c r="N275" t="n">
        <v>0</v>
      </c>
      <c r="O275" t="n">
        <v>0</v>
      </c>
      <c r="P275" t="n">
        <v>0</v>
      </c>
      <c r="Q275" t="n">
        <v>0</v>
      </c>
      <c r="R275" s="2" t="inlineStr"/>
    </row>
    <row r="276" ht="15" customHeight="1">
      <c r="A276" t="inlineStr">
        <is>
          <t>A 56041-2019</t>
        </is>
      </c>
      <c r="B276" s="1" t="n">
        <v>43759</v>
      </c>
      <c r="C276" s="1" t="n">
        <v>45723</v>
      </c>
      <c r="D276" t="inlineStr">
        <is>
          <t>UPPSALA LÄN</t>
        </is>
      </c>
      <c r="E276" t="inlineStr">
        <is>
          <t>UPPSALA</t>
        </is>
      </c>
      <c r="G276" t="n">
        <v>0.7</v>
      </c>
      <c r="H276" t="n">
        <v>0</v>
      </c>
      <c r="I276" t="n">
        <v>0</v>
      </c>
      <c r="J276" t="n">
        <v>0</v>
      </c>
      <c r="K276" t="n">
        <v>0</v>
      </c>
      <c r="L276" t="n">
        <v>0</v>
      </c>
      <c r="M276" t="n">
        <v>0</v>
      </c>
      <c r="N276" t="n">
        <v>0</v>
      </c>
      <c r="O276" t="n">
        <v>0</v>
      </c>
      <c r="P276" t="n">
        <v>0</v>
      </c>
      <c r="Q276" t="n">
        <v>0</v>
      </c>
      <c r="R276" s="2" t="inlineStr"/>
    </row>
    <row r="277" ht="15" customHeight="1">
      <c r="A277" t="inlineStr">
        <is>
          <t>A 56634-2019</t>
        </is>
      </c>
      <c r="B277" s="1" t="n">
        <v>43763</v>
      </c>
      <c r="C277" s="1" t="n">
        <v>45723</v>
      </c>
      <c r="D277" t="inlineStr">
        <is>
          <t>UPPSALA LÄN</t>
        </is>
      </c>
      <c r="E277" t="inlineStr">
        <is>
          <t>UPPSALA</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58445-2019</t>
        </is>
      </c>
      <c r="B278" s="1" t="n">
        <v>43773</v>
      </c>
      <c r="C278" s="1" t="n">
        <v>45723</v>
      </c>
      <c r="D278" t="inlineStr">
        <is>
          <t>UPPSALA LÄN</t>
        </is>
      </c>
      <c r="E278" t="inlineStr">
        <is>
          <t>UPPSALA</t>
        </is>
      </c>
      <c r="G278" t="n">
        <v>5</v>
      </c>
      <c r="H278" t="n">
        <v>0</v>
      </c>
      <c r="I278" t="n">
        <v>0</v>
      </c>
      <c r="J278" t="n">
        <v>0</v>
      </c>
      <c r="K278" t="n">
        <v>0</v>
      </c>
      <c r="L278" t="n">
        <v>0</v>
      </c>
      <c r="M278" t="n">
        <v>0</v>
      </c>
      <c r="N278" t="n">
        <v>0</v>
      </c>
      <c r="O278" t="n">
        <v>0</v>
      </c>
      <c r="P278" t="n">
        <v>0</v>
      </c>
      <c r="Q278" t="n">
        <v>0</v>
      </c>
      <c r="R278" s="2" t="inlineStr"/>
    </row>
    <row r="279" ht="15" customHeight="1">
      <c r="A279" t="inlineStr">
        <is>
          <t>A 58527-2019</t>
        </is>
      </c>
      <c r="B279" s="1" t="n">
        <v>43773</v>
      </c>
      <c r="C279" s="1" t="n">
        <v>45723</v>
      </c>
      <c r="D279" t="inlineStr">
        <is>
          <t>UPPSALA LÄN</t>
        </is>
      </c>
      <c r="E279" t="inlineStr">
        <is>
          <t>UPPSALA</t>
        </is>
      </c>
      <c r="G279" t="n">
        <v>0.6</v>
      </c>
      <c r="H279" t="n">
        <v>0</v>
      </c>
      <c r="I279" t="n">
        <v>0</v>
      </c>
      <c r="J279" t="n">
        <v>0</v>
      </c>
      <c r="K279" t="n">
        <v>0</v>
      </c>
      <c r="L279" t="n">
        <v>0</v>
      </c>
      <c r="M279" t="n">
        <v>0</v>
      </c>
      <c r="N279" t="n">
        <v>0</v>
      </c>
      <c r="O279" t="n">
        <v>0</v>
      </c>
      <c r="P279" t="n">
        <v>0</v>
      </c>
      <c r="Q279" t="n">
        <v>0</v>
      </c>
      <c r="R279" s="2" t="inlineStr"/>
    </row>
    <row r="280" ht="15" customHeight="1">
      <c r="A280" t="inlineStr">
        <is>
          <t>A 58903-2019</t>
        </is>
      </c>
      <c r="B280" s="1" t="n">
        <v>43773</v>
      </c>
      <c r="C280" s="1" t="n">
        <v>45723</v>
      </c>
      <c r="D280" t="inlineStr">
        <is>
          <t>UPPSALA LÄN</t>
        </is>
      </c>
      <c r="E280" t="inlineStr">
        <is>
          <t>UPPSALA</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60011-2019</t>
        </is>
      </c>
      <c r="B281" s="1" t="n">
        <v>43777</v>
      </c>
      <c r="C281" s="1" t="n">
        <v>45723</v>
      </c>
      <c r="D281" t="inlineStr">
        <is>
          <t>UPPSALA LÄN</t>
        </is>
      </c>
      <c r="E281" t="inlineStr">
        <is>
          <t>UPPSALA</t>
        </is>
      </c>
      <c r="G281" t="n">
        <v>1.5</v>
      </c>
      <c r="H281" t="n">
        <v>0</v>
      </c>
      <c r="I281" t="n">
        <v>0</v>
      </c>
      <c r="J281" t="n">
        <v>0</v>
      </c>
      <c r="K281" t="n">
        <v>0</v>
      </c>
      <c r="L281" t="n">
        <v>0</v>
      </c>
      <c r="M281" t="n">
        <v>0</v>
      </c>
      <c r="N281" t="n">
        <v>0</v>
      </c>
      <c r="O281" t="n">
        <v>0</v>
      </c>
      <c r="P281" t="n">
        <v>0</v>
      </c>
      <c r="Q281" t="n">
        <v>0</v>
      </c>
      <c r="R281" s="2" t="inlineStr"/>
    </row>
    <row r="282" ht="15" customHeight="1">
      <c r="A282" t="inlineStr">
        <is>
          <t>A 60159-2019</t>
        </is>
      </c>
      <c r="B282" s="1" t="n">
        <v>43777</v>
      </c>
      <c r="C282" s="1" t="n">
        <v>45723</v>
      </c>
      <c r="D282" t="inlineStr">
        <is>
          <t>UPPSALA LÄN</t>
        </is>
      </c>
      <c r="E282" t="inlineStr">
        <is>
          <t>UPPSALA</t>
        </is>
      </c>
      <c r="F282" t="inlineStr">
        <is>
          <t>Övriga Aktiebolag</t>
        </is>
      </c>
      <c r="G282" t="n">
        <v>1.5</v>
      </c>
      <c r="H282" t="n">
        <v>0</v>
      </c>
      <c r="I282" t="n">
        <v>0</v>
      </c>
      <c r="J282" t="n">
        <v>0</v>
      </c>
      <c r="K282" t="n">
        <v>0</v>
      </c>
      <c r="L282" t="n">
        <v>0</v>
      </c>
      <c r="M282" t="n">
        <v>0</v>
      </c>
      <c r="N282" t="n">
        <v>0</v>
      </c>
      <c r="O282" t="n">
        <v>0</v>
      </c>
      <c r="P282" t="n">
        <v>0</v>
      </c>
      <c r="Q282" t="n">
        <v>0</v>
      </c>
      <c r="R282" s="2" t="inlineStr"/>
    </row>
    <row r="283" ht="15" customHeight="1">
      <c r="A283" t="inlineStr">
        <is>
          <t>A 60163-2019</t>
        </is>
      </c>
      <c r="B283" s="1" t="n">
        <v>43780</v>
      </c>
      <c r="C283" s="1" t="n">
        <v>45723</v>
      </c>
      <c r="D283" t="inlineStr">
        <is>
          <t>UPPSALA LÄN</t>
        </is>
      </c>
      <c r="E283" t="inlineStr">
        <is>
          <t>UPPSALA</t>
        </is>
      </c>
      <c r="F283" t="inlineStr">
        <is>
          <t>Övriga Aktiebolag</t>
        </is>
      </c>
      <c r="G283" t="n">
        <v>2</v>
      </c>
      <c r="H283" t="n">
        <v>0</v>
      </c>
      <c r="I283" t="n">
        <v>0</v>
      </c>
      <c r="J283" t="n">
        <v>0</v>
      </c>
      <c r="K283" t="n">
        <v>0</v>
      </c>
      <c r="L283" t="n">
        <v>0</v>
      </c>
      <c r="M283" t="n">
        <v>0</v>
      </c>
      <c r="N283" t="n">
        <v>0</v>
      </c>
      <c r="O283" t="n">
        <v>0</v>
      </c>
      <c r="P283" t="n">
        <v>0</v>
      </c>
      <c r="Q283" t="n">
        <v>0</v>
      </c>
      <c r="R283" s="2" t="inlineStr"/>
    </row>
    <row r="284" ht="15" customHeight="1">
      <c r="A284" t="inlineStr">
        <is>
          <t>A 60579-2019</t>
        </is>
      </c>
      <c r="B284" s="1" t="n">
        <v>43780</v>
      </c>
      <c r="C284" s="1" t="n">
        <v>45723</v>
      </c>
      <c r="D284" t="inlineStr">
        <is>
          <t>UPPSALA LÄN</t>
        </is>
      </c>
      <c r="E284" t="inlineStr">
        <is>
          <t>UPPSALA</t>
        </is>
      </c>
      <c r="F284" t="inlineStr">
        <is>
          <t>Övriga Aktiebolag</t>
        </is>
      </c>
      <c r="G284" t="n">
        <v>3.8</v>
      </c>
      <c r="H284" t="n">
        <v>0</v>
      </c>
      <c r="I284" t="n">
        <v>0</v>
      </c>
      <c r="J284" t="n">
        <v>0</v>
      </c>
      <c r="K284" t="n">
        <v>0</v>
      </c>
      <c r="L284" t="n">
        <v>0</v>
      </c>
      <c r="M284" t="n">
        <v>0</v>
      </c>
      <c r="N284" t="n">
        <v>0</v>
      </c>
      <c r="O284" t="n">
        <v>0</v>
      </c>
      <c r="P284" t="n">
        <v>0</v>
      </c>
      <c r="Q284" t="n">
        <v>0</v>
      </c>
      <c r="R284" s="2" t="inlineStr"/>
    </row>
    <row r="285" ht="15" customHeight="1">
      <c r="A285" t="inlineStr">
        <is>
          <t>A 62308-2019</t>
        </is>
      </c>
      <c r="B285" s="1" t="n">
        <v>43782</v>
      </c>
      <c r="C285" s="1" t="n">
        <v>45723</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61667-2019</t>
        </is>
      </c>
      <c r="B286" s="1" t="n">
        <v>43784</v>
      </c>
      <c r="C286" s="1" t="n">
        <v>45723</v>
      </c>
      <c r="D286" t="inlineStr">
        <is>
          <t>UPPSALA LÄN</t>
        </is>
      </c>
      <c r="E286" t="inlineStr">
        <is>
          <t>UPPSALA</t>
        </is>
      </c>
      <c r="G286" t="n">
        <v>2.4</v>
      </c>
      <c r="H286" t="n">
        <v>0</v>
      </c>
      <c r="I286" t="n">
        <v>0</v>
      </c>
      <c r="J286" t="n">
        <v>0</v>
      </c>
      <c r="K286" t="n">
        <v>0</v>
      </c>
      <c r="L286" t="n">
        <v>0</v>
      </c>
      <c r="M286" t="n">
        <v>0</v>
      </c>
      <c r="N286" t="n">
        <v>0</v>
      </c>
      <c r="O286" t="n">
        <v>0</v>
      </c>
      <c r="P286" t="n">
        <v>0</v>
      </c>
      <c r="Q286" t="n">
        <v>0</v>
      </c>
      <c r="R286" s="2" t="inlineStr"/>
    </row>
    <row r="287" ht="15" customHeight="1">
      <c r="A287" t="inlineStr">
        <is>
          <t>A 63145-2019</t>
        </is>
      </c>
      <c r="B287" s="1" t="n">
        <v>43791</v>
      </c>
      <c r="C287" s="1" t="n">
        <v>45723</v>
      </c>
      <c r="D287" t="inlineStr">
        <is>
          <t>UPPSALA LÄN</t>
        </is>
      </c>
      <c r="E287" t="inlineStr">
        <is>
          <t>UPPSALA</t>
        </is>
      </c>
      <c r="G287" t="n">
        <v>1.8</v>
      </c>
      <c r="H287" t="n">
        <v>0</v>
      </c>
      <c r="I287" t="n">
        <v>0</v>
      </c>
      <c r="J287" t="n">
        <v>0</v>
      </c>
      <c r="K287" t="n">
        <v>0</v>
      </c>
      <c r="L287" t="n">
        <v>0</v>
      </c>
      <c r="M287" t="n">
        <v>0</v>
      </c>
      <c r="N287" t="n">
        <v>0</v>
      </c>
      <c r="O287" t="n">
        <v>0</v>
      </c>
      <c r="P287" t="n">
        <v>0</v>
      </c>
      <c r="Q287" t="n">
        <v>0</v>
      </c>
      <c r="R287" s="2" t="inlineStr"/>
    </row>
    <row r="288" ht="15" customHeight="1">
      <c r="A288" t="inlineStr">
        <is>
          <t>A 63091-2019</t>
        </is>
      </c>
      <c r="B288" s="1" t="n">
        <v>43791</v>
      </c>
      <c r="C288" s="1" t="n">
        <v>45723</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63099-2019</t>
        </is>
      </c>
      <c r="B289" s="1" t="n">
        <v>43791</v>
      </c>
      <c r="C289" s="1" t="n">
        <v>45723</v>
      </c>
      <c r="D289" t="inlineStr">
        <is>
          <t>UPPSALA LÄN</t>
        </is>
      </c>
      <c r="E289" t="inlineStr">
        <is>
          <t>UPPSALA</t>
        </is>
      </c>
      <c r="G289" t="n">
        <v>4.4</v>
      </c>
      <c r="H289" t="n">
        <v>0</v>
      </c>
      <c r="I289" t="n">
        <v>0</v>
      </c>
      <c r="J289" t="n">
        <v>0</v>
      </c>
      <c r="K289" t="n">
        <v>0</v>
      </c>
      <c r="L289" t="n">
        <v>0</v>
      </c>
      <c r="M289" t="n">
        <v>0</v>
      </c>
      <c r="N289" t="n">
        <v>0</v>
      </c>
      <c r="O289" t="n">
        <v>0</v>
      </c>
      <c r="P289" t="n">
        <v>0</v>
      </c>
      <c r="Q289" t="n">
        <v>0</v>
      </c>
      <c r="R289" s="2" t="inlineStr"/>
    </row>
    <row r="290" ht="15" customHeight="1">
      <c r="A290" t="inlineStr">
        <is>
          <t>A 63118-2019</t>
        </is>
      </c>
      <c r="B290" s="1" t="n">
        <v>43791</v>
      </c>
      <c r="C290" s="1" t="n">
        <v>45723</v>
      </c>
      <c r="D290" t="inlineStr">
        <is>
          <t>UPPSALA LÄN</t>
        </is>
      </c>
      <c r="E290" t="inlineStr">
        <is>
          <t>UPPSALA</t>
        </is>
      </c>
      <c r="G290" t="n">
        <v>2.7</v>
      </c>
      <c r="H290" t="n">
        <v>0</v>
      </c>
      <c r="I290" t="n">
        <v>0</v>
      </c>
      <c r="J290" t="n">
        <v>0</v>
      </c>
      <c r="K290" t="n">
        <v>0</v>
      </c>
      <c r="L290" t="n">
        <v>0</v>
      </c>
      <c r="M290" t="n">
        <v>0</v>
      </c>
      <c r="N290" t="n">
        <v>0</v>
      </c>
      <c r="O290" t="n">
        <v>0</v>
      </c>
      <c r="P290" t="n">
        <v>0</v>
      </c>
      <c r="Q290" t="n">
        <v>0</v>
      </c>
      <c r="R290" s="2" t="inlineStr"/>
    </row>
    <row r="291" ht="15" customHeight="1">
      <c r="A291" t="inlineStr">
        <is>
          <t>A 63589-2019</t>
        </is>
      </c>
      <c r="B291" s="1" t="n">
        <v>43795</v>
      </c>
      <c r="C291" s="1" t="n">
        <v>45723</v>
      </c>
      <c r="D291" t="inlineStr">
        <is>
          <t>UPPSALA LÄN</t>
        </is>
      </c>
      <c r="E291" t="inlineStr">
        <is>
          <t>UPPSALA</t>
        </is>
      </c>
      <c r="G291" t="n">
        <v>3.8</v>
      </c>
      <c r="H291" t="n">
        <v>0</v>
      </c>
      <c r="I291" t="n">
        <v>0</v>
      </c>
      <c r="J291" t="n">
        <v>0</v>
      </c>
      <c r="K291" t="n">
        <v>0</v>
      </c>
      <c r="L291" t="n">
        <v>0</v>
      </c>
      <c r="M291" t="n">
        <v>0</v>
      </c>
      <c r="N291" t="n">
        <v>0</v>
      </c>
      <c r="O291" t="n">
        <v>0</v>
      </c>
      <c r="P291" t="n">
        <v>0</v>
      </c>
      <c r="Q291" t="n">
        <v>0</v>
      </c>
      <c r="R291" s="2" t="inlineStr"/>
    </row>
    <row r="292" ht="15" customHeight="1">
      <c r="A292" t="inlineStr">
        <is>
          <t>A 63757-2019</t>
        </is>
      </c>
      <c r="B292" s="1" t="n">
        <v>43795</v>
      </c>
      <c r="C292" s="1" t="n">
        <v>45723</v>
      </c>
      <c r="D292" t="inlineStr">
        <is>
          <t>UPPSALA LÄN</t>
        </is>
      </c>
      <c r="E292" t="inlineStr">
        <is>
          <t>UPPSALA</t>
        </is>
      </c>
      <c r="G292" t="n">
        <v>6.9</v>
      </c>
      <c r="H292" t="n">
        <v>0</v>
      </c>
      <c r="I292" t="n">
        <v>0</v>
      </c>
      <c r="J292" t="n">
        <v>0</v>
      </c>
      <c r="K292" t="n">
        <v>0</v>
      </c>
      <c r="L292" t="n">
        <v>0</v>
      </c>
      <c r="M292" t="n">
        <v>0</v>
      </c>
      <c r="N292" t="n">
        <v>0</v>
      </c>
      <c r="O292" t="n">
        <v>0</v>
      </c>
      <c r="P292" t="n">
        <v>0</v>
      </c>
      <c r="Q292" t="n">
        <v>0</v>
      </c>
      <c r="R292" s="2" t="inlineStr"/>
    </row>
    <row r="293" ht="15" customHeight="1">
      <c r="A293" t="inlineStr">
        <is>
          <t>A 63756-2019</t>
        </is>
      </c>
      <c r="B293" s="1" t="n">
        <v>43795</v>
      </c>
      <c r="C293" s="1" t="n">
        <v>45723</v>
      </c>
      <c r="D293" t="inlineStr">
        <is>
          <t>UPPSALA LÄN</t>
        </is>
      </c>
      <c r="E293" t="inlineStr">
        <is>
          <t>UPPSALA</t>
        </is>
      </c>
      <c r="G293" t="n">
        <v>6.5</v>
      </c>
      <c r="H293" t="n">
        <v>0</v>
      </c>
      <c r="I293" t="n">
        <v>0</v>
      </c>
      <c r="J293" t="n">
        <v>0</v>
      </c>
      <c r="K293" t="n">
        <v>0</v>
      </c>
      <c r="L293" t="n">
        <v>0</v>
      </c>
      <c r="M293" t="n">
        <v>0</v>
      </c>
      <c r="N293" t="n">
        <v>0</v>
      </c>
      <c r="O293" t="n">
        <v>0</v>
      </c>
      <c r="P293" t="n">
        <v>0</v>
      </c>
      <c r="Q293" t="n">
        <v>0</v>
      </c>
      <c r="R293" s="2" t="inlineStr"/>
    </row>
    <row r="294" ht="15" customHeight="1">
      <c r="A294" t="inlineStr">
        <is>
          <t>A 64836-2019</t>
        </is>
      </c>
      <c r="B294" s="1" t="n">
        <v>43801</v>
      </c>
      <c r="C294" s="1" t="n">
        <v>45723</v>
      </c>
      <c r="D294" t="inlineStr">
        <is>
          <t>UPPSALA LÄN</t>
        </is>
      </c>
      <c r="E294" t="inlineStr">
        <is>
          <t>UPPSALA</t>
        </is>
      </c>
      <c r="G294" t="n">
        <v>0.5</v>
      </c>
      <c r="H294" t="n">
        <v>0</v>
      </c>
      <c r="I294" t="n">
        <v>0</v>
      </c>
      <c r="J294" t="n">
        <v>0</v>
      </c>
      <c r="K294" t="n">
        <v>0</v>
      </c>
      <c r="L294" t="n">
        <v>0</v>
      </c>
      <c r="M294" t="n">
        <v>0</v>
      </c>
      <c r="N294" t="n">
        <v>0</v>
      </c>
      <c r="O294" t="n">
        <v>0</v>
      </c>
      <c r="P294" t="n">
        <v>0</v>
      </c>
      <c r="Q294" t="n">
        <v>0</v>
      </c>
      <c r="R294" s="2" t="inlineStr"/>
    </row>
    <row r="295" ht="15" customHeight="1">
      <c r="A295" t="inlineStr">
        <is>
          <t>A 64834-2019</t>
        </is>
      </c>
      <c r="B295" s="1" t="n">
        <v>43801</v>
      </c>
      <c r="C295" s="1" t="n">
        <v>45723</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65527-2019</t>
        </is>
      </c>
      <c r="B296" s="1" t="n">
        <v>43803</v>
      </c>
      <c r="C296" s="1" t="n">
        <v>45723</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65668-2019</t>
        </is>
      </c>
      <c r="B297" s="1" t="n">
        <v>43804</v>
      </c>
      <c r="C297" s="1" t="n">
        <v>45723</v>
      </c>
      <c r="D297" t="inlineStr">
        <is>
          <t>UPPSALA LÄN</t>
        </is>
      </c>
      <c r="E297" t="inlineStr">
        <is>
          <t>UPPSALA</t>
        </is>
      </c>
      <c r="G297" t="n">
        <v>7.6</v>
      </c>
      <c r="H297" t="n">
        <v>0</v>
      </c>
      <c r="I297" t="n">
        <v>0</v>
      </c>
      <c r="J297" t="n">
        <v>0</v>
      </c>
      <c r="K297" t="n">
        <v>0</v>
      </c>
      <c r="L297" t="n">
        <v>0</v>
      </c>
      <c r="M297" t="n">
        <v>0</v>
      </c>
      <c r="N297" t="n">
        <v>0</v>
      </c>
      <c r="O297" t="n">
        <v>0</v>
      </c>
      <c r="P297" t="n">
        <v>0</v>
      </c>
      <c r="Q297" t="n">
        <v>0</v>
      </c>
      <c r="R297" s="2" t="inlineStr"/>
    </row>
    <row r="298" ht="15" customHeight="1">
      <c r="A298" t="inlineStr">
        <is>
          <t>A 66167-2019</t>
        </is>
      </c>
      <c r="B298" s="1" t="n">
        <v>43808</v>
      </c>
      <c r="C298" s="1" t="n">
        <v>45723</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66270-2019</t>
        </is>
      </c>
      <c r="B299" s="1" t="n">
        <v>43808</v>
      </c>
      <c r="C299" s="1" t="n">
        <v>45723</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67108-2019</t>
        </is>
      </c>
      <c r="B300" s="1" t="n">
        <v>43811</v>
      </c>
      <c r="C300" s="1" t="n">
        <v>45723</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67281-2019</t>
        </is>
      </c>
      <c r="B301" s="1" t="n">
        <v>43812</v>
      </c>
      <c r="C301" s="1" t="n">
        <v>45723</v>
      </c>
      <c r="D301" t="inlineStr">
        <is>
          <t>UPPSALA LÄN</t>
        </is>
      </c>
      <c r="E301" t="inlineStr">
        <is>
          <t>UPPSALA</t>
        </is>
      </c>
      <c r="F301" t="inlineStr">
        <is>
          <t>Allmännings- och besparingsskogar</t>
        </is>
      </c>
      <c r="G301" t="n">
        <v>1.2</v>
      </c>
      <c r="H301" t="n">
        <v>0</v>
      </c>
      <c r="I301" t="n">
        <v>0</v>
      </c>
      <c r="J301" t="n">
        <v>0</v>
      </c>
      <c r="K301" t="n">
        <v>0</v>
      </c>
      <c r="L301" t="n">
        <v>0</v>
      </c>
      <c r="M301" t="n">
        <v>0</v>
      </c>
      <c r="N301" t="n">
        <v>0</v>
      </c>
      <c r="O301" t="n">
        <v>0</v>
      </c>
      <c r="P301" t="n">
        <v>0</v>
      </c>
      <c r="Q301" t="n">
        <v>0</v>
      </c>
      <c r="R301" s="2" t="inlineStr"/>
    </row>
    <row r="302" ht="15" customHeight="1">
      <c r="A302" t="inlineStr">
        <is>
          <t>A 67508-2019</t>
        </is>
      </c>
      <c r="B302" s="1" t="n">
        <v>43814</v>
      </c>
      <c r="C302" s="1" t="n">
        <v>45723</v>
      </c>
      <c r="D302" t="inlineStr">
        <is>
          <t>UPPSALA LÄN</t>
        </is>
      </c>
      <c r="E302" t="inlineStr">
        <is>
          <t>UPPSALA</t>
        </is>
      </c>
      <c r="F302" t="inlineStr">
        <is>
          <t>Allmännings- och besparingsskogar</t>
        </is>
      </c>
      <c r="G302" t="n">
        <v>4.9</v>
      </c>
      <c r="H302" t="n">
        <v>0</v>
      </c>
      <c r="I302" t="n">
        <v>0</v>
      </c>
      <c r="J302" t="n">
        <v>0</v>
      </c>
      <c r="K302" t="n">
        <v>0</v>
      </c>
      <c r="L302" t="n">
        <v>0</v>
      </c>
      <c r="M302" t="n">
        <v>0</v>
      </c>
      <c r="N302" t="n">
        <v>0</v>
      </c>
      <c r="O302" t="n">
        <v>0</v>
      </c>
      <c r="P302" t="n">
        <v>0</v>
      </c>
      <c r="Q302" t="n">
        <v>0</v>
      </c>
      <c r="R302" s="2" t="inlineStr"/>
    </row>
    <row r="303" ht="15" customHeight="1">
      <c r="A303" t="inlineStr">
        <is>
          <t>A 67504-2019</t>
        </is>
      </c>
      <c r="B303" s="1" t="n">
        <v>43814</v>
      </c>
      <c r="C303" s="1" t="n">
        <v>45723</v>
      </c>
      <c r="D303" t="inlineStr">
        <is>
          <t>UPPSALA LÄN</t>
        </is>
      </c>
      <c r="E303" t="inlineStr">
        <is>
          <t>UPPSALA</t>
        </is>
      </c>
      <c r="F303" t="inlineStr">
        <is>
          <t>Allmännings- och besparingsskogar</t>
        </is>
      </c>
      <c r="G303" t="n">
        <v>21.9</v>
      </c>
      <c r="H303" t="n">
        <v>0</v>
      </c>
      <c r="I303" t="n">
        <v>0</v>
      </c>
      <c r="J303" t="n">
        <v>0</v>
      </c>
      <c r="K303" t="n">
        <v>0</v>
      </c>
      <c r="L303" t="n">
        <v>0</v>
      </c>
      <c r="M303" t="n">
        <v>0</v>
      </c>
      <c r="N303" t="n">
        <v>0</v>
      </c>
      <c r="O303" t="n">
        <v>0</v>
      </c>
      <c r="P303" t="n">
        <v>0</v>
      </c>
      <c r="Q303" t="n">
        <v>0</v>
      </c>
      <c r="R303" s="2" t="inlineStr"/>
    </row>
    <row r="304" ht="15" customHeight="1">
      <c r="A304" t="inlineStr">
        <is>
          <t>A 67720-2019</t>
        </is>
      </c>
      <c r="B304" s="1" t="n">
        <v>43815</v>
      </c>
      <c r="C304" s="1" t="n">
        <v>45723</v>
      </c>
      <c r="D304" t="inlineStr">
        <is>
          <t>UPPSALA LÄN</t>
        </is>
      </c>
      <c r="E304" t="inlineStr">
        <is>
          <t>UPPSALA</t>
        </is>
      </c>
      <c r="G304" t="n">
        <v>0.5</v>
      </c>
      <c r="H304" t="n">
        <v>0</v>
      </c>
      <c r="I304" t="n">
        <v>0</v>
      </c>
      <c r="J304" t="n">
        <v>0</v>
      </c>
      <c r="K304" t="n">
        <v>0</v>
      </c>
      <c r="L304" t="n">
        <v>0</v>
      </c>
      <c r="M304" t="n">
        <v>0</v>
      </c>
      <c r="N304" t="n">
        <v>0</v>
      </c>
      <c r="O304" t="n">
        <v>0</v>
      </c>
      <c r="P304" t="n">
        <v>0</v>
      </c>
      <c r="Q304" t="n">
        <v>0</v>
      </c>
      <c r="R304" s="2" t="inlineStr"/>
    </row>
    <row r="305" ht="15" customHeight="1">
      <c r="A305" t="inlineStr">
        <is>
          <t>A 67592-2019</t>
        </is>
      </c>
      <c r="B305" s="1" t="n">
        <v>43815</v>
      </c>
      <c r="C305" s="1" t="n">
        <v>45723</v>
      </c>
      <c r="D305" t="inlineStr">
        <is>
          <t>UPPSALA LÄN</t>
        </is>
      </c>
      <c r="E305" t="inlineStr">
        <is>
          <t>UPPSALA</t>
        </is>
      </c>
      <c r="F305" t="inlineStr">
        <is>
          <t>Övriga statliga verk och myndigheter</t>
        </is>
      </c>
      <c r="G305" t="n">
        <v>0.8</v>
      </c>
      <c r="H305" t="n">
        <v>0</v>
      </c>
      <c r="I305" t="n">
        <v>0</v>
      </c>
      <c r="J305" t="n">
        <v>0</v>
      </c>
      <c r="K305" t="n">
        <v>0</v>
      </c>
      <c r="L305" t="n">
        <v>0</v>
      </c>
      <c r="M305" t="n">
        <v>0</v>
      </c>
      <c r="N305" t="n">
        <v>0</v>
      </c>
      <c r="O305" t="n">
        <v>0</v>
      </c>
      <c r="P305" t="n">
        <v>0</v>
      </c>
      <c r="Q305" t="n">
        <v>0</v>
      </c>
      <c r="R305" s="2" t="inlineStr"/>
    </row>
    <row r="306" ht="15" customHeight="1">
      <c r="A306" t="inlineStr">
        <is>
          <t>A 68264-2019</t>
        </is>
      </c>
      <c r="B306" s="1" t="n">
        <v>43817</v>
      </c>
      <c r="C306" s="1" t="n">
        <v>45723</v>
      </c>
      <c r="D306" t="inlineStr">
        <is>
          <t>UPPSALA LÄN</t>
        </is>
      </c>
      <c r="E306" t="inlineStr">
        <is>
          <t>UPPSALA</t>
        </is>
      </c>
      <c r="G306" t="n">
        <v>2.9</v>
      </c>
      <c r="H306" t="n">
        <v>0</v>
      </c>
      <c r="I306" t="n">
        <v>0</v>
      </c>
      <c r="J306" t="n">
        <v>0</v>
      </c>
      <c r="K306" t="n">
        <v>0</v>
      </c>
      <c r="L306" t="n">
        <v>0</v>
      </c>
      <c r="M306" t="n">
        <v>0</v>
      </c>
      <c r="N306" t="n">
        <v>0</v>
      </c>
      <c r="O306" t="n">
        <v>0</v>
      </c>
      <c r="P306" t="n">
        <v>0</v>
      </c>
      <c r="Q306" t="n">
        <v>0</v>
      </c>
      <c r="R306" s="2" t="inlineStr"/>
    </row>
    <row r="307" ht="15" customHeight="1">
      <c r="A307" t="inlineStr">
        <is>
          <t>A 68265-2019</t>
        </is>
      </c>
      <c r="B307" s="1" t="n">
        <v>43817</v>
      </c>
      <c r="C307" s="1" t="n">
        <v>45723</v>
      </c>
      <c r="D307" t="inlineStr">
        <is>
          <t>UPPSALA LÄN</t>
        </is>
      </c>
      <c r="E307" t="inlineStr">
        <is>
          <t>UPPSALA</t>
        </is>
      </c>
      <c r="G307" t="n">
        <v>2.4</v>
      </c>
      <c r="H307" t="n">
        <v>0</v>
      </c>
      <c r="I307" t="n">
        <v>0</v>
      </c>
      <c r="J307" t="n">
        <v>0</v>
      </c>
      <c r="K307" t="n">
        <v>0</v>
      </c>
      <c r="L307" t="n">
        <v>0</v>
      </c>
      <c r="M307" t="n">
        <v>0</v>
      </c>
      <c r="N307" t="n">
        <v>0</v>
      </c>
      <c r="O307" t="n">
        <v>0</v>
      </c>
      <c r="P307" t="n">
        <v>0</v>
      </c>
      <c r="Q307" t="n">
        <v>0</v>
      </c>
      <c r="R307" s="2" t="inlineStr"/>
    </row>
    <row r="308" ht="15" customHeight="1">
      <c r="A308" t="inlineStr">
        <is>
          <t>A 68317-2019</t>
        </is>
      </c>
      <c r="B308" s="1" t="n">
        <v>43818</v>
      </c>
      <c r="C308" s="1" t="n">
        <v>45723</v>
      </c>
      <c r="D308" t="inlineStr">
        <is>
          <t>UPPSALA LÄN</t>
        </is>
      </c>
      <c r="E308" t="inlineStr">
        <is>
          <t>UPPSALA</t>
        </is>
      </c>
      <c r="G308" t="n">
        <v>1.1</v>
      </c>
      <c r="H308" t="n">
        <v>0</v>
      </c>
      <c r="I308" t="n">
        <v>0</v>
      </c>
      <c r="J308" t="n">
        <v>0</v>
      </c>
      <c r="K308" t="n">
        <v>0</v>
      </c>
      <c r="L308" t="n">
        <v>0</v>
      </c>
      <c r="M308" t="n">
        <v>0</v>
      </c>
      <c r="N308" t="n">
        <v>0</v>
      </c>
      <c r="O308" t="n">
        <v>0</v>
      </c>
      <c r="P308" t="n">
        <v>0</v>
      </c>
      <c r="Q308" t="n">
        <v>0</v>
      </c>
      <c r="R308" s="2" t="inlineStr"/>
    </row>
    <row r="309" ht="15" customHeight="1">
      <c r="A309" t="inlineStr">
        <is>
          <t>A 68316-2019</t>
        </is>
      </c>
      <c r="B309" s="1" t="n">
        <v>43818</v>
      </c>
      <c r="C309" s="1" t="n">
        <v>45723</v>
      </c>
      <c r="D309" t="inlineStr">
        <is>
          <t>UPPSALA LÄN</t>
        </is>
      </c>
      <c r="E309" t="inlineStr">
        <is>
          <t>UPPSALA</t>
        </is>
      </c>
      <c r="G309" t="n">
        <v>2.5</v>
      </c>
      <c r="H309" t="n">
        <v>0</v>
      </c>
      <c r="I309" t="n">
        <v>0</v>
      </c>
      <c r="J309" t="n">
        <v>0</v>
      </c>
      <c r="K309" t="n">
        <v>0</v>
      </c>
      <c r="L309" t="n">
        <v>0</v>
      </c>
      <c r="M309" t="n">
        <v>0</v>
      </c>
      <c r="N309" t="n">
        <v>0</v>
      </c>
      <c r="O309" t="n">
        <v>0</v>
      </c>
      <c r="P309" t="n">
        <v>0</v>
      </c>
      <c r="Q309" t="n">
        <v>0</v>
      </c>
      <c r="R309" s="2" t="inlineStr"/>
    </row>
    <row r="310" ht="15" customHeight="1">
      <c r="A310" t="inlineStr">
        <is>
          <t>A 68908-2019</t>
        </is>
      </c>
      <c r="B310" s="1" t="n">
        <v>43822</v>
      </c>
      <c r="C310" s="1" t="n">
        <v>45723</v>
      </c>
      <c r="D310" t="inlineStr">
        <is>
          <t>UPPSALA LÄN</t>
        </is>
      </c>
      <c r="E310" t="inlineStr">
        <is>
          <t>UPPSALA</t>
        </is>
      </c>
      <c r="G310" t="n">
        <v>4</v>
      </c>
      <c r="H310" t="n">
        <v>0</v>
      </c>
      <c r="I310" t="n">
        <v>0</v>
      </c>
      <c r="J310" t="n">
        <v>0</v>
      </c>
      <c r="K310" t="n">
        <v>0</v>
      </c>
      <c r="L310" t="n">
        <v>0</v>
      </c>
      <c r="M310" t="n">
        <v>0</v>
      </c>
      <c r="N310" t="n">
        <v>0</v>
      </c>
      <c r="O310" t="n">
        <v>0</v>
      </c>
      <c r="P310" t="n">
        <v>0</v>
      </c>
      <c r="Q310" t="n">
        <v>0</v>
      </c>
      <c r="R310" s="2" t="inlineStr"/>
    </row>
    <row r="311" ht="15" customHeight="1">
      <c r="A311" t="inlineStr">
        <is>
          <t>A 529-2020</t>
        </is>
      </c>
      <c r="B311" s="1" t="n">
        <v>43837</v>
      </c>
      <c r="C311" s="1" t="n">
        <v>45723</v>
      </c>
      <c r="D311" t="inlineStr">
        <is>
          <t>UPPSALA LÄN</t>
        </is>
      </c>
      <c r="E311" t="inlineStr">
        <is>
          <t>UPPSALA</t>
        </is>
      </c>
      <c r="G311" t="n">
        <v>1.6</v>
      </c>
      <c r="H311" t="n">
        <v>0</v>
      </c>
      <c r="I311" t="n">
        <v>0</v>
      </c>
      <c r="J311" t="n">
        <v>0</v>
      </c>
      <c r="K311" t="n">
        <v>0</v>
      </c>
      <c r="L311" t="n">
        <v>0</v>
      </c>
      <c r="M311" t="n">
        <v>0</v>
      </c>
      <c r="N311" t="n">
        <v>0</v>
      </c>
      <c r="O311" t="n">
        <v>0</v>
      </c>
      <c r="P311" t="n">
        <v>0</v>
      </c>
      <c r="Q311" t="n">
        <v>0</v>
      </c>
      <c r="R311" s="2" t="inlineStr"/>
    </row>
    <row r="312" ht="15" customHeight="1">
      <c r="A312" t="inlineStr">
        <is>
          <t>A 1891-2020</t>
        </is>
      </c>
      <c r="B312" s="1" t="n">
        <v>43837</v>
      </c>
      <c r="C312" s="1" t="n">
        <v>45723</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701-2020</t>
        </is>
      </c>
      <c r="B313" s="1" t="n">
        <v>43838</v>
      </c>
      <c r="C313" s="1" t="n">
        <v>45723</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1171-2020</t>
        </is>
      </c>
      <c r="B314" s="1" t="n">
        <v>43840</v>
      </c>
      <c r="C314" s="1" t="n">
        <v>45723</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1688-2020</t>
        </is>
      </c>
      <c r="B315" s="1" t="n">
        <v>43844</v>
      </c>
      <c r="C315" s="1" t="n">
        <v>45723</v>
      </c>
      <c r="D315" t="inlineStr">
        <is>
          <t>UPPSALA LÄN</t>
        </is>
      </c>
      <c r="E315" t="inlineStr">
        <is>
          <t>UPPSALA</t>
        </is>
      </c>
      <c r="G315" t="n">
        <v>1.5</v>
      </c>
      <c r="H315" t="n">
        <v>0</v>
      </c>
      <c r="I315" t="n">
        <v>0</v>
      </c>
      <c r="J315" t="n">
        <v>0</v>
      </c>
      <c r="K315" t="n">
        <v>0</v>
      </c>
      <c r="L315" t="n">
        <v>0</v>
      </c>
      <c r="M315" t="n">
        <v>0</v>
      </c>
      <c r="N315" t="n">
        <v>0</v>
      </c>
      <c r="O315" t="n">
        <v>0</v>
      </c>
      <c r="P315" t="n">
        <v>0</v>
      </c>
      <c r="Q315" t="n">
        <v>0</v>
      </c>
      <c r="R315" s="2" t="inlineStr"/>
    </row>
    <row r="316" ht="15" customHeight="1">
      <c r="A316" t="inlineStr">
        <is>
          <t>A 2162-2020</t>
        </is>
      </c>
      <c r="B316" s="1" t="n">
        <v>43846</v>
      </c>
      <c r="C316" s="1" t="n">
        <v>45723</v>
      </c>
      <c r="D316" t="inlineStr">
        <is>
          <t>UPPSALA LÄN</t>
        </is>
      </c>
      <c r="E316" t="inlineStr">
        <is>
          <t>UPPSALA</t>
        </is>
      </c>
      <c r="G316" t="n">
        <v>2.5</v>
      </c>
      <c r="H316" t="n">
        <v>0</v>
      </c>
      <c r="I316" t="n">
        <v>0</v>
      </c>
      <c r="J316" t="n">
        <v>0</v>
      </c>
      <c r="K316" t="n">
        <v>0</v>
      </c>
      <c r="L316" t="n">
        <v>0</v>
      </c>
      <c r="M316" t="n">
        <v>0</v>
      </c>
      <c r="N316" t="n">
        <v>0</v>
      </c>
      <c r="O316" t="n">
        <v>0</v>
      </c>
      <c r="P316" t="n">
        <v>0</v>
      </c>
      <c r="Q316" t="n">
        <v>0</v>
      </c>
      <c r="R316" s="2" t="inlineStr"/>
    </row>
    <row r="317" ht="15" customHeight="1">
      <c r="A317" t="inlineStr">
        <is>
          <t>A 2895-2020</t>
        </is>
      </c>
      <c r="B317" s="1" t="n">
        <v>43850</v>
      </c>
      <c r="C317" s="1" t="n">
        <v>45723</v>
      </c>
      <c r="D317" t="inlineStr">
        <is>
          <t>UPPSALA LÄN</t>
        </is>
      </c>
      <c r="E317" t="inlineStr">
        <is>
          <t>UPPSALA</t>
        </is>
      </c>
      <c r="G317" t="n">
        <v>3.8</v>
      </c>
      <c r="H317" t="n">
        <v>0</v>
      </c>
      <c r="I317" t="n">
        <v>0</v>
      </c>
      <c r="J317" t="n">
        <v>0</v>
      </c>
      <c r="K317" t="n">
        <v>0</v>
      </c>
      <c r="L317" t="n">
        <v>0</v>
      </c>
      <c r="M317" t="n">
        <v>0</v>
      </c>
      <c r="N317" t="n">
        <v>0</v>
      </c>
      <c r="O317" t="n">
        <v>0</v>
      </c>
      <c r="P317" t="n">
        <v>0</v>
      </c>
      <c r="Q317" t="n">
        <v>0</v>
      </c>
      <c r="R317" s="2" t="inlineStr"/>
    </row>
    <row r="318" ht="15" customHeight="1">
      <c r="A318" t="inlineStr">
        <is>
          <t>A 3693-2020</t>
        </is>
      </c>
      <c r="B318" s="1" t="n">
        <v>43853</v>
      </c>
      <c r="C318" s="1" t="n">
        <v>45723</v>
      </c>
      <c r="D318" t="inlineStr">
        <is>
          <t>UPPSALA LÄN</t>
        </is>
      </c>
      <c r="E318" t="inlineStr">
        <is>
          <t>UPPSALA</t>
        </is>
      </c>
      <c r="F318" t="inlineStr">
        <is>
          <t>Bergvik skog öst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3516-2020</t>
        </is>
      </c>
      <c r="B319" s="1" t="n">
        <v>43853</v>
      </c>
      <c r="C319" s="1" t="n">
        <v>45723</v>
      </c>
      <c r="D319" t="inlineStr">
        <is>
          <t>UPPSALA LÄN</t>
        </is>
      </c>
      <c r="E319" t="inlineStr">
        <is>
          <t>UPPSALA</t>
        </is>
      </c>
      <c r="G319" t="n">
        <v>9.4</v>
      </c>
      <c r="H319" t="n">
        <v>0</v>
      </c>
      <c r="I319" t="n">
        <v>0</v>
      </c>
      <c r="J319" t="n">
        <v>0</v>
      </c>
      <c r="K319" t="n">
        <v>0</v>
      </c>
      <c r="L319" t="n">
        <v>0</v>
      </c>
      <c r="M319" t="n">
        <v>0</v>
      </c>
      <c r="N319" t="n">
        <v>0</v>
      </c>
      <c r="O319" t="n">
        <v>0</v>
      </c>
      <c r="P319" t="n">
        <v>0</v>
      </c>
      <c r="Q319" t="n">
        <v>0</v>
      </c>
      <c r="R319" s="2" t="inlineStr"/>
    </row>
    <row r="320" ht="15" customHeight="1">
      <c r="A320" t="inlineStr">
        <is>
          <t>A 6313-2020</t>
        </is>
      </c>
      <c r="B320" s="1" t="n">
        <v>43866</v>
      </c>
      <c r="C320" s="1" t="n">
        <v>45723</v>
      </c>
      <c r="D320" t="inlineStr">
        <is>
          <t>UPPSALA LÄN</t>
        </is>
      </c>
      <c r="E320" t="inlineStr">
        <is>
          <t>UPPSALA</t>
        </is>
      </c>
      <c r="F320" t="inlineStr">
        <is>
          <t>Övriga statliga verk och myndigheter</t>
        </is>
      </c>
      <c r="G320" t="n">
        <v>3.4</v>
      </c>
      <c r="H320" t="n">
        <v>0</v>
      </c>
      <c r="I320" t="n">
        <v>0</v>
      </c>
      <c r="J320" t="n">
        <v>0</v>
      </c>
      <c r="K320" t="n">
        <v>0</v>
      </c>
      <c r="L320" t="n">
        <v>0</v>
      </c>
      <c r="M320" t="n">
        <v>0</v>
      </c>
      <c r="N320" t="n">
        <v>0</v>
      </c>
      <c r="O320" t="n">
        <v>0</v>
      </c>
      <c r="P320" t="n">
        <v>0</v>
      </c>
      <c r="Q320" t="n">
        <v>0</v>
      </c>
      <c r="R320" s="2" t="inlineStr"/>
    </row>
    <row r="321" ht="15" customHeight="1">
      <c r="A321" t="inlineStr">
        <is>
          <t>A 6315-2020</t>
        </is>
      </c>
      <c r="B321" s="1" t="n">
        <v>43866</v>
      </c>
      <c r="C321" s="1" t="n">
        <v>45723</v>
      </c>
      <c r="D321" t="inlineStr">
        <is>
          <t>UPPSALA LÄN</t>
        </is>
      </c>
      <c r="E321" t="inlineStr">
        <is>
          <t>UPPSALA</t>
        </is>
      </c>
      <c r="F321" t="inlineStr">
        <is>
          <t>Övriga statliga verk och myndigheter</t>
        </is>
      </c>
      <c r="G321" t="n">
        <v>1.9</v>
      </c>
      <c r="H321" t="n">
        <v>0</v>
      </c>
      <c r="I321" t="n">
        <v>0</v>
      </c>
      <c r="J321" t="n">
        <v>0</v>
      </c>
      <c r="K321" t="n">
        <v>0</v>
      </c>
      <c r="L321" t="n">
        <v>0</v>
      </c>
      <c r="M321" t="n">
        <v>0</v>
      </c>
      <c r="N321" t="n">
        <v>0</v>
      </c>
      <c r="O321" t="n">
        <v>0</v>
      </c>
      <c r="P321" t="n">
        <v>0</v>
      </c>
      <c r="Q321" t="n">
        <v>0</v>
      </c>
      <c r="R321" s="2" t="inlineStr"/>
    </row>
    <row r="322" ht="15" customHeight="1">
      <c r="A322" t="inlineStr">
        <is>
          <t>A 6655-2020</t>
        </is>
      </c>
      <c r="B322" s="1" t="n">
        <v>43867</v>
      </c>
      <c r="C322" s="1" t="n">
        <v>45723</v>
      </c>
      <c r="D322" t="inlineStr">
        <is>
          <t>UPPSALA LÄN</t>
        </is>
      </c>
      <c r="E322" t="inlineStr">
        <is>
          <t>UPPSALA</t>
        </is>
      </c>
      <c r="G322" t="n">
        <v>7.3</v>
      </c>
      <c r="H322" t="n">
        <v>0</v>
      </c>
      <c r="I322" t="n">
        <v>0</v>
      </c>
      <c r="J322" t="n">
        <v>0</v>
      </c>
      <c r="K322" t="n">
        <v>0</v>
      </c>
      <c r="L322" t="n">
        <v>0</v>
      </c>
      <c r="M322" t="n">
        <v>0</v>
      </c>
      <c r="N322" t="n">
        <v>0</v>
      </c>
      <c r="O322" t="n">
        <v>0</v>
      </c>
      <c r="P322" t="n">
        <v>0</v>
      </c>
      <c r="Q322" t="n">
        <v>0</v>
      </c>
      <c r="R322" s="2" t="inlineStr"/>
    </row>
    <row r="323" ht="15" customHeight="1">
      <c r="A323" t="inlineStr">
        <is>
          <t>A 8261-2020</t>
        </is>
      </c>
      <c r="B323" s="1" t="n">
        <v>43874</v>
      </c>
      <c r="C323" s="1" t="n">
        <v>45723</v>
      </c>
      <c r="D323" t="inlineStr">
        <is>
          <t>UPPSALA LÄN</t>
        </is>
      </c>
      <c r="E323" t="inlineStr">
        <is>
          <t>UPPSALA</t>
        </is>
      </c>
      <c r="G323" t="n">
        <v>5.1</v>
      </c>
      <c r="H323" t="n">
        <v>0</v>
      </c>
      <c r="I323" t="n">
        <v>0</v>
      </c>
      <c r="J323" t="n">
        <v>0</v>
      </c>
      <c r="K323" t="n">
        <v>0</v>
      </c>
      <c r="L323" t="n">
        <v>0</v>
      </c>
      <c r="M323" t="n">
        <v>0</v>
      </c>
      <c r="N323" t="n">
        <v>0</v>
      </c>
      <c r="O323" t="n">
        <v>0</v>
      </c>
      <c r="P323" t="n">
        <v>0</v>
      </c>
      <c r="Q323" t="n">
        <v>0</v>
      </c>
      <c r="R323" s="2" t="inlineStr"/>
    </row>
    <row r="324" ht="15" customHeight="1">
      <c r="A324" t="inlineStr">
        <is>
          <t>A 8646-2020</t>
        </is>
      </c>
      <c r="B324" s="1" t="n">
        <v>43878</v>
      </c>
      <c r="C324" s="1" t="n">
        <v>45723</v>
      </c>
      <c r="D324" t="inlineStr">
        <is>
          <t>UPPSALA LÄN</t>
        </is>
      </c>
      <c r="E324" t="inlineStr">
        <is>
          <t>UPPSALA</t>
        </is>
      </c>
      <c r="G324" t="n">
        <v>3.5</v>
      </c>
      <c r="H324" t="n">
        <v>0</v>
      </c>
      <c r="I324" t="n">
        <v>0</v>
      </c>
      <c r="J324" t="n">
        <v>0</v>
      </c>
      <c r="K324" t="n">
        <v>0</v>
      </c>
      <c r="L324" t="n">
        <v>0</v>
      </c>
      <c r="M324" t="n">
        <v>0</v>
      </c>
      <c r="N324" t="n">
        <v>0</v>
      </c>
      <c r="O324" t="n">
        <v>0</v>
      </c>
      <c r="P324" t="n">
        <v>0</v>
      </c>
      <c r="Q324" t="n">
        <v>0</v>
      </c>
      <c r="R324" s="2" t="inlineStr"/>
    </row>
    <row r="325" ht="15" customHeight="1">
      <c r="A325" t="inlineStr">
        <is>
          <t>A 8902-2020</t>
        </is>
      </c>
      <c r="B325" s="1" t="n">
        <v>43878</v>
      </c>
      <c r="C325" s="1" t="n">
        <v>45723</v>
      </c>
      <c r="D325" t="inlineStr">
        <is>
          <t>UPPSALA LÄN</t>
        </is>
      </c>
      <c r="E325" t="inlineStr">
        <is>
          <t>UPPSALA</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9011-2020</t>
        </is>
      </c>
      <c r="B326" s="1" t="n">
        <v>43879</v>
      </c>
      <c r="C326" s="1" t="n">
        <v>45723</v>
      </c>
      <c r="D326" t="inlineStr">
        <is>
          <t>UPPSALA LÄN</t>
        </is>
      </c>
      <c r="E326" t="inlineStr">
        <is>
          <t>UPPSALA</t>
        </is>
      </c>
      <c r="F326" t="inlineStr">
        <is>
          <t>Övriga statliga verk och myndigheter</t>
        </is>
      </c>
      <c r="G326" t="n">
        <v>9.699999999999999</v>
      </c>
      <c r="H326" t="n">
        <v>0</v>
      </c>
      <c r="I326" t="n">
        <v>0</v>
      </c>
      <c r="J326" t="n">
        <v>0</v>
      </c>
      <c r="K326" t="n">
        <v>0</v>
      </c>
      <c r="L326" t="n">
        <v>0</v>
      </c>
      <c r="M326" t="n">
        <v>0</v>
      </c>
      <c r="N326" t="n">
        <v>0</v>
      </c>
      <c r="O326" t="n">
        <v>0</v>
      </c>
      <c r="P326" t="n">
        <v>0</v>
      </c>
      <c r="Q326" t="n">
        <v>0</v>
      </c>
      <c r="R326" s="2" t="inlineStr"/>
    </row>
    <row r="327" ht="15" customHeight="1">
      <c r="A327" t="inlineStr">
        <is>
          <t>A 9084-2020</t>
        </is>
      </c>
      <c r="B327" s="1" t="n">
        <v>43879</v>
      </c>
      <c r="C327" s="1" t="n">
        <v>45723</v>
      </c>
      <c r="D327" t="inlineStr">
        <is>
          <t>UPPSALA LÄN</t>
        </is>
      </c>
      <c r="E327" t="inlineStr">
        <is>
          <t>UPPSALA</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9257-2020</t>
        </is>
      </c>
      <c r="B328" s="1" t="n">
        <v>43879</v>
      </c>
      <c r="C328" s="1" t="n">
        <v>45723</v>
      </c>
      <c r="D328" t="inlineStr">
        <is>
          <t>UPPSALA LÄN</t>
        </is>
      </c>
      <c r="E328" t="inlineStr">
        <is>
          <t>UPPSALA</t>
        </is>
      </c>
      <c r="F328" t="inlineStr">
        <is>
          <t>Bergvik skog öst AB</t>
        </is>
      </c>
      <c r="G328" t="n">
        <v>5.8</v>
      </c>
      <c r="H328" t="n">
        <v>0</v>
      </c>
      <c r="I328" t="n">
        <v>0</v>
      </c>
      <c r="J328" t="n">
        <v>0</v>
      </c>
      <c r="K328" t="n">
        <v>0</v>
      </c>
      <c r="L328" t="n">
        <v>0</v>
      </c>
      <c r="M328" t="n">
        <v>0</v>
      </c>
      <c r="N328" t="n">
        <v>0</v>
      </c>
      <c r="O328" t="n">
        <v>0</v>
      </c>
      <c r="P328" t="n">
        <v>0</v>
      </c>
      <c r="Q328" t="n">
        <v>0</v>
      </c>
      <c r="R328" s="2" t="inlineStr"/>
    </row>
    <row r="329" ht="15" customHeight="1">
      <c r="A329" t="inlineStr">
        <is>
          <t>A 9658-2020</t>
        </is>
      </c>
      <c r="B329" s="1" t="n">
        <v>43881</v>
      </c>
      <c r="C329" s="1" t="n">
        <v>45723</v>
      </c>
      <c r="D329" t="inlineStr">
        <is>
          <t>UPPSALA LÄN</t>
        </is>
      </c>
      <c r="E329" t="inlineStr">
        <is>
          <t>UPPSALA</t>
        </is>
      </c>
      <c r="G329" t="n">
        <v>3.6</v>
      </c>
      <c r="H329" t="n">
        <v>0</v>
      </c>
      <c r="I329" t="n">
        <v>0</v>
      </c>
      <c r="J329" t="n">
        <v>0</v>
      </c>
      <c r="K329" t="n">
        <v>0</v>
      </c>
      <c r="L329" t="n">
        <v>0</v>
      </c>
      <c r="M329" t="n">
        <v>0</v>
      </c>
      <c r="N329" t="n">
        <v>0</v>
      </c>
      <c r="O329" t="n">
        <v>0</v>
      </c>
      <c r="P329" t="n">
        <v>0</v>
      </c>
      <c r="Q329" t="n">
        <v>0</v>
      </c>
      <c r="R329" s="2" t="inlineStr"/>
    </row>
    <row r="330" ht="15" customHeight="1">
      <c r="A330" t="inlineStr">
        <is>
          <t>A 10003-2020</t>
        </is>
      </c>
      <c r="B330" s="1" t="n">
        <v>43882</v>
      </c>
      <c r="C330" s="1" t="n">
        <v>45723</v>
      </c>
      <c r="D330" t="inlineStr">
        <is>
          <t>UPPSALA LÄN</t>
        </is>
      </c>
      <c r="E330" t="inlineStr">
        <is>
          <t>UPPSALA</t>
        </is>
      </c>
      <c r="F330" t="inlineStr">
        <is>
          <t>Kyrkan</t>
        </is>
      </c>
      <c r="G330" t="n">
        <v>5.2</v>
      </c>
      <c r="H330" t="n">
        <v>0</v>
      </c>
      <c r="I330" t="n">
        <v>0</v>
      </c>
      <c r="J330" t="n">
        <v>0</v>
      </c>
      <c r="K330" t="n">
        <v>0</v>
      </c>
      <c r="L330" t="n">
        <v>0</v>
      </c>
      <c r="M330" t="n">
        <v>0</v>
      </c>
      <c r="N330" t="n">
        <v>0</v>
      </c>
      <c r="O330" t="n">
        <v>0</v>
      </c>
      <c r="P330" t="n">
        <v>0</v>
      </c>
      <c r="Q330" t="n">
        <v>0</v>
      </c>
      <c r="R330" s="2" t="inlineStr"/>
    </row>
    <row r="331" ht="15" customHeight="1">
      <c r="A331" t="inlineStr">
        <is>
          <t>A 9949-2020</t>
        </is>
      </c>
      <c r="B331" s="1" t="n">
        <v>43882</v>
      </c>
      <c r="C331" s="1" t="n">
        <v>45723</v>
      </c>
      <c r="D331" t="inlineStr">
        <is>
          <t>UPPSALA LÄN</t>
        </is>
      </c>
      <c r="E331" t="inlineStr">
        <is>
          <t>UPPSALA</t>
        </is>
      </c>
      <c r="F331" t="inlineStr">
        <is>
          <t>Kyrkan</t>
        </is>
      </c>
      <c r="G331" t="n">
        <v>2.2</v>
      </c>
      <c r="H331" t="n">
        <v>0</v>
      </c>
      <c r="I331" t="n">
        <v>0</v>
      </c>
      <c r="J331" t="n">
        <v>0</v>
      </c>
      <c r="K331" t="n">
        <v>0</v>
      </c>
      <c r="L331" t="n">
        <v>0</v>
      </c>
      <c r="M331" t="n">
        <v>0</v>
      </c>
      <c r="N331" t="n">
        <v>0</v>
      </c>
      <c r="O331" t="n">
        <v>0</v>
      </c>
      <c r="P331" t="n">
        <v>0</v>
      </c>
      <c r="Q331" t="n">
        <v>0</v>
      </c>
      <c r="R331" s="2" t="inlineStr"/>
    </row>
    <row r="332" ht="15" customHeight="1">
      <c r="A332" t="inlineStr">
        <is>
          <t>A 10033-2020</t>
        </is>
      </c>
      <c r="B332" s="1" t="n">
        <v>43882</v>
      </c>
      <c r="C332" s="1" t="n">
        <v>45723</v>
      </c>
      <c r="D332" t="inlineStr">
        <is>
          <t>UPPSALA LÄN</t>
        </is>
      </c>
      <c r="E332" t="inlineStr">
        <is>
          <t>UPPSALA</t>
        </is>
      </c>
      <c r="G332" t="n">
        <v>4.6</v>
      </c>
      <c r="H332" t="n">
        <v>0</v>
      </c>
      <c r="I332" t="n">
        <v>0</v>
      </c>
      <c r="J332" t="n">
        <v>0</v>
      </c>
      <c r="K332" t="n">
        <v>0</v>
      </c>
      <c r="L332" t="n">
        <v>0</v>
      </c>
      <c r="M332" t="n">
        <v>0</v>
      </c>
      <c r="N332" t="n">
        <v>0</v>
      </c>
      <c r="O332" t="n">
        <v>0</v>
      </c>
      <c r="P332" t="n">
        <v>0</v>
      </c>
      <c r="Q332" t="n">
        <v>0</v>
      </c>
      <c r="R332" s="2" t="inlineStr"/>
    </row>
    <row r="333" ht="15" customHeight="1">
      <c r="A333" t="inlineStr">
        <is>
          <t>A 10478-2020</t>
        </is>
      </c>
      <c r="B333" s="1" t="n">
        <v>43886</v>
      </c>
      <c r="C333" s="1" t="n">
        <v>45723</v>
      </c>
      <c r="D333" t="inlineStr">
        <is>
          <t>UPPSALA LÄN</t>
        </is>
      </c>
      <c r="E333" t="inlineStr">
        <is>
          <t>UPPSALA</t>
        </is>
      </c>
      <c r="G333" t="n">
        <v>1.1</v>
      </c>
      <c r="H333" t="n">
        <v>0</v>
      </c>
      <c r="I333" t="n">
        <v>0</v>
      </c>
      <c r="J333" t="n">
        <v>0</v>
      </c>
      <c r="K333" t="n">
        <v>0</v>
      </c>
      <c r="L333" t="n">
        <v>0</v>
      </c>
      <c r="M333" t="n">
        <v>0</v>
      </c>
      <c r="N333" t="n">
        <v>0</v>
      </c>
      <c r="O333" t="n">
        <v>0</v>
      </c>
      <c r="P333" t="n">
        <v>0</v>
      </c>
      <c r="Q333" t="n">
        <v>0</v>
      </c>
      <c r="R333" s="2" t="inlineStr"/>
    </row>
    <row r="334" ht="15" customHeight="1">
      <c r="A334" t="inlineStr">
        <is>
          <t>A 11540-2020</t>
        </is>
      </c>
      <c r="B334" s="1" t="n">
        <v>43887</v>
      </c>
      <c r="C334" s="1" t="n">
        <v>45723</v>
      </c>
      <c r="D334" t="inlineStr">
        <is>
          <t>UPPSALA LÄN</t>
        </is>
      </c>
      <c r="E334" t="inlineStr">
        <is>
          <t>UPPSALA</t>
        </is>
      </c>
      <c r="G334" t="n">
        <v>2.1</v>
      </c>
      <c r="H334" t="n">
        <v>0</v>
      </c>
      <c r="I334" t="n">
        <v>0</v>
      </c>
      <c r="J334" t="n">
        <v>0</v>
      </c>
      <c r="K334" t="n">
        <v>0</v>
      </c>
      <c r="L334" t="n">
        <v>0</v>
      </c>
      <c r="M334" t="n">
        <v>0</v>
      </c>
      <c r="N334" t="n">
        <v>0</v>
      </c>
      <c r="O334" t="n">
        <v>0</v>
      </c>
      <c r="P334" t="n">
        <v>0</v>
      </c>
      <c r="Q334" t="n">
        <v>0</v>
      </c>
      <c r="R334" s="2" t="inlineStr"/>
    </row>
    <row r="335" ht="15" customHeight="1">
      <c r="A335" t="inlineStr">
        <is>
          <t>A 11174-2020</t>
        </is>
      </c>
      <c r="B335" s="1" t="n">
        <v>43891</v>
      </c>
      <c r="C335" s="1" t="n">
        <v>45723</v>
      </c>
      <c r="D335" t="inlineStr">
        <is>
          <t>UPPSALA LÄN</t>
        </is>
      </c>
      <c r="E335" t="inlineStr">
        <is>
          <t>UPPSALA</t>
        </is>
      </c>
      <c r="F335" t="inlineStr">
        <is>
          <t>Övriga statliga verk och myndigheter</t>
        </is>
      </c>
      <c r="G335" t="n">
        <v>2.8</v>
      </c>
      <c r="H335" t="n">
        <v>0</v>
      </c>
      <c r="I335" t="n">
        <v>0</v>
      </c>
      <c r="J335" t="n">
        <v>0</v>
      </c>
      <c r="K335" t="n">
        <v>0</v>
      </c>
      <c r="L335" t="n">
        <v>0</v>
      </c>
      <c r="M335" t="n">
        <v>0</v>
      </c>
      <c r="N335" t="n">
        <v>0</v>
      </c>
      <c r="O335" t="n">
        <v>0</v>
      </c>
      <c r="P335" t="n">
        <v>0</v>
      </c>
      <c r="Q335" t="n">
        <v>0</v>
      </c>
      <c r="R335" s="2" t="inlineStr"/>
    </row>
    <row r="336" ht="15" customHeight="1">
      <c r="A336" t="inlineStr">
        <is>
          <t>A 12626-2020</t>
        </is>
      </c>
      <c r="B336" s="1" t="n">
        <v>43892</v>
      </c>
      <c r="C336" s="1" t="n">
        <v>45723</v>
      </c>
      <c r="D336" t="inlineStr">
        <is>
          <t>UPPSALA LÄN</t>
        </is>
      </c>
      <c r="E336" t="inlineStr">
        <is>
          <t>UPPSALA</t>
        </is>
      </c>
      <c r="G336" t="n">
        <v>11.4</v>
      </c>
      <c r="H336" t="n">
        <v>0</v>
      </c>
      <c r="I336" t="n">
        <v>0</v>
      </c>
      <c r="J336" t="n">
        <v>0</v>
      </c>
      <c r="K336" t="n">
        <v>0</v>
      </c>
      <c r="L336" t="n">
        <v>0</v>
      </c>
      <c r="M336" t="n">
        <v>0</v>
      </c>
      <c r="N336" t="n">
        <v>0</v>
      </c>
      <c r="O336" t="n">
        <v>0</v>
      </c>
      <c r="P336" t="n">
        <v>0</v>
      </c>
      <c r="Q336" t="n">
        <v>0</v>
      </c>
      <c r="R336" s="2" t="inlineStr"/>
    </row>
    <row r="337" ht="15" customHeight="1">
      <c r="A337" t="inlineStr">
        <is>
          <t>A 11336-2020</t>
        </is>
      </c>
      <c r="B337" s="1" t="n">
        <v>43892</v>
      </c>
      <c r="C337" s="1" t="n">
        <v>45723</v>
      </c>
      <c r="D337" t="inlineStr">
        <is>
          <t>UPPSALA LÄN</t>
        </is>
      </c>
      <c r="E337" t="inlineStr">
        <is>
          <t>UPPSALA</t>
        </is>
      </c>
      <c r="F337" t="inlineStr">
        <is>
          <t>Kyrkan</t>
        </is>
      </c>
      <c r="G337" t="n">
        <v>3.2</v>
      </c>
      <c r="H337" t="n">
        <v>0</v>
      </c>
      <c r="I337" t="n">
        <v>0</v>
      </c>
      <c r="J337" t="n">
        <v>0</v>
      </c>
      <c r="K337" t="n">
        <v>0</v>
      </c>
      <c r="L337" t="n">
        <v>0</v>
      </c>
      <c r="M337" t="n">
        <v>0</v>
      </c>
      <c r="N337" t="n">
        <v>0</v>
      </c>
      <c r="O337" t="n">
        <v>0</v>
      </c>
      <c r="P337" t="n">
        <v>0</v>
      </c>
      <c r="Q337" t="n">
        <v>0</v>
      </c>
      <c r="R337" s="2" t="inlineStr"/>
    </row>
    <row r="338" ht="15" customHeight="1">
      <c r="A338" t="inlineStr">
        <is>
          <t>A 11320-2020</t>
        </is>
      </c>
      <c r="B338" s="1" t="n">
        <v>43892</v>
      </c>
      <c r="C338" s="1" t="n">
        <v>45723</v>
      </c>
      <c r="D338" t="inlineStr">
        <is>
          <t>UPPSALA LÄN</t>
        </is>
      </c>
      <c r="E338" t="inlineStr">
        <is>
          <t>UPPSALA</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12028-2020</t>
        </is>
      </c>
      <c r="B339" s="1" t="n">
        <v>43894</v>
      </c>
      <c r="C339" s="1" t="n">
        <v>45723</v>
      </c>
      <c r="D339" t="inlineStr">
        <is>
          <t>UPPSALA LÄN</t>
        </is>
      </c>
      <c r="E339" t="inlineStr">
        <is>
          <t>UPPSALA</t>
        </is>
      </c>
      <c r="G339" t="n">
        <v>1.7</v>
      </c>
      <c r="H339" t="n">
        <v>0</v>
      </c>
      <c r="I339" t="n">
        <v>0</v>
      </c>
      <c r="J339" t="n">
        <v>0</v>
      </c>
      <c r="K339" t="n">
        <v>0</v>
      </c>
      <c r="L339" t="n">
        <v>0</v>
      </c>
      <c r="M339" t="n">
        <v>0</v>
      </c>
      <c r="N339" t="n">
        <v>0</v>
      </c>
      <c r="O339" t="n">
        <v>0</v>
      </c>
      <c r="P339" t="n">
        <v>0</v>
      </c>
      <c r="Q339" t="n">
        <v>0</v>
      </c>
      <c r="R339" s="2" t="inlineStr"/>
    </row>
    <row r="340" ht="15" customHeight="1">
      <c r="A340" t="inlineStr">
        <is>
          <t>A 12055-2020</t>
        </is>
      </c>
      <c r="B340" s="1" t="n">
        <v>43894</v>
      </c>
      <c r="C340" s="1" t="n">
        <v>45723</v>
      </c>
      <c r="D340" t="inlineStr">
        <is>
          <t>UPPSALA LÄN</t>
        </is>
      </c>
      <c r="E340" t="inlineStr">
        <is>
          <t>UPPSALA</t>
        </is>
      </c>
      <c r="G340" t="n">
        <v>6.2</v>
      </c>
      <c r="H340" t="n">
        <v>0</v>
      </c>
      <c r="I340" t="n">
        <v>0</v>
      </c>
      <c r="J340" t="n">
        <v>0</v>
      </c>
      <c r="K340" t="n">
        <v>0</v>
      </c>
      <c r="L340" t="n">
        <v>0</v>
      </c>
      <c r="M340" t="n">
        <v>0</v>
      </c>
      <c r="N340" t="n">
        <v>0</v>
      </c>
      <c r="O340" t="n">
        <v>0</v>
      </c>
      <c r="P340" t="n">
        <v>0</v>
      </c>
      <c r="Q340" t="n">
        <v>0</v>
      </c>
      <c r="R340" s="2" t="inlineStr"/>
    </row>
    <row r="341" ht="15" customHeight="1">
      <c r="A341" t="inlineStr">
        <is>
          <t>A 12848-2020</t>
        </is>
      </c>
      <c r="B341" s="1" t="n">
        <v>43899</v>
      </c>
      <c r="C341" s="1" t="n">
        <v>45723</v>
      </c>
      <c r="D341" t="inlineStr">
        <is>
          <t>UPPSALA LÄN</t>
        </is>
      </c>
      <c r="E341" t="inlineStr">
        <is>
          <t>UPPSALA</t>
        </is>
      </c>
      <c r="G341" t="n">
        <v>10.3</v>
      </c>
      <c r="H341" t="n">
        <v>0</v>
      </c>
      <c r="I341" t="n">
        <v>0</v>
      </c>
      <c r="J341" t="n">
        <v>0</v>
      </c>
      <c r="K341" t="n">
        <v>0</v>
      </c>
      <c r="L341" t="n">
        <v>0</v>
      </c>
      <c r="M341" t="n">
        <v>0</v>
      </c>
      <c r="N341" t="n">
        <v>0</v>
      </c>
      <c r="O341" t="n">
        <v>0</v>
      </c>
      <c r="P341" t="n">
        <v>0</v>
      </c>
      <c r="Q341" t="n">
        <v>0</v>
      </c>
      <c r="R341" s="2" t="inlineStr"/>
    </row>
    <row r="342" ht="15" customHeight="1">
      <c r="A342" t="inlineStr">
        <is>
          <t>A 12781-2020</t>
        </is>
      </c>
      <c r="B342" s="1" t="n">
        <v>43899</v>
      </c>
      <c r="C342" s="1" t="n">
        <v>45723</v>
      </c>
      <c r="D342" t="inlineStr">
        <is>
          <t>UPPSALA LÄN</t>
        </is>
      </c>
      <c r="E342" t="inlineStr">
        <is>
          <t>UPPSALA</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13636-2020</t>
        </is>
      </c>
      <c r="B343" s="1" t="n">
        <v>43903</v>
      </c>
      <c r="C343" s="1" t="n">
        <v>45723</v>
      </c>
      <c r="D343" t="inlineStr">
        <is>
          <t>UPPSALA LÄN</t>
        </is>
      </c>
      <c r="E343" t="inlineStr">
        <is>
          <t>UPPSALA</t>
        </is>
      </c>
      <c r="G343" t="n">
        <v>2.7</v>
      </c>
      <c r="H343" t="n">
        <v>0</v>
      </c>
      <c r="I343" t="n">
        <v>0</v>
      </c>
      <c r="J343" t="n">
        <v>0</v>
      </c>
      <c r="K343" t="n">
        <v>0</v>
      </c>
      <c r="L343" t="n">
        <v>0</v>
      </c>
      <c r="M343" t="n">
        <v>0</v>
      </c>
      <c r="N343" t="n">
        <v>0</v>
      </c>
      <c r="O343" t="n">
        <v>0</v>
      </c>
      <c r="P343" t="n">
        <v>0</v>
      </c>
      <c r="Q343" t="n">
        <v>0</v>
      </c>
      <c r="R343" s="2" t="inlineStr"/>
    </row>
    <row r="344" ht="15" customHeight="1">
      <c r="A344" t="inlineStr">
        <is>
          <t>A 14469-2020</t>
        </is>
      </c>
      <c r="B344" s="1" t="n">
        <v>43908</v>
      </c>
      <c r="C344" s="1" t="n">
        <v>45723</v>
      </c>
      <c r="D344" t="inlineStr">
        <is>
          <t>UPPSALA LÄN</t>
        </is>
      </c>
      <c r="E344" t="inlineStr">
        <is>
          <t>UPPSALA</t>
        </is>
      </c>
      <c r="G344" t="n">
        <v>0.6</v>
      </c>
      <c r="H344" t="n">
        <v>0</v>
      </c>
      <c r="I344" t="n">
        <v>0</v>
      </c>
      <c r="J344" t="n">
        <v>0</v>
      </c>
      <c r="K344" t="n">
        <v>0</v>
      </c>
      <c r="L344" t="n">
        <v>0</v>
      </c>
      <c r="M344" t="n">
        <v>0</v>
      </c>
      <c r="N344" t="n">
        <v>0</v>
      </c>
      <c r="O344" t="n">
        <v>0</v>
      </c>
      <c r="P344" t="n">
        <v>0</v>
      </c>
      <c r="Q344" t="n">
        <v>0</v>
      </c>
      <c r="R344" s="2" t="inlineStr"/>
    </row>
    <row r="345" ht="15" customHeight="1">
      <c r="A345" t="inlineStr">
        <is>
          <t>A 14423-2020</t>
        </is>
      </c>
      <c r="B345" s="1" t="n">
        <v>43908</v>
      </c>
      <c r="C345" s="1" t="n">
        <v>45723</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14472-2020</t>
        </is>
      </c>
      <c r="B346" s="1" t="n">
        <v>43908</v>
      </c>
      <c r="C346" s="1" t="n">
        <v>45723</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14427-2020</t>
        </is>
      </c>
      <c r="B347" s="1" t="n">
        <v>43908</v>
      </c>
      <c r="C347" s="1" t="n">
        <v>45723</v>
      </c>
      <c r="D347" t="inlineStr">
        <is>
          <t>UPPSALA LÄN</t>
        </is>
      </c>
      <c r="E347" t="inlineStr">
        <is>
          <t>UPPSALA</t>
        </is>
      </c>
      <c r="F347" t="inlineStr">
        <is>
          <t>Bergvik skog öst AB</t>
        </is>
      </c>
      <c r="G347" t="n">
        <v>0.9</v>
      </c>
      <c r="H347" t="n">
        <v>0</v>
      </c>
      <c r="I347" t="n">
        <v>0</v>
      </c>
      <c r="J347" t="n">
        <v>0</v>
      </c>
      <c r="K347" t="n">
        <v>0</v>
      </c>
      <c r="L347" t="n">
        <v>0</v>
      </c>
      <c r="M347" t="n">
        <v>0</v>
      </c>
      <c r="N347" t="n">
        <v>0</v>
      </c>
      <c r="O347" t="n">
        <v>0</v>
      </c>
      <c r="P347" t="n">
        <v>0</v>
      </c>
      <c r="Q347" t="n">
        <v>0</v>
      </c>
      <c r="R347" s="2" t="inlineStr"/>
    </row>
    <row r="348" ht="15" customHeight="1">
      <c r="A348" t="inlineStr">
        <is>
          <t>A 15344-2020</t>
        </is>
      </c>
      <c r="B348" s="1" t="n">
        <v>43913</v>
      </c>
      <c r="C348" s="1" t="n">
        <v>45723</v>
      </c>
      <c r="D348" t="inlineStr">
        <is>
          <t>UPPSALA LÄN</t>
        </is>
      </c>
      <c r="E348" t="inlineStr">
        <is>
          <t>UPPSALA</t>
        </is>
      </c>
      <c r="F348" t="inlineStr">
        <is>
          <t>Holmen skog AB</t>
        </is>
      </c>
      <c r="G348" t="n">
        <v>3.4</v>
      </c>
      <c r="H348" t="n">
        <v>0</v>
      </c>
      <c r="I348" t="n">
        <v>0</v>
      </c>
      <c r="J348" t="n">
        <v>0</v>
      </c>
      <c r="K348" t="n">
        <v>0</v>
      </c>
      <c r="L348" t="n">
        <v>0</v>
      </c>
      <c r="M348" t="n">
        <v>0</v>
      </c>
      <c r="N348" t="n">
        <v>0</v>
      </c>
      <c r="O348" t="n">
        <v>0</v>
      </c>
      <c r="P348" t="n">
        <v>0</v>
      </c>
      <c r="Q348" t="n">
        <v>0</v>
      </c>
      <c r="R348" s="2" t="inlineStr"/>
    </row>
    <row r="349" ht="15" customHeight="1">
      <c r="A349" t="inlineStr">
        <is>
          <t>A 18106-2020</t>
        </is>
      </c>
      <c r="B349" s="1" t="n">
        <v>43927</v>
      </c>
      <c r="C349" s="1" t="n">
        <v>45723</v>
      </c>
      <c r="D349" t="inlineStr">
        <is>
          <t>UPPSALA LÄN</t>
        </is>
      </c>
      <c r="E349" t="inlineStr">
        <is>
          <t>UPPSALA</t>
        </is>
      </c>
      <c r="G349" t="n">
        <v>0.7</v>
      </c>
      <c r="H349" t="n">
        <v>0</v>
      </c>
      <c r="I349" t="n">
        <v>0</v>
      </c>
      <c r="J349" t="n">
        <v>0</v>
      </c>
      <c r="K349" t="n">
        <v>0</v>
      </c>
      <c r="L349" t="n">
        <v>0</v>
      </c>
      <c r="M349" t="n">
        <v>0</v>
      </c>
      <c r="N349" t="n">
        <v>0</v>
      </c>
      <c r="O349" t="n">
        <v>0</v>
      </c>
      <c r="P349" t="n">
        <v>0</v>
      </c>
      <c r="Q349" t="n">
        <v>0</v>
      </c>
      <c r="R349" s="2" t="inlineStr"/>
    </row>
    <row r="350" ht="15" customHeight="1">
      <c r="A350" t="inlineStr">
        <is>
          <t>A 18114-2020</t>
        </is>
      </c>
      <c r="B350" s="1" t="n">
        <v>43927</v>
      </c>
      <c r="C350" s="1" t="n">
        <v>45723</v>
      </c>
      <c r="D350" t="inlineStr">
        <is>
          <t>UPPSALA LÄN</t>
        </is>
      </c>
      <c r="E350" t="inlineStr">
        <is>
          <t>UPPSALA</t>
        </is>
      </c>
      <c r="G350" t="n">
        <v>1.6</v>
      </c>
      <c r="H350" t="n">
        <v>0</v>
      </c>
      <c r="I350" t="n">
        <v>0</v>
      </c>
      <c r="J350" t="n">
        <v>0</v>
      </c>
      <c r="K350" t="n">
        <v>0</v>
      </c>
      <c r="L350" t="n">
        <v>0</v>
      </c>
      <c r="M350" t="n">
        <v>0</v>
      </c>
      <c r="N350" t="n">
        <v>0</v>
      </c>
      <c r="O350" t="n">
        <v>0</v>
      </c>
      <c r="P350" t="n">
        <v>0</v>
      </c>
      <c r="Q350" t="n">
        <v>0</v>
      </c>
      <c r="R350" s="2" t="inlineStr"/>
    </row>
    <row r="351" ht="15" customHeight="1">
      <c r="A351" t="inlineStr">
        <is>
          <t>A 18469-2020</t>
        </is>
      </c>
      <c r="B351" s="1" t="n">
        <v>43929</v>
      </c>
      <c r="C351" s="1" t="n">
        <v>45723</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19210-2020</t>
        </is>
      </c>
      <c r="B352" s="1" t="n">
        <v>43937</v>
      </c>
      <c r="C352" s="1" t="n">
        <v>45723</v>
      </c>
      <c r="D352" t="inlineStr">
        <is>
          <t>UPPSALA LÄN</t>
        </is>
      </c>
      <c r="E352" t="inlineStr">
        <is>
          <t>UPPSALA</t>
        </is>
      </c>
      <c r="G352" t="n">
        <v>3.7</v>
      </c>
      <c r="H352" t="n">
        <v>0</v>
      </c>
      <c r="I352" t="n">
        <v>0</v>
      </c>
      <c r="J352" t="n">
        <v>0</v>
      </c>
      <c r="K352" t="n">
        <v>0</v>
      </c>
      <c r="L352" t="n">
        <v>0</v>
      </c>
      <c r="M352" t="n">
        <v>0</v>
      </c>
      <c r="N352" t="n">
        <v>0</v>
      </c>
      <c r="O352" t="n">
        <v>0</v>
      </c>
      <c r="P352" t="n">
        <v>0</v>
      </c>
      <c r="Q352" t="n">
        <v>0</v>
      </c>
      <c r="R352" s="2" t="inlineStr"/>
    </row>
    <row r="353" ht="15" customHeight="1">
      <c r="A353" t="inlineStr">
        <is>
          <t>A 20218-2020</t>
        </is>
      </c>
      <c r="B353" s="1" t="n">
        <v>43944</v>
      </c>
      <c r="C353" s="1" t="n">
        <v>45723</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20506-2020</t>
        </is>
      </c>
      <c r="B354" s="1" t="n">
        <v>43948</v>
      </c>
      <c r="C354" s="1" t="n">
        <v>45723</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20490-2020</t>
        </is>
      </c>
      <c r="B355" s="1" t="n">
        <v>43948</v>
      </c>
      <c r="C355" s="1" t="n">
        <v>45723</v>
      </c>
      <c r="D355" t="inlineStr">
        <is>
          <t>UPPSALA LÄN</t>
        </is>
      </c>
      <c r="E355" t="inlineStr">
        <is>
          <t>UPPSALA</t>
        </is>
      </c>
      <c r="G355" t="n">
        <v>2.8</v>
      </c>
      <c r="H355" t="n">
        <v>0</v>
      </c>
      <c r="I355" t="n">
        <v>0</v>
      </c>
      <c r="J355" t="n">
        <v>0</v>
      </c>
      <c r="K355" t="n">
        <v>0</v>
      </c>
      <c r="L355" t="n">
        <v>0</v>
      </c>
      <c r="M355" t="n">
        <v>0</v>
      </c>
      <c r="N355" t="n">
        <v>0</v>
      </c>
      <c r="O355" t="n">
        <v>0</v>
      </c>
      <c r="P355" t="n">
        <v>0</v>
      </c>
      <c r="Q355" t="n">
        <v>0</v>
      </c>
      <c r="R355" s="2" t="inlineStr"/>
    </row>
    <row r="356" ht="15" customHeight="1">
      <c r="A356" t="inlineStr">
        <is>
          <t>A 20960-2020</t>
        </is>
      </c>
      <c r="B356" s="1" t="n">
        <v>43950</v>
      </c>
      <c r="C356" s="1" t="n">
        <v>45723</v>
      </c>
      <c r="D356" t="inlineStr">
        <is>
          <t>UPPSALA LÄN</t>
        </is>
      </c>
      <c r="E356" t="inlineStr">
        <is>
          <t>UPPSALA</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24300-2020</t>
        </is>
      </c>
      <c r="B357" s="1" t="n">
        <v>43973</v>
      </c>
      <c r="C357" s="1" t="n">
        <v>45723</v>
      </c>
      <c r="D357" t="inlineStr">
        <is>
          <t>UPPSALA LÄN</t>
        </is>
      </c>
      <c r="E357" t="inlineStr">
        <is>
          <t>UPPSALA</t>
        </is>
      </c>
      <c r="F357" t="inlineStr">
        <is>
          <t>Övriga Aktiebolag</t>
        </is>
      </c>
      <c r="G357" t="n">
        <v>0.3</v>
      </c>
      <c r="H357" t="n">
        <v>0</v>
      </c>
      <c r="I357" t="n">
        <v>0</v>
      </c>
      <c r="J357" t="n">
        <v>0</v>
      </c>
      <c r="K357" t="n">
        <v>0</v>
      </c>
      <c r="L357" t="n">
        <v>0</v>
      </c>
      <c r="M357" t="n">
        <v>0</v>
      </c>
      <c r="N357" t="n">
        <v>0</v>
      </c>
      <c r="O357" t="n">
        <v>0</v>
      </c>
      <c r="P357" t="n">
        <v>0</v>
      </c>
      <c r="Q357" t="n">
        <v>0</v>
      </c>
      <c r="R357" s="2" t="inlineStr"/>
    </row>
    <row r="358" ht="15" customHeight="1">
      <c r="A358" t="inlineStr">
        <is>
          <t>A 24287-2020</t>
        </is>
      </c>
      <c r="B358" s="1" t="n">
        <v>43976</v>
      </c>
      <c r="C358" s="1" t="n">
        <v>45723</v>
      </c>
      <c r="D358" t="inlineStr">
        <is>
          <t>UPPSALA LÄN</t>
        </is>
      </c>
      <c r="E358" t="inlineStr">
        <is>
          <t>UPPSALA</t>
        </is>
      </c>
      <c r="G358" t="n">
        <v>1</v>
      </c>
      <c r="H358" t="n">
        <v>0</v>
      </c>
      <c r="I358" t="n">
        <v>0</v>
      </c>
      <c r="J358" t="n">
        <v>0</v>
      </c>
      <c r="K358" t="n">
        <v>0</v>
      </c>
      <c r="L358" t="n">
        <v>0</v>
      </c>
      <c r="M358" t="n">
        <v>0</v>
      </c>
      <c r="N358" t="n">
        <v>0</v>
      </c>
      <c r="O358" t="n">
        <v>0</v>
      </c>
      <c r="P358" t="n">
        <v>0</v>
      </c>
      <c r="Q358" t="n">
        <v>0</v>
      </c>
      <c r="R358" s="2" t="inlineStr"/>
    </row>
    <row r="359" ht="15" customHeight="1">
      <c r="A359" t="inlineStr">
        <is>
          <t>A 25798-2020</t>
        </is>
      </c>
      <c r="B359" s="1" t="n">
        <v>43984</v>
      </c>
      <c r="C359" s="1" t="n">
        <v>45723</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26488-2020</t>
        </is>
      </c>
      <c r="B360" s="1" t="n">
        <v>43987</v>
      </c>
      <c r="C360" s="1" t="n">
        <v>45723</v>
      </c>
      <c r="D360" t="inlineStr">
        <is>
          <t>UPPSALA LÄN</t>
        </is>
      </c>
      <c r="E360" t="inlineStr">
        <is>
          <t>UPPSALA</t>
        </is>
      </c>
      <c r="G360" t="n">
        <v>2.9</v>
      </c>
      <c r="H360" t="n">
        <v>0</v>
      </c>
      <c r="I360" t="n">
        <v>0</v>
      </c>
      <c r="J360" t="n">
        <v>0</v>
      </c>
      <c r="K360" t="n">
        <v>0</v>
      </c>
      <c r="L360" t="n">
        <v>0</v>
      </c>
      <c r="M360" t="n">
        <v>0</v>
      </c>
      <c r="N360" t="n">
        <v>0</v>
      </c>
      <c r="O360" t="n">
        <v>0</v>
      </c>
      <c r="P360" t="n">
        <v>0</v>
      </c>
      <c r="Q360" t="n">
        <v>0</v>
      </c>
      <c r="R360" s="2" t="inlineStr"/>
    </row>
    <row r="361" ht="15" customHeight="1">
      <c r="A361" t="inlineStr">
        <is>
          <t>A 26492-2020</t>
        </is>
      </c>
      <c r="B361" s="1" t="n">
        <v>43987</v>
      </c>
      <c r="C361" s="1" t="n">
        <v>45723</v>
      </c>
      <c r="D361" t="inlineStr">
        <is>
          <t>UPPSALA LÄN</t>
        </is>
      </c>
      <c r="E361" t="inlineStr">
        <is>
          <t>UPPSALA</t>
        </is>
      </c>
      <c r="G361" t="n">
        <v>9.5</v>
      </c>
      <c r="H361" t="n">
        <v>0</v>
      </c>
      <c r="I361" t="n">
        <v>0</v>
      </c>
      <c r="J361" t="n">
        <v>0</v>
      </c>
      <c r="K361" t="n">
        <v>0</v>
      </c>
      <c r="L361" t="n">
        <v>0</v>
      </c>
      <c r="M361" t="n">
        <v>0</v>
      </c>
      <c r="N361" t="n">
        <v>0</v>
      </c>
      <c r="O361" t="n">
        <v>0</v>
      </c>
      <c r="P361" t="n">
        <v>0</v>
      </c>
      <c r="Q361" t="n">
        <v>0</v>
      </c>
      <c r="R361" s="2" t="inlineStr"/>
    </row>
    <row r="362" ht="15" customHeight="1">
      <c r="A362" t="inlineStr">
        <is>
          <t>A 26856-2020</t>
        </is>
      </c>
      <c r="B362" s="1" t="n">
        <v>43990</v>
      </c>
      <c r="C362" s="1" t="n">
        <v>45723</v>
      </c>
      <c r="D362" t="inlineStr">
        <is>
          <t>UPPSALA LÄN</t>
        </is>
      </c>
      <c r="E362" t="inlineStr">
        <is>
          <t>UPPSALA</t>
        </is>
      </c>
      <c r="G362" t="n">
        <v>1.5</v>
      </c>
      <c r="H362" t="n">
        <v>0</v>
      </c>
      <c r="I362" t="n">
        <v>0</v>
      </c>
      <c r="J362" t="n">
        <v>0</v>
      </c>
      <c r="K362" t="n">
        <v>0</v>
      </c>
      <c r="L362" t="n">
        <v>0</v>
      </c>
      <c r="M362" t="n">
        <v>0</v>
      </c>
      <c r="N362" t="n">
        <v>0</v>
      </c>
      <c r="O362" t="n">
        <v>0</v>
      </c>
      <c r="P362" t="n">
        <v>0</v>
      </c>
      <c r="Q362" t="n">
        <v>0</v>
      </c>
      <c r="R362" s="2" t="inlineStr"/>
    </row>
    <row r="363" ht="15" customHeight="1">
      <c r="A363" t="inlineStr">
        <is>
          <t>A 28565-2020</t>
        </is>
      </c>
      <c r="B363" s="1" t="n">
        <v>43999</v>
      </c>
      <c r="C363" s="1" t="n">
        <v>45723</v>
      </c>
      <c r="D363" t="inlineStr">
        <is>
          <t>UPPSALA LÄN</t>
        </is>
      </c>
      <c r="E363" t="inlineStr">
        <is>
          <t>UPPSALA</t>
        </is>
      </c>
      <c r="G363" t="n">
        <v>2.7</v>
      </c>
      <c r="H363" t="n">
        <v>0</v>
      </c>
      <c r="I363" t="n">
        <v>0</v>
      </c>
      <c r="J363" t="n">
        <v>0</v>
      </c>
      <c r="K363" t="n">
        <v>0</v>
      </c>
      <c r="L363" t="n">
        <v>0</v>
      </c>
      <c r="M363" t="n">
        <v>0</v>
      </c>
      <c r="N363" t="n">
        <v>0</v>
      </c>
      <c r="O363" t="n">
        <v>0</v>
      </c>
      <c r="P363" t="n">
        <v>0</v>
      </c>
      <c r="Q363" t="n">
        <v>0</v>
      </c>
      <c r="R363" s="2" t="inlineStr"/>
    </row>
    <row r="364" ht="15" customHeight="1">
      <c r="A364" t="inlineStr">
        <is>
          <t>A 28514-2020</t>
        </is>
      </c>
      <c r="B364" s="1" t="n">
        <v>43999</v>
      </c>
      <c r="C364" s="1" t="n">
        <v>45723</v>
      </c>
      <c r="D364" t="inlineStr">
        <is>
          <t>UPPSALA LÄN</t>
        </is>
      </c>
      <c r="E364" t="inlineStr">
        <is>
          <t>UPPSALA</t>
        </is>
      </c>
      <c r="G364" t="n">
        <v>3.6</v>
      </c>
      <c r="H364" t="n">
        <v>0</v>
      </c>
      <c r="I364" t="n">
        <v>0</v>
      </c>
      <c r="J364" t="n">
        <v>0</v>
      </c>
      <c r="K364" t="n">
        <v>0</v>
      </c>
      <c r="L364" t="n">
        <v>0</v>
      </c>
      <c r="M364" t="n">
        <v>0</v>
      </c>
      <c r="N364" t="n">
        <v>0</v>
      </c>
      <c r="O364" t="n">
        <v>0</v>
      </c>
      <c r="P364" t="n">
        <v>0</v>
      </c>
      <c r="Q364" t="n">
        <v>0</v>
      </c>
      <c r="R364" s="2" t="inlineStr"/>
    </row>
    <row r="365" ht="15" customHeight="1">
      <c r="A365" t="inlineStr">
        <is>
          <t>A 28993-2020</t>
        </is>
      </c>
      <c r="B365" s="1" t="n">
        <v>44000</v>
      </c>
      <c r="C365" s="1" t="n">
        <v>45723</v>
      </c>
      <c r="D365" t="inlineStr">
        <is>
          <t>UPPSALA LÄN</t>
        </is>
      </c>
      <c r="E365" t="inlineStr">
        <is>
          <t>UPPSALA</t>
        </is>
      </c>
      <c r="G365" t="n">
        <v>2.4</v>
      </c>
      <c r="H365" t="n">
        <v>0</v>
      </c>
      <c r="I365" t="n">
        <v>0</v>
      </c>
      <c r="J365" t="n">
        <v>0</v>
      </c>
      <c r="K365" t="n">
        <v>0</v>
      </c>
      <c r="L365" t="n">
        <v>0</v>
      </c>
      <c r="M365" t="n">
        <v>0</v>
      </c>
      <c r="N365" t="n">
        <v>0</v>
      </c>
      <c r="O365" t="n">
        <v>0</v>
      </c>
      <c r="P365" t="n">
        <v>0</v>
      </c>
      <c r="Q365" t="n">
        <v>0</v>
      </c>
      <c r="R365" s="2" t="inlineStr"/>
    </row>
    <row r="366" ht="15" customHeight="1">
      <c r="A366" t="inlineStr">
        <is>
          <t>A 29034-2020</t>
        </is>
      </c>
      <c r="B366" s="1" t="n">
        <v>44000</v>
      </c>
      <c r="C366" s="1" t="n">
        <v>45723</v>
      </c>
      <c r="D366" t="inlineStr">
        <is>
          <t>UPPSALA LÄN</t>
        </is>
      </c>
      <c r="E366" t="inlineStr">
        <is>
          <t>UPPSALA</t>
        </is>
      </c>
      <c r="G366" t="n">
        <v>2</v>
      </c>
      <c r="H366" t="n">
        <v>0</v>
      </c>
      <c r="I366" t="n">
        <v>0</v>
      </c>
      <c r="J366" t="n">
        <v>0</v>
      </c>
      <c r="K366" t="n">
        <v>0</v>
      </c>
      <c r="L366" t="n">
        <v>0</v>
      </c>
      <c r="M366" t="n">
        <v>0</v>
      </c>
      <c r="N366" t="n">
        <v>0</v>
      </c>
      <c r="O366" t="n">
        <v>0</v>
      </c>
      <c r="P366" t="n">
        <v>0</v>
      </c>
      <c r="Q366" t="n">
        <v>0</v>
      </c>
      <c r="R366" s="2" t="inlineStr"/>
    </row>
    <row r="367" ht="15" customHeight="1">
      <c r="A367" t="inlineStr">
        <is>
          <t>A 30196-2020</t>
        </is>
      </c>
      <c r="B367" s="1" t="n">
        <v>44007</v>
      </c>
      <c r="C367" s="1" t="n">
        <v>45723</v>
      </c>
      <c r="D367" t="inlineStr">
        <is>
          <t>UPPSALA LÄN</t>
        </is>
      </c>
      <c r="E367" t="inlineStr">
        <is>
          <t>UPPSALA</t>
        </is>
      </c>
      <c r="G367" t="n">
        <v>1.7</v>
      </c>
      <c r="H367" t="n">
        <v>0</v>
      </c>
      <c r="I367" t="n">
        <v>0</v>
      </c>
      <c r="J367" t="n">
        <v>0</v>
      </c>
      <c r="K367" t="n">
        <v>0</v>
      </c>
      <c r="L367" t="n">
        <v>0</v>
      </c>
      <c r="M367" t="n">
        <v>0</v>
      </c>
      <c r="N367" t="n">
        <v>0</v>
      </c>
      <c r="O367" t="n">
        <v>0</v>
      </c>
      <c r="P367" t="n">
        <v>0</v>
      </c>
      <c r="Q367" t="n">
        <v>0</v>
      </c>
      <c r="R367" s="2" t="inlineStr"/>
    </row>
    <row r="368" ht="15" customHeight="1">
      <c r="A368" t="inlineStr">
        <is>
          <t>A 30208-2020</t>
        </is>
      </c>
      <c r="B368" s="1" t="n">
        <v>44007</v>
      </c>
      <c r="C368" s="1" t="n">
        <v>45723</v>
      </c>
      <c r="D368" t="inlineStr">
        <is>
          <t>UPPSALA LÄN</t>
        </is>
      </c>
      <c r="E368" t="inlineStr">
        <is>
          <t>UPPSALA</t>
        </is>
      </c>
      <c r="G368" t="n">
        <v>1.2</v>
      </c>
      <c r="H368" t="n">
        <v>0</v>
      </c>
      <c r="I368" t="n">
        <v>0</v>
      </c>
      <c r="J368" t="n">
        <v>0</v>
      </c>
      <c r="K368" t="n">
        <v>0</v>
      </c>
      <c r="L368" t="n">
        <v>0</v>
      </c>
      <c r="M368" t="n">
        <v>0</v>
      </c>
      <c r="N368" t="n">
        <v>0</v>
      </c>
      <c r="O368" t="n">
        <v>0</v>
      </c>
      <c r="P368" t="n">
        <v>0</v>
      </c>
      <c r="Q368" t="n">
        <v>0</v>
      </c>
      <c r="R368" s="2" t="inlineStr"/>
    </row>
    <row r="369" ht="15" customHeight="1">
      <c r="A369" t="inlineStr">
        <is>
          <t>A 31219-2020</t>
        </is>
      </c>
      <c r="B369" s="1" t="n">
        <v>44012</v>
      </c>
      <c r="C369" s="1" t="n">
        <v>45723</v>
      </c>
      <c r="D369" t="inlineStr">
        <is>
          <t>UPPSALA LÄN</t>
        </is>
      </c>
      <c r="E369" t="inlineStr">
        <is>
          <t>UPPSALA</t>
        </is>
      </c>
      <c r="F369" t="inlineStr">
        <is>
          <t>Bergvik skog öst AB</t>
        </is>
      </c>
      <c r="G369" t="n">
        <v>7.4</v>
      </c>
      <c r="H369" t="n">
        <v>0</v>
      </c>
      <c r="I369" t="n">
        <v>0</v>
      </c>
      <c r="J369" t="n">
        <v>0</v>
      </c>
      <c r="K369" t="n">
        <v>0</v>
      </c>
      <c r="L369" t="n">
        <v>0</v>
      </c>
      <c r="M369" t="n">
        <v>0</v>
      </c>
      <c r="N369" t="n">
        <v>0</v>
      </c>
      <c r="O369" t="n">
        <v>0</v>
      </c>
      <c r="P369" t="n">
        <v>0</v>
      </c>
      <c r="Q369" t="n">
        <v>0</v>
      </c>
      <c r="R369" s="2" t="inlineStr"/>
    </row>
    <row r="370" ht="15" customHeight="1">
      <c r="A370" t="inlineStr">
        <is>
          <t>A 31430-2020</t>
        </is>
      </c>
      <c r="B370" s="1" t="n">
        <v>44013</v>
      </c>
      <c r="C370" s="1" t="n">
        <v>45723</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31932-2020</t>
        </is>
      </c>
      <c r="B371" s="1" t="n">
        <v>44014</v>
      </c>
      <c r="C371" s="1" t="n">
        <v>45723</v>
      </c>
      <c r="D371" t="inlineStr">
        <is>
          <t>UPPSALA LÄN</t>
        </is>
      </c>
      <c r="E371" t="inlineStr">
        <is>
          <t>UPPSALA</t>
        </is>
      </c>
      <c r="G371" t="n">
        <v>5.6</v>
      </c>
      <c r="H371" t="n">
        <v>0</v>
      </c>
      <c r="I371" t="n">
        <v>0</v>
      </c>
      <c r="J371" t="n">
        <v>0</v>
      </c>
      <c r="K371" t="n">
        <v>0</v>
      </c>
      <c r="L371" t="n">
        <v>0</v>
      </c>
      <c r="M371" t="n">
        <v>0</v>
      </c>
      <c r="N371" t="n">
        <v>0</v>
      </c>
      <c r="O371" t="n">
        <v>0</v>
      </c>
      <c r="P371" t="n">
        <v>0</v>
      </c>
      <c r="Q371" t="n">
        <v>0</v>
      </c>
      <c r="R371" s="2" t="inlineStr"/>
    </row>
    <row r="372" ht="15" customHeight="1">
      <c r="A372" t="inlineStr">
        <is>
          <t>A 32235-2020</t>
        </is>
      </c>
      <c r="B372" s="1" t="n">
        <v>44015</v>
      </c>
      <c r="C372" s="1" t="n">
        <v>45723</v>
      </c>
      <c r="D372" t="inlineStr">
        <is>
          <t>UPPSALA LÄN</t>
        </is>
      </c>
      <c r="E372" t="inlineStr">
        <is>
          <t>UPPSALA</t>
        </is>
      </c>
      <c r="F372" t="inlineStr">
        <is>
          <t>Bergvik skog öst AB</t>
        </is>
      </c>
      <c r="G372" t="n">
        <v>0.5</v>
      </c>
      <c r="H372" t="n">
        <v>0</v>
      </c>
      <c r="I372" t="n">
        <v>0</v>
      </c>
      <c r="J372" t="n">
        <v>0</v>
      </c>
      <c r="K372" t="n">
        <v>0</v>
      </c>
      <c r="L372" t="n">
        <v>0</v>
      </c>
      <c r="M372" t="n">
        <v>0</v>
      </c>
      <c r="N372" t="n">
        <v>0</v>
      </c>
      <c r="O372" t="n">
        <v>0</v>
      </c>
      <c r="P372" t="n">
        <v>0</v>
      </c>
      <c r="Q372" t="n">
        <v>0</v>
      </c>
      <c r="R372" s="2" t="inlineStr"/>
    </row>
    <row r="373" ht="15" customHeight="1">
      <c r="A373" t="inlineStr">
        <is>
          <t>A 32340-2020</t>
        </is>
      </c>
      <c r="B373" s="1" t="n">
        <v>44016</v>
      </c>
      <c r="C373" s="1" t="n">
        <v>45723</v>
      </c>
      <c r="D373" t="inlineStr">
        <is>
          <t>UPPSALA LÄN</t>
        </is>
      </c>
      <c r="E373" t="inlineStr">
        <is>
          <t>UPPSALA</t>
        </is>
      </c>
      <c r="F373" t="inlineStr">
        <is>
          <t>Bergvik skog öst AB</t>
        </is>
      </c>
      <c r="G373" t="n">
        <v>1.2</v>
      </c>
      <c r="H373" t="n">
        <v>0</v>
      </c>
      <c r="I373" t="n">
        <v>0</v>
      </c>
      <c r="J373" t="n">
        <v>0</v>
      </c>
      <c r="K373" t="n">
        <v>0</v>
      </c>
      <c r="L373" t="n">
        <v>0</v>
      </c>
      <c r="M373" t="n">
        <v>0</v>
      </c>
      <c r="N373" t="n">
        <v>0</v>
      </c>
      <c r="O373" t="n">
        <v>0</v>
      </c>
      <c r="P373" t="n">
        <v>0</v>
      </c>
      <c r="Q373" t="n">
        <v>0</v>
      </c>
      <c r="R373" s="2" t="inlineStr"/>
    </row>
    <row r="374" ht="15" customHeight="1">
      <c r="A374" t="inlineStr">
        <is>
          <t>A 32608-2020</t>
        </is>
      </c>
      <c r="B374" s="1" t="n">
        <v>44019</v>
      </c>
      <c r="C374" s="1" t="n">
        <v>45723</v>
      </c>
      <c r="D374" t="inlineStr">
        <is>
          <t>UPPSALA LÄN</t>
        </is>
      </c>
      <c r="E374" t="inlineStr">
        <is>
          <t>UPPSALA</t>
        </is>
      </c>
      <c r="F374" t="inlineStr">
        <is>
          <t>Bergvik skog öst AB</t>
        </is>
      </c>
      <c r="G374" t="n">
        <v>5.7</v>
      </c>
      <c r="H374" t="n">
        <v>0</v>
      </c>
      <c r="I374" t="n">
        <v>0</v>
      </c>
      <c r="J374" t="n">
        <v>0</v>
      </c>
      <c r="K374" t="n">
        <v>0</v>
      </c>
      <c r="L374" t="n">
        <v>0</v>
      </c>
      <c r="M374" t="n">
        <v>0</v>
      </c>
      <c r="N374" t="n">
        <v>0</v>
      </c>
      <c r="O374" t="n">
        <v>0</v>
      </c>
      <c r="P374" t="n">
        <v>0</v>
      </c>
      <c r="Q374" t="n">
        <v>0</v>
      </c>
      <c r="R374" s="2" t="inlineStr"/>
    </row>
    <row r="375" ht="15" customHeight="1">
      <c r="A375" t="inlineStr">
        <is>
          <t>A 33658-2020</t>
        </is>
      </c>
      <c r="B375" s="1" t="n">
        <v>44026</v>
      </c>
      <c r="C375" s="1" t="n">
        <v>45723</v>
      </c>
      <c r="D375" t="inlineStr">
        <is>
          <t>UPPSALA LÄN</t>
        </is>
      </c>
      <c r="E375" t="inlineStr">
        <is>
          <t>UPPSALA</t>
        </is>
      </c>
      <c r="G375" t="n">
        <v>2.2</v>
      </c>
      <c r="H375" t="n">
        <v>0</v>
      </c>
      <c r="I375" t="n">
        <v>0</v>
      </c>
      <c r="J375" t="n">
        <v>0</v>
      </c>
      <c r="K375" t="n">
        <v>0</v>
      </c>
      <c r="L375" t="n">
        <v>0</v>
      </c>
      <c r="M375" t="n">
        <v>0</v>
      </c>
      <c r="N375" t="n">
        <v>0</v>
      </c>
      <c r="O375" t="n">
        <v>0</v>
      </c>
      <c r="P375" t="n">
        <v>0</v>
      </c>
      <c r="Q375" t="n">
        <v>0</v>
      </c>
      <c r="R375" s="2" t="inlineStr"/>
    </row>
    <row r="376" ht="15" customHeight="1">
      <c r="A376" t="inlineStr">
        <is>
          <t>A 34205-2020</t>
        </is>
      </c>
      <c r="B376" s="1" t="n">
        <v>44029</v>
      </c>
      <c r="C376" s="1" t="n">
        <v>45723</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34565-2020</t>
        </is>
      </c>
      <c r="B377" s="1" t="n">
        <v>44033</v>
      </c>
      <c r="C377" s="1" t="n">
        <v>45723</v>
      </c>
      <c r="D377" t="inlineStr">
        <is>
          <t>UPPSALA LÄN</t>
        </is>
      </c>
      <c r="E377" t="inlineStr">
        <is>
          <t>UPPSALA</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34753-2020</t>
        </is>
      </c>
      <c r="B378" s="1" t="n">
        <v>44035</v>
      </c>
      <c r="C378" s="1" t="n">
        <v>45723</v>
      </c>
      <c r="D378" t="inlineStr">
        <is>
          <t>UPPSALA LÄN</t>
        </is>
      </c>
      <c r="E378" t="inlineStr">
        <is>
          <t>UPPSALA</t>
        </is>
      </c>
      <c r="G378" t="n">
        <v>2.7</v>
      </c>
      <c r="H378" t="n">
        <v>0</v>
      </c>
      <c r="I378" t="n">
        <v>0</v>
      </c>
      <c r="J378" t="n">
        <v>0</v>
      </c>
      <c r="K378" t="n">
        <v>0</v>
      </c>
      <c r="L378" t="n">
        <v>0</v>
      </c>
      <c r="M378" t="n">
        <v>0</v>
      </c>
      <c r="N378" t="n">
        <v>0</v>
      </c>
      <c r="O378" t="n">
        <v>0</v>
      </c>
      <c r="P378" t="n">
        <v>0</v>
      </c>
      <c r="Q378" t="n">
        <v>0</v>
      </c>
      <c r="R378" s="2" t="inlineStr"/>
    </row>
    <row r="379" ht="15" customHeight="1">
      <c r="A379" t="inlineStr">
        <is>
          <t>A 34749-2020</t>
        </is>
      </c>
      <c r="B379" s="1" t="n">
        <v>44035</v>
      </c>
      <c r="C379" s="1" t="n">
        <v>45723</v>
      </c>
      <c r="D379" t="inlineStr">
        <is>
          <t>UPPSALA LÄN</t>
        </is>
      </c>
      <c r="E379" t="inlineStr">
        <is>
          <t>UPPSALA</t>
        </is>
      </c>
      <c r="G379" t="n">
        <v>5.5</v>
      </c>
      <c r="H379" t="n">
        <v>0</v>
      </c>
      <c r="I379" t="n">
        <v>0</v>
      </c>
      <c r="J379" t="n">
        <v>0</v>
      </c>
      <c r="K379" t="n">
        <v>0</v>
      </c>
      <c r="L379" t="n">
        <v>0</v>
      </c>
      <c r="M379" t="n">
        <v>0</v>
      </c>
      <c r="N379" t="n">
        <v>0</v>
      </c>
      <c r="O379" t="n">
        <v>0</v>
      </c>
      <c r="P379" t="n">
        <v>0</v>
      </c>
      <c r="Q379" t="n">
        <v>0</v>
      </c>
      <c r="R379" s="2" t="inlineStr"/>
    </row>
    <row r="380" ht="15" customHeight="1">
      <c r="A380" t="inlineStr">
        <is>
          <t>A 35281-2020</t>
        </is>
      </c>
      <c r="B380" s="1" t="n">
        <v>44041</v>
      </c>
      <c r="C380" s="1" t="n">
        <v>45723</v>
      </c>
      <c r="D380" t="inlineStr">
        <is>
          <t>UPPSALA LÄN</t>
        </is>
      </c>
      <c r="E380" t="inlineStr">
        <is>
          <t>UPPSALA</t>
        </is>
      </c>
      <c r="F380" t="inlineStr">
        <is>
          <t>Bergvik skog öst AB</t>
        </is>
      </c>
      <c r="G380" t="n">
        <v>3.1</v>
      </c>
      <c r="H380" t="n">
        <v>0</v>
      </c>
      <c r="I380" t="n">
        <v>0</v>
      </c>
      <c r="J380" t="n">
        <v>0</v>
      </c>
      <c r="K380" t="n">
        <v>0</v>
      </c>
      <c r="L380" t="n">
        <v>0</v>
      </c>
      <c r="M380" t="n">
        <v>0</v>
      </c>
      <c r="N380" t="n">
        <v>0</v>
      </c>
      <c r="O380" t="n">
        <v>0</v>
      </c>
      <c r="P380" t="n">
        <v>0</v>
      </c>
      <c r="Q380" t="n">
        <v>0</v>
      </c>
      <c r="R380" s="2" t="inlineStr"/>
    </row>
    <row r="381" ht="15" customHeight="1">
      <c r="A381" t="inlineStr">
        <is>
          <t>A 36035-2020</t>
        </is>
      </c>
      <c r="B381" s="1" t="n">
        <v>44048</v>
      </c>
      <c r="C381" s="1" t="n">
        <v>45723</v>
      </c>
      <c r="D381" t="inlineStr">
        <is>
          <t>UPPSALA LÄN</t>
        </is>
      </c>
      <c r="E381" t="inlineStr">
        <is>
          <t>UPPSALA</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36202-2020</t>
        </is>
      </c>
      <c r="B382" s="1" t="n">
        <v>44048</v>
      </c>
      <c r="C382" s="1" t="n">
        <v>45723</v>
      </c>
      <c r="D382" t="inlineStr">
        <is>
          <t>UPPSALA LÄN</t>
        </is>
      </c>
      <c r="E382" t="inlineStr">
        <is>
          <t>UPPSALA</t>
        </is>
      </c>
      <c r="F382" t="inlineStr">
        <is>
          <t>Bergvik skog öst AB</t>
        </is>
      </c>
      <c r="G382" t="n">
        <v>0.4</v>
      </c>
      <c r="H382" t="n">
        <v>0</v>
      </c>
      <c r="I382" t="n">
        <v>0</v>
      </c>
      <c r="J382" t="n">
        <v>0</v>
      </c>
      <c r="K382" t="n">
        <v>0</v>
      </c>
      <c r="L382" t="n">
        <v>0</v>
      </c>
      <c r="M382" t="n">
        <v>0</v>
      </c>
      <c r="N382" t="n">
        <v>0</v>
      </c>
      <c r="O382" t="n">
        <v>0</v>
      </c>
      <c r="P382" t="n">
        <v>0</v>
      </c>
      <c r="Q382" t="n">
        <v>0</v>
      </c>
      <c r="R382" s="2" t="inlineStr"/>
    </row>
    <row r="383" ht="15" customHeight="1">
      <c r="A383" t="inlineStr">
        <is>
          <t>A 36198-2020</t>
        </is>
      </c>
      <c r="B383" s="1" t="n">
        <v>44048</v>
      </c>
      <c r="C383" s="1" t="n">
        <v>45723</v>
      </c>
      <c r="D383" t="inlineStr">
        <is>
          <t>UPPSALA LÄN</t>
        </is>
      </c>
      <c r="E383" t="inlineStr">
        <is>
          <t>UPPSALA</t>
        </is>
      </c>
      <c r="F383" t="inlineStr">
        <is>
          <t>Bergvik skog öst AB</t>
        </is>
      </c>
      <c r="G383" t="n">
        <v>0.3</v>
      </c>
      <c r="H383" t="n">
        <v>0</v>
      </c>
      <c r="I383" t="n">
        <v>0</v>
      </c>
      <c r="J383" t="n">
        <v>0</v>
      </c>
      <c r="K383" t="n">
        <v>0</v>
      </c>
      <c r="L383" t="n">
        <v>0</v>
      </c>
      <c r="M383" t="n">
        <v>0</v>
      </c>
      <c r="N383" t="n">
        <v>0</v>
      </c>
      <c r="O383" t="n">
        <v>0</v>
      </c>
      <c r="P383" t="n">
        <v>0</v>
      </c>
      <c r="Q383" t="n">
        <v>0</v>
      </c>
      <c r="R383" s="2" t="inlineStr"/>
    </row>
    <row r="384" ht="15" customHeight="1">
      <c r="A384" t="inlineStr">
        <is>
          <t>A 36350-2020</t>
        </is>
      </c>
      <c r="B384" s="1" t="n">
        <v>44049</v>
      </c>
      <c r="C384" s="1" t="n">
        <v>45723</v>
      </c>
      <c r="D384" t="inlineStr">
        <is>
          <t>UPPSALA LÄN</t>
        </is>
      </c>
      <c r="E384" t="inlineStr">
        <is>
          <t>UPPSALA</t>
        </is>
      </c>
      <c r="G384" t="n">
        <v>1.9</v>
      </c>
      <c r="H384" t="n">
        <v>0</v>
      </c>
      <c r="I384" t="n">
        <v>0</v>
      </c>
      <c r="J384" t="n">
        <v>0</v>
      </c>
      <c r="K384" t="n">
        <v>0</v>
      </c>
      <c r="L384" t="n">
        <v>0</v>
      </c>
      <c r="M384" t="n">
        <v>0</v>
      </c>
      <c r="N384" t="n">
        <v>0</v>
      </c>
      <c r="O384" t="n">
        <v>0</v>
      </c>
      <c r="P384" t="n">
        <v>0</v>
      </c>
      <c r="Q384" t="n">
        <v>0</v>
      </c>
      <c r="R384" s="2" t="inlineStr"/>
    </row>
    <row r="385" ht="15" customHeight="1">
      <c r="A385" t="inlineStr">
        <is>
          <t>A 36512-2020</t>
        </is>
      </c>
      <c r="B385" s="1" t="n">
        <v>44050</v>
      </c>
      <c r="C385" s="1" t="n">
        <v>45723</v>
      </c>
      <c r="D385" t="inlineStr">
        <is>
          <t>UPPSALA LÄN</t>
        </is>
      </c>
      <c r="E385" t="inlineStr">
        <is>
          <t>UPPSALA</t>
        </is>
      </c>
      <c r="G385" t="n">
        <v>5.8</v>
      </c>
      <c r="H385" t="n">
        <v>0</v>
      </c>
      <c r="I385" t="n">
        <v>0</v>
      </c>
      <c r="J385" t="n">
        <v>0</v>
      </c>
      <c r="K385" t="n">
        <v>0</v>
      </c>
      <c r="L385" t="n">
        <v>0</v>
      </c>
      <c r="M385" t="n">
        <v>0</v>
      </c>
      <c r="N385" t="n">
        <v>0</v>
      </c>
      <c r="O385" t="n">
        <v>0</v>
      </c>
      <c r="P385" t="n">
        <v>0</v>
      </c>
      <c r="Q385" t="n">
        <v>0</v>
      </c>
      <c r="R385" s="2" t="inlineStr"/>
    </row>
    <row r="386" ht="15" customHeight="1">
      <c r="A386" t="inlineStr">
        <is>
          <t>A 37276-2020</t>
        </is>
      </c>
      <c r="B386" s="1" t="n">
        <v>44055</v>
      </c>
      <c r="C386" s="1" t="n">
        <v>45723</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37669-2020</t>
        </is>
      </c>
      <c r="B387" s="1" t="n">
        <v>44056</v>
      </c>
      <c r="C387" s="1" t="n">
        <v>45723</v>
      </c>
      <c r="D387" t="inlineStr">
        <is>
          <t>UPPSALA LÄN</t>
        </is>
      </c>
      <c r="E387" t="inlineStr">
        <is>
          <t>UPPSALA</t>
        </is>
      </c>
      <c r="G387" t="n">
        <v>5.1</v>
      </c>
      <c r="H387" t="n">
        <v>0</v>
      </c>
      <c r="I387" t="n">
        <v>0</v>
      </c>
      <c r="J387" t="n">
        <v>0</v>
      </c>
      <c r="K387" t="n">
        <v>0</v>
      </c>
      <c r="L387" t="n">
        <v>0</v>
      </c>
      <c r="M387" t="n">
        <v>0</v>
      </c>
      <c r="N387" t="n">
        <v>0</v>
      </c>
      <c r="O387" t="n">
        <v>0</v>
      </c>
      <c r="P387" t="n">
        <v>0</v>
      </c>
      <c r="Q387" t="n">
        <v>0</v>
      </c>
      <c r="R387" s="2" t="inlineStr"/>
    </row>
    <row r="388" ht="15" customHeight="1">
      <c r="A388" t="inlineStr">
        <is>
          <t>A 39233-2020</t>
        </is>
      </c>
      <c r="B388" s="1" t="n">
        <v>44063</v>
      </c>
      <c r="C388" s="1" t="n">
        <v>45723</v>
      </c>
      <c r="D388" t="inlineStr">
        <is>
          <t>UPPSALA LÄN</t>
        </is>
      </c>
      <c r="E388" t="inlineStr">
        <is>
          <t>UPPSALA</t>
        </is>
      </c>
      <c r="G388" t="n">
        <v>1.2</v>
      </c>
      <c r="H388" t="n">
        <v>0</v>
      </c>
      <c r="I388" t="n">
        <v>0</v>
      </c>
      <c r="J388" t="n">
        <v>0</v>
      </c>
      <c r="K388" t="n">
        <v>0</v>
      </c>
      <c r="L388" t="n">
        <v>0</v>
      </c>
      <c r="M388" t="n">
        <v>0</v>
      </c>
      <c r="N388" t="n">
        <v>0</v>
      </c>
      <c r="O388" t="n">
        <v>0</v>
      </c>
      <c r="P388" t="n">
        <v>0</v>
      </c>
      <c r="Q388" t="n">
        <v>0</v>
      </c>
      <c r="R388" s="2" t="inlineStr"/>
    </row>
    <row r="389" ht="15" customHeight="1">
      <c r="A389" t="inlineStr">
        <is>
          <t>A 39178-2020</t>
        </is>
      </c>
      <c r="B389" s="1" t="n">
        <v>44063</v>
      </c>
      <c r="C389" s="1" t="n">
        <v>45723</v>
      </c>
      <c r="D389" t="inlineStr">
        <is>
          <t>UPPSALA LÄN</t>
        </is>
      </c>
      <c r="E389" t="inlineStr">
        <is>
          <t>UPPSALA</t>
        </is>
      </c>
      <c r="F389" t="inlineStr">
        <is>
          <t>Bergvik skog öst AB</t>
        </is>
      </c>
      <c r="G389" t="n">
        <v>2.6</v>
      </c>
      <c r="H389" t="n">
        <v>0</v>
      </c>
      <c r="I389" t="n">
        <v>0</v>
      </c>
      <c r="J389" t="n">
        <v>0</v>
      </c>
      <c r="K389" t="n">
        <v>0</v>
      </c>
      <c r="L389" t="n">
        <v>0</v>
      </c>
      <c r="M389" t="n">
        <v>0</v>
      </c>
      <c r="N389" t="n">
        <v>0</v>
      </c>
      <c r="O389" t="n">
        <v>0</v>
      </c>
      <c r="P389" t="n">
        <v>0</v>
      </c>
      <c r="Q389" t="n">
        <v>0</v>
      </c>
      <c r="R389" s="2" t="inlineStr"/>
    </row>
    <row r="390" ht="15" customHeight="1">
      <c r="A390" t="inlineStr">
        <is>
          <t>A 39236-2020</t>
        </is>
      </c>
      <c r="B390" s="1" t="n">
        <v>44063</v>
      </c>
      <c r="C390" s="1" t="n">
        <v>45723</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39272-2020</t>
        </is>
      </c>
      <c r="B391" s="1" t="n">
        <v>44063</v>
      </c>
      <c r="C391" s="1" t="n">
        <v>45723</v>
      </c>
      <c r="D391" t="inlineStr">
        <is>
          <t>UPPSALA LÄN</t>
        </is>
      </c>
      <c r="E391" t="inlineStr">
        <is>
          <t>UPPSALA</t>
        </is>
      </c>
      <c r="G391" t="n">
        <v>2.3</v>
      </c>
      <c r="H391" t="n">
        <v>0</v>
      </c>
      <c r="I391" t="n">
        <v>0</v>
      </c>
      <c r="J391" t="n">
        <v>0</v>
      </c>
      <c r="K391" t="n">
        <v>0</v>
      </c>
      <c r="L391" t="n">
        <v>0</v>
      </c>
      <c r="M391" t="n">
        <v>0</v>
      </c>
      <c r="N391" t="n">
        <v>0</v>
      </c>
      <c r="O391" t="n">
        <v>0</v>
      </c>
      <c r="P391" t="n">
        <v>0</v>
      </c>
      <c r="Q391" t="n">
        <v>0</v>
      </c>
      <c r="R391" s="2" t="inlineStr"/>
    </row>
    <row r="392" ht="15" customHeight="1">
      <c r="A392" t="inlineStr">
        <is>
          <t>A 40894-2020</t>
        </is>
      </c>
      <c r="B392" s="1" t="n">
        <v>44070</v>
      </c>
      <c r="C392" s="1" t="n">
        <v>45723</v>
      </c>
      <c r="D392" t="inlineStr">
        <is>
          <t>UPPSALA LÄN</t>
        </is>
      </c>
      <c r="E392" t="inlineStr">
        <is>
          <t>UPPSALA</t>
        </is>
      </c>
      <c r="G392" t="n">
        <v>7.1</v>
      </c>
      <c r="H392" t="n">
        <v>0</v>
      </c>
      <c r="I392" t="n">
        <v>0</v>
      </c>
      <c r="J392" t="n">
        <v>0</v>
      </c>
      <c r="K392" t="n">
        <v>0</v>
      </c>
      <c r="L392" t="n">
        <v>0</v>
      </c>
      <c r="M392" t="n">
        <v>0</v>
      </c>
      <c r="N392" t="n">
        <v>0</v>
      </c>
      <c r="O392" t="n">
        <v>0</v>
      </c>
      <c r="P392" t="n">
        <v>0</v>
      </c>
      <c r="Q392" t="n">
        <v>0</v>
      </c>
      <c r="R392" s="2" t="inlineStr"/>
    </row>
    <row r="393" ht="15" customHeight="1">
      <c r="A393" t="inlineStr">
        <is>
          <t>A 42341-2020</t>
        </is>
      </c>
      <c r="B393" s="1" t="n">
        <v>44076</v>
      </c>
      <c r="C393" s="1" t="n">
        <v>45723</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43968-2020</t>
        </is>
      </c>
      <c r="B394" s="1" t="n">
        <v>44083</v>
      </c>
      <c r="C394" s="1" t="n">
        <v>45723</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45930-2020</t>
        </is>
      </c>
      <c r="B395" s="1" t="n">
        <v>44091</v>
      </c>
      <c r="C395" s="1" t="n">
        <v>45723</v>
      </c>
      <c r="D395" t="inlineStr">
        <is>
          <t>UPPSALA LÄN</t>
        </is>
      </c>
      <c r="E395" t="inlineStr">
        <is>
          <t>UPPSALA</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46633-2020</t>
        </is>
      </c>
      <c r="B396" s="1" t="n">
        <v>44095</v>
      </c>
      <c r="C396" s="1" t="n">
        <v>45723</v>
      </c>
      <c r="D396" t="inlineStr">
        <is>
          <t>UPPSALA LÄN</t>
        </is>
      </c>
      <c r="E396" t="inlineStr">
        <is>
          <t>UPPSALA</t>
        </is>
      </c>
      <c r="G396" t="n">
        <v>4.2</v>
      </c>
      <c r="H396" t="n">
        <v>0</v>
      </c>
      <c r="I396" t="n">
        <v>0</v>
      </c>
      <c r="J396" t="n">
        <v>0</v>
      </c>
      <c r="K396" t="n">
        <v>0</v>
      </c>
      <c r="L396" t="n">
        <v>0</v>
      </c>
      <c r="M396" t="n">
        <v>0</v>
      </c>
      <c r="N396" t="n">
        <v>0</v>
      </c>
      <c r="O396" t="n">
        <v>0</v>
      </c>
      <c r="P396" t="n">
        <v>0</v>
      </c>
      <c r="Q396" t="n">
        <v>0</v>
      </c>
      <c r="R396" s="2" t="inlineStr"/>
    </row>
    <row r="397" ht="15" customHeight="1">
      <c r="A397" t="inlineStr">
        <is>
          <t>A 46647-2020</t>
        </is>
      </c>
      <c r="B397" s="1" t="n">
        <v>44095</v>
      </c>
      <c r="C397" s="1" t="n">
        <v>45723</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48786-2020</t>
        </is>
      </c>
      <c r="B398" s="1" t="n">
        <v>44103</v>
      </c>
      <c r="C398" s="1" t="n">
        <v>45723</v>
      </c>
      <c r="D398" t="inlineStr">
        <is>
          <t>UPPSALA LÄN</t>
        </is>
      </c>
      <c r="E398" t="inlineStr">
        <is>
          <t>UPPSALA</t>
        </is>
      </c>
      <c r="G398" t="n">
        <v>0.4</v>
      </c>
      <c r="H398" t="n">
        <v>0</v>
      </c>
      <c r="I398" t="n">
        <v>0</v>
      </c>
      <c r="J398" t="n">
        <v>0</v>
      </c>
      <c r="K398" t="n">
        <v>0</v>
      </c>
      <c r="L398" t="n">
        <v>0</v>
      </c>
      <c r="M398" t="n">
        <v>0</v>
      </c>
      <c r="N398" t="n">
        <v>0</v>
      </c>
      <c r="O398" t="n">
        <v>0</v>
      </c>
      <c r="P398" t="n">
        <v>0</v>
      </c>
      <c r="Q398" t="n">
        <v>0</v>
      </c>
      <c r="R398" s="2" t="inlineStr"/>
    </row>
    <row r="399" ht="15" customHeight="1">
      <c r="A399" t="inlineStr">
        <is>
          <t>A 49363-2020</t>
        </is>
      </c>
      <c r="B399" s="1" t="n">
        <v>44105</v>
      </c>
      <c r="C399" s="1" t="n">
        <v>45723</v>
      </c>
      <c r="D399" t="inlineStr">
        <is>
          <t>UPPSALA LÄN</t>
        </is>
      </c>
      <c r="E399" t="inlineStr">
        <is>
          <t>UPPSALA</t>
        </is>
      </c>
      <c r="G399" t="n">
        <v>0.9</v>
      </c>
      <c r="H399" t="n">
        <v>0</v>
      </c>
      <c r="I399" t="n">
        <v>0</v>
      </c>
      <c r="J399" t="n">
        <v>0</v>
      </c>
      <c r="K399" t="n">
        <v>0</v>
      </c>
      <c r="L399" t="n">
        <v>0</v>
      </c>
      <c r="M399" t="n">
        <v>0</v>
      </c>
      <c r="N399" t="n">
        <v>0</v>
      </c>
      <c r="O399" t="n">
        <v>0</v>
      </c>
      <c r="P399" t="n">
        <v>0</v>
      </c>
      <c r="Q399" t="n">
        <v>0</v>
      </c>
      <c r="R399" s="2" t="inlineStr"/>
    </row>
    <row r="400" ht="15" customHeight="1">
      <c r="A400" t="inlineStr">
        <is>
          <t>A 49409-2020</t>
        </is>
      </c>
      <c r="B400" s="1" t="n">
        <v>44105</v>
      </c>
      <c r="C400" s="1" t="n">
        <v>45723</v>
      </c>
      <c r="D400" t="inlineStr">
        <is>
          <t>UPPSALA LÄN</t>
        </is>
      </c>
      <c r="E400" t="inlineStr">
        <is>
          <t>UPPSALA</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49404-2020</t>
        </is>
      </c>
      <c r="B401" s="1" t="n">
        <v>44105</v>
      </c>
      <c r="C401" s="1" t="n">
        <v>45723</v>
      </c>
      <c r="D401" t="inlineStr">
        <is>
          <t>UPPSALA LÄN</t>
        </is>
      </c>
      <c r="E401" t="inlineStr">
        <is>
          <t>UPPSALA</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49821-2020</t>
        </is>
      </c>
      <c r="B402" s="1" t="n">
        <v>44106</v>
      </c>
      <c r="C402" s="1" t="n">
        <v>45723</v>
      </c>
      <c r="D402" t="inlineStr">
        <is>
          <t>UPPSALA LÄN</t>
        </is>
      </c>
      <c r="E402" t="inlineStr">
        <is>
          <t>UPPSALA</t>
        </is>
      </c>
      <c r="G402" t="n">
        <v>2</v>
      </c>
      <c r="H402" t="n">
        <v>0</v>
      </c>
      <c r="I402" t="n">
        <v>0</v>
      </c>
      <c r="J402" t="n">
        <v>0</v>
      </c>
      <c r="K402" t="n">
        <v>0</v>
      </c>
      <c r="L402" t="n">
        <v>0</v>
      </c>
      <c r="M402" t="n">
        <v>0</v>
      </c>
      <c r="N402" t="n">
        <v>0</v>
      </c>
      <c r="O402" t="n">
        <v>0</v>
      </c>
      <c r="P402" t="n">
        <v>0</v>
      </c>
      <c r="Q402" t="n">
        <v>0</v>
      </c>
      <c r="R402" s="2" t="inlineStr"/>
    </row>
    <row r="403" ht="15" customHeight="1">
      <c r="A403" t="inlineStr">
        <is>
          <t>A 49931-2020</t>
        </is>
      </c>
      <c r="B403" s="1" t="n">
        <v>44109</v>
      </c>
      <c r="C403" s="1" t="n">
        <v>45723</v>
      </c>
      <c r="D403" t="inlineStr">
        <is>
          <t>UPPSALA LÄN</t>
        </is>
      </c>
      <c r="E403" t="inlineStr">
        <is>
          <t>UPPSALA</t>
        </is>
      </c>
      <c r="G403" t="n">
        <v>3.4</v>
      </c>
      <c r="H403" t="n">
        <v>0</v>
      </c>
      <c r="I403" t="n">
        <v>0</v>
      </c>
      <c r="J403" t="n">
        <v>0</v>
      </c>
      <c r="K403" t="n">
        <v>0</v>
      </c>
      <c r="L403" t="n">
        <v>0</v>
      </c>
      <c r="M403" t="n">
        <v>0</v>
      </c>
      <c r="N403" t="n">
        <v>0</v>
      </c>
      <c r="O403" t="n">
        <v>0</v>
      </c>
      <c r="P403" t="n">
        <v>0</v>
      </c>
      <c r="Q403" t="n">
        <v>0</v>
      </c>
      <c r="R403" s="2" t="inlineStr"/>
    </row>
    <row r="404" ht="15" customHeight="1">
      <c r="A404" t="inlineStr">
        <is>
          <t>A 52717-2020</t>
        </is>
      </c>
      <c r="B404" s="1" t="n">
        <v>44119</v>
      </c>
      <c r="C404" s="1" t="n">
        <v>45723</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53346-2020</t>
        </is>
      </c>
      <c r="B405" s="1" t="n">
        <v>44123</v>
      </c>
      <c r="C405" s="1" t="n">
        <v>45723</v>
      </c>
      <c r="D405" t="inlineStr">
        <is>
          <t>UPPSALA LÄN</t>
        </is>
      </c>
      <c r="E405" t="inlineStr">
        <is>
          <t>UPPSALA</t>
        </is>
      </c>
      <c r="G405" t="n">
        <v>1.4</v>
      </c>
      <c r="H405" t="n">
        <v>0</v>
      </c>
      <c r="I405" t="n">
        <v>0</v>
      </c>
      <c r="J405" t="n">
        <v>0</v>
      </c>
      <c r="K405" t="n">
        <v>0</v>
      </c>
      <c r="L405" t="n">
        <v>0</v>
      </c>
      <c r="M405" t="n">
        <v>0</v>
      </c>
      <c r="N405" t="n">
        <v>0</v>
      </c>
      <c r="O405" t="n">
        <v>0</v>
      </c>
      <c r="P405" t="n">
        <v>0</v>
      </c>
      <c r="Q405" t="n">
        <v>0</v>
      </c>
      <c r="R405" s="2" t="inlineStr"/>
    </row>
    <row r="406" ht="15" customHeight="1">
      <c r="A406" t="inlineStr">
        <is>
          <t>A 53379-2020</t>
        </is>
      </c>
      <c r="B406" s="1" t="n">
        <v>44123</v>
      </c>
      <c r="C406" s="1" t="n">
        <v>45723</v>
      </c>
      <c r="D406" t="inlineStr">
        <is>
          <t>UPPSALA LÄN</t>
        </is>
      </c>
      <c r="E406" t="inlineStr">
        <is>
          <t>UPPSALA</t>
        </is>
      </c>
      <c r="G406" t="n">
        <v>2.6</v>
      </c>
      <c r="H406" t="n">
        <v>0</v>
      </c>
      <c r="I406" t="n">
        <v>0</v>
      </c>
      <c r="J406" t="n">
        <v>0</v>
      </c>
      <c r="K406" t="n">
        <v>0</v>
      </c>
      <c r="L406" t="n">
        <v>0</v>
      </c>
      <c r="M406" t="n">
        <v>0</v>
      </c>
      <c r="N406" t="n">
        <v>0</v>
      </c>
      <c r="O406" t="n">
        <v>0</v>
      </c>
      <c r="P406" t="n">
        <v>0</v>
      </c>
      <c r="Q406" t="n">
        <v>0</v>
      </c>
      <c r="R406" s="2" t="inlineStr"/>
    </row>
    <row r="407" ht="15" customHeight="1">
      <c r="A407" t="inlineStr">
        <is>
          <t>A 54742-2020</t>
        </is>
      </c>
      <c r="B407" s="1" t="n">
        <v>44126</v>
      </c>
      <c r="C407" s="1" t="n">
        <v>45723</v>
      </c>
      <c r="D407" t="inlineStr">
        <is>
          <t>UPPSALA LÄN</t>
        </is>
      </c>
      <c r="E407" t="inlineStr">
        <is>
          <t>UPPSALA</t>
        </is>
      </c>
      <c r="G407" t="n">
        <v>3.6</v>
      </c>
      <c r="H407" t="n">
        <v>0</v>
      </c>
      <c r="I407" t="n">
        <v>0</v>
      </c>
      <c r="J407" t="n">
        <v>0</v>
      </c>
      <c r="K407" t="n">
        <v>0</v>
      </c>
      <c r="L407" t="n">
        <v>0</v>
      </c>
      <c r="M407" t="n">
        <v>0</v>
      </c>
      <c r="N407" t="n">
        <v>0</v>
      </c>
      <c r="O407" t="n">
        <v>0</v>
      </c>
      <c r="P407" t="n">
        <v>0</v>
      </c>
      <c r="Q407" t="n">
        <v>0</v>
      </c>
      <c r="R407" s="2" t="inlineStr"/>
    </row>
    <row r="408" ht="15" customHeight="1">
      <c r="A408" t="inlineStr">
        <is>
          <t>A 55220-2020</t>
        </is>
      </c>
      <c r="B408" s="1" t="n">
        <v>44130</v>
      </c>
      <c r="C408" s="1" t="n">
        <v>45723</v>
      </c>
      <c r="D408" t="inlineStr">
        <is>
          <t>UPPSALA LÄN</t>
        </is>
      </c>
      <c r="E408" t="inlineStr">
        <is>
          <t>UPPSALA</t>
        </is>
      </c>
      <c r="G408" t="n">
        <v>2.8</v>
      </c>
      <c r="H408" t="n">
        <v>0</v>
      </c>
      <c r="I408" t="n">
        <v>0</v>
      </c>
      <c r="J408" t="n">
        <v>0</v>
      </c>
      <c r="K408" t="n">
        <v>0</v>
      </c>
      <c r="L408" t="n">
        <v>0</v>
      </c>
      <c r="M408" t="n">
        <v>0</v>
      </c>
      <c r="N408" t="n">
        <v>0</v>
      </c>
      <c r="O408" t="n">
        <v>0</v>
      </c>
      <c r="P408" t="n">
        <v>0</v>
      </c>
      <c r="Q408" t="n">
        <v>0</v>
      </c>
      <c r="R408" s="2" t="inlineStr"/>
    </row>
    <row r="409" ht="15" customHeight="1">
      <c r="A409" t="inlineStr">
        <is>
          <t>A 55953-2020</t>
        </is>
      </c>
      <c r="B409" s="1" t="n">
        <v>44131</v>
      </c>
      <c r="C409" s="1" t="n">
        <v>45723</v>
      </c>
      <c r="D409" t="inlineStr">
        <is>
          <t>UPPSALA LÄN</t>
        </is>
      </c>
      <c r="E409" t="inlineStr">
        <is>
          <t>UPPSALA</t>
        </is>
      </c>
      <c r="F409" t="inlineStr">
        <is>
          <t>Allmännings- och besparingsskogar</t>
        </is>
      </c>
      <c r="G409" t="n">
        <v>74.40000000000001</v>
      </c>
      <c r="H409" t="n">
        <v>0</v>
      </c>
      <c r="I409" t="n">
        <v>0</v>
      </c>
      <c r="J409" t="n">
        <v>0</v>
      </c>
      <c r="K409" t="n">
        <v>0</v>
      </c>
      <c r="L409" t="n">
        <v>0</v>
      </c>
      <c r="M409" t="n">
        <v>0</v>
      </c>
      <c r="N409" t="n">
        <v>0</v>
      </c>
      <c r="O409" t="n">
        <v>0</v>
      </c>
      <c r="P409" t="n">
        <v>0</v>
      </c>
      <c r="Q409" t="n">
        <v>0</v>
      </c>
      <c r="R409" s="2" t="inlineStr"/>
    </row>
    <row r="410" ht="15" customHeight="1">
      <c r="A410" t="inlineStr">
        <is>
          <t>A 56097-2020</t>
        </is>
      </c>
      <c r="B410" s="1" t="n">
        <v>44131</v>
      </c>
      <c r="C410" s="1" t="n">
        <v>45723</v>
      </c>
      <c r="D410" t="inlineStr">
        <is>
          <t>UPPSALA LÄN</t>
        </is>
      </c>
      <c r="E410" t="inlineStr">
        <is>
          <t>UPPSALA</t>
        </is>
      </c>
      <c r="F410" t="inlineStr">
        <is>
          <t>Allmännings- och besparingsskogar</t>
        </is>
      </c>
      <c r="G410" t="n">
        <v>10.6</v>
      </c>
      <c r="H410" t="n">
        <v>0</v>
      </c>
      <c r="I410" t="n">
        <v>0</v>
      </c>
      <c r="J410" t="n">
        <v>0</v>
      </c>
      <c r="K410" t="n">
        <v>0</v>
      </c>
      <c r="L410" t="n">
        <v>0</v>
      </c>
      <c r="M410" t="n">
        <v>0</v>
      </c>
      <c r="N410" t="n">
        <v>0</v>
      </c>
      <c r="O410" t="n">
        <v>0</v>
      </c>
      <c r="P410" t="n">
        <v>0</v>
      </c>
      <c r="Q410" t="n">
        <v>0</v>
      </c>
      <c r="R410" s="2" t="inlineStr"/>
    </row>
    <row r="411" ht="15" customHeight="1">
      <c r="A411" t="inlineStr">
        <is>
          <t>A 56466-2020</t>
        </is>
      </c>
      <c r="B411" s="1" t="n">
        <v>44134</v>
      </c>
      <c r="C411" s="1" t="n">
        <v>45723</v>
      </c>
      <c r="D411" t="inlineStr">
        <is>
          <t>UPPSALA LÄN</t>
        </is>
      </c>
      <c r="E411" t="inlineStr">
        <is>
          <t>UPPSALA</t>
        </is>
      </c>
      <c r="F411" t="inlineStr">
        <is>
          <t>Övriga Aktiebolag</t>
        </is>
      </c>
      <c r="G411" t="n">
        <v>3.3</v>
      </c>
      <c r="H411" t="n">
        <v>0</v>
      </c>
      <c r="I411" t="n">
        <v>0</v>
      </c>
      <c r="J411" t="n">
        <v>0</v>
      </c>
      <c r="K411" t="n">
        <v>0</v>
      </c>
      <c r="L411" t="n">
        <v>0</v>
      </c>
      <c r="M411" t="n">
        <v>0</v>
      </c>
      <c r="N411" t="n">
        <v>0</v>
      </c>
      <c r="O411" t="n">
        <v>0</v>
      </c>
      <c r="P411" t="n">
        <v>0</v>
      </c>
      <c r="Q411" t="n">
        <v>0</v>
      </c>
      <c r="R411" s="2" t="inlineStr"/>
    </row>
    <row r="412" ht="15" customHeight="1">
      <c r="A412" t="inlineStr">
        <is>
          <t>A 57041-2020</t>
        </is>
      </c>
      <c r="B412" s="1" t="n">
        <v>44137</v>
      </c>
      <c r="C412" s="1" t="n">
        <v>45723</v>
      </c>
      <c r="D412" t="inlineStr">
        <is>
          <t>UPPSALA LÄN</t>
        </is>
      </c>
      <c r="E412" t="inlineStr">
        <is>
          <t>UPPSALA</t>
        </is>
      </c>
      <c r="G412" t="n">
        <v>0.7</v>
      </c>
      <c r="H412" t="n">
        <v>0</v>
      </c>
      <c r="I412" t="n">
        <v>0</v>
      </c>
      <c r="J412" t="n">
        <v>0</v>
      </c>
      <c r="K412" t="n">
        <v>0</v>
      </c>
      <c r="L412" t="n">
        <v>0</v>
      </c>
      <c r="M412" t="n">
        <v>0</v>
      </c>
      <c r="N412" t="n">
        <v>0</v>
      </c>
      <c r="O412" t="n">
        <v>0</v>
      </c>
      <c r="P412" t="n">
        <v>0</v>
      </c>
      <c r="Q412" t="n">
        <v>0</v>
      </c>
      <c r="R412" s="2" t="inlineStr"/>
    </row>
    <row r="413" ht="15" customHeight="1">
      <c r="A413" t="inlineStr">
        <is>
          <t>A 57271-2020</t>
        </is>
      </c>
      <c r="B413" s="1" t="n">
        <v>44139</v>
      </c>
      <c r="C413" s="1" t="n">
        <v>45723</v>
      </c>
      <c r="D413" t="inlineStr">
        <is>
          <t>UPPSALA LÄN</t>
        </is>
      </c>
      <c r="E413" t="inlineStr">
        <is>
          <t>UPPSALA</t>
        </is>
      </c>
      <c r="G413" t="n">
        <v>3.8</v>
      </c>
      <c r="H413" t="n">
        <v>0</v>
      </c>
      <c r="I413" t="n">
        <v>0</v>
      </c>
      <c r="J413" t="n">
        <v>0</v>
      </c>
      <c r="K413" t="n">
        <v>0</v>
      </c>
      <c r="L413" t="n">
        <v>0</v>
      </c>
      <c r="M413" t="n">
        <v>0</v>
      </c>
      <c r="N413" t="n">
        <v>0</v>
      </c>
      <c r="O413" t="n">
        <v>0</v>
      </c>
      <c r="P413" t="n">
        <v>0</v>
      </c>
      <c r="Q413" t="n">
        <v>0</v>
      </c>
      <c r="R413" s="2" t="inlineStr"/>
    </row>
    <row r="414" ht="15" customHeight="1">
      <c r="A414" t="inlineStr">
        <is>
          <t>A 57451-2020</t>
        </is>
      </c>
      <c r="B414" s="1" t="n">
        <v>44139</v>
      </c>
      <c r="C414" s="1" t="n">
        <v>45723</v>
      </c>
      <c r="D414" t="inlineStr">
        <is>
          <t>UPPSALA LÄN</t>
        </is>
      </c>
      <c r="E414" t="inlineStr">
        <is>
          <t>UPPSALA</t>
        </is>
      </c>
      <c r="G414" t="n">
        <v>1.5</v>
      </c>
      <c r="H414" t="n">
        <v>0</v>
      </c>
      <c r="I414" t="n">
        <v>0</v>
      </c>
      <c r="J414" t="n">
        <v>0</v>
      </c>
      <c r="K414" t="n">
        <v>0</v>
      </c>
      <c r="L414" t="n">
        <v>0</v>
      </c>
      <c r="M414" t="n">
        <v>0</v>
      </c>
      <c r="N414" t="n">
        <v>0</v>
      </c>
      <c r="O414" t="n">
        <v>0</v>
      </c>
      <c r="P414" t="n">
        <v>0</v>
      </c>
      <c r="Q414" t="n">
        <v>0</v>
      </c>
      <c r="R414" s="2" t="inlineStr"/>
    </row>
    <row r="415" ht="15" customHeight="1">
      <c r="A415" t="inlineStr">
        <is>
          <t>A 57466-2020</t>
        </is>
      </c>
      <c r="B415" s="1" t="n">
        <v>44139</v>
      </c>
      <c r="C415" s="1" t="n">
        <v>45723</v>
      </c>
      <c r="D415" t="inlineStr">
        <is>
          <t>UPPSALA LÄN</t>
        </is>
      </c>
      <c r="E415" t="inlineStr">
        <is>
          <t>UPPSALA</t>
        </is>
      </c>
      <c r="G415" t="n">
        <v>2.5</v>
      </c>
      <c r="H415" t="n">
        <v>0</v>
      </c>
      <c r="I415" t="n">
        <v>0</v>
      </c>
      <c r="J415" t="n">
        <v>0</v>
      </c>
      <c r="K415" t="n">
        <v>0</v>
      </c>
      <c r="L415" t="n">
        <v>0</v>
      </c>
      <c r="M415" t="n">
        <v>0</v>
      </c>
      <c r="N415" t="n">
        <v>0</v>
      </c>
      <c r="O415" t="n">
        <v>0</v>
      </c>
      <c r="P415" t="n">
        <v>0</v>
      </c>
      <c r="Q415" t="n">
        <v>0</v>
      </c>
      <c r="R415" s="2" t="inlineStr"/>
    </row>
    <row r="416" ht="15" customHeight="1">
      <c r="A416" t="inlineStr">
        <is>
          <t>A 58070-2020</t>
        </is>
      </c>
      <c r="B416" s="1" t="n">
        <v>44140</v>
      </c>
      <c r="C416" s="1" t="n">
        <v>45723</v>
      </c>
      <c r="D416" t="inlineStr">
        <is>
          <t>UPPSALA LÄN</t>
        </is>
      </c>
      <c r="E416" t="inlineStr">
        <is>
          <t>UPPSALA</t>
        </is>
      </c>
      <c r="G416" t="n">
        <v>4</v>
      </c>
      <c r="H416" t="n">
        <v>0</v>
      </c>
      <c r="I416" t="n">
        <v>0</v>
      </c>
      <c r="J416" t="n">
        <v>0</v>
      </c>
      <c r="K416" t="n">
        <v>0</v>
      </c>
      <c r="L416" t="n">
        <v>0</v>
      </c>
      <c r="M416" t="n">
        <v>0</v>
      </c>
      <c r="N416" t="n">
        <v>0</v>
      </c>
      <c r="O416" t="n">
        <v>0</v>
      </c>
      <c r="P416" t="n">
        <v>0</v>
      </c>
      <c r="Q416" t="n">
        <v>0</v>
      </c>
      <c r="R416" s="2" t="inlineStr"/>
    </row>
    <row r="417" ht="15" customHeight="1">
      <c r="A417" t="inlineStr">
        <is>
          <t>A 58058-2020</t>
        </is>
      </c>
      <c r="B417" s="1" t="n">
        <v>44144</v>
      </c>
      <c r="C417" s="1" t="n">
        <v>45723</v>
      </c>
      <c r="D417" t="inlineStr">
        <is>
          <t>UPPSALA LÄN</t>
        </is>
      </c>
      <c r="E417" t="inlineStr">
        <is>
          <t>UPPSALA</t>
        </is>
      </c>
      <c r="G417" t="n">
        <v>4.4</v>
      </c>
      <c r="H417" t="n">
        <v>0</v>
      </c>
      <c r="I417" t="n">
        <v>0</v>
      </c>
      <c r="J417" t="n">
        <v>0</v>
      </c>
      <c r="K417" t="n">
        <v>0</v>
      </c>
      <c r="L417" t="n">
        <v>0</v>
      </c>
      <c r="M417" t="n">
        <v>0</v>
      </c>
      <c r="N417" t="n">
        <v>0</v>
      </c>
      <c r="O417" t="n">
        <v>0</v>
      </c>
      <c r="P417" t="n">
        <v>0</v>
      </c>
      <c r="Q417" t="n">
        <v>0</v>
      </c>
      <c r="R417" s="2" t="inlineStr"/>
    </row>
    <row r="418" ht="15" customHeight="1">
      <c r="A418" t="inlineStr">
        <is>
          <t>A 58056-2020</t>
        </is>
      </c>
      <c r="B418" s="1" t="n">
        <v>44144</v>
      </c>
      <c r="C418" s="1" t="n">
        <v>45723</v>
      </c>
      <c r="D418" t="inlineStr">
        <is>
          <t>UPPSALA LÄN</t>
        </is>
      </c>
      <c r="E418" t="inlineStr">
        <is>
          <t>UPPSALA</t>
        </is>
      </c>
      <c r="G418" t="n">
        <v>5.5</v>
      </c>
      <c r="H418" t="n">
        <v>0</v>
      </c>
      <c r="I418" t="n">
        <v>0</v>
      </c>
      <c r="J418" t="n">
        <v>0</v>
      </c>
      <c r="K418" t="n">
        <v>0</v>
      </c>
      <c r="L418" t="n">
        <v>0</v>
      </c>
      <c r="M418" t="n">
        <v>0</v>
      </c>
      <c r="N418" t="n">
        <v>0</v>
      </c>
      <c r="O418" t="n">
        <v>0</v>
      </c>
      <c r="P418" t="n">
        <v>0</v>
      </c>
      <c r="Q418" t="n">
        <v>0</v>
      </c>
      <c r="R418" s="2" t="inlineStr"/>
    </row>
    <row r="419" ht="15" customHeight="1">
      <c r="A419" t="inlineStr">
        <is>
          <t>A 58288-2020</t>
        </is>
      </c>
      <c r="B419" s="1" t="n">
        <v>44144</v>
      </c>
      <c r="C419" s="1" t="n">
        <v>45723</v>
      </c>
      <c r="D419" t="inlineStr">
        <is>
          <t>UPPSALA LÄN</t>
        </is>
      </c>
      <c r="E419" t="inlineStr">
        <is>
          <t>UPPSALA</t>
        </is>
      </c>
      <c r="G419" t="n">
        <v>0.3</v>
      </c>
      <c r="H419" t="n">
        <v>0</v>
      </c>
      <c r="I419" t="n">
        <v>0</v>
      </c>
      <c r="J419" t="n">
        <v>0</v>
      </c>
      <c r="K419" t="n">
        <v>0</v>
      </c>
      <c r="L419" t="n">
        <v>0</v>
      </c>
      <c r="M419" t="n">
        <v>0</v>
      </c>
      <c r="N419" t="n">
        <v>0</v>
      </c>
      <c r="O419" t="n">
        <v>0</v>
      </c>
      <c r="P419" t="n">
        <v>0</v>
      </c>
      <c r="Q419" t="n">
        <v>0</v>
      </c>
      <c r="R419" s="2" t="inlineStr"/>
    </row>
    <row r="420" ht="15" customHeight="1">
      <c r="A420" t="inlineStr">
        <is>
          <t>A 58928-2020</t>
        </is>
      </c>
      <c r="B420" s="1" t="n">
        <v>44146</v>
      </c>
      <c r="C420" s="1" t="n">
        <v>45723</v>
      </c>
      <c r="D420" t="inlineStr">
        <is>
          <t>UPPSALA LÄN</t>
        </is>
      </c>
      <c r="E420" t="inlineStr">
        <is>
          <t>UPPSALA</t>
        </is>
      </c>
      <c r="G420" t="n">
        <v>10.6</v>
      </c>
      <c r="H420" t="n">
        <v>0</v>
      </c>
      <c r="I420" t="n">
        <v>0</v>
      </c>
      <c r="J420" t="n">
        <v>0</v>
      </c>
      <c r="K420" t="n">
        <v>0</v>
      </c>
      <c r="L420" t="n">
        <v>0</v>
      </c>
      <c r="M420" t="n">
        <v>0</v>
      </c>
      <c r="N420" t="n">
        <v>0</v>
      </c>
      <c r="O420" t="n">
        <v>0</v>
      </c>
      <c r="P420" t="n">
        <v>0</v>
      </c>
      <c r="Q420" t="n">
        <v>0</v>
      </c>
      <c r="R420" s="2" t="inlineStr"/>
    </row>
    <row r="421" ht="15" customHeight="1">
      <c r="A421" t="inlineStr">
        <is>
          <t>A 59952-2020</t>
        </is>
      </c>
      <c r="B421" s="1" t="n">
        <v>44151</v>
      </c>
      <c r="C421" s="1" t="n">
        <v>45723</v>
      </c>
      <c r="D421" t="inlineStr">
        <is>
          <t>UPPSALA LÄN</t>
        </is>
      </c>
      <c r="E421" t="inlineStr">
        <is>
          <t>UPPSALA</t>
        </is>
      </c>
      <c r="G421" t="n">
        <v>25.8</v>
      </c>
      <c r="H421" t="n">
        <v>0</v>
      </c>
      <c r="I421" t="n">
        <v>0</v>
      </c>
      <c r="J421" t="n">
        <v>0</v>
      </c>
      <c r="K421" t="n">
        <v>0</v>
      </c>
      <c r="L421" t="n">
        <v>0</v>
      </c>
      <c r="M421" t="n">
        <v>0</v>
      </c>
      <c r="N421" t="n">
        <v>0</v>
      </c>
      <c r="O421" t="n">
        <v>0</v>
      </c>
      <c r="P421" t="n">
        <v>0</v>
      </c>
      <c r="Q421" t="n">
        <v>0</v>
      </c>
      <c r="R421" s="2" t="inlineStr"/>
    </row>
    <row r="422" ht="15" customHeight="1">
      <c r="A422" t="inlineStr">
        <is>
          <t>A 60702-2020</t>
        </is>
      </c>
      <c r="B422" s="1" t="n">
        <v>44153</v>
      </c>
      <c r="C422" s="1" t="n">
        <v>45723</v>
      </c>
      <c r="D422" t="inlineStr">
        <is>
          <t>UPPSALA LÄN</t>
        </is>
      </c>
      <c r="E422" t="inlineStr">
        <is>
          <t>UPPSALA</t>
        </is>
      </c>
      <c r="F422" t="inlineStr">
        <is>
          <t>Övriga statliga verk och myndigheter</t>
        </is>
      </c>
      <c r="G422" t="n">
        <v>1.4</v>
      </c>
      <c r="H422" t="n">
        <v>0</v>
      </c>
      <c r="I422" t="n">
        <v>0</v>
      </c>
      <c r="J422" t="n">
        <v>0</v>
      </c>
      <c r="K422" t="n">
        <v>0</v>
      </c>
      <c r="L422" t="n">
        <v>0</v>
      </c>
      <c r="M422" t="n">
        <v>0</v>
      </c>
      <c r="N422" t="n">
        <v>0</v>
      </c>
      <c r="O422" t="n">
        <v>0</v>
      </c>
      <c r="P422" t="n">
        <v>0</v>
      </c>
      <c r="Q422" t="n">
        <v>0</v>
      </c>
      <c r="R422" s="2" t="inlineStr"/>
    </row>
    <row r="423" ht="15" customHeight="1">
      <c r="A423" t="inlineStr">
        <is>
          <t>A 61265-2020</t>
        </is>
      </c>
      <c r="B423" s="1" t="n">
        <v>44155</v>
      </c>
      <c r="C423" s="1" t="n">
        <v>45723</v>
      </c>
      <c r="D423" t="inlineStr">
        <is>
          <t>UPPSALA LÄN</t>
        </is>
      </c>
      <c r="E423" t="inlineStr">
        <is>
          <t>UPPSALA</t>
        </is>
      </c>
      <c r="G423" t="n">
        <v>4.7</v>
      </c>
      <c r="H423" t="n">
        <v>0</v>
      </c>
      <c r="I423" t="n">
        <v>0</v>
      </c>
      <c r="J423" t="n">
        <v>0</v>
      </c>
      <c r="K423" t="n">
        <v>0</v>
      </c>
      <c r="L423" t="n">
        <v>0</v>
      </c>
      <c r="M423" t="n">
        <v>0</v>
      </c>
      <c r="N423" t="n">
        <v>0</v>
      </c>
      <c r="O423" t="n">
        <v>0</v>
      </c>
      <c r="P423" t="n">
        <v>0</v>
      </c>
      <c r="Q423" t="n">
        <v>0</v>
      </c>
      <c r="R423" s="2" t="inlineStr"/>
    </row>
    <row r="424" ht="15" customHeight="1">
      <c r="A424" t="inlineStr">
        <is>
          <t>A 61271-2020</t>
        </is>
      </c>
      <c r="B424" s="1" t="n">
        <v>44155</v>
      </c>
      <c r="C424" s="1" t="n">
        <v>45723</v>
      </c>
      <c r="D424" t="inlineStr">
        <is>
          <t>UPPSALA LÄN</t>
        </is>
      </c>
      <c r="E424" t="inlineStr">
        <is>
          <t>UPPSALA</t>
        </is>
      </c>
      <c r="G424" t="n">
        <v>3.5</v>
      </c>
      <c r="H424" t="n">
        <v>0</v>
      </c>
      <c r="I424" t="n">
        <v>0</v>
      </c>
      <c r="J424" t="n">
        <v>0</v>
      </c>
      <c r="K424" t="n">
        <v>0</v>
      </c>
      <c r="L424" t="n">
        <v>0</v>
      </c>
      <c r="M424" t="n">
        <v>0</v>
      </c>
      <c r="N424" t="n">
        <v>0</v>
      </c>
      <c r="O424" t="n">
        <v>0</v>
      </c>
      <c r="P424" t="n">
        <v>0</v>
      </c>
      <c r="Q424" t="n">
        <v>0</v>
      </c>
      <c r="R424" s="2" t="inlineStr"/>
    </row>
    <row r="425" ht="15" customHeight="1">
      <c r="A425" t="inlineStr">
        <is>
          <t>A 62094-2020</t>
        </is>
      </c>
      <c r="B425" s="1" t="n">
        <v>44159</v>
      </c>
      <c r="C425" s="1" t="n">
        <v>45723</v>
      </c>
      <c r="D425" t="inlineStr">
        <is>
          <t>UPPSALA LÄN</t>
        </is>
      </c>
      <c r="E425" t="inlineStr">
        <is>
          <t>UPPSALA</t>
        </is>
      </c>
      <c r="F425" t="inlineStr">
        <is>
          <t>Bergvik skog öst AB</t>
        </is>
      </c>
      <c r="G425" t="n">
        <v>3.4</v>
      </c>
      <c r="H425" t="n">
        <v>0</v>
      </c>
      <c r="I425" t="n">
        <v>0</v>
      </c>
      <c r="J425" t="n">
        <v>0</v>
      </c>
      <c r="K425" t="n">
        <v>0</v>
      </c>
      <c r="L425" t="n">
        <v>0</v>
      </c>
      <c r="M425" t="n">
        <v>0</v>
      </c>
      <c r="N425" t="n">
        <v>0</v>
      </c>
      <c r="O425" t="n">
        <v>0</v>
      </c>
      <c r="P425" t="n">
        <v>0</v>
      </c>
      <c r="Q425" t="n">
        <v>0</v>
      </c>
      <c r="R425" s="2" t="inlineStr"/>
    </row>
    <row r="426" ht="15" customHeight="1">
      <c r="A426" t="inlineStr">
        <is>
          <t>A 62352-2020</t>
        </is>
      </c>
      <c r="B426" s="1" t="n">
        <v>44159</v>
      </c>
      <c r="C426" s="1" t="n">
        <v>45723</v>
      </c>
      <c r="D426" t="inlineStr">
        <is>
          <t>UPPSALA LÄN</t>
        </is>
      </c>
      <c r="E426" t="inlineStr">
        <is>
          <t>UPPSALA</t>
        </is>
      </c>
      <c r="F426" t="inlineStr">
        <is>
          <t>Allmännings- och besparingsskogar</t>
        </is>
      </c>
      <c r="G426" t="n">
        <v>12.9</v>
      </c>
      <c r="H426" t="n">
        <v>0</v>
      </c>
      <c r="I426" t="n">
        <v>0</v>
      </c>
      <c r="J426" t="n">
        <v>0</v>
      </c>
      <c r="K426" t="n">
        <v>0</v>
      </c>
      <c r="L426" t="n">
        <v>0</v>
      </c>
      <c r="M426" t="n">
        <v>0</v>
      </c>
      <c r="N426" t="n">
        <v>0</v>
      </c>
      <c r="O426" t="n">
        <v>0</v>
      </c>
      <c r="P426" t="n">
        <v>0</v>
      </c>
      <c r="Q426" t="n">
        <v>0</v>
      </c>
      <c r="R426" s="2" t="inlineStr"/>
    </row>
    <row r="427" ht="15" customHeight="1">
      <c r="A427" t="inlineStr">
        <is>
          <t>A 62504-2020</t>
        </is>
      </c>
      <c r="B427" s="1" t="n">
        <v>44160</v>
      </c>
      <c r="C427" s="1" t="n">
        <v>45723</v>
      </c>
      <c r="D427" t="inlineStr">
        <is>
          <t>UPPSALA LÄN</t>
        </is>
      </c>
      <c r="E427" t="inlineStr">
        <is>
          <t>UPPSALA</t>
        </is>
      </c>
      <c r="F427" t="inlineStr">
        <is>
          <t>Bergvik skog öst AB</t>
        </is>
      </c>
      <c r="G427" t="n">
        <v>1.3</v>
      </c>
      <c r="H427" t="n">
        <v>0</v>
      </c>
      <c r="I427" t="n">
        <v>0</v>
      </c>
      <c r="J427" t="n">
        <v>0</v>
      </c>
      <c r="K427" t="n">
        <v>0</v>
      </c>
      <c r="L427" t="n">
        <v>0</v>
      </c>
      <c r="M427" t="n">
        <v>0</v>
      </c>
      <c r="N427" t="n">
        <v>0</v>
      </c>
      <c r="O427" t="n">
        <v>0</v>
      </c>
      <c r="P427" t="n">
        <v>0</v>
      </c>
      <c r="Q427" t="n">
        <v>0</v>
      </c>
      <c r="R427" s="2" t="inlineStr"/>
    </row>
    <row r="428" ht="15" customHeight="1">
      <c r="A428" t="inlineStr">
        <is>
          <t>A 62729-2020</t>
        </is>
      </c>
      <c r="B428" s="1" t="n">
        <v>44161</v>
      </c>
      <c r="C428" s="1" t="n">
        <v>45723</v>
      </c>
      <c r="D428" t="inlineStr">
        <is>
          <t>UPPSALA LÄN</t>
        </is>
      </c>
      <c r="E428" t="inlineStr">
        <is>
          <t>UPPSALA</t>
        </is>
      </c>
      <c r="F428" t="inlineStr">
        <is>
          <t>Kommuner</t>
        </is>
      </c>
      <c r="G428" t="n">
        <v>0.5</v>
      </c>
      <c r="H428" t="n">
        <v>0</v>
      </c>
      <c r="I428" t="n">
        <v>0</v>
      </c>
      <c r="J428" t="n">
        <v>0</v>
      </c>
      <c r="K428" t="n">
        <v>0</v>
      </c>
      <c r="L428" t="n">
        <v>0</v>
      </c>
      <c r="M428" t="n">
        <v>0</v>
      </c>
      <c r="N428" t="n">
        <v>0</v>
      </c>
      <c r="O428" t="n">
        <v>0</v>
      </c>
      <c r="P428" t="n">
        <v>0</v>
      </c>
      <c r="Q428" t="n">
        <v>0</v>
      </c>
      <c r="R428" s="2" t="inlineStr"/>
    </row>
    <row r="429" ht="15" customHeight="1">
      <c r="A429" t="inlineStr">
        <is>
          <t>A 62655-2020</t>
        </is>
      </c>
      <c r="B429" s="1" t="n">
        <v>44161</v>
      </c>
      <c r="C429" s="1" t="n">
        <v>45723</v>
      </c>
      <c r="D429" t="inlineStr">
        <is>
          <t>UPPSALA LÄN</t>
        </is>
      </c>
      <c r="E429" t="inlineStr">
        <is>
          <t>UPPSALA</t>
        </is>
      </c>
      <c r="F429" t="inlineStr">
        <is>
          <t>Holmen skog AB</t>
        </is>
      </c>
      <c r="G429" t="n">
        <v>2.7</v>
      </c>
      <c r="H429" t="n">
        <v>0</v>
      </c>
      <c r="I429" t="n">
        <v>0</v>
      </c>
      <c r="J429" t="n">
        <v>0</v>
      </c>
      <c r="K429" t="n">
        <v>0</v>
      </c>
      <c r="L429" t="n">
        <v>0</v>
      </c>
      <c r="M429" t="n">
        <v>0</v>
      </c>
      <c r="N429" t="n">
        <v>0</v>
      </c>
      <c r="O429" t="n">
        <v>0</v>
      </c>
      <c r="P429" t="n">
        <v>0</v>
      </c>
      <c r="Q429" t="n">
        <v>0</v>
      </c>
      <c r="R429" s="2" t="inlineStr"/>
    </row>
    <row r="430" ht="15" customHeight="1">
      <c r="A430" t="inlineStr">
        <is>
          <t>A 63145-2020</t>
        </is>
      </c>
      <c r="B430" s="1" t="n">
        <v>44162</v>
      </c>
      <c r="C430" s="1" t="n">
        <v>45723</v>
      </c>
      <c r="D430" t="inlineStr">
        <is>
          <t>UPPSALA LÄN</t>
        </is>
      </c>
      <c r="E430" t="inlineStr">
        <is>
          <t>UPPSALA</t>
        </is>
      </c>
      <c r="G430" t="n">
        <v>2.6</v>
      </c>
      <c r="H430" t="n">
        <v>0</v>
      </c>
      <c r="I430" t="n">
        <v>0</v>
      </c>
      <c r="J430" t="n">
        <v>0</v>
      </c>
      <c r="K430" t="n">
        <v>0</v>
      </c>
      <c r="L430" t="n">
        <v>0</v>
      </c>
      <c r="M430" t="n">
        <v>0</v>
      </c>
      <c r="N430" t="n">
        <v>0</v>
      </c>
      <c r="O430" t="n">
        <v>0</v>
      </c>
      <c r="P430" t="n">
        <v>0</v>
      </c>
      <c r="Q430" t="n">
        <v>0</v>
      </c>
      <c r="R430" s="2" t="inlineStr"/>
    </row>
    <row r="431" ht="15" customHeight="1">
      <c r="A431" t="inlineStr">
        <is>
          <t>A 63529-2020</t>
        </is>
      </c>
      <c r="B431" s="1" t="n">
        <v>44165</v>
      </c>
      <c r="C431" s="1" t="n">
        <v>45723</v>
      </c>
      <c r="D431" t="inlineStr">
        <is>
          <t>UPPSALA LÄN</t>
        </is>
      </c>
      <c r="E431" t="inlineStr">
        <is>
          <t>UPPSALA</t>
        </is>
      </c>
      <c r="F431" t="inlineStr">
        <is>
          <t>Övriga statliga verk och myndigheter</t>
        </is>
      </c>
      <c r="G431" t="n">
        <v>2.4</v>
      </c>
      <c r="H431" t="n">
        <v>0</v>
      </c>
      <c r="I431" t="n">
        <v>0</v>
      </c>
      <c r="J431" t="n">
        <v>0</v>
      </c>
      <c r="K431" t="n">
        <v>0</v>
      </c>
      <c r="L431" t="n">
        <v>0</v>
      </c>
      <c r="M431" t="n">
        <v>0</v>
      </c>
      <c r="N431" t="n">
        <v>0</v>
      </c>
      <c r="O431" t="n">
        <v>0</v>
      </c>
      <c r="P431" t="n">
        <v>0</v>
      </c>
      <c r="Q431" t="n">
        <v>0</v>
      </c>
      <c r="R431" s="2" t="inlineStr"/>
    </row>
    <row r="432" ht="15" customHeight="1">
      <c r="A432" t="inlineStr">
        <is>
          <t>A 63749-2020</t>
        </is>
      </c>
      <c r="B432" s="1" t="n">
        <v>44166</v>
      </c>
      <c r="C432" s="1" t="n">
        <v>45723</v>
      </c>
      <c r="D432" t="inlineStr">
        <is>
          <t>UPPSALA LÄN</t>
        </is>
      </c>
      <c r="E432" t="inlineStr">
        <is>
          <t>UPPSALA</t>
        </is>
      </c>
      <c r="F432" t="inlineStr">
        <is>
          <t>Bergvik skog väst AB</t>
        </is>
      </c>
      <c r="G432" t="n">
        <v>1.7</v>
      </c>
      <c r="H432" t="n">
        <v>0</v>
      </c>
      <c r="I432" t="n">
        <v>0</v>
      </c>
      <c r="J432" t="n">
        <v>0</v>
      </c>
      <c r="K432" t="n">
        <v>0</v>
      </c>
      <c r="L432" t="n">
        <v>0</v>
      </c>
      <c r="M432" t="n">
        <v>0</v>
      </c>
      <c r="N432" t="n">
        <v>0</v>
      </c>
      <c r="O432" t="n">
        <v>0</v>
      </c>
      <c r="P432" t="n">
        <v>0</v>
      </c>
      <c r="Q432" t="n">
        <v>0</v>
      </c>
      <c r="R432" s="2" t="inlineStr"/>
    </row>
    <row r="433" ht="15" customHeight="1">
      <c r="A433" t="inlineStr">
        <is>
          <t>A 64128-2020</t>
        </is>
      </c>
      <c r="B433" s="1" t="n">
        <v>44167</v>
      </c>
      <c r="C433" s="1" t="n">
        <v>45723</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64353-2020</t>
        </is>
      </c>
      <c r="B434" s="1" t="n">
        <v>44168</v>
      </c>
      <c r="C434" s="1" t="n">
        <v>45723</v>
      </c>
      <c r="D434" t="inlineStr">
        <is>
          <t>UPPSALA LÄN</t>
        </is>
      </c>
      <c r="E434" t="inlineStr">
        <is>
          <t>UPPSALA</t>
        </is>
      </c>
      <c r="G434" t="n">
        <v>0.5</v>
      </c>
      <c r="H434" t="n">
        <v>0</v>
      </c>
      <c r="I434" t="n">
        <v>0</v>
      </c>
      <c r="J434" t="n">
        <v>0</v>
      </c>
      <c r="K434" t="n">
        <v>0</v>
      </c>
      <c r="L434" t="n">
        <v>0</v>
      </c>
      <c r="M434" t="n">
        <v>0</v>
      </c>
      <c r="N434" t="n">
        <v>0</v>
      </c>
      <c r="O434" t="n">
        <v>0</v>
      </c>
      <c r="P434" t="n">
        <v>0</v>
      </c>
      <c r="Q434" t="n">
        <v>0</v>
      </c>
      <c r="R434" s="2" t="inlineStr"/>
    </row>
    <row r="435" ht="15" customHeight="1">
      <c r="A435" t="inlineStr">
        <is>
          <t>A 64333-2020</t>
        </is>
      </c>
      <c r="B435" s="1" t="n">
        <v>44168</v>
      </c>
      <c r="C435" s="1" t="n">
        <v>45723</v>
      </c>
      <c r="D435" t="inlineStr">
        <is>
          <t>UPPSALA LÄN</t>
        </is>
      </c>
      <c r="E435" t="inlineStr">
        <is>
          <t>UPPSALA</t>
        </is>
      </c>
      <c r="G435" t="n">
        <v>7.1</v>
      </c>
      <c r="H435" t="n">
        <v>0</v>
      </c>
      <c r="I435" t="n">
        <v>0</v>
      </c>
      <c r="J435" t="n">
        <v>0</v>
      </c>
      <c r="K435" t="n">
        <v>0</v>
      </c>
      <c r="L435" t="n">
        <v>0</v>
      </c>
      <c r="M435" t="n">
        <v>0</v>
      </c>
      <c r="N435" t="n">
        <v>0</v>
      </c>
      <c r="O435" t="n">
        <v>0</v>
      </c>
      <c r="P435" t="n">
        <v>0</v>
      </c>
      <c r="Q435" t="n">
        <v>0</v>
      </c>
      <c r="R435" s="2" t="inlineStr"/>
    </row>
    <row r="436" ht="15" customHeight="1">
      <c r="A436" t="inlineStr">
        <is>
          <t>A 66984-2020</t>
        </is>
      </c>
      <c r="B436" s="1" t="n">
        <v>44180</v>
      </c>
      <c r="C436" s="1" t="n">
        <v>45723</v>
      </c>
      <c r="D436" t="inlineStr">
        <is>
          <t>UPPSALA LÄN</t>
        </is>
      </c>
      <c r="E436" t="inlineStr">
        <is>
          <t>UPPSALA</t>
        </is>
      </c>
      <c r="F436" t="inlineStr">
        <is>
          <t>Övriga statliga verk och myndigheter</t>
        </is>
      </c>
      <c r="G436" t="n">
        <v>2.1</v>
      </c>
      <c r="H436" t="n">
        <v>0</v>
      </c>
      <c r="I436" t="n">
        <v>0</v>
      </c>
      <c r="J436" t="n">
        <v>0</v>
      </c>
      <c r="K436" t="n">
        <v>0</v>
      </c>
      <c r="L436" t="n">
        <v>0</v>
      </c>
      <c r="M436" t="n">
        <v>0</v>
      </c>
      <c r="N436" t="n">
        <v>0</v>
      </c>
      <c r="O436" t="n">
        <v>0</v>
      </c>
      <c r="P436" t="n">
        <v>0</v>
      </c>
      <c r="Q436" t="n">
        <v>0</v>
      </c>
      <c r="R436" s="2" t="inlineStr"/>
    </row>
    <row r="437" ht="15" customHeight="1">
      <c r="A437" t="inlineStr">
        <is>
          <t>A 265-2021</t>
        </is>
      </c>
      <c r="B437" s="1" t="n">
        <v>44200</v>
      </c>
      <c r="C437" s="1" t="n">
        <v>45723</v>
      </c>
      <c r="D437" t="inlineStr">
        <is>
          <t>UPPSALA LÄN</t>
        </is>
      </c>
      <c r="E437" t="inlineStr">
        <is>
          <t>UPPSALA</t>
        </is>
      </c>
      <c r="G437" t="n">
        <v>3.1</v>
      </c>
      <c r="H437" t="n">
        <v>0</v>
      </c>
      <c r="I437" t="n">
        <v>0</v>
      </c>
      <c r="J437" t="n">
        <v>0</v>
      </c>
      <c r="K437" t="n">
        <v>0</v>
      </c>
      <c r="L437" t="n">
        <v>0</v>
      </c>
      <c r="M437" t="n">
        <v>0</v>
      </c>
      <c r="N437" t="n">
        <v>0</v>
      </c>
      <c r="O437" t="n">
        <v>0</v>
      </c>
      <c r="P437" t="n">
        <v>0</v>
      </c>
      <c r="Q437" t="n">
        <v>0</v>
      </c>
      <c r="R437" s="2" t="inlineStr"/>
    </row>
    <row r="438" ht="15" customHeight="1">
      <c r="A438" t="inlineStr">
        <is>
          <t>A 1020-2021</t>
        </is>
      </c>
      <c r="B438" s="1" t="n">
        <v>44207</v>
      </c>
      <c r="C438" s="1" t="n">
        <v>45723</v>
      </c>
      <c r="D438" t="inlineStr">
        <is>
          <t>UPPSALA LÄN</t>
        </is>
      </c>
      <c r="E438" t="inlineStr">
        <is>
          <t>UPPSALA</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1573-2021</t>
        </is>
      </c>
      <c r="B439" s="1" t="n">
        <v>44209</v>
      </c>
      <c r="C439" s="1" t="n">
        <v>45723</v>
      </c>
      <c r="D439" t="inlineStr">
        <is>
          <t>UPPSALA LÄN</t>
        </is>
      </c>
      <c r="E439" t="inlineStr">
        <is>
          <t>UPPSALA</t>
        </is>
      </c>
      <c r="G439" t="n">
        <v>15</v>
      </c>
      <c r="H439" t="n">
        <v>0</v>
      </c>
      <c r="I439" t="n">
        <v>0</v>
      </c>
      <c r="J439" t="n">
        <v>0</v>
      </c>
      <c r="K439" t="n">
        <v>0</v>
      </c>
      <c r="L439" t="n">
        <v>0</v>
      </c>
      <c r="M439" t="n">
        <v>0</v>
      </c>
      <c r="N439" t="n">
        <v>0</v>
      </c>
      <c r="O439" t="n">
        <v>0</v>
      </c>
      <c r="P439" t="n">
        <v>0</v>
      </c>
      <c r="Q439" t="n">
        <v>0</v>
      </c>
      <c r="R439" s="2" t="inlineStr"/>
    </row>
    <row r="440" ht="15" customHeight="1">
      <c r="A440" t="inlineStr">
        <is>
          <t>A 1617-2021</t>
        </is>
      </c>
      <c r="B440" s="1" t="n">
        <v>44209</v>
      </c>
      <c r="C440" s="1" t="n">
        <v>45723</v>
      </c>
      <c r="D440" t="inlineStr">
        <is>
          <t>UPPSALA LÄN</t>
        </is>
      </c>
      <c r="E440" t="inlineStr">
        <is>
          <t>UPPSALA</t>
        </is>
      </c>
      <c r="G440" t="n">
        <v>2.5</v>
      </c>
      <c r="H440" t="n">
        <v>0</v>
      </c>
      <c r="I440" t="n">
        <v>0</v>
      </c>
      <c r="J440" t="n">
        <v>0</v>
      </c>
      <c r="K440" t="n">
        <v>0</v>
      </c>
      <c r="L440" t="n">
        <v>0</v>
      </c>
      <c r="M440" t="n">
        <v>0</v>
      </c>
      <c r="N440" t="n">
        <v>0</v>
      </c>
      <c r="O440" t="n">
        <v>0</v>
      </c>
      <c r="P440" t="n">
        <v>0</v>
      </c>
      <c r="Q440" t="n">
        <v>0</v>
      </c>
      <c r="R440" s="2" t="inlineStr"/>
    </row>
    <row r="441" ht="15" customHeight="1">
      <c r="A441" t="inlineStr">
        <is>
          <t>A 1855-2021</t>
        </is>
      </c>
      <c r="B441" s="1" t="n">
        <v>44210</v>
      </c>
      <c r="C441" s="1" t="n">
        <v>45723</v>
      </c>
      <c r="D441" t="inlineStr">
        <is>
          <t>UPPSALA LÄN</t>
        </is>
      </c>
      <c r="E441" t="inlineStr">
        <is>
          <t>UPPSALA</t>
        </is>
      </c>
      <c r="G441" t="n">
        <v>0.9</v>
      </c>
      <c r="H441" t="n">
        <v>0</v>
      </c>
      <c r="I441" t="n">
        <v>0</v>
      </c>
      <c r="J441" t="n">
        <v>0</v>
      </c>
      <c r="K441" t="n">
        <v>0</v>
      </c>
      <c r="L441" t="n">
        <v>0</v>
      </c>
      <c r="M441" t="n">
        <v>0</v>
      </c>
      <c r="N441" t="n">
        <v>0</v>
      </c>
      <c r="O441" t="n">
        <v>0</v>
      </c>
      <c r="P441" t="n">
        <v>0</v>
      </c>
      <c r="Q441" t="n">
        <v>0</v>
      </c>
      <c r="R441" s="2" t="inlineStr"/>
    </row>
    <row r="442" ht="15" customHeight="1">
      <c r="A442" t="inlineStr">
        <is>
          <t>A 2169-2021</t>
        </is>
      </c>
      <c r="B442" s="1" t="n">
        <v>44211</v>
      </c>
      <c r="C442" s="1" t="n">
        <v>45723</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3864-2021</t>
        </is>
      </c>
      <c r="B443" s="1" t="n">
        <v>44216</v>
      </c>
      <c r="C443" s="1" t="n">
        <v>45723</v>
      </c>
      <c r="D443" t="inlineStr">
        <is>
          <t>UPPSALA LÄN</t>
        </is>
      </c>
      <c r="E443" t="inlineStr">
        <is>
          <t>UPPSALA</t>
        </is>
      </c>
      <c r="G443" t="n">
        <v>2.9</v>
      </c>
      <c r="H443" t="n">
        <v>0</v>
      </c>
      <c r="I443" t="n">
        <v>0</v>
      </c>
      <c r="J443" t="n">
        <v>0</v>
      </c>
      <c r="K443" t="n">
        <v>0</v>
      </c>
      <c r="L443" t="n">
        <v>0</v>
      </c>
      <c r="M443" t="n">
        <v>0</v>
      </c>
      <c r="N443" t="n">
        <v>0</v>
      </c>
      <c r="O443" t="n">
        <v>0</v>
      </c>
      <c r="P443" t="n">
        <v>0</v>
      </c>
      <c r="Q443" t="n">
        <v>0</v>
      </c>
      <c r="R443" s="2" t="inlineStr"/>
    </row>
    <row r="444" ht="15" customHeight="1">
      <c r="A444" t="inlineStr">
        <is>
          <t>A 3874-2021</t>
        </is>
      </c>
      <c r="B444" s="1" t="n">
        <v>44216</v>
      </c>
      <c r="C444" s="1" t="n">
        <v>45723</v>
      </c>
      <c r="D444" t="inlineStr">
        <is>
          <t>UPPSALA LÄN</t>
        </is>
      </c>
      <c r="E444" t="inlineStr">
        <is>
          <t>UPPSALA</t>
        </is>
      </c>
      <c r="G444" t="n">
        <v>1.7</v>
      </c>
      <c r="H444" t="n">
        <v>0</v>
      </c>
      <c r="I444" t="n">
        <v>0</v>
      </c>
      <c r="J444" t="n">
        <v>0</v>
      </c>
      <c r="K444" t="n">
        <v>0</v>
      </c>
      <c r="L444" t="n">
        <v>0</v>
      </c>
      <c r="M444" t="n">
        <v>0</v>
      </c>
      <c r="N444" t="n">
        <v>0</v>
      </c>
      <c r="O444" t="n">
        <v>0</v>
      </c>
      <c r="P444" t="n">
        <v>0</v>
      </c>
      <c r="Q444" t="n">
        <v>0</v>
      </c>
      <c r="R444" s="2" t="inlineStr"/>
    </row>
    <row r="445" ht="15" customHeight="1">
      <c r="A445" t="inlineStr">
        <is>
          <t>A 3955-2021</t>
        </is>
      </c>
      <c r="B445" s="1" t="n">
        <v>44222</v>
      </c>
      <c r="C445" s="1" t="n">
        <v>45723</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4875-2021</t>
        </is>
      </c>
      <c r="B446" s="1" t="n">
        <v>44223</v>
      </c>
      <c r="C446" s="1" t="n">
        <v>45723</v>
      </c>
      <c r="D446" t="inlineStr">
        <is>
          <t>UPPSALA LÄN</t>
        </is>
      </c>
      <c r="E446" t="inlineStr">
        <is>
          <t>UPPSALA</t>
        </is>
      </c>
      <c r="G446" t="n">
        <v>0.4</v>
      </c>
      <c r="H446" t="n">
        <v>0</v>
      </c>
      <c r="I446" t="n">
        <v>0</v>
      </c>
      <c r="J446" t="n">
        <v>0</v>
      </c>
      <c r="K446" t="n">
        <v>0</v>
      </c>
      <c r="L446" t="n">
        <v>0</v>
      </c>
      <c r="M446" t="n">
        <v>0</v>
      </c>
      <c r="N446" t="n">
        <v>0</v>
      </c>
      <c r="O446" t="n">
        <v>0</v>
      </c>
      <c r="P446" t="n">
        <v>0</v>
      </c>
      <c r="Q446" t="n">
        <v>0</v>
      </c>
      <c r="R446" s="2" t="inlineStr"/>
    </row>
    <row r="447" ht="15" customHeight="1">
      <c r="A447" t="inlineStr">
        <is>
          <t>A 5663-2021</t>
        </is>
      </c>
      <c r="B447" s="1" t="n">
        <v>44230</v>
      </c>
      <c r="C447" s="1" t="n">
        <v>45723</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8114-2021</t>
        </is>
      </c>
      <c r="B448" s="1" t="n">
        <v>44243</v>
      </c>
      <c r="C448" s="1" t="n">
        <v>45723</v>
      </c>
      <c r="D448" t="inlineStr">
        <is>
          <t>UPPSALA LÄN</t>
        </is>
      </c>
      <c r="E448" t="inlineStr">
        <is>
          <t>UPPSALA</t>
        </is>
      </c>
      <c r="G448" t="n">
        <v>3.4</v>
      </c>
      <c r="H448" t="n">
        <v>0</v>
      </c>
      <c r="I448" t="n">
        <v>0</v>
      </c>
      <c r="J448" t="n">
        <v>0</v>
      </c>
      <c r="K448" t="n">
        <v>0</v>
      </c>
      <c r="L448" t="n">
        <v>0</v>
      </c>
      <c r="M448" t="n">
        <v>0</v>
      </c>
      <c r="N448" t="n">
        <v>0</v>
      </c>
      <c r="O448" t="n">
        <v>0</v>
      </c>
      <c r="P448" t="n">
        <v>0</v>
      </c>
      <c r="Q448" t="n">
        <v>0</v>
      </c>
      <c r="R448" s="2" t="inlineStr"/>
    </row>
    <row r="449" ht="15" customHeight="1">
      <c r="A449" t="inlineStr">
        <is>
          <t>A 8494-2021</t>
        </is>
      </c>
      <c r="B449" s="1" t="n">
        <v>44245</v>
      </c>
      <c r="C449" s="1" t="n">
        <v>45723</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9700-2021</t>
        </is>
      </c>
      <c r="B450" s="1" t="n">
        <v>44252</v>
      </c>
      <c r="C450" s="1" t="n">
        <v>45723</v>
      </c>
      <c r="D450" t="inlineStr">
        <is>
          <t>UPPSALA LÄN</t>
        </is>
      </c>
      <c r="E450" t="inlineStr">
        <is>
          <t>UPPSALA</t>
        </is>
      </c>
      <c r="G450" t="n">
        <v>3.3</v>
      </c>
      <c r="H450" t="n">
        <v>0</v>
      </c>
      <c r="I450" t="n">
        <v>0</v>
      </c>
      <c r="J450" t="n">
        <v>0</v>
      </c>
      <c r="K450" t="n">
        <v>0</v>
      </c>
      <c r="L450" t="n">
        <v>0</v>
      </c>
      <c r="M450" t="n">
        <v>0</v>
      </c>
      <c r="N450" t="n">
        <v>0</v>
      </c>
      <c r="O450" t="n">
        <v>0</v>
      </c>
      <c r="P450" t="n">
        <v>0</v>
      </c>
      <c r="Q450" t="n">
        <v>0</v>
      </c>
      <c r="R450" s="2" t="inlineStr"/>
    </row>
    <row r="451" ht="15" customHeight="1">
      <c r="A451" t="inlineStr">
        <is>
          <t>A 9712-2021</t>
        </is>
      </c>
      <c r="B451" s="1" t="n">
        <v>44252</v>
      </c>
      <c r="C451" s="1" t="n">
        <v>45723</v>
      </c>
      <c r="D451" t="inlineStr">
        <is>
          <t>UPPSALA LÄN</t>
        </is>
      </c>
      <c r="E451" t="inlineStr">
        <is>
          <t>UPPSALA</t>
        </is>
      </c>
      <c r="G451" t="n">
        <v>1.7</v>
      </c>
      <c r="H451" t="n">
        <v>0</v>
      </c>
      <c r="I451" t="n">
        <v>0</v>
      </c>
      <c r="J451" t="n">
        <v>0</v>
      </c>
      <c r="K451" t="n">
        <v>0</v>
      </c>
      <c r="L451" t="n">
        <v>0</v>
      </c>
      <c r="M451" t="n">
        <v>0</v>
      </c>
      <c r="N451" t="n">
        <v>0</v>
      </c>
      <c r="O451" t="n">
        <v>0</v>
      </c>
      <c r="P451" t="n">
        <v>0</v>
      </c>
      <c r="Q451" t="n">
        <v>0</v>
      </c>
      <c r="R451" s="2" t="inlineStr"/>
    </row>
    <row r="452" ht="15" customHeight="1">
      <c r="A452" t="inlineStr">
        <is>
          <t>A 12225-2021</t>
        </is>
      </c>
      <c r="B452" s="1" t="n">
        <v>44266</v>
      </c>
      <c r="C452" s="1" t="n">
        <v>45723</v>
      </c>
      <c r="D452" t="inlineStr">
        <is>
          <t>UPPSALA LÄN</t>
        </is>
      </c>
      <c r="E452" t="inlineStr">
        <is>
          <t>UPPSALA</t>
        </is>
      </c>
      <c r="F452" t="inlineStr">
        <is>
          <t>Bergvik skog öst AB</t>
        </is>
      </c>
      <c r="G452" t="n">
        <v>4.8</v>
      </c>
      <c r="H452" t="n">
        <v>0</v>
      </c>
      <c r="I452" t="n">
        <v>0</v>
      </c>
      <c r="J452" t="n">
        <v>0</v>
      </c>
      <c r="K452" t="n">
        <v>0</v>
      </c>
      <c r="L452" t="n">
        <v>0</v>
      </c>
      <c r="M452" t="n">
        <v>0</v>
      </c>
      <c r="N452" t="n">
        <v>0</v>
      </c>
      <c r="O452" t="n">
        <v>0</v>
      </c>
      <c r="P452" t="n">
        <v>0</v>
      </c>
      <c r="Q452" t="n">
        <v>0</v>
      </c>
      <c r="R452" s="2" t="inlineStr"/>
    </row>
    <row r="453" ht="15" customHeight="1">
      <c r="A453" t="inlineStr">
        <is>
          <t>A 12152-2021</t>
        </is>
      </c>
      <c r="B453" s="1" t="n">
        <v>44266</v>
      </c>
      <c r="C453" s="1" t="n">
        <v>45723</v>
      </c>
      <c r="D453" t="inlineStr">
        <is>
          <t>UPPSALA LÄN</t>
        </is>
      </c>
      <c r="E453" t="inlineStr">
        <is>
          <t>UPPSALA</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12172-2021</t>
        </is>
      </c>
      <c r="B454" s="1" t="n">
        <v>44266</v>
      </c>
      <c r="C454" s="1" t="n">
        <v>45723</v>
      </c>
      <c r="D454" t="inlineStr">
        <is>
          <t>UPPSALA LÄN</t>
        </is>
      </c>
      <c r="E454" t="inlineStr">
        <is>
          <t>UPPSALA</t>
        </is>
      </c>
      <c r="F454" t="inlineStr">
        <is>
          <t>Bergvik skog öst AB</t>
        </is>
      </c>
      <c r="G454" t="n">
        <v>0.6</v>
      </c>
      <c r="H454" t="n">
        <v>0</v>
      </c>
      <c r="I454" t="n">
        <v>0</v>
      </c>
      <c r="J454" t="n">
        <v>0</v>
      </c>
      <c r="K454" t="n">
        <v>0</v>
      </c>
      <c r="L454" t="n">
        <v>0</v>
      </c>
      <c r="M454" t="n">
        <v>0</v>
      </c>
      <c r="N454" t="n">
        <v>0</v>
      </c>
      <c r="O454" t="n">
        <v>0</v>
      </c>
      <c r="P454" t="n">
        <v>0</v>
      </c>
      <c r="Q454" t="n">
        <v>0</v>
      </c>
      <c r="R454" s="2" t="inlineStr"/>
    </row>
    <row r="455" ht="15" customHeight="1">
      <c r="A455" t="inlineStr">
        <is>
          <t>A 12194-2021</t>
        </is>
      </c>
      <c r="B455" s="1" t="n">
        <v>44266</v>
      </c>
      <c r="C455" s="1" t="n">
        <v>45723</v>
      </c>
      <c r="D455" t="inlineStr">
        <is>
          <t>UPPSALA LÄN</t>
        </is>
      </c>
      <c r="E455" t="inlineStr">
        <is>
          <t>UPPSALA</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12313-2021</t>
        </is>
      </c>
      <c r="B456" s="1" t="n">
        <v>44266</v>
      </c>
      <c r="C456" s="1" t="n">
        <v>45723</v>
      </c>
      <c r="D456" t="inlineStr">
        <is>
          <t>UPPSALA LÄN</t>
        </is>
      </c>
      <c r="E456" t="inlineStr">
        <is>
          <t>UPPSALA</t>
        </is>
      </c>
      <c r="G456" t="n">
        <v>23.6</v>
      </c>
      <c r="H456" t="n">
        <v>0</v>
      </c>
      <c r="I456" t="n">
        <v>0</v>
      </c>
      <c r="J456" t="n">
        <v>0</v>
      </c>
      <c r="K456" t="n">
        <v>0</v>
      </c>
      <c r="L456" t="n">
        <v>0</v>
      </c>
      <c r="M456" t="n">
        <v>0</v>
      </c>
      <c r="N456" t="n">
        <v>0</v>
      </c>
      <c r="O456" t="n">
        <v>0</v>
      </c>
      <c r="P456" t="n">
        <v>0</v>
      </c>
      <c r="Q456" t="n">
        <v>0</v>
      </c>
      <c r="R456" s="2" t="inlineStr"/>
    </row>
    <row r="457" ht="15" customHeight="1">
      <c r="A457" t="inlineStr">
        <is>
          <t>A 13010-2021</t>
        </is>
      </c>
      <c r="B457" s="1" t="n">
        <v>44271</v>
      </c>
      <c r="C457" s="1" t="n">
        <v>45723</v>
      </c>
      <c r="D457" t="inlineStr">
        <is>
          <t>UPPSALA LÄN</t>
        </is>
      </c>
      <c r="E457" t="inlineStr">
        <is>
          <t>UPPSALA</t>
        </is>
      </c>
      <c r="F457" t="inlineStr">
        <is>
          <t>Bergvik skog öst AB</t>
        </is>
      </c>
      <c r="G457" t="n">
        <v>2</v>
      </c>
      <c r="H457" t="n">
        <v>0</v>
      </c>
      <c r="I457" t="n">
        <v>0</v>
      </c>
      <c r="J457" t="n">
        <v>0</v>
      </c>
      <c r="K457" t="n">
        <v>0</v>
      </c>
      <c r="L457" t="n">
        <v>0</v>
      </c>
      <c r="M457" t="n">
        <v>0</v>
      </c>
      <c r="N457" t="n">
        <v>0</v>
      </c>
      <c r="O457" t="n">
        <v>0</v>
      </c>
      <c r="P457" t="n">
        <v>0</v>
      </c>
      <c r="Q457" t="n">
        <v>0</v>
      </c>
      <c r="R457" s="2" t="inlineStr"/>
    </row>
    <row r="458" ht="15" customHeight="1">
      <c r="A458" t="inlineStr">
        <is>
          <t>A 13420-2021</t>
        </is>
      </c>
      <c r="B458" s="1" t="n">
        <v>44273</v>
      </c>
      <c r="C458" s="1" t="n">
        <v>45723</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14026-2021</t>
        </is>
      </c>
      <c r="B459" s="1" t="n">
        <v>44277</v>
      </c>
      <c r="C459" s="1" t="n">
        <v>45723</v>
      </c>
      <c r="D459" t="inlineStr">
        <is>
          <t>UPPSALA LÄN</t>
        </is>
      </c>
      <c r="E459" t="inlineStr">
        <is>
          <t>UPPSALA</t>
        </is>
      </c>
      <c r="G459" t="n">
        <v>3.5</v>
      </c>
      <c r="H459" t="n">
        <v>0</v>
      </c>
      <c r="I459" t="n">
        <v>0</v>
      </c>
      <c r="J459" t="n">
        <v>0</v>
      </c>
      <c r="K459" t="n">
        <v>0</v>
      </c>
      <c r="L459" t="n">
        <v>0</v>
      </c>
      <c r="M459" t="n">
        <v>0</v>
      </c>
      <c r="N459" t="n">
        <v>0</v>
      </c>
      <c r="O459" t="n">
        <v>0</v>
      </c>
      <c r="P459" t="n">
        <v>0</v>
      </c>
      <c r="Q459" t="n">
        <v>0</v>
      </c>
      <c r="R459" s="2" t="inlineStr"/>
    </row>
    <row r="460" ht="15" customHeight="1">
      <c r="A460" t="inlineStr">
        <is>
          <t>A 14022-2021</t>
        </is>
      </c>
      <c r="B460" s="1" t="n">
        <v>44277</v>
      </c>
      <c r="C460" s="1" t="n">
        <v>45723</v>
      </c>
      <c r="D460" t="inlineStr">
        <is>
          <t>UPPSALA LÄN</t>
        </is>
      </c>
      <c r="E460" t="inlineStr">
        <is>
          <t>UPPSALA</t>
        </is>
      </c>
      <c r="G460" t="n">
        <v>11.1</v>
      </c>
      <c r="H460" t="n">
        <v>0</v>
      </c>
      <c r="I460" t="n">
        <v>0</v>
      </c>
      <c r="J460" t="n">
        <v>0</v>
      </c>
      <c r="K460" t="n">
        <v>0</v>
      </c>
      <c r="L460" t="n">
        <v>0</v>
      </c>
      <c r="M460" t="n">
        <v>0</v>
      </c>
      <c r="N460" t="n">
        <v>0</v>
      </c>
      <c r="O460" t="n">
        <v>0</v>
      </c>
      <c r="P460" t="n">
        <v>0</v>
      </c>
      <c r="Q460" t="n">
        <v>0</v>
      </c>
      <c r="R460" s="2" t="inlineStr"/>
    </row>
    <row r="461" ht="15" customHeight="1">
      <c r="A461" t="inlineStr">
        <is>
          <t>A 14341-2021</t>
        </is>
      </c>
      <c r="B461" s="1" t="n">
        <v>44279</v>
      </c>
      <c r="C461" s="1" t="n">
        <v>45723</v>
      </c>
      <c r="D461" t="inlineStr">
        <is>
          <t>UPPSALA LÄN</t>
        </is>
      </c>
      <c r="E461" t="inlineStr">
        <is>
          <t>UPPSALA</t>
        </is>
      </c>
      <c r="G461" t="n">
        <v>8.9</v>
      </c>
      <c r="H461" t="n">
        <v>0</v>
      </c>
      <c r="I461" t="n">
        <v>0</v>
      </c>
      <c r="J461" t="n">
        <v>0</v>
      </c>
      <c r="K461" t="n">
        <v>0</v>
      </c>
      <c r="L461" t="n">
        <v>0</v>
      </c>
      <c r="M461" t="n">
        <v>0</v>
      </c>
      <c r="N461" t="n">
        <v>0</v>
      </c>
      <c r="O461" t="n">
        <v>0</v>
      </c>
      <c r="P461" t="n">
        <v>0</v>
      </c>
      <c r="Q461" t="n">
        <v>0</v>
      </c>
      <c r="R461" s="2" t="inlineStr"/>
    </row>
    <row r="462" ht="15" customHeight="1">
      <c r="A462" t="inlineStr">
        <is>
          <t>A 14941-2021</t>
        </is>
      </c>
      <c r="B462" s="1" t="n">
        <v>44281</v>
      </c>
      <c r="C462" s="1" t="n">
        <v>45723</v>
      </c>
      <c r="D462" t="inlineStr">
        <is>
          <t>UPPSALA LÄN</t>
        </is>
      </c>
      <c r="E462" t="inlineStr">
        <is>
          <t>UPPSALA</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15816-2021</t>
        </is>
      </c>
      <c r="B463" s="1" t="n">
        <v>44286</v>
      </c>
      <c r="C463" s="1" t="n">
        <v>45723</v>
      </c>
      <c r="D463" t="inlineStr">
        <is>
          <t>UPPSALA LÄN</t>
        </is>
      </c>
      <c r="E463" t="inlineStr">
        <is>
          <t>UPPSALA</t>
        </is>
      </c>
      <c r="G463" t="n">
        <v>2.9</v>
      </c>
      <c r="H463" t="n">
        <v>0</v>
      </c>
      <c r="I463" t="n">
        <v>0</v>
      </c>
      <c r="J463" t="n">
        <v>0</v>
      </c>
      <c r="K463" t="n">
        <v>0</v>
      </c>
      <c r="L463" t="n">
        <v>0</v>
      </c>
      <c r="M463" t="n">
        <v>0</v>
      </c>
      <c r="N463" t="n">
        <v>0</v>
      </c>
      <c r="O463" t="n">
        <v>0</v>
      </c>
      <c r="P463" t="n">
        <v>0</v>
      </c>
      <c r="Q463" t="n">
        <v>0</v>
      </c>
      <c r="R463" s="2" t="inlineStr"/>
    </row>
    <row r="464" ht="15" customHeight="1">
      <c r="A464" t="inlineStr">
        <is>
          <t>A 15820-2021</t>
        </is>
      </c>
      <c r="B464" s="1" t="n">
        <v>44286</v>
      </c>
      <c r="C464" s="1" t="n">
        <v>45723</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16592-2021</t>
        </is>
      </c>
      <c r="B465" s="1" t="n">
        <v>44294</v>
      </c>
      <c r="C465" s="1" t="n">
        <v>45723</v>
      </c>
      <c r="D465" t="inlineStr">
        <is>
          <t>UPPSALA LÄN</t>
        </is>
      </c>
      <c r="E465" t="inlineStr">
        <is>
          <t>UPPSALA</t>
        </is>
      </c>
      <c r="F465" t="inlineStr">
        <is>
          <t>Övriga Aktiebolag</t>
        </is>
      </c>
      <c r="G465" t="n">
        <v>1.6</v>
      </c>
      <c r="H465" t="n">
        <v>0</v>
      </c>
      <c r="I465" t="n">
        <v>0</v>
      </c>
      <c r="J465" t="n">
        <v>0</v>
      </c>
      <c r="K465" t="n">
        <v>0</v>
      </c>
      <c r="L465" t="n">
        <v>0</v>
      </c>
      <c r="M465" t="n">
        <v>0</v>
      </c>
      <c r="N465" t="n">
        <v>0</v>
      </c>
      <c r="O465" t="n">
        <v>0</v>
      </c>
      <c r="P465" t="n">
        <v>0</v>
      </c>
      <c r="Q465" t="n">
        <v>0</v>
      </c>
      <c r="R465" s="2" t="inlineStr"/>
    </row>
    <row r="466" ht="15" customHeight="1">
      <c r="A466" t="inlineStr">
        <is>
          <t>A 16615-2021</t>
        </is>
      </c>
      <c r="B466" s="1" t="n">
        <v>44294</v>
      </c>
      <c r="C466" s="1" t="n">
        <v>45723</v>
      </c>
      <c r="D466" t="inlineStr">
        <is>
          <t>UPPSALA LÄN</t>
        </is>
      </c>
      <c r="E466" t="inlineStr">
        <is>
          <t>UPPSALA</t>
        </is>
      </c>
      <c r="F466" t="inlineStr">
        <is>
          <t>Övriga Aktiebolag</t>
        </is>
      </c>
      <c r="G466" t="n">
        <v>1.5</v>
      </c>
      <c r="H466" t="n">
        <v>0</v>
      </c>
      <c r="I466" t="n">
        <v>0</v>
      </c>
      <c r="J466" t="n">
        <v>0</v>
      </c>
      <c r="K466" t="n">
        <v>0</v>
      </c>
      <c r="L466" t="n">
        <v>0</v>
      </c>
      <c r="M466" t="n">
        <v>0</v>
      </c>
      <c r="N466" t="n">
        <v>0</v>
      </c>
      <c r="O466" t="n">
        <v>0</v>
      </c>
      <c r="P466" t="n">
        <v>0</v>
      </c>
      <c r="Q466" t="n">
        <v>0</v>
      </c>
      <c r="R466" s="2" t="inlineStr"/>
    </row>
    <row r="467" ht="15" customHeight="1">
      <c r="A467" t="inlineStr">
        <is>
          <t>A 16684-2021</t>
        </is>
      </c>
      <c r="B467" s="1" t="n">
        <v>44294</v>
      </c>
      <c r="C467" s="1" t="n">
        <v>45723</v>
      </c>
      <c r="D467" t="inlineStr">
        <is>
          <t>UPPSALA LÄN</t>
        </is>
      </c>
      <c r="E467" t="inlineStr">
        <is>
          <t>UPPSALA</t>
        </is>
      </c>
      <c r="F467" t="inlineStr">
        <is>
          <t>Övriga Aktiebolag</t>
        </is>
      </c>
      <c r="G467" t="n">
        <v>1.3</v>
      </c>
      <c r="H467" t="n">
        <v>0</v>
      </c>
      <c r="I467" t="n">
        <v>0</v>
      </c>
      <c r="J467" t="n">
        <v>0</v>
      </c>
      <c r="K467" t="n">
        <v>0</v>
      </c>
      <c r="L467" t="n">
        <v>0</v>
      </c>
      <c r="M467" t="n">
        <v>0</v>
      </c>
      <c r="N467" t="n">
        <v>0</v>
      </c>
      <c r="O467" t="n">
        <v>0</v>
      </c>
      <c r="P467" t="n">
        <v>0</v>
      </c>
      <c r="Q467" t="n">
        <v>0</v>
      </c>
      <c r="R467" s="2" t="inlineStr"/>
    </row>
    <row r="468" ht="15" customHeight="1">
      <c r="A468" t="inlineStr">
        <is>
          <t>A 17262-2021</t>
        </is>
      </c>
      <c r="B468" s="1" t="n">
        <v>44297</v>
      </c>
      <c r="C468" s="1" t="n">
        <v>45723</v>
      </c>
      <c r="D468" t="inlineStr">
        <is>
          <t>UPPSALA LÄN</t>
        </is>
      </c>
      <c r="E468" t="inlineStr">
        <is>
          <t>UPPSALA</t>
        </is>
      </c>
      <c r="F468" t="inlineStr">
        <is>
          <t>Allmännings- och besparingsskogar</t>
        </is>
      </c>
      <c r="G468" t="n">
        <v>1</v>
      </c>
      <c r="H468" t="n">
        <v>0</v>
      </c>
      <c r="I468" t="n">
        <v>0</v>
      </c>
      <c r="J468" t="n">
        <v>0</v>
      </c>
      <c r="K468" t="n">
        <v>0</v>
      </c>
      <c r="L468" t="n">
        <v>0</v>
      </c>
      <c r="M468" t="n">
        <v>0</v>
      </c>
      <c r="N468" t="n">
        <v>0</v>
      </c>
      <c r="O468" t="n">
        <v>0</v>
      </c>
      <c r="P468" t="n">
        <v>0</v>
      </c>
      <c r="Q468" t="n">
        <v>0</v>
      </c>
      <c r="R468" s="2" t="inlineStr"/>
    </row>
    <row r="469" ht="15" customHeight="1">
      <c r="A469" t="inlineStr">
        <is>
          <t>A 17250-2021</t>
        </is>
      </c>
      <c r="B469" s="1" t="n">
        <v>44297</v>
      </c>
      <c r="C469" s="1" t="n">
        <v>45723</v>
      </c>
      <c r="D469" t="inlineStr">
        <is>
          <t>UPPSALA LÄN</t>
        </is>
      </c>
      <c r="E469" t="inlineStr">
        <is>
          <t>UPPSALA</t>
        </is>
      </c>
      <c r="G469" t="n">
        <v>3.6</v>
      </c>
      <c r="H469" t="n">
        <v>0</v>
      </c>
      <c r="I469" t="n">
        <v>0</v>
      </c>
      <c r="J469" t="n">
        <v>0</v>
      </c>
      <c r="K469" t="n">
        <v>0</v>
      </c>
      <c r="L469" t="n">
        <v>0</v>
      </c>
      <c r="M469" t="n">
        <v>0</v>
      </c>
      <c r="N469" t="n">
        <v>0</v>
      </c>
      <c r="O469" t="n">
        <v>0</v>
      </c>
      <c r="P469" t="n">
        <v>0</v>
      </c>
      <c r="Q469" t="n">
        <v>0</v>
      </c>
      <c r="R469" s="2" t="inlineStr"/>
    </row>
    <row r="470" ht="15" customHeight="1">
      <c r="A470" t="inlineStr">
        <is>
          <t>A 17536-2021</t>
        </is>
      </c>
      <c r="B470" s="1" t="n">
        <v>44299</v>
      </c>
      <c r="C470" s="1" t="n">
        <v>45723</v>
      </c>
      <c r="D470" t="inlineStr">
        <is>
          <t>UPPSALA LÄN</t>
        </is>
      </c>
      <c r="E470" t="inlineStr">
        <is>
          <t>UPPSALA</t>
        </is>
      </c>
      <c r="F470" t="inlineStr">
        <is>
          <t>Holmen skog AB</t>
        </is>
      </c>
      <c r="G470" t="n">
        <v>7.6</v>
      </c>
      <c r="H470" t="n">
        <v>0</v>
      </c>
      <c r="I470" t="n">
        <v>0</v>
      </c>
      <c r="J470" t="n">
        <v>0</v>
      </c>
      <c r="K470" t="n">
        <v>0</v>
      </c>
      <c r="L470" t="n">
        <v>0</v>
      </c>
      <c r="M470" t="n">
        <v>0</v>
      </c>
      <c r="N470" t="n">
        <v>0</v>
      </c>
      <c r="O470" t="n">
        <v>0</v>
      </c>
      <c r="P470" t="n">
        <v>0</v>
      </c>
      <c r="Q470" t="n">
        <v>0</v>
      </c>
      <c r="R470" s="2" t="inlineStr"/>
    </row>
    <row r="471" ht="15" customHeight="1">
      <c r="A471" t="inlineStr">
        <is>
          <t>A 18906-2021</t>
        </is>
      </c>
      <c r="B471" s="1" t="n">
        <v>44308</v>
      </c>
      <c r="C471" s="1" t="n">
        <v>45723</v>
      </c>
      <c r="D471" t="inlineStr">
        <is>
          <t>UPPSALA LÄN</t>
        </is>
      </c>
      <c r="E471" t="inlineStr">
        <is>
          <t>UPPSALA</t>
        </is>
      </c>
      <c r="G471" t="n">
        <v>1.8</v>
      </c>
      <c r="H471" t="n">
        <v>0</v>
      </c>
      <c r="I471" t="n">
        <v>0</v>
      </c>
      <c r="J471" t="n">
        <v>0</v>
      </c>
      <c r="K471" t="n">
        <v>0</v>
      </c>
      <c r="L471" t="n">
        <v>0</v>
      </c>
      <c r="M471" t="n">
        <v>0</v>
      </c>
      <c r="N471" t="n">
        <v>0</v>
      </c>
      <c r="O471" t="n">
        <v>0</v>
      </c>
      <c r="P471" t="n">
        <v>0</v>
      </c>
      <c r="Q471" t="n">
        <v>0</v>
      </c>
      <c r="R471" s="2" t="inlineStr"/>
    </row>
    <row r="472" ht="15" customHeight="1">
      <c r="A472" t="inlineStr">
        <is>
          <t>A 19927-2021</t>
        </is>
      </c>
      <c r="B472" s="1" t="n">
        <v>44313</v>
      </c>
      <c r="C472" s="1" t="n">
        <v>45723</v>
      </c>
      <c r="D472" t="inlineStr">
        <is>
          <t>UPPSALA LÄN</t>
        </is>
      </c>
      <c r="E472" t="inlineStr">
        <is>
          <t>UPPSALA</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19947-2021</t>
        </is>
      </c>
      <c r="B473" s="1" t="n">
        <v>44313</v>
      </c>
      <c r="C473" s="1" t="n">
        <v>45723</v>
      </c>
      <c r="D473" t="inlineStr">
        <is>
          <t>UPPSALA LÄN</t>
        </is>
      </c>
      <c r="E473" t="inlineStr">
        <is>
          <t>UPPSALA</t>
        </is>
      </c>
      <c r="F473" t="inlineStr">
        <is>
          <t>Bergvik skog öst AB</t>
        </is>
      </c>
      <c r="G473" t="n">
        <v>1.4</v>
      </c>
      <c r="H473" t="n">
        <v>0</v>
      </c>
      <c r="I473" t="n">
        <v>0</v>
      </c>
      <c r="J473" t="n">
        <v>0</v>
      </c>
      <c r="K473" t="n">
        <v>0</v>
      </c>
      <c r="L473" t="n">
        <v>0</v>
      </c>
      <c r="M473" t="n">
        <v>0</v>
      </c>
      <c r="N473" t="n">
        <v>0</v>
      </c>
      <c r="O473" t="n">
        <v>0</v>
      </c>
      <c r="P473" t="n">
        <v>0</v>
      </c>
      <c r="Q473" t="n">
        <v>0</v>
      </c>
      <c r="R473" s="2" t="inlineStr"/>
    </row>
    <row r="474" ht="15" customHeight="1">
      <c r="A474" t="inlineStr">
        <is>
          <t>A 20276-2021</t>
        </is>
      </c>
      <c r="B474" s="1" t="n">
        <v>44314</v>
      </c>
      <c r="C474" s="1" t="n">
        <v>45723</v>
      </c>
      <c r="D474" t="inlineStr">
        <is>
          <t>UPPSALA LÄN</t>
        </is>
      </c>
      <c r="E474" t="inlineStr">
        <is>
          <t>UPPSALA</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20271-2021</t>
        </is>
      </c>
      <c r="B475" s="1" t="n">
        <v>44314</v>
      </c>
      <c r="C475" s="1" t="n">
        <v>45723</v>
      </c>
      <c r="D475" t="inlineStr">
        <is>
          <t>UPPSALA LÄN</t>
        </is>
      </c>
      <c r="E475" t="inlineStr">
        <is>
          <t>UPPSALA</t>
        </is>
      </c>
      <c r="F475" t="inlineStr">
        <is>
          <t>Bergvik skog öst AB</t>
        </is>
      </c>
      <c r="G475" t="n">
        <v>1.5</v>
      </c>
      <c r="H475" t="n">
        <v>0</v>
      </c>
      <c r="I475" t="n">
        <v>0</v>
      </c>
      <c r="J475" t="n">
        <v>0</v>
      </c>
      <c r="K475" t="n">
        <v>0</v>
      </c>
      <c r="L475" t="n">
        <v>0</v>
      </c>
      <c r="M475" t="n">
        <v>0</v>
      </c>
      <c r="N475" t="n">
        <v>0</v>
      </c>
      <c r="O475" t="n">
        <v>0</v>
      </c>
      <c r="P475" t="n">
        <v>0</v>
      </c>
      <c r="Q475" t="n">
        <v>0</v>
      </c>
      <c r="R475" s="2" t="inlineStr"/>
    </row>
    <row r="476" ht="15" customHeight="1">
      <c r="A476" t="inlineStr">
        <is>
          <t>A 20609-2021</t>
        </is>
      </c>
      <c r="B476" s="1" t="n">
        <v>44316</v>
      </c>
      <c r="C476" s="1" t="n">
        <v>45723</v>
      </c>
      <c r="D476" t="inlineStr">
        <is>
          <t>UPPSALA LÄN</t>
        </is>
      </c>
      <c r="E476" t="inlineStr">
        <is>
          <t>UPPSALA</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22070-2021</t>
        </is>
      </c>
      <c r="B477" s="1" t="n">
        <v>44323</v>
      </c>
      <c r="C477" s="1" t="n">
        <v>45723</v>
      </c>
      <c r="D477" t="inlineStr">
        <is>
          <t>UPPSALA LÄN</t>
        </is>
      </c>
      <c r="E477" t="inlineStr">
        <is>
          <t>UPPSALA</t>
        </is>
      </c>
      <c r="G477" t="n">
        <v>1.3</v>
      </c>
      <c r="H477" t="n">
        <v>0</v>
      </c>
      <c r="I477" t="n">
        <v>0</v>
      </c>
      <c r="J477" t="n">
        <v>0</v>
      </c>
      <c r="K477" t="n">
        <v>0</v>
      </c>
      <c r="L477" t="n">
        <v>0</v>
      </c>
      <c r="M477" t="n">
        <v>0</v>
      </c>
      <c r="N477" t="n">
        <v>0</v>
      </c>
      <c r="O477" t="n">
        <v>0</v>
      </c>
      <c r="P477" t="n">
        <v>0</v>
      </c>
      <c r="Q477" t="n">
        <v>0</v>
      </c>
      <c r="R477" s="2" t="inlineStr"/>
    </row>
    <row r="478" ht="15" customHeight="1">
      <c r="A478" t="inlineStr">
        <is>
          <t>A 22946-2021</t>
        </is>
      </c>
      <c r="B478" s="1" t="n">
        <v>44328</v>
      </c>
      <c r="C478" s="1" t="n">
        <v>45723</v>
      </c>
      <c r="D478" t="inlineStr">
        <is>
          <t>UPPSALA LÄN</t>
        </is>
      </c>
      <c r="E478" t="inlineStr">
        <is>
          <t>UPPSALA</t>
        </is>
      </c>
      <c r="G478" t="n">
        <v>2.3</v>
      </c>
      <c r="H478" t="n">
        <v>0</v>
      </c>
      <c r="I478" t="n">
        <v>0</v>
      </c>
      <c r="J478" t="n">
        <v>0</v>
      </c>
      <c r="K478" t="n">
        <v>0</v>
      </c>
      <c r="L478" t="n">
        <v>0</v>
      </c>
      <c r="M478" t="n">
        <v>0</v>
      </c>
      <c r="N478" t="n">
        <v>0</v>
      </c>
      <c r="O478" t="n">
        <v>0</v>
      </c>
      <c r="P478" t="n">
        <v>0</v>
      </c>
      <c r="Q478" t="n">
        <v>0</v>
      </c>
      <c r="R478" s="2" t="inlineStr"/>
    </row>
    <row r="479" ht="15" customHeight="1">
      <c r="A479" t="inlineStr">
        <is>
          <t>A 23877-2021</t>
        </is>
      </c>
      <c r="B479" s="1" t="n">
        <v>44335</v>
      </c>
      <c r="C479" s="1" t="n">
        <v>45723</v>
      </c>
      <c r="D479" t="inlineStr">
        <is>
          <t>UPPSALA LÄN</t>
        </is>
      </c>
      <c r="E479" t="inlineStr">
        <is>
          <t>UPPSALA</t>
        </is>
      </c>
      <c r="G479" t="n">
        <v>0.6</v>
      </c>
      <c r="H479" t="n">
        <v>0</v>
      </c>
      <c r="I479" t="n">
        <v>0</v>
      </c>
      <c r="J479" t="n">
        <v>0</v>
      </c>
      <c r="K479" t="n">
        <v>0</v>
      </c>
      <c r="L479" t="n">
        <v>0</v>
      </c>
      <c r="M479" t="n">
        <v>0</v>
      </c>
      <c r="N479" t="n">
        <v>0</v>
      </c>
      <c r="O479" t="n">
        <v>0</v>
      </c>
      <c r="P479" t="n">
        <v>0</v>
      </c>
      <c r="Q479" t="n">
        <v>0</v>
      </c>
      <c r="R479" s="2" t="inlineStr"/>
    </row>
    <row r="480" ht="15" customHeight="1">
      <c r="A480" t="inlineStr">
        <is>
          <t>A 25613-2021</t>
        </is>
      </c>
      <c r="B480" s="1" t="n">
        <v>44343</v>
      </c>
      <c r="C480" s="1" t="n">
        <v>45723</v>
      </c>
      <c r="D480" t="inlineStr">
        <is>
          <t>UPPSALA LÄN</t>
        </is>
      </c>
      <c r="E480" t="inlineStr">
        <is>
          <t>UPPSALA</t>
        </is>
      </c>
      <c r="G480" t="n">
        <v>2.1</v>
      </c>
      <c r="H480" t="n">
        <v>0</v>
      </c>
      <c r="I480" t="n">
        <v>0</v>
      </c>
      <c r="J480" t="n">
        <v>0</v>
      </c>
      <c r="K480" t="n">
        <v>0</v>
      </c>
      <c r="L480" t="n">
        <v>0</v>
      </c>
      <c r="M480" t="n">
        <v>0</v>
      </c>
      <c r="N480" t="n">
        <v>0</v>
      </c>
      <c r="O480" t="n">
        <v>0</v>
      </c>
      <c r="P480" t="n">
        <v>0</v>
      </c>
      <c r="Q480" t="n">
        <v>0</v>
      </c>
      <c r="R480" s="2" t="inlineStr"/>
    </row>
    <row r="481" ht="15" customHeight="1">
      <c r="A481" t="inlineStr">
        <is>
          <t>A 26785-2021</t>
        </is>
      </c>
      <c r="B481" s="1" t="n">
        <v>44349</v>
      </c>
      <c r="C481" s="1" t="n">
        <v>45723</v>
      </c>
      <c r="D481" t="inlineStr">
        <is>
          <t>UPPSALA LÄN</t>
        </is>
      </c>
      <c r="E481" t="inlineStr">
        <is>
          <t>UPPSALA</t>
        </is>
      </c>
      <c r="F481" t="inlineStr">
        <is>
          <t>Bergvik skog öst AB</t>
        </is>
      </c>
      <c r="G481" t="n">
        <v>0.6</v>
      </c>
      <c r="H481" t="n">
        <v>0</v>
      </c>
      <c r="I481" t="n">
        <v>0</v>
      </c>
      <c r="J481" t="n">
        <v>0</v>
      </c>
      <c r="K481" t="n">
        <v>0</v>
      </c>
      <c r="L481" t="n">
        <v>0</v>
      </c>
      <c r="M481" t="n">
        <v>0</v>
      </c>
      <c r="N481" t="n">
        <v>0</v>
      </c>
      <c r="O481" t="n">
        <v>0</v>
      </c>
      <c r="P481" t="n">
        <v>0</v>
      </c>
      <c r="Q481" t="n">
        <v>0</v>
      </c>
      <c r="R481" s="2" t="inlineStr"/>
    </row>
    <row r="482" ht="15" customHeight="1">
      <c r="A482" t="inlineStr">
        <is>
          <t>A 27365-2021</t>
        </is>
      </c>
      <c r="B482" s="1" t="n">
        <v>44351</v>
      </c>
      <c r="C482" s="1" t="n">
        <v>45723</v>
      </c>
      <c r="D482" t="inlineStr">
        <is>
          <t>UPPSALA LÄN</t>
        </is>
      </c>
      <c r="E482" t="inlineStr">
        <is>
          <t>UPPSALA</t>
        </is>
      </c>
      <c r="F482" t="inlineStr">
        <is>
          <t>Allmännings- och besparingsskogar</t>
        </is>
      </c>
      <c r="G482" t="n">
        <v>20.5</v>
      </c>
      <c r="H482" t="n">
        <v>0</v>
      </c>
      <c r="I482" t="n">
        <v>0</v>
      </c>
      <c r="J482" t="n">
        <v>0</v>
      </c>
      <c r="K482" t="n">
        <v>0</v>
      </c>
      <c r="L482" t="n">
        <v>0</v>
      </c>
      <c r="M482" t="n">
        <v>0</v>
      </c>
      <c r="N482" t="n">
        <v>0</v>
      </c>
      <c r="O482" t="n">
        <v>0</v>
      </c>
      <c r="P482" t="n">
        <v>0</v>
      </c>
      <c r="Q482" t="n">
        <v>0</v>
      </c>
      <c r="R482" s="2" t="inlineStr"/>
    </row>
    <row r="483" ht="15" customHeight="1">
      <c r="A483" t="inlineStr">
        <is>
          <t>A 28694-2021</t>
        </is>
      </c>
      <c r="B483" s="1" t="n">
        <v>44357</v>
      </c>
      <c r="C483" s="1" t="n">
        <v>45723</v>
      </c>
      <c r="D483" t="inlineStr">
        <is>
          <t>UPPSALA LÄN</t>
        </is>
      </c>
      <c r="E483" t="inlineStr">
        <is>
          <t>UPPSALA</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29145-2021</t>
        </is>
      </c>
      <c r="B484" s="1" t="n">
        <v>44358</v>
      </c>
      <c r="C484" s="1" t="n">
        <v>45723</v>
      </c>
      <c r="D484" t="inlineStr">
        <is>
          <t>UPPSALA LÄN</t>
        </is>
      </c>
      <c r="E484" t="inlineStr">
        <is>
          <t>UPPSALA</t>
        </is>
      </c>
      <c r="G484" t="n">
        <v>2.4</v>
      </c>
      <c r="H484" t="n">
        <v>0</v>
      </c>
      <c r="I484" t="n">
        <v>0</v>
      </c>
      <c r="J484" t="n">
        <v>0</v>
      </c>
      <c r="K484" t="n">
        <v>0</v>
      </c>
      <c r="L484" t="n">
        <v>0</v>
      </c>
      <c r="M484" t="n">
        <v>0</v>
      </c>
      <c r="N484" t="n">
        <v>0</v>
      </c>
      <c r="O484" t="n">
        <v>0</v>
      </c>
      <c r="P484" t="n">
        <v>0</v>
      </c>
      <c r="Q484" t="n">
        <v>0</v>
      </c>
      <c r="R484" s="2" t="inlineStr"/>
    </row>
    <row r="485" ht="15" customHeight="1">
      <c r="A485" t="inlineStr">
        <is>
          <t>A 30655-2021</t>
        </is>
      </c>
      <c r="B485" s="1" t="n">
        <v>44365</v>
      </c>
      <c r="C485" s="1" t="n">
        <v>45723</v>
      </c>
      <c r="D485" t="inlineStr">
        <is>
          <t>UPPSALA LÄN</t>
        </is>
      </c>
      <c r="E485" t="inlineStr">
        <is>
          <t>UPPSALA</t>
        </is>
      </c>
      <c r="F485" t="inlineStr">
        <is>
          <t>Holmen skog AB</t>
        </is>
      </c>
      <c r="G485" t="n">
        <v>5.8</v>
      </c>
      <c r="H485" t="n">
        <v>0</v>
      </c>
      <c r="I485" t="n">
        <v>0</v>
      </c>
      <c r="J485" t="n">
        <v>0</v>
      </c>
      <c r="K485" t="n">
        <v>0</v>
      </c>
      <c r="L485" t="n">
        <v>0</v>
      </c>
      <c r="M485" t="n">
        <v>0</v>
      </c>
      <c r="N485" t="n">
        <v>0</v>
      </c>
      <c r="O485" t="n">
        <v>0</v>
      </c>
      <c r="P485" t="n">
        <v>0</v>
      </c>
      <c r="Q485" t="n">
        <v>0</v>
      </c>
      <c r="R485" s="2" t="inlineStr"/>
    </row>
    <row r="486" ht="15" customHeight="1">
      <c r="A486" t="inlineStr">
        <is>
          <t>A 30656-2021</t>
        </is>
      </c>
      <c r="B486" s="1" t="n">
        <v>44365</v>
      </c>
      <c r="C486" s="1" t="n">
        <v>45723</v>
      </c>
      <c r="D486" t="inlineStr">
        <is>
          <t>UPPSALA LÄN</t>
        </is>
      </c>
      <c r="E486" t="inlineStr">
        <is>
          <t>UPPSALA</t>
        </is>
      </c>
      <c r="G486" t="n">
        <v>6.7</v>
      </c>
      <c r="H486" t="n">
        <v>0</v>
      </c>
      <c r="I486" t="n">
        <v>0</v>
      </c>
      <c r="J486" t="n">
        <v>0</v>
      </c>
      <c r="K486" t="n">
        <v>0</v>
      </c>
      <c r="L486" t="n">
        <v>0</v>
      </c>
      <c r="M486" t="n">
        <v>0</v>
      </c>
      <c r="N486" t="n">
        <v>0</v>
      </c>
      <c r="O486" t="n">
        <v>0</v>
      </c>
      <c r="P486" t="n">
        <v>0</v>
      </c>
      <c r="Q486" t="n">
        <v>0</v>
      </c>
      <c r="R486" s="2" t="inlineStr"/>
    </row>
    <row r="487" ht="15" customHeight="1">
      <c r="A487" t="inlineStr">
        <is>
          <t>A 31646-2021</t>
        </is>
      </c>
      <c r="B487" s="1" t="n">
        <v>44369</v>
      </c>
      <c r="C487" s="1" t="n">
        <v>45723</v>
      </c>
      <c r="D487" t="inlineStr">
        <is>
          <t>UPPSALA LÄN</t>
        </is>
      </c>
      <c r="E487" t="inlineStr">
        <is>
          <t>UPPSALA</t>
        </is>
      </c>
      <c r="G487" t="n">
        <v>1.7</v>
      </c>
      <c r="H487" t="n">
        <v>0</v>
      </c>
      <c r="I487" t="n">
        <v>0</v>
      </c>
      <c r="J487" t="n">
        <v>0</v>
      </c>
      <c r="K487" t="n">
        <v>0</v>
      </c>
      <c r="L487" t="n">
        <v>0</v>
      </c>
      <c r="M487" t="n">
        <v>0</v>
      </c>
      <c r="N487" t="n">
        <v>0</v>
      </c>
      <c r="O487" t="n">
        <v>0</v>
      </c>
      <c r="P487" t="n">
        <v>0</v>
      </c>
      <c r="Q487" t="n">
        <v>0</v>
      </c>
      <c r="R487" s="2" t="inlineStr"/>
    </row>
    <row r="488" ht="15" customHeight="1">
      <c r="A488" t="inlineStr">
        <is>
          <t>A 31662-2021</t>
        </is>
      </c>
      <c r="B488" s="1" t="n">
        <v>44369</v>
      </c>
      <c r="C488" s="1" t="n">
        <v>45723</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31829-2021</t>
        </is>
      </c>
      <c r="B489" s="1" t="n">
        <v>44370</v>
      </c>
      <c r="C489" s="1" t="n">
        <v>45723</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32276-2021</t>
        </is>
      </c>
      <c r="B490" s="1" t="n">
        <v>44371</v>
      </c>
      <c r="C490" s="1" t="n">
        <v>45723</v>
      </c>
      <c r="D490" t="inlineStr">
        <is>
          <t>UPPSALA LÄN</t>
        </is>
      </c>
      <c r="E490" t="inlineStr">
        <is>
          <t>UPPSALA</t>
        </is>
      </c>
      <c r="G490" t="n">
        <v>3.7</v>
      </c>
      <c r="H490" t="n">
        <v>0</v>
      </c>
      <c r="I490" t="n">
        <v>0</v>
      </c>
      <c r="J490" t="n">
        <v>0</v>
      </c>
      <c r="K490" t="n">
        <v>0</v>
      </c>
      <c r="L490" t="n">
        <v>0</v>
      </c>
      <c r="M490" t="n">
        <v>0</v>
      </c>
      <c r="N490" t="n">
        <v>0</v>
      </c>
      <c r="O490" t="n">
        <v>0</v>
      </c>
      <c r="P490" t="n">
        <v>0</v>
      </c>
      <c r="Q490" t="n">
        <v>0</v>
      </c>
      <c r="R490" s="2" t="inlineStr"/>
    </row>
    <row r="491" ht="15" customHeight="1">
      <c r="A491" t="inlineStr">
        <is>
          <t>A 32428-2021</t>
        </is>
      </c>
      <c r="B491" s="1" t="n">
        <v>44371</v>
      </c>
      <c r="C491" s="1" t="n">
        <v>45723</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32955-2021</t>
        </is>
      </c>
      <c r="B492" s="1" t="n">
        <v>44376</v>
      </c>
      <c r="C492" s="1" t="n">
        <v>45723</v>
      </c>
      <c r="D492" t="inlineStr">
        <is>
          <t>UPPSALA LÄN</t>
        </is>
      </c>
      <c r="E492" t="inlineStr">
        <is>
          <t>UPPSALA</t>
        </is>
      </c>
      <c r="F492" t="inlineStr">
        <is>
          <t>Bergvik skog öst AB</t>
        </is>
      </c>
      <c r="G492" t="n">
        <v>10</v>
      </c>
      <c r="H492" t="n">
        <v>0</v>
      </c>
      <c r="I492" t="n">
        <v>0</v>
      </c>
      <c r="J492" t="n">
        <v>0</v>
      </c>
      <c r="K492" t="n">
        <v>0</v>
      </c>
      <c r="L492" t="n">
        <v>0</v>
      </c>
      <c r="M492" t="n">
        <v>0</v>
      </c>
      <c r="N492" t="n">
        <v>0</v>
      </c>
      <c r="O492" t="n">
        <v>0</v>
      </c>
      <c r="P492" t="n">
        <v>0</v>
      </c>
      <c r="Q492" t="n">
        <v>0</v>
      </c>
      <c r="R492" s="2" t="inlineStr"/>
    </row>
    <row r="493" ht="15" customHeight="1">
      <c r="A493" t="inlineStr">
        <is>
          <t>A 33797-2021</t>
        </is>
      </c>
      <c r="B493" s="1" t="n">
        <v>44378</v>
      </c>
      <c r="C493" s="1" t="n">
        <v>45723</v>
      </c>
      <c r="D493" t="inlineStr">
        <is>
          <t>UPPSALA LÄN</t>
        </is>
      </c>
      <c r="E493" t="inlineStr">
        <is>
          <t>UPPSALA</t>
        </is>
      </c>
      <c r="G493" t="n">
        <v>1</v>
      </c>
      <c r="H493" t="n">
        <v>0</v>
      </c>
      <c r="I493" t="n">
        <v>0</v>
      </c>
      <c r="J493" t="n">
        <v>0</v>
      </c>
      <c r="K493" t="n">
        <v>0</v>
      </c>
      <c r="L493" t="n">
        <v>0</v>
      </c>
      <c r="M493" t="n">
        <v>0</v>
      </c>
      <c r="N493" t="n">
        <v>0</v>
      </c>
      <c r="O493" t="n">
        <v>0</v>
      </c>
      <c r="P493" t="n">
        <v>0</v>
      </c>
      <c r="Q493" t="n">
        <v>0</v>
      </c>
      <c r="R493" s="2" t="inlineStr"/>
    </row>
    <row r="494" ht="15" customHeight="1">
      <c r="A494" t="inlineStr">
        <is>
          <t>A 33920-2021</t>
        </is>
      </c>
      <c r="B494" s="1" t="n">
        <v>44378</v>
      </c>
      <c r="C494" s="1" t="n">
        <v>45723</v>
      </c>
      <c r="D494" t="inlineStr">
        <is>
          <t>UPPSALA LÄN</t>
        </is>
      </c>
      <c r="E494" t="inlineStr">
        <is>
          <t>UPPSALA</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34039-2021</t>
        </is>
      </c>
      <c r="B495" s="1" t="n">
        <v>44379</v>
      </c>
      <c r="C495" s="1" t="n">
        <v>45723</v>
      </c>
      <c r="D495" t="inlineStr">
        <is>
          <t>UPPSALA LÄN</t>
        </is>
      </c>
      <c r="E495" t="inlineStr">
        <is>
          <t>UPPSALA</t>
        </is>
      </c>
      <c r="G495" t="n">
        <v>0.7</v>
      </c>
      <c r="H495" t="n">
        <v>0</v>
      </c>
      <c r="I495" t="n">
        <v>0</v>
      </c>
      <c r="J495" t="n">
        <v>0</v>
      </c>
      <c r="K495" t="n">
        <v>0</v>
      </c>
      <c r="L495" t="n">
        <v>0</v>
      </c>
      <c r="M495" t="n">
        <v>0</v>
      </c>
      <c r="N495" t="n">
        <v>0</v>
      </c>
      <c r="O495" t="n">
        <v>0</v>
      </c>
      <c r="P495" t="n">
        <v>0</v>
      </c>
      <c r="Q495" t="n">
        <v>0</v>
      </c>
      <c r="R495" s="2" t="inlineStr"/>
    </row>
    <row r="496" ht="15" customHeight="1">
      <c r="A496" t="inlineStr">
        <is>
          <t>A 34043-2021</t>
        </is>
      </c>
      <c r="B496" s="1" t="n">
        <v>44379</v>
      </c>
      <c r="C496" s="1" t="n">
        <v>45723</v>
      </c>
      <c r="D496" t="inlineStr">
        <is>
          <t>UPPSALA LÄN</t>
        </is>
      </c>
      <c r="E496" t="inlineStr">
        <is>
          <t>UPPSALA</t>
        </is>
      </c>
      <c r="G496" t="n">
        <v>2.2</v>
      </c>
      <c r="H496" t="n">
        <v>0</v>
      </c>
      <c r="I496" t="n">
        <v>0</v>
      </c>
      <c r="J496" t="n">
        <v>0</v>
      </c>
      <c r="K496" t="n">
        <v>0</v>
      </c>
      <c r="L496" t="n">
        <v>0</v>
      </c>
      <c r="M496" t="n">
        <v>0</v>
      </c>
      <c r="N496" t="n">
        <v>0</v>
      </c>
      <c r="O496" t="n">
        <v>0</v>
      </c>
      <c r="P496" t="n">
        <v>0</v>
      </c>
      <c r="Q496" t="n">
        <v>0</v>
      </c>
      <c r="R496" s="2" t="inlineStr"/>
    </row>
    <row r="497" ht="15" customHeight="1">
      <c r="A497" t="inlineStr">
        <is>
          <t>A 34265-2021</t>
        </is>
      </c>
      <c r="B497" s="1" t="n">
        <v>44379</v>
      </c>
      <c r="C497" s="1" t="n">
        <v>45723</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34249-2021</t>
        </is>
      </c>
      <c r="B498" s="1" t="n">
        <v>44379</v>
      </c>
      <c r="C498" s="1" t="n">
        <v>45723</v>
      </c>
      <c r="D498" t="inlineStr">
        <is>
          <t>UPPSALA LÄN</t>
        </is>
      </c>
      <c r="E498" t="inlineStr">
        <is>
          <t>UPPSALA</t>
        </is>
      </c>
      <c r="G498" t="n">
        <v>1.9</v>
      </c>
      <c r="H498" t="n">
        <v>0</v>
      </c>
      <c r="I498" t="n">
        <v>0</v>
      </c>
      <c r="J498" t="n">
        <v>0</v>
      </c>
      <c r="K498" t="n">
        <v>0</v>
      </c>
      <c r="L498" t="n">
        <v>0</v>
      </c>
      <c r="M498" t="n">
        <v>0</v>
      </c>
      <c r="N498" t="n">
        <v>0</v>
      </c>
      <c r="O498" t="n">
        <v>0</v>
      </c>
      <c r="P498" t="n">
        <v>0</v>
      </c>
      <c r="Q498" t="n">
        <v>0</v>
      </c>
      <c r="R498" s="2" t="inlineStr"/>
    </row>
    <row r="499" ht="15" customHeight="1">
      <c r="A499" t="inlineStr">
        <is>
          <t>A 34243-2021</t>
        </is>
      </c>
      <c r="B499" s="1" t="n">
        <v>44379</v>
      </c>
      <c r="C499" s="1" t="n">
        <v>45723</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34263-2021</t>
        </is>
      </c>
      <c r="B500" s="1" t="n">
        <v>44379</v>
      </c>
      <c r="C500" s="1" t="n">
        <v>45723</v>
      </c>
      <c r="D500" t="inlineStr">
        <is>
          <t>UPPSALA LÄN</t>
        </is>
      </c>
      <c r="E500" t="inlineStr">
        <is>
          <t>UPPSALA</t>
        </is>
      </c>
      <c r="G500" t="n">
        <v>5.8</v>
      </c>
      <c r="H500" t="n">
        <v>0</v>
      </c>
      <c r="I500" t="n">
        <v>0</v>
      </c>
      <c r="J500" t="n">
        <v>0</v>
      </c>
      <c r="K500" t="n">
        <v>0</v>
      </c>
      <c r="L500" t="n">
        <v>0</v>
      </c>
      <c r="M500" t="n">
        <v>0</v>
      </c>
      <c r="N500" t="n">
        <v>0</v>
      </c>
      <c r="O500" t="n">
        <v>0</v>
      </c>
      <c r="P500" t="n">
        <v>0</v>
      </c>
      <c r="Q500" t="n">
        <v>0</v>
      </c>
      <c r="R500" s="2" t="inlineStr"/>
    </row>
    <row r="501" ht="15" customHeight="1">
      <c r="A501" t="inlineStr">
        <is>
          <t>A 34838-2021</t>
        </is>
      </c>
      <c r="B501" s="1" t="n">
        <v>44383</v>
      </c>
      <c r="C501" s="1" t="n">
        <v>45723</v>
      </c>
      <c r="D501" t="inlineStr">
        <is>
          <t>UPPSALA LÄN</t>
        </is>
      </c>
      <c r="E501" t="inlineStr">
        <is>
          <t>UPPSALA</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34825-2021</t>
        </is>
      </c>
      <c r="B502" s="1" t="n">
        <v>44383</v>
      </c>
      <c r="C502" s="1" t="n">
        <v>45723</v>
      </c>
      <c r="D502" t="inlineStr">
        <is>
          <t>UPPSALA LÄN</t>
        </is>
      </c>
      <c r="E502" t="inlineStr">
        <is>
          <t>UPPSALA</t>
        </is>
      </c>
      <c r="F502" t="inlineStr">
        <is>
          <t>Bergvik skog öst AB</t>
        </is>
      </c>
      <c r="G502" t="n">
        <v>2.6</v>
      </c>
      <c r="H502" t="n">
        <v>0</v>
      </c>
      <c r="I502" t="n">
        <v>0</v>
      </c>
      <c r="J502" t="n">
        <v>0</v>
      </c>
      <c r="K502" t="n">
        <v>0</v>
      </c>
      <c r="L502" t="n">
        <v>0</v>
      </c>
      <c r="M502" t="n">
        <v>0</v>
      </c>
      <c r="N502" t="n">
        <v>0</v>
      </c>
      <c r="O502" t="n">
        <v>0</v>
      </c>
      <c r="P502" t="n">
        <v>0</v>
      </c>
      <c r="Q502" t="n">
        <v>0</v>
      </c>
      <c r="R502" s="2" t="inlineStr"/>
    </row>
    <row r="503" ht="15" customHeight="1">
      <c r="A503" t="inlineStr">
        <is>
          <t>A 35630-2021</t>
        </is>
      </c>
      <c r="B503" s="1" t="n">
        <v>44386</v>
      </c>
      <c r="C503" s="1" t="n">
        <v>45723</v>
      </c>
      <c r="D503" t="inlineStr">
        <is>
          <t>UPPSALA LÄN</t>
        </is>
      </c>
      <c r="E503" t="inlineStr">
        <is>
          <t>UPPSALA</t>
        </is>
      </c>
      <c r="G503" t="n">
        <v>6</v>
      </c>
      <c r="H503" t="n">
        <v>0</v>
      </c>
      <c r="I503" t="n">
        <v>0</v>
      </c>
      <c r="J503" t="n">
        <v>0</v>
      </c>
      <c r="K503" t="n">
        <v>0</v>
      </c>
      <c r="L503" t="n">
        <v>0</v>
      </c>
      <c r="M503" t="n">
        <v>0</v>
      </c>
      <c r="N503" t="n">
        <v>0</v>
      </c>
      <c r="O503" t="n">
        <v>0</v>
      </c>
      <c r="P503" t="n">
        <v>0</v>
      </c>
      <c r="Q503" t="n">
        <v>0</v>
      </c>
      <c r="R503" s="2" t="inlineStr"/>
    </row>
    <row r="504" ht="15" customHeight="1">
      <c r="A504" t="inlineStr">
        <is>
          <t>A 36304-2021</t>
        </is>
      </c>
      <c r="B504" s="1" t="n">
        <v>44390</v>
      </c>
      <c r="C504" s="1" t="n">
        <v>45723</v>
      </c>
      <c r="D504" t="inlineStr">
        <is>
          <t>UPPSALA LÄN</t>
        </is>
      </c>
      <c r="E504" t="inlineStr">
        <is>
          <t>UPPSALA</t>
        </is>
      </c>
      <c r="G504" t="n">
        <v>7.4</v>
      </c>
      <c r="H504" t="n">
        <v>0</v>
      </c>
      <c r="I504" t="n">
        <v>0</v>
      </c>
      <c r="J504" t="n">
        <v>0</v>
      </c>
      <c r="K504" t="n">
        <v>0</v>
      </c>
      <c r="L504" t="n">
        <v>0</v>
      </c>
      <c r="M504" t="n">
        <v>0</v>
      </c>
      <c r="N504" t="n">
        <v>0</v>
      </c>
      <c r="O504" t="n">
        <v>0</v>
      </c>
      <c r="P504" t="n">
        <v>0</v>
      </c>
      <c r="Q504" t="n">
        <v>0</v>
      </c>
      <c r="R504" s="2" t="inlineStr"/>
    </row>
    <row r="505" ht="15" customHeight="1">
      <c r="A505" t="inlineStr">
        <is>
          <t>A 36721-2021</t>
        </is>
      </c>
      <c r="B505" s="1" t="n">
        <v>44392</v>
      </c>
      <c r="C505" s="1" t="n">
        <v>45723</v>
      </c>
      <c r="D505" t="inlineStr">
        <is>
          <t>UPPSALA LÄN</t>
        </is>
      </c>
      <c r="E505" t="inlineStr">
        <is>
          <t>UPPSALA</t>
        </is>
      </c>
      <c r="F505" t="inlineStr">
        <is>
          <t>Bergvik skog öst AB</t>
        </is>
      </c>
      <c r="G505" t="n">
        <v>5.8</v>
      </c>
      <c r="H505" t="n">
        <v>0</v>
      </c>
      <c r="I505" t="n">
        <v>0</v>
      </c>
      <c r="J505" t="n">
        <v>0</v>
      </c>
      <c r="K505" t="n">
        <v>0</v>
      </c>
      <c r="L505" t="n">
        <v>0</v>
      </c>
      <c r="M505" t="n">
        <v>0</v>
      </c>
      <c r="N505" t="n">
        <v>0</v>
      </c>
      <c r="O505" t="n">
        <v>0</v>
      </c>
      <c r="P505" t="n">
        <v>0</v>
      </c>
      <c r="Q505" t="n">
        <v>0</v>
      </c>
      <c r="R505" s="2" t="inlineStr"/>
    </row>
    <row r="506" ht="15" customHeight="1">
      <c r="A506" t="inlineStr">
        <is>
          <t>A 36998-2021</t>
        </is>
      </c>
      <c r="B506" s="1" t="n">
        <v>44393</v>
      </c>
      <c r="C506" s="1" t="n">
        <v>45723</v>
      </c>
      <c r="D506" t="inlineStr">
        <is>
          <t>UPPSALA LÄN</t>
        </is>
      </c>
      <c r="E506" t="inlineStr">
        <is>
          <t>UPPSALA</t>
        </is>
      </c>
      <c r="F506" t="inlineStr">
        <is>
          <t>Bergvik skog öst AB</t>
        </is>
      </c>
      <c r="G506" t="n">
        <v>3.5</v>
      </c>
      <c r="H506" t="n">
        <v>0</v>
      </c>
      <c r="I506" t="n">
        <v>0</v>
      </c>
      <c r="J506" t="n">
        <v>0</v>
      </c>
      <c r="K506" t="n">
        <v>0</v>
      </c>
      <c r="L506" t="n">
        <v>0</v>
      </c>
      <c r="M506" t="n">
        <v>0</v>
      </c>
      <c r="N506" t="n">
        <v>0</v>
      </c>
      <c r="O506" t="n">
        <v>0</v>
      </c>
      <c r="P506" t="n">
        <v>0</v>
      </c>
      <c r="Q506" t="n">
        <v>0</v>
      </c>
      <c r="R506" s="2" t="inlineStr"/>
    </row>
    <row r="507" ht="15" customHeight="1">
      <c r="A507" t="inlineStr">
        <is>
          <t>A 37162-2021</t>
        </is>
      </c>
      <c r="B507" s="1" t="n">
        <v>44395</v>
      </c>
      <c r="C507" s="1" t="n">
        <v>45723</v>
      </c>
      <c r="D507" t="inlineStr">
        <is>
          <t>UPPSALA LÄN</t>
        </is>
      </c>
      <c r="E507" t="inlineStr">
        <is>
          <t>UPPSALA</t>
        </is>
      </c>
      <c r="G507" t="n">
        <v>3.5</v>
      </c>
      <c r="H507" t="n">
        <v>0</v>
      </c>
      <c r="I507" t="n">
        <v>0</v>
      </c>
      <c r="J507" t="n">
        <v>0</v>
      </c>
      <c r="K507" t="n">
        <v>0</v>
      </c>
      <c r="L507" t="n">
        <v>0</v>
      </c>
      <c r="M507" t="n">
        <v>0</v>
      </c>
      <c r="N507" t="n">
        <v>0</v>
      </c>
      <c r="O507" t="n">
        <v>0</v>
      </c>
      <c r="P507" t="n">
        <v>0</v>
      </c>
      <c r="Q507" t="n">
        <v>0</v>
      </c>
      <c r="R507" s="2" t="inlineStr"/>
    </row>
    <row r="508" ht="15" customHeight="1">
      <c r="A508" t="inlineStr">
        <is>
          <t>A 37763-2021</t>
        </is>
      </c>
      <c r="B508" s="1" t="n">
        <v>44400</v>
      </c>
      <c r="C508" s="1" t="n">
        <v>45723</v>
      </c>
      <c r="D508" t="inlineStr">
        <is>
          <t>UPPSALA LÄN</t>
        </is>
      </c>
      <c r="E508" t="inlineStr">
        <is>
          <t>UPPSALA</t>
        </is>
      </c>
      <c r="F508" t="inlineStr">
        <is>
          <t>Bergvik skog öst AB</t>
        </is>
      </c>
      <c r="G508" t="n">
        <v>1</v>
      </c>
      <c r="H508" t="n">
        <v>0</v>
      </c>
      <c r="I508" t="n">
        <v>0</v>
      </c>
      <c r="J508" t="n">
        <v>0</v>
      </c>
      <c r="K508" t="n">
        <v>0</v>
      </c>
      <c r="L508" t="n">
        <v>0</v>
      </c>
      <c r="M508" t="n">
        <v>0</v>
      </c>
      <c r="N508" t="n">
        <v>0</v>
      </c>
      <c r="O508" t="n">
        <v>0</v>
      </c>
      <c r="P508" t="n">
        <v>0</v>
      </c>
      <c r="Q508" t="n">
        <v>0</v>
      </c>
      <c r="R508" s="2" t="inlineStr"/>
    </row>
    <row r="509" ht="15" customHeight="1">
      <c r="A509" t="inlineStr">
        <is>
          <t>A 37819-2021</t>
        </is>
      </c>
      <c r="B509" s="1" t="n">
        <v>44403</v>
      </c>
      <c r="C509" s="1" t="n">
        <v>45723</v>
      </c>
      <c r="D509" t="inlineStr">
        <is>
          <t>UPPSALA LÄN</t>
        </is>
      </c>
      <c r="E509" t="inlineStr">
        <is>
          <t>UPPSALA</t>
        </is>
      </c>
      <c r="F509" t="inlineStr">
        <is>
          <t>Bergvik skog öst AB</t>
        </is>
      </c>
      <c r="G509" t="n">
        <v>1.1</v>
      </c>
      <c r="H509" t="n">
        <v>0</v>
      </c>
      <c r="I509" t="n">
        <v>0</v>
      </c>
      <c r="J509" t="n">
        <v>0</v>
      </c>
      <c r="K509" t="n">
        <v>0</v>
      </c>
      <c r="L509" t="n">
        <v>0</v>
      </c>
      <c r="M509" t="n">
        <v>0</v>
      </c>
      <c r="N509" t="n">
        <v>0</v>
      </c>
      <c r="O509" t="n">
        <v>0</v>
      </c>
      <c r="P509" t="n">
        <v>0</v>
      </c>
      <c r="Q509" t="n">
        <v>0</v>
      </c>
      <c r="R509" s="2" t="inlineStr"/>
    </row>
    <row r="510" ht="15" customHeight="1">
      <c r="A510" t="inlineStr">
        <is>
          <t>A 37820-2021</t>
        </is>
      </c>
      <c r="B510" s="1" t="n">
        <v>44403</v>
      </c>
      <c r="C510" s="1" t="n">
        <v>45723</v>
      </c>
      <c r="D510" t="inlineStr">
        <is>
          <t>UPPSALA LÄN</t>
        </is>
      </c>
      <c r="E510" t="inlineStr">
        <is>
          <t>UPPSALA</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38469-2021</t>
        </is>
      </c>
      <c r="B511" s="1" t="n">
        <v>44407</v>
      </c>
      <c r="C511" s="1" t="n">
        <v>45723</v>
      </c>
      <c r="D511" t="inlineStr">
        <is>
          <t>UPPSALA LÄN</t>
        </is>
      </c>
      <c r="E511" t="inlineStr">
        <is>
          <t>UPPSALA</t>
        </is>
      </c>
      <c r="F511" t="inlineStr">
        <is>
          <t>Bergvik skog öst AB</t>
        </is>
      </c>
      <c r="G511" t="n">
        <v>1.5</v>
      </c>
      <c r="H511" t="n">
        <v>0</v>
      </c>
      <c r="I511" t="n">
        <v>0</v>
      </c>
      <c r="J511" t="n">
        <v>0</v>
      </c>
      <c r="K511" t="n">
        <v>0</v>
      </c>
      <c r="L511" t="n">
        <v>0</v>
      </c>
      <c r="M511" t="n">
        <v>0</v>
      </c>
      <c r="N511" t="n">
        <v>0</v>
      </c>
      <c r="O511" t="n">
        <v>0</v>
      </c>
      <c r="P511" t="n">
        <v>0</v>
      </c>
      <c r="Q511" t="n">
        <v>0</v>
      </c>
      <c r="R511" s="2" t="inlineStr"/>
    </row>
    <row r="512" ht="15" customHeight="1">
      <c r="A512" t="inlineStr">
        <is>
          <t>A 38463-2021</t>
        </is>
      </c>
      <c r="B512" s="1" t="n">
        <v>44407</v>
      </c>
      <c r="C512" s="1" t="n">
        <v>45723</v>
      </c>
      <c r="D512" t="inlineStr">
        <is>
          <t>UPPSALA LÄN</t>
        </is>
      </c>
      <c r="E512" t="inlineStr">
        <is>
          <t>UPPSALA</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40500-2021</t>
        </is>
      </c>
      <c r="B513" s="1" t="n">
        <v>44420</v>
      </c>
      <c r="C513" s="1" t="n">
        <v>45723</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40507-2021</t>
        </is>
      </c>
      <c r="B514" s="1" t="n">
        <v>44420</v>
      </c>
      <c r="C514" s="1" t="n">
        <v>45723</v>
      </c>
      <c r="D514" t="inlineStr">
        <is>
          <t>UPPSALA LÄN</t>
        </is>
      </c>
      <c r="E514" t="inlineStr">
        <is>
          <t>UPPSALA</t>
        </is>
      </c>
      <c r="G514" t="n">
        <v>1.1</v>
      </c>
      <c r="H514" t="n">
        <v>0</v>
      </c>
      <c r="I514" t="n">
        <v>0</v>
      </c>
      <c r="J514" t="n">
        <v>0</v>
      </c>
      <c r="K514" t="n">
        <v>0</v>
      </c>
      <c r="L514" t="n">
        <v>0</v>
      </c>
      <c r="M514" t="n">
        <v>0</v>
      </c>
      <c r="N514" t="n">
        <v>0</v>
      </c>
      <c r="O514" t="n">
        <v>0</v>
      </c>
      <c r="P514" t="n">
        <v>0</v>
      </c>
      <c r="Q514" t="n">
        <v>0</v>
      </c>
      <c r="R514" s="2" t="inlineStr"/>
    </row>
    <row r="515" ht="15" customHeight="1">
      <c r="A515" t="inlineStr">
        <is>
          <t>A 42124-2021</t>
        </is>
      </c>
      <c r="B515" s="1" t="n">
        <v>44426</v>
      </c>
      <c r="C515" s="1" t="n">
        <v>45723</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42294-2021</t>
        </is>
      </c>
      <c r="B516" s="1" t="n">
        <v>44427</v>
      </c>
      <c r="C516" s="1" t="n">
        <v>45723</v>
      </c>
      <c r="D516" t="inlineStr">
        <is>
          <t>UPPSALA LÄN</t>
        </is>
      </c>
      <c r="E516" t="inlineStr">
        <is>
          <t>UPPSALA</t>
        </is>
      </c>
      <c r="G516" t="n">
        <v>1.6</v>
      </c>
      <c r="H516" t="n">
        <v>0</v>
      </c>
      <c r="I516" t="n">
        <v>0</v>
      </c>
      <c r="J516" t="n">
        <v>0</v>
      </c>
      <c r="K516" t="n">
        <v>0</v>
      </c>
      <c r="L516" t="n">
        <v>0</v>
      </c>
      <c r="M516" t="n">
        <v>0</v>
      </c>
      <c r="N516" t="n">
        <v>0</v>
      </c>
      <c r="O516" t="n">
        <v>0</v>
      </c>
      <c r="P516" t="n">
        <v>0</v>
      </c>
      <c r="Q516" t="n">
        <v>0</v>
      </c>
      <c r="R516" s="2" t="inlineStr"/>
    </row>
    <row r="517" ht="15" customHeight="1">
      <c r="A517" t="inlineStr">
        <is>
          <t>A 44315-2021</t>
        </is>
      </c>
      <c r="B517" s="1" t="n">
        <v>44435</v>
      </c>
      <c r="C517" s="1" t="n">
        <v>45723</v>
      </c>
      <c r="D517" t="inlineStr">
        <is>
          <t>UPPSALA LÄN</t>
        </is>
      </c>
      <c r="E517" t="inlineStr">
        <is>
          <t>UPPSALA</t>
        </is>
      </c>
      <c r="G517" t="n">
        <v>5.2</v>
      </c>
      <c r="H517" t="n">
        <v>0</v>
      </c>
      <c r="I517" t="n">
        <v>0</v>
      </c>
      <c r="J517" t="n">
        <v>0</v>
      </c>
      <c r="K517" t="n">
        <v>0</v>
      </c>
      <c r="L517" t="n">
        <v>0</v>
      </c>
      <c r="M517" t="n">
        <v>0</v>
      </c>
      <c r="N517" t="n">
        <v>0</v>
      </c>
      <c r="O517" t="n">
        <v>0</v>
      </c>
      <c r="P517" t="n">
        <v>0</v>
      </c>
      <c r="Q517" t="n">
        <v>0</v>
      </c>
      <c r="R517" s="2" t="inlineStr"/>
    </row>
    <row r="518" ht="15" customHeight="1">
      <c r="A518" t="inlineStr">
        <is>
          <t>A 44781-2021</t>
        </is>
      </c>
      <c r="B518" s="1" t="n">
        <v>44438</v>
      </c>
      <c r="C518" s="1" t="n">
        <v>45723</v>
      </c>
      <c r="D518" t="inlineStr">
        <is>
          <t>UPPSALA LÄN</t>
        </is>
      </c>
      <c r="E518" t="inlineStr">
        <is>
          <t>UPPSALA</t>
        </is>
      </c>
      <c r="F518" t="inlineStr">
        <is>
          <t>Sveaskog</t>
        </is>
      </c>
      <c r="G518" t="n">
        <v>0.1</v>
      </c>
      <c r="H518" t="n">
        <v>0</v>
      </c>
      <c r="I518" t="n">
        <v>0</v>
      </c>
      <c r="J518" t="n">
        <v>0</v>
      </c>
      <c r="K518" t="n">
        <v>0</v>
      </c>
      <c r="L518" t="n">
        <v>0</v>
      </c>
      <c r="M518" t="n">
        <v>0</v>
      </c>
      <c r="N518" t="n">
        <v>0</v>
      </c>
      <c r="O518" t="n">
        <v>0</v>
      </c>
      <c r="P518" t="n">
        <v>0</v>
      </c>
      <c r="Q518" t="n">
        <v>0</v>
      </c>
      <c r="R518" s="2" t="inlineStr"/>
    </row>
    <row r="519" ht="15" customHeight="1">
      <c r="A519" t="inlineStr">
        <is>
          <t>A 46097-2021</t>
        </is>
      </c>
      <c r="B519" s="1" t="n">
        <v>44442</v>
      </c>
      <c r="C519" s="1" t="n">
        <v>45723</v>
      </c>
      <c r="D519" t="inlineStr">
        <is>
          <t>UPPSALA LÄN</t>
        </is>
      </c>
      <c r="E519" t="inlineStr">
        <is>
          <t>UPPSALA</t>
        </is>
      </c>
      <c r="G519" t="n">
        <v>0.5</v>
      </c>
      <c r="H519" t="n">
        <v>0</v>
      </c>
      <c r="I519" t="n">
        <v>0</v>
      </c>
      <c r="J519" t="n">
        <v>0</v>
      </c>
      <c r="K519" t="n">
        <v>0</v>
      </c>
      <c r="L519" t="n">
        <v>0</v>
      </c>
      <c r="M519" t="n">
        <v>0</v>
      </c>
      <c r="N519" t="n">
        <v>0</v>
      </c>
      <c r="O519" t="n">
        <v>0</v>
      </c>
      <c r="P519" t="n">
        <v>0</v>
      </c>
      <c r="Q519" t="n">
        <v>0</v>
      </c>
      <c r="R519" s="2" t="inlineStr"/>
    </row>
    <row r="520" ht="15" customHeight="1">
      <c r="A520" t="inlineStr">
        <is>
          <t>A 46099-2021</t>
        </is>
      </c>
      <c r="B520" s="1" t="n">
        <v>44442</v>
      </c>
      <c r="C520" s="1" t="n">
        <v>45723</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46553-2021</t>
        </is>
      </c>
      <c r="B521" s="1" t="n">
        <v>44445</v>
      </c>
      <c r="C521" s="1" t="n">
        <v>45723</v>
      </c>
      <c r="D521" t="inlineStr">
        <is>
          <t>UPPSALA LÄN</t>
        </is>
      </c>
      <c r="E521" t="inlineStr">
        <is>
          <t>UPPSALA</t>
        </is>
      </c>
      <c r="G521" t="n">
        <v>0.8</v>
      </c>
      <c r="H521" t="n">
        <v>0</v>
      </c>
      <c r="I521" t="n">
        <v>0</v>
      </c>
      <c r="J521" t="n">
        <v>0</v>
      </c>
      <c r="K521" t="n">
        <v>0</v>
      </c>
      <c r="L521" t="n">
        <v>0</v>
      </c>
      <c r="M521" t="n">
        <v>0</v>
      </c>
      <c r="N521" t="n">
        <v>0</v>
      </c>
      <c r="O521" t="n">
        <v>0</v>
      </c>
      <c r="P521" t="n">
        <v>0</v>
      </c>
      <c r="Q521" t="n">
        <v>0</v>
      </c>
      <c r="R521" s="2" t="inlineStr"/>
    </row>
    <row r="522" ht="15" customHeight="1">
      <c r="A522" t="inlineStr">
        <is>
          <t>A 46920-2021</t>
        </is>
      </c>
      <c r="B522" s="1" t="n">
        <v>44446</v>
      </c>
      <c r="C522" s="1" t="n">
        <v>45723</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46916-2021</t>
        </is>
      </c>
      <c r="B523" s="1" t="n">
        <v>44446</v>
      </c>
      <c r="C523" s="1" t="n">
        <v>45723</v>
      </c>
      <c r="D523" t="inlineStr">
        <is>
          <t>UPPSALA LÄN</t>
        </is>
      </c>
      <c r="E523" t="inlineStr">
        <is>
          <t>UPPSALA</t>
        </is>
      </c>
      <c r="G523" t="n">
        <v>2.2</v>
      </c>
      <c r="H523" t="n">
        <v>0</v>
      </c>
      <c r="I523" t="n">
        <v>0</v>
      </c>
      <c r="J523" t="n">
        <v>0</v>
      </c>
      <c r="K523" t="n">
        <v>0</v>
      </c>
      <c r="L523" t="n">
        <v>0</v>
      </c>
      <c r="M523" t="n">
        <v>0</v>
      </c>
      <c r="N523" t="n">
        <v>0</v>
      </c>
      <c r="O523" t="n">
        <v>0</v>
      </c>
      <c r="P523" t="n">
        <v>0</v>
      </c>
      <c r="Q523" t="n">
        <v>0</v>
      </c>
      <c r="R523" s="2" t="inlineStr"/>
    </row>
    <row r="524" ht="15" customHeight="1">
      <c r="A524" t="inlineStr">
        <is>
          <t>A 47367-2021</t>
        </is>
      </c>
      <c r="B524" s="1" t="n">
        <v>44447</v>
      </c>
      <c r="C524" s="1" t="n">
        <v>45723</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48918-2021</t>
        </is>
      </c>
      <c r="B525" s="1" t="n">
        <v>44453</v>
      </c>
      <c r="C525" s="1" t="n">
        <v>45723</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49274-2021</t>
        </is>
      </c>
      <c r="B526" s="1" t="n">
        <v>44454</v>
      </c>
      <c r="C526" s="1" t="n">
        <v>45723</v>
      </c>
      <c r="D526" t="inlineStr">
        <is>
          <t>UPPSALA LÄN</t>
        </is>
      </c>
      <c r="E526" t="inlineStr">
        <is>
          <t>UPPSALA</t>
        </is>
      </c>
      <c r="G526" t="n">
        <v>8.5</v>
      </c>
      <c r="H526" t="n">
        <v>0</v>
      </c>
      <c r="I526" t="n">
        <v>0</v>
      </c>
      <c r="J526" t="n">
        <v>0</v>
      </c>
      <c r="K526" t="n">
        <v>0</v>
      </c>
      <c r="L526" t="n">
        <v>0</v>
      </c>
      <c r="M526" t="n">
        <v>0</v>
      </c>
      <c r="N526" t="n">
        <v>0</v>
      </c>
      <c r="O526" t="n">
        <v>0</v>
      </c>
      <c r="P526" t="n">
        <v>0</v>
      </c>
      <c r="Q526" t="n">
        <v>0</v>
      </c>
      <c r="R526" s="2" t="inlineStr"/>
    </row>
    <row r="527" ht="15" customHeight="1">
      <c r="A527" t="inlineStr">
        <is>
          <t>A 51050-2021</t>
        </is>
      </c>
      <c r="B527" s="1" t="n">
        <v>44459</v>
      </c>
      <c r="C527" s="1" t="n">
        <v>45723</v>
      </c>
      <c r="D527" t="inlineStr">
        <is>
          <t>UPPSALA LÄN</t>
        </is>
      </c>
      <c r="E527" t="inlineStr">
        <is>
          <t>UPPSALA</t>
        </is>
      </c>
      <c r="F527" t="inlineStr">
        <is>
          <t>Övriga Aktiebolag</t>
        </is>
      </c>
      <c r="G527" t="n">
        <v>7.5</v>
      </c>
      <c r="H527" t="n">
        <v>0</v>
      </c>
      <c r="I527" t="n">
        <v>0</v>
      </c>
      <c r="J527" t="n">
        <v>0</v>
      </c>
      <c r="K527" t="n">
        <v>0</v>
      </c>
      <c r="L527" t="n">
        <v>0</v>
      </c>
      <c r="M527" t="n">
        <v>0</v>
      </c>
      <c r="N527" t="n">
        <v>0</v>
      </c>
      <c r="O527" t="n">
        <v>0</v>
      </c>
      <c r="P527" t="n">
        <v>0</v>
      </c>
      <c r="Q527" t="n">
        <v>0</v>
      </c>
      <c r="R527" s="2" t="inlineStr"/>
    </row>
    <row r="528" ht="15" customHeight="1">
      <c r="A528" t="inlineStr">
        <is>
          <t>A 51821-2021</t>
        </is>
      </c>
      <c r="B528" s="1" t="n">
        <v>44461</v>
      </c>
      <c r="C528" s="1" t="n">
        <v>45723</v>
      </c>
      <c r="D528" t="inlineStr">
        <is>
          <t>UPPSALA LÄN</t>
        </is>
      </c>
      <c r="E528" t="inlineStr">
        <is>
          <t>UPPSALA</t>
        </is>
      </c>
      <c r="F528" t="inlineStr">
        <is>
          <t>Övriga Aktiebolag</t>
        </is>
      </c>
      <c r="G528" t="n">
        <v>5.3</v>
      </c>
      <c r="H528" t="n">
        <v>0</v>
      </c>
      <c r="I528" t="n">
        <v>0</v>
      </c>
      <c r="J528" t="n">
        <v>0</v>
      </c>
      <c r="K528" t="n">
        <v>0</v>
      </c>
      <c r="L528" t="n">
        <v>0</v>
      </c>
      <c r="M528" t="n">
        <v>0</v>
      </c>
      <c r="N528" t="n">
        <v>0</v>
      </c>
      <c r="O528" t="n">
        <v>0</v>
      </c>
      <c r="P528" t="n">
        <v>0</v>
      </c>
      <c r="Q528" t="n">
        <v>0</v>
      </c>
      <c r="R528" s="2" t="inlineStr"/>
    </row>
    <row r="529" ht="15" customHeight="1">
      <c r="A529" t="inlineStr">
        <is>
          <t>A 51396-2021</t>
        </is>
      </c>
      <c r="B529" s="1" t="n">
        <v>44461</v>
      </c>
      <c r="C529" s="1" t="n">
        <v>45723</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52083-2021</t>
        </is>
      </c>
      <c r="B530" s="1" t="n">
        <v>44463</v>
      </c>
      <c r="C530" s="1" t="n">
        <v>45723</v>
      </c>
      <c r="D530" t="inlineStr">
        <is>
          <t>UPPSALA LÄN</t>
        </is>
      </c>
      <c r="E530" t="inlineStr">
        <is>
          <t>UPPSALA</t>
        </is>
      </c>
      <c r="G530" t="n">
        <v>3.6</v>
      </c>
      <c r="H530" t="n">
        <v>0</v>
      </c>
      <c r="I530" t="n">
        <v>0</v>
      </c>
      <c r="J530" t="n">
        <v>0</v>
      </c>
      <c r="K530" t="n">
        <v>0</v>
      </c>
      <c r="L530" t="n">
        <v>0</v>
      </c>
      <c r="M530" t="n">
        <v>0</v>
      </c>
      <c r="N530" t="n">
        <v>0</v>
      </c>
      <c r="O530" t="n">
        <v>0</v>
      </c>
      <c r="P530" t="n">
        <v>0</v>
      </c>
      <c r="Q530" t="n">
        <v>0</v>
      </c>
      <c r="R530" s="2" t="inlineStr"/>
    </row>
    <row r="531" ht="15" customHeight="1">
      <c r="A531" t="inlineStr">
        <is>
          <t>A 54168-2021</t>
        </is>
      </c>
      <c r="B531" s="1" t="n">
        <v>44470</v>
      </c>
      <c r="C531" s="1" t="n">
        <v>45723</v>
      </c>
      <c r="D531" t="inlineStr">
        <is>
          <t>UPPSALA LÄN</t>
        </is>
      </c>
      <c r="E531" t="inlineStr">
        <is>
          <t>UPPSALA</t>
        </is>
      </c>
      <c r="G531" t="n">
        <v>7.5</v>
      </c>
      <c r="H531" t="n">
        <v>0</v>
      </c>
      <c r="I531" t="n">
        <v>0</v>
      </c>
      <c r="J531" t="n">
        <v>0</v>
      </c>
      <c r="K531" t="n">
        <v>0</v>
      </c>
      <c r="L531" t="n">
        <v>0</v>
      </c>
      <c r="M531" t="n">
        <v>0</v>
      </c>
      <c r="N531" t="n">
        <v>0</v>
      </c>
      <c r="O531" t="n">
        <v>0</v>
      </c>
      <c r="P531" t="n">
        <v>0</v>
      </c>
      <c r="Q531" t="n">
        <v>0</v>
      </c>
      <c r="R531" s="2" t="inlineStr"/>
    </row>
    <row r="532" ht="15" customHeight="1">
      <c r="A532" t="inlineStr">
        <is>
          <t>A 55823-2021</t>
        </is>
      </c>
      <c r="B532" s="1" t="n">
        <v>44476</v>
      </c>
      <c r="C532" s="1" t="n">
        <v>45723</v>
      </c>
      <c r="D532" t="inlineStr">
        <is>
          <t>UPPSALA LÄN</t>
        </is>
      </c>
      <c r="E532" t="inlineStr">
        <is>
          <t>UPPSALA</t>
        </is>
      </c>
      <c r="G532" t="n">
        <v>0.9</v>
      </c>
      <c r="H532" t="n">
        <v>0</v>
      </c>
      <c r="I532" t="n">
        <v>0</v>
      </c>
      <c r="J532" t="n">
        <v>0</v>
      </c>
      <c r="K532" t="n">
        <v>0</v>
      </c>
      <c r="L532" t="n">
        <v>0</v>
      </c>
      <c r="M532" t="n">
        <v>0</v>
      </c>
      <c r="N532" t="n">
        <v>0</v>
      </c>
      <c r="O532" t="n">
        <v>0</v>
      </c>
      <c r="P532" t="n">
        <v>0</v>
      </c>
      <c r="Q532" t="n">
        <v>0</v>
      </c>
      <c r="R532" s="2" t="inlineStr"/>
    </row>
    <row r="533" ht="15" customHeight="1">
      <c r="A533" t="inlineStr">
        <is>
          <t>A 56042-2021</t>
        </is>
      </c>
      <c r="B533" s="1" t="n">
        <v>44477</v>
      </c>
      <c r="C533" s="1" t="n">
        <v>45723</v>
      </c>
      <c r="D533" t="inlineStr">
        <is>
          <t>UPPSALA LÄN</t>
        </is>
      </c>
      <c r="E533" t="inlineStr">
        <is>
          <t>UPPSALA</t>
        </is>
      </c>
      <c r="G533" t="n">
        <v>1.1</v>
      </c>
      <c r="H533" t="n">
        <v>0</v>
      </c>
      <c r="I533" t="n">
        <v>0</v>
      </c>
      <c r="J533" t="n">
        <v>0</v>
      </c>
      <c r="K533" t="n">
        <v>0</v>
      </c>
      <c r="L533" t="n">
        <v>0</v>
      </c>
      <c r="M533" t="n">
        <v>0</v>
      </c>
      <c r="N533" t="n">
        <v>0</v>
      </c>
      <c r="O533" t="n">
        <v>0</v>
      </c>
      <c r="P533" t="n">
        <v>0</v>
      </c>
      <c r="Q533" t="n">
        <v>0</v>
      </c>
      <c r="R533" s="2" t="inlineStr"/>
    </row>
    <row r="534" ht="15" customHeight="1">
      <c r="A534" t="inlineStr">
        <is>
          <t>A 56049-2021</t>
        </is>
      </c>
      <c r="B534" s="1" t="n">
        <v>44477</v>
      </c>
      <c r="C534" s="1" t="n">
        <v>45723</v>
      </c>
      <c r="D534" t="inlineStr">
        <is>
          <t>UPPSALA LÄN</t>
        </is>
      </c>
      <c r="E534" t="inlineStr">
        <is>
          <t>UPPSALA</t>
        </is>
      </c>
      <c r="G534" t="n">
        <v>1.4</v>
      </c>
      <c r="H534" t="n">
        <v>0</v>
      </c>
      <c r="I534" t="n">
        <v>0</v>
      </c>
      <c r="J534" t="n">
        <v>0</v>
      </c>
      <c r="K534" t="n">
        <v>0</v>
      </c>
      <c r="L534" t="n">
        <v>0</v>
      </c>
      <c r="M534" t="n">
        <v>0</v>
      </c>
      <c r="N534" t="n">
        <v>0</v>
      </c>
      <c r="O534" t="n">
        <v>0</v>
      </c>
      <c r="P534" t="n">
        <v>0</v>
      </c>
      <c r="Q534" t="n">
        <v>0</v>
      </c>
      <c r="R534" s="2" t="inlineStr"/>
    </row>
    <row r="535" ht="15" customHeight="1">
      <c r="A535" t="inlineStr">
        <is>
          <t>A 56463-2021</t>
        </is>
      </c>
      <c r="B535" s="1" t="n">
        <v>44479</v>
      </c>
      <c r="C535" s="1" t="n">
        <v>45723</v>
      </c>
      <c r="D535" t="inlineStr">
        <is>
          <t>UPPSALA LÄN</t>
        </is>
      </c>
      <c r="E535" t="inlineStr">
        <is>
          <t>UPPSALA</t>
        </is>
      </c>
      <c r="G535" t="n">
        <v>6.4</v>
      </c>
      <c r="H535" t="n">
        <v>0</v>
      </c>
      <c r="I535" t="n">
        <v>0</v>
      </c>
      <c r="J535" t="n">
        <v>0</v>
      </c>
      <c r="K535" t="n">
        <v>0</v>
      </c>
      <c r="L535" t="n">
        <v>0</v>
      </c>
      <c r="M535" t="n">
        <v>0</v>
      </c>
      <c r="N535" t="n">
        <v>0</v>
      </c>
      <c r="O535" t="n">
        <v>0</v>
      </c>
      <c r="P535" t="n">
        <v>0</v>
      </c>
      <c r="Q535" t="n">
        <v>0</v>
      </c>
      <c r="R535" s="2" t="inlineStr"/>
    </row>
    <row r="536" ht="15" customHeight="1">
      <c r="A536" t="inlineStr">
        <is>
          <t>A 56769-2021</t>
        </is>
      </c>
      <c r="B536" s="1" t="n">
        <v>44481</v>
      </c>
      <c r="C536" s="1" t="n">
        <v>45723</v>
      </c>
      <c r="D536" t="inlineStr">
        <is>
          <t>UPPSALA LÄN</t>
        </is>
      </c>
      <c r="E536" t="inlineStr">
        <is>
          <t>UPPSALA</t>
        </is>
      </c>
      <c r="G536" t="n">
        <v>3.8</v>
      </c>
      <c r="H536" t="n">
        <v>0</v>
      </c>
      <c r="I536" t="n">
        <v>0</v>
      </c>
      <c r="J536" t="n">
        <v>0</v>
      </c>
      <c r="K536" t="n">
        <v>0</v>
      </c>
      <c r="L536" t="n">
        <v>0</v>
      </c>
      <c r="M536" t="n">
        <v>0</v>
      </c>
      <c r="N536" t="n">
        <v>0</v>
      </c>
      <c r="O536" t="n">
        <v>0</v>
      </c>
      <c r="P536" t="n">
        <v>0</v>
      </c>
      <c r="Q536" t="n">
        <v>0</v>
      </c>
      <c r="R536" s="2" t="inlineStr"/>
    </row>
    <row r="537" ht="15" customHeight="1">
      <c r="A537" t="inlineStr">
        <is>
          <t>A 57647-2021</t>
        </is>
      </c>
      <c r="B537" s="1" t="n">
        <v>44484</v>
      </c>
      <c r="C537" s="1" t="n">
        <v>45723</v>
      </c>
      <c r="D537" t="inlineStr">
        <is>
          <t>UPPSALA LÄN</t>
        </is>
      </c>
      <c r="E537" t="inlineStr">
        <is>
          <t>UPPSALA</t>
        </is>
      </c>
      <c r="G537" t="n">
        <v>2.3</v>
      </c>
      <c r="H537" t="n">
        <v>0</v>
      </c>
      <c r="I537" t="n">
        <v>0</v>
      </c>
      <c r="J537" t="n">
        <v>0</v>
      </c>
      <c r="K537" t="n">
        <v>0</v>
      </c>
      <c r="L537" t="n">
        <v>0</v>
      </c>
      <c r="M537" t="n">
        <v>0</v>
      </c>
      <c r="N537" t="n">
        <v>0</v>
      </c>
      <c r="O537" t="n">
        <v>0</v>
      </c>
      <c r="P537" t="n">
        <v>0</v>
      </c>
      <c r="Q537" t="n">
        <v>0</v>
      </c>
      <c r="R537" s="2" t="inlineStr"/>
    </row>
    <row r="538" ht="15" customHeight="1">
      <c r="A538" t="inlineStr">
        <is>
          <t>A 57890-2021</t>
        </is>
      </c>
      <c r="B538" s="1" t="n">
        <v>44486</v>
      </c>
      <c r="C538" s="1" t="n">
        <v>45723</v>
      </c>
      <c r="D538" t="inlineStr">
        <is>
          <t>UPPSALA LÄN</t>
        </is>
      </c>
      <c r="E538" t="inlineStr">
        <is>
          <t>UPPSALA</t>
        </is>
      </c>
      <c r="G538" t="n">
        <v>0.8</v>
      </c>
      <c r="H538" t="n">
        <v>0</v>
      </c>
      <c r="I538" t="n">
        <v>0</v>
      </c>
      <c r="J538" t="n">
        <v>0</v>
      </c>
      <c r="K538" t="n">
        <v>0</v>
      </c>
      <c r="L538" t="n">
        <v>0</v>
      </c>
      <c r="M538" t="n">
        <v>0</v>
      </c>
      <c r="N538" t="n">
        <v>0</v>
      </c>
      <c r="O538" t="n">
        <v>0</v>
      </c>
      <c r="P538" t="n">
        <v>0</v>
      </c>
      <c r="Q538" t="n">
        <v>0</v>
      </c>
      <c r="R538" s="2" t="inlineStr"/>
    </row>
    <row r="539" ht="15" customHeight="1">
      <c r="A539" t="inlineStr">
        <is>
          <t>A 58767-2021</t>
        </is>
      </c>
      <c r="B539" s="1" t="n">
        <v>44489</v>
      </c>
      <c r="C539" s="1" t="n">
        <v>45723</v>
      </c>
      <c r="D539" t="inlineStr">
        <is>
          <t>UPPSALA LÄN</t>
        </is>
      </c>
      <c r="E539" t="inlineStr">
        <is>
          <t>UPPSALA</t>
        </is>
      </c>
      <c r="G539" t="n">
        <v>4.8</v>
      </c>
      <c r="H539" t="n">
        <v>0</v>
      </c>
      <c r="I539" t="n">
        <v>0</v>
      </c>
      <c r="J539" t="n">
        <v>0</v>
      </c>
      <c r="K539" t="n">
        <v>0</v>
      </c>
      <c r="L539" t="n">
        <v>0</v>
      </c>
      <c r="M539" t="n">
        <v>0</v>
      </c>
      <c r="N539" t="n">
        <v>0</v>
      </c>
      <c r="O539" t="n">
        <v>0</v>
      </c>
      <c r="P539" t="n">
        <v>0</v>
      </c>
      <c r="Q539" t="n">
        <v>0</v>
      </c>
      <c r="R539" s="2" t="inlineStr"/>
    </row>
    <row r="540" ht="15" customHeight="1">
      <c r="A540" t="inlineStr">
        <is>
          <t>A 58897-2021</t>
        </is>
      </c>
      <c r="B540" s="1" t="n">
        <v>44489</v>
      </c>
      <c r="C540" s="1" t="n">
        <v>45723</v>
      </c>
      <c r="D540" t="inlineStr">
        <is>
          <t>UPPSALA LÄN</t>
        </is>
      </c>
      <c r="E540" t="inlineStr">
        <is>
          <t>UPPSALA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59241-2021</t>
        </is>
      </c>
      <c r="B541" s="1" t="n">
        <v>44490</v>
      </c>
      <c r="C541" s="1" t="n">
        <v>45723</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59484-2021</t>
        </is>
      </c>
      <c r="B542" s="1" t="n">
        <v>44491</v>
      </c>
      <c r="C542" s="1" t="n">
        <v>45723</v>
      </c>
      <c r="D542" t="inlineStr">
        <is>
          <t>UPPSALA LÄN</t>
        </is>
      </c>
      <c r="E542" t="inlineStr">
        <is>
          <t>UPPSALA</t>
        </is>
      </c>
      <c r="F542" t="inlineStr">
        <is>
          <t>Bergvik skog öst AB</t>
        </is>
      </c>
      <c r="G542" t="n">
        <v>1.2</v>
      </c>
      <c r="H542" t="n">
        <v>0</v>
      </c>
      <c r="I542" t="n">
        <v>0</v>
      </c>
      <c r="J542" t="n">
        <v>0</v>
      </c>
      <c r="K542" t="n">
        <v>0</v>
      </c>
      <c r="L542" t="n">
        <v>0</v>
      </c>
      <c r="M542" t="n">
        <v>0</v>
      </c>
      <c r="N542" t="n">
        <v>0</v>
      </c>
      <c r="O542" t="n">
        <v>0</v>
      </c>
      <c r="P542" t="n">
        <v>0</v>
      </c>
      <c r="Q542" t="n">
        <v>0</v>
      </c>
      <c r="R542" s="2" t="inlineStr"/>
    </row>
    <row r="543" ht="15" customHeight="1">
      <c r="A543" t="inlineStr">
        <is>
          <t>A 59500-2021</t>
        </is>
      </c>
      <c r="B543" s="1" t="n">
        <v>44491</v>
      </c>
      <c r="C543" s="1" t="n">
        <v>45723</v>
      </c>
      <c r="D543" t="inlineStr">
        <is>
          <t>UPPSALA LÄN</t>
        </is>
      </c>
      <c r="E543" t="inlineStr">
        <is>
          <t>UPPSALA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59479-2021</t>
        </is>
      </c>
      <c r="B544" s="1" t="n">
        <v>44491</v>
      </c>
      <c r="C544" s="1" t="n">
        <v>45723</v>
      </c>
      <c r="D544" t="inlineStr">
        <is>
          <t>UPPSALA LÄN</t>
        </is>
      </c>
      <c r="E544" t="inlineStr">
        <is>
          <t>UPPSALA</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59881-2021</t>
        </is>
      </c>
      <c r="B545" s="1" t="n">
        <v>44494</v>
      </c>
      <c r="C545" s="1" t="n">
        <v>45723</v>
      </c>
      <c r="D545" t="inlineStr">
        <is>
          <t>UPPSALA LÄN</t>
        </is>
      </c>
      <c r="E545" t="inlineStr">
        <is>
          <t>UPPSALA</t>
        </is>
      </c>
      <c r="F545" t="inlineStr">
        <is>
          <t>Allmännings- och besparingsskogar</t>
        </is>
      </c>
      <c r="G545" t="n">
        <v>1.6</v>
      </c>
      <c r="H545" t="n">
        <v>0</v>
      </c>
      <c r="I545" t="n">
        <v>0</v>
      </c>
      <c r="J545" t="n">
        <v>0</v>
      </c>
      <c r="K545" t="n">
        <v>0</v>
      </c>
      <c r="L545" t="n">
        <v>0</v>
      </c>
      <c r="M545" t="n">
        <v>0</v>
      </c>
      <c r="N545" t="n">
        <v>0</v>
      </c>
      <c r="O545" t="n">
        <v>0</v>
      </c>
      <c r="P545" t="n">
        <v>0</v>
      </c>
      <c r="Q545" t="n">
        <v>0</v>
      </c>
      <c r="R545" s="2" t="inlineStr"/>
    </row>
    <row r="546" ht="15" customHeight="1">
      <c r="A546" t="inlineStr">
        <is>
          <t>A 60032-2021</t>
        </is>
      </c>
      <c r="B546" s="1" t="n">
        <v>44495</v>
      </c>
      <c r="C546" s="1" t="n">
        <v>45723</v>
      </c>
      <c r="D546" t="inlineStr">
        <is>
          <t>UPPSALA LÄN</t>
        </is>
      </c>
      <c r="E546" t="inlineStr">
        <is>
          <t>UPPSALA</t>
        </is>
      </c>
      <c r="G546" t="n">
        <v>1.8</v>
      </c>
      <c r="H546" t="n">
        <v>0</v>
      </c>
      <c r="I546" t="n">
        <v>0</v>
      </c>
      <c r="J546" t="n">
        <v>0</v>
      </c>
      <c r="K546" t="n">
        <v>0</v>
      </c>
      <c r="L546" t="n">
        <v>0</v>
      </c>
      <c r="M546" t="n">
        <v>0</v>
      </c>
      <c r="N546" t="n">
        <v>0</v>
      </c>
      <c r="O546" t="n">
        <v>0</v>
      </c>
      <c r="P546" t="n">
        <v>0</v>
      </c>
      <c r="Q546" t="n">
        <v>0</v>
      </c>
      <c r="R546" s="2" t="inlineStr"/>
    </row>
    <row r="547" ht="15" customHeight="1">
      <c r="A547" t="inlineStr">
        <is>
          <t>A 61008-2021</t>
        </is>
      </c>
      <c r="B547" s="1" t="n">
        <v>44497</v>
      </c>
      <c r="C547" s="1" t="n">
        <v>45723</v>
      </c>
      <c r="D547" t="inlineStr">
        <is>
          <t>UPPSALA LÄN</t>
        </is>
      </c>
      <c r="E547" t="inlineStr">
        <is>
          <t>UPPSALA</t>
        </is>
      </c>
      <c r="G547" t="n">
        <v>6.3</v>
      </c>
      <c r="H547" t="n">
        <v>0</v>
      </c>
      <c r="I547" t="n">
        <v>0</v>
      </c>
      <c r="J547" t="n">
        <v>0</v>
      </c>
      <c r="K547" t="n">
        <v>0</v>
      </c>
      <c r="L547" t="n">
        <v>0</v>
      </c>
      <c r="M547" t="n">
        <v>0</v>
      </c>
      <c r="N547" t="n">
        <v>0</v>
      </c>
      <c r="O547" t="n">
        <v>0</v>
      </c>
      <c r="P547" t="n">
        <v>0</v>
      </c>
      <c r="Q547" t="n">
        <v>0</v>
      </c>
      <c r="R547" s="2" t="inlineStr"/>
    </row>
    <row r="548" ht="15" customHeight="1">
      <c r="A548" t="inlineStr">
        <is>
          <t>A 60917-2021</t>
        </is>
      </c>
      <c r="B548" s="1" t="n">
        <v>44497</v>
      </c>
      <c r="C548" s="1" t="n">
        <v>45723</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60925-2021</t>
        </is>
      </c>
      <c r="B549" s="1" t="n">
        <v>44497</v>
      </c>
      <c r="C549" s="1" t="n">
        <v>45723</v>
      </c>
      <c r="D549" t="inlineStr">
        <is>
          <t>UPPSALA LÄN</t>
        </is>
      </c>
      <c r="E549" t="inlineStr">
        <is>
          <t>UPPSALA</t>
        </is>
      </c>
      <c r="G549" t="n">
        <v>3.7</v>
      </c>
      <c r="H549" t="n">
        <v>0</v>
      </c>
      <c r="I549" t="n">
        <v>0</v>
      </c>
      <c r="J549" t="n">
        <v>0</v>
      </c>
      <c r="K549" t="n">
        <v>0</v>
      </c>
      <c r="L549" t="n">
        <v>0</v>
      </c>
      <c r="M549" t="n">
        <v>0</v>
      </c>
      <c r="N549" t="n">
        <v>0</v>
      </c>
      <c r="O549" t="n">
        <v>0</v>
      </c>
      <c r="P549" t="n">
        <v>0</v>
      </c>
      <c r="Q549" t="n">
        <v>0</v>
      </c>
      <c r="R549" s="2" t="inlineStr"/>
    </row>
    <row r="550" ht="15" customHeight="1">
      <c r="A550" t="inlineStr">
        <is>
          <t>A 61805-2021</t>
        </is>
      </c>
      <c r="B550" s="1" t="n">
        <v>44501</v>
      </c>
      <c r="C550" s="1" t="n">
        <v>45723</v>
      </c>
      <c r="D550" t="inlineStr">
        <is>
          <t>UPPSALA LÄN</t>
        </is>
      </c>
      <c r="E550" t="inlineStr">
        <is>
          <t>UPPSALA</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62471-2021</t>
        </is>
      </c>
      <c r="B551" s="1" t="n">
        <v>44503</v>
      </c>
      <c r="C551" s="1" t="n">
        <v>45723</v>
      </c>
      <c r="D551" t="inlineStr">
        <is>
          <t>UPPSALA LÄN</t>
        </is>
      </c>
      <c r="E551" t="inlineStr">
        <is>
          <t>UPPSALA</t>
        </is>
      </c>
      <c r="G551" t="n">
        <v>2</v>
      </c>
      <c r="H551" t="n">
        <v>0</v>
      </c>
      <c r="I551" t="n">
        <v>0</v>
      </c>
      <c r="J551" t="n">
        <v>0</v>
      </c>
      <c r="K551" t="n">
        <v>0</v>
      </c>
      <c r="L551" t="n">
        <v>0</v>
      </c>
      <c r="M551" t="n">
        <v>0</v>
      </c>
      <c r="N551" t="n">
        <v>0</v>
      </c>
      <c r="O551" t="n">
        <v>0</v>
      </c>
      <c r="P551" t="n">
        <v>0</v>
      </c>
      <c r="Q551" t="n">
        <v>0</v>
      </c>
      <c r="R551" s="2" t="inlineStr"/>
    </row>
    <row r="552" ht="15" customHeight="1">
      <c r="A552" t="inlineStr">
        <is>
          <t>A 62865-2021</t>
        </is>
      </c>
      <c r="B552" s="1" t="n">
        <v>44504</v>
      </c>
      <c r="C552" s="1" t="n">
        <v>45723</v>
      </c>
      <c r="D552" t="inlineStr">
        <is>
          <t>UPPSALA LÄN</t>
        </is>
      </c>
      <c r="E552" t="inlineStr">
        <is>
          <t>UPPSALA</t>
        </is>
      </c>
      <c r="F552" t="inlineStr">
        <is>
          <t>Bergvik skog öst AB</t>
        </is>
      </c>
      <c r="G552" t="n">
        <v>1.7</v>
      </c>
      <c r="H552" t="n">
        <v>0</v>
      </c>
      <c r="I552" t="n">
        <v>0</v>
      </c>
      <c r="J552" t="n">
        <v>0</v>
      </c>
      <c r="K552" t="n">
        <v>0</v>
      </c>
      <c r="L552" t="n">
        <v>0</v>
      </c>
      <c r="M552" t="n">
        <v>0</v>
      </c>
      <c r="N552" t="n">
        <v>0</v>
      </c>
      <c r="O552" t="n">
        <v>0</v>
      </c>
      <c r="P552" t="n">
        <v>0</v>
      </c>
      <c r="Q552" t="n">
        <v>0</v>
      </c>
      <c r="R552" s="2" t="inlineStr"/>
    </row>
    <row r="553" ht="15" customHeight="1">
      <c r="A553" t="inlineStr">
        <is>
          <t>A 63011-2021</t>
        </is>
      </c>
      <c r="B553" s="1" t="n">
        <v>44504</v>
      </c>
      <c r="C553" s="1" t="n">
        <v>45723</v>
      </c>
      <c r="D553" t="inlineStr">
        <is>
          <t>UPPSALA LÄN</t>
        </is>
      </c>
      <c r="E553" t="inlineStr">
        <is>
          <t>UPPSALA</t>
        </is>
      </c>
      <c r="G553" t="n">
        <v>11.2</v>
      </c>
      <c r="H553" t="n">
        <v>0</v>
      </c>
      <c r="I553" t="n">
        <v>0</v>
      </c>
      <c r="J553" t="n">
        <v>0</v>
      </c>
      <c r="K553" t="n">
        <v>0</v>
      </c>
      <c r="L553" t="n">
        <v>0</v>
      </c>
      <c r="M553" t="n">
        <v>0</v>
      </c>
      <c r="N553" t="n">
        <v>0</v>
      </c>
      <c r="O553" t="n">
        <v>0</v>
      </c>
      <c r="P553" t="n">
        <v>0</v>
      </c>
      <c r="Q553" t="n">
        <v>0</v>
      </c>
      <c r="R553" s="2" t="inlineStr"/>
    </row>
    <row r="554" ht="15" customHeight="1">
      <c r="A554" t="inlineStr">
        <is>
          <t>A 63307-2021</t>
        </is>
      </c>
      <c r="B554" s="1" t="n">
        <v>44508</v>
      </c>
      <c r="C554" s="1" t="n">
        <v>45723</v>
      </c>
      <c r="D554" t="inlineStr">
        <is>
          <t>UPPSALA LÄN</t>
        </is>
      </c>
      <c r="E554" t="inlineStr">
        <is>
          <t>UPPSALA</t>
        </is>
      </c>
      <c r="F554" t="inlineStr">
        <is>
          <t>Bergvik skog öst AB</t>
        </is>
      </c>
      <c r="G554" t="n">
        <v>2.8</v>
      </c>
      <c r="H554" t="n">
        <v>0</v>
      </c>
      <c r="I554" t="n">
        <v>0</v>
      </c>
      <c r="J554" t="n">
        <v>0</v>
      </c>
      <c r="K554" t="n">
        <v>0</v>
      </c>
      <c r="L554" t="n">
        <v>0</v>
      </c>
      <c r="M554" t="n">
        <v>0</v>
      </c>
      <c r="N554" t="n">
        <v>0</v>
      </c>
      <c r="O554" t="n">
        <v>0</v>
      </c>
      <c r="P554" t="n">
        <v>0</v>
      </c>
      <c r="Q554" t="n">
        <v>0</v>
      </c>
      <c r="R554" s="2" t="inlineStr"/>
    </row>
    <row r="555" ht="15" customHeight="1">
      <c r="A555" t="inlineStr">
        <is>
          <t>A 64016-2021</t>
        </is>
      </c>
      <c r="B555" s="1" t="n">
        <v>44510</v>
      </c>
      <c r="C555" s="1" t="n">
        <v>45723</v>
      </c>
      <c r="D555" t="inlineStr">
        <is>
          <t>UPPSALA LÄN</t>
        </is>
      </c>
      <c r="E555" t="inlineStr">
        <is>
          <t>UPPSALA</t>
        </is>
      </c>
      <c r="G555" t="n">
        <v>2.1</v>
      </c>
      <c r="H555" t="n">
        <v>0</v>
      </c>
      <c r="I555" t="n">
        <v>0</v>
      </c>
      <c r="J555" t="n">
        <v>0</v>
      </c>
      <c r="K555" t="n">
        <v>0</v>
      </c>
      <c r="L555" t="n">
        <v>0</v>
      </c>
      <c r="M555" t="n">
        <v>0</v>
      </c>
      <c r="N555" t="n">
        <v>0</v>
      </c>
      <c r="O555" t="n">
        <v>0</v>
      </c>
      <c r="P555" t="n">
        <v>0</v>
      </c>
      <c r="Q555" t="n">
        <v>0</v>
      </c>
      <c r="R555" s="2" t="inlineStr"/>
    </row>
    <row r="556" ht="15" customHeight="1">
      <c r="A556" t="inlineStr">
        <is>
          <t>A 64857-2021</t>
        </is>
      </c>
      <c r="B556" s="1" t="n">
        <v>44512</v>
      </c>
      <c r="C556" s="1" t="n">
        <v>45723</v>
      </c>
      <c r="D556" t="inlineStr">
        <is>
          <t>UPPSALA LÄN</t>
        </is>
      </c>
      <c r="E556" t="inlineStr">
        <is>
          <t>UPPSALA</t>
        </is>
      </c>
      <c r="G556" t="n">
        <v>2</v>
      </c>
      <c r="H556" t="n">
        <v>0</v>
      </c>
      <c r="I556" t="n">
        <v>0</v>
      </c>
      <c r="J556" t="n">
        <v>0</v>
      </c>
      <c r="K556" t="n">
        <v>0</v>
      </c>
      <c r="L556" t="n">
        <v>0</v>
      </c>
      <c r="M556" t="n">
        <v>0</v>
      </c>
      <c r="N556" t="n">
        <v>0</v>
      </c>
      <c r="O556" t="n">
        <v>0</v>
      </c>
      <c r="P556" t="n">
        <v>0</v>
      </c>
      <c r="Q556" t="n">
        <v>0</v>
      </c>
      <c r="R556" s="2" t="inlineStr"/>
    </row>
    <row r="557" ht="15" customHeight="1">
      <c r="A557" t="inlineStr">
        <is>
          <t>A 64856-2021</t>
        </is>
      </c>
      <c r="B557" s="1" t="n">
        <v>44512</v>
      </c>
      <c r="C557" s="1" t="n">
        <v>45723</v>
      </c>
      <c r="D557" t="inlineStr">
        <is>
          <t>UPPSALA LÄN</t>
        </is>
      </c>
      <c r="E557" t="inlineStr">
        <is>
          <t>UPPSALA</t>
        </is>
      </c>
      <c r="G557" t="n">
        <v>4.1</v>
      </c>
      <c r="H557" t="n">
        <v>0</v>
      </c>
      <c r="I557" t="n">
        <v>0</v>
      </c>
      <c r="J557" t="n">
        <v>0</v>
      </c>
      <c r="K557" t="n">
        <v>0</v>
      </c>
      <c r="L557" t="n">
        <v>0</v>
      </c>
      <c r="M557" t="n">
        <v>0</v>
      </c>
      <c r="N557" t="n">
        <v>0</v>
      </c>
      <c r="O557" t="n">
        <v>0</v>
      </c>
      <c r="P557" t="n">
        <v>0</v>
      </c>
      <c r="Q557" t="n">
        <v>0</v>
      </c>
      <c r="R557" s="2" t="inlineStr"/>
    </row>
    <row r="558" ht="15" customHeight="1">
      <c r="A558" t="inlineStr">
        <is>
          <t>A 64858-2021</t>
        </is>
      </c>
      <c r="B558" s="1" t="n">
        <v>44512</v>
      </c>
      <c r="C558" s="1" t="n">
        <v>45723</v>
      </c>
      <c r="D558" t="inlineStr">
        <is>
          <t>UPPSALA LÄN</t>
        </is>
      </c>
      <c r="E558" t="inlineStr">
        <is>
          <t>UPPSALA</t>
        </is>
      </c>
      <c r="G558" t="n">
        <v>1.2</v>
      </c>
      <c r="H558" t="n">
        <v>0</v>
      </c>
      <c r="I558" t="n">
        <v>0</v>
      </c>
      <c r="J558" t="n">
        <v>0</v>
      </c>
      <c r="K558" t="n">
        <v>0</v>
      </c>
      <c r="L558" t="n">
        <v>0</v>
      </c>
      <c r="M558" t="n">
        <v>0</v>
      </c>
      <c r="N558" t="n">
        <v>0</v>
      </c>
      <c r="O558" t="n">
        <v>0</v>
      </c>
      <c r="P558" t="n">
        <v>0</v>
      </c>
      <c r="Q558" t="n">
        <v>0</v>
      </c>
      <c r="R558" s="2" t="inlineStr"/>
    </row>
    <row r="559" ht="15" customHeight="1">
      <c r="A559" t="inlineStr">
        <is>
          <t>A 64855-2021</t>
        </is>
      </c>
      <c r="B559" s="1" t="n">
        <v>44512</v>
      </c>
      <c r="C559" s="1" t="n">
        <v>45723</v>
      </c>
      <c r="D559" t="inlineStr">
        <is>
          <t>UPPSALA LÄN</t>
        </is>
      </c>
      <c r="E559" t="inlineStr">
        <is>
          <t>UPPSALA</t>
        </is>
      </c>
      <c r="G559" t="n">
        <v>3.1</v>
      </c>
      <c r="H559" t="n">
        <v>0</v>
      </c>
      <c r="I559" t="n">
        <v>0</v>
      </c>
      <c r="J559" t="n">
        <v>0</v>
      </c>
      <c r="K559" t="n">
        <v>0</v>
      </c>
      <c r="L559" t="n">
        <v>0</v>
      </c>
      <c r="M559" t="n">
        <v>0</v>
      </c>
      <c r="N559" t="n">
        <v>0</v>
      </c>
      <c r="O559" t="n">
        <v>0</v>
      </c>
      <c r="P559" t="n">
        <v>0</v>
      </c>
      <c r="Q559" t="n">
        <v>0</v>
      </c>
      <c r="R559" s="2" t="inlineStr"/>
    </row>
    <row r="560" ht="15" customHeight="1">
      <c r="A560" t="inlineStr">
        <is>
          <t>A 65132-2021</t>
        </is>
      </c>
      <c r="B560" s="1" t="n">
        <v>44515</v>
      </c>
      <c r="C560" s="1" t="n">
        <v>45723</v>
      </c>
      <c r="D560" t="inlineStr">
        <is>
          <t>UPPSALA LÄN</t>
        </is>
      </c>
      <c r="E560" t="inlineStr">
        <is>
          <t>UPPSALA</t>
        </is>
      </c>
      <c r="G560" t="n">
        <v>1.9</v>
      </c>
      <c r="H560" t="n">
        <v>0</v>
      </c>
      <c r="I560" t="n">
        <v>0</v>
      </c>
      <c r="J560" t="n">
        <v>0</v>
      </c>
      <c r="K560" t="n">
        <v>0</v>
      </c>
      <c r="L560" t="n">
        <v>0</v>
      </c>
      <c r="M560" t="n">
        <v>0</v>
      </c>
      <c r="N560" t="n">
        <v>0</v>
      </c>
      <c r="O560" t="n">
        <v>0</v>
      </c>
      <c r="P560" t="n">
        <v>0</v>
      </c>
      <c r="Q560" t="n">
        <v>0</v>
      </c>
      <c r="R560" s="2" t="inlineStr"/>
    </row>
    <row r="561" ht="15" customHeight="1">
      <c r="A561" t="inlineStr">
        <is>
          <t>A 65659-2021</t>
        </is>
      </c>
      <c r="B561" s="1" t="n">
        <v>44516</v>
      </c>
      <c r="C561" s="1" t="n">
        <v>45723</v>
      </c>
      <c r="D561" t="inlineStr">
        <is>
          <t>UPPSALA LÄN</t>
        </is>
      </c>
      <c r="E561" t="inlineStr">
        <is>
          <t>UPPSALA</t>
        </is>
      </c>
      <c r="G561" t="n">
        <v>2.2</v>
      </c>
      <c r="H561" t="n">
        <v>0</v>
      </c>
      <c r="I561" t="n">
        <v>0</v>
      </c>
      <c r="J561" t="n">
        <v>0</v>
      </c>
      <c r="K561" t="n">
        <v>0</v>
      </c>
      <c r="L561" t="n">
        <v>0</v>
      </c>
      <c r="M561" t="n">
        <v>0</v>
      </c>
      <c r="N561" t="n">
        <v>0</v>
      </c>
      <c r="O561" t="n">
        <v>0</v>
      </c>
      <c r="P561" t="n">
        <v>0</v>
      </c>
      <c r="Q561" t="n">
        <v>0</v>
      </c>
      <c r="R561" s="2" t="inlineStr"/>
    </row>
    <row r="562" ht="15" customHeight="1">
      <c r="A562" t="inlineStr">
        <is>
          <t>A 65695-2021</t>
        </is>
      </c>
      <c r="B562" s="1" t="n">
        <v>44516</v>
      </c>
      <c r="C562" s="1" t="n">
        <v>45723</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65809-2021</t>
        </is>
      </c>
      <c r="B563" s="1" t="n">
        <v>44517</v>
      </c>
      <c r="C563" s="1" t="n">
        <v>45723</v>
      </c>
      <c r="D563" t="inlineStr">
        <is>
          <t>UPPSALA LÄN</t>
        </is>
      </c>
      <c r="E563" t="inlineStr">
        <is>
          <t>UPPSALA</t>
        </is>
      </c>
      <c r="G563" t="n">
        <v>1.4</v>
      </c>
      <c r="H563" t="n">
        <v>0</v>
      </c>
      <c r="I563" t="n">
        <v>0</v>
      </c>
      <c r="J563" t="n">
        <v>0</v>
      </c>
      <c r="K563" t="n">
        <v>0</v>
      </c>
      <c r="L563" t="n">
        <v>0</v>
      </c>
      <c r="M563" t="n">
        <v>0</v>
      </c>
      <c r="N563" t="n">
        <v>0</v>
      </c>
      <c r="O563" t="n">
        <v>0</v>
      </c>
      <c r="P563" t="n">
        <v>0</v>
      </c>
      <c r="Q563" t="n">
        <v>0</v>
      </c>
      <c r="R563" s="2" t="inlineStr"/>
    </row>
    <row r="564" ht="15" customHeight="1">
      <c r="A564" t="inlineStr">
        <is>
          <t>A 65811-2021</t>
        </is>
      </c>
      <c r="B564" s="1" t="n">
        <v>44517</v>
      </c>
      <c r="C564" s="1" t="n">
        <v>45723</v>
      </c>
      <c r="D564" t="inlineStr">
        <is>
          <t>UPPSALA LÄN</t>
        </is>
      </c>
      <c r="E564" t="inlineStr">
        <is>
          <t>UPPSALA</t>
        </is>
      </c>
      <c r="G564" t="n">
        <v>0.3</v>
      </c>
      <c r="H564" t="n">
        <v>0</v>
      </c>
      <c r="I564" t="n">
        <v>0</v>
      </c>
      <c r="J564" t="n">
        <v>0</v>
      </c>
      <c r="K564" t="n">
        <v>0</v>
      </c>
      <c r="L564" t="n">
        <v>0</v>
      </c>
      <c r="M564" t="n">
        <v>0</v>
      </c>
      <c r="N564" t="n">
        <v>0</v>
      </c>
      <c r="O564" t="n">
        <v>0</v>
      </c>
      <c r="P564" t="n">
        <v>0</v>
      </c>
      <c r="Q564" t="n">
        <v>0</v>
      </c>
      <c r="R564" s="2" t="inlineStr"/>
    </row>
    <row r="565" ht="15" customHeight="1">
      <c r="A565" t="inlineStr">
        <is>
          <t>A 65964-2021</t>
        </is>
      </c>
      <c r="B565" s="1" t="n">
        <v>44517</v>
      </c>
      <c r="C565" s="1" t="n">
        <v>45723</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66239-2021</t>
        </is>
      </c>
      <c r="B566" s="1" t="n">
        <v>44518</v>
      </c>
      <c r="C566" s="1" t="n">
        <v>45723</v>
      </c>
      <c r="D566" t="inlineStr">
        <is>
          <t>UPPSALA LÄN</t>
        </is>
      </c>
      <c r="E566" t="inlineStr">
        <is>
          <t>UPPSALA</t>
        </is>
      </c>
      <c r="G566" t="n">
        <v>4.2</v>
      </c>
      <c r="H566" t="n">
        <v>0</v>
      </c>
      <c r="I566" t="n">
        <v>0</v>
      </c>
      <c r="J566" t="n">
        <v>0</v>
      </c>
      <c r="K566" t="n">
        <v>0</v>
      </c>
      <c r="L566" t="n">
        <v>0</v>
      </c>
      <c r="M566" t="n">
        <v>0</v>
      </c>
      <c r="N566" t="n">
        <v>0</v>
      </c>
      <c r="O566" t="n">
        <v>0</v>
      </c>
      <c r="P566" t="n">
        <v>0</v>
      </c>
      <c r="Q566" t="n">
        <v>0</v>
      </c>
      <c r="R566" s="2" t="inlineStr"/>
    </row>
    <row r="567" ht="15" customHeight="1">
      <c r="A567" t="inlineStr">
        <is>
          <t>A 66690-2021</t>
        </is>
      </c>
      <c r="B567" s="1" t="n">
        <v>44519</v>
      </c>
      <c r="C567" s="1" t="n">
        <v>45723</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66686-2021</t>
        </is>
      </c>
      <c r="B568" s="1" t="n">
        <v>44519</v>
      </c>
      <c r="C568" s="1" t="n">
        <v>45723</v>
      </c>
      <c r="D568" t="inlineStr">
        <is>
          <t>UPPSALA LÄN</t>
        </is>
      </c>
      <c r="E568" t="inlineStr">
        <is>
          <t>UPPSALA</t>
        </is>
      </c>
      <c r="G568" t="n">
        <v>6.4</v>
      </c>
      <c r="H568" t="n">
        <v>0</v>
      </c>
      <c r="I568" t="n">
        <v>0</v>
      </c>
      <c r="J568" t="n">
        <v>0</v>
      </c>
      <c r="K568" t="n">
        <v>0</v>
      </c>
      <c r="L568" t="n">
        <v>0</v>
      </c>
      <c r="M568" t="n">
        <v>0</v>
      </c>
      <c r="N568" t="n">
        <v>0</v>
      </c>
      <c r="O568" t="n">
        <v>0</v>
      </c>
      <c r="P568" t="n">
        <v>0</v>
      </c>
      <c r="Q568" t="n">
        <v>0</v>
      </c>
      <c r="R568" s="2" t="inlineStr"/>
    </row>
    <row r="569" ht="15" customHeight="1">
      <c r="A569" t="inlineStr">
        <is>
          <t>A 66794-2021</t>
        </is>
      </c>
      <c r="B569" s="1" t="n">
        <v>44522</v>
      </c>
      <c r="C569" s="1" t="n">
        <v>45723</v>
      </c>
      <c r="D569" t="inlineStr">
        <is>
          <t>UPPSALA LÄN</t>
        </is>
      </c>
      <c r="E569" t="inlineStr">
        <is>
          <t>UPPSALA</t>
        </is>
      </c>
      <c r="G569" t="n">
        <v>4.9</v>
      </c>
      <c r="H569" t="n">
        <v>0</v>
      </c>
      <c r="I569" t="n">
        <v>0</v>
      </c>
      <c r="J569" t="n">
        <v>0</v>
      </c>
      <c r="K569" t="n">
        <v>0</v>
      </c>
      <c r="L569" t="n">
        <v>0</v>
      </c>
      <c r="M569" t="n">
        <v>0</v>
      </c>
      <c r="N569" t="n">
        <v>0</v>
      </c>
      <c r="O569" t="n">
        <v>0</v>
      </c>
      <c r="P569" t="n">
        <v>0</v>
      </c>
      <c r="Q569" t="n">
        <v>0</v>
      </c>
      <c r="R569" s="2" t="inlineStr"/>
    </row>
    <row r="570" ht="15" customHeight="1">
      <c r="A570" t="inlineStr">
        <is>
          <t>A 66927-2021</t>
        </is>
      </c>
      <c r="B570" s="1" t="n">
        <v>44522</v>
      </c>
      <c r="C570" s="1" t="n">
        <v>45723</v>
      </c>
      <c r="D570" t="inlineStr">
        <is>
          <t>UPPSALA LÄN</t>
        </is>
      </c>
      <c r="E570" t="inlineStr">
        <is>
          <t>UPPSALA</t>
        </is>
      </c>
      <c r="G570" t="n">
        <v>2.9</v>
      </c>
      <c r="H570" t="n">
        <v>0</v>
      </c>
      <c r="I570" t="n">
        <v>0</v>
      </c>
      <c r="J570" t="n">
        <v>0</v>
      </c>
      <c r="K570" t="n">
        <v>0</v>
      </c>
      <c r="L570" t="n">
        <v>0</v>
      </c>
      <c r="M570" t="n">
        <v>0</v>
      </c>
      <c r="N570" t="n">
        <v>0</v>
      </c>
      <c r="O570" t="n">
        <v>0</v>
      </c>
      <c r="P570" t="n">
        <v>0</v>
      </c>
      <c r="Q570" t="n">
        <v>0</v>
      </c>
      <c r="R570" s="2" t="inlineStr"/>
    </row>
    <row r="571" ht="15" customHeight="1">
      <c r="A571" t="inlineStr">
        <is>
          <t>A 66983-2021</t>
        </is>
      </c>
      <c r="B571" s="1" t="n">
        <v>44522</v>
      </c>
      <c r="C571" s="1" t="n">
        <v>45723</v>
      </c>
      <c r="D571" t="inlineStr">
        <is>
          <t>UPPSALA LÄN</t>
        </is>
      </c>
      <c r="E571" t="inlineStr">
        <is>
          <t>UPPSALA</t>
        </is>
      </c>
      <c r="G571" t="n">
        <v>2.5</v>
      </c>
      <c r="H571" t="n">
        <v>0</v>
      </c>
      <c r="I571" t="n">
        <v>0</v>
      </c>
      <c r="J571" t="n">
        <v>0</v>
      </c>
      <c r="K571" t="n">
        <v>0</v>
      </c>
      <c r="L571" t="n">
        <v>0</v>
      </c>
      <c r="M571" t="n">
        <v>0</v>
      </c>
      <c r="N571" t="n">
        <v>0</v>
      </c>
      <c r="O571" t="n">
        <v>0</v>
      </c>
      <c r="P571" t="n">
        <v>0</v>
      </c>
      <c r="Q571" t="n">
        <v>0</v>
      </c>
      <c r="R571" s="2" t="inlineStr"/>
    </row>
    <row r="572" ht="15" customHeight="1">
      <c r="A572" t="inlineStr">
        <is>
          <t>A 67991-2021</t>
        </is>
      </c>
      <c r="B572" s="1" t="n">
        <v>44525</v>
      </c>
      <c r="C572" s="1" t="n">
        <v>45723</v>
      </c>
      <c r="D572" t="inlineStr">
        <is>
          <t>UPPSALA LÄN</t>
        </is>
      </c>
      <c r="E572" t="inlineStr">
        <is>
          <t>UPPSALA</t>
        </is>
      </c>
      <c r="F572" t="inlineStr">
        <is>
          <t>Bergvik skog öst AB</t>
        </is>
      </c>
      <c r="G572" t="n">
        <v>2.1</v>
      </c>
      <c r="H572" t="n">
        <v>0</v>
      </c>
      <c r="I572" t="n">
        <v>0</v>
      </c>
      <c r="J572" t="n">
        <v>0</v>
      </c>
      <c r="K572" t="n">
        <v>0</v>
      </c>
      <c r="L572" t="n">
        <v>0</v>
      </c>
      <c r="M572" t="n">
        <v>0</v>
      </c>
      <c r="N572" t="n">
        <v>0</v>
      </c>
      <c r="O572" t="n">
        <v>0</v>
      </c>
      <c r="P572" t="n">
        <v>0</v>
      </c>
      <c r="Q572" t="n">
        <v>0</v>
      </c>
      <c r="R572" s="2" t="inlineStr"/>
    </row>
    <row r="573" ht="15" customHeight="1">
      <c r="A573" t="inlineStr">
        <is>
          <t>A 68696-2021</t>
        </is>
      </c>
      <c r="B573" s="1" t="n">
        <v>44526</v>
      </c>
      <c r="C573" s="1" t="n">
        <v>45723</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68139-2021</t>
        </is>
      </c>
      <c r="B574" s="1" t="n">
        <v>44526</v>
      </c>
      <c r="C574" s="1" t="n">
        <v>45723</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68296-2021</t>
        </is>
      </c>
      <c r="B575" s="1" t="n">
        <v>44526</v>
      </c>
      <c r="C575" s="1" t="n">
        <v>45723</v>
      </c>
      <c r="D575" t="inlineStr">
        <is>
          <t>UPPSALA LÄN</t>
        </is>
      </c>
      <c r="E575" t="inlineStr">
        <is>
          <t>UPPSALA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69067-2021</t>
        </is>
      </c>
      <c r="B576" s="1" t="n">
        <v>44530</v>
      </c>
      <c r="C576" s="1" t="n">
        <v>45723</v>
      </c>
      <c r="D576" t="inlineStr">
        <is>
          <t>UPPSALA LÄN</t>
        </is>
      </c>
      <c r="E576" t="inlineStr">
        <is>
          <t>UPPSALA</t>
        </is>
      </c>
      <c r="F576" t="inlineStr">
        <is>
          <t>Holmen skog AB</t>
        </is>
      </c>
      <c r="G576" t="n">
        <v>2.8</v>
      </c>
      <c r="H576" t="n">
        <v>0</v>
      </c>
      <c r="I576" t="n">
        <v>0</v>
      </c>
      <c r="J576" t="n">
        <v>0</v>
      </c>
      <c r="K576" t="n">
        <v>0</v>
      </c>
      <c r="L576" t="n">
        <v>0</v>
      </c>
      <c r="M576" t="n">
        <v>0</v>
      </c>
      <c r="N576" t="n">
        <v>0</v>
      </c>
      <c r="O576" t="n">
        <v>0</v>
      </c>
      <c r="P576" t="n">
        <v>0</v>
      </c>
      <c r="Q576" t="n">
        <v>0</v>
      </c>
      <c r="R576" s="2" t="inlineStr"/>
    </row>
    <row r="577" ht="15" customHeight="1">
      <c r="A577" t="inlineStr">
        <is>
          <t>A 69432-2021</t>
        </is>
      </c>
      <c r="B577" s="1" t="n">
        <v>44531</v>
      </c>
      <c r="C577" s="1" t="n">
        <v>45723</v>
      </c>
      <c r="D577" t="inlineStr">
        <is>
          <t>UPPSALA LÄN</t>
        </is>
      </c>
      <c r="E577" t="inlineStr">
        <is>
          <t>UPPSALA</t>
        </is>
      </c>
      <c r="G577" t="n">
        <v>1.7</v>
      </c>
      <c r="H577" t="n">
        <v>0</v>
      </c>
      <c r="I577" t="n">
        <v>0</v>
      </c>
      <c r="J577" t="n">
        <v>0</v>
      </c>
      <c r="K577" t="n">
        <v>0</v>
      </c>
      <c r="L577" t="n">
        <v>0</v>
      </c>
      <c r="M577" t="n">
        <v>0</v>
      </c>
      <c r="N577" t="n">
        <v>0</v>
      </c>
      <c r="O577" t="n">
        <v>0</v>
      </c>
      <c r="P577" t="n">
        <v>0</v>
      </c>
      <c r="Q577" t="n">
        <v>0</v>
      </c>
      <c r="R577" s="2" t="inlineStr"/>
    </row>
    <row r="578" ht="15" customHeight="1">
      <c r="A578" t="inlineStr">
        <is>
          <t>A 69214-2021</t>
        </is>
      </c>
      <c r="B578" s="1" t="n">
        <v>44531</v>
      </c>
      <c r="C578" s="1" t="n">
        <v>45723</v>
      </c>
      <c r="D578" t="inlineStr">
        <is>
          <t>UPPSALA LÄN</t>
        </is>
      </c>
      <c r="E578" t="inlineStr">
        <is>
          <t>UPPSALA</t>
        </is>
      </c>
      <c r="F578" t="inlineStr">
        <is>
          <t>Bergvik skog öst AB</t>
        </is>
      </c>
      <c r="G578" t="n">
        <v>3.4</v>
      </c>
      <c r="H578" t="n">
        <v>0</v>
      </c>
      <c r="I578" t="n">
        <v>0</v>
      </c>
      <c r="J578" t="n">
        <v>0</v>
      </c>
      <c r="K578" t="n">
        <v>0</v>
      </c>
      <c r="L578" t="n">
        <v>0</v>
      </c>
      <c r="M578" t="n">
        <v>0</v>
      </c>
      <c r="N578" t="n">
        <v>0</v>
      </c>
      <c r="O578" t="n">
        <v>0</v>
      </c>
      <c r="P578" t="n">
        <v>0</v>
      </c>
      <c r="Q578" t="n">
        <v>0</v>
      </c>
      <c r="R578" s="2" t="inlineStr"/>
    </row>
    <row r="579" ht="15" customHeight="1">
      <c r="A579" t="inlineStr">
        <is>
          <t>A 69397-2021</t>
        </is>
      </c>
      <c r="B579" s="1" t="n">
        <v>44531</v>
      </c>
      <c r="C579" s="1" t="n">
        <v>45723</v>
      </c>
      <c r="D579" t="inlineStr">
        <is>
          <t>UPPSALA LÄN</t>
        </is>
      </c>
      <c r="E579" t="inlineStr">
        <is>
          <t>UPPSALA</t>
        </is>
      </c>
      <c r="F579" t="inlineStr">
        <is>
          <t>Bergvik skog öst AB</t>
        </is>
      </c>
      <c r="G579" t="n">
        <v>3.3</v>
      </c>
      <c r="H579" t="n">
        <v>0</v>
      </c>
      <c r="I579" t="n">
        <v>0</v>
      </c>
      <c r="J579" t="n">
        <v>0</v>
      </c>
      <c r="K579" t="n">
        <v>0</v>
      </c>
      <c r="L579" t="n">
        <v>0</v>
      </c>
      <c r="M579" t="n">
        <v>0</v>
      </c>
      <c r="N579" t="n">
        <v>0</v>
      </c>
      <c r="O579" t="n">
        <v>0</v>
      </c>
      <c r="P579" t="n">
        <v>0</v>
      </c>
      <c r="Q579" t="n">
        <v>0</v>
      </c>
      <c r="R579" s="2" t="inlineStr"/>
    </row>
    <row r="580" ht="15" customHeight="1">
      <c r="A580" t="inlineStr">
        <is>
          <t>A 69436-2021</t>
        </is>
      </c>
      <c r="B580" s="1" t="n">
        <v>44531</v>
      </c>
      <c r="C580" s="1" t="n">
        <v>45723</v>
      </c>
      <c r="D580" t="inlineStr">
        <is>
          <t>UPPSALA LÄN</t>
        </is>
      </c>
      <c r="E580" t="inlineStr">
        <is>
          <t>UPPSALA</t>
        </is>
      </c>
      <c r="G580" t="n">
        <v>1.1</v>
      </c>
      <c r="H580" t="n">
        <v>0</v>
      </c>
      <c r="I580" t="n">
        <v>0</v>
      </c>
      <c r="J580" t="n">
        <v>0</v>
      </c>
      <c r="K580" t="n">
        <v>0</v>
      </c>
      <c r="L580" t="n">
        <v>0</v>
      </c>
      <c r="M580" t="n">
        <v>0</v>
      </c>
      <c r="N580" t="n">
        <v>0</v>
      </c>
      <c r="O580" t="n">
        <v>0</v>
      </c>
      <c r="P580" t="n">
        <v>0</v>
      </c>
      <c r="Q580" t="n">
        <v>0</v>
      </c>
      <c r="R580" s="2" t="inlineStr"/>
    </row>
    <row r="581" ht="15" customHeight="1">
      <c r="A581" t="inlineStr">
        <is>
          <t>A 69439-2021</t>
        </is>
      </c>
      <c r="B581" s="1" t="n">
        <v>44531</v>
      </c>
      <c r="C581" s="1" t="n">
        <v>45723</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69711-2021</t>
        </is>
      </c>
      <c r="B582" s="1" t="n">
        <v>44532</v>
      </c>
      <c r="C582" s="1" t="n">
        <v>45723</v>
      </c>
      <c r="D582" t="inlineStr">
        <is>
          <t>UPPSALA LÄN</t>
        </is>
      </c>
      <c r="E582" t="inlineStr">
        <is>
          <t>UPPSALA</t>
        </is>
      </c>
      <c r="G582" t="n">
        <v>10.2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45723</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45723</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45723</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45723</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45723</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45723</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45723</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45723</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45723</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45723</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45723</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45723</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45723</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45723</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45723</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45723</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45723</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45723</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45723</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45723</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45723</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45723</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45723</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45723</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45723</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45723</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45723</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45723</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45723</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45723</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45723</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45723</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45723</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45723</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45723</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45723</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45723</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45723</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45723</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45723</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45723</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45723</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45723</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45723</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45723</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45723</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45723</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45723</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45723</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45723</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45723</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45723</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45723</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45723</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45723</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45723</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45723</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45723</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45723</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45723</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45723</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45723</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45723</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45723</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45723</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45723</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45723</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45723</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45723</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45723</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45723</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45723</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45723</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45723</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45723</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45723</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45723</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45723</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45723</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45723</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45723</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45723</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45723</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45723</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45723</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45723</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45723</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45723</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45723</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45723</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45723</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45723</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45723</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45723</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45723</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45723</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45723</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45723</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45723</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45723</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45723</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45723</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45723</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45723</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45723</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45723</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45723</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45723</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45723</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45723</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45723</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45723</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45723</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45723</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45723</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45723</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45723</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45723</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45723</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45723</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45723</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45723</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45723</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45723</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45723</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45723</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45723</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45723</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45723</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45723</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45723</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45723</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45723</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45723</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45723</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45723</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45723</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45723</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45723</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45723</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45723</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45723</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45723</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45723</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45723</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45723</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45723</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45723</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45723</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45723</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45723</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45723</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45723</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45723</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45723</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45723</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45723</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45723</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45723</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45723</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45723</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45723</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45723</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45723</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45723</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45723</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45723</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45723</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45723</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45723</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45723</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45723</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45723</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45723</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45723</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45723</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45723</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45723</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45723</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45723</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45723</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45723</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45723</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45723</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45723</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45723</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45723</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45723</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45723</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45723</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45723</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45723</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45723</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45723</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45723</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45723</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45723</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45723</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45723</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45723</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45723</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45723</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45723</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45723</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45723</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45723</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45723</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45723</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45723</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45723</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45723</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45723</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45723</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45723</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45723</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45723</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45723</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45723</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45723</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45723</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45723</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45723</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45723</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45723</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45723</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45723</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45723</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45723</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45723</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45723</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45723</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45723</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45723</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45723</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45723</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45723</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45723</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45723</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45723</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45723</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45723</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45723</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45723</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45723</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45723</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45723</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45723</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45723</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45723</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45723</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45723</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45723</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45723</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45723</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45723</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45723</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45723</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45723</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45723</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45723</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45723</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45723</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45723</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45723</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45723</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45723</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45723</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45723</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45723</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45723</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45723</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45723</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45723</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45723</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45723</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45723</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45723</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45723</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45723</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45723</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45723</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45723</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45723</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45723</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45723</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45723</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45723</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45723</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45723</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45723</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45723</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45723</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45723</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45723</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45723</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45723</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45723</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45723</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45723</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45723</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45723</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45723</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45723</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45723</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45723</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45723</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45723</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45723</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45723</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45723</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45723</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45723</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45723</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45723</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45723</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45723</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45723</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45723</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45723</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45723</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45723</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45723</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45723</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45723</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45723</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45723</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45723</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45723</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45723</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45723</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45723</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45723</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45723</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45723</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45723</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45723</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45723</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45723</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45723</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45723</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45723</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45723</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45723</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45723</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45723</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45723</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45723</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45723</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45723</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45723</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45723</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45723</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45723</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45723</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45723</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45723</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45723</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45723</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45723</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45723</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45723</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45723</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45723</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45723</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45723</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45723</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45723</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45723</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45723</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45723</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45723</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45723</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45723</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45723</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45723</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45723</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45723</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45723</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45723</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45723</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45723</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45723</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45723</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45723</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45723</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45723</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45723</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45723</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45723</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45723</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45723</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45723</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45723</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45723</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45723</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45723</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45723</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45723</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45723</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45723</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45723</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45723</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45723</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45723</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45723</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45723</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45723</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45723</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45723</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45723</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45723</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45723</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45723</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45723</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45723</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45723</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45723</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45723</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45723</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45723</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45723</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45723</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45723</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45723</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45723</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45723</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45723</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45723</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45723</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45723</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45723</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45723</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45723</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45723</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45723</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45723</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45723</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45723</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45723</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45723</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45723</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45723</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45723</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45723</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45723</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45723</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45723</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45723</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45723</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45723</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45723</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45723</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45723</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45723</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45723</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45723</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45723</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45723</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45723</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45723</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45723</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45723</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45723</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45723</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45723</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45723</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45723</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45723</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45723</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45723</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45723</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45723</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45723</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45723</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45723</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45723</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45723</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45723</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45723</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45723</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45723</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45723</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45723</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45723</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45723</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45723</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45723</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45723</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45723</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45723</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45723</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45723</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45723</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45723</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45723</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45723</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45723</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45723</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45723</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45723</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45723</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45723</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45723</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45723</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45723</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45723</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45723</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45723</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45723</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45723</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45723</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45723</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45723</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45723</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45723</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45723</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45723</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45723</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45723</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45723</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45723</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45723</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45723</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45723</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45723</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45723</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45723</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45723</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45723</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45723</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45723</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45723</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45723</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45723</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45723</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45723</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45723</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45723</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45723</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45723</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45723</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45723</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45723</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45723</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45723</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45723</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45723</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45723</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45723</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45723</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45723</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45723</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45723</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45723</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45723</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45723</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45723</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45723</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45723</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45723</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45723</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45723</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45723</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45723</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45723</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45723</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45723</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45723</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45723</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45723</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45723</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45723</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45723</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45723</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45723</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45723</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45723</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45723</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45723</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45723</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45723</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45723</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45723</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45723</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45723</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45723</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45723</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45723</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45723</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45723</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45723</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45723</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45723</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45723</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45723</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45723</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45723</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45723</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45723</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45723</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45723</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45723</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45723</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45723</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45723</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45723</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45723</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45723</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45723</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45723</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45723</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45723</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45723</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45723</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45723</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45723</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45723</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45723</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45723</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45723</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45723</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45723</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45723</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45723</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45723</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45723</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45723</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45723</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45723</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45723</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45723</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45723</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45723</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45723</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45723</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45723</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45723</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45723</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45723</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45723</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45723</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45723</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45723</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45723</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45723</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45723</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45723</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45723</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45723</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45723</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45723</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45723</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45723</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45723</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45723</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45723</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45723</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45723</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45723</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45723</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45723</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45723</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45723</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45723</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45723</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45723</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45723</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45723</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45723</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45723</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45723</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45723</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45723</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45723</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45723</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45723</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45723</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45723</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45723</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45723</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45723</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45723</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45723</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45723</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45723</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45723</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45723</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45723</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45723</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45723</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45723</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45723</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45723</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45723</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45723</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45723</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45723</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45723</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45723</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45723</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45723</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45723</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45723</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45723</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45723</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45723</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45723</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45723</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45723</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45723</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45723</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45723</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45723</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45723</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45723</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45723</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45723</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45723</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45723</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45723</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45723</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45723</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45723</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45723</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45723</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45723</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45723</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45723</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45723</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45723</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45723</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45723</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45723</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45723</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45723</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45723</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45723</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45723</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45723</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45723</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45723</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45723</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45723</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45723</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45723</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45723</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45723</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45723</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45723</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45723</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45723</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45723</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45723</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45723</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45723</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45723</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45723</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45723</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45723</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45723</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45723</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45723</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45723</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45723</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45723</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45723</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45723</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45723</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45723</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45723</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45723</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45723</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45723</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45723</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45723</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45723</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45723</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45723</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45723</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45723</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45723</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45723</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45723</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45723</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45723</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45723</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45723</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45723</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45723</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45723</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45723</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45723</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45723</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45723</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45723</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45723</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45723</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45723</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45723</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45723</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45723</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45723</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45723</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45723</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45723</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45723</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45723</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45723</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45723</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45723</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45723</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45723</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45723</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45723</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45723</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45723</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45723</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45723</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45723</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45723</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45723</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45723</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45723</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45723</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45723</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45723</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45723</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45723</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45723</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45723</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45723</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45723</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45723</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45723</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45723</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45723</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45723</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45723</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45723</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45723</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45723</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45723</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45723</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45723</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45723</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45723</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45723</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45723</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45723</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45723</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45723</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45723</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45723</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45723</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45723</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45723</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45723</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45723</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45723</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45723</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45723</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45723</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45723</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45723</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45723</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45723</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45723</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45723</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45723</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45723</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45723</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45723</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45723</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45723</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45723</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45723</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45723</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45723</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45723</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45723</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45723</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45723</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45723</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45723</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45723</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45723</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45723</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45723</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45723</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45723</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45723</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45723</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45723</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45723</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45723</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45723</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45723</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45723</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45723</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45723</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45723</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45723</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45723</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45723</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45723</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45723</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45723</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45723</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45723</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45723</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45723</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45723</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45723</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45723</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45723</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45723</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45723</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45723</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45723</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45723</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45723</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45723</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45723</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45723</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45723</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45723</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45723</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45723</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45723</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45723</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45723</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45723</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45723</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45723</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45723</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45723</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45723</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45723</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45723</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45723</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45723</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45723</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45723</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45723</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45723</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45723</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45723</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45723</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45723</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45723</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45723</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45723</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45723</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45723</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45723</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45723</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45723</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45723</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45723</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45723</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45723</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45723</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45723</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45723</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45723</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45723</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45723</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45723</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45723</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45723</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45723</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45723</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45723</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45723</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45723</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45723</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45723</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45723</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45723</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45723</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45723</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45723</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45723</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45723</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45723</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45723</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45723</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45723</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45723</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45723</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45723</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45723</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45723</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45723</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45723</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45723</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45723</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45723</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45723</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45723</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45723</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45723</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45723</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45723</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45723</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45723</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45723</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45723</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45723</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45723</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45723</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45723</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45723</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45723</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45723</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45723</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45723</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45723</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45723</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45723</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45723</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45723</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45723</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45723</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45723</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45723</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45723</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45723</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45723</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45723</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45723</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45723</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45723</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45723</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45723</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45723</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45723</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45723</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45723</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45723</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45723</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45723</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45723</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45723</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45723</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45723</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45723</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45723</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45723</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45723</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45723</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45723</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45723</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45723</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45723</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45723</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45723</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45723</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45723</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45723</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45723</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45723</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45723</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45723</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45723</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45723</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45723</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45723</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45723</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45723</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45723</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45723</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45723</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45723</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45723</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45723</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45723</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45723</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45723</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45723</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45723</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45723</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45723</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45723</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45723</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45723</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45723</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45723</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45723</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45723</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45723</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45723</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45723</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45723</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45723</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45723</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45723</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45723</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45723</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45723</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45723</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45723</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45723</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45723</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5605-2025</t>
        </is>
      </c>
      <c r="B1687" s="1" t="n">
        <v>45693</v>
      </c>
      <c r="C1687" s="1" t="n">
        <v>45723</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45723</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6970-2025</t>
        </is>
      </c>
      <c r="B1689" s="1" t="n">
        <v>45693</v>
      </c>
      <c r="C1689" s="1" t="n">
        <v>45723</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5671-2025</t>
        </is>
      </c>
      <c r="B1690" s="1" t="n">
        <v>45694</v>
      </c>
      <c r="C1690" s="1" t="n">
        <v>45723</v>
      </c>
      <c r="D1690" t="inlineStr">
        <is>
          <t>UPPSALA LÄN</t>
        </is>
      </c>
      <c r="E1690" t="inlineStr">
        <is>
          <t>UPPSALA</t>
        </is>
      </c>
      <c r="F1690" t="inlineStr">
        <is>
          <t>Bergvik skog öst AB</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5719-2025</t>
        </is>
      </c>
      <c r="B1691" s="1" t="n">
        <v>45694</v>
      </c>
      <c r="C1691" s="1" t="n">
        <v>45723</v>
      </c>
      <c r="D1691" t="inlineStr">
        <is>
          <t>UPPSALA LÄN</t>
        </is>
      </c>
      <c r="E1691" t="inlineStr">
        <is>
          <t>UPPSALA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5764-2025</t>
        </is>
      </c>
      <c r="B1692" s="1" t="n">
        <v>45694</v>
      </c>
      <c r="C1692" s="1" t="n">
        <v>45723</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5722-2025</t>
        </is>
      </c>
      <c r="B1693" s="1" t="n">
        <v>45694</v>
      </c>
      <c r="C1693" s="1" t="n">
        <v>45723</v>
      </c>
      <c r="D1693" t="inlineStr">
        <is>
          <t>UPPSALA LÄN</t>
        </is>
      </c>
      <c r="E1693" t="inlineStr">
        <is>
          <t>UPPSALA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5730-2025</t>
        </is>
      </c>
      <c r="B1694" s="1" t="n">
        <v>45694</v>
      </c>
      <c r="C1694" s="1" t="n">
        <v>45723</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5725-2025</t>
        </is>
      </c>
      <c r="B1695" s="1" t="n">
        <v>45694</v>
      </c>
      <c r="C1695" s="1" t="n">
        <v>45723</v>
      </c>
      <c r="D1695" t="inlineStr">
        <is>
          <t>UPPSALA LÄN</t>
        </is>
      </c>
      <c r="E1695" t="inlineStr">
        <is>
          <t>UPPSALA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5729-2025</t>
        </is>
      </c>
      <c r="B1696" s="1" t="n">
        <v>45694</v>
      </c>
      <c r="C1696" s="1" t="n">
        <v>45723</v>
      </c>
      <c r="D1696" t="inlineStr">
        <is>
          <t>UPPSALA LÄN</t>
        </is>
      </c>
      <c r="E1696" t="inlineStr">
        <is>
          <t>UPPSALA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45723</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6059-2025</t>
        </is>
      </c>
      <c r="B1698" s="1" t="n">
        <v>45695</v>
      </c>
      <c r="C1698" s="1" t="n">
        <v>45723</v>
      </c>
      <c r="D1698" t="inlineStr">
        <is>
          <t>UPPSALA LÄN</t>
        </is>
      </c>
      <c r="E1698" t="inlineStr">
        <is>
          <t>UPPSALA</t>
        </is>
      </c>
      <c r="F1698" t="inlineStr">
        <is>
          <t>Bergvik skog öst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6006-2025</t>
        </is>
      </c>
      <c r="B1699" s="1" t="n">
        <v>45695</v>
      </c>
      <c r="C1699" s="1" t="n">
        <v>45723</v>
      </c>
      <c r="D1699" t="inlineStr">
        <is>
          <t>UPPSALA LÄN</t>
        </is>
      </c>
      <c r="E1699" t="inlineStr">
        <is>
          <t>UPPSALA</t>
        </is>
      </c>
      <c r="F1699" t="inlineStr">
        <is>
          <t>Övriga Aktiebolag</t>
        </is>
      </c>
      <c r="G1699" t="n">
        <v>13.8</v>
      </c>
      <c r="H1699" t="n">
        <v>0</v>
      </c>
      <c r="I1699" t="n">
        <v>0</v>
      </c>
      <c r="J1699" t="n">
        <v>0</v>
      </c>
      <c r="K1699" t="n">
        <v>0</v>
      </c>
      <c r="L1699" t="n">
        <v>0</v>
      </c>
      <c r="M1699" t="n">
        <v>0</v>
      </c>
      <c r="N1699" t="n">
        <v>0</v>
      </c>
      <c r="O1699" t="n">
        <v>0</v>
      </c>
      <c r="P1699" t="n">
        <v>0</v>
      </c>
      <c r="Q1699" t="n">
        <v>0</v>
      </c>
      <c r="R1699" s="2" t="inlineStr"/>
    </row>
    <row r="1700" ht="15" customHeight="1">
      <c r="A1700" t="inlineStr">
        <is>
          <t>A 6058-2025</t>
        </is>
      </c>
      <c r="B1700" s="1" t="n">
        <v>45695</v>
      </c>
      <c r="C1700" s="1" t="n">
        <v>45723</v>
      </c>
      <c r="D1700" t="inlineStr">
        <is>
          <t>UPPSALA LÄN</t>
        </is>
      </c>
      <c r="E1700" t="inlineStr">
        <is>
          <t>UPPSALA</t>
        </is>
      </c>
      <c r="F1700" t="inlineStr">
        <is>
          <t>Bergvik skog öst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6012-2025</t>
        </is>
      </c>
      <c r="B1701" s="1" t="n">
        <v>45695</v>
      </c>
      <c r="C1701" s="1" t="n">
        <v>45723</v>
      </c>
      <c r="D1701" t="inlineStr">
        <is>
          <t>UPPSALA LÄN</t>
        </is>
      </c>
      <c r="E1701" t="inlineStr">
        <is>
          <t>UPPSALA</t>
        </is>
      </c>
      <c r="F1701" t="inlineStr">
        <is>
          <t>Övriga Aktiebolag</t>
        </is>
      </c>
      <c r="G1701" t="n">
        <v>14.3</v>
      </c>
      <c r="H1701" t="n">
        <v>0</v>
      </c>
      <c r="I1701" t="n">
        <v>0</v>
      </c>
      <c r="J1701" t="n">
        <v>0</v>
      </c>
      <c r="K1701" t="n">
        <v>0</v>
      </c>
      <c r="L1701" t="n">
        <v>0</v>
      </c>
      <c r="M1701" t="n">
        <v>0</v>
      </c>
      <c r="N1701" t="n">
        <v>0</v>
      </c>
      <c r="O1701" t="n">
        <v>0</v>
      </c>
      <c r="P1701" t="n">
        <v>0</v>
      </c>
      <c r="Q1701" t="n">
        <v>0</v>
      </c>
      <c r="R1701" s="2" t="inlineStr"/>
    </row>
    <row r="1702" ht="15" customHeight="1">
      <c r="A1702" t="inlineStr">
        <is>
          <t>A 6060-2025</t>
        </is>
      </c>
      <c r="B1702" s="1" t="n">
        <v>45695</v>
      </c>
      <c r="C1702" s="1" t="n">
        <v>45723</v>
      </c>
      <c r="D1702" t="inlineStr">
        <is>
          <t>UPPSALA LÄN</t>
        </is>
      </c>
      <c r="E1702" t="inlineStr">
        <is>
          <t>UPPSALA</t>
        </is>
      </c>
      <c r="F1702" t="inlineStr">
        <is>
          <t>Bergvik skog öst AB</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45723</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45723</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45723</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45723</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45723</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7633-2025</t>
        </is>
      </c>
      <c r="B1708" s="1" t="n">
        <v>45705</v>
      </c>
      <c r="C1708" s="1" t="n">
        <v>45723</v>
      </c>
      <c r="D1708" t="inlineStr">
        <is>
          <t>UPPSALA LÄN</t>
        </is>
      </c>
      <c r="E1708" t="inlineStr">
        <is>
          <t>UPPSALA</t>
        </is>
      </c>
      <c r="F1708" t="inlineStr">
        <is>
          <t>Bergvik skog öst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7645-2025</t>
        </is>
      </c>
      <c r="B1709" s="1" t="n">
        <v>45705</v>
      </c>
      <c r="C1709" s="1" t="n">
        <v>45723</v>
      </c>
      <c r="D1709" t="inlineStr">
        <is>
          <t>UPPSALA LÄN</t>
        </is>
      </c>
      <c r="E1709" t="inlineStr">
        <is>
          <t>UPPSALA</t>
        </is>
      </c>
      <c r="F1709" t="inlineStr">
        <is>
          <t>Bergvik skog öst AB</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7376-2025</t>
        </is>
      </c>
      <c r="B1710" s="1" t="n">
        <v>45705</v>
      </c>
      <c r="C1710" s="1" t="n">
        <v>45723</v>
      </c>
      <c r="D1710" t="inlineStr">
        <is>
          <t>UPPSALA LÄN</t>
        </is>
      </c>
      <c r="E1710" t="inlineStr">
        <is>
          <t>UPPSALA</t>
        </is>
      </c>
      <c r="F1710" t="inlineStr">
        <is>
          <t>Bergvik skog väst AB</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7501-2025</t>
        </is>
      </c>
      <c r="B1711" s="1" t="n">
        <v>45705</v>
      </c>
      <c r="C1711" s="1" t="n">
        <v>45723</v>
      </c>
      <c r="D1711" t="inlineStr">
        <is>
          <t>UPPSALA LÄN</t>
        </is>
      </c>
      <c r="E1711" t="inlineStr">
        <is>
          <t>UPPSALA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8162-2025</t>
        </is>
      </c>
      <c r="B1712" s="1" t="n">
        <v>45707</v>
      </c>
      <c r="C1712" s="1" t="n">
        <v>45723</v>
      </c>
      <c r="D1712" t="inlineStr">
        <is>
          <t>UPPSALA LÄN</t>
        </is>
      </c>
      <c r="E1712" t="inlineStr">
        <is>
          <t>UPPSALA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8164-2025</t>
        </is>
      </c>
      <c r="B1713" s="1" t="n">
        <v>45707</v>
      </c>
      <c r="C1713" s="1" t="n">
        <v>45723</v>
      </c>
      <c r="D1713" t="inlineStr">
        <is>
          <t>UPPSALA LÄN</t>
        </is>
      </c>
      <c r="E1713" t="inlineStr">
        <is>
          <t>UPPSALA</t>
        </is>
      </c>
      <c r="F1713" t="inlineStr">
        <is>
          <t>Övriga Aktiebolag</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45723</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45723</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9409-2025</t>
        </is>
      </c>
      <c r="B1716" s="1" t="n">
        <v>45715</v>
      </c>
      <c r="C1716" s="1" t="n">
        <v>45723</v>
      </c>
      <c r="D1716" t="inlineStr">
        <is>
          <t>UPPSALA LÄN</t>
        </is>
      </c>
      <c r="E1716" t="inlineStr">
        <is>
          <t>UPPSALA</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9411-2025</t>
        </is>
      </c>
      <c r="B1717" s="1" t="n">
        <v>45715</v>
      </c>
      <c r="C1717" s="1" t="n">
        <v>45723</v>
      </c>
      <c r="D1717" t="inlineStr">
        <is>
          <t>UPPSALA LÄN</t>
        </is>
      </c>
      <c r="E1717" t="inlineStr">
        <is>
          <t>UPPSALA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9414-2025</t>
        </is>
      </c>
      <c r="B1718" s="1" t="n">
        <v>45715</v>
      </c>
      <c r="C1718" s="1" t="n">
        <v>45723</v>
      </c>
      <c r="D1718" t="inlineStr">
        <is>
          <t>UPPSALA LÄN</t>
        </is>
      </c>
      <c r="E1718" t="inlineStr">
        <is>
          <t>UPPSALA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9984-2025</t>
        </is>
      </c>
      <c r="B1719" s="1" t="n">
        <v>45719</v>
      </c>
      <c r="C1719" s="1" t="n">
        <v>45723</v>
      </c>
      <c r="D1719" t="inlineStr">
        <is>
          <t>UPPSALA LÄN</t>
        </is>
      </c>
      <c r="E1719" t="inlineStr">
        <is>
          <t>UPPSALA</t>
        </is>
      </c>
      <c r="F1719" t="inlineStr">
        <is>
          <t>Kyrkan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9981-2025</t>
        </is>
      </c>
      <c r="B1720" s="1" t="n">
        <v>45719</v>
      </c>
      <c r="C1720" s="1" t="n">
        <v>45723</v>
      </c>
      <c r="D1720" t="inlineStr">
        <is>
          <t>UPPSALA LÄN</t>
        </is>
      </c>
      <c r="E1720" t="inlineStr">
        <is>
          <t>UPPSALA</t>
        </is>
      </c>
      <c r="F1720" t="inlineStr">
        <is>
          <t>Kyrkan</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9993-2025</t>
        </is>
      </c>
      <c r="B1721" s="1" t="n">
        <v>45719</v>
      </c>
      <c r="C1721" s="1" t="n">
        <v>45723</v>
      </c>
      <c r="D1721" t="inlineStr">
        <is>
          <t>UPPSALA LÄN</t>
        </is>
      </c>
      <c r="E1721" t="inlineStr">
        <is>
          <t>UPPSALA</t>
        </is>
      </c>
      <c r="F1721" t="inlineStr">
        <is>
          <t>Kyrkan</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9991-2025</t>
        </is>
      </c>
      <c r="B1722" s="1" t="n">
        <v>45719</v>
      </c>
      <c r="C1722" s="1" t="n">
        <v>45723</v>
      </c>
      <c r="D1722" t="inlineStr">
        <is>
          <t>UPPSALA LÄN</t>
        </is>
      </c>
      <c r="E1722" t="inlineStr">
        <is>
          <t>UPPSALA</t>
        </is>
      </c>
      <c r="F1722" t="inlineStr">
        <is>
          <t>Kyrkan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9995-2025</t>
        </is>
      </c>
      <c r="B1723" s="1" t="n">
        <v>45719</v>
      </c>
      <c r="C1723" s="1" t="n">
        <v>45723</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9982-2025</t>
        </is>
      </c>
      <c r="B1724" s="1" t="n">
        <v>45719</v>
      </c>
      <c r="C1724" s="1" t="n">
        <v>45723</v>
      </c>
      <c r="D1724" t="inlineStr">
        <is>
          <t>UPPSALA LÄN</t>
        </is>
      </c>
      <c r="E1724" t="inlineStr">
        <is>
          <t>UPPSALA</t>
        </is>
      </c>
      <c r="F1724" t="inlineStr">
        <is>
          <t>Kyrkan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45723</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10488-2025</t>
        </is>
      </c>
      <c r="B1726" s="1" t="n">
        <v>45721</v>
      </c>
      <c r="C1726" s="1" t="n">
        <v>45723</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10489-2025</t>
        </is>
      </c>
      <c r="B1727" s="1" t="n">
        <v>45721</v>
      </c>
      <c r="C1727" s="1" t="n">
        <v>45723</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10490-2025</t>
        </is>
      </c>
      <c r="B1728" s="1" t="n">
        <v>45721</v>
      </c>
      <c r="C1728" s="1" t="n">
        <v>45723</v>
      </c>
      <c r="D1728" t="inlineStr">
        <is>
          <t>UPPSALA LÄN</t>
        </is>
      </c>
      <c r="E1728" t="inlineStr">
        <is>
          <t>UPPSALA</t>
        </is>
      </c>
      <c r="G1728" t="n">
        <v>1.8</v>
      </c>
      <c r="H1728" t="n">
        <v>0</v>
      </c>
      <c r="I1728" t="n">
        <v>0</v>
      </c>
      <c r="J1728" t="n">
        <v>0</v>
      </c>
      <c r="K1728" t="n">
        <v>0</v>
      </c>
      <c r="L1728" t="n">
        <v>0</v>
      </c>
      <c r="M1728" t="n">
        <v>0</v>
      </c>
      <c r="N1728" t="n">
        <v>0</v>
      </c>
      <c r="O1728" t="n">
        <v>0</v>
      </c>
      <c r="P1728" t="n">
        <v>0</v>
      </c>
      <c r="Q1728" t="n">
        <v>0</v>
      </c>
      <c r="R1728" s="2" t="inlineStr"/>
    </row>
    <row r="1729">
      <c r="A1729" t="inlineStr">
        <is>
          <t>A 10612-2025</t>
        </is>
      </c>
      <c r="B1729" s="1" t="n">
        <v>45721</v>
      </c>
      <c r="C1729" s="1" t="n">
        <v>45723</v>
      </c>
      <c r="D1729" t="inlineStr">
        <is>
          <t>UPPSALA LÄN</t>
        </is>
      </c>
      <c r="E1729" t="inlineStr">
        <is>
          <t>UPPSALA</t>
        </is>
      </c>
      <c r="G1729" t="n">
        <v>3.5</v>
      </c>
      <c r="H1729" t="n">
        <v>0</v>
      </c>
      <c r="I1729" t="n">
        <v>0</v>
      </c>
      <c r="J1729" t="n">
        <v>0</v>
      </c>
      <c r="K1729" t="n">
        <v>0</v>
      </c>
      <c r="L1729" t="n">
        <v>0</v>
      </c>
      <c r="M1729" t="n">
        <v>0</v>
      </c>
      <c r="N1729" t="n">
        <v>0</v>
      </c>
      <c r="O1729" t="n">
        <v>0</v>
      </c>
      <c r="P1729" t="n">
        <v>0</v>
      </c>
      <c r="Q1729" t="n">
        <v>0</v>
      </c>
      <c r="R1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2025-03-07T16:49:32Z</dcterms:created>
  <dcterms:modified xmlns:dcterms="http://purl.org/dc/terms/" xmlns:xsi="http://www.w3.org/2001/XMLSchema-instance" xsi:type="dcterms:W3CDTF">2025-03-07T16:49:34Z</dcterms:modified>
</cp:coreProperties>
</file>