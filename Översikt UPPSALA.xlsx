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45741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45741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45741</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45741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45741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45741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45741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45741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45741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45741</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45741</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45741</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45741</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45741</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45741</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45741</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9409-2025</t>
        </is>
      </c>
      <c r="B18" s="1" t="n">
        <v>45715</v>
      </c>
      <c r="C18" s="1" t="n">
        <v>45741</v>
      </c>
      <c r="D18" t="inlineStr">
        <is>
          <t>UPPSALA LÄN</t>
        </is>
      </c>
      <c r="E18" t="inlineStr">
        <is>
          <t>UPPSALA</t>
        </is>
      </c>
      <c r="F18" t="inlineStr">
        <is>
          <t>Kyrkan</t>
        </is>
      </c>
      <c r="G18" t="n">
        <v>13</v>
      </c>
      <c r="H18" t="n">
        <v>4</v>
      </c>
      <c r="I18" t="n">
        <v>3</v>
      </c>
      <c r="J18" t="n">
        <v>6</v>
      </c>
      <c r="K18" t="n">
        <v>1</v>
      </c>
      <c r="L18" t="n">
        <v>0</v>
      </c>
      <c r="M18" t="n">
        <v>0</v>
      </c>
      <c r="N18" t="n">
        <v>0</v>
      </c>
      <c r="O18" t="n">
        <v>7</v>
      </c>
      <c r="P18" t="n">
        <v>1</v>
      </c>
      <c r="Q18" t="n">
        <v>11</v>
      </c>
      <c r="R18" s="2" t="inlineStr">
        <is>
          <t>Knärot
Dvärgbägarlav
Garnlav
Järpe
Talltita
Vedskivlav
Vedtrappmossa
Flagellkvastmossa
Kattfotslav
Rostfläck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11833-2025</t>
        </is>
      </c>
      <c r="B19" s="1" t="n">
        <v>45728</v>
      </c>
      <c r="C19" s="1" t="n">
        <v>45741</v>
      </c>
      <c r="D19" t="inlineStr">
        <is>
          <t>UPPSALA LÄN</t>
        </is>
      </c>
      <c r="E19" t="inlineStr">
        <is>
          <t>UPPSALA</t>
        </is>
      </c>
      <c r="F19" t="inlineStr">
        <is>
          <t>Kyrkan</t>
        </is>
      </c>
      <c r="G19" t="n">
        <v>13</v>
      </c>
      <c r="H19" t="n">
        <v>4</v>
      </c>
      <c r="I19" t="n">
        <v>3</v>
      </c>
      <c r="J19" t="n">
        <v>6</v>
      </c>
      <c r="K19" t="n">
        <v>1</v>
      </c>
      <c r="L19" t="n">
        <v>0</v>
      </c>
      <c r="M19" t="n">
        <v>0</v>
      </c>
      <c r="N19" t="n">
        <v>0</v>
      </c>
      <c r="O19" t="n">
        <v>7</v>
      </c>
      <c r="P19" t="n">
        <v>1</v>
      </c>
      <c r="Q19" t="n">
        <v>11</v>
      </c>
      <c r="R19" s="2" t="inlineStr">
        <is>
          <t>Knärot
Dvärgbägarlav
Garnlav
Järpe
Talltita
Vedskivlav
Vedtrappmossa
Flagellkvastmossa
Kattfotslav
Rostfläck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64002-2019</t>
        </is>
      </c>
      <c r="B20" s="1" t="n">
        <v>43796</v>
      </c>
      <c r="C20" s="1" t="n">
        <v>45741</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45741</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45741</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45741</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45741</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45741</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45741</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45741</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45741</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45741</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45741</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45741</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45741</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45741</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HYPERLINK("https://klasma.github.io/Logging_0380/artfynd/A 9406-2025 artfynd.xlsx", "A 9406-2025")</f>
        <v/>
      </c>
      <c r="T33">
        <f>HYPERLINK("https://klasma.github.io/Logging_0380/kartor/A 9406-2025 karta.png", "A 9406-2025")</f>
        <v/>
      </c>
      <c r="V33">
        <f>HYPERLINK("https://klasma.github.io/Logging_0380/klagomål/A 9406-2025 FSC-klagomål.docx", "A 9406-2025")</f>
        <v/>
      </c>
      <c r="W33">
        <f>HYPERLINK("https://klasma.github.io/Logging_0380/klagomålsmail/A 9406-2025 FSC-klagomål mail.docx", "A 9406-2025")</f>
        <v/>
      </c>
      <c r="X33">
        <f>HYPERLINK("https://klasma.github.io/Logging_0380/tillsyn/A 9406-2025 tillsynsbegäran.docx", "A 9406-2025")</f>
        <v/>
      </c>
      <c r="Y33">
        <f>HYPERLINK("https://klasma.github.io/Logging_0380/tillsynsmail/A 9406-2025 tillsynsbegäran mail.docx", "A 9406-2025")</f>
        <v/>
      </c>
      <c r="Z33">
        <f>HYPERLINK("https://klasma.github.io/Logging_0380/fåglar/A 9406-2025 prioriterade fågelarter.docx", "A 9406-2025")</f>
        <v/>
      </c>
    </row>
    <row r="34" ht="15" customHeight="1">
      <c r="A34" t="inlineStr">
        <is>
          <t>A 33012-2021</t>
        </is>
      </c>
      <c r="B34" s="1" t="n">
        <v>44376</v>
      </c>
      <c r="C34" s="1" t="n">
        <v>45741</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45741</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45741</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45741</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45741</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45741</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45741</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45741</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45741</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45741</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45741</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45741</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45741</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45741</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45741</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45741</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45741</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45741</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45741</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45741</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45741</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45741</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45741</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45741</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HYPERLINK("https://klasma.github.io/Logging_0380/artfynd/A 13546-2025 artfynd.xlsx", "A 13546-2025")</f>
        <v/>
      </c>
      <c r="T57">
        <f>HYPERLINK("https://klasma.github.io/Logging_0380/kartor/A 13546-2025 karta.png", "A 13546-2025")</f>
        <v/>
      </c>
      <c r="V57">
        <f>HYPERLINK("https://klasma.github.io/Logging_0380/klagomål/A 13546-2025 FSC-klagomål.docx", "A 13546-2025")</f>
        <v/>
      </c>
      <c r="W57">
        <f>HYPERLINK("https://klasma.github.io/Logging_0380/klagomålsmail/A 13546-2025 FSC-klagomål mail.docx", "A 13546-2025")</f>
        <v/>
      </c>
      <c r="X57">
        <f>HYPERLINK("https://klasma.github.io/Logging_0380/tillsyn/A 13546-2025 tillsynsbegäran.docx", "A 13546-2025")</f>
        <v/>
      </c>
      <c r="Y57">
        <f>HYPERLINK("https://klasma.github.io/Logging_0380/tillsynsmail/A 13546-2025 tillsynsbegäran mail.docx", "A 13546-2025")</f>
        <v/>
      </c>
    </row>
    <row r="58" ht="15" customHeight="1">
      <c r="A58" t="inlineStr">
        <is>
          <t>A 4116-2020</t>
        </is>
      </c>
      <c r="B58" s="1" t="n">
        <v>43857</v>
      </c>
      <c r="C58" s="1" t="n">
        <v>45741</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45741</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45741</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45741</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15956-2022</t>
        </is>
      </c>
      <c r="B62" s="1" t="n">
        <v>44664</v>
      </c>
      <c r="C62" s="1" t="n">
        <v>45741</v>
      </c>
      <c r="D62" t="inlineStr">
        <is>
          <t>UPPSALA LÄN</t>
        </is>
      </c>
      <c r="E62" t="inlineStr">
        <is>
          <t>UPPSALA</t>
        </is>
      </c>
      <c r="G62" t="n">
        <v>0.8</v>
      </c>
      <c r="H62" t="n">
        <v>0</v>
      </c>
      <c r="I62" t="n">
        <v>1</v>
      </c>
      <c r="J62" t="n">
        <v>2</v>
      </c>
      <c r="K62" t="n">
        <v>1</v>
      </c>
      <c r="L62" t="n">
        <v>0</v>
      </c>
      <c r="M62" t="n">
        <v>0</v>
      </c>
      <c r="N62" t="n">
        <v>0</v>
      </c>
      <c r="O62" t="n">
        <v>3</v>
      </c>
      <c r="P62" t="n">
        <v>1</v>
      </c>
      <c r="Q62" t="n">
        <v>4</v>
      </c>
      <c r="R62" s="2" t="inlineStr">
        <is>
          <t>Koppartaggsvamp
Orange taggsvamp
Svart taggsvamp
Mandelriska</t>
        </is>
      </c>
      <c r="S62">
        <f>HYPERLINK("https://klasma.github.io/Logging_0380/artfynd/A 15956-2022 artfynd.xlsx", "A 15956-2022")</f>
        <v/>
      </c>
      <c r="T62">
        <f>HYPERLINK("https://klasma.github.io/Logging_0380/kartor/A 15956-2022 karta.png", "A 15956-2022")</f>
        <v/>
      </c>
      <c r="V62">
        <f>HYPERLINK("https://klasma.github.io/Logging_0380/klagomål/A 15956-2022 FSC-klagomål.docx", "A 15956-2022")</f>
        <v/>
      </c>
      <c r="W62">
        <f>HYPERLINK("https://klasma.github.io/Logging_0380/klagomålsmail/A 15956-2022 FSC-klagomål mail.docx", "A 15956-2022")</f>
        <v/>
      </c>
      <c r="X62">
        <f>HYPERLINK("https://klasma.github.io/Logging_0380/tillsyn/A 15956-2022 tillsynsbegäran.docx", "A 15956-2022")</f>
        <v/>
      </c>
      <c r="Y62">
        <f>HYPERLINK("https://klasma.github.io/Logging_0380/tillsynsmail/A 15956-2022 tillsynsbegäran mail.docx", "A 15956-2022")</f>
        <v/>
      </c>
    </row>
    <row r="63" ht="15" customHeight="1">
      <c r="A63" t="inlineStr">
        <is>
          <t>A 23153-2022</t>
        </is>
      </c>
      <c r="B63" s="1" t="n">
        <v>44719</v>
      </c>
      <c r="C63" s="1" t="n">
        <v>45741</v>
      </c>
      <c r="D63" t="inlineStr">
        <is>
          <t>UPPSALA LÄN</t>
        </is>
      </c>
      <c r="E63" t="inlineStr">
        <is>
          <t>UPPSALA</t>
        </is>
      </c>
      <c r="G63" t="n">
        <v>5.4</v>
      </c>
      <c r="H63" t="n">
        <v>0</v>
      </c>
      <c r="I63" t="n">
        <v>3</v>
      </c>
      <c r="J63" t="n">
        <v>1</v>
      </c>
      <c r="K63" t="n">
        <v>0</v>
      </c>
      <c r="L63" t="n">
        <v>0</v>
      </c>
      <c r="M63" t="n">
        <v>0</v>
      </c>
      <c r="N63" t="n">
        <v>0</v>
      </c>
      <c r="O63" t="n">
        <v>1</v>
      </c>
      <c r="P63" t="n">
        <v>0</v>
      </c>
      <c r="Q63" t="n">
        <v>4</v>
      </c>
      <c r="R63" s="2" t="inlineStr">
        <is>
          <t>Större flatbagge
Bronshjon
Thomsons trägnagare
Trådticka</t>
        </is>
      </c>
      <c r="S63">
        <f>HYPERLINK("https://klasma.github.io/Logging_0380/artfynd/A 23153-2022 artfynd.xlsx", "A 23153-2022")</f>
        <v/>
      </c>
      <c r="T63">
        <f>HYPERLINK("https://klasma.github.io/Logging_0380/kartor/A 23153-2022 karta.png", "A 23153-2022")</f>
        <v/>
      </c>
      <c r="V63">
        <f>HYPERLINK("https://klasma.github.io/Logging_0380/klagomål/A 23153-2022 FSC-klagomål.docx", "A 23153-2022")</f>
        <v/>
      </c>
      <c r="W63">
        <f>HYPERLINK("https://klasma.github.io/Logging_0380/klagomålsmail/A 23153-2022 FSC-klagomål mail.docx", "A 23153-2022")</f>
        <v/>
      </c>
      <c r="X63">
        <f>HYPERLINK("https://klasma.github.io/Logging_0380/tillsyn/A 23153-2022 tillsynsbegäran.docx", "A 23153-2022")</f>
        <v/>
      </c>
      <c r="Y63">
        <f>HYPERLINK("https://klasma.github.io/Logging_0380/tillsynsmail/A 23153-2022 tillsynsbegäran mail.docx", "A 23153-2022")</f>
        <v/>
      </c>
    </row>
    <row r="64" ht="15" customHeight="1">
      <c r="A64" t="inlineStr">
        <is>
          <t>A 26758-2022</t>
        </is>
      </c>
      <c r="B64" s="1" t="n">
        <v>44740</v>
      </c>
      <c r="C64" s="1" t="n">
        <v>45741</v>
      </c>
      <c r="D64" t="inlineStr">
        <is>
          <t>UPPSALA LÄN</t>
        </is>
      </c>
      <c r="E64" t="inlineStr">
        <is>
          <t>UPPSALA</t>
        </is>
      </c>
      <c r="G64" t="n">
        <v>21.5</v>
      </c>
      <c r="H64" t="n">
        <v>0</v>
      </c>
      <c r="I64" t="n">
        <v>3</v>
      </c>
      <c r="J64" t="n">
        <v>1</v>
      </c>
      <c r="K64" t="n">
        <v>0</v>
      </c>
      <c r="L64" t="n">
        <v>0</v>
      </c>
      <c r="M64" t="n">
        <v>0</v>
      </c>
      <c r="N64" t="n">
        <v>0</v>
      </c>
      <c r="O64" t="n">
        <v>1</v>
      </c>
      <c r="P64" t="n">
        <v>0</v>
      </c>
      <c r="Q64" t="n">
        <v>4</v>
      </c>
      <c r="R64" s="2" t="inlineStr">
        <is>
          <t>Vedtrappmossa
Blåmossa
Bronshjon
Trådticka</t>
        </is>
      </c>
      <c r="S64">
        <f>HYPERLINK("https://klasma.github.io/Logging_0380/artfynd/A 26758-2022 artfynd.xlsx", "A 26758-2022")</f>
        <v/>
      </c>
      <c r="T64">
        <f>HYPERLINK("https://klasma.github.io/Logging_0380/kartor/A 26758-2022 karta.png", "A 26758-2022")</f>
        <v/>
      </c>
      <c r="V64">
        <f>HYPERLINK("https://klasma.github.io/Logging_0380/klagomål/A 26758-2022 FSC-klagomål.docx", "A 26758-2022")</f>
        <v/>
      </c>
      <c r="W64">
        <f>HYPERLINK("https://klasma.github.io/Logging_0380/klagomålsmail/A 26758-2022 FSC-klagomål mail.docx", "A 26758-2022")</f>
        <v/>
      </c>
      <c r="X64">
        <f>HYPERLINK("https://klasma.github.io/Logging_0380/tillsyn/A 26758-2022 tillsynsbegäran.docx", "A 26758-2022")</f>
        <v/>
      </c>
      <c r="Y64">
        <f>HYPERLINK("https://klasma.github.io/Logging_0380/tillsynsmail/A 26758-2022 tillsynsbegäran mail.docx", "A 26758-2022")</f>
        <v/>
      </c>
    </row>
    <row r="65" ht="15" customHeight="1">
      <c r="A65" t="inlineStr">
        <is>
          <t>A 8323-2023</t>
        </is>
      </c>
      <c r="B65" s="1" t="n">
        <v>44974</v>
      </c>
      <c r="C65" s="1" t="n">
        <v>45741</v>
      </c>
      <c r="D65" t="inlineStr">
        <is>
          <t>UPPSALA LÄN</t>
        </is>
      </c>
      <c r="E65" t="inlineStr">
        <is>
          <t>UPPSALA</t>
        </is>
      </c>
      <c r="G65" t="n">
        <v>9.4</v>
      </c>
      <c r="H65" t="n">
        <v>1</v>
      </c>
      <c r="I65" t="n">
        <v>2</v>
      </c>
      <c r="J65" t="n">
        <v>1</v>
      </c>
      <c r="K65" t="n">
        <v>0</v>
      </c>
      <c r="L65" t="n">
        <v>0</v>
      </c>
      <c r="M65" t="n">
        <v>0</v>
      </c>
      <c r="N65" t="n">
        <v>0</v>
      </c>
      <c r="O65" t="n">
        <v>1</v>
      </c>
      <c r="P65" t="n">
        <v>0</v>
      </c>
      <c r="Q65" t="n">
        <v>4</v>
      </c>
      <c r="R65" s="2" t="inlineStr">
        <is>
          <t>Leptoporus erubescens
Blodticka
Grönpyrola
Revlummer</t>
        </is>
      </c>
      <c r="S65">
        <f>HYPERLINK("https://klasma.github.io/Logging_0380/artfynd/A 8323-2023 artfynd.xlsx", "A 8323-2023")</f>
        <v/>
      </c>
      <c r="T65">
        <f>HYPERLINK("https://klasma.github.io/Logging_0380/kartor/A 8323-2023 karta.png", "A 8323-2023")</f>
        <v/>
      </c>
      <c r="V65">
        <f>HYPERLINK("https://klasma.github.io/Logging_0380/klagomål/A 8323-2023 FSC-klagomål.docx", "A 8323-2023")</f>
        <v/>
      </c>
      <c r="W65">
        <f>HYPERLINK("https://klasma.github.io/Logging_0380/klagomålsmail/A 8323-2023 FSC-klagomål mail.docx", "A 8323-2023")</f>
        <v/>
      </c>
      <c r="X65">
        <f>HYPERLINK("https://klasma.github.io/Logging_0380/tillsyn/A 8323-2023 tillsynsbegäran.docx", "A 8323-2023")</f>
        <v/>
      </c>
      <c r="Y65">
        <f>HYPERLINK("https://klasma.github.io/Logging_0380/tillsynsmail/A 8323-2023 tillsynsbegäran mail.docx", "A 8323-2023")</f>
        <v/>
      </c>
    </row>
    <row r="66" ht="15" customHeight="1">
      <c r="A66" t="inlineStr">
        <is>
          <t>A 13210-2023</t>
        </is>
      </c>
      <c r="B66" s="1" t="n">
        <v>45002</v>
      </c>
      <c r="C66" s="1" t="n">
        <v>45741</v>
      </c>
      <c r="D66" t="inlineStr">
        <is>
          <t>UPPSALA LÄN</t>
        </is>
      </c>
      <c r="E66" t="inlineStr">
        <is>
          <t>UPPSALA</t>
        </is>
      </c>
      <c r="F66" t="inlineStr">
        <is>
          <t>Holmen skog AB</t>
        </is>
      </c>
      <c r="G66" t="n">
        <v>6.5</v>
      </c>
      <c r="H66" t="n">
        <v>2</v>
      </c>
      <c r="I66" t="n">
        <v>2</v>
      </c>
      <c r="J66" t="n">
        <v>0</v>
      </c>
      <c r="K66" t="n">
        <v>1</v>
      </c>
      <c r="L66" t="n">
        <v>0</v>
      </c>
      <c r="M66" t="n">
        <v>0</v>
      </c>
      <c r="N66" t="n">
        <v>0</v>
      </c>
      <c r="O66" t="n">
        <v>1</v>
      </c>
      <c r="P66" t="n">
        <v>1</v>
      </c>
      <c r="Q66" t="n">
        <v>4</v>
      </c>
      <c r="R66" s="2" t="inlineStr">
        <is>
          <t>Knärot
Bronshjon
Vanlig rörsvepemossa
Blåsippa</t>
        </is>
      </c>
      <c r="S66">
        <f>HYPERLINK("https://klasma.github.io/Logging_0380/artfynd/A 13210-2023 artfynd.xlsx", "A 13210-2023")</f>
        <v/>
      </c>
      <c r="T66">
        <f>HYPERLINK("https://klasma.github.io/Logging_0380/kartor/A 13210-2023 karta.png", "A 13210-2023")</f>
        <v/>
      </c>
      <c r="U66">
        <f>HYPERLINK("https://klasma.github.io/Logging_0380/knärot/A 13210-2023 karta knärot.png", "A 13210-2023")</f>
        <v/>
      </c>
      <c r="V66">
        <f>HYPERLINK("https://klasma.github.io/Logging_0380/klagomål/A 13210-2023 FSC-klagomål.docx", "A 13210-2023")</f>
        <v/>
      </c>
      <c r="W66">
        <f>HYPERLINK("https://klasma.github.io/Logging_0380/klagomålsmail/A 13210-2023 FSC-klagomål mail.docx", "A 13210-2023")</f>
        <v/>
      </c>
      <c r="X66">
        <f>HYPERLINK("https://klasma.github.io/Logging_0380/tillsyn/A 13210-2023 tillsynsbegäran.docx", "A 13210-2023")</f>
        <v/>
      </c>
      <c r="Y66">
        <f>HYPERLINK("https://klasma.github.io/Logging_0380/tillsynsmail/A 13210-2023 tillsynsbegäran mail.docx", "A 13210-2023")</f>
        <v/>
      </c>
    </row>
    <row r="67" ht="15" customHeight="1">
      <c r="A67" t="inlineStr">
        <is>
          <t>A 16456-2023</t>
        </is>
      </c>
      <c r="B67" s="1" t="n">
        <v>45026</v>
      </c>
      <c r="C67" s="1" t="n">
        <v>45741</v>
      </c>
      <c r="D67" t="inlineStr">
        <is>
          <t>UPPSALA LÄN</t>
        </is>
      </c>
      <c r="E67" t="inlineStr">
        <is>
          <t>UPPSALA</t>
        </is>
      </c>
      <c r="G67" t="n">
        <v>6.5</v>
      </c>
      <c r="H67" t="n">
        <v>3</v>
      </c>
      <c r="I67" t="n">
        <v>1</v>
      </c>
      <c r="J67" t="n">
        <v>2</v>
      </c>
      <c r="K67" t="n">
        <v>0</v>
      </c>
      <c r="L67" t="n">
        <v>0</v>
      </c>
      <c r="M67" t="n">
        <v>0</v>
      </c>
      <c r="N67" t="n">
        <v>0</v>
      </c>
      <c r="O67" t="n">
        <v>2</v>
      </c>
      <c r="P67" t="n">
        <v>0</v>
      </c>
      <c r="Q67" t="n">
        <v>4</v>
      </c>
      <c r="R67" s="2" t="inlineStr">
        <is>
          <t>Entita
Rödvingetrast
Björksplintborre
Skogsduva</t>
        </is>
      </c>
      <c r="S67">
        <f>HYPERLINK("https://klasma.github.io/Logging_0380/artfynd/A 16456-2023 artfynd.xlsx", "A 16456-2023")</f>
        <v/>
      </c>
      <c r="T67">
        <f>HYPERLINK("https://klasma.github.io/Logging_0380/kartor/A 16456-2023 karta.png", "A 16456-2023")</f>
        <v/>
      </c>
      <c r="V67">
        <f>HYPERLINK("https://klasma.github.io/Logging_0380/klagomål/A 16456-2023 FSC-klagomål.docx", "A 16456-2023")</f>
        <v/>
      </c>
      <c r="W67">
        <f>HYPERLINK("https://klasma.github.io/Logging_0380/klagomålsmail/A 16456-2023 FSC-klagomål mail.docx", "A 16456-2023")</f>
        <v/>
      </c>
      <c r="X67">
        <f>HYPERLINK("https://klasma.github.io/Logging_0380/tillsyn/A 16456-2023 tillsynsbegäran.docx", "A 16456-2023")</f>
        <v/>
      </c>
      <c r="Y67">
        <f>HYPERLINK("https://klasma.github.io/Logging_0380/tillsynsmail/A 16456-2023 tillsynsbegäran mail.docx", "A 16456-2023")</f>
        <v/>
      </c>
      <c r="Z67">
        <f>HYPERLINK("https://klasma.github.io/Logging_0380/fåglar/A 16456-2023 prioriterade fågelarter.docx", "A 16456-2023")</f>
        <v/>
      </c>
    </row>
    <row r="68" ht="15" customHeight="1">
      <c r="A68" t="inlineStr">
        <is>
          <t>A 19329-2023</t>
        </is>
      </c>
      <c r="B68" s="1" t="n">
        <v>45049</v>
      </c>
      <c r="C68" s="1" t="n">
        <v>45741</v>
      </c>
      <c r="D68" t="inlineStr">
        <is>
          <t>UPPSALA LÄN</t>
        </is>
      </c>
      <c r="E68" t="inlineStr">
        <is>
          <t>UPPSALA</t>
        </is>
      </c>
      <c r="G68" t="n">
        <v>10</v>
      </c>
      <c r="H68" t="n">
        <v>0</v>
      </c>
      <c r="I68" t="n">
        <v>3</v>
      </c>
      <c r="J68" t="n">
        <v>1</v>
      </c>
      <c r="K68" t="n">
        <v>0</v>
      </c>
      <c r="L68" t="n">
        <v>0</v>
      </c>
      <c r="M68" t="n">
        <v>0</v>
      </c>
      <c r="N68" t="n">
        <v>0</v>
      </c>
      <c r="O68" t="n">
        <v>1</v>
      </c>
      <c r="P68" t="n">
        <v>0</v>
      </c>
      <c r="Q68" t="n">
        <v>4</v>
      </c>
      <c r="R68" s="2" t="inlineStr">
        <is>
          <t>Erastia ochraceolateritia
Blodticka
Fjällig taggsvamp s.str.
Svavelriska</t>
        </is>
      </c>
      <c r="S68">
        <f>HYPERLINK("https://klasma.github.io/Logging_0380/artfynd/A 19329-2023 artfynd.xlsx", "A 19329-2023")</f>
        <v/>
      </c>
      <c r="T68">
        <f>HYPERLINK("https://klasma.github.io/Logging_0380/kartor/A 19329-2023 karta.png", "A 19329-2023")</f>
        <v/>
      </c>
      <c r="V68">
        <f>HYPERLINK("https://klasma.github.io/Logging_0380/klagomål/A 19329-2023 FSC-klagomål.docx", "A 19329-2023")</f>
        <v/>
      </c>
      <c r="W68">
        <f>HYPERLINK("https://klasma.github.io/Logging_0380/klagomålsmail/A 19329-2023 FSC-klagomål mail.docx", "A 19329-2023")</f>
        <v/>
      </c>
      <c r="X68">
        <f>HYPERLINK("https://klasma.github.io/Logging_0380/tillsyn/A 19329-2023 tillsynsbegäran.docx", "A 19329-2023")</f>
        <v/>
      </c>
      <c r="Y68">
        <f>HYPERLINK("https://klasma.github.io/Logging_0380/tillsynsmail/A 19329-2023 tillsynsbegäran mail.docx", "A 19329-2023")</f>
        <v/>
      </c>
    </row>
    <row r="69" ht="15" customHeight="1">
      <c r="A69" t="inlineStr">
        <is>
          <t>A 11217-2024</t>
        </is>
      </c>
      <c r="B69" s="1" t="n">
        <v>45371</v>
      </c>
      <c r="C69" s="1" t="n">
        <v>45741</v>
      </c>
      <c r="D69" t="inlineStr">
        <is>
          <t>UPPSALA LÄN</t>
        </is>
      </c>
      <c r="E69" t="inlineStr">
        <is>
          <t>UPPSALA</t>
        </is>
      </c>
      <c r="F69" t="inlineStr">
        <is>
          <t>Kommuner</t>
        </is>
      </c>
      <c r="G69" t="n">
        <v>1.5</v>
      </c>
      <c r="H69" t="n">
        <v>1</v>
      </c>
      <c r="I69" t="n">
        <v>4</v>
      </c>
      <c r="J69" t="n">
        <v>0</v>
      </c>
      <c r="K69" t="n">
        <v>0</v>
      </c>
      <c r="L69" t="n">
        <v>0</v>
      </c>
      <c r="M69" t="n">
        <v>0</v>
      </c>
      <c r="N69" t="n">
        <v>0</v>
      </c>
      <c r="O69" t="n">
        <v>0</v>
      </c>
      <c r="P69" t="n">
        <v>0</v>
      </c>
      <c r="Q69" t="n">
        <v>4</v>
      </c>
      <c r="R69" s="2" t="inlineStr">
        <is>
          <t>Fällmossa
Grön sköldmossa
Lönnlav
Stor aspticka</t>
        </is>
      </c>
      <c r="S69">
        <f>HYPERLINK("https://klasma.github.io/Logging_0380/artfynd/A 11217-2024 artfynd.xlsx", "A 11217-2024")</f>
        <v/>
      </c>
      <c r="T69">
        <f>HYPERLINK("https://klasma.github.io/Logging_0380/kartor/A 11217-2024 karta.png", "A 11217-2024")</f>
        <v/>
      </c>
      <c r="V69">
        <f>HYPERLINK("https://klasma.github.io/Logging_0380/klagomål/A 11217-2024 FSC-klagomål.docx", "A 11217-2024")</f>
        <v/>
      </c>
      <c r="W69">
        <f>HYPERLINK("https://klasma.github.io/Logging_0380/klagomålsmail/A 11217-2024 FSC-klagomål mail.docx", "A 11217-2024")</f>
        <v/>
      </c>
      <c r="X69">
        <f>HYPERLINK("https://klasma.github.io/Logging_0380/tillsyn/A 11217-2024 tillsynsbegäran.docx", "A 11217-2024")</f>
        <v/>
      </c>
      <c r="Y69">
        <f>HYPERLINK("https://klasma.github.io/Logging_0380/tillsynsmail/A 11217-2024 tillsynsbegäran mail.docx", "A 11217-2024")</f>
        <v/>
      </c>
    </row>
    <row r="70" ht="15" customHeight="1">
      <c r="A70" t="inlineStr">
        <is>
          <t>A 21809-2024</t>
        </is>
      </c>
      <c r="B70" s="1" t="n">
        <v>45442</v>
      </c>
      <c r="C70" s="1" t="n">
        <v>45741</v>
      </c>
      <c r="D70" t="inlineStr">
        <is>
          <t>UPPSALA LÄN</t>
        </is>
      </c>
      <c r="E70" t="inlineStr">
        <is>
          <t>UPPSALA</t>
        </is>
      </c>
      <c r="F70" t="inlineStr">
        <is>
          <t>Övriga statliga verk och myndigheter</t>
        </is>
      </c>
      <c r="G70" t="n">
        <v>6.6</v>
      </c>
      <c r="H70" t="n">
        <v>3</v>
      </c>
      <c r="I70" t="n">
        <v>1</v>
      </c>
      <c r="J70" t="n">
        <v>1</v>
      </c>
      <c r="K70" t="n">
        <v>0</v>
      </c>
      <c r="L70" t="n">
        <v>0</v>
      </c>
      <c r="M70" t="n">
        <v>0</v>
      </c>
      <c r="N70" t="n">
        <v>0</v>
      </c>
      <c r="O70" t="n">
        <v>1</v>
      </c>
      <c r="P70" t="n">
        <v>0</v>
      </c>
      <c r="Q70" t="n">
        <v>4</v>
      </c>
      <c r="R70" s="2" t="inlineStr">
        <is>
          <t>Nordfladdermus
Vågbandad barkbock
Dvärgpipistrell
Blåsippa</t>
        </is>
      </c>
      <c r="S70">
        <f>HYPERLINK("https://klasma.github.io/Logging_0380/artfynd/A 21809-2024 artfynd.xlsx", "A 21809-2024")</f>
        <v/>
      </c>
      <c r="T70">
        <f>HYPERLINK("https://klasma.github.io/Logging_0380/kartor/A 21809-2024 karta.png", "A 21809-2024")</f>
        <v/>
      </c>
      <c r="V70">
        <f>HYPERLINK("https://klasma.github.io/Logging_0380/klagomål/A 21809-2024 FSC-klagomål.docx", "A 21809-2024")</f>
        <v/>
      </c>
      <c r="W70">
        <f>HYPERLINK("https://klasma.github.io/Logging_0380/klagomålsmail/A 21809-2024 FSC-klagomål mail.docx", "A 21809-2024")</f>
        <v/>
      </c>
      <c r="X70">
        <f>HYPERLINK("https://klasma.github.io/Logging_0380/tillsyn/A 21809-2024 tillsynsbegäran.docx", "A 21809-2024")</f>
        <v/>
      </c>
      <c r="Y70">
        <f>HYPERLINK("https://klasma.github.io/Logging_0380/tillsynsmail/A 21809-2024 tillsynsbegäran mail.docx", "A 21809-2024")</f>
        <v/>
      </c>
    </row>
    <row r="71" ht="15" customHeight="1">
      <c r="A71" t="inlineStr">
        <is>
          <t>A 23691-2024</t>
        </is>
      </c>
      <c r="B71" s="1" t="n">
        <v>45454</v>
      </c>
      <c r="C71" s="1" t="n">
        <v>45741</v>
      </c>
      <c r="D71" t="inlineStr">
        <is>
          <t>UPPSALA LÄN</t>
        </is>
      </c>
      <c r="E71" t="inlineStr">
        <is>
          <t>UPPSALA</t>
        </is>
      </c>
      <c r="F71" t="inlineStr">
        <is>
          <t>Holmen skog AB</t>
        </is>
      </c>
      <c r="G71" t="n">
        <v>2.2</v>
      </c>
      <c r="H71" t="n">
        <v>0</v>
      </c>
      <c r="I71" t="n">
        <v>1</v>
      </c>
      <c r="J71" t="n">
        <v>3</v>
      </c>
      <c r="K71" t="n">
        <v>0</v>
      </c>
      <c r="L71" t="n">
        <v>0</v>
      </c>
      <c r="M71" t="n">
        <v>0</v>
      </c>
      <c r="N71" t="n">
        <v>0</v>
      </c>
      <c r="O71" t="n">
        <v>3</v>
      </c>
      <c r="P71" t="n">
        <v>0</v>
      </c>
      <c r="Q71" t="n">
        <v>4</v>
      </c>
      <c r="R71" s="2" t="inlineStr">
        <is>
          <t>Ekticka
Lunglav
Skuggorangelav
Gulpudrad spiklav</t>
        </is>
      </c>
      <c r="S71">
        <f>HYPERLINK("https://klasma.github.io/Logging_0380/artfynd/A 23691-2024 artfynd.xlsx", "A 23691-2024")</f>
        <v/>
      </c>
      <c r="T71">
        <f>HYPERLINK("https://klasma.github.io/Logging_0380/kartor/A 23691-2024 karta.png", "A 23691-2024")</f>
        <v/>
      </c>
      <c r="V71">
        <f>HYPERLINK("https://klasma.github.io/Logging_0380/klagomål/A 23691-2024 FSC-klagomål.docx", "A 23691-2024")</f>
        <v/>
      </c>
      <c r="W71">
        <f>HYPERLINK("https://klasma.github.io/Logging_0380/klagomålsmail/A 23691-2024 FSC-klagomål mail.docx", "A 23691-2024")</f>
        <v/>
      </c>
      <c r="X71">
        <f>HYPERLINK("https://klasma.github.io/Logging_0380/tillsyn/A 23691-2024 tillsynsbegäran.docx", "A 23691-2024")</f>
        <v/>
      </c>
      <c r="Y71">
        <f>HYPERLINK("https://klasma.github.io/Logging_0380/tillsynsmail/A 23691-2024 tillsynsbegäran mail.docx", "A 23691-2024")</f>
        <v/>
      </c>
    </row>
    <row r="72" ht="15" customHeight="1">
      <c r="A72" t="inlineStr">
        <is>
          <t>A 23807-2024</t>
        </is>
      </c>
      <c r="B72" s="1" t="n">
        <v>45455</v>
      </c>
      <c r="C72" s="1" t="n">
        <v>45741</v>
      </c>
      <c r="D72" t="inlineStr">
        <is>
          <t>UPPSALA LÄN</t>
        </is>
      </c>
      <c r="E72" t="inlineStr">
        <is>
          <t>UPPSALA</t>
        </is>
      </c>
      <c r="F72" t="inlineStr">
        <is>
          <t>Holmen skog AB</t>
        </is>
      </c>
      <c r="G72" t="n">
        <v>8.800000000000001</v>
      </c>
      <c r="H72" t="n">
        <v>2</v>
      </c>
      <c r="I72" t="n">
        <v>2</v>
      </c>
      <c r="J72" t="n">
        <v>0</v>
      </c>
      <c r="K72" t="n">
        <v>0</v>
      </c>
      <c r="L72" t="n">
        <v>0</v>
      </c>
      <c r="M72" t="n">
        <v>0</v>
      </c>
      <c r="N72" t="n">
        <v>0</v>
      </c>
      <c r="O72" t="n">
        <v>0</v>
      </c>
      <c r="P72" t="n">
        <v>0</v>
      </c>
      <c r="Q72" t="n">
        <v>4</v>
      </c>
      <c r="R72" s="2" t="inlineStr">
        <is>
          <t>Sotlav
Underviol
Blåsippa
Gullviva</t>
        </is>
      </c>
      <c r="S72">
        <f>HYPERLINK("https://klasma.github.io/Logging_0380/artfynd/A 23807-2024 artfynd.xlsx", "A 23807-2024")</f>
        <v/>
      </c>
      <c r="T72">
        <f>HYPERLINK("https://klasma.github.io/Logging_0380/kartor/A 23807-2024 karta.png", "A 23807-2024")</f>
        <v/>
      </c>
      <c r="V72">
        <f>HYPERLINK("https://klasma.github.io/Logging_0380/klagomål/A 23807-2024 FSC-klagomål.docx", "A 23807-2024")</f>
        <v/>
      </c>
      <c r="W72">
        <f>HYPERLINK("https://klasma.github.io/Logging_0380/klagomålsmail/A 23807-2024 FSC-klagomål mail.docx", "A 23807-2024")</f>
        <v/>
      </c>
      <c r="X72">
        <f>HYPERLINK("https://klasma.github.io/Logging_0380/tillsyn/A 23807-2024 tillsynsbegäran.docx", "A 23807-2024")</f>
        <v/>
      </c>
      <c r="Y72">
        <f>HYPERLINK("https://klasma.github.io/Logging_0380/tillsynsmail/A 23807-2024 tillsynsbegäran mail.docx", "A 23807-2024")</f>
        <v/>
      </c>
    </row>
    <row r="73" ht="15" customHeight="1">
      <c r="A73" t="inlineStr">
        <is>
          <t>A 36346-2019</t>
        </is>
      </c>
      <c r="B73" s="1" t="n">
        <v>43661</v>
      </c>
      <c r="C73" s="1" t="n">
        <v>45741</v>
      </c>
      <c r="D73" t="inlineStr">
        <is>
          <t>UPPSALA LÄN</t>
        </is>
      </c>
      <c r="E73" t="inlineStr">
        <is>
          <t>UPPSALA</t>
        </is>
      </c>
      <c r="G73" t="n">
        <v>15.8</v>
      </c>
      <c r="H73" t="n">
        <v>2</v>
      </c>
      <c r="I73" t="n">
        <v>0</v>
      </c>
      <c r="J73" t="n">
        <v>3</v>
      </c>
      <c r="K73" t="n">
        <v>0</v>
      </c>
      <c r="L73" t="n">
        <v>0</v>
      </c>
      <c r="M73" t="n">
        <v>0</v>
      </c>
      <c r="N73" t="n">
        <v>0</v>
      </c>
      <c r="O73" t="n">
        <v>3</v>
      </c>
      <c r="P73" t="n">
        <v>0</v>
      </c>
      <c r="Q73" t="n">
        <v>3</v>
      </c>
      <c r="R73" s="2" t="inlineStr">
        <is>
          <t>Gulsparv
Rosenticka
Svartvit flugsnappare</t>
        </is>
      </c>
      <c r="S73">
        <f>HYPERLINK("https://klasma.github.io/Logging_0380/artfynd/A 36346-2019 artfynd.xlsx", "A 36346-2019")</f>
        <v/>
      </c>
      <c r="T73">
        <f>HYPERLINK("https://klasma.github.io/Logging_0380/kartor/A 36346-2019 karta.png", "A 36346-2019")</f>
        <v/>
      </c>
      <c r="V73">
        <f>HYPERLINK("https://klasma.github.io/Logging_0380/klagomål/A 36346-2019 FSC-klagomål.docx", "A 36346-2019")</f>
        <v/>
      </c>
      <c r="W73">
        <f>HYPERLINK("https://klasma.github.io/Logging_0380/klagomålsmail/A 36346-2019 FSC-klagomål mail.docx", "A 36346-2019")</f>
        <v/>
      </c>
      <c r="X73">
        <f>HYPERLINK("https://klasma.github.io/Logging_0380/tillsyn/A 36346-2019 tillsynsbegäran.docx", "A 36346-2019")</f>
        <v/>
      </c>
      <c r="Y73">
        <f>HYPERLINK("https://klasma.github.io/Logging_0380/tillsynsmail/A 36346-2019 tillsynsbegäran mail.docx", "A 36346-2019")</f>
        <v/>
      </c>
      <c r="Z73">
        <f>HYPERLINK("https://klasma.github.io/Logging_0380/fåglar/A 36346-2019 prioriterade fågelarter.docx", "A 36346-2019")</f>
        <v/>
      </c>
    </row>
    <row r="74" ht="15" customHeight="1">
      <c r="A74" t="inlineStr">
        <is>
          <t>A 49258-2019</t>
        </is>
      </c>
      <c r="B74" s="1" t="n">
        <v>43731</v>
      </c>
      <c r="C74" s="1" t="n">
        <v>45741</v>
      </c>
      <c r="D74" t="inlineStr">
        <is>
          <t>UPPSALA LÄN</t>
        </is>
      </c>
      <c r="E74" t="inlineStr">
        <is>
          <t>UPPSALA</t>
        </is>
      </c>
      <c r="G74" t="n">
        <v>0.9</v>
      </c>
      <c r="H74" t="n">
        <v>0</v>
      </c>
      <c r="I74" t="n">
        <v>0</v>
      </c>
      <c r="J74" t="n">
        <v>1</v>
      </c>
      <c r="K74" t="n">
        <v>2</v>
      </c>
      <c r="L74" t="n">
        <v>0</v>
      </c>
      <c r="M74" t="n">
        <v>0</v>
      </c>
      <c r="N74" t="n">
        <v>0</v>
      </c>
      <c r="O74" t="n">
        <v>3</v>
      </c>
      <c r="P74" t="n">
        <v>2</v>
      </c>
      <c r="Q74" t="n">
        <v>3</v>
      </c>
      <c r="R74" s="2" t="inlineStr">
        <is>
          <t>Liten blekspik
Ostticka
Vedtrappmossa</t>
        </is>
      </c>
      <c r="S74">
        <f>HYPERLINK("https://klasma.github.io/Logging_0380/artfynd/A 49258-2019 artfynd.xlsx", "A 49258-2019")</f>
        <v/>
      </c>
      <c r="T74">
        <f>HYPERLINK("https://klasma.github.io/Logging_0380/kartor/A 49258-2019 karta.png", "A 49258-2019")</f>
        <v/>
      </c>
      <c r="V74">
        <f>HYPERLINK("https://klasma.github.io/Logging_0380/klagomål/A 49258-2019 FSC-klagomål.docx", "A 49258-2019")</f>
        <v/>
      </c>
      <c r="W74">
        <f>HYPERLINK("https://klasma.github.io/Logging_0380/klagomålsmail/A 49258-2019 FSC-klagomål mail.docx", "A 49258-2019")</f>
        <v/>
      </c>
      <c r="X74">
        <f>HYPERLINK("https://klasma.github.io/Logging_0380/tillsyn/A 49258-2019 tillsynsbegäran.docx", "A 49258-2019")</f>
        <v/>
      </c>
      <c r="Y74">
        <f>HYPERLINK("https://klasma.github.io/Logging_0380/tillsynsmail/A 49258-2019 tillsynsbegäran mail.docx", "A 49258-2019")</f>
        <v/>
      </c>
    </row>
    <row r="75" ht="15" customHeight="1">
      <c r="A75" t="inlineStr">
        <is>
          <t>A 63909-2019</t>
        </is>
      </c>
      <c r="B75" s="1" t="n">
        <v>43796</v>
      </c>
      <c r="C75" s="1" t="n">
        <v>45741</v>
      </c>
      <c r="D75" t="inlineStr">
        <is>
          <t>UPPSALA LÄN</t>
        </is>
      </c>
      <c r="E75" t="inlineStr">
        <is>
          <t>UPPSALA</t>
        </is>
      </c>
      <c r="F75" t="inlineStr">
        <is>
          <t>Holmen skog AB</t>
        </is>
      </c>
      <c r="G75" t="n">
        <v>3.8</v>
      </c>
      <c r="H75" t="n">
        <v>0</v>
      </c>
      <c r="I75" t="n">
        <v>0</v>
      </c>
      <c r="J75" t="n">
        <v>3</v>
      </c>
      <c r="K75" t="n">
        <v>0</v>
      </c>
      <c r="L75" t="n">
        <v>0</v>
      </c>
      <c r="M75" t="n">
        <v>0</v>
      </c>
      <c r="N75" t="n">
        <v>0</v>
      </c>
      <c r="O75" t="n">
        <v>3</v>
      </c>
      <c r="P75" t="n">
        <v>0</v>
      </c>
      <c r="Q75" t="n">
        <v>3</v>
      </c>
      <c r="R75" s="2" t="inlineStr">
        <is>
          <t>Ekticka
Rödbrun blekspik
Skuggorangelav</t>
        </is>
      </c>
      <c r="S75">
        <f>HYPERLINK("https://klasma.github.io/Logging_0380/artfynd/A 63909-2019 artfynd.xlsx", "A 63909-2019")</f>
        <v/>
      </c>
      <c r="T75">
        <f>HYPERLINK("https://klasma.github.io/Logging_0380/kartor/A 63909-2019 karta.png", "A 63909-2019")</f>
        <v/>
      </c>
      <c r="V75">
        <f>HYPERLINK("https://klasma.github.io/Logging_0380/klagomål/A 63909-2019 FSC-klagomål.docx", "A 63909-2019")</f>
        <v/>
      </c>
      <c r="W75">
        <f>HYPERLINK("https://klasma.github.io/Logging_0380/klagomålsmail/A 63909-2019 FSC-klagomål mail.docx", "A 63909-2019")</f>
        <v/>
      </c>
      <c r="X75">
        <f>HYPERLINK("https://klasma.github.io/Logging_0380/tillsyn/A 63909-2019 tillsynsbegäran.docx", "A 63909-2019")</f>
        <v/>
      </c>
      <c r="Y75">
        <f>HYPERLINK("https://klasma.github.io/Logging_0380/tillsynsmail/A 63909-2019 tillsynsbegäran mail.docx", "A 63909-2019")</f>
        <v/>
      </c>
    </row>
    <row r="76" ht="15" customHeight="1">
      <c r="A76" t="inlineStr">
        <is>
          <t>A 56107-2020</t>
        </is>
      </c>
      <c r="B76" s="1" t="n">
        <v>44133</v>
      </c>
      <c r="C76" s="1" t="n">
        <v>45741</v>
      </c>
      <c r="D76" t="inlineStr">
        <is>
          <t>UPPSALA LÄN</t>
        </is>
      </c>
      <c r="E76" t="inlineStr">
        <is>
          <t>UPPSALA</t>
        </is>
      </c>
      <c r="F76" t="inlineStr">
        <is>
          <t>Allmännings- och besparingsskogar</t>
        </is>
      </c>
      <c r="G76" t="n">
        <v>45.6</v>
      </c>
      <c r="H76" t="n">
        <v>3</v>
      </c>
      <c r="I76" t="n">
        <v>0</v>
      </c>
      <c r="J76" t="n">
        <v>1</v>
      </c>
      <c r="K76" t="n">
        <v>0</v>
      </c>
      <c r="L76" t="n">
        <v>0</v>
      </c>
      <c r="M76" t="n">
        <v>0</v>
      </c>
      <c r="N76" t="n">
        <v>0</v>
      </c>
      <c r="O76" t="n">
        <v>1</v>
      </c>
      <c r="P76" t="n">
        <v>0</v>
      </c>
      <c r="Q76" t="n">
        <v>3</v>
      </c>
      <c r="R76" s="2" t="inlineStr">
        <is>
          <t>Nordfladdermus
Dvärgpipistrell
Vattenfladdermus</t>
        </is>
      </c>
      <c r="S76">
        <f>HYPERLINK("https://klasma.github.io/Logging_0380/artfynd/A 56107-2020 artfynd.xlsx", "A 56107-2020")</f>
        <v/>
      </c>
      <c r="T76">
        <f>HYPERLINK("https://klasma.github.io/Logging_0380/kartor/A 56107-2020 karta.png", "A 56107-2020")</f>
        <v/>
      </c>
      <c r="V76">
        <f>HYPERLINK("https://klasma.github.io/Logging_0380/klagomål/A 56107-2020 FSC-klagomål.docx", "A 56107-2020")</f>
        <v/>
      </c>
      <c r="W76">
        <f>HYPERLINK("https://klasma.github.io/Logging_0380/klagomålsmail/A 56107-2020 FSC-klagomål mail.docx", "A 56107-2020")</f>
        <v/>
      </c>
      <c r="X76">
        <f>HYPERLINK("https://klasma.github.io/Logging_0380/tillsyn/A 56107-2020 tillsynsbegäran.docx", "A 56107-2020")</f>
        <v/>
      </c>
      <c r="Y76">
        <f>HYPERLINK("https://klasma.github.io/Logging_0380/tillsynsmail/A 56107-2020 tillsynsbegäran mail.docx", "A 56107-2020")</f>
        <v/>
      </c>
    </row>
    <row r="77" ht="15" customHeight="1">
      <c r="A77" t="inlineStr">
        <is>
          <t>A 60038-2021</t>
        </is>
      </c>
      <c r="B77" s="1" t="n">
        <v>44495</v>
      </c>
      <c r="C77" s="1" t="n">
        <v>45741</v>
      </c>
      <c r="D77" t="inlineStr">
        <is>
          <t>UPPSALA LÄN</t>
        </is>
      </c>
      <c r="E77" t="inlineStr">
        <is>
          <t>UPPSALA</t>
        </is>
      </c>
      <c r="G77" t="n">
        <v>1.2</v>
      </c>
      <c r="H77" t="n">
        <v>1</v>
      </c>
      <c r="I77" t="n">
        <v>0</v>
      </c>
      <c r="J77" t="n">
        <v>1</v>
      </c>
      <c r="K77" t="n">
        <v>1</v>
      </c>
      <c r="L77" t="n">
        <v>0</v>
      </c>
      <c r="M77" t="n">
        <v>0</v>
      </c>
      <c r="N77" t="n">
        <v>0</v>
      </c>
      <c r="O77" t="n">
        <v>2</v>
      </c>
      <c r="P77" t="n">
        <v>1</v>
      </c>
      <c r="Q77" t="n">
        <v>3</v>
      </c>
      <c r="R77" s="2" t="inlineStr">
        <is>
          <t>Rynkskinn
Ullticka
Blåsippa</t>
        </is>
      </c>
      <c r="S77">
        <f>HYPERLINK("https://klasma.github.io/Logging_0380/artfynd/A 60038-2021 artfynd.xlsx", "A 60038-2021")</f>
        <v/>
      </c>
      <c r="T77">
        <f>HYPERLINK("https://klasma.github.io/Logging_0380/kartor/A 60038-2021 karta.png", "A 60038-2021")</f>
        <v/>
      </c>
      <c r="V77">
        <f>HYPERLINK("https://klasma.github.io/Logging_0380/klagomål/A 60038-2021 FSC-klagomål.docx", "A 60038-2021")</f>
        <v/>
      </c>
      <c r="W77">
        <f>HYPERLINK("https://klasma.github.io/Logging_0380/klagomålsmail/A 60038-2021 FSC-klagomål mail.docx", "A 60038-2021")</f>
        <v/>
      </c>
      <c r="X77">
        <f>HYPERLINK("https://klasma.github.io/Logging_0380/tillsyn/A 60038-2021 tillsynsbegäran.docx", "A 60038-2021")</f>
        <v/>
      </c>
      <c r="Y77">
        <f>HYPERLINK("https://klasma.github.io/Logging_0380/tillsynsmail/A 60038-2021 tillsynsbegäran mail.docx", "A 60038-2021")</f>
        <v/>
      </c>
    </row>
    <row r="78" ht="15" customHeight="1">
      <c r="A78" t="inlineStr">
        <is>
          <t>A 14313-2022</t>
        </is>
      </c>
      <c r="B78" s="1" t="n">
        <v>44652</v>
      </c>
      <c r="C78" s="1" t="n">
        <v>45741</v>
      </c>
      <c r="D78" t="inlineStr">
        <is>
          <t>UPPSALA LÄN</t>
        </is>
      </c>
      <c r="E78" t="inlineStr">
        <is>
          <t>UPPSALA</t>
        </is>
      </c>
      <c r="F78" t="inlineStr">
        <is>
          <t>Holmen skog AB</t>
        </is>
      </c>
      <c r="G78" t="n">
        <v>1.7</v>
      </c>
      <c r="H78" t="n">
        <v>2</v>
      </c>
      <c r="I78" t="n">
        <v>1</v>
      </c>
      <c r="J78" t="n">
        <v>0</v>
      </c>
      <c r="K78" t="n">
        <v>0</v>
      </c>
      <c r="L78" t="n">
        <v>0</v>
      </c>
      <c r="M78" t="n">
        <v>0</v>
      </c>
      <c r="N78" t="n">
        <v>0</v>
      </c>
      <c r="O78" t="n">
        <v>0</v>
      </c>
      <c r="P78" t="n">
        <v>0</v>
      </c>
      <c r="Q78" t="n">
        <v>3</v>
      </c>
      <c r="R78" s="2" t="inlineStr">
        <is>
          <t>Vätteros
Blåsippa
Gullviva</t>
        </is>
      </c>
      <c r="S78">
        <f>HYPERLINK("https://klasma.github.io/Logging_0380/artfynd/A 14313-2022 artfynd.xlsx", "A 14313-2022")</f>
        <v/>
      </c>
      <c r="T78">
        <f>HYPERLINK("https://klasma.github.io/Logging_0380/kartor/A 14313-2022 karta.png", "A 14313-2022")</f>
        <v/>
      </c>
      <c r="V78">
        <f>HYPERLINK("https://klasma.github.io/Logging_0380/klagomål/A 14313-2022 FSC-klagomål.docx", "A 14313-2022")</f>
        <v/>
      </c>
      <c r="W78">
        <f>HYPERLINK("https://klasma.github.io/Logging_0380/klagomålsmail/A 14313-2022 FSC-klagomål mail.docx", "A 14313-2022")</f>
        <v/>
      </c>
      <c r="X78">
        <f>HYPERLINK("https://klasma.github.io/Logging_0380/tillsyn/A 14313-2022 tillsynsbegäran.docx", "A 14313-2022")</f>
        <v/>
      </c>
      <c r="Y78">
        <f>HYPERLINK("https://klasma.github.io/Logging_0380/tillsynsmail/A 14313-2022 tillsynsbegäran mail.docx", "A 14313-2022")</f>
        <v/>
      </c>
    </row>
    <row r="79" ht="15" customHeight="1">
      <c r="A79" t="inlineStr">
        <is>
          <t>A 18079-2022</t>
        </is>
      </c>
      <c r="B79" s="1" t="n">
        <v>44684</v>
      </c>
      <c r="C79" s="1" t="n">
        <v>45741</v>
      </c>
      <c r="D79" t="inlineStr">
        <is>
          <t>UPPSALA LÄN</t>
        </is>
      </c>
      <c r="E79" t="inlineStr">
        <is>
          <t>UPPSALA</t>
        </is>
      </c>
      <c r="G79" t="n">
        <v>2</v>
      </c>
      <c r="H79" t="n">
        <v>0</v>
      </c>
      <c r="I79" t="n">
        <v>2</v>
      </c>
      <c r="J79" t="n">
        <v>0</v>
      </c>
      <c r="K79" t="n">
        <v>1</v>
      </c>
      <c r="L79" t="n">
        <v>0</v>
      </c>
      <c r="M79" t="n">
        <v>0</v>
      </c>
      <c r="N79" t="n">
        <v>0</v>
      </c>
      <c r="O79" t="n">
        <v>1</v>
      </c>
      <c r="P79" t="n">
        <v>1</v>
      </c>
      <c r="Q79" t="n">
        <v>3</v>
      </c>
      <c r="R79" s="2" t="inlineStr">
        <is>
          <t>Aspfjädermossa
Dvärgtufs
Skinnlav</t>
        </is>
      </c>
      <c r="S79">
        <f>HYPERLINK("https://klasma.github.io/Logging_0380/artfynd/A 18079-2022 artfynd.xlsx", "A 18079-2022")</f>
        <v/>
      </c>
      <c r="T79">
        <f>HYPERLINK("https://klasma.github.io/Logging_0380/kartor/A 18079-2022 karta.png", "A 18079-2022")</f>
        <v/>
      </c>
      <c r="V79">
        <f>HYPERLINK("https://klasma.github.io/Logging_0380/klagomål/A 18079-2022 FSC-klagomål.docx", "A 18079-2022")</f>
        <v/>
      </c>
      <c r="W79">
        <f>HYPERLINK("https://klasma.github.io/Logging_0380/klagomålsmail/A 18079-2022 FSC-klagomål mail.docx", "A 18079-2022")</f>
        <v/>
      </c>
      <c r="X79">
        <f>HYPERLINK("https://klasma.github.io/Logging_0380/tillsyn/A 18079-2022 tillsynsbegäran.docx", "A 18079-2022")</f>
        <v/>
      </c>
      <c r="Y79">
        <f>HYPERLINK("https://klasma.github.io/Logging_0380/tillsynsmail/A 18079-2022 tillsynsbegäran mail.docx", "A 18079-2022")</f>
        <v/>
      </c>
    </row>
    <row r="80" ht="15" customHeight="1">
      <c r="A80" t="inlineStr">
        <is>
          <t>A 19373-2022</t>
        </is>
      </c>
      <c r="B80" s="1" t="n">
        <v>44692</v>
      </c>
      <c r="C80" s="1" t="n">
        <v>45741</v>
      </c>
      <c r="D80" t="inlineStr">
        <is>
          <t>UPPSALA LÄN</t>
        </is>
      </c>
      <c r="E80" t="inlineStr">
        <is>
          <t>UPPSALA</t>
        </is>
      </c>
      <c r="F80" t="inlineStr">
        <is>
          <t>Bergvik skog öst AB</t>
        </is>
      </c>
      <c r="G80" t="n">
        <v>12.2</v>
      </c>
      <c r="H80" t="n">
        <v>1</v>
      </c>
      <c r="I80" t="n">
        <v>1</v>
      </c>
      <c r="J80" t="n">
        <v>0</v>
      </c>
      <c r="K80" t="n">
        <v>0</v>
      </c>
      <c r="L80" t="n">
        <v>1</v>
      </c>
      <c r="M80" t="n">
        <v>0</v>
      </c>
      <c r="N80" t="n">
        <v>0</v>
      </c>
      <c r="O80" t="n">
        <v>1</v>
      </c>
      <c r="P80" t="n">
        <v>1</v>
      </c>
      <c r="Q80" t="n">
        <v>3</v>
      </c>
      <c r="R80" s="2" t="inlineStr">
        <is>
          <t>Ask
Sårläka
Blåsippa</t>
        </is>
      </c>
      <c r="S80">
        <f>HYPERLINK("https://klasma.github.io/Logging_0380/artfynd/A 19373-2022 artfynd.xlsx", "A 19373-2022")</f>
        <v/>
      </c>
      <c r="T80">
        <f>HYPERLINK("https://klasma.github.io/Logging_0380/kartor/A 19373-2022 karta.png", "A 19373-2022")</f>
        <v/>
      </c>
      <c r="V80">
        <f>HYPERLINK("https://klasma.github.io/Logging_0380/klagomål/A 19373-2022 FSC-klagomål.docx", "A 19373-2022")</f>
        <v/>
      </c>
      <c r="W80">
        <f>HYPERLINK("https://klasma.github.io/Logging_0380/klagomålsmail/A 19373-2022 FSC-klagomål mail.docx", "A 19373-2022")</f>
        <v/>
      </c>
      <c r="X80">
        <f>HYPERLINK("https://klasma.github.io/Logging_0380/tillsyn/A 19373-2022 tillsynsbegäran.docx", "A 19373-2022")</f>
        <v/>
      </c>
      <c r="Y80">
        <f>HYPERLINK("https://klasma.github.io/Logging_0380/tillsynsmail/A 19373-2022 tillsynsbegäran mail.docx", "A 19373-2022")</f>
        <v/>
      </c>
    </row>
    <row r="81" ht="15" customHeight="1">
      <c r="A81" t="inlineStr">
        <is>
          <t>A 34147-2022</t>
        </is>
      </c>
      <c r="B81" s="1" t="n">
        <v>44791</v>
      </c>
      <c r="C81" s="1" t="n">
        <v>45741</v>
      </c>
      <c r="D81" t="inlineStr">
        <is>
          <t>UPPSALA LÄN</t>
        </is>
      </c>
      <c r="E81" t="inlineStr">
        <is>
          <t>UPPSALA</t>
        </is>
      </c>
      <c r="G81" t="n">
        <v>1.9</v>
      </c>
      <c r="H81" t="n">
        <v>0</v>
      </c>
      <c r="I81" t="n">
        <v>2</v>
      </c>
      <c r="J81" t="n">
        <v>1</v>
      </c>
      <c r="K81" t="n">
        <v>0</v>
      </c>
      <c r="L81" t="n">
        <v>0</v>
      </c>
      <c r="M81" t="n">
        <v>0</v>
      </c>
      <c r="N81" t="n">
        <v>0</v>
      </c>
      <c r="O81" t="n">
        <v>1</v>
      </c>
      <c r="P81" t="n">
        <v>0</v>
      </c>
      <c r="Q81" t="n">
        <v>3</v>
      </c>
      <c r="R81" s="2" t="inlineStr">
        <is>
          <t>Granticka
Kamjordstjärna
Stor aspticka</t>
        </is>
      </c>
      <c r="S81">
        <f>HYPERLINK("https://klasma.github.io/Logging_0380/artfynd/A 34147-2022 artfynd.xlsx", "A 34147-2022")</f>
        <v/>
      </c>
      <c r="T81">
        <f>HYPERLINK("https://klasma.github.io/Logging_0380/kartor/A 34147-2022 karta.png", "A 34147-2022")</f>
        <v/>
      </c>
      <c r="V81">
        <f>HYPERLINK("https://klasma.github.io/Logging_0380/klagomål/A 34147-2022 FSC-klagomål.docx", "A 34147-2022")</f>
        <v/>
      </c>
      <c r="W81">
        <f>HYPERLINK("https://klasma.github.io/Logging_0380/klagomålsmail/A 34147-2022 FSC-klagomål mail.docx", "A 34147-2022")</f>
        <v/>
      </c>
      <c r="X81">
        <f>HYPERLINK("https://klasma.github.io/Logging_0380/tillsyn/A 34147-2022 tillsynsbegäran.docx", "A 34147-2022")</f>
        <v/>
      </c>
      <c r="Y81">
        <f>HYPERLINK("https://klasma.github.io/Logging_0380/tillsynsmail/A 34147-2022 tillsynsbegäran mail.docx", "A 34147-2022")</f>
        <v/>
      </c>
    </row>
    <row r="82" ht="15" customHeight="1">
      <c r="A82" t="inlineStr">
        <is>
          <t>A 36471-2022</t>
        </is>
      </c>
      <c r="B82" s="1" t="n">
        <v>44804</v>
      </c>
      <c r="C82" s="1" t="n">
        <v>45741</v>
      </c>
      <c r="D82" t="inlineStr">
        <is>
          <t>UPPSALA LÄN</t>
        </is>
      </c>
      <c r="E82" t="inlineStr">
        <is>
          <t>UPPSALA</t>
        </is>
      </c>
      <c r="G82" t="n">
        <v>4.2</v>
      </c>
      <c r="H82" t="n">
        <v>0</v>
      </c>
      <c r="I82" t="n">
        <v>3</v>
      </c>
      <c r="J82" t="n">
        <v>0</v>
      </c>
      <c r="K82" t="n">
        <v>0</v>
      </c>
      <c r="L82" t="n">
        <v>0</v>
      </c>
      <c r="M82" t="n">
        <v>0</v>
      </c>
      <c r="N82" t="n">
        <v>0</v>
      </c>
      <c r="O82" t="n">
        <v>0</v>
      </c>
      <c r="P82" t="n">
        <v>0</v>
      </c>
      <c r="Q82" t="n">
        <v>3</v>
      </c>
      <c r="R82" s="2" t="inlineStr">
        <is>
          <t>Bronshjon
Spindelbock
Stor aspticka</t>
        </is>
      </c>
      <c r="S82">
        <f>HYPERLINK("https://klasma.github.io/Logging_0380/artfynd/A 36471-2022 artfynd.xlsx", "A 36471-2022")</f>
        <v/>
      </c>
      <c r="T82">
        <f>HYPERLINK("https://klasma.github.io/Logging_0380/kartor/A 36471-2022 karta.png", "A 36471-2022")</f>
        <v/>
      </c>
      <c r="V82">
        <f>HYPERLINK("https://klasma.github.io/Logging_0380/klagomål/A 36471-2022 FSC-klagomål.docx", "A 36471-2022")</f>
        <v/>
      </c>
      <c r="W82">
        <f>HYPERLINK("https://klasma.github.io/Logging_0380/klagomålsmail/A 36471-2022 FSC-klagomål mail.docx", "A 36471-2022")</f>
        <v/>
      </c>
      <c r="X82">
        <f>HYPERLINK("https://klasma.github.io/Logging_0380/tillsyn/A 36471-2022 tillsynsbegäran.docx", "A 36471-2022")</f>
        <v/>
      </c>
      <c r="Y82">
        <f>HYPERLINK("https://klasma.github.io/Logging_0380/tillsynsmail/A 36471-2022 tillsynsbegäran mail.docx", "A 36471-2022")</f>
        <v/>
      </c>
    </row>
    <row r="83" ht="15" customHeight="1">
      <c r="A83" t="inlineStr">
        <is>
          <t>A 4586-2023</t>
        </is>
      </c>
      <c r="B83" s="1" t="n">
        <v>44956</v>
      </c>
      <c r="C83" s="1" t="n">
        <v>45741</v>
      </c>
      <c r="D83" t="inlineStr">
        <is>
          <t>UPPSALA LÄN</t>
        </is>
      </c>
      <c r="E83" t="inlineStr">
        <is>
          <t>UPPSALA</t>
        </is>
      </c>
      <c r="G83" t="n">
        <v>12.2</v>
      </c>
      <c r="H83" t="n">
        <v>1</v>
      </c>
      <c r="I83" t="n">
        <v>2</v>
      </c>
      <c r="J83" t="n">
        <v>0</v>
      </c>
      <c r="K83" t="n">
        <v>0</v>
      </c>
      <c r="L83" t="n">
        <v>0</v>
      </c>
      <c r="M83" t="n">
        <v>0</v>
      </c>
      <c r="N83" t="n">
        <v>0</v>
      </c>
      <c r="O83" t="n">
        <v>0</v>
      </c>
      <c r="P83" t="n">
        <v>0</v>
      </c>
      <c r="Q83" t="n">
        <v>3</v>
      </c>
      <c r="R83" s="2" t="inlineStr">
        <is>
          <t>Barkticka
Vedticka
Vanlig padda</t>
        </is>
      </c>
      <c r="S83">
        <f>HYPERLINK("https://klasma.github.io/Logging_0380/artfynd/A 4586-2023 artfynd.xlsx", "A 4586-2023")</f>
        <v/>
      </c>
      <c r="T83">
        <f>HYPERLINK("https://klasma.github.io/Logging_0380/kartor/A 4586-2023 karta.png", "A 4586-2023")</f>
        <v/>
      </c>
      <c r="V83">
        <f>HYPERLINK("https://klasma.github.io/Logging_0380/klagomål/A 4586-2023 FSC-klagomål.docx", "A 4586-2023")</f>
        <v/>
      </c>
      <c r="W83">
        <f>HYPERLINK("https://klasma.github.io/Logging_0380/klagomålsmail/A 4586-2023 FSC-klagomål mail.docx", "A 4586-2023")</f>
        <v/>
      </c>
      <c r="X83">
        <f>HYPERLINK("https://klasma.github.io/Logging_0380/tillsyn/A 4586-2023 tillsynsbegäran.docx", "A 4586-2023")</f>
        <v/>
      </c>
      <c r="Y83">
        <f>HYPERLINK("https://klasma.github.io/Logging_0380/tillsynsmail/A 4586-2023 tillsynsbegäran mail.docx", "A 4586-2023")</f>
        <v/>
      </c>
    </row>
    <row r="84" ht="15" customHeight="1">
      <c r="A84" t="inlineStr">
        <is>
          <t>A 7752-2023</t>
        </is>
      </c>
      <c r="B84" s="1" t="n">
        <v>44973</v>
      </c>
      <c r="C84" s="1" t="n">
        <v>45741</v>
      </c>
      <c r="D84" t="inlineStr">
        <is>
          <t>UPPSALA LÄN</t>
        </is>
      </c>
      <c r="E84" t="inlineStr">
        <is>
          <t>UPPSALA</t>
        </is>
      </c>
      <c r="F84" t="inlineStr">
        <is>
          <t>Sveaskog</t>
        </is>
      </c>
      <c r="G84" t="n">
        <v>0.6</v>
      </c>
      <c r="H84" t="n">
        <v>1</v>
      </c>
      <c r="I84" t="n">
        <v>2</v>
      </c>
      <c r="J84" t="n">
        <v>0</v>
      </c>
      <c r="K84" t="n">
        <v>0</v>
      </c>
      <c r="L84" t="n">
        <v>0</v>
      </c>
      <c r="M84" t="n">
        <v>0</v>
      </c>
      <c r="N84" t="n">
        <v>0</v>
      </c>
      <c r="O84" t="n">
        <v>0</v>
      </c>
      <c r="P84" t="n">
        <v>0</v>
      </c>
      <c r="Q84" t="n">
        <v>3</v>
      </c>
      <c r="R84" s="2" t="inlineStr">
        <is>
          <t>Fjällig taggsvamp s.str.
Skogshakmossa
Blåsippa</t>
        </is>
      </c>
      <c r="S84">
        <f>HYPERLINK("https://klasma.github.io/Logging_0380/artfynd/A 7752-2023 artfynd.xlsx", "A 7752-2023")</f>
        <v/>
      </c>
      <c r="T84">
        <f>HYPERLINK("https://klasma.github.io/Logging_0380/kartor/A 7752-2023 karta.png", "A 7752-2023")</f>
        <v/>
      </c>
      <c r="V84">
        <f>HYPERLINK("https://klasma.github.io/Logging_0380/klagomål/A 7752-2023 FSC-klagomål.docx", "A 7752-2023")</f>
        <v/>
      </c>
      <c r="W84">
        <f>HYPERLINK("https://klasma.github.io/Logging_0380/klagomålsmail/A 7752-2023 FSC-klagomål mail.docx", "A 7752-2023")</f>
        <v/>
      </c>
      <c r="X84">
        <f>HYPERLINK("https://klasma.github.io/Logging_0380/tillsyn/A 7752-2023 tillsynsbegäran.docx", "A 7752-2023")</f>
        <v/>
      </c>
      <c r="Y84">
        <f>HYPERLINK("https://klasma.github.io/Logging_0380/tillsynsmail/A 7752-2023 tillsynsbegäran mail.docx", "A 7752-2023")</f>
        <v/>
      </c>
    </row>
    <row r="85" ht="15" customHeight="1">
      <c r="A85" t="inlineStr">
        <is>
          <t>A 25943-2023</t>
        </is>
      </c>
      <c r="B85" s="1" t="n">
        <v>45090</v>
      </c>
      <c r="C85" s="1" t="n">
        <v>45741</v>
      </c>
      <c r="D85" t="inlineStr">
        <is>
          <t>UPPSALA LÄN</t>
        </is>
      </c>
      <c r="E85" t="inlineStr">
        <is>
          <t>UPPSALA</t>
        </is>
      </c>
      <c r="F85" t="inlineStr">
        <is>
          <t>Holmen skog AB</t>
        </is>
      </c>
      <c r="G85" t="n">
        <v>2.7</v>
      </c>
      <c r="H85" t="n">
        <v>1</v>
      </c>
      <c r="I85" t="n">
        <v>1</v>
      </c>
      <c r="J85" t="n">
        <v>2</v>
      </c>
      <c r="K85" t="n">
        <v>0</v>
      </c>
      <c r="L85" t="n">
        <v>0</v>
      </c>
      <c r="M85" t="n">
        <v>0</v>
      </c>
      <c r="N85" t="n">
        <v>0</v>
      </c>
      <c r="O85" t="n">
        <v>2</v>
      </c>
      <c r="P85" t="n">
        <v>0</v>
      </c>
      <c r="Q85" t="n">
        <v>3</v>
      </c>
      <c r="R85" s="2" t="inlineStr">
        <is>
          <t>Mindre hackspett
Vedtrappmossa
Vedticka</t>
        </is>
      </c>
      <c r="S85">
        <f>HYPERLINK("https://klasma.github.io/Logging_0380/artfynd/A 25943-2023 artfynd.xlsx", "A 25943-2023")</f>
        <v/>
      </c>
      <c r="T85">
        <f>HYPERLINK("https://klasma.github.io/Logging_0380/kartor/A 25943-2023 karta.png", "A 25943-2023")</f>
        <v/>
      </c>
      <c r="V85">
        <f>HYPERLINK("https://klasma.github.io/Logging_0380/klagomål/A 25943-2023 FSC-klagomål.docx", "A 25943-2023")</f>
        <v/>
      </c>
      <c r="W85">
        <f>HYPERLINK("https://klasma.github.io/Logging_0380/klagomålsmail/A 25943-2023 FSC-klagomål mail.docx", "A 25943-2023")</f>
        <v/>
      </c>
      <c r="X85">
        <f>HYPERLINK("https://klasma.github.io/Logging_0380/tillsyn/A 25943-2023 tillsynsbegäran.docx", "A 25943-2023")</f>
        <v/>
      </c>
      <c r="Y85">
        <f>HYPERLINK("https://klasma.github.io/Logging_0380/tillsynsmail/A 25943-2023 tillsynsbegäran mail.docx", "A 25943-2023")</f>
        <v/>
      </c>
      <c r="Z85">
        <f>HYPERLINK("https://klasma.github.io/Logging_0380/fåglar/A 25943-2023 prioriterade fågelarter.docx", "A 25943-2023")</f>
        <v/>
      </c>
    </row>
    <row r="86" ht="15" customHeight="1">
      <c r="A86" t="inlineStr">
        <is>
          <t>A 43942-2023</t>
        </is>
      </c>
      <c r="B86" s="1" t="n">
        <v>45187</v>
      </c>
      <c r="C86" s="1" t="n">
        <v>45741</v>
      </c>
      <c r="D86" t="inlineStr">
        <is>
          <t>UPPSALA LÄN</t>
        </is>
      </c>
      <c r="E86" t="inlineStr">
        <is>
          <t>UPPSALA</t>
        </is>
      </c>
      <c r="F86" t="inlineStr">
        <is>
          <t>Allmännings- och besparingsskogar</t>
        </is>
      </c>
      <c r="G86" t="n">
        <v>31.6</v>
      </c>
      <c r="H86" t="n">
        <v>3</v>
      </c>
      <c r="I86" t="n">
        <v>1</v>
      </c>
      <c r="J86" t="n">
        <v>1</v>
      </c>
      <c r="K86" t="n">
        <v>0</v>
      </c>
      <c r="L86" t="n">
        <v>0</v>
      </c>
      <c r="M86" t="n">
        <v>1</v>
      </c>
      <c r="N86" t="n">
        <v>0</v>
      </c>
      <c r="O86" t="n">
        <v>2</v>
      </c>
      <c r="P86" t="n">
        <v>1</v>
      </c>
      <c r="Q86" t="n">
        <v>3</v>
      </c>
      <c r="R86" s="2" t="inlineStr">
        <is>
          <t>Vedtrådmossa
Slaguggla
Grön sköldmossa</t>
        </is>
      </c>
      <c r="S86">
        <f>HYPERLINK("https://klasma.github.io/Logging_0380/artfynd/A 43942-2023 artfynd.xlsx", "A 43942-2023")</f>
        <v/>
      </c>
      <c r="T86">
        <f>HYPERLINK("https://klasma.github.io/Logging_0380/kartor/A 43942-2023 karta.png", "A 43942-2023")</f>
        <v/>
      </c>
      <c r="V86">
        <f>HYPERLINK("https://klasma.github.io/Logging_0380/klagomål/A 43942-2023 FSC-klagomål.docx", "A 43942-2023")</f>
        <v/>
      </c>
      <c r="W86">
        <f>HYPERLINK("https://klasma.github.io/Logging_0380/klagomålsmail/A 43942-2023 FSC-klagomål mail.docx", "A 43942-2023")</f>
        <v/>
      </c>
      <c r="X86">
        <f>HYPERLINK("https://klasma.github.io/Logging_0380/tillsyn/A 43942-2023 tillsynsbegäran.docx", "A 43942-2023")</f>
        <v/>
      </c>
      <c r="Y86">
        <f>HYPERLINK("https://klasma.github.io/Logging_0380/tillsynsmail/A 43942-2023 tillsynsbegäran mail.docx", "A 43942-2023")</f>
        <v/>
      </c>
      <c r="Z86">
        <f>HYPERLINK("https://klasma.github.io/Logging_0380/fåglar/A 43942-2023 prioriterade fågelarter.docx", "A 43942-2023")</f>
        <v/>
      </c>
    </row>
    <row r="87" ht="15" customHeight="1">
      <c r="A87" t="inlineStr">
        <is>
          <t>A 49990-2023</t>
        </is>
      </c>
      <c r="B87" s="1" t="n">
        <v>45215</v>
      </c>
      <c r="C87" s="1" t="n">
        <v>45741</v>
      </c>
      <c r="D87" t="inlineStr">
        <is>
          <t>UPPSALA LÄN</t>
        </is>
      </c>
      <c r="E87" t="inlineStr">
        <is>
          <t>UPPSALA</t>
        </is>
      </c>
      <c r="G87" t="n">
        <v>2</v>
      </c>
      <c r="H87" t="n">
        <v>3</v>
      </c>
      <c r="I87" t="n">
        <v>0</v>
      </c>
      <c r="J87" t="n">
        <v>1</v>
      </c>
      <c r="K87" t="n">
        <v>0</v>
      </c>
      <c r="L87" t="n">
        <v>0</v>
      </c>
      <c r="M87" t="n">
        <v>0</v>
      </c>
      <c r="N87" t="n">
        <v>0</v>
      </c>
      <c r="O87" t="n">
        <v>1</v>
      </c>
      <c r="P87" t="n">
        <v>0</v>
      </c>
      <c r="Q87" t="n">
        <v>3</v>
      </c>
      <c r="R87" s="2" t="inlineStr">
        <is>
          <t>Nordfladdermus
Järnsparv
Större brunfladdermus</t>
        </is>
      </c>
      <c r="S87">
        <f>HYPERLINK("https://klasma.github.io/Logging_0380/artfynd/A 49990-2023 artfynd.xlsx", "A 49990-2023")</f>
        <v/>
      </c>
      <c r="T87">
        <f>HYPERLINK("https://klasma.github.io/Logging_0380/kartor/A 49990-2023 karta.png", "A 49990-2023")</f>
        <v/>
      </c>
      <c r="V87">
        <f>HYPERLINK("https://klasma.github.io/Logging_0380/klagomål/A 49990-2023 FSC-klagomål.docx", "A 49990-2023")</f>
        <v/>
      </c>
      <c r="W87">
        <f>HYPERLINK("https://klasma.github.io/Logging_0380/klagomålsmail/A 49990-2023 FSC-klagomål mail.docx", "A 49990-2023")</f>
        <v/>
      </c>
      <c r="X87">
        <f>HYPERLINK("https://klasma.github.io/Logging_0380/tillsyn/A 49990-2023 tillsynsbegäran.docx", "A 49990-2023")</f>
        <v/>
      </c>
      <c r="Y87">
        <f>HYPERLINK("https://klasma.github.io/Logging_0380/tillsynsmail/A 49990-2023 tillsynsbegäran mail.docx", "A 49990-2023")</f>
        <v/>
      </c>
      <c r="Z87">
        <f>HYPERLINK("https://klasma.github.io/Logging_0380/fåglar/A 49990-2023 prioriterade fågelarter.docx", "A 49990-2023")</f>
        <v/>
      </c>
    </row>
    <row r="88" ht="15" customHeight="1">
      <c r="A88" t="inlineStr">
        <is>
          <t>A 39228-2024</t>
        </is>
      </c>
      <c r="B88" s="1" t="n">
        <v>45550</v>
      </c>
      <c r="C88" s="1" t="n">
        <v>45741</v>
      </c>
      <c r="D88" t="inlineStr">
        <is>
          <t>UPPSALA LÄN</t>
        </is>
      </c>
      <c r="E88" t="inlineStr">
        <is>
          <t>UPPSALA</t>
        </is>
      </c>
      <c r="G88" t="n">
        <v>2</v>
      </c>
      <c r="H88" t="n">
        <v>2</v>
      </c>
      <c r="I88" t="n">
        <v>1</v>
      </c>
      <c r="J88" t="n">
        <v>0</v>
      </c>
      <c r="K88" t="n">
        <v>0</v>
      </c>
      <c r="L88" t="n">
        <v>0</v>
      </c>
      <c r="M88" t="n">
        <v>0</v>
      </c>
      <c r="N88" t="n">
        <v>0</v>
      </c>
      <c r="O88" t="n">
        <v>0</v>
      </c>
      <c r="P88" t="n">
        <v>0</v>
      </c>
      <c r="Q88" t="n">
        <v>3</v>
      </c>
      <c r="R88" s="2" t="inlineStr">
        <is>
          <t>Sotlav
Fläcknycklar
Blåsippa</t>
        </is>
      </c>
      <c r="S88">
        <f>HYPERLINK("https://klasma.github.io/Logging_0380/artfynd/A 39228-2024 artfynd.xlsx", "A 39228-2024")</f>
        <v/>
      </c>
      <c r="T88">
        <f>HYPERLINK("https://klasma.github.io/Logging_0380/kartor/A 39228-2024 karta.png", "A 39228-2024")</f>
        <v/>
      </c>
      <c r="V88">
        <f>HYPERLINK("https://klasma.github.io/Logging_0380/klagomål/A 39228-2024 FSC-klagomål.docx", "A 39228-2024")</f>
        <v/>
      </c>
      <c r="W88">
        <f>HYPERLINK("https://klasma.github.io/Logging_0380/klagomålsmail/A 39228-2024 FSC-klagomål mail.docx", "A 39228-2024")</f>
        <v/>
      </c>
      <c r="X88">
        <f>HYPERLINK("https://klasma.github.io/Logging_0380/tillsyn/A 39228-2024 tillsynsbegäran.docx", "A 39228-2024")</f>
        <v/>
      </c>
      <c r="Y88">
        <f>HYPERLINK("https://klasma.github.io/Logging_0380/tillsynsmail/A 39228-2024 tillsynsbegäran mail.docx", "A 39228-2024")</f>
        <v/>
      </c>
    </row>
    <row r="89" ht="15" customHeight="1">
      <c r="A89" t="inlineStr">
        <is>
          <t>A 46735-2024</t>
        </is>
      </c>
      <c r="B89" s="1" t="n">
        <v>45583</v>
      </c>
      <c r="C89" s="1" t="n">
        <v>45741</v>
      </c>
      <c r="D89" t="inlineStr">
        <is>
          <t>UPPSALA LÄN</t>
        </is>
      </c>
      <c r="E89" t="inlineStr">
        <is>
          <t>UPPSALA</t>
        </is>
      </c>
      <c r="F89" t="inlineStr">
        <is>
          <t>Sveaskog</t>
        </is>
      </c>
      <c r="G89" t="n">
        <v>2.3</v>
      </c>
      <c r="H89" t="n">
        <v>1</v>
      </c>
      <c r="I89" t="n">
        <v>1</v>
      </c>
      <c r="J89" t="n">
        <v>1</v>
      </c>
      <c r="K89" t="n">
        <v>1</v>
      </c>
      <c r="L89" t="n">
        <v>0</v>
      </c>
      <c r="M89" t="n">
        <v>0</v>
      </c>
      <c r="N89" t="n">
        <v>0</v>
      </c>
      <c r="O89" t="n">
        <v>2</v>
      </c>
      <c r="P89" t="n">
        <v>1</v>
      </c>
      <c r="Q89" t="n">
        <v>3</v>
      </c>
      <c r="R89" s="2" t="inlineStr">
        <is>
          <t>Knärot
Vedtrappmossa
Mörk husmossa</t>
        </is>
      </c>
      <c r="S89">
        <f>HYPERLINK("https://klasma.github.io/Logging_0380/artfynd/A 46735-2024 artfynd.xlsx", "A 46735-2024")</f>
        <v/>
      </c>
      <c r="T89">
        <f>HYPERLINK("https://klasma.github.io/Logging_0380/kartor/A 46735-2024 karta.png", "A 46735-2024")</f>
        <v/>
      </c>
      <c r="U89">
        <f>HYPERLINK("https://klasma.github.io/Logging_0380/knärot/A 46735-2024 karta knärot.png", "A 46735-2024")</f>
        <v/>
      </c>
      <c r="V89">
        <f>HYPERLINK("https://klasma.github.io/Logging_0380/klagomål/A 46735-2024 FSC-klagomål.docx", "A 46735-2024")</f>
        <v/>
      </c>
      <c r="W89">
        <f>HYPERLINK("https://klasma.github.io/Logging_0380/klagomålsmail/A 46735-2024 FSC-klagomål mail.docx", "A 46735-2024")</f>
        <v/>
      </c>
      <c r="X89">
        <f>HYPERLINK("https://klasma.github.io/Logging_0380/tillsyn/A 46735-2024 tillsynsbegäran.docx", "A 46735-2024")</f>
        <v/>
      </c>
      <c r="Y89">
        <f>HYPERLINK("https://klasma.github.io/Logging_0380/tillsynsmail/A 46735-2024 tillsynsbegäran mail.docx", "A 46735-2024")</f>
        <v/>
      </c>
    </row>
    <row r="90" ht="15" customHeight="1">
      <c r="A90" t="inlineStr">
        <is>
          <t>A 3932-2025</t>
        </is>
      </c>
      <c r="B90" s="1" t="n">
        <v>45684</v>
      </c>
      <c r="C90" s="1" t="n">
        <v>45741</v>
      </c>
      <c r="D90" t="inlineStr">
        <is>
          <t>UPPSALA LÄN</t>
        </is>
      </c>
      <c r="E90" t="inlineStr">
        <is>
          <t>UPPSALA</t>
        </is>
      </c>
      <c r="G90" t="n">
        <v>8.9</v>
      </c>
      <c r="H90" t="n">
        <v>1</v>
      </c>
      <c r="I90" t="n">
        <v>1</v>
      </c>
      <c r="J90" t="n">
        <v>1</v>
      </c>
      <c r="K90" t="n">
        <v>0</v>
      </c>
      <c r="L90" t="n">
        <v>0</v>
      </c>
      <c r="M90" t="n">
        <v>0</v>
      </c>
      <c r="N90" t="n">
        <v>0</v>
      </c>
      <c r="O90" t="n">
        <v>1</v>
      </c>
      <c r="P90" t="n">
        <v>0</v>
      </c>
      <c r="Q90" t="n">
        <v>3</v>
      </c>
      <c r="R90" s="2" t="inlineStr">
        <is>
          <t>Vedtrappmossa
Rostfläck
Revlummer</t>
        </is>
      </c>
      <c r="S90">
        <f>HYPERLINK("https://klasma.github.io/Logging_0380/artfynd/A 3932-2025 artfynd.xlsx", "A 3932-2025")</f>
        <v/>
      </c>
      <c r="T90">
        <f>HYPERLINK("https://klasma.github.io/Logging_0380/kartor/A 3932-2025 karta.png", "A 3932-2025")</f>
        <v/>
      </c>
      <c r="U90">
        <f>HYPERLINK("https://klasma.github.io/Logging_0380/knärot/A 3932-2025 karta knärot.png", "A 3932-2025")</f>
        <v/>
      </c>
      <c r="V90">
        <f>HYPERLINK("https://klasma.github.io/Logging_0380/klagomål/A 3932-2025 FSC-klagomål.docx", "A 3932-2025")</f>
        <v/>
      </c>
      <c r="W90">
        <f>HYPERLINK("https://klasma.github.io/Logging_0380/klagomålsmail/A 3932-2025 FSC-klagomål mail.docx", "A 3932-2025")</f>
        <v/>
      </c>
      <c r="X90">
        <f>HYPERLINK("https://klasma.github.io/Logging_0380/tillsyn/A 3932-2025 tillsynsbegäran.docx", "A 3932-2025")</f>
        <v/>
      </c>
      <c r="Y90">
        <f>HYPERLINK("https://klasma.github.io/Logging_0380/tillsynsmail/A 3932-2025 tillsynsbegäran mail.docx", "A 3932-2025")</f>
        <v/>
      </c>
    </row>
    <row r="91" ht="15" customHeight="1">
      <c r="A91" t="inlineStr">
        <is>
          <t>A 20671-2019</t>
        </is>
      </c>
      <c r="B91" s="1" t="n">
        <v>43572</v>
      </c>
      <c r="C91" s="1" t="n">
        <v>45741</v>
      </c>
      <c r="D91" t="inlineStr">
        <is>
          <t>UPPSALA LÄN</t>
        </is>
      </c>
      <c r="E91" t="inlineStr">
        <is>
          <t>UPPSALA</t>
        </is>
      </c>
      <c r="G91" t="n">
        <v>14.8</v>
      </c>
      <c r="H91" t="n">
        <v>1</v>
      </c>
      <c r="I91" t="n">
        <v>0</v>
      </c>
      <c r="J91" t="n">
        <v>2</v>
      </c>
      <c r="K91" t="n">
        <v>0</v>
      </c>
      <c r="L91" t="n">
        <v>0</v>
      </c>
      <c r="M91" t="n">
        <v>0</v>
      </c>
      <c r="N91" t="n">
        <v>0</v>
      </c>
      <c r="O91" t="n">
        <v>2</v>
      </c>
      <c r="P91" t="n">
        <v>0</v>
      </c>
      <c r="Q91" t="n">
        <v>2</v>
      </c>
      <c r="R91" s="2" t="inlineStr">
        <is>
          <t>Gulsparv
Svartöra</t>
        </is>
      </c>
      <c r="S91">
        <f>HYPERLINK("https://klasma.github.io/Logging_0380/artfynd/A 20671-2019 artfynd.xlsx", "A 20671-2019")</f>
        <v/>
      </c>
      <c r="T91">
        <f>HYPERLINK("https://klasma.github.io/Logging_0380/kartor/A 20671-2019 karta.png", "A 20671-2019")</f>
        <v/>
      </c>
      <c r="V91">
        <f>HYPERLINK("https://klasma.github.io/Logging_0380/klagomål/A 20671-2019 FSC-klagomål.docx", "A 20671-2019")</f>
        <v/>
      </c>
      <c r="W91">
        <f>HYPERLINK("https://klasma.github.io/Logging_0380/klagomålsmail/A 20671-2019 FSC-klagomål mail.docx", "A 20671-2019")</f>
        <v/>
      </c>
      <c r="X91">
        <f>HYPERLINK("https://klasma.github.io/Logging_0380/tillsyn/A 20671-2019 tillsynsbegäran.docx", "A 20671-2019")</f>
        <v/>
      </c>
      <c r="Y91">
        <f>HYPERLINK("https://klasma.github.io/Logging_0380/tillsynsmail/A 20671-2019 tillsynsbegäran mail.docx", "A 20671-2019")</f>
        <v/>
      </c>
      <c r="Z91">
        <f>HYPERLINK("https://klasma.github.io/Logging_0380/fåglar/A 20671-2019 prioriterade fågelarter.docx", "A 20671-2019")</f>
        <v/>
      </c>
    </row>
    <row r="92" ht="15" customHeight="1">
      <c r="A92" t="inlineStr">
        <is>
          <t>A 25607-2019</t>
        </is>
      </c>
      <c r="B92" s="1" t="n">
        <v>43607</v>
      </c>
      <c r="C92" s="1" t="n">
        <v>45741</v>
      </c>
      <c r="D92" t="inlineStr">
        <is>
          <t>UPPSALA LÄN</t>
        </is>
      </c>
      <c r="E92" t="inlineStr">
        <is>
          <t>UPPSALA</t>
        </is>
      </c>
      <c r="G92" t="n">
        <v>1.1</v>
      </c>
      <c r="H92" t="n">
        <v>2</v>
      </c>
      <c r="I92" t="n">
        <v>0</v>
      </c>
      <c r="J92" t="n">
        <v>0</v>
      </c>
      <c r="K92" t="n">
        <v>0</v>
      </c>
      <c r="L92" t="n">
        <v>0</v>
      </c>
      <c r="M92" t="n">
        <v>0</v>
      </c>
      <c r="N92" t="n">
        <v>0</v>
      </c>
      <c r="O92" t="n">
        <v>0</v>
      </c>
      <c r="P92" t="n">
        <v>0</v>
      </c>
      <c r="Q92" t="n">
        <v>2</v>
      </c>
      <c r="R92" s="2" t="inlineStr">
        <is>
          <t>Större vattensalamander
Mindre vattensalamander</t>
        </is>
      </c>
      <c r="S92">
        <f>HYPERLINK("https://klasma.github.io/Logging_0380/artfynd/A 25607-2019 artfynd.xlsx", "A 25607-2019")</f>
        <v/>
      </c>
      <c r="T92">
        <f>HYPERLINK("https://klasma.github.io/Logging_0380/kartor/A 25607-2019 karta.png", "A 25607-2019")</f>
        <v/>
      </c>
      <c r="V92">
        <f>HYPERLINK("https://klasma.github.io/Logging_0380/klagomål/A 25607-2019 FSC-klagomål.docx", "A 25607-2019")</f>
        <v/>
      </c>
      <c r="W92">
        <f>HYPERLINK("https://klasma.github.io/Logging_0380/klagomålsmail/A 25607-2019 FSC-klagomål mail.docx", "A 25607-2019")</f>
        <v/>
      </c>
      <c r="X92">
        <f>HYPERLINK("https://klasma.github.io/Logging_0380/tillsyn/A 25607-2019 tillsynsbegäran.docx", "A 25607-2019")</f>
        <v/>
      </c>
      <c r="Y92">
        <f>HYPERLINK("https://klasma.github.io/Logging_0380/tillsynsmail/A 25607-2019 tillsynsbegäran mail.docx", "A 25607-2019")</f>
        <v/>
      </c>
    </row>
    <row r="93" ht="15" customHeight="1">
      <c r="A93" t="inlineStr">
        <is>
          <t>A 34066-2019</t>
        </is>
      </c>
      <c r="B93" s="1" t="n">
        <v>43654</v>
      </c>
      <c r="C93" s="1" t="n">
        <v>45741</v>
      </c>
      <c r="D93" t="inlineStr">
        <is>
          <t>UPPSALA LÄN</t>
        </is>
      </c>
      <c r="E93" t="inlineStr">
        <is>
          <t>UPPSALA</t>
        </is>
      </c>
      <c r="G93" t="n">
        <v>1.3</v>
      </c>
      <c r="H93" t="n">
        <v>0</v>
      </c>
      <c r="I93" t="n">
        <v>0</v>
      </c>
      <c r="J93" t="n">
        <v>2</v>
      </c>
      <c r="K93" t="n">
        <v>0</v>
      </c>
      <c r="L93" t="n">
        <v>0</v>
      </c>
      <c r="M93" t="n">
        <v>0</v>
      </c>
      <c r="N93" t="n">
        <v>0</v>
      </c>
      <c r="O93" t="n">
        <v>2</v>
      </c>
      <c r="P93" t="n">
        <v>0</v>
      </c>
      <c r="Q93" t="n">
        <v>2</v>
      </c>
      <c r="R93" s="2" t="inlineStr">
        <is>
          <t>Asppraktbagge
Grön aspvedbock</t>
        </is>
      </c>
      <c r="S93">
        <f>HYPERLINK("https://klasma.github.io/Logging_0380/artfynd/A 34066-2019 artfynd.xlsx", "A 34066-2019")</f>
        <v/>
      </c>
      <c r="T93">
        <f>HYPERLINK("https://klasma.github.io/Logging_0380/kartor/A 34066-2019 karta.png", "A 34066-2019")</f>
        <v/>
      </c>
      <c r="V93">
        <f>HYPERLINK("https://klasma.github.io/Logging_0380/klagomål/A 34066-2019 FSC-klagomål.docx", "A 34066-2019")</f>
        <v/>
      </c>
      <c r="W93">
        <f>HYPERLINK("https://klasma.github.io/Logging_0380/klagomålsmail/A 34066-2019 FSC-klagomål mail.docx", "A 34066-2019")</f>
        <v/>
      </c>
      <c r="X93">
        <f>HYPERLINK("https://klasma.github.io/Logging_0380/tillsyn/A 34066-2019 tillsynsbegäran.docx", "A 34066-2019")</f>
        <v/>
      </c>
      <c r="Y93">
        <f>HYPERLINK("https://klasma.github.io/Logging_0380/tillsynsmail/A 34066-2019 tillsynsbegäran mail.docx", "A 34066-2019")</f>
        <v/>
      </c>
    </row>
    <row r="94" ht="15" customHeight="1">
      <c r="A94" t="inlineStr">
        <is>
          <t>A 52165-2019</t>
        </is>
      </c>
      <c r="B94" s="1" t="n">
        <v>43742</v>
      </c>
      <c r="C94" s="1" t="n">
        <v>45741</v>
      </c>
      <c r="D94" t="inlineStr">
        <is>
          <t>UPPSALA LÄN</t>
        </is>
      </c>
      <c r="E94" t="inlineStr">
        <is>
          <t>UPPSALA</t>
        </is>
      </c>
      <c r="F94" t="inlineStr">
        <is>
          <t>Allmännings- och besparingsskogar</t>
        </is>
      </c>
      <c r="G94" t="n">
        <v>28.7</v>
      </c>
      <c r="H94" t="n">
        <v>2</v>
      </c>
      <c r="I94" t="n">
        <v>2</v>
      </c>
      <c r="J94" t="n">
        <v>0</v>
      </c>
      <c r="K94" t="n">
        <v>0</v>
      </c>
      <c r="L94" t="n">
        <v>0</v>
      </c>
      <c r="M94" t="n">
        <v>0</v>
      </c>
      <c r="N94" t="n">
        <v>0</v>
      </c>
      <c r="O94" t="n">
        <v>0</v>
      </c>
      <c r="P94" t="n">
        <v>0</v>
      </c>
      <c r="Q94" t="n">
        <v>2</v>
      </c>
      <c r="R94" s="2" t="inlineStr">
        <is>
          <t>Korallrot
Spindelblomster</t>
        </is>
      </c>
      <c r="S94">
        <f>HYPERLINK("https://klasma.github.io/Logging_0380/artfynd/A 52165-2019 artfynd.xlsx", "A 52165-2019")</f>
        <v/>
      </c>
      <c r="T94">
        <f>HYPERLINK("https://klasma.github.io/Logging_0380/kartor/A 52165-2019 karta.png", "A 52165-2019")</f>
        <v/>
      </c>
      <c r="V94">
        <f>HYPERLINK("https://klasma.github.io/Logging_0380/klagomål/A 52165-2019 FSC-klagomål.docx", "A 52165-2019")</f>
        <v/>
      </c>
      <c r="W94">
        <f>HYPERLINK("https://klasma.github.io/Logging_0380/klagomålsmail/A 52165-2019 FSC-klagomål mail.docx", "A 52165-2019")</f>
        <v/>
      </c>
      <c r="X94">
        <f>HYPERLINK("https://klasma.github.io/Logging_0380/tillsyn/A 52165-2019 tillsynsbegäran.docx", "A 52165-2019")</f>
        <v/>
      </c>
      <c r="Y94">
        <f>HYPERLINK("https://klasma.github.io/Logging_0380/tillsynsmail/A 52165-2019 tillsynsbegäran mail.docx", "A 52165-2019")</f>
        <v/>
      </c>
    </row>
    <row r="95" ht="15" customHeight="1">
      <c r="A95" t="inlineStr">
        <is>
          <t>A 18468-2020</t>
        </is>
      </c>
      <c r="B95" s="1" t="n">
        <v>43929</v>
      </c>
      <c r="C95" s="1" t="n">
        <v>45741</v>
      </c>
      <c r="D95" t="inlineStr">
        <is>
          <t>UPPSALA LÄN</t>
        </is>
      </c>
      <c r="E95" t="inlineStr">
        <is>
          <t>UPPSALA</t>
        </is>
      </c>
      <c r="G95" t="n">
        <v>0.5</v>
      </c>
      <c r="H95" t="n">
        <v>1</v>
      </c>
      <c r="I95" t="n">
        <v>1</v>
      </c>
      <c r="J95" t="n">
        <v>0</v>
      </c>
      <c r="K95" t="n">
        <v>0</v>
      </c>
      <c r="L95" t="n">
        <v>0</v>
      </c>
      <c r="M95" t="n">
        <v>0</v>
      </c>
      <c r="N95" t="n">
        <v>0</v>
      </c>
      <c r="O95" t="n">
        <v>0</v>
      </c>
      <c r="P95" t="n">
        <v>0</v>
      </c>
      <c r="Q95" t="n">
        <v>2</v>
      </c>
      <c r="R95" s="2" t="inlineStr">
        <is>
          <t>Mindre märgborre
Gullviva</t>
        </is>
      </c>
      <c r="S95">
        <f>HYPERLINK("https://klasma.github.io/Logging_0380/artfynd/A 18468-2020 artfynd.xlsx", "A 18468-2020")</f>
        <v/>
      </c>
      <c r="T95">
        <f>HYPERLINK("https://klasma.github.io/Logging_0380/kartor/A 18468-2020 karta.png", "A 18468-2020")</f>
        <v/>
      </c>
      <c r="V95">
        <f>HYPERLINK("https://klasma.github.io/Logging_0380/klagomål/A 18468-2020 FSC-klagomål.docx", "A 18468-2020")</f>
        <v/>
      </c>
      <c r="W95">
        <f>HYPERLINK("https://klasma.github.io/Logging_0380/klagomålsmail/A 18468-2020 FSC-klagomål mail.docx", "A 18468-2020")</f>
        <v/>
      </c>
      <c r="X95">
        <f>HYPERLINK("https://klasma.github.io/Logging_0380/tillsyn/A 18468-2020 tillsynsbegäran.docx", "A 18468-2020")</f>
        <v/>
      </c>
      <c r="Y95">
        <f>HYPERLINK("https://klasma.github.io/Logging_0380/tillsynsmail/A 18468-2020 tillsynsbegäran mail.docx", "A 18468-2020")</f>
        <v/>
      </c>
    </row>
    <row r="96" ht="15" customHeight="1">
      <c r="A96" t="inlineStr">
        <is>
          <t>A 37289-2020</t>
        </is>
      </c>
      <c r="B96" s="1" t="n">
        <v>44054</v>
      </c>
      <c r="C96" s="1" t="n">
        <v>45741</v>
      </c>
      <c r="D96" t="inlineStr">
        <is>
          <t>UPPSALA LÄN</t>
        </is>
      </c>
      <c r="E96" t="inlineStr">
        <is>
          <t>UPPSALA</t>
        </is>
      </c>
      <c r="F96" t="inlineStr">
        <is>
          <t>Allmännings- och besparingsskogar</t>
        </is>
      </c>
      <c r="G96" t="n">
        <v>13.5</v>
      </c>
      <c r="H96" t="n">
        <v>0</v>
      </c>
      <c r="I96" t="n">
        <v>1</v>
      </c>
      <c r="J96" t="n">
        <v>1</v>
      </c>
      <c r="K96" t="n">
        <v>0</v>
      </c>
      <c r="L96" t="n">
        <v>0</v>
      </c>
      <c r="M96" t="n">
        <v>0</v>
      </c>
      <c r="N96" t="n">
        <v>0</v>
      </c>
      <c r="O96" t="n">
        <v>1</v>
      </c>
      <c r="P96" t="n">
        <v>0</v>
      </c>
      <c r="Q96" t="n">
        <v>2</v>
      </c>
      <c r="R96" s="2" t="inlineStr">
        <is>
          <t>Vedtrappmossa
Granbarkgnagare</t>
        </is>
      </c>
      <c r="S96">
        <f>HYPERLINK("https://klasma.github.io/Logging_0380/artfynd/A 37289-2020 artfynd.xlsx", "A 37289-2020")</f>
        <v/>
      </c>
      <c r="T96">
        <f>HYPERLINK("https://klasma.github.io/Logging_0380/kartor/A 37289-2020 karta.png", "A 37289-2020")</f>
        <v/>
      </c>
      <c r="V96">
        <f>HYPERLINK("https://klasma.github.io/Logging_0380/klagomål/A 37289-2020 FSC-klagomål.docx", "A 37289-2020")</f>
        <v/>
      </c>
      <c r="W96">
        <f>HYPERLINK("https://klasma.github.io/Logging_0380/klagomålsmail/A 37289-2020 FSC-klagomål mail.docx", "A 37289-2020")</f>
        <v/>
      </c>
      <c r="X96">
        <f>HYPERLINK("https://klasma.github.io/Logging_0380/tillsyn/A 37289-2020 tillsynsbegäran.docx", "A 37289-2020")</f>
        <v/>
      </c>
      <c r="Y96">
        <f>HYPERLINK("https://klasma.github.io/Logging_0380/tillsynsmail/A 37289-2020 tillsynsbegäran mail.docx", "A 37289-2020")</f>
        <v/>
      </c>
    </row>
    <row r="97" ht="15" customHeight="1">
      <c r="A97" t="inlineStr">
        <is>
          <t>A 48100-2020</t>
        </is>
      </c>
      <c r="B97" s="1" t="n">
        <v>44101</v>
      </c>
      <c r="C97" s="1" t="n">
        <v>45741</v>
      </c>
      <c r="D97" t="inlineStr">
        <is>
          <t>UPPSALA LÄN</t>
        </is>
      </c>
      <c r="E97" t="inlineStr">
        <is>
          <t>UPPSALA</t>
        </is>
      </c>
      <c r="F97" t="inlineStr">
        <is>
          <t>Sveaskog</t>
        </is>
      </c>
      <c r="G97" t="n">
        <v>8.800000000000001</v>
      </c>
      <c r="H97" t="n">
        <v>1</v>
      </c>
      <c r="I97" t="n">
        <v>1</v>
      </c>
      <c r="J97" t="n">
        <v>0</v>
      </c>
      <c r="K97" t="n">
        <v>0</v>
      </c>
      <c r="L97" t="n">
        <v>0</v>
      </c>
      <c r="M97" t="n">
        <v>0</v>
      </c>
      <c r="N97" t="n">
        <v>0</v>
      </c>
      <c r="O97" t="n">
        <v>0</v>
      </c>
      <c r="P97" t="n">
        <v>0</v>
      </c>
      <c r="Q97" t="n">
        <v>2</v>
      </c>
      <c r="R97" s="2" t="inlineStr">
        <is>
          <t>Svavelriska
Blåsippa</t>
        </is>
      </c>
      <c r="S97">
        <f>HYPERLINK("https://klasma.github.io/Logging_0380/artfynd/A 48100-2020 artfynd.xlsx", "A 48100-2020")</f>
        <v/>
      </c>
      <c r="T97">
        <f>HYPERLINK("https://klasma.github.io/Logging_0380/kartor/A 48100-2020 karta.png", "A 48100-2020")</f>
        <v/>
      </c>
      <c r="V97">
        <f>HYPERLINK("https://klasma.github.io/Logging_0380/klagomål/A 48100-2020 FSC-klagomål.docx", "A 48100-2020")</f>
        <v/>
      </c>
      <c r="W97">
        <f>HYPERLINK("https://klasma.github.io/Logging_0380/klagomålsmail/A 48100-2020 FSC-klagomål mail.docx", "A 48100-2020")</f>
        <v/>
      </c>
      <c r="X97">
        <f>HYPERLINK("https://klasma.github.io/Logging_0380/tillsyn/A 48100-2020 tillsynsbegäran.docx", "A 48100-2020")</f>
        <v/>
      </c>
      <c r="Y97">
        <f>HYPERLINK("https://klasma.github.io/Logging_0380/tillsynsmail/A 48100-2020 tillsynsbegäran mail.docx", "A 48100-2020")</f>
        <v/>
      </c>
    </row>
    <row r="98" ht="15" customHeight="1">
      <c r="A98" t="inlineStr">
        <is>
          <t>A 58906-2021</t>
        </is>
      </c>
      <c r="B98" s="1" t="n">
        <v>44489</v>
      </c>
      <c r="C98" s="1" t="n">
        <v>45741</v>
      </c>
      <c r="D98" t="inlineStr">
        <is>
          <t>UPPSALA LÄN</t>
        </is>
      </c>
      <c r="E98" t="inlineStr">
        <is>
          <t>UPPSALA</t>
        </is>
      </c>
      <c r="G98" t="n">
        <v>8.6</v>
      </c>
      <c r="H98" t="n">
        <v>1</v>
      </c>
      <c r="I98" t="n">
        <v>0</v>
      </c>
      <c r="J98" t="n">
        <v>1</v>
      </c>
      <c r="K98" t="n">
        <v>0</v>
      </c>
      <c r="L98" t="n">
        <v>0</v>
      </c>
      <c r="M98" t="n">
        <v>0</v>
      </c>
      <c r="N98" t="n">
        <v>0</v>
      </c>
      <c r="O98" t="n">
        <v>1</v>
      </c>
      <c r="P98" t="n">
        <v>0</v>
      </c>
      <c r="Q98" t="n">
        <v>2</v>
      </c>
      <c r="R98" s="2" t="inlineStr">
        <is>
          <t>Ullticka
Tjäder</t>
        </is>
      </c>
      <c r="S98">
        <f>HYPERLINK("https://klasma.github.io/Logging_0380/artfynd/A 58906-2021 artfynd.xlsx", "A 58906-2021")</f>
        <v/>
      </c>
      <c r="T98">
        <f>HYPERLINK("https://klasma.github.io/Logging_0380/kartor/A 58906-2021 karta.png", "A 58906-2021")</f>
        <v/>
      </c>
      <c r="V98">
        <f>HYPERLINK("https://klasma.github.io/Logging_0380/klagomål/A 58906-2021 FSC-klagomål.docx", "A 58906-2021")</f>
        <v/>
      </c>
      <c r="W98">
        <f>HYPERLINK("https://klasma.github.io/Logging_0380/klagomålsmail/A 58906-2021 FSC-klagomål mail.docx", "A 58906-2021")</f>
        <v/>
      </c>
      <c r="X98">
        <f>HYPERLINK("https://klasma.github.io/Logging_0380/tillsyn/A 58906-2021 tillsynsbegäran.docx", "A 58906-2021")</f>
        <v/>
      </c>
      <c r="Y98">
        <f>HYPERLINK("https://klasma.github.io/Logging_0380/tillsynsmail/A 58906-2021 tillsynsbegäran mail.docx", "A 58906-2021")</f>
        <v/>
      </c>
      <c r="Z98">
        <f>HYPERLINK("https://klasma.github.io/Logging_0380/fåglar/A 58906-2021 prioriterade fågelarter.docx", "A 58906-2021")</f>
        <v/>
      </c>
    </row>
    <row r="99" ht="15" customHeight="1">
      <c r="A99" t="inlineStr">
        <is>
          <t>A 15277-2022</t>
        </is>
      </c>
      <c r="B99" s="1" t="n">
        <v>44659</v>
      </c>
      <c r="C99" s="1" t="n">
        <v>45741</v>
      </c>
      <c r="D99" t="inlineStr">
        <is>
          <t>UPPSALA LÄN</t>
        </is>
      </c>
      <c r="E99" t="inlineStr">
        <is>
          <t>UPPSALA</t>
        </is>
      </c>
      <c r="G99" t="n">
        <v>8.9</v>
      </c>
      <c r="H99" t="n">
        <v>2</v>
      </c>
      <c r="I99" t="n">
        <v>0</v>
      </c>
      <c r="J99" t="n">
        <v>2</v>
      </c>
      <c r="K99" t="n">
        <v>0</v>
      </c>
      <c r="L99" t="n">
        <v>0</v>
      </c>
      <c r="M99" t="n">
        <v>0</v>
      </c>
      <c r="N99" t="n">
        <v>0</v>
      </c>
      <c r="O99" t="n">
        <v>2</v>
      </c>
      <c r="P99" t="n">
        <v>0</v>
      </c>
      <c r="Q99" t="n">
        <v>2</v>
      </c>
      <c r="R99" s="2" t="inlineStr">
        <is>
          <t>Entita
Mindre hackspett</t>
        </is>
      </c>
      <c r="S99">
        <f>HYPERLINK("https://klasma.github.io/Logging_0380/artfynd/A 15277-2022 artfynd.xlsx", "A 15277-2022")</f>
        <v/>
      </c>
      <c r="T99">
        <f>HYPERLINK("https://klasma.github.io/Logging_0380/kartor/A 15277-2022 karta.png", "A 15277-2022")</f>
        <v/>
      </c>
      <c r="V99">
        <f>HYPERLINK("https://klasma.github.io/Logging_0380/klagomål/A 15277-2022 FSC-klagomål.docx", "A 15277-2022")</f>
        <v/>
      </c>
      <c r="W99">
        <f>HYPERLINK("https://klasma.github.io/Logging_0380/klagomålsmail/A 15277-2022 FSC-klagomål mail.docx", "A 15277-2022")</f>
        <v/>
      </c>
      <c r="X99">
        <f>HYPERLINK("https://klasma.github.io/Logging_0380/tillsyn/A 15277-2022 tillsynsbegäran.docx", "A 15277-2022")</f>
        <v/>
      </c>
      <c r="Y99">
        <f>HYPERLINK("https://klasma.github.io/Logging_0380/tillsynsmail/A 15277-2022 tillsynsbegäran mail.docx", "A 15277-2022")</f>
        <v/>
      </c>
      <c r="Z99">
        <f>HYPERLINK("https://klasma.github.io/Logging_0380/fåglar/A 15277-2022 prioriterade fågelarter.docx", "A 15277-2022")</f>
        <v/>
      </c>
    </row>
    <row r="100" ht="15" customHeight="1">
      <c r="A100" t="inlineStr">
        <is>
          <t>A 15297-2022</t>
        </is>
      </c>
      <c r="B100" s="1" t="n">
        <v>44659</v>
      </c>
      <c r="C100" s="1" t="n">
        <v>45741</v>
      </c>
      <c r="D100" t="inlineStr">
        <is>
          <t>UPPSALA LÄN</t>
        </is>
      </c>
      <c r="E100" t="inlineStr">
        <is>
          <t>UPPSALA</t>
        </is>
      </c>
      <c r="F100" t="inlineStr">
        <is>
          <t>Övriga Aktiebolag</t>
        </is>
      </c>
      <c r="G100" t="n">
        <v>6.6</v>
      </c>
      <c r="H100" t="n">
        <v>0</v>
      </c>
      <c r="I100" t="n">
        <v>1</v>
      </c>
      <c r="J100" t="n">
        <v>1</v>
      </c>
      <c r="K100" t="n">
        <v>0</v>
      </c>
      <c r="L100" t="n">
        <v>0</v>
      </c>
      <c r="M100" t="n">
        <v>0</v>
      </c>
      <c r="N100" t="n">
        <v>0</v>
      </c>
      <c r="O100" t="n">
        <v>1</v>
      </c>
      <c r="P100" t="n">
        <v>0</v>
      </c>
      <c r="Q100" t="n">
        <v>2</v>
      </c>
      <c r="R100" s="2" t="inlineStr">
        <is>
          <t>Blekticka
Stor aspticka</t>
        </is>
      </c>
      <c r="S100">
        <f>HYPERLINK("https://klasma.github.io/Logging_0380/artfynd/A 15297-2022 artfynd.xlsx", "A 15297-2022")</f>
        <v/>
      </c>
      <c r="T100">
        <f>HYPERLINK("https://klasma.github.io/Logging_0380/kartor/A 15297-2022 karta.png", "A 15297-2022")</f>
        <v/>
      </c>
      <c r="V100">
        <f>HYPERLINK("https://klasma.github.io/Logging_0380/klagomål/A 15297-2022 FSC-klagomål.docx", "A 15297-2022")</f>
        <v/>
      </c>
      <c r="W100">
        <f>HYPERLINK("https://klasma.github.io/Logging_0380/klagomålsmail/A 15297-2022 FSC-klagomål mail.docx", "A 15297-2022")</f>
        <v/>
      </c>
      <c r="X100">
        <f>HYPERLINK("https://klasma.github.io/Logging_0380/tillsyn/A 15297-2022 tillsynsbegäran.docx", "A 15297-2022")</f>
        <v/>
      </c>
      <c r="Y100">
        <f>HYPERLINK("https://klasma.github.io/Logging_0380/tillsynsmail/A 15297-2022 tillsynsbegäran mail.docx", "A 15297-2022")</f>
        <v/>
      </c>
    </row>
    <row r="101" ht="15" customHeight="1">
      <c r="A101" t="inlineStr">
        <is>
          <t>A 17341-2022</t>
        </is>
      </c>
      <c r="B101" s="1" t="n">
        <v>44678</v>
      </c>
      <c r="C101" s="1" t="n">
        <v>45741</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45741</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45741</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45741</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45741</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45741</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45741</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45741</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45741</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45741</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45741</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45741</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45741</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45741</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45741</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45741</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45741</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45741</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45741</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45741</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45741</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45741</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45741</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HYPERLINK("https://klasma.github.io/Logging_0380/artfynd/A 9401-2025 artfynd.xlsx", "A 9401-2025")</f>
        <v/>
      </c>
      <c r="T123">
        <f>HYPERLINK("https://klasma.github.io/Logging_0380/kartor/A 9401-2025 karta.png", "A 9401-2025")</f>
        <v/>
      </c>
      <c r="V123">
        <f>HYPERLINK("https://klasma.github.io/Logging_0380/klagomål/A 9401-2025 FSC-klagomål.docx", "A 9401-2025")</f>
        <v/>
      </c>
      <c r="W123">
        <f>HYPERLINK("https://klasma.github.io/Logging_0380/klagomålsmail/A 9401-2025 FSC-klagomål mail.docx", "A 9401-2025")</f>
        <v/>
      </c>
      <c r="X123">
        <f>HYPERLINK("https://klasma.github.io/Logging_0380/tillsyn/A 9401-2025 tillsynsbegäran.docx", "A 9401-2025")</f>
        <v/>
      </c>
      <c r="Y123">
        <f>HYPERLINK("https://klasma.github.io/Logging_0380/tillsynsmail/A 9401-2025 tillsynsbegäran mail.docx", "A 9401-2025")</f>
        <v/>
      </c>
    </row>
    <row r="124" ht="15" customHeight="1">
      <c r="A124" t="inlineStr">
        <is>
          <t>A 21862-2019</t>
        </is>
      </c>
      <c r="B124" s="1" t="n">
        <v>43583</v>
      </c>
      <c r="C124" s="1" t="n">
        <v>45741</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45741</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45741</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45741</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45741</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45741</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45741</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45741</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45741</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45741</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45741</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45741</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45741</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45741</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45741</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45741</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45741</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45741</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45741</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45741</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45741</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45741</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45741</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45741</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45741</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45741</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45741</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45741</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45741</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45741</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45741</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45741</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45741</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45741</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45741</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45741</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45741</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45741</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45741</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45741</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45741</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45741</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45741</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45741</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45741</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45741</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45741</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45741</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45741</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45741</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45741</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45741</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45741</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45741</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45741</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45741</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45741</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45741</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45741</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45741</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45741</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45741</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45741</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45741</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45741</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45741</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45741</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45741</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45741</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45741</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45741</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45741</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45741</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45741</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45741</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45741</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45741</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45741</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45741</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45741</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HYPERLINK("https://klasma.github.io/Logging_0380/artfynd/A 13526-2025 artfynd.xlsx", "A 13526-2025")</f>
        <v/>
      </c>
      <c r="T203">
        <f>HYPERLINK("https://klasma.github.io/Logging_0380/kartor/A 13526-2025 karta.png", "A 13526-2025")</f>
        <v/>
      </c>
      <c r="V203">
        <f>HYPERLINK("https://klasma.github.io/Logging_0380/klagomål/A 13526-2025 FSC-klagomål.docx", "A 13526-2025")</f>
        <v/>
      </c>
      <c r="W203">
        <f>HYPERLINK("https://klasma.github.io/Logging_0380/klagomålsmail/A 13526-2025 FSC-klagomål mail.docx", "A 13526-2025")</f>
        <v/>
      </c>
      <c r="X203">
        <f>HYPERLINK("https://klasma.github.io/Logging_0380/tillsyn/A 13526-2025 tillsynsbegäran.docx", "A 13526-2025")</f>
        <v/>
      </c>
      <c r="Y203">
        <f>HYPERLINK("https://klasma.github.io/Logging_0380/tillsynsmail/A 13526-2025 tillsynsbegäran mail.docx", "A 13526-2025")</f>
        <v/>
      </c>
    </row>
    <row r="204" ht="15" customHeight="1">
      <c r="A204" t="inlineStr">
        <is>
          <t>A 17828-2019</t>
        </is>
      </c>
      <c r="B204" s="1" t="n">
        <v>43556</v>
      </c>
      <c r="C204" s="1" t="n">
        <v>45741</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45741</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45741</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45741</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45741</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45741</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45741</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45741</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45741</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45741</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45741</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45741</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45741</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45741</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45741</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45741</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45741</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45741</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45741</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45741</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45741</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45741</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45741</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45741</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45741</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45741</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45741</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45741</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45741</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45741</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45741</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45741</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45741</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45741</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45741</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45741</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45741</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45741</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45741</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45741</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45741</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45741</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45741</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45741</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45741</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45741</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45741</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45741</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45741</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45741</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45741</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45741</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45741</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45741</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45741</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45741</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45741</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45741</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45741</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45741</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45741</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45741</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45741</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45741</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45741</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45741</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45741</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45741</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45741</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45741</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45741</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45741</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45741</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45741</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45741</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45741</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45741</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45741</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45741</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45741</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45741</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45741</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45741</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45741</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45741</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45741</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45741</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45741</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45741</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45741</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45741</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45741</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45741</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45741</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45741</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45741</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45741</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45741</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45741</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45741</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45741</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45741</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45741</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45741</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45741</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45741</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45741</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45741</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45741</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45741</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45741</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45741</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45741</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45741</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45741</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45741</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45741</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45741</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45741</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45741</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45741</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45741</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45741</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45741</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45741</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45741</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45741</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45741</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45741</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45741</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45741</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45741</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45741</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45741</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45741</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45741</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45741</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45741</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45741</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45741</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45741</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45741</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45741</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45741</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45741</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45741</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45741</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45741</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45741</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45741</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45741</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45741</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45741</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45741</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45741</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45741</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45741</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45741</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45741</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45741</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45741</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45741</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45741</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45741</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45741</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45741</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45741</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45741</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45741</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45741</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45741</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45741</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45741</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45741</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45741</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45741</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45741</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45741</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45741</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45741</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45741</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45741</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45741</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45741</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45741</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45741</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45741</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45741</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45741</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45741</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45741</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45741</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45741</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45741</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45741</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45741</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45741</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45741</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45741</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45741</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45741</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45741</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45741</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45741</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45741</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45741</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45741</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45741</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45741</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45741</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45741</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45741</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45741</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45741</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45741</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45741</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45741</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45741</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45741</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45741</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45741</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45741</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45741</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45741</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45741</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45741</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45741</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45741</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45741</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45741</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45741</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45741</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45741</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45741</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45741</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45741</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45741</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45741</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45741</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45741</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45741</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45741</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45741</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45741</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45741</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45741</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45741</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45741</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45741</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45741</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45741</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45741</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45741</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45741</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45741</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45741</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45741</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45741</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45741</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45741</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45741</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45741</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45741</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45741</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45741</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45741</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45741</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45741</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45741</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45741</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45741</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45741</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45741</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45741</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45741</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45741</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45741</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45741</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45741</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45741</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45741</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45741</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45741</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45741</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45741</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45741</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45741</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45741</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45741</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45741</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45741</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45741</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45741</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45741</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45741</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45741</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45741</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45741</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45741</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45741</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45741</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45741</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45741</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45741</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45741</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45741</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45741</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45741</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45741</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45741</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45741</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45741</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45741</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45741</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45741</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45741</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45741</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45741</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45741</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45741</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45741</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45741</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45741</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45741</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45741</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45741</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45741</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45741</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45741</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45741</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45741</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45741</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45741</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45741</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45741</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45741</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45741</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45741</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45741</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45741</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45741</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45741</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45741</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45741</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45741</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45741</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45741</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45741</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45741</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45741</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45741</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45741</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45741</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45741</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45741</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45741</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45741</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45741</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45741</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45741</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45741</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45741</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45741</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45741</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45741</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45741</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45741</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45741</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45741</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45741</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45741</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45741</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45741</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45741</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45741</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45741</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45741</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45741</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45741</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45741</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45741</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45741</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45741</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45741</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45741</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45741</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45741</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45741</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45741</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45741</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45741</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45741</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45741</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45741</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45741</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45741</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45741</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45741</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45741</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45741</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45741</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45741</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45741</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45741</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45741</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45741</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45741</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45741</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45741</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45741</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45741</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45741</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45741</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45741</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45741</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45741</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45741</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45741</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45741</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45741</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45741</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45741</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45741</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45741</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45741</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45741</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45741</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45741</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45741</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45741</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45741</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45741</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45741</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45741</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45741</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45741</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45741</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45741</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45741</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45741</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45741</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45741</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45741</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45741</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45741</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45741</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45741</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45741</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45741</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45741</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45741</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45741</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45741</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45741</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45741</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45741</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45741</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45741</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45741</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45741</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45741</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45741</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45741</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45741</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45741</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45741</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45741</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45741</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45741</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45741</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45741</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45741</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45741</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45741</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45741</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45741</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45741</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45741</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45741</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45741</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45741</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45741</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45741</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45741</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45741</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45741</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45741</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45741</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45741</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45741</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45741</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45741</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45741</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45741</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45741</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45741</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45741</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45741</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45741</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45741</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45741</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45741</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45741</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45741</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45741</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45741</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45741</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45741</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45741</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45741</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45741</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45741</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45741</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45741</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45741</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45741</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45741</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45741</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45741</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45741</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45741</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45741</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45741</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45741</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45741</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45741</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45741</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45741</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45741</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45741</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45741</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45741</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45741</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45741</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45741</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45741</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45741</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45741</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45741</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45741</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45741</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45741</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45741</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45741</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45741</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45741</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45741</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45741</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45741</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45741</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45741</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45741</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45741</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45741</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45741</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45741</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45741</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45741</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45741</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45741</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45741</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45741</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45741</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45741</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45741</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45741</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45741</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45741</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45741</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45741</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45741</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45741</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45741</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45741</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45741</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45741</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45741</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45741</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45741</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45741</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45741</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45741</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45741</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45741</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45741</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45741</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45741</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45741</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45741</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45741</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45741</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45741</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45741</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45741</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45741</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45741</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45741</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45741</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45741</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45741</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45741</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45741</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45741</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45741</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45741</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45741</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45741</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45741</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45741</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45741</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45741</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45741</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45741</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45741</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45741</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45741</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45741</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45741</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45741</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45741</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45741</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45741</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45741</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45741</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45741</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45741</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45741</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45741</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45741</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45741</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45741</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45741</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45741</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45741</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45741</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45741</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45741</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45741</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45741</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45741</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45741</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45741</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45741</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45741</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45741</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45741</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45741</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45741</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45741</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45741</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45741</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45741</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45741</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45741</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45741</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45741</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45741</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45741</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45741</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45741</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45741</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45741</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45741</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45741</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45741</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45741</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45741</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45741</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45741</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45741</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45741</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45741</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45741</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45741</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45741</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45741</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45741</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45741</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45741</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45741</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45741</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45741</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45741</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45741</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45741</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45741</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45741</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45741</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45741</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45741</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45741</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45741</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45741</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45741</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45741</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45741</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45741</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45741</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45741</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45741</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45741</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45741</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45741</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45741</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45741</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45741</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45741</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45741</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45741</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45741</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45741</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45741</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45741</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45741</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45741</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45741</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45741</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45741</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45741</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45741</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45741</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45741</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45741</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45741</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45741</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45741</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45741</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45741</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45741</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45741</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45741</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45741</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45741</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45741</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45741</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45741</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45741</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45741</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45741</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45741</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45741</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45741</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45741</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45741</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45741</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45741</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45741</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45741</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45741</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45741</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45741</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45741</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45741</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45741</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45741</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45741</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45741</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45741</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45741</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45741</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45741</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45741</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45741</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45741</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45741</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45741</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45741</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45741</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45741</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45741</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45741</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45741</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45741</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45741</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45741</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45741</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45741</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45741</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45741</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45741</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45741</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45741</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45741</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45741</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45741</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45741</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45741</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45741</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45741</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45741</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45741</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45741</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45741</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45741</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45741</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45741</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45741</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45741</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45741</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45741</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45741</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45741</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45741</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45741</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45741</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45741</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45741</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45741</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45741</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45741</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45741</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45741</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45741</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45741</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45741</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45741</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45741</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45741</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45741</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45741</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45741</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45741</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45741</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45741</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45741</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45741</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45741</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45741</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45741</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45741</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45741</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45741</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45741</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45741</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45741</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45741</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45741</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45741</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45741</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45741</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45741</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45741</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45741</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45741</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45741</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45741</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45741</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45741</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45741</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45741</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45741</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45741</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45741</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45741</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45741</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45741</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45741</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45741</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45741</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45741</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45741</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45741</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45741</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45741</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45741</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45741</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45741</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45741</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45741</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45741</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45741</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45741</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45741</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45741</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45741</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45741</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45741</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45741</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45741</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45741</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45741</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45741</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45741</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45741</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45741</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45741</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45741</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45741</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45741</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45741</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45741</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45741</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45741</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45741</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45741</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45741</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45741</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45741</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45741</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45741</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45741</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45741</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45741</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45741</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45741</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45741</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45741</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45741</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45741</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45741</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45741</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45741</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45741</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45741</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45741</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45741</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45741</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45741</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45741</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45741</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45741</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45741</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45741</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45741</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45741</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45741</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45741</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45741</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45741</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45741</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45741</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45741</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45741</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45741</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45741</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45741</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45741</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45741</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45741</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45741</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45741</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45741</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45741</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45741</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45741</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45741</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45741</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45741</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45741</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45741</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45741</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45741</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45741</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45741</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45741</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45741</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45741</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45741</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45741</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45741</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45741</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45741</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45741</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45741</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45741</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45741</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45741</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45741</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45741</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45741</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45741</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45741</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45741</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45741</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45741</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45741</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45741</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45741</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45741</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45741</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45741</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45741</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45741</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45741</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45741</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45741</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45741</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45741</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45741</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45741</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45741</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45741</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45741</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45741</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45741</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45741</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45741</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45741</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45741</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45741</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45741</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45741</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45741</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45741</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45741</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45741</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45741</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45741</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45741</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45741</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45741</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45741</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45741</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45741</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45741</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45741</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45741</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45741</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45741</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45741</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45741</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45741</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45741</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45741</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45741</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45741</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45741</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45741</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45741</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45741</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45741</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45741</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45741</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45741</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45741</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45741</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45741</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45741</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45741</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45741</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45741</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45741</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45741</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45741</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45741</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45741</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45741</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45741</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45741</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45741</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45741</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45741</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45741</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45741</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45741</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45741</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45741</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45741</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45741</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45741</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45741</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45741</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45741</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45741</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45741</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45741</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45741</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45741</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45741</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45741</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45741</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45741</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45741</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45741</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45741</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45741</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45741</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45741</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45741</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45741</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45741</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45741</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45741</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45741</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45741</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45741</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45741</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45741</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45741</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45741</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45741</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45741</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45741</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45741</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45741</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45741</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45741</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45741</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45741</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45741</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45741</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45741</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45741</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45741</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45741</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45741</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45741</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45741</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45741</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45741</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45741</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45741</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45741</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45741</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45741</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45741</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45741</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45741</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45741</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45741</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45741</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45741</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45741</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45741</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45741</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45741</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45741</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45741</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45741</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45741</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45741</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45741</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45741</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45741</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45741</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45741</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45741</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45741</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45741</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45741</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45741</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45741</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45741</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45741</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45741</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45741</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45741</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45741</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45741</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45741</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45741</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45741</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45741</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45741</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45741</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45741</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45741</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45741</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45741</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45741</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45741</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45741</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45741</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45741</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45741</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45741</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45741</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45741</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45741</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45741</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45741</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45741</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45741</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45741</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45741</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45741</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45741</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45741</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45741</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45741</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45741</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45741</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45741</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45741</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45741</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45741</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45741</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45741</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45741</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45741</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45741</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45741</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45741</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45741</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45741</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45741</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45741</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45741</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45741</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45741</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45741</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45741</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45741</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45741</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45741</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45741</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45741</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45741</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45741</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45741</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45741</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45741</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45741</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45741</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45741</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45741</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45741</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45741</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45741</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45741</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45741</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45741</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45741</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45741</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45741</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45741</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45741</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45741</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45741</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45741</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45741</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45741</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45741</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45741</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45741</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45741</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45741</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45741</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45741</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45741</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45741</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45741</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45741</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45741</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45741</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45741</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45741</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45741</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45741</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45741</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45741</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45741</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45741</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45741</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45741</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45741</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45741</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45741</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45741</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45741</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45741</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45741</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45741</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45741</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45741</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45741</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45741</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45741</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45741</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45741</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45741</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45741</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45741</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45741</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45741</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45741</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45741</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45741</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45741</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45741</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45741</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45741</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45741</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45741</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45741</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45741</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45741</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45741</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45741</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45741</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45741</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45741</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45741</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45741</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45741</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45741</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45741</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45741</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45741</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45741</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45741</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45741</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45741</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45741</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45741</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45741</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45741</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45741</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45741</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45741</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45741</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45741</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45741</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45741</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45741</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45741</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45741</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45741</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45741</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45741</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45741</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45741</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45741</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45741</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45741</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45741</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45741</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45741</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45741</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45741</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45741</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45741</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45741</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45741</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45741</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45741</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45741</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45741</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45741</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45741</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45741</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45741</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45741</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45741</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45741</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45741</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45741</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45741</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45741</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45741</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45741</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45741</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45741</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45741</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45741</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45741</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45741</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45741</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45741</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45741</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45741</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45741</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45741</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45741</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45741</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45741</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45741</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45741</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45741</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45741</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45741</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45741</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45741</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45741</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45741</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45741</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45741</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45741</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45741</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45741</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45741</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45741</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45741</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45741</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45741</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45741</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45741</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45741</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45741</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45741</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45741</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45741</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45741</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45741</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45741</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45741</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45741</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45741</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45741</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45741</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45741</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45741</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45741</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45741</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45741</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45741</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45741</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45741</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45741</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45741</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45741</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45741</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45741</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45741</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45741</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45741</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45741</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45741</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45741</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45741</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45741</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45741</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45741</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45741</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45741</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45741</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45741</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45741</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45741</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45741</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45741</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45741</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45741</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45741</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45741</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45741</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45741</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45741</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45741</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45741</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45741</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45741</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45741</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45741</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45741</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45741</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45741</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45741</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45741</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45741</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45741</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45741</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45741</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45741</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45741</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45741</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45741</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45741</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45741</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45741</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45741</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45741</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45741</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45741</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45741</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45741</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45741</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45741</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45741</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45741</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45741</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45741</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45741</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45741</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45741</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45741</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45741</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45741</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45741</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45741</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45741</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45741</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45741</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45741</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45741</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45741</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45741</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45741</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45741</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45741</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45741</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45741</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45741</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45741</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45741</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45741</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45741</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45741</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45741</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45741</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45741</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45741</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45741</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45741</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45741</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45741</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45741</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45741</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45741</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45741</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45741</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45741</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45741</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45741</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45741</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45741</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45741</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45741</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9981-2025</t>
        </is>
      </c>
      <c r="B1722" s="1" t="n">
        <v>45719</v>
      </c>
      <c r="C1722" s="1" t="n">
        <v>45741</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9982-2025</t>
        </is>
      </c>
      <c r="B1723" s="1" t="n">
        <v>45719</v>
      </c>
      <c r="C1723" s="1" t="n">
        <v>45741</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45741</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9991-2025</t>
        </is>
      </c>
      <c r="B1725" s="1" t="n">
        <v>45719</v>
      </c>
      <c r="C1725" s="1" t="n">
        <v>45741</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9995-2025</t>
        </is>
      </c>
      <c r="B1726" s="1" t="n">
        <v>45719</v>
      </c>
      <c r="C1726" s="1" t="n">
        <v>45741</v>
      </c>
      <c r="D1726" t="inlineStr">
        <is>
          <t>UPPSALA LÄN</t>
        </is>
      </c>
      <c r="E1726" t="inlineStr">
        <is>
          <t>UPPSALA</t>
        </is>
      </c>
      <c r="F1726" t="inlineStr">
        <is>
          <t>Kyrkan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9984-2025</t>
        </is>
      </c>
      <c r="B1727" s="1" t="n">
        <v>45719</v>
      </c>
      <c r="C1727" s="1" t="n">
        <v>45741</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45741</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10490-2025</t>
        </is>
      </c>
      <c r="B1729" s="1" t="n">
        <v>45721</v>
      </c>
      <c r="C1729" s="1" t="n">
        <v>45741</v>
      </c>
      <c r="D1729" t="inlineStr">
        <is>
          <t>UPPSALA LÄN</t>
        </is>
      </c>
      <c r="E1729" t="inlineStr">
        <is>
          <t>UPPSALA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10488-2025</t>
        </is>
      </c>
      <c r="B1730" s="1" t="n">
        <v>45721</v>
      </c>
      <c r="C1730" s="1" t="n">
        <v>45741</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10489-2025</t>
        </is>
      </c>
      <c r="B1731" s="1" t="n">
        <v>45721</v>
      </c>
      <c r="C1731" s="1" t="n">
        <v>45741</v>
      </c>
      <c r="D1731" t="inlineStr">
        <is>
          <t>UPPSALA LÄN</t>
        </is>
      </c>
      <c r="E1731" t="inlineStr">
        <is>
          <t>UPPSALA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45741</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45741</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11119-2025</t>
        </is>
      </c>
      <c r="B1734" s="1" t="n">
        <v>45723</v>
      </c>
      <c r="C1734" s="1" t="n">
        <v>45741</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45741</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45741</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45741</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12209-2025</t>
        </is>
      </c>
      <c r="B1738" s="1" t="n">
        <v>45729</v>
      </c>
      <c r="C1738" s="1" t="n">
        <v>45741</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12282-2025</t>
        </is>
      </c>
      <c r="B1739" s="1" t="n">
        <v>45729</v>
      </c>
      <c r="C1739" s="1" t="n">
        <v>45741</v>
      </c>
      <c r="D1739" t="inlineStr">
        <is>
          <t>UPPSALA LÄN</t>
        </is>
      </c>
      <c r="E1739" t="inlineStr">
        <is>
          <t>UPPSALA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12211-2025</t>
        </is>
      </c>
      <c r="B1740" s="1" t="n">
        <v>45729</v>
      </c>
      <c r="C1740" s="1" t="n">
        <v>45741</v>
      </c>
      <c r="D1740" t="inlineStr">
        <is>
          <t>UPPSALA LÄN</t>
        </is>
      </c>
      <c r="E1740" t="inlineStr">
        <is>
          <t>UPPSALA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12284-2025</t>
        </is>
      </c>
      <c r="B1741" s="1" t="n">
        <v>45729</v>
      </c>
      <c r="C1741" s="1" t="n">
        <v>45741</v>
      </c>
      <c r="D1741" t="inlineStr">
        <is>
          <t>UPPSALA LÄN</t>
        </is>
      </c>
      <c r="E1741" t="inlineStr">
        <is>
          <t>UPPSALA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12287-2025</t>
        </is>
      </c>
      <c r="B1742" s="1" t="n">
        <v>45729</v>
      </c>
      <c r="C1742" s="1" t="n">
        <v>45741</v>
      </c>
      <c r="D1742" t="inlineStr">
        <is>
          <t>UPPSALA LÄN</t>
        </is>
      </c>
      <c r="E1742" t="inlineStr">
        <is>
          <t>UPPSALA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45741</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12830-2025</t>
        </is>
      </c>
      <c r="B1744" s="1" t="n">
        <v>45733</v>
      </c>
      <c r="C1744" s="1" t="n">
        <v>45741</v>
      </c>
      <c r="D1744" t="inlineStr">
        <is>
          <t>UPPSALA LÄN</t>
        </is>
      </c>
      <c r="E1744" t="inlineStr">
        <is>
          <t>UPPSALA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12828-2025</t>
        </is>
      </c>
      <c r="B1745" s="1" t="n">
        <v>45733</v>
      </c>
      <c r="C1745" s="1" t="n">
        <v>45741</v>
      </c>
      <c r="D1745" t="inlineStr">
        <is>
          <t>UPPSALA LÄN</t>
        </is>
      </c>
      <c r="E1745" t="inlineStr">
        <is>
          <t>UPPSALA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45741</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45741</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13502-2025</t>
        </is>
      </c>
      <c r="B1748" s="1" t="n">
        <v>45736</v>
      </c>
      <c r="C1748" s="1" t="n">
        <v>45741</v>
      </c>
      <c r="D1748" t="inlineStr">
        <is>
          <t>UPPSALA LÄN</t>
        </is>
      </c>
      <c r="E1748" t="inlineStr">
        <is>
          <t>UPPSALA</t>
        </is>
      </c>
      <c r="F1748" t="inlineStr">
        <is>
          <t>Allmännings- och besparingsskogar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13590-2025</t>
        </is>
      </c>
      <c r="B1749" s="1" t="n">
        <v>45736</v>
      </c>
      <c r="C1749" s="1" t="n">
        <v>45741</v>
      </c>
      <c r="D1749" t="inlineStr">
        <is>
          <t>UPPSALA LÄN</t>
        </is>
      </c>
      <c r="E1749" t="inlineStr">
        <is>
          <t>UPPSALA</t>
        </is>
      </c>
      <c r="F1749" t="inlineStr">
        <is>
          <t>Allmännings- och besparingsskogar</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13594-2025</t>
        </is>
      </c>
      <c r="B1750" s="1" t="n">
        <v>45736</v>
      </c>
      <c r="C1750" s="1" t="n">
        <v>45741</v>
      </c>
      <c r="D1750" t="inlineStr">
        <is>
          <t>UPPSALA LÄN</t>
        </is>
      </c>
      <c r="E1750" t="inlineStr">
        <is>
          <t>UPPSALA</t>
        </is>
      </c>
      <c r="F1750" t="inlineStr">
        <is>
          <t>Allmännings- och besparingsskogar</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13602-2025</t>
        </is>
      </c>
      <c r="B1751" s="1" t="n">
        <v>45736</v>
      </c>
      <c r="C1751" s="1" t="n">
        <v>45741</v>
      </c>
      <c r="D1751" t="inlineStr">
        <is>
          <t>UPPSALA LÄN</t>
        </is>
      </c>
      <c r="E1751" t="inlineStr">
        <is>
          <t>UPPSALA</t>
        </is>
      </c>
      <c r="F1751" t="inlineStr">
        <is>
          <t>Allmännings- och besparingsskogar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45741</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45741</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45741</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c r="A1755" t="inlineStr">
        <is>
          <t>A 14065-2025</t>
        </is>
      </c>
      <c r="B1755" s="1" t="n">
        <v>45740</v>
      </c>
      <c r="C1755" s="1" t="n">
        <v>45741</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2025-03-25T17:51:09Z</dcterms:created>
  <dcterms:modified xmlns:dcterms="http://purl.org/dc/terms/" xmlns:xsi="http://www.w3.org/2001/XMLSchema-instance" xsi:type="dcterms:W3CDTF">2025-03-25T17:51:11Z</dcterms:modified>
</cp:coreProperties>
</file>