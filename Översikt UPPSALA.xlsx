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45708</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45708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45708</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45708</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45708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45708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45708</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45708</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45708</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45708</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45708</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45708</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45708</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45708</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45708</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45708</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45708</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45708</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45708</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45708</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45708</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45708</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45708</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45708</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45708</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45708</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45708</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45708</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45708</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45708</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45708</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45708</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45708</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45708</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45708</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45708</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45708</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45708</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45708</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45708</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45708</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45708</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45708</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45708</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45708</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45708</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45708</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45708</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45708</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45708</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45708</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45708</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45708</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45708</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45708</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45708</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45708</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45708</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45708</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45708</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45708</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45708</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45708</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45708</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45708</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45708</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45708</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45708</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45708</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45708</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45708</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45708</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45708</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45708</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45708</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45708</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45708</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45708</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45708</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45708</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45708</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45708</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45708</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45708</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45708</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45708</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45708</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45708</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45708</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45708</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45708</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45708</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45708</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45708</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45708</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45708</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45708</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45708</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45708</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45708</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45708</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45708</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45708</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45708</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45708</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45708</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45708</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45708</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45708</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45708</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45708</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45708</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45708</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5703-2025</t>
        </is>
      </c>
      <c r="B115" s="1" t="n">
        <v>45694</v>
      </c>
      <c r="C115" s="1" t="n">
        <v>45708</v>
      </c>
      <c r="D115" t="inlineStr">
        <is>
          <t>UPPSALA LÄN</t>
        </is>
      </c>
      <c r="E115" t="inlineStr">
        <is>
          <t>UPPSALA</t>
        </is>
      </c>
      <c r="F115" t="inlineStr">
        <is>
          <t>Bergvik skog öst AB</t>
        </is>
      </c>
      <c r="G115" t="n">
        <v>12.1</v>
      </c>
      <c r="H115" t="n">
        <v>2</v>
      </c>
      <c r="I115" t="n">
        <v>0</v>
      </c>
      <c r="J115" t="n">
        <v>0</v>
      </c>
      <c r="K115" t="n">
        <v>0</v>
      </c>
      <c r="L115" t="n">
        <v>0</v>
      </c>
      <c r="M115" t="n">
        <v>0</v>
      </c>
      <c r="N115" t="n">
        <v>0</v>
      </c>
      <c r="O115" t="n">
        <v>0</v>
      </c>
      <c r="P115" t="n">
        <v>0</v>
      </c>
      <c r="Q115" t="n">
        <v>2</v>
      </c>
      <c r="R115" s="2" t="inlineStr">
        <is>
          <t>Fläcknycklar
Nattviol</t>
        </is>
      </c>
      <c r="S115">
        <f>HYPERLINK("https://klasma.github.io/Logging_0380/artfynd/A 5703-2025 artfynd.xlsx", "A 5703-2025")</f>
        <v/>
      </c>
      <c r="T115">
        <f>HYPERLINK("https://klasma.github.io/Logging_0380/kartor/A 5703-2025 karta.png", "A 5703-2025")</f>
        <v/>
      </c>
      <c r="V115">
        <f>HYPERLINK("https://klasma.github.io/Logging_0380/klagomål/A 5703-2025 FSC-klagomål.docx", "A 5703-2025")</f>
        <v/>
      </c>
      <c r="W115">
        <f>HYPERLINK("https://klasma.github.io/Logging_0380/klagomålsmail/A 5703-2025 FSC-klagomål mail.docx", "A 5703-2025")</f>
        <v/>
      </c>
      <c r="X115">
        <f>HYPERLINK("https://klasma.github.io/Logging_0380/tillsyn/A 5703-2025 tillsynsbegäran.docx", "A 5703-2025")</f>
        <v/>
      </c>
      <c r="Y115">
        <f>HYPERLINK("https://klasma.github.io/Logging_0380/tillsynsmail/A 5703-2025 tillsynsbegäran mail.docx", "A 5703-2025")</f>
        <v/>
      </c>
    </row>
    <row r="116" ht="15" customHeight="1">
      <c r="A116" t="inlineStr">
        <is>
          <t>A 5755-2025</t>
        </is>
      </c>
      <c r="B116" s="1" t="n">
        <v>45694</v>
      </c>
      <c r="C116" s="1" t="n">
        <v>45708</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21862-2019</t>
        </is>
      </c>
      <c r="B117" s="1" t="n">
        <v>43583</v>
      </c>
      <c r="C117" s="1" t="n">
        <v>45708</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45708</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45708</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45708</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45708</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45708</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45708</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45708</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45708</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45708</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45708</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45708</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45708</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45708</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45708</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45708</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45708</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45708</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45708</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45708</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45708</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45708</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45708</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45708</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45708</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45708</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45708</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45708</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45708</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45708</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45708</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45708</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45708</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45708</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45708</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45708</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45708</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45708</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45708</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45708</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45708</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29906-2023</t>
        </is>
      </c>
      <c r="B158" s="1" t="n">
        <v>45107</v>
      </c>
      <c r="C158" s="1" t="n">
        <v>45708</v>
      </c>
      <c r="D158" t="inlineStr">
        <is>
          <t>UPPSALA LÄN</t>
        </is>
      </c>
      <c r="E158" t="inlineStr">
        <is>
          <t>UPPSALA</t>
        </is>
      </c>
      <c r="F158" t="inlineStr">
        <is>
          <t>Kyrkan</t>
        </is>
      </c>
      <c r="G158" t="n">
        <v>0.5</v>
      </c>
      <c r="H158" t="n">
        <v>0</v>
      </c>
      <c r="I158" t="n">
        <v>1</v>
      </c>
      <c r="J158" t="n">
        <v>0</v>
      </c>
      <c r="K158" t="n">
        <v>0</v>
      </c>
      <c r="L158" t="n">
        <v>0</v>
      </c>
      <c r="M158" t="n">
        <v>0</v>
      </c>
      <c r="N158" t="n">
        <v>0</v>
      </c>
      <c r="O158" t="n">
        <v>0</v>
      </c>
      <c r="P158" t="n">
        <v>0</v>
      </c>
      <c r="Q158" t="n">
        <v>1</v>
      </c>
      <c r="R158" s="2" t="inlineStr">
        <is>
          <t>Sotriska</t>
        </is>
      </c>
      <c r="S158">
        <f>HYPERLINK("https://klasma.github.io/Logging_0380/artfynd/A 29906-2023 artfynd.xlsx", "A 29906-2023")</f>
        <v/>
      </c>
      <c r="T158">
        <f>HYPERLINK("https://klasma.github.io/Logging_0380/kartor/A 29906-2023 karta.png", "A 29906-2023")</f>
        <v/>
      </c>
      <c r="V158">
        <f>HYPERLINK("https://klasma.github.io/Logging_0380/klagomål/A 29906-2023 FSC-klagomål.docx", "A 29906-2023")</f>
        <v/>
      </c>
      <c r="W158">
        <f>HYPERLINK("https://klasma.github.io/Logging_0380/klagomålsmail/A 29906-2023 FSC-klagomål mail.docx", "A 29906-2023")</f>
        <v/>
      </c>
      <c r="X158">
        <f>HYPERLINK("https://klasma.github.io/Logging_0380/tillsyn/A 29906-2023 tillsynsbegäran.docx", "A 29906-2023")</f>
        <v/>
      </c>
      <c r="Y158">
        <f>HYPERLINK("https://klasma.github.io/Logging_0380/tillsynsmail/A 29906-2023 tillsynsbegäran mail.docx", "A 29906-2023")</f>
        <v/>
      </c>
    </row>
    <row r="159" ht="15" customHeight="1">
      <c r="A159" t="inlineStr">
        <is>
          <t>A 32668-2023</t>
        </is>
      </c>
      <c r="B159" s="1" t="n">
        <v>45121</v>
      </c>
      <c r="C159" s="1" t="n">
        <v>45708</v>
      </c>
      <c r="D159" t="inlineStr">
        <is>
          <t>UPPSALA LÄN</t>
        </is>
      </c>
      <c r="E159" t="inlineStr">
        <is>
          <t>UPPSALA</t>
        </is>
      </c>
      <c r="F159" t="inlineStr">
        <is>
          <t>Holmen skog AB</t>
        </is>
      </c>
      <c r="G159" t="n">
        <v>6.3</v>
      </c>
      <c r="H159" t="n">
        <v>1</v>
      </c>
      <c r="I159" t="n">
        <v>0</v>
      </c>
      <c r="J159" t="n">
        <v>0</v>
      </c>
      <c r="K159" t="n">
        <v>0</v>
      </c>
      <c r="L159" t="n">
        <v>0</v>
      </c>
      <c r="M159" t="n">
        <v>0</v>
      </c>
      <c r="N159" t="n">
        <v>0</v>
      </c>
      <c r="O159" t="n">
        <v>0</v>
      </c>
      <c r="P159" t="n">
        <v>0</v>
      </c>
      <c r="Q159" t="n">
        <v>1</v>
      </c>
      <c r="R159" s="2" t="inlineStr">
        <is>
          <t>Blåsippa</t>
        </is>
      </c>
      <c r="S159">
        <f>HYPERLINK("https://klasma.github.io/Logging_0380/artfynd/A 32668-2023 artfynd.xlsx", "A 32668-2023")</f>
        <v/>
      </c>
      <c r="T159">
        <f>HYPERLINK("https://klasma.github.io/Logging_0380/kartor/A 32668-2023 karta.png", "A 32668-2023")</f>
        <v/>
      </c>
      <c r="V159">
        <f>HYPERLINK("https://klasma.github.io/Logging_0380/klagomål/A 32668-2023 FSC-klagomål.docx", "A 32668-2023")</f>
        <v/>
      </c>
      <c r="W159">
        <f>HYPERLINK("https://klasma.github.io/Logging_0380/klagomålsmail/A 32668-2023 FSC-klagomål mail.docx", "A 32668-2023")</f>
        <v/>
      </c>
      <c r="X159">
        <f>HYPERLINK("https://klasma.github.io/Logging_0380/tillsyn/A 32668-2023 tillsynsbegäran.docx", "A 32668-2023")</f>
        <v/>
      </c>
      <c r="Y159">
        <f>HYPERLINK("https://klasma.github.io/Logging_0380/tillsynsmail/A 32668-2023 tillsynsbegäran mail.docx", "A 32668-2023")</f>
        <v/>
      </c>
    </row>
    <row r="160" ht="15" customHeight="1">
      <c r="A160" t="inlineStr">
        <is>
          <t>A 32755-2023</t>
        </is>
      </c>
      <c r="B160" s="1" t="n">
        <v>45123</v>
      </c>
      <c r="C160" s="1" t="n">
        <v>45708</v>
      </c>
      <c r="D160" t="inlineStr">
        <is>
          <t>UPPSALA LÄN</t>
        </is>
      </c>
      <c r="E160" t="inlineStr">
        <is>
          <t>UPPSALA</t>
        </is>
      </c>
      <c r="G160" t="n">
        <v>5.7</v>
      </c>
      <c r="H160" t="n">
        <v>1</v>
      </c>
      <c r="I160" t="n">
        <v>0</v>
      </c>
      <c r="J160" t="n">
        <v>1</v>
      </c>
      <c r="K160" t="n">
        <v>0</v>
      </c>
      <c r="L160" t="n">
        <v>0</v>
      </c>
      <c r="M160" t="n">
        <v>0</v>
      </c>
      <c r="N160" t="n">
        <v>0</v>
      </c>
      <c r="O160" t="n">
        <v>1</v>
      </c>
      <c r="P160" t="n">
        <v>0</v>
      </c>
      <c r="Q160" t="n">
        <v>1</v>
      </c>
      <c r="R160" s="2" t="inlineStr">
        <is>
          <t>Spillkråka</t>
        </is>
      </c>
      <c r="S160">
        <f>HYPERLINK("https://klasma.github.io/Logging_0380/artfynd/A 32755-2023 artfynd.xlsx", "A 32755-2023")</f>
        <v/>
      </c>
      <c r="T160">
        <f>HYPERLINK("https://klasma.github.io/Logging_0380/kartor/A 32755-2023 karta.png", "A 32755-2023")</f>
        <v/>
      </c>
      <c r="V160">
        <f>HYPERLINK("https://klasma.github.io/Logging_0380/klagomål/A 32755-2023 FSC-klagomål.docx", "A 32755-2023")</f>
        <v/>
      </c>
      <c r="W160">
        <f>HYPERLINK("https://klasma.github.io/Logging_0380/klagomålsmail/A 32755-2023 FSC-klagomål mail.docx", "A 32755-2023")</f>
        <v/>
      </c>
      <c r="X160">
        <f>HYPERLINK("https://klasma.github.io/Logging_0380/tillsyn/A 32755-2023 tillsynsbegäran.docx", "A 32755-2023")</f>
        <v/>
      </c>
      <c r="Y160">
        <f>HYPERLINK("https://klasma.github.io/Logging_0380/tillsynsmail/A 32755-2023 tillsynsbegäran mail.docx", "A 32755-2023")</f>
        <v/>
      </c>
      <c r="Z160">
        <f>HYPERLINK("https://klasma.github.io/Logging_0380/fåglar/A 32755-2023 prioriterade fågelarter.docx", "A 32755-2023")</f>
        <v/>
      </c>
    </row>
    <row r="161" ht="15" customHeight="1">
      <c r="A161" t="inlineStr">
        <is>
          <t>A 34732-2023</t>
        </is>
      </c>
      <c r="B161" s="1" t="n">
        <v>45139</v>
      </c>
      <c r="C161" s="1" t="n">
        <v>45708</v>
      </c>
      <c r="D161" t="inlineStr">
        <is>
          <t>UPPSALA LÄN</t>
        </is>
      </c>
      <c r="E161" t="inlineStr">
        <is>
          <t>UPPSALA</t>
        </is>
      </c>
      <c r="G161" t="n">
        <v>8.1</v>
      </c>
      <c r="H161" t="n">
        <v>1</v>
      </c>
      <c r="I161" t="n">
        <v>1</v>
      </c>
      <c r="J161" t="n">
        <v>0</v>
      </c>
      <c r="K161" t="n">
        <v>0</v>
      </c>
      <c r="L161" t="n">
        <v>0</v>
      </c>
      <c r="M161" t="n">
        <v>0</v>
      </c>
      <c r="N161" t="n">
        <v>0</v>
      </c>
      <c r="O161" t="n">
        <v>0</v>
      </c>
      <c r="P161" t="n">
        <v>0</v>
      </c>
      <c r="Q161" t="n">
        <v>1</v>
      </c>
      <c r="R161" s="2" t="inlineStr">
        <is>
          <t>Grön sköldmossa</t>
        </is>
      </c>
      <c r="S161">
        <f>HYPERLINK("https://klasma.github.io/Logging_0380/artfynd/A 34732-2023 artfynd.xlsx", "A 34732-2023")</f>
        <v/>
      </c>
      <c r="T161">
        <f>HYPERLINK("https://klasma.github.io/Logging_0380/kartor/A 34732-2023 karta.png", "A 34732-2023")</f>
        <v/>
      </c>
      <c r="V161">
        <f>HYPERLINK("https://klasma.github.io/Logging_0380/klagomål/A 34732-2023 FSC-klagomål.docx", "A 34732-2023")</f>
        <v/>
      </c>
      <c r="W161">
        <f>HYPERLINK("https://klasma.github.io/Logging_0380/klagomålsmail/A 34732-2023 FSC-klagomål mail.docx", "A 34732-2023")</f>
        <v/>
      </c>
      <c r="X161">
        <f>HYPERLINK("https://klasma.github.io/Logging_0380/tillsyn/A 34732-2023 tillsynsbegäran.docx", "A 34732-2023")</f>
        <v/>
      </c>
      <c r="Y161">
        <f>HYPERLINK("https://klasma.github.io/Logging_0380/tillsynsmail/A 34732-2023 tillsynsbegäran mail.docx", "A 34732-2023")</f>
        <v/>
      </c>
    </row>
    <row r="162" ht="15" customHeight="1">
      <c r="A162" t="inlineStr">
        <is>
          <t>A 39741-2023</t>
        </is>
      </c>
      <c r="B162" s="1" t="n">
        <v>45167</v>
      </c>
      <c r="C162" s="1" t="n">
        <v>45708</v>
      </c>
      <c r="D162" t="inlineStr">
        <is>
          <t>UPPSALA LÄN</t>
        </is>
      </c>
      <c r="E162" t="inlineStr">
        <is>
          <t>UPPSALA</t>
        </is>
      </c>
      <c r="G162" t="n">
        <v>5.6</v>
      </c>
      <c r="H162" t="n">
        <v>1</v>
      </c>
      <c r="I162" t="n">
        <v>0</v>
      </c>
      <c r="J162" t="n">
        <v>1</v>
      </c>
      <c r="K162" t="n">
        <v>0</v>
      </c>
      <c r="L162" t="n">
        <v>0</v>
      </c>
      <c r="M162" t="n">
        <v>0</v>
      </c>
      <c r="N162" t="n">
        <v>0</v>
      </c>
      <c r="O162" t="n">
        <v>1</v>
      </c>
      <c r="P162" t="n">
        <v>0</v>
      </c>
      <c r="Q162" t="n">
        <v>1</v>
      </c>
      <c r="R162" s="2" t="inlineStr">
        <is>
          <t>Entita</t>
        </is>
      </c>
      <c r="S162">
        <f>HYPERLINK("https://klasma.github.io/Logging_0380/artfynd/A 39741-2023 artfynd.xlsx", "A 39741-2023")</f>
        <v/>
      </c>
      <c r="T162">
        <f>HYPERLINK("https://klasma.github.io/Logging_0380/kartor/A 39741-2023 karta.png", "A 39741-2023")</f>
        <v/>
      </c>
      <c r="V162">
        <f>HYPERLINK("https://klasma.github.io/Logging_0380/klagomål/A 39741-2023 FSC-klagomål.docx", "A 39741-2023")</f>
        <v/>
      </c>
      <c r="W162">
        <f>HYPERLINK("https://klasma.github.io/Logging_0380/klagomålsmail/A 39741-2023 FSC-klagomål mail.docx", "A 39741-2023")</f>
        <v/>
      </c>
      <c r="X162">
        <f>HYPERLINK("https://klasma.github.io/Logging_0380/tillsyn/A 39741-2023 tillsynsbegäran.docx", "A 39741-2023")</f>
        <v/>
      </c>
      <c r="Y162">
        <f>HYPERLINK("https://klasma.github.io/Logging_0380/tillsynsmail/A 39741-2023 tillsynsbegäran mail.docx", "A 39741-2023")</f>
        <v/>
      </c>
      <c r="Z162">
        <f>HYPERLINK("https://klasma.github.io/Logging_0380/fåglar/A 39741-2023 prioriterade fågelarter.docx", "A 39741-2023")</f>
        <v/>
      </c>
    </row>
    <row r="163" ht="15" customHeight="1">
      <c r="A163" t="inlineStr">
        <is>
          <t>A 51540-2023</t>
        </is>
      </c>
      <c r="B163" s="1" t="n">
        <v>45222</v>
      </c>
      <c r="C163" s="1" t="n">
        <v>45708</v>
      </c>
      <c r="D163" t="inlineStr">
        <is>
          <t>UPPSALA LÄN</t>
        </is>
      </c>
      <c r="E163" t="inlineStr">
        <is>
          <t>UPPSALA</t>
        </is>
      </c>
      <c r="G163" t="n">
        <v>6.4</v>
      </c>
      <c r="H163" t="n">
        <v>0</v>
      </c>
      <c r="I163" t="n">
        <v>0</v>
      </c>
      <c r="J163" t="n">
        <v>1</v>
      </c>
      <c r="K163" t="n">
        <v>0</v>
      </c>
      <c r="L163" t="n">
        <v>0</v>
      </c>
      <c r="M163" t="n">
        <v>0</v>
      </c>
      <c r="N163" t="n">
        <v>0</v>
      </c>
      <c r="O163" t="n">
        <v>1</v>
      </c>
      <c r="P163" t="n">
        <v>0</v>
      </c>
      <c r="Q163" t="n">
        <v>1</v>
      </c>
      <c r="R163" s="2" t="inlineStr">
        <is>
          <t>Svedjenäva</t>
        </is>
      </c>
      <c r="S163">
        <f>HYPERLINK("https://klasma.github.io/Logging_0380/artfynd/A 51540-2023 artfynd.xlsx", "A 51540-2023")</f>
        <v/>
      </c>
      <c r="T163">
        <f>HYPERLINK("https://klasma.github.io/Logging_0380/kartor/A 51540-2023 karta.png", "A 51540-2023")</f>
        <v/>
      </c>
      <c r="V163">
        <f>HYPERLINK("https://klasma.github.io/Logging_0380/klagomål/A 51540-2023 FSC-klagomål.docx", "A 51540-2023")</f>
        <v/>
      </c>
      <c r="W163">
        <f>HYPERLINK("https://klasma.github.io/Logging_0380/klagomålsmail/A 51540-2023 FSC-klagomål mail.docx", "A 51540-2023")</f>
        <v/>
      </c>
      <c r="X163">
        <f>HYPERLINK("https://klasma.github.io/Logging_0380/tillsyn/A 51540-2023 tillsynsbegäran.docx", "A 51540-2023")</f>
        <v/>
      </c>
      <c r="Y163">
        <f>HYPERLINK("https://klasma.github.io/Logging_0380/tillsynsmail/A 51540-2023 tillsynsbegäran mail.docx", "A 51540-2023")</f>
        <v/>
      </c>
    </row>
    <row r="164" ht="15" customHeight="1">
      <c r="A164" t="inlineStr">
        <is>
          <t>A 57332-2023</t>
        </is>
      </c>
      <c r="B164" s="1" t="n">
        <v>45245</v>
      </c>
      <c r="C164" s="1" t="n">
        <v>45708</v>
      </c>
      <c r="D164" t="inlineStr">
        <is>
          <t>UPPSALA LÄN</t>
        </is>
      </c>
      <c r="E164" t="inlineStr">
        <is>
          <t>UPPSALA</t>
        </is>
      </c>
      <c r="F164" t="inlineStr">
        <is>
          <t>Allmännings- och besparingsskogar</t>
        </is>
      </c>
      <c r="G164" t="n">
        <v>11.4</v>
      </c>
      <c r="H164" t="n">
        <v>1</v>
      </c>
      <c r="I164" t="n">
        <v>0</v>
      </c>
      <c r="J164" t="n">
        <v>0</v>
      </c>
      <c r="K164" t="n">
        <v>1</v>
      </c>
      <c r="L164" t="n">
        <v>0</v>
      </c>
      <c r="M164" t="n">
        <v>0</v>
      </c>
      <c r="N164" t="n">
        <v>0</v>
      </c>
      <c r="O164" t="n">
        <v>1</v>
      </c>
      <c r="P164" t="n">
        <v>1</v>
      </c>
      <c r="Q164" t="n">
        <v>1</v>
      </c>
      <c r="R164" s="2" t="inlineStr">
        <is>
          <t>Knärot</t>
        </is>
      </c>
      <c r="S164">
        <f>HYPERLINK("https://klasma.github.io/Logging_0380/artfynd/A 57332-2023 artfynd.xlsx", "A 57332-2023")</f>
        <v/>
      </c>
      <c r="T164">
        <f>HYPERLINK("https://klasma.github.io/Logging_0380/kartor/A 57332-2023 karta.png", "A 57332-2023")</f>
        <v/>
      </c>
      <c r="U164">
        <f>HYPERLINK("https://klasma.github.io/Logging_0380/knärot/A 57332-2023 karta knärot.png", "A 57332-2023")</f>
        <v/>
      </c>
      <c r="V164">
        <f>HYPERLINK("https://klasma.github.io/Logging_0380/klagomål/A 57332-2023 FSC-klagomål.docx", "A 57332-2023")</f>
        <v/>
      </c>
      <c r="W164">
        <f>HYPERLINK("https://klasma.github.io/Logging_0380/klagomålsmail/A 57332-2023 FSC-klagomål mail.docx", "A 57332-2023")</f>
        <v/>
      </c>
      <c r="X164">
        <f>HYPERLINK("https://klasma.github.io/Logging_0380/tillsyn/A 57332-2023 tillsynsbegäran.docx", "A 57332-2023")</f>
        <v/>
      </c>
      <c r="Y164">
        <f>HYPERLINK("https://klasma.github.io/Logging_0380/tillsynsmail/A 57332-2023 tillsynsbegäran mail.docx", "A 57332-2023")</f>
        <v/>
      </c>
    </row>
    <row r="165" ht="15" customHeight="1">
      <c r="A165" t="inlineStr">
        <is>
          <t>A 61068-2023</t>
        </is>
      </c>
      <c r="B165" s="1" t="n">
        <v>45259</v>
      </c>
      <c r="C165" s="1" t="n">
        <v>45708</v>
      </c>
      <c r="D165" t="inlineStr">
        <is>
          <t>UPPSALA LÄN</t>
        </is>
      </c>
      <c r="E165" t="inlineStr">
        <is>
          <t>UPPSALA</t>
        </is>
      </c>
      <c r="F165" t="inlineStr">
        <is>
          <t>Övriga Aktiebolag</t>
        </is>
      </c>
      <c r="G165" t="n">
        <v>8.800000000000001</v>
      </c>
      <c r="H165" t="n">
        <v>1</v>
      </c>
      <c r="I165" t="n">
        <v>0</v>
      </c>
      <c r="J165" t="n">
        <v>0</v>
      </c>
      <c r="K165" t="n">
        <v>1</v>
      </c>
      <c r="L165" t="n">
        <v>0</v>
      </c>
      <c r="M165" t="n">
        <v>0</v>
      </c>
      <c r="N165" t="n">
        <v>0</v>
      </c>
      <c r="O165" t="n">
        <v>1</v>
      </c>
      <c r="P165" t="n">
        <v>1</v>
      </c>
      <c r="Q165" t="n">
        <v>1</v>
      </c>
      <c r="R165" s="2" t="inlineStr">
        <is>
          <t>Knärot</t>
        </is>
      </c>
      <c r="S165">
        <f>HYPERLINK("https://klasma.github.io/Logging_0380/artfynd/A 61068-2023 artfynd.xlsx", "A 61068-2023")</f>
        <v/>
      </c>
      <c r="T165">
        <f>HYPERLINK("https://klasma.github.io/Logging_0380/kartor/A 61068-2023 karta.png", "A 61068-2023")</f>
        <v/>
      </c>
      <c r="U165">
        <f>HYPERLINK("https://klasma.github.io/Logging_0380/knärot/A 61068-2023 karta knärot.png", "A 61068-2023")</f>
        <v/>
      </c>
      <c r="V165">
        <f>HYPERLINK("https://klasma.github.io/Logging_0380/klagomål/A 61068-2023 FSC-klagomål.docx", "A 61068-2023")</f>
        <v/>
      </c>
      <c r="W165">
        <f>HYPERLINK("https://klasma.github.io/Logging_0380/klagomålsmail/A 61068-2023 FSC-klagomål mail.docx", "A 61068-2023")</f>
        <v/>
      </c>
      <c r="X165">
        <f>HYPERLINK("https://klasma.github.io/Logging_0380/tillsyn/A 61068-2023 tillsynsbegäran.docx", "A 61068-2023")</f>
        <v/>
      </c>
      <c r="Y165">
        <f>HYPERLINK("https://klasma.github.io/Logging_0380/tillsynsmail/A 61068-2023 tillsynsbegäran mail.docx", "A 61068-2023")</f>
        <v/>
      </c>
    </row>
    <row r="166" ht="15" customHeight="1">
      <c r="A166" t="inlineStr">
        <is>
          <t>A 61066-2023</t>
        </is>
      </c>
      <c r="B166" s="1" t="n">
        <v>45259</v>
      </c>
      <c r="C166" s="1" t="n">
        <v>45708</v>
      </c>
      <c r="D166" t="inlineStr">
        <is>
          <t>UPPSALA LÄN</t>
        </is>
      </c>
      <c r="E166" t="inlineStr">
        <is>
          <t>UPPSALA</t>
        </is>
      </c>
      <c r="F166" t="inlineStr">
        <is>
          <t>Övriga Aktiebolag</t>
        </is>
      </c>
      <c r="G166" t="n">
        <v>4.7</v>
      </c>
      <c r="H166" t="n">
        <v>0</v>
      </c>
      <c r="I166" t="n">
        <v>0</v>
      </c>
      <c r="J166" t="n">
        <v>1</v>
      </c>
      <c r="K166" t="n">
        <v>0</v>
      </c>
      <c r="L166" t="n">
        <v>0</v>
      </c>
      <c r="M166" t="n">
        <v>0</v>
      </c>
      <c r="N166" t="n">
        <v>0</v>
      </c>
      <c r="O166" t="n">
        <v>1</v>
      </c>
      <c r="P166" t="n">
        <v>0</v>
      </c>
      <c r="Q166" t="n">
        <v>1</v>
      </c>
      <c r="R166" s="2" t="inlineStr">
        <is>
          <t>Igelkott</t>
        </is>
      </c>
      <c r="S166">
        <f>HYPERLINK("https://klasma.github.io/Logging_0380/artfynd/A 61066-2023 artfynd.xlsx", "A 61066-2023")</f>
        <v/>
      </c>
      <c r="T166">
        <f>HYPERLINK("https://klasma.github.io/Logging_0380/kartor/A 61066-2023 karta.png", "A 61066-2023")</f>
        <v/>
      </c>
      <c r="V166">
        <f>HYPERLINK("https://klasma.github.io/Logging_0380/klagomål/A 61066-2023 FSC-klagomål.docx", "A 61066-2023")</f>
        <v/>
      </c>
      <c r="W166">
        <f>HYPERLINK("https://klasma.github.io/Logging_0380/klagomålsmail/A 61066-2023 FSC-klagomål mail.docx", "A 61066-2023")</f>
        <v/>
      </c>
      <c r="X166">
        <f>HYPERLINK("https://klasma.github.io/Logging_0380/tillsyn/A 61066-2023 tillsynsbegäran.docx", "A 61066-2023")</f>
        <v/>
      </c>
      <c r="Y166">
        <f>HYPERLINK("https://klasma.github.io/Logging_0380/tillsynsmail/A 61066-2023 tillsynsbegäran mail.docx", "A 61066-2023")</f>
        <v/>
      </c>
    </row>
    <row r="167" ht="15" customHeight="1">
      <c r="A167" t="inlineStr">
        <is>
          <t>A 63172-2023</t>
        </is>
      </c>
      <c r="B167" s="1" t="n">
        <v>45273</v>
      </c>
      <c r="C167" s="1" t="n">
        <v>45708</v>
      </c>
      <c r="D167" t="inlineStr">
        <is>
          <t>UPPSALA LÄN</t>
        </is>
      </c>
      <c r="E167" t="inlineStr">
        <is>
          <t>UPPSALA</t>
        </is>
      </c>
      <c r="G167" t="n">
        <v>1.8</v>
      </c>
      <c r="H167" t="n">
        <v>0</v>
      </c>
      <c r="I167" t="n">
        <v>1</v>
      </c>
      <c r="J167" t="n">
        <v>0</v>
      </c>
      <c r="K167" t="n">
        <v>0</v>
      </c>
      <c r="L167" t="n">
        <v>0</v>
      </c>
      <c r="M167" t="n">
        <v>0</v>
      </c>
      <c r="N167" t="n">
        <v>0</v>
      </c>
      <c r="O167" t="n">
        <v>0</v>
      </c>
      <c r="P167" t="n">
        <v>0</v>
      </c>
      <c r="Q167" t="n">
        <v>1</v>
      </c>
      <c r="R167" s="2" t="inlineStr">
        <is>
          <t>Ögonpyrola</t>
        </is>
      </c>
      <c r="S167">
        <f>HYPERLINK("https://klasma.github.io/Logging_0380/artfynd/A 63172-2023 artfynd.xlsx", "A 63172-2023")</f>
        <v/>
      </c>
      <c r="T167">
        <f>HYPERLINK("https://klasma.github.io/Logging_0380/kartor/A 63172-2023 karta.png", "A 63172-2023")</f>
        <v/>
      </c>
      <c r="V167">
        <f>HYPERLINK("https://klasma.github.io/Logging_0380/klagomål/A 63172-2023 FSC-klagomål.docx", "A 63172-2023")</f>
        <v/>
      </c>
      <c r="W167">
        <f>HYPERLINK("https://klasma.github.io/Logging_0380/klagomålsmail/A 63172-2023 FSC-klagomål mail.docx", "A 63172-2023")</f>
        <v/>
      </c>
      <c r="X167">
        <f>HYPERLINK("https://klasma.github.io/Logging_0380/tillsyn/A 63172-2023 tillsynsbegäran.docx", "A 63172-2023")</f>
        <v/>
      </c>
      <c r="Y167">
        <f>HYPERLINK("https://klasma.github.io/Logging_0380/tillsynsmail/A 63172-2023 tillsynsbegäran mail.docx", "A 63172-2023")</f>
        <v/>
      </c>
    </row>
    <row r="168" ht="15" customHeight="1">
      <c r="A168" t="inlineStr">
        <is>
          <t>A 584-2024</t>
        </is>
      </c>
      <c r="B168" s="1" t="n">
        <v>45299</v>
      </c>
      <c r="C168" s="1" t="n">
        <v>45708</v>
      </c>
      <c r="D168" t="inlineStr">
        <is>
          <t>UPPSALA LÄN</t>
        </is>
      </c>
      <c r="E168" t="inlineStr">
        <is>
          <t>UPPSALA</t>
        </is>
      </c>
      <c r="G168" t="n">
        <v>0.8</v>
      </c>
      <c r="H168" t="n">
        <v>1</v>
      </c>
      <c r="I168" t="n">
        <v>0</v>
      </c>
      <c r="J168" t="n">
        <v>0</v>
      </c>
      <c r="K168" t="n">
        <v>1</v>
      </c>
      <c r="L168" t="n">
        <v>0</v>
      </c>
      <c r="M168" t="n">
        <v>0</v>
      </c>
      <c r="N168" t="n">
        <v>0</v>
      </c>
      <c r="O168" t="n">
        <v>1</v>
      </c>
      <c r="P168" t="n">
        <v>1</v>
      </c>
      <c r="Q168" t="n">
        <v>1</v>
      </c>
      <c r="R168" s="2" t="inlineStr">
        <is>
          <t>Väddnätfjäril</t>
        </is>
      </c>
      <c r="S168">
        <f>HYPERLINK("https://klasma.github.io/Logging_0380/artfynd/A 584-2024 artfynd.xlsx", "A 584-2024")</f>
        <v/>
      </c>
      <c r="T168">
        <f>HYPERLINK("https://klasma.github.io/Logging_0380/kartor/A 584-2024 karta.png", "A 584-2024")</f>
        <v/>
      </c>
      <c r="V168">
        <f>HYPERLINK("https://klasma.github.io/Logging_0380/klagomål/A 584-2024 FSC-klagomål.docx", "A 584-2024")</f>
        <v/>
      </c>
      <c r="W168">
        <f>HYPERLINK("https://klasma.github.io/Logging_0380/klagomålsmail/A 584-2024 FSC-klagomål mail.docx", "A 584-2024")</f>
        <v/>
      </c>
      <c r="X168">
        <f>HYPERLINK("https://klasma.github.io/Logging_0380/tillsyn/A 584-2024 tillsynsbegäran.docx", "A 584-2024")</f>
        <v/>
      </c>
      <c r="Y168">
        <f>HYPERLINK("https://klasma.github.io/Logging_0380/tillsynsmail/A 584-2024 tillsynsbegäran mail.docx", "A 584-2024")</f>
        <v/>
      </c>
    </row>
    <row r="169" ht="15" customHeight="1">
      <c r="A169" t="inlineStr">
        <is>
          <t>A 2729-2024</t>
        </is>
      </c>
      <c r="B169" s="1" t="n">
        <v>45314</v>
      </c>
      <c r="C169" s="1" t="n">
        <v>45708</v>
      </c>
      <c r="D169" t="inlineStr">
        <is>
          <t>UPPSALA LÄN</t>
        </is>
      </c>
      <c r="E169" t="inlineStr">
        <is>
          <t>UPPSALA</t>
        </is>
      </c>
      <c r="G169" t="n">
        <v>3.3</v>
      </c>
      <c r="H169" t="n">
        <v>1</v>
      </c>
      <c r="I169" t="n">
        <v>0</v>
      </c>
      <c r="J169" t="n">
        <v>0</v>
      </c>
      <c r="K169" t="n">
        <v>0</v>
      </c>
      <c r="L169" t="n">
        <v>0</v>
      </c>
      <c r="M169" t="n">
        <v>0</v>
      </c>
      <c r="N169" t="n">
        <v>0</v>
      </c>
      <c r="O169" t="n">
        <v>0</v>
      </c>
      <c r="P169" t="n">
        <v>0</v>
      </c>
      <c r="Q169" t="n">
        <v>1</v>
      </c>
      <c r="R169" s="2" t="inlineStr">
        <is>
          <t>Revlummer</t>
        </is>
      </c>
      <c r="S169">
        <f>HYPERLINK("https://klasma.github.io/Logging_0380/artfynd/A 2729-2024 artfynd.xlsx", "A 2729-2024")</f>
        <v/>
      </c>
      <c r="T169">
        <f>HYPERLINK("https://klasma.github.io/Logging_0380/kartor/A 2729-2024 karta.png", "A 2729-2024")</f>
        <v/>
      </c>
      <c r="V169">
        <f>HYPERLINK("https://klasma.github.io/Logging_0380/klagomål/A 2729-2024 FSC-klagomål.docx", "A 2729-2024")</f>
        <v/>
      </c>
      <c r="W169">
        <f>HYPERLINK("https://klasma.github.io/Logging_0380/klagomålsmail/A 2729-2024 FSC-klagomål mail.docx", "A 2729-2024")</f>
        <v/>
      </c>
      <c r="X169">
        <f>HYPERLINK("https://klasma.github.io/Logging_0380/tillsyn/A 2729-2024 tillsynsbegäran.docx", "A 2729-2024")</f>
        <v/>
      </c>
      <c r="Y169">
        <f>HYPERLINK("https://klasma.github.io/Logging_0380/tillsynsmail/A 2729-2024 tillsynsbegäran mail.docx", "A 2729-2024")</f>
        <v/>
      </c>
    </row>
    <row r="170" ht="15" customHeight="1">
      <c r="A170" t="inlineStr">
        <is>
          <t>A 5972-2024</t>
        </is>
      </c>
      <c r="B170" s="1" t="n">
        <v>45336</v>
      </c>
      <c r="C170" s="1" t="n">
        <v>45708</v>
      </c>
      <c r="D170" t="inlineStr">
        <is>
          <t>UPPSALA LÄN</t>
        </is>
      </c>
      <c r="E170" t="inlineStr">
        <is>
          <t>UPPSALA</t>
        </is>
      </c>
      <c r="G170" t="n">
        <v>1.6</v>
      </c>
      <c r="H170" t="n">
        <v>1</v>
      </c>
      <c r="I170" t="n">
        <v>0</v>
      </c>
      <c r="J170" t="n">
        <v>0</v>
      </c>
      <c r="K170" t="n">
        <v>0</v>
      </c>
      <c r="L170" t="n">
        <v>0</v>
      </c>
      <c r="M170" t="n">
        <v>0</v>
      </c>
      <c r="N170" t="n">
        <v>0</v>
      </c>
      <c r="O170" t="n">
        <v>0</v>
      </c>
      <c r="P170" t="n">
        <v>0</v>
      </c>
      <c r="Q170" t="n">
        <v>1</v>
      </c>
      <c r="R170" s="2" t="inlineStr">
        <is>
          <t>Sparvuggla</t>
        </is>
      </c>
      <c r="S170">
        <f>HYPERLINK("https://klasma.github.io/Logging_0380/artfynd/A 5972-2024 artfynd.xlsx", "A 5972-2024")</f>
        <v/>
      </c>
      <c r="T170">
        <f>HYPERLINK("https://klasma.github.io/Logging_0380/kartor/A 5972-2024 karta.png", "A 5972-2024")</f>
        <v/>
      </c>
      <c r="V170">
        <f>HYPERLINK("https://klasma.github.io/Logging_0380/klagomål/A 5972-2024 FSC-klagomål.docx", "A 5972-2024")</f>
        <v/>
      </c>
      <c r="W170">
        <f>HYPERLINK("https://klasma.github.io/Logging_0380/klagomålsmail/A 5972-2024 FSC-klagomål mail.docx", "A 5972-2024")</f>
        <v/>
      </c>
      <c r="X170">
        <f>HYPERLINK("https://klasma.github.io/Logging_0380/tillsyn/A 5972-2024 tillsynsbegäran.docx", "A 5972-2024")</f>
        <v/>
      </c>
      <c r="Y170">
        <f>HYPERLINK("https://klasma.github.io/Logging_0380/tillsynsmail/A 5972-2024 tillsynsbegäran mail.docx", "A 5972-2024")</f>
        <v/>
      </c>
      <c r="Z170">
        <f>HYPERLINK("https://klasma.github.io/Logging_0380/fåglar/A 5972-2024 prioriterade fågelarter.docx", "A 5972-2024")</f>
        <v/>
      </c>
    </row>
    <row r="171" ht="15" customHeight="1">
      <c r="A171" t="inlineStr">
        <is>
          <t>A 6044-2024</t>
        </is>
      </c>
      <c r="B171" s="1" t="n">
        <v>45336</v>
      </c>
      <c r="C171" s="1" t="n">
        <v>45708</v>
      </c>
      <c r="D171" t="inlineStr">
        <is>
          <t>UPPSALA LÄN</t>
        </is>
      </c>
      <c r="E171" t="inlineStr">
        <is>
          <t>UPPSALA</t>
        </is>
      </c>
      <c r="F171" t="inlineStr">
        <is>
          <t>Holmen skog AB</t>
        </is>
      </c>
      <c r="G171" t="n">
        <v>7.4</v>
      </c>
      <c r="H171" t="n">
        <v>0</v>
      </c>
      <c r="I171" t="n">
        <v>0</v>
      </c>
      <c r="J171" t="n">
        <v>1</v>
      </c>
      <c r="K171" t="n">
        <v>0</v>
      </c>
      <c r="L171" t="n">
        <v>0</v>
      </c>
      <c r="M171" t="n">
        <v>0</v>
      </c>
      <c r="N171" t="n">
        <v>0</v>
      </c>
      <c r="O171" t="n">
        <v>1</v>
      </c>
      <c r="P171" t="n">
        <v>0</v>
      </c>
      <c r="Q171" t="n">
        <v>1</v>
      </c>
      <c r="R171" s="2" t="inlineStr">
        <is>
          <t>Gul dropplav</t>
        </is>
      </c>
      <c r="S171">
        <f>HYPERLINK("https://klasma.github.io/Logging_0380/artfynd/A 6044-2024 artfynd.xlsx", "A 6044-2024")</f>
        <v/>
      </c>
      <c r="T171">
        <f>HYPERLINK("https://klasma.github.io/Logging_0380/kartor/A 6044-2024 karta.png", "A 6044-2024")</f>
        <v/>
      </c>
      <c r="V171">
        <f>HYPERLINK("https://klasma.github.io/Logging_0380/klagomål/A 6044-2024 FSC-klagomål.docx", "A 6044-2024")</f>
        <v/>
      </c>
      <c r="W171">
        <f>HYPERLINK("https://klasma.github.io/Logging_0380/klagomålsmail/A 6044-2024 FSC-klagomål mail.docx", "A 6044-2024")</f>
        <v/>
      </c>
      <c r="X171">
        <f>HYPERLINK("https://klasma.github.io/Logging_0380/tillsyn/A 6044-2024 tillsynsbegäran.docx", "A 6044-2024")</f>
        <v/>
      </c>
      <c r="Y171">
        <f>HYPERLINK("https://klasma.github.io/Logging_0380/tillsynsmail/A 6044-2024 tillsynsbegäran mail.docx", "A 6044-2024")</f>
        <v/>
      </c>
    </row>
    <row r="172" ht="15" customHeight="1">
      <c r="A172" t="inlineStr">
        <is>
          <t>A 7395-2024</t>
        </is>
      </c>
      <c r="B172" s="1" t="n">
        <v>45345</v>
      </c>
      <c r="C172" s="1" t="n">
        <v>45708</v>
      </c>
      <c r="D172" t="inlineStr">
        <is>
          <t>UPPSALA LÄN</t>
        </is>
      </c>
      <c r="E172" t="inlineStr">
        <is>
          <t>UPPSALA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HYPERLINK("https://klasma.github.io/Logging_0380/artfynd/A 7395-2024 artfynd.xlsx", "A 7395-2024")</f>
        <v/>
      </c>
      <c r="T172">
        <f>HYPERLINK("https://klasma.github.io/Logging_0380/kartor/A 7395-2024 karta.png", "A 7395-2024")</f>
        <v/>
      </c>
      <c r="U172">
        <f>HYPERLINK("https://klasma.github.io/Logging_0380/knärot/A 7395-2024 karta knärot.png", "A 7395-2024")</f>
        <v/>
      </c>
      <c r="V172">
        <f>HYPERLINK("https://klasma.github.io/Logging_0380/klagomål/A 7395-2024 FSC-klagomål.docx", "A 7395-2024")</f>
        <v/>
      </c>
      <c r="W172">
        <f>HYPERLINK("https://klasma.github.io/Logging_0380/klagomålsmail/A 7395-2024 FSC-klagomål mail.docx", "A 7395-2024")</f>
        <v/>
      </c>
      <c r="X172">
        <f>HYPERLINK("https://klasma.github.io/Logging_0380/tillsyn/A 7395-2024 tillsynsbegäran.docx", "A 7395-2024")</f>
        <v/>
      </c>
      <c r="Y172">
        <f>HYPERLINK("https://klasma.github.io/Logging_0380/tillsynsmail/A 7395-2024 tillsynsbegäran mail.docx", "A 7395-2024")</f>
        <v/>
      </c>
    </row>
    <row r="173" ht="15" customHeight="1">
      <c r="A173" t="inlineStr">
        <is>
          <t>A 7397-2024</t>
        </is>
      </c>
      <c r="B173" s="1" t="n">
        <v>45345</v>
      </c>
      <c r="C173" s="1" t="n">
        <v>45708</v>
      </c>
      <c r="D173" t="inlineStr">
        <is>
          <t>UPPSALA LÄN</t>
        </is>
      </c>
      <c r="E173" t="inlineStr">
        <is>
          <t>UPPSALA</t>
        </is>
      </c>
      <c r="G173" t="n">
        <v>3.4</v>
      </c>
      <c r="H173" t="n">
        <v>0</v>
      </c>
      <c r="I173" t="n">
        <v>1</v>
      </c>
      <c r="J173" t="n">
        <v>0</v>
      </c>
      <c r="K173" t="n">
        <v>0</v>
      </c>
      <c r="L173" t="n">
        <v>0</v>
      </c>
      <c r="M173" t="n">
        <v>0</v>
      </c>
      <c r="N173" t="n">
        <v>0</v>
      </c>
      <c r="O173" t="n">
        <v>0</v>
      </c>
      <c r="P173" t="n">
        <v>0</v>
      </c>
      <c r="Q173" t="n">
        <v>1</v>
      </c>
      <c r="R173" s="2" t="inlineStr">
        <is>
          <t>Svavelriska</t>
        </is>
      </c>
      <c r="S173">
        <f>HYPERLINK("https://klasma.github.io/Logging_0380/artfynd/A 7397-2024 artfynd.xlsx", "A 7397-2024")</f>
        <v/>
      </c>
      <c r="T173">
        <f>HYPERLINK("https://klasma.github.io/Logging_0380/kartor/A 7397-2024 karta.png", "A 7397-2024")</f>
        <v/>
      </c>
      <c r="U173">
        <f>HYPERLINK("https://klasma.github.io/Logging_0380/knärot/A 7397-2024 karta knärot.png", "A 7397-2024")</f>
        <v/>
      </c>
      <c r="V173">
        <f>HYPERLINK("https://klasma.github.io/Logging_0380/klagomål/A 7397-2024 FSC-klagomål.docx", "A 7397-2024")</f>
        <v/>
      </c>
      <c r="W173">
        <f>HYPERLINK("https://klasma.github.io/Logging_0380/klagomålsmail/A 7397-2024 FSC-klagomål mail.docx", "A 7397-2024")</f>
        <v/>
      </c>
      <c r="X173">
        <f>HYPERLINK("https://klasma.github.io/Logging_0380/tillsyn/A 7397-2024 tillsynsbegäran.docx", "A 7397-2024")</f>
        <v/>
      </c>
      <c r="Y173">
        <f>HYPERLINK("https://klasma.github.io/Logging_0380/tillsynsmail/A 7397-2024 tillsynsbegäran mail.docx", "A 7397-2024")</f>
        <v/>
      </c>
    </row>
    <row r="174" ht="15" customHeight="1">
      <c r="A174" t="inlineStr">
        <is>
          <t>A 8398-2024</t>
        </is>
      </c>
      <c r="B174" s="1" t="n">
        <v>45352</v>
      </c>
      <c r="C174" s="1" t="n">
        <v>45708</v>
      </c>
      <c r="D174" t="inlineStr">
        <is>
          <t>UPPSALA LÄN</t>
        </is>
      </c>
      <c r="E174" t="inlineStr">
        <is>
          <t>UPPSALA</t>
        </is>
      </c>
      <c r="G174" t="n">
        <v>6.2</v>
      </c>
      <c r="H174" t="n">
        <v>1</v>
      </c>
      <c r="I174" t="n">
        <v>0</v>
      </c>
      <c r="J174" t="n">
        <v>0</v>
      </c>
      <c r="K174" t="n">
        <v>0</v>
      </c>
      <c r="L174" t="n">
        <v>0</v>
      </c>
      <c r="M174" t="n">
        <v>0</v>
      </c>
      <c r="N174" t="n">
        <v>0</v>
      </c>
      <c r="O174" t="n">
        <v>0</v>
      </c>
      <c r="P174" t="n">
        <v>0</v>
      </c>
      <c r="Q174" t="n">
        <v>1</v>
      </c>
      <c r="R174" s="2" t="inlineStr">
        <is>
          <t>Tjäder</t>
        </is>
      </c>
      <c r="S174">
        <f>HYPERLINK("https://klasma.github.io/Logging_0380/artfynd/A 8398-2024 artfynd.xlsx", "A 8398-2024")</f>
        <v/>
      </c>
      <c r="T174">
        <f>HYPERLINK("https://klasma.github.io/Logging_0380/kartor/A 8398-2024 karta.png", "A 8398-2024")</f>
        <v/>
      </c>
      <c r="V174">
        <f>HYPERLINK("https://klasma.github.io/Logging_0380/klagomål/A 8398-2024 FSC-klagomål.docx", "A 8398-2024")</f>
        <v/>
      </c>
      <c r="W174">
        <f>HYPERLINK("https://klasma.github.io/Logging_0380/klagomålsmail/A 8398-2024 FSC-klagomål mail.docx", "A 8398-2024")</f>
        <v/>
      </c>
      <c r="X174">
        <f>HYPERLINK("https://klasma.github.io/Logging_0380/tillsyn/A 8398-2024 tillsynsbegäran.docx", "A 8398-2024")</f>
        <v/>
      </c>
      <c r="Y174">
        <f>HYPERLINK("https://klasma.github.io/Logging_0380/tillsynsmail/A 8398-2024 tillsynsbegäran mail.docx", "A 8398-2024")</f>
        <v/>
      </c>
      <c r="Z174">
        <f>HYPERLINK("https://klasma.github.io/Logging_0380/fåglar/A 8398-2024 prioriterade fågelarter.docx", "A 8398-2024")</f>
        <v/>
      </c>
    </row>
    <row r="175" ht="15" customHeight="1">
      <c r="A175" t="inlineStr">
        <is>
          <t>A 9206-2024</t>
        </is>
      </c>
      <c r="B175" s="1" t="n">
        <v>45358</v>
      </c>
      <c r="C175" s="1" t="n">
        <v>45708</v>
      </c>
      <c r="D175" t="inlineStr">
        <is>
          <t>UPPSALA LÄN</t>
        </is>
      </c>
      <c r="E175" t="inlineStr">
        <is>
          <t>UPPSALA</t>
        </is>
      </c>
      <c r="F175" t="inlineStr">
        <is>
          <t>Allmännings- och besparingsskogar</t>
        </is>
      </c>
      <c r="G175" t="n">
        <v>22.2</v>
      </c>
      <c r="H175" t="n">
        <v>1</v>
      </c>
      <c r="I175" t="n">
        <v>0</v>
      </c>
      <c r="J175" t="n">
        <v>0</v>
      </c>
      <c r="K175" t="n">
        <v>1</v>
      </c>
      <c r="L175" t="n">
        <v>0</v>
      </c>
      <c r="M175" t="n">
        <v>0</v>
      </c>
      <c r="N175" t="n">
        <v>0</v>
      </c>
      <c r="O175" t="n">
        <v>1</v>
      </c>
      <c r="P175" t="n">
        <v>1</v>
      </c>
      <c r="Q175" t="n">
        <v>1</v>
      </c>
      <c r="R175" s="2" t="inlineStr">
        <is>
          <t>Knärot</t>
        </is>
      </c>
      <c r="S175">
        <f>HYPERLINK("https://klasma.github.io/Logging_0380/artfynd/A 9206-2024 artfynd.xlsx", "A 9206-2024")</f>
        <v/>
      </c>
      <c r="T175">
        <f>HYPERLINK("https://klasma.github.io/Logging_0380/kartor/A 9206-2024 karta.png", "A 9206-2024")</f>
        <v/>
      </c>
      <c r="U175">
        <f>HYPERLINK("https://klasma.github.io/Logging_0380/knärot/A 9206-2024 karta knärot.png", "A 9206-2024")</f>
        <v/>
      </c>
      <c r="V175">
        <f>HYPERLINK("https://klasma.github.io/Logging_0380/klagomål/A 9206-2024 FSC-klagomål.docx", "A 9206-2024")</f>
        <v/>
      </c>
      <c r="W175">
        <f>HYPERLINK("https://klasma.github.io/Logging_0380/klagomålsmail/A 9206-2024 FSC-klagomål mail.docx", "A 9206-2024")</f>
        <v/>
      </c>
      <c r="X175">
        <f>HYPERLINK("https://klasma.github.io/Logging_0380/tillsyn/A 9206-2024 tillsynsbegäran.docx", "A 9206-2024")</f>
        <v/>
      </c>
      <c r="Y175">
        <f>HYPERLINK("https://klasma.github.io/Logging_0380/tillsynsmail/A 9206-2024 tillsynsbegäran mail.docx", "A 9206-2024")</f>
        <v/>
      </c>
    </row>
    <row r="176" ht="15" customHeight="1">
      <c r="A176" t="inlineStr">
        <is>
          <t>A 13093-2024</t>
        </is>
      </c>
      <c r="B176" s="1" t="n">
        <v>45385</v>
      </c>
      <c r="C176" s="1" t="n">
        <v>45708</v>
      </c>
      <c r="D176" t="inlineStr">
        <is>
          <t>UPPSALA LÄN</t>
        </is>
      </c>
      <c r="E176" t="inlineStr">
        <is>
          <t>UPPSALA</t>
        </is>
      </c>
      <c r="G176" t="n">
        <v>1.1</v>
      </c>
      <c r="H176" t="n">
        <v>1</v>
      </c>
      <c r="I176" t="n">
        <v>1</v>
      </c>
      <c r="J176" t="n">
        <v>0</v>
      </c>
      <c r="K176" t="n">
        <v>0</v>
      </c>
      <c r="L176" t="n">
        <v>0</v>
      </c>
      <c r="M176" t="n">
        <v>0</v>
      </c>
      <c r="N176" t="n">
        <v>0</v>
      </c>
      <c r="O176" t="n">
        <v>0</v>
      </c>
      <c r="P176" t="n">
        <v>0</v>
      </c>
      <c r="Q176" t="n">
        <v>1</v>
      </c>
      <c r="R176" s="2" t="inlineStr">
        <is>
          <t>Skogsknipprot</t>
        </is>
      </c>
      <c r="S176">
        <f>HYPERLINK("https://klasma.github.io/Logging_0380/artfynd/A 13093-2024 artfynd.xlsx", "A 13093-2024")</f>
        <v/>
      </c>
      <c r="T176">
        <f>HYPERLINK("https://klasma.github.io/Logging_0380/kartor/A 13093-2024 karta.png", "A 13093-2024")</f>
        <v/>
      </c>
      <c r="V176">
        <f>HYPERLINK("https://klasma.github.io/Logging_0380/klagomål/A 13093-2024 FSC-klagomål.docx", "A 13093-2024")</f>
        <v/>
      </c>
      <c r="W176">
        <f>HYPERLINK("https://klasma.github.io/Logging_0380/klagomålsmail/A 13093-2024 FSC-klagomål mail.docx", "A 13093-2024")</f>
        <v/>
      </c>
      <c r="X176">
        <f>HYPERLINK("https://klasma.github.io/Logging_0380/tillsyn/A 13093-2024 tillsynsbegäran.docx", "A 13093-2024")</f>
        <v/>
      </c>
      <c r="Y176">
        <f>HYPERLINK("https://klasma.github.io/Logging_0380/tillsynsmail/A 13093-2024 tillsynsbegäran mail.docx", "A 13093-2024")</f>
        <v/>
      </c>
    </row>
    <row r="177" ht="15" customHeight="1">
      <c r="A177" t="inlineStr">
        <is>
          <t>A 13661-2024</t>
        </is>
      </c>
      <c r="B177" s="1" t="n">
        <v>45390</v>
      </c>
      <c r="C177" s="1" t="n">
        <v>45708</v>
      </c>
      <c r="D177" t="inlineStr">
        <is>
          <t>UPPSALA LÄN</t>
        </is>
      </c>
      <c r="E177" t="inlineStr">
        <is>
          <t>UPPSALA</t>
        </is>
      </c>
      <c r="F177" t="inlineStr">
        <is>
          <t>Holmen skog AB</t>
        </is>
      </c>
      <c r="G177" t="n">
        <v>3.7</v>
      </c>
      <c r="H177" t="n">
        <v>0</v>
      </c>
      <c r="I177" t="n">
        <v>0</v>
      </c>
      <c r="J177" t="n">
        <v>1</v>
      </c>
      <c r="K177" t="n">
        <v>0</v>
      </c>
      <c r="L177" t="n">
        <v>0</v>
      </c>
      <c r="M177" t="n">
        <v>0</v>
      </c>
      <c r="N177" t="n">
        <v>0</v>
      </c>
      <c r="O177" t="n">
        <v>1</v>
      </c>
      <c r="P177" t="n">
        <v>0</v>
      </c>
      <c r="Q177" t="n">
        <v>1</v>
      </c>
      <c r="R177" s="2" t="inlineStr">
        <is>
          <t>Skogsklocka</t>
        </is>
      </c>
      <c r="S177">
        <f>HYPERLINK("https://klasma.github.io/Logging_0380/artfynd/A 13661-2024 artfynd.xlsx", "A 13661-2024")</f>
        <v/>
      </c>
      <c r="T177">
        <f>HYPERLINK("https://klasma.github.io/Logging_0380/kartor/A 13661-2024 karta.png", "A 13661-2024")</f>
        <v/>
      </c>
      <c r="V177">
        <f>HYPERLINK("https://klasma.github.io/Logging_0380/klagomål/A 13661-2024 FSC-klagomål.docx", "A 13661-2024")</f>
        <v/>
      </c>
      <c r="W177">
        <f>HYPERLINK("https://klasma.github.io/Logging_0380/klagomålsmail/A 13661-2024 FSC-klagomål mail.docx", "A 13661-2024")</f>
        <v/>
      </c>
      <c r="X177">
        <f>HYPERLINK("https://klasma.github.io/Logging_0380/tillsyn/A 13661-2024 tillsynsbegäran.docx", "A 13661-2024")</f>
        <v/>
      </c>
      <c r="Y177">
        <f>HYPERLINK("https://klasma.github.io/Logging_0380/tillsynsmail/A 13661-2024 tillsynsbegäran mail.docx", "A 13661-2024")</f>
        <v/>
      </c>
    </row>
    <row r="178" ht="15" customHeight="1">
      <c r="A178" t="inlineStr">
        <is>
          <t>A 18348-2024</t>
        </is>
      </c>
      <c r="B178" s="1" t="n">
        <v>45422</v>
      </c>
      <c r="C178" s="1" t="n">
        <v>45708</v>
      </c>
      <c r="D178" t="inlineStr">
        <is>
          <t>UPPSALA LÄN</t>
        </is>
      </c>
      <c r="E178" t="inlineStr">
        <is>
          <t>UPPSALA</t>
        </is>
      </c>
      <c r="F178" t="inlineStr">
        <is>
          <t>Holmen skog AB</t>
        </is>
      </c>
      <c r="G178" t="n">
        <v>2.8</v>
      </c>
      <c r="H178" t="n">
        <v>0</v>
      </c>
      <c r="I178" t="n">
        <v>0</v>
      </c>
      <c r="J178" t="n">
        <v>1</v>
      </c>
      <c r="K178" t="n">
        <v>0</v>
      </c>
      <c r="L178" t="n">
        <v>0</v>
      </c>
      <c r="M178" t="n">
        <v>0</v>
      </c>
      <c r="N178" t="n">
        <v>0</v>
      </c>
      <c r="O178" t="n">
        <v>1</v>
      </c>
      <c r="P178" t="n">
        <v>0</v>
      </c>
      <c r="Q178" t="n">
        <v>1</v>
      </c>
      <c r="R178" s="2" t="inlineStr">
        <is>
          <t>Granticka</t>
        </is>
      </c>
      <c r="S178">
        <f>HYPERLINK("https://klasma.github.io/Logging_0380/artfynd/A 18348-2024 artfynd.xlsx", "A 18348-2024")</f>
        <v/>
      </c>
      <c r="T178">
        <f>HYPERLINK("https://klasma.github.io/Logging_0380/kartor/A 18348-2024 karta.png", "A 18348-2024")</f>
        <v/>
      </c>
      <c r="V178">
        <f>HYPERLINK("https://klasma.github.io/Logging_0380/klagomål/A 18348-2024 FSC-klagomål.docx", "A 18348-2024")</f>
        <v/>
      </c>
      <c r="W178">
        <f>HYPERLINK("https://klasma.github.io/Logging_0380/klagomålsmail/A 18348-2024 FSC-klagomål mail.docx", "A 18348-2024")</f>
        <v/>
      </c>
      <c r="X178">
        <f>HYPERLINK("https://klasma.github.io/Logging_0380/tillsyn/A 18348-2024 tillsynsbegäran.docx", "A 18348-2024")</f>
        <v/>
      </c>
      <c r="Y178">
        <f>HYPERLINK("https://klasma.github.io/Logging_0380/tillsynsmail/A 18348-2024 tillsynsbegäran mail.docx", "A 18348-2024")</f>
        <v/>
      </c>
    </row>
    <row r="179" ht="15" customHeight="1">
      <c r="A179" t="inlineStr">
        <is>
          <t>A 18509-2024</t>
        </is>
      </c>
      <c r="B179" s="1" t="n">
        <v>45425</v>
      </c>
      <c r="C179" s="1" t="n">
        <v>45708</v>
      </c>
      <c r="D179" t="inlineStr">
        <is>
          <t>UPPSALA LÄN</t>
        </is>
      </c>
      <c r="E179" t="inlineStr">
        <is>
          <t>UPPSALA</t>
        </is>
      </c>
      <c r="G179" t="n">
        <v>4</v>
      </c>
      <c r="H179" t="n">
        <v>0</v>
      </c>
      <c r="I179" t="n">
        <v>1</v>
      </c>
      <c r="J179" t="n">
        <v>0</v>
      </c>
      <c r="K179" t="n">
        <v>0</v>
      </c>
      <c r="L179" t="n">
        <v>0</v>
      </c>
      <c r="M179" t="n">
        <v>0</v>
      </c>
      <c r="N179" t="n">
        <v>0</v>
      </c>
      <c r="O179" t="n">
        <v>0</v>
      </c>
      <c r="P179" t="n">
        <v>0</v>
      </c>
      <c r="Q179" t="n">
        <v>1</v>
      </c>
      <c r="R179" s="2" t="inlineStr">
        <is>
          <t>Fällmossa</t>
        </is>
      </c>
      <c r="S179">
        <f>HYPERLINK("https://klasma.github.io/Logging_0380/artfynd/A 18509-2024 artfynd.xlsx", "A 18509-2024")</f>
        <v/>
      </c>
      <c r="T179">
        <f>HYPERLINK("https://klasma.github.io/Logging_0380/kartor/A 18509-2024 karta.png", "A 18509-2024")</f>
        <v/>
      </c>
      <c r="V179">
        <f>HYPERLINK("https://klasma.github.io/Logging_0380/klagomål/A 18509-2024 FSC-klagomål.docx", "A 18509-2024")</f>
        <v/>
      </c>
      <c r="W179">
        <f>HYPERLINK("https://klasma.github.io/Logging_0380/klagomålsmail/A 18509-2024 FSC-klagomål mail.docx", "A 18509-2024")</f>
        <v/>
      </c>
      <c r="X179">
        <f>HYPERLINK("https://klasma.github.io/Logging_0380/tillsyn/A 18509-2024 tillsynsbegäran.docx", "A 18509-2024")</f>
        <v/>
      </c>
      <c r="Y179">
        <f>HYPERLINK("https://klasma.github.io/Logging_0380/tillsynsmail/A 18509-2024 tillsynsbegäran mail.docx", "A 18509-2024")</f>
        <v/>
      </c>
    </row>
    <row r="180" ht="15" customHeight="1">
      <c r="A180" t="inlineStr">
        <is>
          <t>A 21671-2024</t>
        </is>
      </c>
      <c r="B180" s="1" t="n">
        <v>45442</v>
      </c>
      <c r="C180" s="1" t="n">
        <v>45708</v>
      </c>
      <c r="D180" t="inlineStr">
        <is>
          <t>UPPSALA LÄN</t>
        </is>
      </c>
      <c r="E180" t="inlineStr">
        <is>
          <t>UPPSALA</t>
        </is>
      </c>
      <c r="G180" t="n">
        <v>3.7</v>
      </c>
      <c r="H180" t="n">
        <v>1</v>
      </c>
      <c r="I180" t="n">
        <v>0</v>
      </c>
      <c r="J180" t="n">
        <v>0</v>
      </c>
      <c r="K180" t="n">
        <v>1</v>
      </c>
      <c r="L180" t="n">
        <v>0</v>
      </c>
      <c r="M180" t="n">
        <v>0</v>
      </c>
      <c r="N180" t="n">
        <v>0</v>
      </c>
      <c r="O180" t="n">
        <v>1</v>
      </c>
      <c r="P180" t="n">
        <v>1</v>
      </c>
      <c r="Q180" t="n">
        <v>1</v>
      </c>
      <c r="R180" s="2" t="inlineStr">
        <is>
          <t>Knärot</t>
        </is>
      </c>
      <c r="S180">
        <f>HYPERLINK("https://klasma.github.io/Logging_0380/artfynd/A 21671-2024 artfynd.xlsx", "A 21671-2024")</f>
        <v/>
      </c>
      <c r="T180">
        <f>HYPERLINK("https://klasma.github.io/Logging_0380/kartor/A 21671-2024 karta.png", "A 21671-2024")</f>
        <v/>
      </c>
      <c r="U180">
        <f>HYPERLINK("https://klasma.github.io/Logging_0380/knärot/A 21671-2024 karta knärot.png", "A 21671-2024")</f>
        <v/>
      </c>
      <c r="V180">
        <f>HYPERLINK("https://klasma.github.io/Logging_0380/klagomål/A 21671-2024 FSC-klagomål.docx", "A 21671-2024")</f>
        <v/>
      </c>
      <c r="W180">
        <f>HYPERLINK("https://klasma.github.io/Logging_0380/klagomålsmail/A 21671-2024 FSC-klagomål mail.docx", "A 21671-2024")</f>
        <v/>
      </c>
      <c r="X180">
        <f>HYPERLINK("https://klasma.github.io/Logging_0380/tillsyn/A 21671-2024 tillsynsbegäran.docx", "A 21671-2024")</f>
        <v/>
      </c>
      <c r="Y180">
        <f>HYPERLINK("https://klasma.github.io/Logging_0380/tillsynsmail/A 21671-2024 tillsynsbegäran mail.docx", "A 21671-2024")</f>
        <v/>
      </c>
    </row>
    <row r="181" ht="15" customHeight="1">
      <c r="A181" t="inlineStr">
        <is>
          <t>A 23321-2024</t>
        </is>
      </c>
      <c r="B181" s="1" t="n">
        <v>45453</v>
      </c>
      <c r="C181" s="1" t="n">
        <v>45708</v>
      </c>
      <c r="D181" t="inlineStr">
        <is>
          <t>UPPSALA LÄN</t>
        </is>
      </c>
      <c r="E181" t="inlineStr">
        <is>
          <t>UPPSALA</t>
        </is>
      </c>
      <c r="G181" t="n">
        <v>11.8</v>
      </c>
      <c r="H181" t="n">
        <v>1</v>
      </c>
      <c r="I181" t="n">
        <v>0</v>
      </c>
      <c r="J181" t="n">
        <v>1</v>
      </c>
      <c r="K181" t="n">
        <v>0</v>
      </c>
      <c r="L181" t="n">
        <v>0</v>
      </c>
      <c r="M181" t="n">
        <v>0</v>
      </c>
      <c r="N181" t="n">
        <v>0</v>
      </c>
      <c r="O181" t="n">
        <v>1</v>
      </c>
      <c r="P181" t="n">
        <v>0</v>
      </c>
      <c r="Q181" t="n">
        <v>1</v>
      </c>
      <c r="R181" s="2" t="inlineStr">
        <is>
          <t>Talltita</t>
        </is>
      </c>
      <c r="S181">
        <f>HYPERLINK("https://klasma.github.io/Logging_0380/artfynd/A 23321-2024 artfynd.xlsx", "A 23321-2024")</f>
        <v/>
      </c>
      <c r="T181">
        <f>HYPERLINK("https://klasma.github.io/Logging_0380/kartor/A 23321-2024 karta.png", "A 23321-2024")</f>
        <v/>
      </c>
      <c r="U181">
        <f>HYPERLINK("https://klasma.github.io/Logging_0380/knärot/A 23321-2024 karta knärot.png", "A 23321-2024")</f>
        <v/>
      </c>
      <c r="V181">
        <f>HYPERLINK("https://klasma.github.io/Logging_0380/klagomål/A 23321-2024 FSC-klagomål.docx", "A 23321-2024")</f>
        <v/>
      </c>
      <c r="W181">
        <f>HYPERLINK("https://klasma.github.io/Logging_0380/klagomålsmail/A 23321-2024 FSC-klagomål mail.docx", "A 23321-2024")</f>
        <v/>
      </c>
      <c r="X181">
        <f>HYPERLINK("https://klasma.github.io/Logging_0380/tillsyn/A 23321-2024 tillsynsbegäran.docx", "A 23321-2024")</f>
        <v/>
      </c>
      <c r="Y181">
        <f>HYPERLINK("https://klasma.github.io/Logging_0380/tillsynsmail/A 23321-2024 tillsynsbegäran mail.docx", "A 23321-2024")</f>
        <v/>
      </c>
      <c r="Z181">
        <f>HYPERLINK("https://klasma.github.io/Logging_0380/fåglar/A 23321-2024 prioriterade fågelarter.docx", "A 23321-2024")</f>
        <v/>
      </c>
    </row>
    <row r="182" ht="15" customHeight="1">
      <c r="A182" t="inlineStr">
        <is>
          <t>A 25482-2024</t>
        </is>
      </c>
      <c r="B182" s="1" t="n">
        <v>45463</v>
      </c>
      <c r="C182" s="1" t="n">
        <v>45708</v>
      </c>
      <c r="D182" t="inlineStr">
        <is>
          <t>UPPSALA LÄN</t>
        </is>
      </c>
      <c r="E182" t="inlineStr">
        <is>
          <t>UPPSALA</t>
        </is>
      </c>
      <c r="F182" t="inlineStr">
        <is>
          <t>Övriga Aktiebolag</t>
        </is>
      </c>
      <c r="G182" t="n">
        <v>1</v>
      </c>
      <c r="H182" t="n">
        <v>0</v>
      </c>
      <c r="I182" t="n">
        <v>1</v>
      </c>
      <c r="J182" t="n">
        <v>0</v>
      </c>
      <c r="K182" t="n">
        <v>0</v>
      </c>
      <c r="L182" t="n">
        <v>0</v>
      </c>
      <c r="M182" t="n">
        <v>0</v>
      </c>
      <c r="N182" t="n">
        <v>0</v>
      </c>
      <c r="O182" t="n">
        <v>0</v>
      </c>
      <c r="P182" t="n">
        <v>0</v>
      </c>
      <c r="Q182" t="n">
        <v>1</v>
      </c>
      <c r="R182" s="2" t="inlineStr">
        <is>
          <t>Stor aspticka</t>
        </is>
      </c>
      <c r="S182">
        <f>HYPERLINK("https://klasma.github.io/Logging_0380/artfynd/A 25482-2024 artfynd.xlsx", "A 25482-2024")</f>
        <v/>
      </c>
      <c r="T182">
        <f>HYPERLINK("https://klasma.github.io/Logging_0380/kartor/A 25482-2024 karta.png", "A 25482-2024")</f>
        <v/>
      </c>
      <c r="V182">
        <f>HYPERLINK("https://klasma.github.io/Logging_0380/klagomål/A 25482-2024 FSC-klagomål.docx", "A 25482-2024")</f>
        <v/>
      </c>
      <c r="W182">
        <f>HYPERLINK("https://klasma.github.io/Logging_0380/klagomålsmail/A 25482-2024 FSC-klagomål mail.docx", "A 25482-2024")</f>
        <v/>
      </c>
      <c r="X182">
        <f>HYPERLINK("https://klasma.github.io/Logging_0380/tillsyn/A 25482-2024 tillsynsbegäran.docx", "A 25482-2024")</f>
        <v/>
      </c>
      <c r="Y182">
        <f>HYPERLINK("https://klasma.github.io/Logging_0380/tillsynsmail/A 25482-2024 tillsynsbegäran mail.docx", "A 25482-2024")</f>
        <v/>
      </c>
    </row>
    <row r="183" ht="15" customHeight="1">
      <c r="A183" t="inlineStr">
        <is>
          <t>A 25729-2024</t>
        </is>
      </c>
      <c r="B183" s="1" t="n">
        <v>45464</v>
      </c>
      <c r="C183" s="1" t="n">
        <v>45708</v>
      </c>
      <c r="D183" t="inlineStr">
        <is>
          <t>UPPSALA LÄN</t>
        </is>
      </c>
      <c r="E183" t="inlineStr">
        <is>
          <t>UPPSALA</t>
        </is>
      </c>
      <c r="G183" t="n">
        <v>22.3</v>
      </c>
      <c r="H183" t="n">
        <v>0</v>
      </c>
      <c r="I183" t="n">
        <v>0</v>
      </c>
      <c r="J183" t="n">
        <v>1</v>
      </c>
      <c r="K183" t="n">
        <v>0</v>
      </c>
      <c r="L183" t="n">
        <v>0</v>
      </c>
      <c r="M183" t="n">
        <v>0</v>
      </c>
      <c r="N183" t="n">
        <v>0</v>
      </c>
      <c r="O183" t="n">
        <v>1</v>
      </c>
      <c r="P183" t="n">
        <v>0</v>
      </c>
      <c r="Q183" t="n">
        <v>1</v>
      </c>
      <c r="R183" s="2" t="inlineStr">
        <is>
          <t>Ullticka</t>
        </is>
      </c>
      <c r="S183">
        <f>HYPERLINK("https://klasma.github.io/Logging_0380/artfynd/A 25729-2024 artfynd.xlsx", "A 25729-2024")</f>
        <v/>
      </c>
      <c r="T183">
        <f>HYPERLINK("https://klasma.github.io/Logging_0380/kartor/A 25729-2024 karta.png", "A 25729-2024")</f>
        <v/>
      </c>
      <c r="V183">
        <f>HYPERLINK("https://klasma.github.io/Logging_0380/klagomål/A 25729-2024 FSC-klagomål.docx", "A 25729-2024")</f>
        <v/>
      </c>
      <c r="W183">
        <f>HYPERLINK("https://klasma.github.io/Logging_0380/klagomålsmail/A 25729-2024 FSC-klagomål mail.docx", "A 25729-2024")</f>
        <v/>
      </c>
      <c r="X183">
        <f>HYPERLINK("https://klasma.github.io/Logging_0380/tillsyn/A 25729-2024 tillsynsbegäran.docx", "A 25729-2024")</f>
        <v/>
      </c>
      <c r="Y183">
        <f>HYPERLINK("https://klasma.github.io/Logging_0380/tillsynsmail/A 25729-2024 tillsynsbegäran mail.docx", "A 25729-2024")</f>
        <v/>
      </c>
    </row>
    <row r="184" ht="15" customHeight="1">
      <c r="A184" t="inlineStr">
        <is>
          <t>A 29139-2024</t>
        </is>
      </c>
      <c r="B184" s="1" t="n">
        <v>45482</v>
      </c>
      <c r="C184" s="1" t="n">
        <v>45708</v>
      </c>
      <c r="D184" t="inlineStr">
        <is>
          <t>UPPSALA LÄN</t>
        </is>
      </c>
      <c r="E184" t="inlineStr">
        <is>
          <t>UPPSALA</t>
        </is>
      </c>
      <c r="F184" t="inlineStr">
        <is>
          <t>Allmännings- och besparingsskogar</t>
        </is>
      </c>
      <c r="G184" t="n">
        <v>26.4</v>
      </c>
      <c r="H184" t="n">
        <v>0</v>
      </c>
      <c r="I184" t="n">
        <v>0</v>
      </c>
      <c r="J184" t="n">
        <v>1</v>
      </c>
      <c r="K184" t="n">
        <v>0</v>
      </c>
      <c r="L184" t="n">
        <v>0</v>
      </c>
      <c r="M184" t="n">
        <v>0</v>
      </c>
      <c r="N184" t="n">
        <v>0</v>
      </c>
      <c r="O184" t="n">
        <v>1</v>
      </c>
      <c r="P184" t="n">
        <v>0</v>
      </c>
      <c r="Q184" t="n">
        <v>1</v>
      </c>
      <c r="R184" s="2" t="inlineStr">
        <is>
          <t>Granskugglöpare</t>
        </is>
      </c>
      <c r="S184">
        <f>HYPERLINK("https://klasma.github.io/Logging_0380/artfynd/A 29139-2024 artfynd.xlsx", "A 29139-2024")</f>
        <v/>
      </c>
      <c r="T184">
        <f>HYPERLINK("https://klasma.github.io/Logging_0380/kartor/A 29139-2024 karta.png", "A 29139-2024")</f>
        <v/>
      </c>
      <c r="V184">
        <f>HYPERLINK("https://klasma.github.io/Logging_0380/klagomål/A 29139-2024 FSC-klagomål.docx", "A 29139-2024")</f>
        <v/>
      </c>
      <c r="W184">
        <f>HYPERLINK("https://klasma.github.io/Logging_0380/klagomålsmail/A 29139-2024 FSC-klagomål mail.docx", "A 29139-2024")</f>
        <v/>
      </c>
      <c r="X184">
        <f>HYPERLINK("https://klasma.github.io/Logging_0380/tillsyn/A 29139-2024 tillsynsbegäran.docx", "A 29139-2024")</f>
        <v/>
      </c>
      <c r="Y184">
        <f>HYPERLINK("https://klasma.github.io/Logging_0380/tillsynsmail/A 29139-2024 tillsynsbegäran mail.docx", "A 29139-2024")</f>
        <v/>
      </c>
    </row>
    <row r="185" ht="15" customHeight="1">
      <c r="A185" t="inlineStr">
        <is>
          <t>A 34159-2024</t>
        </is>
      </c>
      <c r="B185" s="1" t="n">
        <v>45524</v>
      </c>
      <c r="C185" s="1" t="n">
        <v>45708</v>
      </c>
      <c r="D185" t="inlineStr">
        <is>
          <t>UPPSALA LÄN</t>
        </is>
      </c>
      <c r="E185" t="inlineStr">
        <is>
          <t>UPPSALA</t>
        </is>
      </c>
      <c r="G185" t="n">
        <v>3.7</v>
      </c>
      <c r="H185" t="n">
        <v>0</v>
      </c>
      <c r="I185" t="n">
        <v>1</v>
      </c>
      <c r="J185" t="n">
        <v>0</v>
      </c>
      <c r="K185" t="n">
        <v>0</v>
      </c>
      <c r="L185" t="n">
        <v>0</v>
      </c>
      <c r="M185" t="n">
        <v>0</v>
      </c>
      <c r="N185" t="n">
        <v>0</v>
      </c>
      <c r="O185" t="n">
        <v>0</v>
      </c>
      <c r="P185" t="n">
        <v>0</v>
      </c>
      <c r="Q185" t="n">
        <v>1</v>
      </c>
      <c r="R185" s="2" t="inlineStr">
        <is>
          <t>Granbarkgnagare</t>
        </is>
      </c>
      <c r="S185">
        <f>HYPERLINK("https://klasma.github.io/Logging_0380/artfynd/A 34159-2024 artfynd.xlsx", "A 34159-2024")</f>
        <v/>
      </c>
      <c r="T185">
        <f>HYPERLINK("https://klasma.github.io/Logging_0380/kartor/A 34159-2024 karta.png", "A 34159-2024")</f>
        <v/>
      </c>
      <c r="V185">
        <f>HYPERLINK("https://klasma.github.io/Logging_0380/klagomål/A 34159-2024 FSC-klagomål.docx", "A 34159-2024")</f>
        <v/>
      </c>
      <c r="W185">
        <f>HYPERLINK("https://klasma.github.io/Logging_0380/klagomålsmail/A 34159-2024 FSC-klagomål mail.docx", "A 34159-2024")</f>
        <v/>
      </c>
      <c r="X185">
        <f>HYPERLINK("https://klasma.github.io/Logging_0380/tillsyn/A 34159-2024 tillsynsbegäran.docx", "A 34159-2024")</f>
        <v/>
      </c>
      <c r="Y185">
        <f>HYPERLINK("https://klasma.github.io/Logging_0380/tillsynsmail/A 34159-2024 tillsynsbegäran mail.docx", "A 34159-2024")</f>
        <v/>
      </c>
    </row>
    <row r="186" ht="15" customHeight="1">
      <c r="A186" t="inlineStr">
        <is>
          <t>A 37563-2024</t>
        </is>
      </c>
      <c r="B186" s="1" t="n">
        <v>45541</v>
      </c>
      <c r="C186" s="1" t="n">
        <v>45708</v>
      </c>
      <c r="D186" t="inlineStr">
        <is>
          <t>UPPSALA LÄN</t>
        </is>
      </c>
      <c r="E186" t="inlineStr">
        <is>
          <t>UPPSALA</t>
        </is>
      </c>
      <c r="F186" t="inlineStr">
        <is>
          <t>Övriga Aktiebolag</t>
        </is>
      </c>
      <c r="G186" t="n">
        <v>6.1</v>
      </c>
      <c r="H186" t="n">
        <v>0</v>
      </c>
      <c r="I186" t="n">
        <v>0</v>
      </c>
      <c r="J186" t="n">
        <v>1</v>
      </c>
      <c r="K186" t="n">
        <v>0</v>
      </c>
      <c r="L186" t="n">
        <v>0</v>
      </c>
      <c r="M186" t="n">
        <v>0</v>
      </c>
      <c r="N186" t="n">
        <v>0</v>
      </c>
      <c r="O186" t="n">
        <v>1</v>
      </c>
      <c r="P186" t="n">
        <v>0</v>
      </c>
      <c r="Q186" t="n">
        <v>1</v>
      </c>
      <c r="R186" s="2" t="inlineStr">
        <is>
          <t>Skogshare</t>
        </is>
      </c>
      <c r="S186">
        <f>HYPERLINK("https://klasma.github.io/Logging_0380/artfynd/A 37563-2024 artfynd.xlsx", "A 37563-2024")</f>
        <v/>
      </c>
      <c r="T186">
        <f>HYPERLINK("https://klasma.github.io/Logging_0380/kartor/A 37563-2024 karta.png", "A 37563-2024")</f>
        <v/>
      </c>
      <c r="V186">
        <f>HYPERLINK("https://klasma.github.io/Logging_0380/klagomål/A 37563-2024 FSC-klagomål.docx", "A 37563-2024")</f>
        <v/>
      </c>
      <c r="W186">
        <f>HYPERLINK("https://klasma.github.io/Logging_0380/klagomålsmail/A 37563-2024 FSC-klagomål mail.docx", "A 37563-2024")</f>
        <v/>
      </c>
      <c r="X186">
        <f>HYPERLINK("https://klasma.github.io/Logging_0380/tillsyn/A 37563-2024 tillsynsbegäran.docx", "A 37563-2024")</f>
        <v/>
      </c>
      <c r="Y186">
        <f>HYPERLINK("https://klasma.github.io/Logging_0380/tillsynsmail/A 37563-2024 tillsynsbegäran mail.docx", "A 37563-2024")</f>
        <v/>
      </c>
    </row>
    <row r="187" ht="15" customHeight="1">
      <c r="A187" t="inlineStr">
        <is>
          <t>A 42787-2024</t>
        </is>
      </c>
      <c r="B187" s="1" t="n">
        <v>45566</v>
      </c>
      <c r="C187" s="1" t="n">
        <v>45708</v>
      </c>
      <c r="D187" t="inlineStr">
        <is>
          <t>UPPSALA LÄN</t>
        </is>
      </c>
      <c r="E187" t="inlineStr">
        <is>
          <t>UPPSALA</t>
        </is>
      </c>
      <c r="G187" t="n">
        <v>3.2</v>
      </c>
      <c r="H187" t="n">
        <v>1</v>
      </c>
      <c r="I187" t="n">
        <v>0</v>
      </c>
      <c r="J187" t="n">
        <v>0</v>
      </c>
      <c r="K187" t="n">
        <v>0</v>
      </c>
      <c r="L187" t="n">
        <v>0</v>
      </c>
      <c r="M187" t="n">
        <v>0</v>
      </c>
      <c r="N187" t="n">
        <v>0</v>
      </c>
      <c r="O187" t="n">
        <v>0</v>
      </c>
      <c r="P187" t="n">
        <v>0</v>
      </c>
      <c r="Q187" t="n">
        <v>1</v>
      </c>
      <c r="R187" s="2" t="inlineStr">
        <is>
          <t>Mattlummer</t>
        </is>
      </c>
      <c r="S187">
        <f>HYPERLINK("https://klasma.github.io/Logging_0380/artfynd/A 42787-2024 artfynd.xlsx", "A 42787-2024")</f>
        <v/>
      </c>
      <c r="T187">
        <f>HYPERLINK("https://klasma.github.io/Logging_0380/kartor/A 42787-2024 karta.png", "A 42787-2024")</f>
        <v/>
      </c>
      <c r="V187">
        <f>HYPERLINK("https://klasma.github.io/Logging_0380/klagomål/A 42787-2024 FSC-klagomål.docx", "A 42787-2024")</f>
        <v/>
      </c>
      <c r="W187">
        <f>HYPERLINK("https://klasma.github.io/Logging_0380/klagomålsmail/A 42787-2024 FSC-klagomål mail.docx", "A 42787-2024")</f>
        <v/>
      </c>
      <c r="X187">
        <f>HYPERLINK("https://klasma.github.io/Logging_0380/tillsyn/A 42787-2024 tillsynsbegäran.docx", "A 42787-2024")</f>
        <v/>
      </c>
      <c r="Y187">
        <f>HYPERLINK("https://klasma.github.io/Logging_0380/tillsynsmail/A 42787-2024 tillsynsbegäran mail.docx", "A 42787-2024")</f>
        <v/>
      </c>
    </row>
    <row r="188" ht="15" customHeight="1">
      <c r="A188" t="inlineStr">
        <is>
          <t>A 54144-2024</t>
        </is>
      </c>
      <c r="B188" s="1" t="n">
        <v>45616</v>
      </c>
      <c r="C188" s="1" t="n">
        <v>45708</v>
      </c>
      <c r="D188" t="inlineStr">
        <is>
          <t>UPPSALA LÄN</t>
        </is>
      </c>
      <c r="E188" t="inlineStr">
        <is>
          <t>UPPSALA</t>
        </is>
      </c>
      <c r="G188" t="n">
        <v>3.2</v>
      </c>
      <c r="H188" t="n">
        <v>0</v>
      </c>
      <c r="I188" t="n">
        <v>1</v>
      </c>
      <c r="J188" t="n">
        <v>0</v>
      </c>
      <c r="K188" t="n">
        <v>0</v>
      </c>
      <c r="L188" t="n">
        <v>0</v>
      </c>
      <c r="M188" t="n">
        <v>0</v>
      </c>
      <c r="N188" t="n">
        <v>0</v>
      </c>
      <c r="O188" t="n">
        <v>0</v>
      </c>
      <c r="P188" t="n">
        <v>0</v>
      </c>
      <c r="Q188" t="n">
        <v>1</v>
      </c>
      <c r="R188" s="2" t="inlineStr">
        <is>
          <t>Svavelriska</t>
        </is>
      </c>
      <c r="S188">
        <f>HYPERLINK("https://klasma.github.io/Logging_0380/artfynd/A 54144-2024 artfynd.xlsx", "A 54144-2024")</f>
        <v/>
      </c>
      <c r="T188">
        <f>HYPERLINK("https://klasma.github.io/Logging_0380/kartor/A 54144-2024 karta.png", "A 54144-2024")</f>
        <v/>
      </c>
      <c r="V188">
        <f>HYPERLINK("https://klasma.github.io/Logging_0380/klagomål/A 54144-2024 FSC-klagomål.docx", "A 54144-2024")</f>
        <v/>
      </c>
      <c r="W188">
        <f>HYPERLINK("https://klasma.github.io/Logging_0380/klagomålsmail/A 54144-2024 FSC-klagomål mail.docx", "A 54144-2024")</f>
        <v/>
      </c>
      <c r="X188">
        <f>HYPERLINK("https://klasma.github.io/Logging_0380/tillsyn/A 54144-2024 tillsynsbegäran.docx", "A 54144-2024")</f>
        <v/>
      </c>
      <c r="Y188">
        <f>HYPERLINK("https://klasma.github.io/Logging_0380/tillsynsmail/A 54144-2024 tillsynsbegäran mail.docx", "A 54144-2024")</f>
        <v/>
      </c>
    </row>
    <row r="189" ht="15" customHeight="1">
      <c r="A189" t="inlineStr">
        <is>
          <t>A 59588-2024</t>
        </is>
      </c>
      <c r="B189" s="1" t="n">
        <v>45638</v>
      </c>
      <c r="C189" s="1" t="n">
        <v>45708</v>
      </c>
      <c r="D189" t="inlineStr">
        <is>
          <t>UPPSALA LÄN</t>
        </is>
      </c>
      <c r="E189" t="inlineStr">
        <is>
          <t>UPPSALA</t>
        </is>
      </c>
      <c r="G189" t="n">
        <v>3.4</v>
      </c>
      <c r="H189" t="n">
        <v>1</v>
      </c>
      <c r="I189" t="n">
        <v>0</v>
      </c>
      <c r="J189" t="n">
        <v>0</v>
      </c>
      <c r="K189" t="n">
        <v>1</v>
      </c>
      <c r="L189" t="n">
        <v>0</v>
      </c>
      <c r="M189" t="n">
        <v>0</v>
      </c>
      <c r="N189" t="n">
        <v>0</v>
      </c>
      <c r="O189" t="n">
        <v>1</v>
      </c>
      <c r="P189" t="n">
        <v>1</v>
      </c>
      <c r="Q189" t="n">
        <v>1</v>
      </c>
      <c r="R189" s="2" t="inlineStr">
        <is>
          <t>Knärot</t>
        </is>
      </c>
      <c r="S189">
        <f>HYPERLINK("https://klasma.github.io/Logging_0380/artfynd/A 59588-2024 artfynd.xlsx", "A 59588-2024")</f>
        <v/>
      </c>
      <c r="T189">
        <f>HYPERLINK("https://klasma.github.io/Logging_0380/kartor/A 59588-2024 karta.png", "A 59588-2024")</f>
        <v/>
      </c>
      <c r="U189">
        <f>HYPERLINK("https://klasma.github.io/Logging_0380/knärot/A 59588-2024 karta knärot.png", "A 59588-2024")</f>
        <v/>
      </c>
      <c r="V189">
        <f>HYPERLINK("https://klasma.github.io/Logging_0380/klagomål/A 59588-2024 FSC-klagomål.docx", "A 59588-2024")</f>
        <v/>
      </c>
      <c r="W189">
        <f>HYPERLINK("https://klasma.github.io/Logging_0380/klagomålsmail/A 59588-2024 FSC-klagomål mail.docx", "A 59588-2024")</f>
        <v/>
      </c>
      <c r="X189">
        <f>HYPERLINK("https://klasma.github.io/Logging_0380/tillsyn/A 59588-2024 tillsynsbegäran.docx", "A 59588-2024")</f>
        <v/>
      </c>
      <c r="Y189">
        <f>HYPERLINK("https://klasma.github.io/Logging_0380/tillsynsmail/A 59588-2024 tillsynsbegäran mail.docx", "A 59588-2024")</f>
        <v/>
      </c>
    </row>
    <row r="190" ht="15" customHeight="1">
      <c r="A190" t="inlineStr">
        <is>
          <t>A 3304-2025</t>
        </is>
      </c>
      <c r="B190" s="1" t="n">
        <v>45679</v>
      </c>
      <c r="C190" s="1" t="n">
        <v>45708</v>
      </c>
      <c r="D190" t="inlineStr">
        <is>
          <t>UPPSALA LÄN</t>
        </is>
      </c>
      <c r="E190" t="inlineStr">
        <is>
          <t>UPPSALA</t>
        </is>
      </c>
      <c r="F190" t="inlineStr">
        <is>
          <t>Övriga statliga verk och myndigheter</t>
        </is>
      </c>
      <c r="G190" t="n">
        <v>3.8</v>
      </c>
      <c r="H190" t="n">
        <v>1</v>
      </c>
      <c r="I190" t="n">
        <v>0</v>
      </c>
      <c r="J190" t="n">
        <v>0</v>
      </c>
      <c r="K190" t="n">
        <v>0</v>
      </c>
      <c r="L190" t="n">
        <v>0</v>
      </c>
      <c r="M190" t="n">
        <v>0</v>
      </c>
      <c r="N190" t="n">
        <v>0</v>
      </c>
      <c r="O190" t="n">
        <v>0</v>
      </c>
      <c r="P190" t="n">
        <v>0</v>
      </c>
      <c r="Q190" t="n">
        <v>1</v>
      </c>
      <c r="R190" s="2" t="inlineStr">
        <is>
          <t>Blåsippa</t>
        </is>
      </c>
      <c r="S190">
        <f>HYPERLINK("https://klasma.github.io/Logging_0380/artfynd/A 3304-2025 artfynd.xlsx", "A 3304-2025")</f>
        <v/>
      </c>
      <c r="T190">
        <f>HYPERLINK("https://klasma.github.io/Logging_0380/kartor/A 3304-2025 karta.png", "A 3304-2025")</f>
        <v/>
      </c>
      <c r="V190">
        <f>HYPERLINK("https://klasma.github.io/Logging_0380/klagomål/A 3304-2025 FSC-klagomål.docx", "A 3304-2025")</f>
        <v/>
      </c>
      <c r="W190">
        <f>HYPERLINK("https://klasma.github.io/Logging_0380/klagomålsmail/A 3304-2025 FSC-klagomål mail.docx", "A 3304-2025")</f>
        <v/>
      </c>
      <c r="X190">
        <f>HYPERLINK("https://klasma.github.io/Logging_0380/tillsyn/A 3304-2025 tillsynsbegäran.docx", "A 3304-2025")</f>
        <v/>
      </c>
      <c r="Y190">
        <f>HYPERLINK("https://klasma.github.io/Logging_0380/tillsynsmail/A 3304-2025 tillsynsbegäran mail.docx", "A 3304-2025")</f>
        <v/>
      </c>
    </row>
    <row r="191" ht="15" customHeight="1">
      <c r="A191" t="inlineStr">
        <is>
          <t>A 4657-2025</t>
        </is>
      </c>
      <c r="B191" s="1" t="n">
        <v>45687</v>
      </c>
      <c r="C191" s="1" t="n">
        <v>45708</v>
      </c>
      <c r="D191" t="inlineStr">
        <is>
          <t>UPPSALA LÄN</t>
        </is>
      </c>
      <c r="E191" t="inlineStr">
        <is>
          <t>UPPSALA</t>
        </is>
      </c>
      <c r="G191" t="n">
        <v>2.9</v>
      </c>
      <c r="H191" t="n">
        <v>1</v>
      </c>
      <c r="I191" t="n">
        <v>0</v>
      </c>
      <c r="J191" t="n">
        <v>1</v>
      </c>
      <c r="K191" t="n">
        <v>0</v>
      </c>
      <c r="L191" t="n">
        <v>0</v>
      </c>
      <c r="M191" t="n">
        <v>0</v>
      </c>
      <c r="N191" t="n">
        <v>0</v>
      </c>
      <c r="O191" t="n">
        <v>1</v>
      </c>
      <c r="P191" t="n">
        <v>0</v>
      </c>
      <c r="Q191" t="n">
        <v>1</v>
      </c>
      <c r="R191" s="2" t="inlineStr">
        <is>
          <t>Grönsångare</t>
        </is>
      </c>
      <c r="S191">
        <f>HYPERLINK("https://klasma.github.io/Logging_0380/artfynd/A 4657-2025 artfynd.xlsx", "A 4657-2025")</f>
        <v/>
      </c>
      <c r="T191">
        <f>HYPERLINK("https://klasma.github.io/Logging_0380/kartor/A 4657-2025 karta.png", "A 4657-2025")</f>
        <v/>
      </c>
      <c r="V191">
        <f>HYPERLINK("https://klasma.github.io/Logging_0380/klagomål/A 4657-2025 FSC-klagomål.docx", "A 4657-2025")</f>
        <v/>
      </c>
      <c r="W191">
        <f>HYPERLINK("https://klasma.github.io/Logging_0380/klagomålsmail/A 4657-2025 FSC-klagomål mail.docx", "A 4657-2025")</f>
        <v/>
      </c>
      <c r="X191">
        <f>HYPERLINK("https://klasma.github.io/Logging_0380/tillsyn/A 4657-2025 tillsynsbegäran.docx", "A 4657-2025")</f>
        <v/>
      </c>
      <c r="Y191">
        <f>HYPERLINK("https://klasma.github.io/Logging_0380/tillsynsmail/A 4657-2025 tillsynsbegäran mail.docx", "A 4657-2025")</f>
        <v/>
      </c>
      <c r="Z191">
        <f>HYPERLINK("https://klasma.github.io/Logging_0380/fåglar/A 4657-2025 prioriterade fågelarter.docx", "A 4657-2025")</f>
        <v/>
      </c>
    </row>
    <row r="192" ht="15" customHeight="1">
      <c r="A192" t="inlineStr">
        <is>
          <t>A 5619-2025</t>
        </is>
      </c>
      <c r="B192" s="1" t="n">
        <v>45693</v>
      </c>
      <c r="C192" s="1" t="n">
        <v>45708</v>
      </c>
      <c r="D192" t="inlineStr">
        <is>
          <t>UPPSALA LÄN</t>
        </is>
      </c>
      <c r="E192" t="inlineStr">
        <is>
          <t>UPPSALA</t>
        </is>
      </c>
      <c r="G192" t="n">
        <v>6.8</v>
      </c>
      <c r="H192" t="n">
        <v>1</v>
      </c>
      <c r="I192" t="n">
        <v>0</v>
      </c>
      <c r="J192" t="n">
        <v>1</v>
      </c>
      <c r="K192" t="n">
        <v>0</v>
      </c>
      <c r="L192" t="n">
        <v>0</v>
      </c>
      <c r="M192" t="n">
        <v>0</v>
      </c>
      <c r="N192" t="n">
        <v>0</v>
      </c>
      <c r="O192" t="n">
        <v>1</v>
      </c>
      <c r="P192" t="n">
        <v>0</v>
      </c>
      <c r="Q192" t="n">
        <v>1</v>
      </c>
      <c r="R192" s="2" t="inlineStr">
        <is>
          <t>Spillkråka</t>
        </is>
      </c>
      <c r="S192">
        <f>HYPERLINK("https://klasma.github.io/Logging_0380/artfynd/A 5619-2025 artfynd.xlsx", "A 5619-2025")</f>
        <v/>
      </c>
      <c r="T192">
        <f>HYPERLINK("https://klasma.github.io/Logging_0380/kartor/A 5619-2025 karta.png", "A 5619-2025")</f>
        <v/>
      </c>
      <c r="V192">
        <f>HYPERLINK("https://klasma.github.io/Logging_0380/klagomål/A 5619-2025 FSC-klagomål.docx", "A 5619-2025")</f>
        <v/>
      </c>
      <c r="W192">
        <f>HYPERLINK("https://klasma.github.io/Logging_0380/klagomålsmail/A 5619-2025 FSC-klagomål mail.docx", "A 5619-2025")</f>
        <v/>
      </c>
      <c r="X192">
        <f>HYPERLINK("https://klasma.github.io/Logging_0380/tillsyn/A 5619-2025 tillsynsbegäran.docx", "A 5619-2025")</f>
        <v/>
      </c>
      <c r="Y192">
        <f>HYPERLINK("https://klasma.github.io/Logging_0380/tillsynsmail/A 5619-2025 tillsynsbegäran mail.docx", "A 5619-2025")</f>
        <v/>
      </c>
      <c r="Z192">
        <f>HYPERLINK("https://klasma.github.io/Logging_0380/fåglar/A 5619-2025 prioriterade fågelarter.docx", "A 5619-2025")</f>
        <v/>
      </c>
    </row>
    <row r="193" ht="15" customHeight="1">
      <c r="A193" t="inlineStr">
        <is>
          <t>A 5732-2025</t>
        </is>
      </c>
      <c r="B193" s="1" t="n">
        <v>45694</v>
      </c>
      <c r="C193" s="1" t="n">
        <v>45708</v>
      </c>
      <c r="D193" t="inlineStr">
        <is>
          <t>UPPSALA LÄN</t>
        </is>
      </c>
      <c r="E193" t="inlineStr">
        <is>
          <t>UPPSALA</t>
        </is>
      </c>
      <c r="G193" t="n">
        <v>1.9</v>
      </c>
      <c r="H193" t="n">
        <v>0</v>
      </c>
      <c r="I193" t="n">
        <v>1</v>
      </c>
      <c r="J193" t="n">
        <v>0</v>
      </c>
      <c r="K193" t="n">
        <v>0</v>
      </c>
      <c r="L193" t="n">
        <v>0</v>
      </c>
      <c r="M193" t="n">
        <v>0</v>
      </c>
      <c r="N193" t="n">
        <v>0</v>
      </c>
      <c r="O193" t="n">
        <v>0</v>
      </c>
      <c r="P193" t="n">
        <v>0</v>
      </c>
      <c r="Q193" t="n">
        <v>1</v>
      </c>
      <c r="R193" s="2" t="inlineStr">
        <is>
          <t>Fällmossa</t>
        </is>
      </c>
      <c r="S193">
        <f>HYPERLINK("https://klasma.github.io/Logging_0380/artfynd/A 5732-2025 artfynd.xlsx", "A 5732-2025")</f>
        <v/>
      </c>
      <c r="T193">
        <f>HYPERLINK("https://klasma.github.io/Logging_0380/kartor/A 5732-2025 karta.png", "A 5732-2025")</f>
        <v/>
      </c>
      <c r="V193">
        <f>HYPERLINK("https://klasma.github.io/Logging_0380/klagomål/A 5732-2025 FSC-klagomål.docx", "A 5732-2025")</f>
        <v/>
      </c>
      <c r="W193">
        <f>HYPERLINK("https://klasma.github.io/Logging_0380/klagomålsmail/A 5732-2025 FSC-klagomål mail.docx", "A 5732-2025")</f>
        <v/>
      </c>
      <c r="X193">
        <f>HYPERLINK("https://klasma.github.io/Logging_0380/tillsyn/A 5732-2025 tillsynsbegäran.docx", "A 5732-2025")</f>
        <v/>
      </c>
      <c r="Y193">
        <f>HYPERLINK("https://klasma.github.io/Logging_0380/tillsynsmail/A 5732-2025 tillsynsbegäran mail.docx", "A 5732-2025")</f>
        <v/>
      </c>
    </row>
    <row r="194" ht="15" customHeight="1">
      <c r="A194" t="inlineStr">
        <is>
          <t>A 17828-2019</t>
        </is>
      </c>
      <c r="B194" s="1" t="n">
        <v>43556</v>
      </c>
      <c r="C194" s="1" t="n">
        <v>45708</v>
      </c>
      <c r="D194" t="inlineStr">
        <is>
          <t>UPPSALA LÄN</t>
        </is>
      </c>
      <c r="E194" t="inlineStr">
        <is>
          <t>UPPSALA</t>
        </is>
      </c>
      <c r="G194" t="n">
        <v>2.8</v>
      </c>
      <c r="H194" t="n">
        <v>0</v>
      </c>
      <c r="I194" t="n">
        <v>0</v>
      </c>
      <c r="J194" t="n">
        <v>0</v>
      </c>
      <c r="K194" t="n">
        <v>0</v>
      </c>
      <c r="L194" t="n">
        <v>0</v>
      </c>
      <c r="M194" t="n">
        <v>0</v>
      </c>
      <c r="N194" t="n">
        <v>0</v>
      </c>
      <c r="O194" t="n">
        <v>0</v>
      </c>
      <c r="P194" t="n">
        <v>0</v>
      </c>
      <c r="Q194" t="n">
        <v>0</v>
      </c>
      <c r="R194" s="2" t="inlineStr"/>
    </row>
    <row r="195" ht="15" customHeight="1">
      <c r="A195" t="inlineStr">
        <is>
          <t>A 18446-2019</t>
        </is>
      </c>
      <c r="B195" s="1" t="n">
        <v>43559</v>
      </c>
      <c r="C195" s="1" t="n">
        <v>45708</v>
      </c>
      <c r="D195" t="inlineStr">
        <is>
          <t>UPPSALA LÄN</t>
        </is>
      </c>
      <c r="E195" t="inlineStr">
        <is>
          <t>UPPSALA</t>
        </is>
      </c>
      <c r="G195" t="n">
        <v>9.1</v>
      </c>
      <c r="H195" t="n">
        <v>0</v>
      </c>
      <c r="I195" t="n">
        <v>0</v>
      </c>
      <c r="J195" t="n">
        <v>0</v>
      </c>
      <c r="K195" t="n">
        <v>0</v>
      </c>
      <c r="L195" t="n">
        <v>0</v>
      </c>
      <c r="M195" t="n">
        <v>0</v>
      </c>
      <c r="N195" t="n">
        <v>0</v>
      </c>
      <c r="O195" t="n">
        <v>0</v>
      </c>
      <c r="P195" t="n">
        <v>0</v>
      </c>
      <c r="Q195" t="n">
        <v>0</v>
      </c>
      <c r="R195" s="2" t="inlineStr"/>
    </row>
    <row r="196" ht="15" customHeight="1">
      <c r="A196" t="inlineStr">
        <is>
          <t>A 18554-2019</t>
        </is>
      </c>
      <c r="B196" s="1" t="n">
        <v>43559</v>
      </c>
      <c r="C196" s="1" t="n">
        <v>45708</v>
      </c>
      <c r="D196" t="inlineStr">
        <is>
          <t>UPPSALA LÄN</t>
        </is>
      </c>
      <c r="E196" t="inlineStr">
        <is>
          <t>UPPSALA</t>
        </is>
      </c>
      <c r="G196" t="n">
        <v>5.6</v>
      </c>
      <c r="H196" t="n">
        <v>0</v>
      </c>
      <c r="I196" t="n">
        <v>0</v>
      </c>
      <c r="J196" t="n">
        <v>0</v>
      </c>
      <c r="K196" t="n">
        <v>0</v>
      </c>
      <c r="L196" t="n">
        <v>0</v>
      </c>
      <c r="M196" t="n">
        <v>0</v>
      </c>
      <c r="N196" t="n">
        <v>0</v>
      </c>
      <c r="O196" t="n">
        <v>0</v>
      </c>
      <c r="P196" t="n">
        <v>0</v>
      </c>
      <c r="Q196" t="n">
        <v>0</v>
      </c>
      <c r="R196" s="2" t="inlineStr"/>
    </row>
    <row r="197" ht="15" customHeight="1">
      <c r="A197" t="inlineStr">
        <is>
          <t>A 18810-2019</t>
        </is>
      </c>
      <c r="B197" s="1" t="n">
        <v>43560</v>
      </c>
      <c r="C197" s="1" t="n">
        <v>45708</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20011-2019</t>
        </is>
      </c>
      <c r="B198" s="1" t="n">
        <v>43570</v>
      </c>
      <c r="C198" s="1" t="n">
        <v>45708</v>
      </c>
      <c r="D198" t="inlineStr">
        <is>
          <t>UPPSALA LÄN</t>
        </is>
      </c>
      <c r="E198" t="inlineStr">
        <is>
          <t>UPPSALA</t>
        </is>
      </c>
      <c r="G198" t="n">
        <v>6.3</v>
      </c>
      <c r="H198" t="n">
        <v>0</v>
      </c>
      <c r="I198" t="n">
        <v>0</v>
      </c>
      <c r="J198" t="n">
        <v>0</v>
      </c>
      <c r="K198" t="n">
        <v>0</v>
      </c>
      <c r="L198" t="n">
        <v>0</v>
      </c>
      <c r="M198" t="n">
        <v>0</v>
      </c>
      <c r="N198" t="n">
        <v>0</v>
      </c>
      <c r="O198" t="n">
        <v>0</v>
      </c>
      <c r="P198" t="n">
        <v>0</v>
      </c>
      <c r="Q198" t="n">
        <v>0</v>
      </c>
      <c r="R198" s="2" t="inlineStr"/>
    </row>
    <row r="199" ht="15" customHeight="1">
      <c r="A199" t="inlineStr">
        <is>
          <t>A 21087-2019</t>
        </is>
      </c>
      <c r="B199" s="1" t="n">
        <v>43578</v>
      </c>
      <c r="C199" s="1" t="n">
        <v>45708</v>
      </c>
      <c r="D199" t="inlineStr">
        <is>
          <t>UPPSALA LÄN</t>
        </is>
      </c>
      <c r="E199" t="inlineStr">
        <is>
          <t>UPPSALA</t>
        </is>
      </c>
      <c r="G199" t="n">
        <v>1.8</v>
      </c>
      <c r="H199" t="n">
        <v>0</v>
      </c>
      <c r="I199" t="n">
        <v>0</v>
      </c>
      <c r="J199" t="n">
        <v>0</v>
      </c>
      <c r="K199" t="n">
        <v>0</v>
      </c>
      <c r="L199" t="n">
        <v>0</v>
      </c>
      <c r="M199" t="n">
        <v>0</v>
      </c>
      <c r="N199" t="n">
        <v>0</v>
      </c>
      <c r="O199" t="n">
        <v>0</v>
      </c>
      <c r="P199" t="n">
        <v>0</v>
      </c>
      <c r="Q199" t="n">
        <v>0</v>
      </c>
      <c r="R199" s="2" t="inlineStr"/>
    </row>
    <row r="200" ht="15" customHeight="1">
      <c r="A200" t="inlineStr">
        <is>
          <t>A 21082-2019</t>
        </is>
      </c>
      <c r="B200" s="1" t="n">
        <v>43578</v>
      </c>
      <c r="C200" s="1" t="n">
        <v>45708</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22153-2019</t>
        </is>
      </c>
      <c r="B201" s="1" t="n">
        <v>43585</v>
      </c>
      <c r="C201" s="1" t="n">
        <v>45708</v>
      </c>
      <c r="D201" t="inlineStr">
        <is>
          <t>UPPSALA LÄN</t>
        </is>
      </c>
      <c r="E201" t="inlineStr">
        <is>
          <t>UPPSALA</t>
        </is>
      </c>
      <c r="F201" t="inlineStr">
        <is>
          <t>Holmen skog AB</t>
        </is>
      </c>
      <c r="G201" t="n">
        <v>0.7</v>
      </c>
      <c r="H201" t="n">
        <v>0</v>
      </c>
      <c r="I201" t="n">
        <v>0</v>
      </c>
      <c r="J201" t="n">
        <v>0</v>
      </c>
      <c r="K201" t="n">
        <v>0</v>
      </c>
      <c r="L201" t="n">
        <v>0</v>
      </c>
      <c r="M201" t="n">
        <v>0</v>
      </c>
      <c r="N201" t="n">
        <v>0</v>
      </c>
      <c r="O201" t="n">
        <v>0</v>
      </c>
      <c r="P201" t="n">
        <v>0</v>
      </c>
      <c r="Q201" t="n">
        <v>0</v>
      </c>
      <c r="R201" s="2" t="inlineStr"/>
    </row>
    <row r="202" ht="15" customHeight="1">
      <c r="A202" t="inlineStr">
        <is>
          <t>A 23042-2019</t>
        </is>
      </c>
      <c r="B202" s="1" t="n">
        <v>43591</v>
      </c>
      <c r="C202" s="1" t="n">
        <v>45708</v>
      </c>
      <c r="D202" t="inlineStr">
        <is>
          <t>UPPSALA LÄN</t>
        </is>
      </c>
      <c r="E202" t="inlineStr">
        <is>
          <t>UPPSALA</t>
        </is>
      </c>
      <c r="G202" t="n">
        <v>2.7</v>
      </c>
      <c r="H202" t="n">
        <v>0</v>
      </c>
      <c r="I202" t="n">
        <v>0</v>
      </c>
      <c r="J202" t="n">
        <v>0</v>
      </c>
      <c r="K202" t="n">
        <v>0</v>
      </c>
      <c r="L202" t="n">
        <v>0</v>
      </c>
      <c r="M202" t="n">
        <v>0</v>
      </c>
      <c r="N202" t="n">
        <v>0</v>
      </c>
      <c r="O202" t="n">
        <v>0</v>
      </c>
      <c r="P202" t="n">
        <v>0</v>
      </c>
      <c r="Q202" t="n">
        <v>0</v>
      </c>
      <c r="R202" s="2" t="inlineStr"/>
    </row>
    <row r="203" ht="15" customHeight="1">
      <c r="A203" t="inlineStr">
        <is>
          <t>A 23262-2019</t>
        </is>
      </c>
      <c r="B203" s="1" t="n">
        <v>43592</v>
      </c>
      <c r="C203" s="1" t="n">
        <v>45708</v>
      </c>
      <c r="D203" t="inlineStr">
        <is>
          <t>UPPSALA LÄN</t>
        </is>
      </c>
      <c r="E203" t="inlineStr">
        <is>
          <t>UPPSALA</t>
        </is>
      </c>
      <c r="F203" t="inlineStr">
        <is>
          <t>Kyrkan</t>
        </is>
      </c>
      <c r="G203" t="n">
        <v>7.6</v>
      </c>
      <c r="H203" t="n">
        <v>0</v>
      </c>
      <c r="I203" t="n">
        <v>0</v>
      </c>
      <c r="J203" t="n">
        <v>0</v>
      </c>
      <c r="K203" t="n">
        <v>0</v>
      </c>
      <c r="L203" t="n">
        <v>0</v>
      </c>
      <c r="M203" t="n">
        <v>0</v>
      </c>
      <c r="N203" t="n">
        <v>0</v>
      </c>
      <c r="O203" t="n">
        <v>0</v>
      </c>
      <c r="P203" t="n">
        <v>0</v>
      </c>
      <c r="Q203" t="n">
        <v>0</v>
      </c>
      <c r="R203" s="2" t="inlineStr"/>
    </row>
    <row r="204" ht="15" customHeight="1">
      <c r="A204" t="inlineStr">
        <is>
          <t>A 24998-2019</t>
        </is>
      </c>
      <c r="B204" s="1" t="n">
        <v>43600</v>
      </c>
      <c r="C204" s="1" t="n">
        <v>45708</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25164-2019</t>
        </is>
      </c>
      <c r="B205" s="1" t="n">
        <v>43605</v>
      </c>
      <c r="C205" s="1" t="n">
        <v>45708</v>
      </c>
      <c r="D205" t="inlineStr">
        <is>
          <t>UPPSALA LÄN</t>
        </is>
      </c>
      <c r="E205" t="inlineStr">
        <is>
          <t>UPPSALA</t>
        </is>
      </c>
      <c r="G205" t="n">
        <v>1.6</v>
      </c>
      <c r="H205" t="n">
        <v>0</v>
      </c>
      <c r="I205" t="n">
        <v>0</v>
      </c>
      <c r="J205" t="n">
        <v>0</v>
      </c>
      <c r="K205" t="n">
        <v>0</v>
      </c>
      <c r="L205" t="n">
        <v>0</v>
      </c>
      <c r="M205" t="n">
        <v>0</v>
      </c>
      <c r="N205" t="n">
        <v>0</v>
      </c>
      <c r="O205" t="n">
        <v>0</v>
      </c>
      <c r="P205" t="n">
        <v>0</v>
      </c>
      <c r="Q205" t="n">
        <v>0</v>
      </c>
      <c r="R205" s="2" t="inlineStr"/>
    </row>
    <row r="206" ht="15" customHeight="1">
      <c r="A206" t="inlineStr">
        <is>
          <t>A 25157-2019</t>
        </is>
      </c>
      <c r="B206" s="1" t="n">
        <v>43605</v>
      </c>
      <c r="C206" s="1" t="n">
        <v>45708</v>
      </c>
      <c r="D206" t="inlineStr">
        <is>
          <t>UPPSALA LÄN</t>
        </is>
      </c>
      <c r="E206" t="inlineStr">
        <is>
          <t>UPPSALA</t>
        </is>
      </c>
      <c r="G206" t="n">
        <v>3</v>
      </c>
      <c r="H206" t="n">
        <v>0</v>
      </c>
      <c r="I206" t="n">
        <v>0</v>
      </c>
      <c r="J206" t="n">
        <v>0</v>
      </c>
      <c r="K206" t="n">
        <v>0</v>
      </c>
      <c r="L206" t="n">
        <v>0</v>
      </c>
      <c r="M206" t="n">
        <v>0</v>
      </c>
      <c r="N206" t="n">
        <v>0</v>
      </c>
      <c r="O206" t="n">
        <v>0</v>
      </c>
      <c r="P206" t="n">
        <v>0</v>
      </c>
      <c r="Q206" t="n">
        <v>0</v>
      </c>
      <c r="R206" s="2" t="inlineStr"/>
    </row>
    <row r="207" ht="15" customHeight="1">
      <c r="A207" t="inlineStr">
        <is>
          <t>A 25667-2019</t>
        </is>
      </c>
      <c r="B207" s="1" t="n">
        <v>43607</v>
      </c>
      <c r="C207" s="1" t="n">
        <v>45708</v>
      </c>
      <c r="D207" t="inlineStr">
        <is>
          <t>UPPSALA LÄN</t>
        </is>
      </c>
      <c r="E207" t="inlineStr">
        <is>
          <t>UPPSALA</t>
        </is>
      </c>
      <c r="G207" t="n">
        <v>0.7</v>
      </c>
      <c r="H207" t="n">
        <v>0</v>
      </c>
      <c r="I207" t="n">
        <v>0</v>
      </c>
      <c r="J207" t="n">
        <v>0</v>
      </c>
      <c r="K207" t="n">
        <v>0</v>
      </c>
      <c r="L207" t="n">
        <v>0</v>
      </c>
      <c r="M207" t="n">
        <v>0</v>
      </c>
      <c r="N207" t="n">
        <v>0</v>
      </c>
      <c r="O207" t="n">
        <v>0</v>
      </c>
      <c r="P207" t="n">
        <v>0</v>
      </c>
      <c r="Q207" t="n">
        <v>0</v>
      </c>
      <c r="R207" s="2" t="inlineStr"/>
    </row>
    <row r="208" ht="15" customHeight="1">
      <c r="A208" t="inlineStr">
        <is>
          <t>A 29105-2019</t>
        </is>
      </c>
      <c r="B208" s="1" t="n">
        <v>43628</v>
      </c>
      <c r="C208" s="1" t="n">
        <v>45708</v>
      </c>
      <c r="D208" t="inlineStr">
        <is>
          <t>UPPSALA LÄN</t>
        </is>
      </c>
      <c r="E208" t="inlineStr">
        <is>
          <t>UPPSALA</t>
        </is>
      </c>
      <c r="G208" t="n">
        <v>2.1</v>
      </c>
      <c r="H208" t="n">
        <v>0</v>
      </c>
      <c r="I208" t="n">
        <v>0</v>
      </c>
      <c r="J208" t="n">
        <v>0</v>
      </c>
      <c r="K208" t="n">
        <v>0</v>
      </c>
      <c r="L208" t="n">
        <v>0</v>
      </c>
      <c r="M208" t="n">
        <v>0</v>
      </c>
      <c r="N208" t="n">
        <v>0</v>
      </c>
      <c r="O208" t="n">
        <v>0</v>
      </c>
      <c r="P208" t="n">
        <v>0</v>
      </c>
      <c r="Q208" t="n">
        <v>0</v>
      </c>
      <c r="R208" s="2" t="inlineStr"/>
    </row>
    <row r="209" ht="15" customHeight="1">
      <c r="A209" t="inlineStr">
        <is>
          <t>A 29183-2019</t>
        </is>
      </c>
      <c r="B209" s="1" t="n">
        <v>43628</v>
      </c>
      <c r="C209" s="1" t="n">
        <v>45708</v>
      </c>
      <c r="D209" t="inlineStr">
        <is>
          <t>UPPSALA LÄN</t>
        </is>
      </c>
      <c r="E209" t="inlineStr">
        <is>
          <t>UPPSALA</t>
        </is>
      </c>
      <c r="F209" t="inlineStr">
        <is>
          <t>Allmännings- och besparingsskogar</t>
        </is>
      </c>
      <c r="G209" t="n">
        <v>6.3</v>
      </c>
      <c r="H209" t="n">
        <v>0</v>
      </c>
      <c r="I209" t="n">
        <v>0</v>
      </c>
      <c r="J209" t="n">
        <v>0</v>
      </c>
      <c r="K209" t="n">
        <v>0</v>
      </c>
      <c r="L209" t="n">
        <v>0</v>
      </c>
      <c r="M209" t="n">
        <v>0</v>
      </c>
      <c r="N209" t="n">
        <v>0</v>
      </c>
      <c r="O209" t="n">
        <v>0</v>
      </c>
      <c r="P209" t="n">
        <v>0</v>
      </c>
      <c r="Q209" t="n">
        <v>0</v>
      </c>
      <c r="R209" s="2" t="inlineStr"/>
    </row>
    <row r="210" ht="15" customHeight="1">
      <c r="A210" t="inlineStr">
        <is>
          <t>A 29081-2019</t>
        </is>
      </c>
      <c r="B210" s="1" t="n">
        <v>43628</v>
      </c>
      <c r="C210" s="1" t="n">
        <v>45708</v>
      </c>
      <c r="D210" t="inlineStr">
        <is>
          <t>UPPSALA LÄN</t>
        </is>
      </c>
      <c r="E210" t="inlineStr">
        <is>
          <t>UPPSALA</t>
        </is>
      </c>
      <c r="G210" t="n">
        <v>8.4</v>
      </c>
      <c r="H210" t="n">
        <v>0</v>
      </c>
      <c r="I210" t="n">
        <v>0</v>
      </c>
      <c r="J210" t="n">
        <v>0</v>
      </c>
      <c r="K210" t="n">
        <v>0</v>
      </c>
      <c r="L210" t="n">
        <v>0</v>
      </c>
      <c r="M210" t="n">
        <v>0</v>
      </c>
      <c r="N210" t="n">
        <v>0</v>
      </c>
      <c r="O210" t="n">
        <v>0</v>
      </c>
      <c r="P210" t="n">
        <v>0</v>
      </c>
      <c r="Q210" t="n">
        <v>0</v>
      </c>
      <c r="R210" s="2" t="inlineStr"/>
    </row>
    <row r="211" ht="15" customHeight="1">
      <c r="A211" t="inlineStr">
        <is>
          <t>A 29719-2019</t>
        </is>
      </c>
      <c r="B211" s="1" t="n">
        <v>43630</v>
      </c>
      <c r="C211" s="1" t="n">
        <v>45708</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29713-2019</t>
        </is>
      </c>
      <c r="B212" s="1" t="n">
        <v>43630</v>
      </c>
      <c r="C212" s="1" t="n">
        <v>45708</v>
      </c>
      <c r="D212" t="inlineStr">
        <is>
          <t>UPPSALA LÄN</t>
        </is>
      </c>
      <c r="E212" t="inlineStr">
        <is>
          <t>UPPSALA</t>
        </is>
      </c>
      <c r="G212" t="n">
        <v>1</v>
      </c>
      <c r="H212" t="n">
        <v>0</v>
      </c>
      <c r="I212" t="n">
        <v>0</v>
      </c>
      <c r="J212" t="n">
        <v>0</v>
      </c>
      <c r="K212" t="n">
        <v>0</v>
      </c>
      <c r="L212" t="n">
        <v>0</v>
      </c>
      <c r="M212" t="n">
        <v>0</v>
      </c>
      <c r="N212" t="n">
        <v>0</v>
      </c>
      <c r="O212" t="n">
        <v>0</v>
      </c>
      <c r="P212" t="n">
        <v>0</v>
      </c>
      <c r="Q212" t="n">
        <v>0</v>
      </c>
      <c r="R212" s="2" t="inlineStr"/>
    </row>
    <row r="213" ht="15" customHeight="1">
      <c r="A213" t="inlineStr">
        <is>
          <t>A 32558-2019</t>
        </is>
      </c>
      <c r="B213" s="1" t="n">
        <v>43647</v>
      </c>
      <c r="C213" s="1" t="n">
        <v>45708</v>
      </c>
      <c r="D213" t="inlineStr">
        <is>
          <t>UPPSALA LÄN</t>
        </is>
      </c>
      <c r="E213" t="inlineStr">
        <is>
          <t>UPPSALA</t>
        </is>
      </c>
      <c r="G213" t="n">
        <v>4.2</v>
      </c>
      <c r="H213" t="n">
        <v>0</v>
      </c>
      <c r="I213" t="n">
        <v>0</v>
      </c>
      <c r="J213" t="n">
        <v>0</v>
      </c>
      <c r="K213" t="n">
        <v>0</v>
      </c>
      <c r="L213" t="n">
        <v>0</v>
      </c>
      <c r="M213" t="n">
        <v>0</v>
      </c>
      <c r="N213" t="n">
        <v>0</v>
      </c>
      <c r="O213" t="n">
        <v>0</v>
      </c>
      <c r="P213" t="n">
        <v>0</v>
      </c>
      <c r="Q213" t="n">
        <v>0</v>
      </c>
      <c r="R213" s="2" t="inlineStr"/>
    </row>
    <row r="214" ht="15" customHeight="1">
      <c r="A214" t="inlineStr">
        <is>
          <t>A 34560-2019</t>
        </is>
      </c>
      <c r="B214" s="1" t="n">
        <v>43647</v>
      </c>
      <c r="C214" s="1" t="n">
        <v>45708</v>
      </c>
      <c r="D214" t="inlineStr">
        <is>
          <t>UPPSALA LÄN</t>
        </is>
      </c>
      <c r="E214" t="inlineStr">
        <is>
          <t>UPPSALA</t>
        </is>
      </c>
      <c r="G214" t="n">
        <v>8.6</v>
      </c>
      <c r="H214" t="n">
        <v>0</v>
      </c>
      <c r="I214" t="n">
        <v>0</v>
      </c>
      <c r="J214" t="n">
        <v>0</v>
      </c>
      <c r="K214" t="n">
        <v>0</v>
      </c>
      <c r="L214" t="n">
        <v>0</v>
      </c>
      <c r="M214" t="n">
        <v>0</v>
      </c>
      <c r="N214" t="n">
        <v>0</v>
      </c>
      <c r="O214" t="n">
        <v>0</v>
      </c>
      <c r="P214" t="n">
        <v>0</v>
      </c>
      <c r="Q214" t="n">
        <v>0</v>
      </c>
      <c r="R214" s="2" t="inlineStr"/>
    </row>
    <row r="215" ht="15" customHeight="1">
      <c r="A215" t="inlineStr">
        <is>
          <t>A 32830-2019</t>
        </is>
      </c>
      <c r="B215" s="1" t="n">
        <v>43648</v>
      </c>
      <c r="C215" s="1" t="n">
        <v>45708</v>
      </c>
      <c r="D215" t="inlineStr">
        <is>
          <t>UPPSALA LÄN</t>
        </is>
      </c>
      <c r="E215" t="inlineStr">
        <is>
          <t>UPPSALA</t>
        </is>
      </c>
      <c r="G215" t="n">
        <v>13.6</v>
      </c>
      <c r="H215" t="n">
        <v>0</v>
      </c>
      <c r="I215" t="n">
        <v>0</v>
      </c>
      <c r="J215" t="n">
        <v>0</v>
      </c>
      <c r="K215" t="n">
        <v>0</v>
      </c>
      <c r="L215" t="n">
        <v>0</v>
      </c>
      <c r="M215" t="n">
        <v>0</v>
      </c>
      <c r="N215" t="n">
        <v>0</v>
      </c>
      <c r="O215" t="n">
        <v>0</v>
      </c>
      <c r="P215" t="n">
        <v>0</v>
      </c>
      <c r="Q215" t="n">
        <v>0</v>
      </c>
      <c r="R215" s="2" t="inlineStr"/>
    </row>
    <row r="216" ht="15" customHeight="1">
      <c r="A216" t="inlineStr">
        <is>
          <t>A 33602-2019</t>
        </is>
      </c>
      <c r="B216" s="1" t="n">
        <v>43651</v>
      </c>
      <c r="C216" s="1" t="n">
        <v>45708</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33614-2019</t>
        </is>
      </c>
      <c r="B217" s="1" t="n">
        <v>43651</v>
      </c>
      <c r="C217" s="1" t="n">
        <v>45708</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33615-2019</t>
        </is>
      </c>
      <c r="B218" s="1" t="n">
        <v>43651</v>
      </c>
      <c r="C218" s="1" t="n">
        <v>45708</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33596-2019</t>
        </is>
      </c>
      <c r="B219" s="1" t="n">
        <v>43651</v>
      </c>
      <c r="C219" s="1" t="n">
        <v>45708</v>
      </c>
      <c r="D219" t="inlineStr">
        <is>
          <t>UPPSALA LÄN</t>
        </is>
      </c>
      <c r="E219" t="inlineStr">
        <is>
          <t>UPPSALA</t>
        </is>
      </c>
      <c r="G219" t="n">
        <v>1.3</v>
      </c>
      <c r="H219" t="n">
        <v>0</v>
      </c>
      <c r="I219" t="n">
        <v>0</v>
      </c>
      <c r="J219" t="n">
        <v>0</v>
      </c>
      <c r="K219" t="n">
        <v>0</v>
      </c>
      <c r="L219" t="n">
        <v>0</v>
      </c>
      <c r="M219" t="n">
        <v>0</v>
      </c>
      <c r="N219" t="n">
        <v>0</v>
      </c>
      <c r="O219" t="n">
        <v>0</v>
      </c>
      <c r="P219" t="n">
        <v>0</v>
      </c>
      <c r="Q219" t="n">
        <v>0</v>
      </c>
      <c r="R219" s="2" t="inlineStr"/>
    </row>
    <row r="220" ht="15" customHeight="1">
      <c r="A220" t="inlineStr">
        <is>
          <t>A 34007-2019</t>
        </is>
      </c>
      <c r="B220" s="1" t="n">
        <v>43654</v>
      </c>
      <c r="C220" s="1" t="n">
        <v>45708</v>
      </c>
      <c r="D220" t="inlineStr">
        <is>
          <t>UPPSALA LÄN</t>
        </is>
      </c>
      <c r="E220" t="inlineStr">
        <is>
          <t>UPPSALA</t>
        </is>
      </c>
      <c r="G220" t="n">
        <v>2</v>
      </c>
      <c r="H220" t="n">
        <v>0</v>
      </c>
      <c r="I220" t="n">
        <v>0</v>
      </c>
      <c r="J220" t="n">
        <v>0</v>
      </c>
      <c r="K220" t="n">
        <v>0</v>
      </c>
      <c r="L220" t="n">
        <v>0</v>
      </c>
      <c r="M220" t="n">
        <v>0</v>
      </c>
      <c r="N220" t="n">
        <v>0</v>
      </c>
      <c r="O220" t="n">
        <v>0</v>
      </c>
      <c r="P220" t="n">
        <v>0</v>
      </c>
      <c r="Q220" t="n">
        <v>0</v>
      </c>
      <c r="R220" s="2" t="inlineStr"/>
    </row>
    <row r="221" ht="15" customHeight="1">
      <c r="A221" t="inlineStr">
        <is>
          <t>A 34063-2019</t>
        </is>
      </c>
      <c r="B221" s="1" t="n">
        <v>43654</v>
      </c>
      <c r="C221" s="1" t="n">
        <v>45708</v>
      </c>
      <c r="D221" t="inlineStr">
        <is>
          <t>UPPSALA LÄN</t>
        </is>
      </c>
      <c r="E221" t="inlineStr">
        <is>
          <t>UPPSALA</t>
        </is>
      </c>
      <c r="G221" t="n">
        <v>1.5</v>
      </c>
      <c r="H221" t="n">
        <v>0</v>
      </c>
      <c r="I221" t="n">
        <v>0</v>
      </c>
      <c r="J221" t="n">
        <v>0</v>
      </c>
      <c r="K221" t="n">
        <v>0</v>
      </c>
      <c r="L221" t="n">
        <v>0</v>
      </c>
      <c r="M221" t="n">
        <v>0</v>
      </c>
      <c r="N221" t="n">
        <v>0</v>
      </c>
      <c r="O221" t="n">
        <v>0</v>
      </c>
      <c r="P221" t="n">
        <v>0</v>
      </c>
      <c r="Q221" t="n">
        <v>0</v>
      </c>
      <c r="R221" s="2" t="inlineStr"/>
    </row>
    <row r="222" ht="15" customHeight="1">
      <c r="A222" t="inlineStr">
        <is>
          <t>A 34331-2019</t>
        </is>
      </c>
      <c r="B222" s="1" t="n">
        <v>43656</v>
      </c>
      <c r="C222" s="1" t="n">
        <v>45708</v>
      </c>
      <c r="D222" t="inlineStr">
        <is>
          <t>UPPSALA LÄN</t>
        </is>
      </c>
      <c r="E222" t="inlineStr">
        <is>
          <t>UPPSALA</t>
        </is>
      </c>
      <c r="G222" t="n">
        <v>2</v>
      </c>
      <c r="H222" t="n">
        <v>0</v>
      </c>
      <c r="I222" t="n">
        <v>0</v>
      </c>
      <c r="J222" t="n">
        <v>0</v>
      </c>
      <c r="K222" t="n">
        <v>0</v>
      </c>
      <c r="L222" t="n">
        <v>0</v>
      </c>
      <c r="M222" t="n">
        <v>0</v>
      </c>
      <c r="N222" t="n">
        <v>0</v>
      </c>
      <c r="O222" t="n">
        <v>0</v>
      </c>
      <c r="P222" t="n">
        <v>0</v>
      </c>
      <c r="Q222" t="n">
        <v>0</v>
      </c>
      <c r="R222" s="2" t="inlineStr"/>
    </row>
    <row r="223" ht="15" customHeight="1">
      <c r="A223" t="inlineStr">
        <is>
          <t>A 36345-2019</t>
        </is>
      </c>
      <c r="B223" s="1" t="n">
        <v>43661</v>
      </c>
      <c r="C223" s="1" t="n">
        <v>45708</v>
      </c>
      <c r="D223" t="inlineStr">
        <is>
          <t>UPPSALA LÄN</t>
        </is>
      </c>
      <c r="E223" t="inlineStr">
        <is>
          <t>UPPSALA</t>
        </is>
      </c>
      <c r="G223" t="n">
        <v>5.3</v>
      </c>
      <c r="H223" t="n">
        <v>0</v>
      </c>
      <c r="I223" t="n">
        <v>0</v>
      </c>
      <c r="J223" t="n">
        <v>0</v>
      </c>
      <c r="K223" t="n">
        <v>0</v>
      </c>
      <c r="L223" t="n">
        <v>0</v>
      </c>
      <c r="M223" t="n">
        <v>0</v>
      </c>
      <c r="N223" t="n">
        <v>0</v>
      </c>
      <c r="O223" t="n">
        <v>0</v>
      </c>
      <c r="P223" t="n">
        <v>0</v>
      </c>
      <c r="Q223" t="n">
        <v>0</v>
      </c>
      <c r="R223" s="2" t="inlineStr"/>
    </row>
    <row r="224" ht="15" customHeight="1">
      <c r="A224" t="inlineStr">
        <is>
          <t>A 36394-2019</t>
        </is>
      </c>
      <c r="B224" s="1" t="n">
        <v>43663</v>
      </c>
      <c r="C224" s="1" t="n">
        <v>45708</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37234-2019</t>
        </is>
      </c>
      <c r="B225" s="1" t="n">
        <v>43677</v>
      </c>
      <c r="C225" s="1" t="n">
        <v>45708</v>
      </c>
      <c r="D225" t="inlineStr">
        <is>
          <t>UPPSALA LÄN</t>
        </is>
      </c>
      <c r="E225" t="inlineStr">
        <is>
          <t>UPPSALA</t>
        </is>
      </c>
      <c r="G225" t="n">
        <v>3.2</v>
      </c>
      <c r="H225" t="n">
        <v>0</v>
      </c>
      <c r="I225" t="n">
        <v>0</v>
      </c>
      <c r="J225" t="n">
        <v>0</v>
      </c>
      <c r="K225" t="n">
        <v>0</v>
      </c>
      <c r="L225" t="n">
        <v>0</v>
      </c>
      <c r="M225" t="n">
        <v>0</v>
      </c>
      <c r="N225" t="n">
        <v>0</v>
      </c>
      <c r="O225" t="n">
        <v>0</v>
      </c>
      <c r="P225" t="n">
        <v>0</v>
      </c>
      <c r="Q225" t="n">
        <v>0</v>
      </c>
      <c r="R225" s="2" t="inlineStr"/>
    </row>
    <row r="226" ht="15" customHeight="1">
      <c r="A226" t="inlineStr">
        <is>
          <t>A 37711-2019</t>
        </is>
      </c>
      <c r="B226" s="1" t="n">
        <v>43682</v>
      </c>
      <c r="C226" s="1" t="n">
        <v>45708</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38684-2019</t>
        </is>
      </c>
      <c r="B227" s="1" t="n">
        <v>43686</v>
      </c>
      <c r="C227" s="1" t="n">
        <v>45708</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40151-2019</t>
        </is>
      </c>
      <c r="B228" s="1" t="n">
        <v>43693</v>
      </c>
      <c r="C228" s="1" t="n">
        <v>45708</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41609-2019</t>
        </is>
      </c>
      <c r="B229" s="1" t="n">
        <v>43696</v>
      </c>
      <c r="C229" s="1" t="n">
        <v>45708</v>
      </c>
      <c r="D229" t="inlineStr">
        <is>
          <t>UPPSALA LÄN</t>
        </is>
      </c>
      <c r="E229" t="inlineStr">
        <is>
          <t>UPPSALA</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41653-2019</t>
        </is>
      </c>
      <c r="B230" s="1" t="n">
        <v>43696</v>
      </c>
      <c r="C230" s="1" t="n">
        <v>45708</v>
      </c>
      <c r="D230" t="inlineStr">
        <is>
          <t>UPPSALA LÄN</t>
        </is>
      </c>
      <c r="E230" t="inlineStr">
        <is>
          <t>UPPSALA</t>
        </is>
      </c>
      <c r="G230" t="n">
        <v>5.2</v>
      </c>
      <c r="H230" t="n">
        <v>0</v>
      </c>
      <c r="I230" t="n">
        <v>0</v>
      </c>
      <c r="J230" t="n">
        <v>0</v>
      </c>
      <c r="K230" t="n">
        <v>0</v>
      </c>
      <c r="L230" t="n">
        <v>0</v>
      </c>
      <c r="M230" t="n">
        <v>0</v>
      </c>
      <c r="N230" t="n">
        <v>0</v>
      </c>
      <c r="O230" t="n">
        <v>0</v>
      </c>
      <c r="P230" t="n">
        <v>0</v>
      </c>
      <c r="Q230" t="n">
        <v>0</v>
      </c>
      <c r="R230" s="2" t="inlineStr"/>
    </row>
    <row r="231" ht="15" customHeight="1">
      <c r="A231" t="inlineStr">
        <is>
          <t>A 41524-2019</t>
        </is>
      </c>
      <c r="B231" s="1" t="n">
        <v>43699</v>
      </c>
      <c r="C231" s="1" t="n">
        <v>45708</v>
      </c>
      <c r="D231" t="inlineStr">
        <is>
          <t>UPPSALA LÄN</t>
        </is>
      </c>
      <c r="E231" t="inlineStr">
        <is>
          <t>UPPSALA</t>
        </is>
      </c>
      <c r="G231" t="n">
        <v>2.4</v>
      </c>
      <c r="H231" t="n">
        <v>0</v>
      </c>
      <c r="I231" t="n">
        <v>0</v>
      </c>
      <c r="J231" t="n">
        <v>0</v>
      </c>
      <c r="K231" t="n">
        <v>0</v>
      </c>
      <c r="L231" t="n">
        <v>0</v>
      </c>
      <c r="M231" t="n">
        <v>0</v>
      </c>
      <c r="N231" t="n">
        <v>0</v>
      </c>
      <c r="O231" t="n">
        <v>0</v>
      </c>
      <c r="P231" t="n">
        <v>0</v>
      </c>
      <c r="Q231" t="n">
        <v>0</v>
      </c>
      <c r="R231" s="2" t="inlineStr"/>
    </row>
    <row r="232" ht="15" customHeight="1">
      <c r="A232" t="inlineStr">
        <is>
          <t>A 41535-2019</t>
        </is>
      </c>
      <c r="B232" s="1" t="n">
        <v>43699</v>
      </c>
      <c r="C232" s="1" t="n">
        <v>45708</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41695-2019</t>
        </is>
      </c>
      <c r="B233" s="1" t="n">
        <v>43699</v>
      </c>
      <c r="C233" s="1" t="n">
        <v>45708</v>
      </c>
      <c r="D233" t="inlineStr">
        <is>
          <t>UPPSALA LÄN</t>
        </is>
      </c>
      <c r="E233" t="inlineStr">
        <is>
          <t>UPPSALA</t>
        </is>
      </c>
      <c r="G233" t="n">
        <v>3.1</v>
      </c>
      <c r="H233" t="n">
        <v>0</v>
      </c>
      <c r="I233" t="n">
        <v>0</v>
      </c>
      <c r="J233" t="n">
        <v>0</v>
      </c>
      <c r="K233" t="n">
        <v>0</v>
      </c>
      <c r="L233" t="n">
        <v>0</v>
      </c>
      <c r="M233" t="n">
        <v>0</v>
      </c>
      <c r="N233" t="n">
        <v>0</v>
      </c>
      <c r="O233" t="n">
        <v>0</v>
      </c>
      <c r="P233" t="n">
        <v>0</v>
      </c>
      <c r="Q233" t="n">
        <v>0</v>
      </c>
      <c r="R233" s="2" t="inlineStr"/>
    </row>
    <row r="234" ht="15" customHeight="1">
      <c r="A234" t="inlineStr">
        <is>
          <t>A 42111-2019</t>
        </is>
      </c>
      <c r="B234" s="1" t="n">
        <v>43703</v>
      </c>
      <c r="C234" s="1" t="n">
        <v>45708</v>
      </c>
      <c r="D234" t="inlineStr">
        <is>
          <t>UPPSALA LÄN</t>
        </is>
      </c>
      <c r="E234" t="inlineStr">
        <is>
          <t>UPPSALA</t>
        </is>
      </c>
      <c r="G234" t="n">
        <v>2.7</v>
      </c>
      <c r="H234" t="n">
        <v>0</v>
      </c>
      <c r="I234" t="n">
        <v>0</v>
      </c>
      <c r="J234" t="n">
        <v>0</v>
      </c>
      <c r="K234" t="n">
        <v>0</v>
      </c>
      <c r="L234" t="n">
        <v>0</v>
      </c>
      <c r="M234" t="n">
        <v>0</v>
      </c>
      <c r="N234" t="n">
        <v>0</v>
      </c>
      <c r="O234" t="n">
        <v>0</v>
      </c>
      <c r="P234" t="n">
        <v>0</v>
      </c>
      <c r="Q234" t="n">
        <v>0</v>
      </c>
      <c r="R234" s="2" t="inlineStr"/>
    </row>
    <row r="235" ht="15" customHeight="1">
      <c r="A235" t="inlineStr">
        <is>
          <t>A 42986-2019</t>
        </is>
      </c>
      <c r="B235" s="1" t="n">
        <v>43705</v>
      </c>
      <c r="C235" s="1" t="n">
        <v>45708</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43222-2019</t>
        </is>
      </c>
      <c r="B236" s="1" t="n">
        <v>43706</v>
      </c>
      <c r="C236" s="1" t="n">
        <v>45708</v>
      </c>
      <c r="D236" t="inlineStr">
        <is>
          <t>UPPSALA LÄN</t>
        </is>
      </c>
      <c r="E236" t="inlineStr">
        <is>
          <t>UPPSALA</t>
        </is>
      </c>
      <c r="F236" t="inlineStr">
        <is>
          <t>Bergvik skog öst AB</t>
        </is>
      </c>
      <c r="G236" t="n">
        <v>3.6</v>
      </c>
      <c r="H236" t="n">
        <v>0</v>
      </c>
      <c r="I236" t="n">
        <v>0</v>
      </c>
      <c r="J236" t="n">
        <v>0</v>
      </c>
      <c r="K236" t="n">
        <v>0</v>
      </c>
      <c r="L236" t="n">
        <v>0</v>
      </c>
      <c r="M236" t="n">
        <v>0</v>
      </c>
      <c r="N236" t="n">
        <v>0</v>
      </c>
      <c r="O236" t="n">
        <v>0</v>
      </c>
      <c r="P236" t="n">
        <v>0</v>
      </c>
      <c r="Q236" t="n">
        <v>0</v>
      </c>
      <c r="R236" s="2" t="inlineStr"/>
    </row>
    <row r="237" ht="15" customHeight="1">
      <c r="A237" t="inlineStr">
        <is>
          <t>A 43410-2019</t>
        </is>
      </c>
      <c r="B237" s="1" t="n">
        <v>43706</v>
      </c>
      <c r="C237" s="1" t="n">
        <v>45708</v>
      </c>
      <c r="D237" t="inlineStr">
        <is>
          <t>UPPSALA LÄN</t>
        </is>
      </c>
      <c r="E237" t="inlineStr">
        <is>
          <t>UPPSALA</t>
        </is>
      </c>
      <c r="F237" t="inlineStr">
        <is>
          <t>Övriga statliga verk och myndigheter</t>
        </is>
      </c>
      <c r="G237" t="n">
        <v>8.6</v>
      </c>
      <c r="H237" t="n">
        <v>0</v>
      </c>
      <c r="I237" t="n">
        <v>0</v>
      </c>
      <c r="J237" t="n">
        <v>0</v>
      </c>
      <c r="K237" t="n">
        <v>0</v>
      </c>
      <c r="L237" t="n">
        <v>0</v>
      </c>
      <c r="M237" t="n">
        <v>0</v>
      </c>
      <c r="N237" t="n">
        <v>0</v>
      </c>
      <c r="O237" t="n">
        <v>0</v>
      </c>
      <c r="P237" t="n">
        <v>0</v>
      </c>
      <c r="Q237" t="n">
        <v>0</v>
      </c>
      <c r="R237" s="2" t="inlineStr"/>
    </row>
    <row r="238" ht="15" customHeight="1">
      <c r="A238" t="inlineStr">
        <is>
          <t>A 43715-2019</t>
        </is>
      </c>
      <c r="B238" s="1" t="n">
        <v>43706</v>
      </c>
      <c r="C238" s="1" t="n">
        <v>45708</v>
      </c>
      <c r="D238" t="inlineStr">
        <is>
          <t>UPPSALA LÄN</t>
        </is>
      </c>
      <c r="E238" t="inlineStr">
        <is>
          <t>UPPSALA</t>
        </is>
      </c>
      <c r="F238" t="inlineStr">
        <is>
          <t>Övriga statliga verk och myndigheter</t>
        </is>
      </c>
      <c r="G238" t="n">
        <v>0.8</v>
      </c>
      <c r="H238" t="n">
        <v>0</v>
      </c>
      <c r="I238" t="n">
        <v>0</v>
      </c>
      <c r="J238" t="n">
        <v>0</v>
      </c>
      <c r="K238" t="n">
        <v>0</v>
      </c>
      <c r="L238" t="n">
        <v>0</v>
      </c>
      <c r="M238" t="n">
        <v>0</v>
      </c>
      <c r="N238" t="n">
        <v>0</v>
      </c>
      <c r="O238" t="n">
        <v>0</v>
      </c>
      <c r="P238" t="n">
        <v>0</v>
      </c>
      <c r="Q238" t="n">
        <v>0</v>
      </c>
      <c r="R238" s="2" t="inlineStr"/>
    </row>
    <row r="239" ht="15" customHeight="1">
      <c r="A239" t="inlineStr">
        <is>
          <t>A 43224-2019</t>
        </is>
      </c>
      <c r="B239" s="1" t="n">
        <v>43706</v>
      </c>
      <c r="C239" s="1" t="n">
        <v>45708</v>
      </c>
      <c r="D239" t="inlineStr">
        <is>
          <t>UPPSALA LÄN</t>
        </is>
      </c>
      <c r="E239" t="inlineStr">
        <is>
          <t>UPPSALA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43435-2019</t>
        </is>
      </c>
      <c r="B240" s="1" t="n">
        <v>43706</v>
      </c>
      <c r="C240" s="1" t="n">
        <v>45708</v>
      </c>
      <c r="D240" t="inlineStr">
        <is>
          <t>UPPSALA LÄN</t>
        </is>
      </c>
      <c r="E240" t="inlineStr">
        <is>
          <t>UPPSALA</t>
        </is>
      </c>
      <c r="G240" t="n">
        <v>5.4</v>
      </c>
      <c r="H240" t="n">
        <v>0</v>
      </c>
      <c r="I240" t="n">
        <v>0</v>
      </c>
      <c r="J240" t="n">
        <v>0</v>
      </c>
      <c r="K240" t="n">
        <v>0</v>
      </c>
      <c r="L240" t="n">
        <v>0</v>
      </c>
      <c r="M240" t="n">
        <v>0</v>
      </c>
      <c r="N240" t="n">
        <v>0</v>
      </c>
      <c r="O240" t="n">
        <v>0</v>
      </c>
      <c r="P240" t="n">
        <v>0</v>
      </c>
      <c r="Q240" t="n">
        <v>0</v>
      </c>
      <c r="R240" s="2" t="inlineStr"/>
    </row>
    <row r="241" ht="15" customHeight="1">
      <c r="A241" t="inlineStr">
        <is>
          <t>A 43722-2019</t>
        </is>
      </c>
      <c r="B241" s="1" t="n">
        <v>43706</v>
      </c>
      <c r="C241" s="1" t="n">
        <v>45708</v>
      </c>
      <c r="D241" t="inlineStr">
        <is>
          <t>UPPSALA LÄN</t>
        </is>
      </c>
      <c r="E241" t="inlineStr">
        <is>
          <t>UPPSALA</t>
        </is>
      </c>
      <c r="F241" t="inlineStr">
        <is>
          <t>Övriga statliga verk och myndigheter</t>
        </is>
      </c>
      <c r="G241" t="n">
        <v>0.6</v>
      </c>
      <c r="H241" t="n">
        <v>0</v>
      </c>
      <c r="I241" t="n">
        <v>0</v>
      </c>
      <c r="J241" t="n">
        <v>0</v>
      </c>
      <c r="K241" t="n">
        <v>0</v>
      </c>
      <c r="L241" t="n">
        <v>0</v>
      </c>
      <c r="M241" t="n">
        <v>0</v>
      </c>
      <c r="N241" t="n">
        <v>0</v>
      </c>
      <c r="O241" t="n">
        <v>0</v>
      </c>
      <c r="P241" t="n">
        <v>0</v>
      </c>
      <c r="Q241" t="n">
        <v>0</v>
      </c>
      <c r="R241" s="2" t="inlineStr"/>
    </row>
    <row r="242" ht="15" customHeight="1">
      <c r="A242" t="inlineStr">
        <is>
          <t>A 43704-2019</t>
        </is>
      </c>
      <c r="B242" s="1" t="n">
        <v>43707</v>
      </c>
      <c r="C242" s="1" t="n">
        <v>45708</v>
      </c>
      <c r="D242" t="inlineStr">
        <is>
          <t>UPPSALA LÄN</t>
        </is>
      </c>
      <c r="E242" t="inlineStr">
        <is>
          <t>UPPSALA</t>
        </is>
      </c>
      <c r="F242" t="inlineStr">
        <is>
          <t>Bergvik skog öst AB</t>
        </is>
      </c>
      <c r="G242" t="n">
        <v>2.7</v>
      </c>
      <c r="H242" t="n">
        <v>0</v>
      </c>
      <c r="I242" t="n">
        <v>0</v>
      </c>
      <c r="J242" t="n">
        <v>0</v>
      </c>
      <c r="K242" t="n">
        <v>0</v>
      </c>
      <c r="L242" t="n">
        <v>0</v>
      </c>
      <c r="M242" t="n">
        <v>0</v>
      </c>
      <c r="N242" t="n">
        <v>0</v>
      </c>
      <c r="O242" t="n">
        <v>0</v>
      </c>
      <c r="P242" t="n">
        <v>0</v>
      </c>
      <c r="Q242" t="n">
        <v>0</v>
      </c>
      <c r="R242" s="2" t="inlineStr"/>
    </row>
    <row r="243" ht="15" customHeight="1">
      <c r="A243" t="inlineStr">
        <is>
          <t>A 43725-2019</t>
        </is>
      </c>
      <c r="B243" s="1" t="n">
        <v>43707</v>
      </c>
      <c r="C243" s="1" t="n">
        <v>45708</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44109-2019</t>
        </is>
      </c>
      <c r="B244" s="1" t="n">
        <v>43707</v>
      </c>
      <c r="C244" s="1" t="n">
        <v>45708</v>
      </c>
      <c r="D244" t="inlineStr">
        <is>
          <t>UPPSALA LÄN</t>
        </is>
      </c>
      <c r="E244" t="inlineStr">
        <is>
          <t>UPPSALA</t>
        </is>
      </c>
      <c r="F244" t="inlineStr">
        <is>
          <t>Allmännings- och besparingsskogar</t>
        </is>
      </c>
      <c r="G244" t="n">
        <v>81.3</v>
      </c>
      <c r="H244" t="n">
        <v>0</v>
      </c>
      <c r="I244" t="n">
        <v>0</v>
      </c>
      <c r="J244" t="n">
        <v>0</v>
      </c>
      <c r="K244" t="n">
        <v>0</v>
      </c>
      <c r="L244" t="n">
        <v>0</v>
      </c>
      <c r="M244" t="n">
        <v>0</v>
      </c>
      <c r="N244" t="n">
        <v>0</v>
      </c>
      <c r="O244" t="n">
        <v>0</v>
      </c>
      <c r="P244" t="n">
        <v>0</v>
      </c>
      <c r="Q244" t="n">
        <v>0</v>
      </c>
      <c r="R244" s="2" t="inlineStr"/>
    </row>
    <row r="245" ht="15" customHeight="1">
      <c r="A245" t="inlineStr">
        <is>
          <t>A 43713-2019</t>
        </is>
      </c>
      <c r="B245" s="1" t="n">
        <v>43707</v>
      </c>
      <c r="C245" s="1" t="n">
        <v>45708</v>
      </c>
      <c r="D245" t="inlineStr">
        <is>
          <t>UPPSALA LÄN</t>
        </is>
      </c>
      <c r="E245" t="inlineStr">
        <is>
          <t>UPPSALA</t>
        </is>
      </c>
      <c r="F245" t="inlineStr">
        <is>
          <t>Bergvik skog öst AB</t>
        </is>
      </c>
      <c r="G245" t="n">
        <v>7.9</v>
      </c>
      <c r="H245" t="n">
        <v>0</v>
      </c>
      <c r="I245" t="n">
        <v>0</v>
      </c>
      <c r="J245" t="n">
        <v>0</v>
      </c>
      <c r="K245" t="n">
        <v>0</v>
      </c>
      <c r="L245" t="n">
        <v>0</v>
      </c>
      <c r="M245" t="n">
        <v>0</v>
      </c>
      <c r="N245" t="n">
        <v>0</v>
      </c>
      <c r="O245" t="n">
        <v>0</v>
      </c>
      <c r="P245" t="n">
        <v>0</v>
      </c>
      <c r="Q245" t="n">
        <v>0</v>
      </c>
      <c r="R245" s="2" t="inlineStr"/>
    </row>
    <row r="246" ht="15" customHeight="1">
      <c r="A246" t="inlineStr">
        <is>
          <t>A 43853-2019</t>
        </is>
      </c>
      <c r="B246" s="1" t="n">
        <v>43707</v>
      </c>
      <c r="C246" s="1" t="n">
        <v>45708</v>
      </c>
      <c r="D246" t="inlineStr">
        <is>
          <t>UPPSALA LÄN</t>
        </is>
      </c>
      <c r="E246" t="inlineStr">
        <is>
          <t>UPPSALA</t>
        </is>
      </c>
      <c r="F246" t="inlineStr">
        <is>
          <t>Övriga statliga verk och myndigheter</t>
        </is>
      </c>
      <c r="G246" t="n">
        <v>1.8</v>
      </c>
      <c r="H246" t="n">
        <v>0</v>
      </c>
      <c r="I246" t="n">
        <v>0</v>
      </c>
      <c r="J246" t="n">
        <v>0</v>
      </c>
      <c r="K246" t="n">
        <v>0</v>
      </c>
      <c r="L246" t="n">
        <v>0</v>
      </c>
      <c r="M246" t="n">
        <v>0</v>
      </c>
      <c r="N246" t="n">
        <v>0</v>
      </c>
      <c r="O246" t="n">
        <v>0</v>
      </c>
      <c r="P246" t="n">
        <v>0</v>
      </c>
      <c r="Q246" t="n">
        <v>0</v>
      </c>
      <c r="R246" s="2" t="inlineStr"/>
    </row>
    <row r="247" ht="15" customHeight="1">
      <c r="A247" t="inlineStr">
        <is>
          <t>A 44141-2019</t>
        </is>
      </c>
      <c r="B247" s="1" t="n">
        <v>43710</v>
      </c>
      <c r="C247" s="1" t="n">
        <v>45708</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44701-2019</t>
        </is>
      </c>
      <c r="B248" s="1" t="n">
        <v>43712</v>
      </c>
      <c r="C248" s="1" t="n">
        <v>45708</v>
      </c>
      <c r="D248" t="inlineStr">
        <is>
          <t>UPPSALA LÄN</t>
        </is>
      </c>
      <c r="E248" t="inlineStr">
        <is>
          <t>UPPSALA</t>
        </is>
      </c>
      <c r="G248" t="n">
        <v>3.4</v>
      </c>
      <c r="H248" t="n">
        <v>0</v>
      </c>
      <c r="I248" t="n">
        <v>0</v>
      </c>
      <c r="J248" t="n">
        <v>0</v>
      </c>
      <c r="K248" t="n">
        <v>0</v>
      </c>
      <c r="L248" t="n">
        <v>0</v>
      </c>
      <c r="M248" t="n">
        <v>0</v>
      </c>
      <c r="N248" t="n">
        <v>0</v>
      </c>
      <c r="O248" t="n">
        <v>0</v>
      </c>
      <c r="P248" t="n">
        <v>0</v>
      </c>
      <c r="Q248" t="n">
        <v>0</v>
      </c>
      <c r="R248" s="2" t="inlineStr"/>
    </row>
    <row r="249" ht="15" customHeight="1">
      <c r="A249" t="inlineStr">
        <is>
          <t>A 44687-2019</t>
        </is>
      </c>
      <c r="B249" s="1" t="n">
        <v>43712</v>
      </c>
      <c r="C249" s="1" t="n">
        <v>45708</v>
      </c>
      <c r="D249" t="inlineStr">
        <is>
          <t>UPPSALA LÄN</t>
        </is>
      </c>
      <c r="E249" t="inlineStr">
        <is>
          <t>UPPSALA</t>
        </is>
      </c>
      <c r="G249" t="n">
        <v>3.3</v>
      </c>
      <c r="H249" t="n">
        <v>0</v>
      </c>
      <c r="I249" t="n">
        <v>0</v>
      </c>
      <c r="J249" t="n">
        <v>0</v>
      </c>
      <c r="K249" t="n">
        <v>0</v>
      </c>
      <c r="L249" t="n">
        <v>0</v>
      </c>
      <c r="M249" t="n">
        <v>0</v>
      </c>
      <c r="N249" t="n">
        <v>0</v>
      </c>
      <c r="O249" t="n">
        <v>0</v>
      </c>
      <c r="P249" t="n">
        <v>0</v>
      </c>
      <c r="Q249" t="n">
        <v>0</v>
      </c>
      <c r="R249" s="2" t="inlineStr"/>
    </row>
    <row r="250" ht="15" customHeight="1">
      <c r="A250" t="inlineStr">
        <is>
          <t>A 45010-2019</t>
        </is>
      </c>
      <c r="B250" s="1" t="n">
        <v>43713</v>
      </c>
      <c r="C250" s="1" t="n">
        <v>45708</v>
      </c>
      <c r="D250" t="inlineStr">
        <is>
          <t>UPPSALA LÄN</t>
        </is>
      </c>
      <c r="E250" t="inlineStr">
        <is>
          <t>UPPSALA</t>
        </is>
      </c>
      <c r="G250" t="n">
        <v>1</v>
      </c>
      <c r="H250" t="n">
        <v>0</v>
      </c>
      <c r="I250" t="n">
        <v>0</v>
      </c>
      <c r="J250" t="n">
        <v>0</v>
      </c>
      <c r="K250" t="n">
        <v>0</v>
      </c>
      <c r="L250" t="n">
        <v>0</v>
      </c>
      <c r="M250" t="n">
        <v>0</v>
      </c>
      <c r="N250" t="n">
        <v>0</v>
      </c>
      <c r="O250" t="n">
        <v>0</v>
      </c>
      <c r="P250" t="n">
        <v>0</v>
      </c>
      <c r="Q250" t="n">
        <v>0</v>
      </c>
      <c r="R250" s="2" t="inlineStr"/>
    </row>
    <row r="251" ht="15" customHeight="1">
      <c r="A251" t="inlineStr">
        <is>
          <t>A 45574-2019</t>
        </is>
      </c>
      <c r="B251" s="1" t="n">
        <v>43716</v>
      </c>
      <c r="C251" s="1" t="n">
        <v>45708</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46311-2019</t>
        </is>
      </c>
      <c r="B252" s="1" t="n">
        <v>43718</v>
      </c>
      <c r="C252" s="1" t="n">
        <v>45708</v>
      </c>
      <c r="D252" t="inlineStr">
        <is>
          <t>UPPSALA LÄN</t>
        </is>
      </c>
      <c r="E252" t="inlineStr">
        <is>
          <t>UPPSALA</t>
        </is>
      </c>
      <c r="G252" t="n">
        <v>1.1</v>
      </c>
      <c r="H252" t="n">
        <v>0</v>
      </c>
      <c r="I252" t="n">
        <v>0</v>
      </c>
      <c r="J252" t="n">
        <v>0</v>
      </c>
      <c r="K252" t="n">
        <v>0</v>
      </c>
      <c r="L252" t="n">
        <v>0</v>
      </c>
      <c r="M252" t="n">
        <v>0</v>
      </c>
      <c r="N252" t="n">
        <v>0</v>
      </c>
      <c r="O252" t="n">
        <v>0</v>
      </c>
      <c r="P252" t="n">
        <v>0</v>
      </c>
      <c r="Q252" t="n">
        <v>0</v>
      </c>
      <c r="R252" s="2" t="inlineStr"/>
    </row>
    <row r="253" ht="15" customHeight="1">
      <c r="A253" t="inlineStr">
        <is>
          <t>A 46307-2019</t>
        </is>
      </c>
      <c r="B253" s="1" t="n">
        <v>43718</v>
      </c>
      <c r="C253" s="1" t="n">
        <v>45708</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46151-2019</t>
        </is>
      </c>
      <c r="B254" s="1" t="n">
        <v>43718</v>
      </c>
      <c r="C254" s="1" t="n">
        <v>45708</v>
      </c>
      <c r="D254" t="inlineStr">
        <is>
          <t>UPPSALA LÄN</t>
        </is>
      </c>
      <c r="E254" t="inlineStr">
        <is>
          <t>UPPSALA</t>
        </is>
      </c>
      <c r="F254" t="inlineStr">
        <is>
          <t>Övriga Aktiebolag</t>
        </is>
      </c>
      <c r="G254" t="n">
        <v>0.5</v>
      </c>
      <c r="H254" t="n">
        <v>0</v>
      </c>
      <c r="I254" t="n">
        <v>0</v>
      </c>
      <c r="J254" t="n">
        <v>0</v>
      </c>
      <c r="K254" t="n">
        <v>0</v>
      </c>
      <c r="L254" t="n">
        <v>0</v>
      </c>
      <c r="M254" t="n">
        <v>0</v>
      </c>
      <c r="N254" t="n">
        <v>0</v>
      </c>
      <c r="O254" t="n">
        <v>0</v>
      </c>
      <c r="P254" t="n">
        <v>0</v>
      </c>
      <c r="Q254" t="n">
        <v>0</v>
      </c>
      <c r="R254" s="2" t="inlineStr"/>
    </row>
    <row r="255" ht="15" customHeight="1">
      <c r="A255" t="inlineStr">
        <is>
          <t>A 46157-2019</t>
        </is>
      </c>
      <c r="B255" s="1" t="n">
        <v>43718</v>
      </c>
      <c r="C255" s="1" t="n">
        <v>45708</v>
      </c>
      <c r="D255" t="inlineStr">
        <is>
          <t>UPPSALA LÄN</t>
        </is>
      </c>
      <c r="E255" t="inlineStr">
        <is>
          <t>UPPSALA</t>
        </is>
      </c>
      <c r="F255" t="inlineStr">
        <is>
          <t>Övriga Aktiebolag</t>
        </is>
      </c>
      <c r="G255" t="n">
        <v>4.5</v>
      </c>
      <c r="H255" t="n">
        <v>0</v>
      </c>
      <c r="I255" t="n">
        <v>0</v>
      </c>
      <c r="J255" t="n">
        <v>0</v>
      </c>
      <c r="K255" t="n">
        <v>0</v>
      </c>
      <c r="L255" t="n">
        <v>0</v>
      </c>
      <c r="M255" t="n">
        <v>0</v>
      </c>
      <c r="N255" t="n">
        <v>0</v>
      </c>
      <c r="O255" t="n">
        <v>0</v>
      </c>
      <c r="P255" t="n">
        <v>0</v>
      </c>
      <c r="Q255" t="n">
        <v>0</v>
      </c>
      <c r="R255" s="2" t="inlineStr"/>
    </row>
    <row r="256" ht="15" customHeight="1">
      <c r="A256" t="inlineStr">
        <is>
          <t>A 46310-2019</t>
        </is>
      </c>
      <c r="B256" s="1" t="n">
        <v>43718</v>
      </c>
      <c r="C256" s="1" t="n">
        <v>45708</v>
      </c>
      <c r="D256" t="inlineStr">
        <is>
          <t>UPPSALA LÄN</t>
        </is>
      </c>
      <c r="E256" t="inlineStr">
        <is>
          <t>UPPSALA</t>
        </is>
      </c>
      <c r="G256" t="n">
        <v>7</v>
      </c>
      <c r="H256" t="n">
        <v>0</v>
      </c>
      <c r="I256" t="n">
        <v>0</v>
      </c>
      <c r="J256" t="n">
        <v>0</v>
      </c>
      <c r="K256" t="n">
        <v>0</v>
      </c>
      <c r="L256" t="n">
        <v>0</v>
      </c>
      <c r="M256" t="n">
        <v>0</v>
      </c>
      <c r="N256" t="n">
        <v>0</v>
      </c>
      <c r="O256" t="n">
        <v>0</v>
      </c>
      <c r="P256" t="n">
        <v>0</v>
      </c>
      <c r="Q256" t="n">
        <v>0</v>
      </c>
      <c r="R256" s="2" t="inlineStr"/>
    </row>
    <row r="257" ht="15" customHeight="1">
      <c r="A257" t="inlineStr">
        <is>
          <t>A 46147-2019</t>
        </is>
      </c>
      <c r="B257" s="1" t="n">
        <v>43718</v>
      </c>
      <c r="C257" s="1" t="n">
        <v>45708</v>
      </c>
      <c r="D257" t="inlineStr">
        <is>
          <t>UPPSALA LÄN</t>
        </is>
      </c>
      <c r="E257" t="inlineStr">
        <is>
          <t>UPPSALA</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46877-2019</t>
        </is>
      </c>
      <c r="B258" s="1" t="n">
        <v>43720</v>
      </c>
      <c r="C258" s="1" t="n">
        <v>45708</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46896-2019</t>
        </is>
      </c>
      <c r="B259" s="1" t="n">
        <v>43720</v>
      </c>
      <c r="C259" s="1" t="n">
        <v>45708</v>
      </c>
      <c r="D259" t="inlineStr">
        <is>
          <t>UPPSALA LÄN</t>
        </is>
      </c>
      <c r="E259" t="inlineStr">
        <is>
          <t>UPPSALA</t>
        </is>
      </c>
      <c r="G259" t="n">
        <v>0.8</v>
      </c>
      <c r="H259" t="n">
        <v>0</v>
      </c>
      <c r="I259" t="n">
        <v>0</v>
      </c>
      <c r="J259" t="n">
        <v>0</v>
      </c>
      <c r="K259" t="n">
        <v>0</v>
      </c>
      <c r="L259" t="n">
        <v>0</v>
      </c>
      <c r="M259" t="n">
        <v>0</v>
      </c>
      <c r="N259" t="n">
        <v>0</v>
      </c>
      <c r="O259" t="n">
        <v>0</v>
      </c>
      <c r="P259" t="n">
        <v>0</v>
      </c>
      <c r="Q259" t="n">
        <v>0</v>
      </c>
      <c r="R259" s="2" t="inlineStr"/>
    </row>
    <row r="260" ht="15" customHeight="1">
      <c r="A260" t="inlineStr">
        <is>
          <t>A 48485-2019</t>
        </is>
      </c>
      <c r="B260" s="1" t="n">
        <v>43727</v>
      </c>
      <c r="C260" s="1" t="n">
        <v>45708</v>
      </c>
      <c r="D260" t="inlineStr">
        <is>
          <t>UPPSALA LÄN</t>
        </is>
      </c>
      <c r="E260" t="inlineStr">
        <is>
          <t>UPPSALA</t>
        </is>
      </c>
      <c r="G260" t="n">
        <v>3</v>
      </c>
      <c r="H260" t="n">
        <v>0</v>
      </c>
      <c r="I260" t="n">
        <v>0</v>
      </c>
      <c r="J260" t="n">
        <v>0</v>
      </c>
      <c r="K260" t="n">
        <v>0</v>
      </c>
      <c r="L260" t="n">
        <v>0</v>
      </c>
      <c r="M260" t="n">
        <v>0</v>
      </c>
      <c r="N260" t="n">
        <v>0</v>
      </c>
      <c r="O260" t="n">
        <v>0</v>
      </c>
      <c r="P260" t="n">
        <v>0</v>
      </c>
      <c r="Q260" t="n">
        <v>0</v>
      </c>
      <c r="R260" s="2" t="inlineStr"/>
    </row>
    <row r="261" ht="15" customHeight="1">
      <c r="A261" t="inlineStr">
        <is>
          <t>A 49567-2019</t>
        </is>
      </c>
      <c r="B261" s="1" t="n">
        <v>43730</v>
      </c>
      <c r="C261" s="1" t="n">
        <v>45708</v>
      </c>
      <c r="D261" t="inlineStr">
        <is>
          <t>UPPSALA LÄN</t>
        </is>
      </c>
      <c r="E261" t="inlineStr">
        <is>
          <t>UPPSALA</t>
        </is>
      </c>
      <c r="G261" t="n">
        <v>6</v>
      </c>
      <c r="H261" t="n">
        <v>0</v>
      </c>
      <c r="I261" t="n">
        <v>0</v>
      </c>
      <c r="J261" t="n">
        <v>0</v>
      </c>
      <c r="K261" t="n">
        <v>0</v>
      </c>
      <c r="L261" t="n">
        <v>0</v>
      </c>
      <c r="M261" t="n">
        <v>0</v>
      </c>
      <c r="N261" t="n">
        <v>0</v>
      </c>
      <c r="O261" t="n">
        <v>0</v>
      </c>
      <c r="P261" t="n">
        <v>0</v>
      </c>
      <c r="Q261" t="n">
        <v>0</v>
      </c>
      <c r="R261" s="2" t="inlineStr"/>
    </row>
    <row r="262" ht="15" customHeight="1">
      <c r="A262" t="inlineStr">
        <is>
          <t>A 50180-2019</t>
        </is>
      </c>
      <c r="B262" s="1" t="n">
        <v>43733</v>
      </c>
      <c r="C262" s="1" t="n">
        <v>45708</v>
      </c>
      <c r="D262" t="inlineStr">
        <is>
          <t>UPPSALA LÄN</t>
        </is>
      </c>
      <c r="E262" t="inlineStr">
        <is>
          <t>UPPSALA</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50387-2019</t>
        </is>
      </c>
      <c r="B263" s="1" t="n">
        <v>43735</v>
      </c>
      <c r="C263" s="1" t="n">
        <v>45708</v>
      </c>
      <c r="D263" t="inlineStr">
        <is>
          <t>UPPSALA LÄN</t>
        </is>
      </c>
      <c r="E263" t="inlineStr">
        <is>
          <t>UPPSALA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50415-2019</t>
        </is>
      </c>
      <c r="B264" s="1" t="n">
        <v>43735</v>
      </c>
      <c r="C264" s="1" t="n">
        <v>45708</v>
      </c>
      <c r="D264" t="inlineStr">
        <is>
          <t>UPPSALA LÄN</t>
        </is>
      </c>
      <c r="E264" t="inlineStr">
        <is>
          <t>UPPSALA</t>
        </is>
      </c>
      <c r="F264" t="inlineStr">
        <is>
          <t>Kyrkan</t>
        </is>
      </c>
      <c r="G264" t="n">
        <v>13.6</v>
      </c>
      <c r="H264" t="n">
        <v>0</v>
      </c>
      <c r="I264" t="n">
        <v>0</v>
      </c>
      <c r="J264" t="n">
        <v>0</v>
      </c>
      <c r="K264" t="n">
        <v>0</v>
      </c>
      <c r="L264" t="n">
        <v>0</v>
      </c>
      <c r="M264" t="n">
        <v>0</v>
      </c>
      <c r="N264" t="n">
        <v>0</v>
      </c>
      <c r="O264" t="n">
        <v>0</v>
      </c>
      <c r="P264" t="n">
        <v>0</v>
      </c>
      <c r="Q264" t="n">
        <v>0</v>
      </c>
      <c r="R264" s="2" t="inlineStr"/>
    </row>
    <row r="265" ht="15" customHeight="1">
      <c r="A265" t="inlineStr">
        <is>
          <t>A 50616-2019</t>
        </is>
      </c>
      <c r="B265" s="1" t="n">
        <v>43736</v>
      </c>
      <c r="C265" s="1" t="n">
        <v>45708</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52386-2019</t>
        </is>
      </c>
      <c r="B266" s="1" t="n">
        <v>43745</v>
      </c>
      <c r="C266" s="1" t="n">
        <v>45708</v>
      </c>
      <c r="D266" t="inlineStr">
        <is>
          <t>UPPSALA LÄN</t>
        </is>
      </c>
      <c r="E266" t="inlineStr">
        <is>
          <t>UPPSALA</t>
        </is>
      </c>
      <c r="G266" t="n">
        <v>15.7</v>
      </c>
      <c r="H266" t="n">
        <v>0</v>
      </c>
      <c r="I266" t="n">
        <v>0</v>
      </c>
      <c r="J266" t="n">
        <v>0</v>
      </c>
      <c r="K266" t="n">
        <v>0</v>
      </c>
      <c r="L266" t="n">
        <v>0</v>
      </c>
      <c r="M266" t="n">
        <v>0</v>
      </c>
      <c r="N266" t="n">
        <v>0</v>
      </c>
      <c r="O266" t="n">
        <v>0</v>
      </c>
      <c r="P266" t="n">
        <v>0</v>
      </c>
      <c r="Q266" t="n">
        <v>0</v>
      </c>
      <c r="R266" s="2" t="inlineStr"/>
    </row>
    <row r="267" ht="15" customHeight="1">
      <c r="A267" t="inlineStr">
        <is>
          <t>A 52419-2019</t>
        </is>
      </c>
      <c r="B267" s="1" t="n">
        <v>43745</v>
      </c>
      <c r="C267" s="1" t="n">
        <v>45708</v>
      </c>
      <c r="D267" t="inlineStr">
        <is>
          <t>UPPSALA LÄN</t>
        </is>
      </c>
      <c r="E267" t="inlineStr">
        <is>
          <t>UPPSALA</t>
        </is>
      </c>
      <c r="F267" t="inlineStr">
        <is>
          <t>Allmännings- och besparingsskogar</t>
        </is>
      </c>
      <c r="G267" t="n">
        <v>5.3</v>
      </c>
      <c r="H267" t="n">
        <v>0</v>
      </c>
      <c r="I267" t="n">
        <v>0</v>
      </c>
      <c r="J267" t="n">
        <v>0</v>
      </c>
      <c r="K267" t="n">
        <v>0</v>
      </c>
      <c r="L267" t="n">
        <v>0</v>
      </c>
      <c r="M267" t="n">
        <v>0</v>
      </c>
      <c r="N267" t="n">
        <v>0</v>
      </c>
      <c r="O267" t="n">
        <v>0</v>
      </c>
      <c r="P267" t="n">
        <v>0</v>
      </c>
      <c r="Q267" t="n">
        <v>0</v>
      </c>
      <c r="R267" s="2" t="inlineStr"/>
    </row>
    <row r="268" ht="15" customHeight="1">
      <c r="A268" t="inlineStr">
        <is>
          <t>A 52950-2019</t>
        </is>
      </c>
      <c r="B268" s="1" t="n">
        <v>43747</v>
      </c>
      <c r="C268" s="1" t="n">
        <v>45708</v>
      </c>
      <c r="D268" t="inlineStr">
        <is>
          <t>UPPSALA LÄN</t>
        </is>
      </c>
      <c r="E268" t="inlineStr">
        <is>
          <t>UPPSALA</t>
        </is>
      </c>
      <c r="G268" t="n">
        <v>0.2</v>
      </c>
      <c r="H268" t="n">
        <v>0</v>
      </c>
      <c r="I268" t="n">
        <v>0</v>
      </c>
      <c r="J268" t="n">
        <v>0</v>
      </c>
      <c r="K268" t="n">
        <v>0</v>
      </c>
      <c r="L268" t="n">
        <v>0</v>
      </c>
      <c r="M268" t="n">
        <v>0</v>
      </c>
      <c r="N268" t="n">
        <v>0</v>
      </c>
      <c r="O268" t="n">
        <v>0</v>
      </c>
      <c r="P268" t="n">
        <v>0</v>
      </c>
      <c r="Q268" t="n">
        <v>0</v>
      </c>
      <c r="R268" s="2" t="inlineStr"/>
    </row>
    <row r="269" ht="15" customHeight="1">
      <c r="A269" t="inlineStr">
        <is>
          <t>A 53303-2019</t>
        </is>
      </c>
      <c r="B269" s="1" t="n">
        <v>43747</v>
      </c>
      <c r="C269" s="1" t="n">
        <v>45708</v>
      </c>
      <c r="D269" t="inlineStr">
        <is>
          <t>UPPSALA LÄN</t>
        </is>
      </c>
      <c r="E269" t="inlineStr">
        <is>
          <t>UPPSALA</t>
        </is>
      </c>
      <c r="F269" t="inlineStr">
        <is>
          <t>Allmännings- och besparingsskogar</t>
        </is>
      </c>
      <c r="G269" t="n">
        <v>17.5</v>
      </c>
      <c r="H269" t="n">
        <v>0</v>
      </c>
      <c r="I269" t="n">
        <v>0</v>
      </c>
      <c r="J269" t="n">
        <v>0</v>
      </c>
      <c r="K269" t="n">
        <v>0</v>
      </c>
      <c r="L269" t="n">
        <v>0</v>
      </c>
      <c r="M269" t="n">
        <v>0</v>
      </c>
      <c r="N269" t="n">
        <v>0</v>
      </c>
      <c r="O269" t="n">
        <v>0</v>
      </c>
      <c r="P269" t="n">
        <v>0</v>
      </c>
      <c r="Q269" t="n">
        <v>0</v>
      </c>
      <c r="R269" s="2" t="inlineStr"/>
    </row>
    <row r="270" ht="15" customHeight="1">
      <c r="A270" t="inlineStr">
        <is>
          <t>A 53316-2019</t>
        </is>
      </c>
      <c r="B270" s="1" t="n">
        <v>43748</v>
      </c>
      <c r="C270" s="1" t="n">
        <v>45708</v>
      </c>
      <c r="D270" t="inlineStr">
        <is>
          <t>UPPSALA LÄN</t>
        </is>
      </c>
      <c r="E270" t="inlineStr">
        <is>
          <t>UPPSALA</t>
        </is>
      </c>
      <c r="G270" t="n">
        <v>2.3</v>
      </c>
      <c r="H270" t="n">
        <v>0</v>
      </c>
      <c r="I270" t="n">
        <v>0</v>
      </c>
      <c r="J270" t="n">
        <v>0</v>
      </c>
      <c r="K270" t="n">
        <v>0</v>
      </c>
      <c r="L270" t="n">
        <v>0</v>
      </c>
      <c r="M270" t="n">
        <v>0</v>
      </c>
      <c r="N270" t="n">
        <v>0</v>
      </c>
      <c r="O270" t="n">
        <v>0</v>
      </c>
      <c r="P270" t="n">
        <v>0</v>
      </c>
      <c r="Q270" t="n">
        <v>0</v>
      </c>
      <c r="R270" s="2" t="inlineStr"/>
    </row>
    <row r="271" ht="15" customHeight="1">
      <c r="A271" t="inlineStr">
        <is>
          <t>A 54757-2019</t>
        </is>
      </c>
      <c r="B271" s="1" t="n">
        <v>43755</v>
      </c>
      <c r="C271" s="1" t="n">
        <v>45708</v>
      </c>
      <c r="D271" t="inlineStr">
        <is>
          <t>UPPSALA LÄN</t>
        </is>
      </c>
      <c r="E271" t="inlineStr">
        <is>
          <t>UPPSALA</t>
        </is>
      </c>
      <c r="F271" t="inlineStr">
        <is>
          <t>Övriga statliga verk och myndigheter</t>
        </is>
      </c>
      <c r="G271" t="n">
        <v>1.5</v>
      </c>
      <c r="H271" t="n">
        <v>0</v>
      </c>
      <c r="I271" t="n">
        <v>0</v>
      </c>
      <c r="J271" t="n">
        <v>0</v>
      </c>
      <c r="K271" t="n">
        <v>0</v>
      </c>
      <c r="L271" t="n">
        <v>0</v>
      </c>
      <c r="M271" t="n">
        <v>0</v>
      </c>
      <c r="N271" t="n">
        <v>0</v>
      </c>
      <c r="O271" t="n">
        <v>0</v>
      </c>
      <c r="P271" t="n">
        <v>0</v>
      </c>
      <c r="Q271" t="n">
        <v>0</v>
      </c>
      <c r="R271" s="2" t="inlineStr"/>
    </row>
    <row r="272" ht="15" customHeight="1">
      <c r="A272" t="inlineStr">
        <is>
          <t>A 56041-2019</t>
        </is>
      </c>
      <c r="B272" s="1" t="n">
        <v>43759</v>
      </c>
      <c r="C272" s="1" t="n">
        <v>45708</v>
      </c>
      <c r="D272" t="inlineStr">
        <is>
          <t>UPPSALA LÄN</t>
        </is>
      </c>
      <c r="E272" t="inlineStr">
        <is>
          <t>UPPSALA</t>
        </is>
      </c>
      <c r="G272" t="n">
        <v>0.7</v>
      </c>
      <c r="H272" t="n">
        <v>0</v>
      </c>
      <c r="I272" t="n">
        <v>0</v>
      </c>
      <c r="J272" t="n">
        <v>0</v>
      </c>
      <c r="K272" t="n">
        <v>0</v>
      </c>
      <c r="L272" t="n">
        <v>0</v>
      </c>
      <c r="M272" t="n">
        <v>0</v>
      </c>
      <c r="N272" t="n">
        <v>0</v>
      </c>
      <c r="O272" t="n">
        <v>0</v>
      </c>
      <c r="P272" t="n">
        <v>0</v>
      </c>
      <c r="Q272" t="n">
        <v>0</v>
      </c>
      <c r="R272" s="2" t="inlineStr"/>
    </row>
    <row r="273" ht="15" customHeight="1">
      <c r="A273" t="inlineStr">
        <is>
          <t>A 56634-2019</t>
        </is>
      </c>
      <c r="B273" s="1" t="n">
        <v>43763</v>
      </c>
      <c r="C273" s="1" t="n">
        <v>45708</v>
      </c>
      <c r="D273" t="inlineStr">
        <is>
          <t>UPPSALA LÄN</t>
        </is>
      </c>
      <c r="E273" t="inlineStr">
        <is>
          <t>UPPSALA</t>
        </is>
      </c>
      <c r="F273" t="inlineStr">
        <is>
          <t>Övriga Aktiebolag</t>
        </is>
      </c>
      <c r="G273" t="n">
        <v>0.6</v>
      </c>
      <c r="H273" t="n">
        <v>0</v>
      </c>
      <c r="I273" t="n">
        <v>0</v>
      </c>
      <c r="J273" t="n">
        <v>0</v>
      </c>
      <c r="K273" t="n">
        <v>0</v>
      </c>
      <c r="L273" t="n">
        <v>0</v>
      </c>
      <c r="M273" t="n">
        <v>0</v>
      </c>
      <c r="N273" t="n">
        <v>0</v>
      </c>
      <c r="O273" t="n">
        <v>0</v>
      </c>
      <c r="P273" t="n">
        <v>0</v>
      </c>
      <c r="Q273" t="n">
        <v>0</v>
      </c>
      <c r="R273" s="2" t="inlineStr"/>
    </row>
    <row r="274" ht="15" customHeight="1">
      <c r="A274" t="inlineStr">
        <is>
          <t>A 58445-2019</t>
        </is>
      </c>
      <c r="B274" s="1" t="n">
        <v>43773</v>
      </c>
      <c r="C274" s="1" t="n">
        <v>45708</v>
      </c>
      <c r="D274" t="inlineStr">
        <is>
          <t>UPPSALA LÄN</t>
        </is>
      </c>
      <c r="E274" t="inlineStr">
        <is>
          <t>UPPSALA</t>
        </is>
      </c>
      <c r="G274" t="n">
        <v>5</v>
      </c>
      <c r="H274" t="n">
        <v>0</v>
      </c>
      <c r="I274" t="n">
        <v>0</v>
      </c>
      <c r="J274" t="n">
        <v>0</v>
      </c>
      <c r="K274" t="n">
        <v>0</v>
      </c>
      <c r="L274" t="n">
        <v>0</v>
      </c>
      <c r="M274" t="n">
        <v>0</v>
      </c>
      <c r="N274" t="n">
        <v>0</v>
      </c>
      <c r="O274" t="n">
        <v>0</v>
      </c>
      <c r="P274" t="n">
        <v>0</v>
      </c>
      <c r="Q274" t="n">
        <v>0</v>
      </c>
      <c r="R274" s="2" t="inlineStr"/>
    </row>
    <row r="275" ht="15" customHeight="1">
      <c r="A275" t="inlineStr">
        <is>
          <t>A 58527-2019</t>
        </is>
      </c>
      <c r="B275" s="1" t="n">
        <v>43773</v>
      </c>
      <c r="C275" s="1" t="n">
        <v>45708</v>
      </c>
      <c r="D275" t="inlineStr">
        <is>
          <t>UPPSALA LÄN</t>
        </is>
      </c>
      <c r="E275" t="inlineStr">
        <is>
          <t>UPPSALA</t>
        </is>
      </c>
      <c r="G275" t="n">
        <v>0.6</v>
      </c>
      <c r="H275" t="n">
        <v>0</v>
      </c>
      <c r="I275" t="n">
        <v>0</v>
      </c>
      <c r="J275" t="n">
        <v>0</v>
      </c>
      <c r="K275" t="n">
        <v>0</v>
      </c>
      <c r="L275" t="n">
        <v>0</v>
      </c>
      <c r="M275" t="n">
        <v>0</v>
      </c>
      <c r="N275" t="n">
        <v>0</v>
      </c>
      <c r="O275" t="n">
        <v>0</v>
      </c>
      <c r="P275" t="n">
        <v>0</v>
      </c>
      <c r="Q275" t="n">
        <v>0</v>
      </c>
      <c r="R275" s="2" t="inlineStr"/>
    </row>
    <row r="276" ht="15" customHeight="1">
      <c r="A276" t="inlineStr">
        <is>
          <t>A 58903-2019</t>
        </is>
      </c>
      <c r="B276" s="1" t="n">
        <v>43773</v>
      </c>
      <c r="C276" s="1" t="n">
        <v>45708</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60011-2019</t>
        </is>
      </c>
      <c r="B277" s="1" t="n">
        <v>43777</v>
      </c>
      <c r="C277" s="1" t="n">
        <v>45708</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60159-2019</t>
        </is>
      </c>
      <c r="B278" s="1" t="n">
        <v>43777</v>
      </c>
      <c r="C278" s="1" t="n">
        <v>45708</v>
      </c>
      <c r="D278" t="inlineStr">
        <is>
          <t>UPPSALA LÄN</t>
        </is>
      </c>
      <c r="E278" t="inlineStr">
        <is>
          <t>UPPSALA</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60163-2019</t>
        </is>
      </c>
      <c r="B279" s="1" t="n">
        <v>43780</v>
      </c>
      <c r="C279" s="1" t="n">
        <v>45708</v>
      </c>
      <c r="D279" t="inlineStr">
        <is>
          <t>UPPSALA LÄN</t>
        </is>
      </c>
      <c r="E279" t="inlineStr">
        <is>
          <t>UPPSALA</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60579-2019</t>
        </is>
      </c>
      <c r="B280" s="1" t="n">
        <v>43780</v>
      </c>
      <c r="C280" s="1" t="n">
        <v>45708</v>
      </c>
      <c r="D280" t="inlineStr">
        <is>
          <t>UPPSALA LÄN</t>
        </is>
      </c>
      <c r="E280" t="inlineStr">
        <is>
          <t>UPPSALA</t>
        </is>
      </c>
      <c r="F280" t="inlineStr">
        <is>
          <t>Övriga Aktiebolag</t>
        </is>
      </c>
      <c r="G280" t="n">
        <v>3.8</v>
      </c>
      <c r="H280" t="n">
        <v>0</v>
      </c>
      <c r="I280" t="n">
        <v>0</v>
      </c>
      <c r="J280" t="n">
        <v>0</v>
      </c>
      <c r="K280" t="n">
        <v>0</v>
      </c>
      <c r="L280" t="n">
        <v>0</v>
      </c>
      <c r="M280" t="n">
        <v>0</v>
      </c>
      <c r="N280" t="n">
        <v>0</v>
      </c>
      <c r="O280" t="n">
        <v>0</v>
      </c>
      <c r="P280" t="n">
        <v>0</v>
      </c>
      <c r="Q280" t="n">
        <v>0</v>
      </c>
      <c r="R280" s="2" t="inlineStr"/>
    </row>
    <row r="281" ht="15" customHeight="1">
      <c r="A281" t="inlineStr">
        <is>
          <t>A 62308-2019</t>
        </is>
      </c>
      <c r="B281" s="1" t="n">
        <v>43782</v>
      </c>
      <c r="C281" s="1" t="n">
        <v>45708</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61667-2019</t>
        </is>
      </c>
      <c r="B282" s="1" t="n">
        <v>43784</v>
      </c>
      <c r="C282" s="1" t="n">
        <v>45708</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63145-2019</t>
        </is>
      </c>
      <c r="B283" s="1" t="n">
        <v>43791</v>
      </c>
      <c r="C283" s="1" t="n">
        <v>45708</v>
      </c>
      <c r="D283" t="inlineStr">
        <is>
          <t>UPPSALA LÄN</t>
        </is>
      </c>
      <c r="E283" t="inlineStr">
        <is>
          <t>UPPSALA</t>
        </is>
      </c>
      <c r="G283" t="n">
        <v>1.8</v>
      </c>
      <c r="H283" t="n">
        <v>0</v>
      </c>
      <c r="I283" t="n">
        <v>0</v>
      </c>
      <c r="J283" t="n">
        <v>0</v>
      </c>
      <c r="K283" t="n">
        <v>0</v>
      </c>
      <c r="L283" t="n">
        <v>0</v>
      </c>
      <c r="M283" t="n">
        <v>0</v>
      </c>
      <c r="N283" t="n">
        <v>0</v>
      </c>
      <c r="O283" t="n">
        <v>0</v>
      </c>
      <c r="P283" t="n">
        <v>0</v>
      </c>
      <c r="Q283" t="n">
        <v>0</v>
      </c>
      <c r="R283" s="2" t="inlineStr"/>
    </row>
    <row r="284" ht="15" customHeight="1">
      <c r="A284" t="inlineStr">
        <is>
          <t>A 63091-2019</t>
        </is>
      </c>
      <c r="B284" s="1" t="n">
        <v>43791</v>
      </c>
      <c r="C284" s="1" t="n">
        <v>45708</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63099-2019</t>
        </is>
      </c>
      <c r="B285" s="1" t="n">
        <v>43791</v>
      </c>
      <c r="C285" s="1" t="n">
        <v>45708</v>
      </c>
      <c r="D285" t="inlineStr">
        <is>
          <t>UPPSALA LÄN</t>
        </is>
      </c>
      <c r="E285" t="inlineStr">
        <is>
          <t>UPPSALA</t>
        </is>
      </c>
      <c r="G285" t="n">
        <v>4.4</v>
      </c>
      <c r="H285" t="n">
        <v>0</v>
      </c>
      <c r="I285" t="n">
        <v>0</v>
      </c>
      <c r="J285" t="n">
        <v>0</v>
      </c>
      <c r="K285" t="n">
        <v>0</v>
      </c>
      <c r="L285" t="n">
        <v>0</v>
      </c>
      <c r="M285" t="n">
        <v>0</v>
      </c>
      <c r="N285" t="n">
        <v>0</v>
      </c>
      <c r="O285" t="n">
        <v>0</v>
      </c>
      <c r="P285" t="n">
        <v>0</v>
      </c>
      <c r="Q285" t="n">
        <v>0</v>
      </c>
      <c r="R285" s="2" t="inlineStr"/>
    </row>
    <row r="286" ht="15" customHeight="1">
      <c r="A286" t="inlineStr">
        <is>
          <t>A 63118-2019</t>
        </is>
      </c>
      <c r="B286" s="1" t="n">
        <v>43791</v>
      </c>
      <c r="C286" s="1" t="n">
        <v>45708</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63589-2019</t>
        </is>
      </c>
      <c r="B287" s="1" t="n">
        <v>43795</v>
      </c>
      <c r="C287" s="1" t="n">
        <v>45708</v>
      </c>
      <c r="D287" t="inlineStr">
        <is>
          <t>UPPSALA LÄN</t>
        </is>
      </c>
      <c r="E287" t="inlineStr">
        <is>
          <t>UPPSALA</t>
        </is>
      </c>
      <c r="G287" t="n">
        <v>3.8</v>
      </c>
      <c r="H287" t="n">
        <v>0</v>
      </c>
      <c r="I287" t="n">
        <v>0</v>
      </c>
      <c r="J287" t="n">
        <v>0</v>
      </c>
      <c r="K287" t="n">
        <v>0</v>
      </c>
      <c r="L287" t="n">
        <v>0</v>
      </c>
      <c r="M287" t="n">
        <v>0</v>
      </c>
      <c r="N287" t="n">
        <v>0</v>
      </c>
      <c r="O287" t="n">
        <v>0</v>
      </c>
      <c r="P287" t="n">
        <v>0</v>
      </c>
      <c r="Q287" t="n">
        <v>0</v>
      </c>
      <c r="R287" s="2" t="inlineStr"/>
    </row>
    <row r="288" ht="15" customHeight="1">
      <c r="A288" t="inlineStr">
        <is>
          <t>A 63757-2019</t>
        </is>
      </c>
      <c r="B288" s="1" t="n">
        <v>43795</v>
      </c>
      <c r="C288" s="1" t="n">
        <v>45708</v>
      </c>
      <c r="D288" t="inlineStr">
        <is>
          <t>UPPSALA LÄN</t>
        </is>
      </c>
      <c r="E288" t="inlineStr">
        <is>
          <t>UPPSALA</t>
        </is>
      </c>
      <c r="G288" t="n">
        <v>6.9</v>
      </c>
      <c r="H288" t="n">
        <v>0</v>
      </c>
      <c r="I288" t="n">
        <v>0</v>
      </c>
      <c r="J288" t="n">
        <v>0</v>
      </c>
      <c r="K288" t="n">
        <v>0</v>
      </c>
      <c r="L288" t="n">
        <v>0</v>
      </c>
      <c r="M288" t="n">
        <v>0</v>
      </c>
      <c r="N288" t="n">
        <v>0</v>
      </c>
      <c r="O288" t="n">
        <v>0</v>
      </c>
      <c r="P288" t="n">
        <v>0</v>
      </c>
      <c r="Q288" t="n">
        <v>0</v>
      </c>
      <c r="R288" s="2" t="inlineStr"/>
    </row>
    <row r="289" ht="15" customHeight="1">
      <c r="A289" t="inlineStr">
        <is>
          <t>A 63756-2019</t>
        </is>
      </c>
      <c r="B289" s="1" t="n">
        <v>43795</v>
      </c>
      <c r="C289" s="1" t="n">
        <v>45708</v>
      </c>
      <c r="D289" t="inlineStr">
        <is>
          <t>UPPSALA LÄN</t>
        </is>
      </c>
      <c r="E289" t="inlineStr">
        <is>
          <t>UPPSALA</t>
        </is>
      </c>
      <c r="G289" t="n">
        <v>6.5</v>
      </c>
      <c r="H289" t="n">
        <v>0</v>
      </c>
      <c r="I289" t="n">
        <v>0</v>
      </c>
      <c r="J289" t="n">
        <v>0</v>
      </c>
      <c r="K289" t="n">
        <v>0</v>
      </c>
      <c r="L289" t="n">
        <v>0</v>
      </c>
      <c r="M289" t="n">
        <v>0</v>
      </c>
      <c r="N289" t="n">
        <v>0</v>
      </c>
      <c r="O289" t="n">
        <v>0</v>
      </c>
      <c r="P289" t="n">
        <v>0</v>
      </c>
      <c r="Q289" t="n">
        <v>0</v>
      </c>
      <c r="R289" s="2" t="inlineStr"/>
    </row>
    <row r="290" ht="15" customHeight="1">
      <c r="A290" t="inlineStr">
        <is>
          <t>A 64836-2019</t>
        </is>
      </c>
      <c r="B290" s="1" t="n">
        <v>43801</v>
      </c>
      <c r="C290" s="1" t="n">
        <v>45708</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64834-2019</t>
        </is>
      </c>
      <c r="B291" s="1" t="n">
        <v>43801</v>
      </c>
      <c r="C291" s="1" t="n">
        <v>45708</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65527-2019</t>
        </is>
      </c>
      <c r="B292" s="1" t="n">
        <v>43803</v>
      </c>
      <c r="C292" s="1" t="n">
        <v>45708</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65668-2019</t>
        </is>
      </c>
      <c r="B293" s="1" t="n">
        <v>43804</v>
      </c>
      <c r="C293" s="1" t="n">
        <v>45708</v>
      </c>
      <c r="D293" t="inlineStr">
        <is>
          <t>UPPSALA LÄN</t>
        </is>
      </c>
      <c r="E293" t="inlineStr">
        <is>
          <t>UPPSALA</t>
        </is>
      </c>
      <c r="G293" t="n">
        <v>7.6</v>
      </c>
      <c r="H293" t="n">
        <v>0</v>
      </c>
      <c r="I293" t="n">
        <v>0</v>
      </c>
      <c r="J293" t="n">
        <v>0</v>
      </c>
      <c r="K293" t="n">
        <v>0</v>
      </c>
      <c r="L293" t="n">
        <v>0</v>
      </c>
      <c r="M293" t="n">
        <v>0</v>
      </c>
      <c r="N293" t="n">
        <v>0</v>
      </c>
      <c r="O293" t="n">
        <v>0</v>
      </c>
      <c r="P293" t="n">
        <v>0</v>
      </c>
      <c r="Q293" t="n">
        <v>0</v>
      </c>
      <c r="R293" s="2" t="inlineStr"/>
    </row>
    <row r="294" ht="15" customHeight="1">
      <c r="A294" t="inlineStr">
        <is>
          <t>A 66167-2019</t>
        </is>
      </c>
      <c r="B294" s="1" t="n">
        <v>43808</v>
      </c>
      <c r="C294" s="1" t="n">
        <v>45708</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66270-2019</t>
        </is>
      </c>
      <c r="B295" s="1" t="n">
        <v>43808</v>
      </c>
      <c r="C295" s="1" t="n">
        <v>45708</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67108-2019</t>
        </is>
      </c>
      <c r="B296" s="1" t="n">
        <v>43811</v>
      </c>
      <c r="C296" s="1" t="n">
        <v>45708</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67281-2019</t>
        </is>
      </c>
      <c r="B297" s="1" t="n">
        <v>43812</v>
      </c>
      <c r="C297" s="1" t="n">
        <v>45708</v>
      </c>
      <c r="D297" t="inlineStr">
        <is>
          <t>UPPSALA LÄN</t>
        </is>
      </c>
      <c r="E297" t="inlineStr">
        <is>
          <t>UPPSALA</t>
        </is>
      </c>
      <c r="F297" t="inlineStr">
        <is>
          <t>Allmännings- och besparingsskogar</t>
        </is>
      </c>
      <c r="G297" t="n">
        <v>1.2</v>
      </c>
      <c r="H297" t="n">
        <v>0</v>
      </c>
      <c r="I297" t="n">
        <v>0</v>
      </c>
      <c r="J297" t="n">
        <v>0</v>
      </c>
      <c r="K297" t="n">
        <v>0</v>
      </c>
      <c r="L297" t="n">
        <v>0</v>
      </c>
      <c r="M297" t="n">
        <v>0</v>
      </c>
      <c r="N297" t="n">
        <v>0</v>
      </c>
      <c r="O297" t="n">
        <v>0</v>
      </c>
      <c r="P297" t="n">
        <v>0</v>
      </c>
      <c r="Q297" t="n">
        <v>0</v>
      </c>
      <c r="R297" s="2" t="inlineStr"/>
    </row>
    <row r="298" ht="15" customHeight="1">
      <c r="A298" t="inlineStr">
        <is>
          <t>A 67508-2019</t>
        </is>
      </c>
      <c r="B298" s="1" t="n">
        <v>43814</v>
      </c>
      <c r="C298" s="1" t="n">
        <v>45708</v>
      </c>
      <c r="D298" t="inlineStr">
        <is>
          <t>UPPSALA LÄN</t>
        </is>
      </c>
      <c r="E298" t="inlineStr">
        <is>
          <t>UPPSALA</t>
        </is>
      </c>
      <c r="F298" t="inlineStr">
        <is>
          <t>Allmännings- och besparingsskogar</t>
        </is>
      </c>
      <c r="G298" t="n">
        <v>4.9</v>
      </c>
      <c r="H298" t="n">
        <v>0</v>
      </c>
      <c r="I298" t="n">
        <v>0</v>
      </c>
      <c r="J298" t="n">
        <v>0</v>
      </c>
      <c r="K298" t="n">
        <v>0</v>
      </c>
      <c r="L298" t="n">
        <v>0</v>
      </c>
      <c r="M298" t="n">
        <v>0</v>
      </c>
      <c r="N298" t="n">
        <v>0</v>
      </c>
      <c r="O298" t="n">
        <v>0</v>
      </c>
      <c r="P298" t="n">
        <v>0</v>
      </c>
      <c r="Q298" t="n">
        <v>0</v>
      </c>
      <c r="R298" s="2" t="inlineStr"/>
    </row>
    <row r="299" ht="15" customHeight="1">
      <c r="A299" t="inlineStr">
        <is>
          <t>A 67504-2019</t>
        </is>
      </c>
      <c r="B299" s="1" t="n">
        <v>43814</v>
      </c>
      <c r="C299" s="1" t="n">
        <v>45708</v>
      </c>
      <c r="D299" t="inlineStr">
        <is>
          <t>UPPSALA LÄN</t>
        </is>
      </c>
      <c r="E299" t="inlineStr">
        <is>
          <t>UPPSALA</t>
        </is>
      </c>
      <c r="F299" t="inlineStr">
        <is>
          <t>Allmännings- och besparingsskogar</t>
        </is>
      </c>
      <c r="G299" t="n">
        <v>21.9</v>
      </c>
      <c r="H299" t="n">
        <v>0</v>
      </c>
      <c r="I299" t="n">
        <v>0</v>
      </c>
      <c r="J299" t="n">
        <v>0</v>
      </c>
      <c r="K299" t="n">
        <v>0</v>
      </c>
      <c r="L299" t="n">
        <v>0</v>
      </c>
      <c r="M299" t="n">
        <v>0</v>
      </c>
      <c r="N299" t="n">
        <v>0</v>
      </c>
      <c r="O299" t="n">
        <v>0</v>
      </c>
      <c r="P299" t="n">
        <v>0</v>
      </c>
      <c r="Q299" t="n">
        <v>0</v>
      </c>
      <c r="R299" s="2" t="inlineStr"/>
    </row>
    <row r="300" ht="15" customHeight="1">
      <c r="A300" t="inlineStr">
        <is>
          <t>A 67720-2019</t>
        </is>
      </c>
      <c r="B300" s="1" t="n">
        <v>43815</v>
      </c>
      <c r="C300" s="1" t="n">
        <v>45708</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67592-2019</t>
        </is>
      </c>
      <c r="B301" s="1" t="n">
        <v>43815</v>
      </c>
      <c r="C301" s="1" t="n">
        <v>45708</v>
      </c>
      <c r="D301" t="inlineStr">
        <is>
          <t>UPPSALA LÄN</t>
        </is>
      </c>
      <c r="E301" t="inlineStr">
        <is>
          <t>UPPSALA</t>
        </is>
      </c>
      <c r="F301" t="inlineStr">
        <is>
          <t>Övriga statliga verk och myndigheter</t>
        </is>
      </c>
      <c r="G301" t="n">
        <v>0.8</v>
      </c>
      <c r="H301" t="n">
        <v>0</v>
      </c>
      <c r="I301" t="n">
        <v>0</v>
      </c>
      <c r="J301" t="n">
        <v>0</v>
      </c>
      <c r="K301" t="n">
        <v>0</v>
      </c>
      <c r="L301" t="n">
        <v>0</v>
      </c>
      <c r="M301" t="n">
        <v>0</v>
      </c>
      <c r="N301" t="n">
        <v>0</v>
      </c>
      <c r="O301" t="n">
        <v>0</v>
      </c>
      <c r="P301" t="n">
        <v>0</v>
      </c>
      <c r="Q301" t="n">
        <v>0</v>
      </c>
      <c r="R301" s="2" t="inlineStr"/>
    </row>
    <row r="302" ht="15" customHeight="1">
      <c r="A302" t="inlineStr">
        <is>
          <t>A 68264-2019</t>
        </is>
      </c>
      <c r="B302" s="1" t="n">
        <v>43817</v>
      </c>
      <c r="C302" s="1" t="n">
        <v>45708</v>
      </c>
      <c r="D302" t="inlineStr">
        <is>
          <t>UPPSALA LÄN</t>
        </is>
      </c>
      <c r="E302" t="inlineStr">
        <is>
          <t>UPPSALA</t>
        </is>
      </c>
      <c r="G302" t="n">
        <v>2.9</v>
      </c>
      <c r="H302" t="n">
        <v>0</v>
      </c>
      <c r="I302" t="n">
        <v>0</v>
      </c>
      <c r="J302" t="n">
        <v>0</v>
      </c>
      <c r="K302" t="n">
        <v>0</v>
      </c>
      <c r="L302" t="n">
        <v>0</v>
      </c>
      <c r="M302" t="n">
        <v>0</v>
      </c>
      <c r="N302" t="n">
        <v>0</v>
      </c>
      <c r="O302" t="n">
        <v>0</v>
      </c>
      <c r="P302" t="n">
        <v>0</v>
      </c>
      <c r="Q302" t="n">
        <v>0</v>
      </c>
      <c r="R302" s="2" t="inlineStr"/>
    </row>
    <row r="303" ht="15" customHeight="1">
      <c r="A303" t="inlineStr">
        <is>
          <t>A 68265-2019</t>
        </is>
      </c>
      <c r="B303" s="1" t="n">
        <v>43817</v>
      </c>
      <c r="C303" s="1" t="n">
        <v>45708</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68317-2019</t>
        </is>
      </c>
      <c r="B304" s="1" t="n">
        <v>43818</v>
      </c>
      <c r="C304" s="1" t="n">
        <v>45708</v>
      </c>
      <c r="D304" t="inlineStr">
        <is>
          <t>UPPSALA LÄN</t>
        </is>
      </c>
      <c r="E304" t="inlineStr">
        <is>
          <t>UPPSALA</t>
        </is>
      </c>
      <c r="G304" t="n">
        <v>1.1</v>
      </c>
      <c r="H304" t="n">
        <v>0</v>
      </c>
      <c r="I304" t="n">
        <v>0</v>
      </c>
      <c r="J304" t="n">
        <v>0</v>
      </c>
      <c r="K304" t="n">
        <v>0</v>
      </c>
      <c r="L304" t="n">
        <v>0</v>
      </c>
      <c r="M304" t="n">
        <v>0</v>
      </c>
      <c r="N304" t="n">
        <v>0</v>
      </c>
      <c r="O304" t="n">
        <v>0</v>
      </c>
      <c r="P304" t="n">
        <v>0</v>
      </c>
      <c r="Q304" t="n">
        <v>0</v>
      </c>
      <c r="R304" s="2" t="inlineStr"/>
    </row>
    <row r="305" ht="15" customHeight="1">
      <c r="A305" t="inlineStr">
        <is>
          <t>A 68316-2019</t>
        </is>
      </c>
      <c r="B305" s="1" t="n">
        <v>43818</v>
      </c>
      <c r="C305" s="1" t="n">
        <v>45708</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68908-2019</t>
        </is>
      </c>
      <c r="B306" s="1" t="n">
        <v>43822</v>
      </c>
      <c r="C306" s="1" t="n">
        <v>45708</v>
      </c>
      <c r="D306" t="inlineStr">
        <is>
          <t>UPPSALA LÄN</t>
        </is>
      </c>
      <c r="E306" t="inlineStr">
        <is>
          <t>UPPSALA</t>
        </is>
      </c>
      <c r="G306" t="n">
        <v>4</v>
      </c>
      <c r="H306" t="n">
        <v>0</v>
      </c>
      <c r="I306" t="n">
        <v>0</v>
      </c>
      <c r="J306" t="n">
        <v>0</v>
      </c>
      <c r="K306" t="n">
        <v>0</v>
      </c>
      <c r="L306" t="n">
        <v>0</v>
      </c>
      <c r="M306" t="n">
        <v>0</v>
      </c>
      <c r="N306" t="n">
        <v>0</v>
      </c>
      <c r="O306" t="n">
        <v>0</v>
      </c>
      <c r="P306" t="n">
        <v>0</v>
      </c>
      <c r="Q306" t="n">
        <v>0</v>
      </c>
      <c r="R306" s="2" t="inlineStr"/>
    </row>
    <row r="307" ht="15" customHeight="1">
      <c r="A307" t="inlineStr">
        <is>
          <t>A 529-2020</t>
        </is>
      </c>
      <c r="B307" s="1" t="n">
        <v>43837</v>
      </c>
      <c r="C307" s="1" t="n">
        <v>45708</v>
      </c>
      <c r="D307" t="inlineStr">
        <is>
          <t>UPPSALA LÄN</t>
        </is>
      </c>
      <c r="E307" t="inlineStr">
        <is>
          <t>UPPSALA</t>
        </is>
      </c>
      <c r="G307" t="n">
        <v>1.6</v>
      </c>
      <c r="H307" t="n">
        <v>0</v>
      </c>
      <c r="I307" t="n">
        <v>0</v>
      </c>
      <c r="J307" t="n">
        <v>0</v>
      </c>
      <c r="K307" t="n">
        <v>0</v>
      </c>
      <c r="L307" t="n">
        <v>0</v>
      </c>
      <c r="M307" t="n">
        <v>0</v>
      </c>
      <c r="N307" t="n">
        <v>0</v>
      </c>
      <c r="O307" t="n">
        <v>0</v>
      </c>
      <c r="P307" t="n">
        <v>0</v>
      </c>
      <c r="Q307" t="n">
        <v>0</v>
      </c>
      <c r="R307" s="2" t="inlineStr"/>
    </row>
    <row r="308" ht="15" customHeight="1">
      <c r="A308" t="inlineStr">
        <is>
          <t>A 1891-2020</t>
        </is>
      </c>
      <c r="B308" s="1" t="n">
        <v>43837</v>
      </c>
      <c r="C308" s="1" t="n">
        <v>45708</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701-2020</t>
        </is>
      </c>
      <c r="B309" s="1" t="n">
        <v>43838</v>
      </c>
      <c r="C309" s="1" t="n">
        <v>45708</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1171-2020</t>
        </is>
      </c>
      <c r="B310" s="1" t="n">
        <v>43840</v>
      </c>
      <c r="C310" s="1" t="n">
        <v>45708</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1688-2020</t>
        </is>
      </c>
      <c r="B311" s="1" t="n">
        <v>43844</v>
      </c>
      <c r="C311" s="1" t="n">
        <v>45708</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2162-2020</t>
        </is>
      </c>
      <c r="B312" s="1" t="n">
        <v>43846</v>
      </c>
      <c r="C312" s="1" t="n">
        <v>45708</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2895-2020</t>
        </is>
      </c>
      <c r="B313" s="1" t="n">
        <v>43850</v>
      </c>
      <c r="C313" s="1" t="n">
        <v>45708</v>
      </c>
      <c r="D313" t="inlineStr">
        <is>
          <t>UPPSALA LÄN</t>
        </is>
      </c>
      <c r="E313" t="inlineStr">
        <is>
          <t>UPPSALA</t>
        </is>
      </c>
      <c r="G313" t="n">
        <v>3.8</v>
      </c>
      <c r="H313" t="n">
        <v>0</v>
      </c>
      <c r="I313" t="n">
        <v>0</v>
      </c>
      <c r="J313" t="n">
        <v>0</v>
      </c>
      <c r="K313" t="n">
        <v>0</v>
      </c>
      <c r="L313" t="n">
        <v>0</v>
      </c>
      <c r="M313" t="n">
        <v>0</v>
      </c>
      <c r="N313" t="n">
        <v>0</v>
      </c>
      <c r="O313" t="n">
        <v>0</v>
      </c>
      <c r="P313" t="n">
        <v>0</v>
      </c>
      <c r="Q313" t="n">
        <v>0</v>
      </c>
      <c r="R313" s="2" t="inlineStr"/>
    </row>
    <row r="314" ht="15" customHeight="1">
      <c r="A314" t="inlineStr">
        <is>
          <t>A 3693-2020</t>
        </is>
      </c>
      <c r="B314" s="1" t="n">
        <v>43853</v>
      </c>
      <c r="C314" s="1" t="n">
        <v>45708</v>
      </c>
      <c r="D314" t="inlineStr">
        <is>
          <t>UPPSALA LÄN</t>
        </is>
      </c>
      <c r="E314" t="inlineStr">
        <is>
          <t>UPPSALA</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3516-2020</t>
        </is>
      </c>
      <c r="B315" s="1" t="n">
        <v>43853</v>
      </c>
      <c r="C315" s="1" t="n">
        <v>45708</v>
      </c>
      <c r="D315" t="inlineStr">
        <is>
          <t>UPPSALA LÄN</t>
        </is>
      </c>
      <c r="E315" t="inlineStr">
        <is>
          <t>UPPSALA</t>
        </is>
      </c>
      <c r="G315" t="n">
        <v>9.4</v>
      </c>
      <c r="H315" t="n">
        <v>0</v>
      </c>
      <c r="I315" t="n">
        <v>0</v>
      </c>
      <c r="J315" t="n">
        <v>0</v>
      </c>
      <c r="K315" t="n">
        <v>0</v>
      </c>
      <c r="L315" t="n">
        <v>0</v>
      </c>
      <c r="M315" t="n">
        <v>0</v>
      </c>
      <c r="N315" t="n">
        <v>0</v>
      </c>
      <c r="O315" t="n">
        <v>0</v>
      </c>
      <c r="P315" t="n">
        <v>0</v>
      </c>
      <c r="Q315" t="n">
        <v>0</v>
      </c>
      <c r="R315" s="2" t="inlineStr"/>
    </row>
    <row r="316" ht="15" customHeight="1">
      <c r="A316" t="inlineStr">
        <is>
          <t>A 6313-2020</t>
        </is>
      </c>
      <c r="B316" s="1" t="n">
        <v>43866</v>
      </c>
      <c r="C316" s="1" t="n">
        <v>45708</v>
      </c>
      <c r="D316" t="inlineStr">
        <is>
          <t>UPPSALA LÄN</t>
        </is>
      </c>
      <c r="E316" t="inlineStr">
        <is>
          <t>UPPSALA</t>
        </is>
      </c>
      <c r="F316" t="inlineStr">
        <is>
          <t>Övriga statliga verk och myndigheter</t>
        </is>
      </c>
      <c r="G316" t="n">
        <v>3.4</v>
      </c>
      <c r="H316" t="n">
        <v>0</v>
      </c>
      <c r="I316" t="n">
        <v>0</v>
      </c>
      <c r="J316" t="n">
        <v>0</v>
      </c>
      <c r="K316" t="n">
        <v>0</v>
      </c>
      <c r="L316" t="n">
        <v>0</v>
      </c>
      <c r="M316" t="n">
        <v>0</v>
      </c>
      <c r="N316" t="n">
        <v>0</v>
      </c>
      <c r="O316" t="n">
        <v>0</v>
      </c>
      <c r="P316" t="n">
        <v>0</v>
      </c>
      <c r="Q316" t="n">
        <v>0</v>
      </c>
      <c r="R316" s="2" t="inlineStr"/>
    </row>
    <row r="317" ht="15" customHeight="1">
      <c r="A317" t="inlineStr">
        <is>
          <t>A 6315-2020</t>
        </is>
      </c>
      <c r="B317" s="1" t="n">
        <v>43866</v>
      </c>
      <c r="C317" s="1" t="n">
        <v>45708</v>
      </c>
      <c r="D317" t="inlineStr">
        <is>
          <t>UPPSALA LÄN</t>
        </is>
      </c>
      <c r="E317" t="inlineStr">
        <is>
          <t>UPPSALA</t>
        </is>
      </c>
      <c r="F317" t="inlineStr">
        <is>
          <t>Övriga statliga verk och myndigheter</t>
        </is>
      </c>
      <c r="G317" t="n">
        <v>1.9</v>
      </c>
      <c r="H317" t="n">
        <v>0</v>
      </c>
      <c r="I317" t="n">
        <v>0</v>
      </c>
      <c r="J317" t="n">
        <v>0</v>
      </c>
      <c r="K317" t="n">
        <v>0</v>
      </c>
      <c r="L317" t="n">
        <v>0</v>
      </c>
      <c r="M317" t="n">
        <v>0</v>
      </c>
      <c r="N317" t="n">
        <v>0</v>
      </c>
      <c r="O317" t="n">
        <v>0</v>
      </c>
      <c r="P317" t="n">
        <v>0</v>
      </c>
      <c r="Q317" t="n">
        <v>0</v>
      </c>
      <c r="R317" s="2" t="inlineStr"/>
    </row>
    <row r="318" ht="15" customHeight="1">
      <c r="A318" t="inlineStr">
        <is>
          <t>A 6655-2020</t>
        </is>
      </c>
      <c r="B318" s="1" t="n">
        <v>43867</v>
      </c>
      <c r="C318" s="1" t="n">
        <v>45708</v>
      </c>
      <c r="D318" t="inlineStr">
        <is>
          <t>UPPSALA LÄN</t>
        </is>
      </c>
      <c r="E318" t="inlineStr">
        <is>
          <t>UPPSALA</t>
        </is>
      </c>
      <c r="G318" t="n">
        <v>7.3</v>
      </c>
      <c r="H318" t="n">
        <v>0</v>
      </c>
      <c r="I318" t="n">
        <v>0</v>
      </c>
      <c r="J318" t="n">
        <v>0</v>
      </c>
      <c r="K318" t="n">
        <v>0</v>
      </c>
      <c r="L318" t="n">
        <v>0</v>
      </c>
      <c r="M318" t="n">
        <v>0</v>
      </c>
      <c r="N318" t="n">
        <v>0</v>
      </c>
      <c r="O318" t="n">
        <v>0</v>
      </c>
      <c r="P318" t="n">
        <v>0</v>
      </c>
      <c r="Q318" t="n">
        <v>0</v>
      </c>
      <c r="R318" s="2" t="inlineStr"/>
    </row>
    <row r="319" ht="15" customHeight="1">
      <c r="A319" t="inlineStr">
        <is>
          <t>A 8261-2020</t>
        </is>
      </c>
      <c r="B319" s="1" t="n">
        <v>43874</v>
      </c>
      <c r="C319" s="1" t="n">
        <v>45708</v>
      </c>
      <c r="D319" t="inlineStr">
        <is>
          <t>UPPSALA LÄN</t>
        </is>
      </c>
      <c r="E319" t="inlineStr">
        <is>
          <t>UPPSALA</t>
        </is>
      </c>
      <c r="G319" t="n">
        <v>5.1</v>
      </c>
      <c r="H319" t="n">
        <v>0</v>
      </c>
      <c r="I319" t="n">
        <v>0</v>
      </c>
      <c r="J319" t="n">
        <v>0</v>
      </c>
      <c r="K319" t="n">
        <v>0</v>
      </c>
      <c r="L319" t="n">
        <v>0</v>
      </c>
      <c r="M319" t="n">
        <v>0</v>
      </c>
      <c r="N319" t="n">
        <v>0</v>
      </c>
      <c r="O319" t="n">
        <v>0</v>
      </c>
      <c r="P319" t="n">
        <v>0</v>
      </c>
      <c r="Q319" t="n">
        <v>0</v>
      </c>
      <c r="R319" s="2" t="inlineStr"/>
    </row>
    <row r="320" ht="15" customHeight="1">
      <c r="A320" t="inlineStr">
        <is>
          <t>A 8646-2020</t>
        </is>
      </c>
      <c r="B320" s="1" t="n">
        <v>43878</v>
      </c>
      <c r="C320" s="1" t="n">
        <v>45708</v>
      </c>
      <c r="D320" t="inlineStr">
        <is>
          <t>UPPSALA LÄN</t>
        </is>
      </c>
      <c r="E320" t="inlineStr">
        <is>
          <t>UPPSALA</t>
        </is>
      </c>
      <c r="G320" t="n">
        <v>3.5</v>
      </c>
      <c r="H320" t="n">
        <v>0</v>
      </c>
      <c r="I320" t="n">
        <v>0</v>
      </c>
      <c r="J320" t="n">
        <v>0</v>
      </c>
      <c r="K320" t="n">
        <v>0</v>
      </c>
      <c r="L320" t="n">
        <v>0</v>
      </c>
      <c r="M320" t="n">
        <v>0</v>
      </c>
      <c r="N320" t="n">
        <v>0</v>
      </c>
      <c r="O320" t="n">
        <v>0</v>
      </c>
      <c r="P320" t="n">
        <v>0</v>
      </c>
      <c r="Q320" t="n">
        <v>0</v>
      </c>
      <c r="R320" s="2" t="inlineStr"/>
    </row>
    <row r="321" ht="15" customHeight="1">
      <c r="A321" t="inlineStr">
        <is>
          <t>A 8902-2020</t>
        </is>
      </c>
      <c r="B321" s="1" t="n">
        <v>43878</v>
      </c>
      <c r="C321" s="1" t="n">
        <v>45708</v>
      </c>
      <c r="D321" t="inlineStr">
        <is>
          <t>UPPSALA LÄN</t>
        </is>
      </c>
      <c r="E321" t="inlineStr">
        <is>
          <t>UPPSALA</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9011-2020</t>
        </is>
      </c>
      <c r="B322" s="1" t="n">
        <v>43879</v>
      </c>
      <c r="C322" s="1" t="n">
        <v>45708</v>
      </c>
      <c r="D322" t="inlineStr">
        <is>
          <t>UPPSALA LÄN</t>
        </is>
      </c>
      <c r="E322" t="inlineStr">
        <is>
          <t>UPPSALA</t>
        </is>
      </c>
      <c r="F322" t="inlineStr">
        <is>
          <t>Övriga statliga verk och myndigheter</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9084-2020</t>
        </is>
      </c>
      <c r="B323" s="1" t="n">
        <v>43879</v>
      </c>
      <c r="C323" s="1" t="n">
        <v>45708</v>
      </c>
      <c r="D323" t="inlineStr">
        <is>
          <t>UPPSALA LÄN</t>
        </is>
      </c>
      <c r="E323" t="inlineStr">
        <is>
          <t>UPPSALA</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9257-2020</t>
        </is>
      </c>
      <c r="B324" s="1" t="n">
        <v>43879</v>
      </c>
      <c r="C324" s="1" t="n">
        <v>45708</v>
      </c>
      <c r="D324" t="inlineStr">
        <is>
          <t>UPPSALA LÄN</t>
        </is>
      </c>
      <c r="E324" t="inlineStr">
        <is>
          <t>UPPSALA</t>
        </is>
      </c>
      <c r="F324" t="inlineStr">
        <is>
          <t>Bergvik skog öst AB</t>
        </is>
      </c>
      <c r="G324" t="n">
        <v>5.8</v>
      </c>
      <c r="H324" t="n">
        <v>0</v>
      </c>
      <c r="I324" t="n">
        <v>0</v>
      </c>
      <c r="J324" t="n">
        <v>0</v>
      </c>
      <c r="K324" t="n">
        <v>0</v>
      </c>
      <c r="L324" t="n">
        <v>0</v>
      </c>
      <c r="M324" t="n">
        <v>0</v>
      </c>
      <c r="N324" t="n">
        <v>0</v>
      </c>
      <c r="O324" t="n">
        <v>0</v>
      </c>
      <c r="P324" t="n">
        <v>0</v>
      </c>
      <c r="Q324" t="n">
        <v>0</v>
      </c>
      <c r="R324" s="2" t="inlineStr"/>
    </row>
    <row r="325" ht="15" customHeight="1">
      <c r="A325" t="inlineStr">
        <is>
          <t>A 9658-2020</t>
        </is>
      </c>
      <c r="B325" s="1" t="n">
        <v>43881</v>
      </c>
      <c r="C325" s="1" t="n">
        <v>45708</v>
      </c>
      <c r="D325" t="inlineStr">
        <is>
          <t>UPPSALA LÄN</t>
        </is>
      </c>
      <c r="E325" t="inlineStr">
        <is>
          <t>UPPSALA</t>
        </is>
      </c>
      <c r="G325" t="n">
        <v>3.6</v>
      </c>
      <c r="H325" t="n">
        <v>0</v>
      </c>
      <c r="I325" t="n">
        <v>0</v>
      </c>
      <c r="J325" t="n">
        <v>0</v>
      </c>
      <c r="K325" t="n">
        <v>0</v>
      </c>
      <c r="L325" t="n">
        <v>0</v>
      </c>
      <c r="M325" t="n">
        <v>0</v>
      </c>
      <c r="N325" t="n">
        <v>0</v>
      </c>
      <c r="O325" t="n">
        <v>0</v>
      </c>
      <c r="P325" t="n">
        <v>0</v>
      </c>
      <c r="Q325" t="n">
        <v>0</v>
      </c>
      <c r="R325" s="2" t="inlineStr"/>
    </row>
    <row r="326" ht="15" customHeight="1">
      <c r="A326" t="inlineStr">
        <is>
          <t>A 10003-2020</t>
        </is>
      </c>
      <c r="B326" s="1" t="n">
        <v>43882</v>
      </c>
      <c r="C326" s="1" t="n">
        <v>45708</v>
      </c>
      <c r="D326" t="inlineStr">
        <is>
          <t>UPPSALA LÄN</t>
        </is>
      </c>
      <c r="E326" t="inlineStr">
        <is>
          <t>UPPSALA</t>
        </is>
      </c>
      <c r="F326" t="inlineStr">
        <is>
          <t>Kyrkan</t>
        </is>
      </c>
      <c r="G326" t="n">
        <v>5.2</v>
      </c>
      <c r="H326" t="n">
        <v>0</v>
      </c>
      <c r="I326" t="n">
        <v>0</v>
      </c>
      <c r="J326" t="n">
        <v>0</v>
      </c>
      <c r="K326" t="n">
        <v>0</v>
      </c>
      <c r="L326" t="n">
        <v>0</v>
      </c>
      <c r="M326" t="n">
        <v>0</v>
      </c>
      <c r="N326" t="n">
        <v>0</v>
      </c>
      <c r="O326" t="n">
        <v>0</v>
      </c>
      <c r="P326" t="n">
        <v>0</v>
      </c>
      <c r="Q326" t="n">
        <v>0</v>
      </c>
      <c r="R326" s="2" t="inlineStr"/>
    </row>
    <row r="327" ht="15" customHeight="1">
      <c r="A327" t="inlineStr">
        <is>
          <t>A 9949-2020</t>
        </is>
      </c>
      <c r="B327" s="1" t="n">
        <v>43882</v>
      </c>
      <c r="C327" s="1" t="n">
        <v>45708</v>
      </c>
      <c r="D327" t="inlineStr">
        <is>
          <t>UPPSALA LÄN</t>
        </is>
      </c>
      <c r="E327" t="inlineStr">
        <is>
          <t>UPPSALA</t>
        </is>
      </c>
      <c r="F327" t="inlineStr">
        <is>
          <t>Kyrkan</t>
        </is>
      </c>
      <c r="G327" t="n">
        <v>2.2</v>
      </c>
      <c r="H327" t="n">
        <v>0</v>
      </c>
      <c r="I327" t="n">
        <v>0</v>
      </c>
      <c r="J327" t="n">
        <v>0</v>
      </c>
      <c r="K327" t="n">
        <v>0</v>
      </c>
      <c r="L327" t="n">
        <v>0</v>
      </c>
      <c r="M327" t="n">
        <v>0</v>
      </c>
      <c r="N327" t="n">
        <v>0</v>
      </c>
      <c r="O327" t="n">
        <v>0</v>
      </c>
      <c r="P327" t="n">
        <v>0</v>
      </c>
      <c r="Q327" t="n">
        <v>0</v>
      </c>
      <c r="R327" s="2" t="inlineStr"/>
    </row>
    <row r="328" ht="15" customHeight="1">
      <c r="A328" t="inlineStr">
        <is>
          <t>A 10033-2020</t>
        </is>
      </c>
      <c r="B328" s="1" t="n">
        <v>43882</v>
      </c>
      <c r="C328" s="1" t="n">
        <v>45708</v>
      </c>
      <c r="D328" t="inlineStr">
        <is>
          <t>UPPSALA LÄN</t>
        </is>
      </c>
      <c r="E328" t="inlineStr">
        <is>
          <t>UPPSALA</t>
        </is>
      </c>
      <c r="G328" t="n">
        <v>4.6</v>
      </c>
      <c r="H328" t="n">
        <v>0</v>
      </c>
      <c r="I328" t="n">
        <v>0</v>
      </c>
      <c r="J328" t="n">
        <v>0</v>
      </c>
      <c r="K328" t="n">
        <v>0</v>
      </c>
      <c r="L328" t="n">
        <v>0</v>
      </c>
      <c r="M328" t="n">
        <v>0</v>
      </c>
      <c r="N328" t="n">
        <v>0</v>
      </c>
      <c r="O328" t="n">
        <v>0</v>
      </c>
      <c r="P328" t="n">
        <v>0</v>
      </c>
      <c r="Q328" t="n">
        <v>0</v>
      </c>
      <c r="R328" s="2" t="inlineStr"/>
    </row>
    <row r="329" ht="15" customHeight="1">
      <c r="A329" t="inlineStr">
        <is>
          <t>A 10478-2020</t>
        </is>
      </c>
      <c r="B329" s="1" t="n">
        <v>43886</v>
      </c>
      <c r="C329" s="1" t="n">
        <v>45708</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11540-2020</t>
        </is>
      </c>
      <c r="B330" s="1" t="n">
        <v>43887</v>
      </c>
      <c r="C330" s="1" t="n">
        <v>45708</v>
      </c>
      <c r="D330" t="inlineStr">
        <is>
          <t>UPPSALA LÄN</t>
        </is>
      </c>
      <c r="E330" t="inlineStr">
        <is>
          <t>UPPSALA</t>
        </is>
      </c>
      <c r="G330" t="n">
        <v>2.1</v>
      </c>
      <c r="H330" t="n">
        <v>0</v>
      </c>
      <c r="I330" t="n">
        <v>0</v>
      </c>
      <c r="J330" t="n">
        <v>0</v>
      </c>
      <c r="K330" t="n">
        <v>0</v>
      </c>
      <c r="L330" t="n">
        <v>0</v>
      </c>
      <c r="M330" t="n">
        <v>0</v>
      </c>
      <c r="N330" t="n">
        <v>0</v>
      </c>
      <c r="O330" t="n">
        <v>0</v>
      </c>
      <c r="P330" t="n">
        <v>0</v>
      </c>
      <c r="Q330" t="n">
        <v>0</v>
      </c>
      <c r="R330" s="2" t="inlineStr"/>
    </row>
    <row r="331" ht="15" customHeight="1">
      <c r="A331" t="inlineStr">
        <is>
          <t>A 11174-2020</t>
        </is>
      </c>
      <c r="B331" s="1" t="n">
        <v>43891</v>
      </c>
      <c r="C331" s="1" t="n">
        <v>45708</v>
      </c>
      <c r="D331" t="inlineStr">
        <is>
          <t>UPPSALA LÄN</t>
        </is>
      </c>
      <c r="E331" t="inlineStr">
        <is>
          <t>UPPSALA</t>
        </is>
      </c>
      <c r="F331" t="inlineStr">
        <is>
          <t>Övriga statliga verk och myndigheter</t>
        </is>
      </c>
      <c r="G331" t="n">
        <v>2.8</v>
      </c>
      <c r="H331" t="n">
        <v>0</v>
      </c>
      <c r="I331" t="n">
        <v>0</v>
      </c>
      <c r="J331" t="n">
        <v>0</v>
      </c>
      <c r="K331" t="n">
        <v>0</v>
      </c>
      <c r="L331" t="n">
        <v>0</v>
      </c>
      <c r="M331" t="n">
        <v>0</v>
      </c>
      <c r="N331" t="n">
        <v>0</v>
      </c>
      <c r="O331" t="n">
        <v>0</v>
      </c>
      <c r="P331" t="n">
        <v>0</v>
      </c>
      <c r="Q331" t="n">
        <v>0</v>
      </c>
      <c r="R331" s="2" t="inlineStr"/>
    </row>
    <row r="332" ht="15" customHeight="1">
      <c r="A332" t="inlineStr">
        <is>
          <t>A 12626-2020</t>
        </is>
      </c>
      <c r="B332" s="1" t="n">
        <v>43892</v>
      </c>
      <c r="C332" s="1" t="n">
        <v>45708</v>
      </c>
      <c r="D332" t="inlineStr">
        <is>
          <t>UPPSALA LÄN</t>
        </is>
      </c>
      <c r="E332" t="inlineStr">
        <is>
          <t>UPPSALA</t>
        </is>
      </c>
      <c r="G332" t="n">
        <v>11.4</v>
      </c>
      <c r="H332" t="n">
        <v>0</v>
      </c>
      <c r="I332" t="n">
        <v>0</v>
      </c>
      <c r="J332" t="n">
        <v>0</v>
      </c>
      <c r="K332" t="n">
        <v>0</v>
      </c>
      <c r="L332" t="n">
        <v>0</v>
      </c>
      <c r="M332" t="n">
        <v>0</v>
      </c>
      <c r="N332" t="n">
        <v>0</v>
      </c>
      <c r="O332" t="n">
        <v>0</v>
      </c>
      <c r="P332" t="n">
        <v>0</v>
      </c>
      <c r="Q332" t="n">
        <v>0</v>
      </c>
      <c r="R332" s="2" t="inlineStr"/>
    </row>
    <row r="333" ht="15" customHeight="1">
      <c r="A333" t="inlineStr">
        <is>
          <t>A 11336-2020</t>
        </is>
      </c>
      <c r="B333" s="1" t="n">
        <v>43892</v>
      </c>
      <c r="C333" s="1" t="n">
        <v>45708</v>
      </c>
      <c r="D333" t="inlineStr">
        <is>
          <t>UPPSALA LÄN</t>
        </is>
      </c>
      <c r="E333" t="inlineStr">
        <is>
          <t>UPPSALA</t>
        </is>
      </c>
      <c r="F333" t="inlineStr">
        <is>
          <t>Kyrkan</t>
        </is>
      </c>
      <c r="G333" t="n">
        <v>3.2</v>
      </c>
      <c r="H333" t="n">
        <v>0</v>
      </c>
      <c r="I333" t="n">
        <v>0</v>
      </c>
      <c r="J333" t="n">
        <v>0</v>
      </c>
      <c r="K333" t="n">
        <v>0</v>
      </c>
      <c r="L333" t="n">
        <v>0</v>
      </c>
      <c r="M333" t="n">
        <v>0</v>
      </c>
      <c r="N333" t="n">
        <v>0</v>
      </c>
      <c r="O333" t="n">
        <v>0</v>
      </c>
      <c r="P333" t="n">
        <v>0</v>
      </c>
      <c r="Q333" t="n">
        <v>0</v>
      </c>
      <c r="R333" s="2" t="inlineStr"/>
    </row>
    <row r="334" ht="15" customHeight="1">
      <c r="A334" t="inlineStr">
        <is>
          <t>A 11320-2020</t>
        </is>
      </c>
      <c r="B334" s="1" t="n">
        <v>43892</v>
      </c>
      <c r="C334" s="1" t="n">
        <v>45708</v>
      </c>
      <c r="D334" t="inlineStr">
        <is>
          <t>UPPSALA LÄN</t>
        </is>
      </c>
      <c r="E334" t="inlineStr">
        <is>
          <t>UPPSALA</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12028-2020</t>
        </is>
      </c>
      <c r="B335" s="1" t="n">
        <v>43894</v>
      </c>
      <c r="C335" s="1" t="n">
        <v>45708</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12055-2020</t>
        </is>
      </c>
      <c r="B336" s="1" t="n">
        <v>43894</v>
      </c>
      <c r="C336" s="1" t="n">
        <v>45708</v>
      </c>
      <c r="D336" t="inlineStr">
        <is>
          <t>UPPSALA LÄN</t>
        </is>
      </c>
      <c r="E336" t="inlineStr">
        <is>
          <t>UPPSALA</t>
        </is>
      </c>
      <c r="G336" t="n">
        <v>6.2</v>
      </c>
      <c r="H336" t="n">
        <v>0</v>
      </c>
      <c r="I336" t="n">
        <v>0</v>
      </c>
      <c r="J336" t="n">
        <v>0</v>
      </c>
      <c r="K336" t="n">
        <v>0</v>
      </c>
      <c r="L336" t="n">
        <v>0</v>
      </c>
      <c r="M336" t="n">
        <v>0</v>
      </c>
      <c r="N336" t="n">
        <v>0</v>
      </c>
      <c r="O336" t="n">
        <v>0</v>
      </c>
      <c r="P336" t="n">
        <v>0</v>
      </c>
      <c r="Q336" t="n">
        <v>0</v>
      </c>
      <c r="R336" s="2" t="inlineStr"/>
    </row>
    <row r="337" ht="15" customHeight="1">
      <c r="A337" t="inlineStr">
        <is>
          <t>A 12848-2020</t>
        </is>
      </c>
      <c r="B337" s="1" t="n">
        <v>43899</v>
      </c>
      <c r="C337" s="1" t="n">
        <v>45708</v>
      </c>
      <c r="D337" t="inlineStr">
        <is>
          <t>UPPSALA LÄN</t>
        </is>
      </c>
      <c r="E337" t="inlineStr">
        <is>
          <t>UPPSALA</t>
        </is>
      </c>
      <c r="G337" t="n">
        <v>10.3</v>
      </c>
      <c r="H337" t="n">
        <v>0</v>
      </c>
      <c r="I337" t="n">
        <v>0</v>
      </c>
      <c r="J337" t="n">
        <v>0</v>
      </c>
      <c r="K337" t="n">
        <v>0</v>
      </c>
      <c r="L337" t="n">
        <v>0</v>
      </c>
      <c r="M337" t="n">
        <v>0</v>
      </c>
      <c r="N337" t="n">
        <v>0</v>
      </c>
      <c r="O337" t="n">
        <v>0</v>
      </c>
      <c r="P337" t="n">
        <v>0</v>
      </c>
      <c r="Q337" t="n">
        <v>0</v>
      </c>
      <c r="R337" s="2" t="inlineStr"/>
    </row>
    <row r="338" ht="15" customHeight="1">
      <c r="A338" t="inlineStr">
        <is>
          <t>A 12781-2020</t>
        </is>
      </c>
      <c r="B338" s="1" t="n">
        <v>43899</v>
      </c>
      <c r="C338" s="1" t="n">
        <v>45708</v>
      </c>
      <c r="D338" t="inlineStr">
        <is>
          <t>UPPSALA LÄN</t>
        </is>
      </c>
      <c r="E338" t="inlineStr">
        <is>
          <t>UPPSALA</t>
        </is>
      </c>
      <c r="F338" t="inlineStr">
        <is>
          <t>Kyrkan</t>
        </is>
      </c>
      <c r="G338" t="n">
        <v>0.7</v>
      </c>
      <c r="H338" t="n">
        <v>0</v>
      </c>
      <c r="I338" t="n">
        <v>0</v>
      </c>
      <c r="J338" t="n">
        <v>0</v>
      </c>
      <c r="K338" t="n">
        <v>0</v>
      </c>
      <c r="L338" t="n">
        <v>0</v>
      </c>
      <c r="M338" t="n">
        <v>0</v>
      </c>
      <c r="N338" t="n">
        <v>0</v>
      </c>
      <c r="O338" t="n">
        <v>0</v>
      </c>
      <c r="P338" t="n">
        <v>0</v>
      </c>
      <c r="Q338" t="n">
        <v>0</v>
      </c>
      <c r="R338" s="2" t="inlineStr"/>
    </row>
    <row r="339" ht="15" customHeight="1">
      <c r="A339" t="inlineStr">
        <is>
          <t>A 13636-2020</t>
        </is>
      </c>
      <c r="B339" s="1" t="n">
        <v>43903</v>
      </c>
      <c r="C339" s="1" t="n">
        <v>45708</v>
      </c>
      <c r="D339" t="inlineStr">
        <is>
          <t>UPPSALA LÄN</t>
        </is>
      </c>
      <c r="E339" t="inlineStr">
        <is>
          <t>UPPSALA</t>
        </is>
      </c>
      <c r="G339" t="n">
        <v>2.7</v>
      </c>
      <c r="H339" t="n">
        <v>0</v>
      </c>
      <c r="I339" t="n">
        <v>0</v>
      </c>
      <c r="J339" t="n">
        <v>0</v>
      </c>
      <c r="K339" t="n">
        <v>0</v>
      </c>
      <c r="L339" t="n">
        <v>0</v>
      </c>
      <c r="M339" t="n">
        <v>0</v>
      </c>
      <c r="N339" t="n">
        <v>0</v>
      </c>
      <c r="O339" t="n">
        <v>0</v>
      </c>
      <c r="P339" t="n">
        <v>0</v>
      </c>
      <c r="Q339" t="n">
        <v>0</v>
      </c>
      <c r="R339" s="2" t="inlineStr"/>
    </row>
    <row r="340" ht="15" customHeight="1">
      <c r="A340" t="inlineStr">
        <is>
          <t>A 14469-2020</t>
        </is>
      </c>
      <c r="B340" s="1" t="n">
        <v>43908</v>
      </c>
      <c r="C340" s="1" t="n">
        <v>45708</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14423-2020</t>
        </is>
      </c>
      <c r="B341" s="1" t="n">
        <v>43908</v>
      </c>
      <c r="C341" s="1" t="n">
        <v>45708</v>
      </c>
      <c r="D341" t="inlineStr">
        <is>
          <t>UPPSALA LÄN</t>
        </is>
      </c>
      <c r="E341" t="inlineStr">
        <is>
          <t>UPPSALA</t>
        </is>
      </c>
      <c r="G341" t="n">
        <v>0.8</v>
      </c>
      <c r="H341" t="n">
        <v>0</v>
      </c>
      <c r="I341" t="n">
        <v>0</v>
      </c>
      <c r="J341" t="n">
        <v>0</v>
      </c>
      <c r="K341" t="n">
        <v>0</v>
      </c>
      <c r="L341" t="n">
        <v>0</v>
      </c>
      <c r="M341" t="n">
        <v>0</v>
      </c>
      <c r="N341" t="n">
        <v>0</v>
      </c>
      <c r="O341" t="n">
        <v>0</v>
      </c>
      <c r="P341" t="n">
        <v>0</v>
      </c>
      <c r="Q341" t="n">
        <v>0</v>
      </c>
      <c r="R341" s="2" t="inlineStr"/>
    </row>
    <row r="342" ht="15" customHeight="1">
      <c r="A342" t="inlineStr">
        <is>
          <t>A 14472-2020</t>
        </is>
      </c>
      <c r="B342" s="1" t="n">
        <v>43908</v>
      </c>
      <c r="C342" s="1" t="n">
        <v>45708</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14427-2020</t>
        </is>
      </c>
      <c r="B343" s="1" t="n">
        <v>43908</v>
      </c>
      <c r="C343" s="1" t="n">
        <v>45708</v>
      </c>
      <c r="D343" t="inlineStr">
        <is>
          <t>UPPSALA LÄN</t>
        </is>
      </c>
      <c r="E343" t="inlineStr">
        <is>
          <t>UPPSALA</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15344-2020</t>
        </is>
      </c>
      <c r="B344" s="1" t="n">
        <v>43913</v>
      </c>
      <c r="C344" s="1" t="n">
        <v>45708</v>
      </c>
      <c r="D344" t="inlineStr">
        <is>
          <t>UPPSALA LÄN</t>
        </is>
      </c>
      <c r="E344" t="inlineStr">
        <is>
          <t>UPPSALA</t>
        </is>
      </c>
      <c r="F344" t="inlineStr">
        <is>
          <t>Holmen skog AB</t>
        </is>
      </c>
      <c r="G344" t="n">
        <v>3.4</v>
      </c>
      <c r="H344" t="n">
        <v>0</v>
      </c>
      <c r="I344" t="n">
        <v>0</v>
      </c>
      <c r="J344" t="n">
        <v>0</v>
      </c>
      <c r="K344" t="n">
        <v>0</v>
      </c>
      <c r="L344" t="n">
        <v>0</v>
      </c>
      <c r="M344" t="n">
        <v>0</v>
      </c>
      <c r="N344" t="n">
        <v>0</v>
      </c>
      <c r="O344" t="n">
        <v>0</v>
      </c>
      <c r="P344" t="n">
        <v>0</v>
      </c>
      <c r="Q344" t="n">
        <v>0</v>
      </c>
      <c r="R344" s="2" t="inlineStr"/>
    </row>
    <row r="345" ht="15" customHeight="1">
      <c r="A345" t="inlineStr">
        <is>
          <t>A 18106-2020</t>
        </is>
      </c>
      <c r="B345" s="1" t="n">
        <v>43927</v>
      </c>
      <c r="C345" s="1" t="n">
        <v>45708</v>
      </c>
      <c r="D345" t="inlineStr">
        <is>
          <t>UPPSALA LÄN</t>
        </is>
      </c>
      <c r="E345" t="inlineStr">
        <is>
          <t>UPPSALA</t>
        </is>
      </c>
      <c r="G345" t="n">
        <v>0.7</v>
      </c>
      <c r="H345" t="n">
        <v>0</v>
      </c>
      <c r="I345" t="n">
        <v>0</v>
      </c>
      <c r="J345" t="n">
        <v>0</v>
      </c>
      <c r="K345" t="n">
        <v>0</v>
      </c>
      <c r="L345" t="n">
        <v>0</v>
      </c>
      <c r="M345" t="n">
        <v>0</v>
      </c>
      <c r="N345" t="n">
        <v>0</v>
      </c>
      <c r="O345" t="n">
        <v>0</v>
      </c>
      <c r="P345" t="n">
        <v>0</v>
      </c>
      <c r="Q345" t="n">
        <v>0</v>
      </c>
      <c r="R345" s="2" t="inlineStr"/>
    </row>
    <row r="346" ht="15" customHeight="1">
      <c r="A346" t="inlineStr">
        <is>
          <t>A 18114-2020</t>
        </is>
      </c>
      <c r="B346" s="1" t="n">
        <v>43927</v>
      </c>
      <c r="C346" s="1" t="n">
        <v>45708</v>
      </c>
      <c r="D346" t="inlineStr">
        <is>
          <t>UPPSALA LÄN</t>
        </is>
      </c>
      <c r="E346" t="inlineStr">
        <is>
          <t>UPPSALA</t>
        </is>
      </c>
      <c r="G346" t="n">
        <v>1.6</v>
      </c>
      <c r="H346" t="n">
        <v>0</v>
      </c>
      <c r="I346" t="n">
        <v>0</v>
      </c>
      <c r="J346" t="n">
        <v>0</v>
      </c>
      <c r="K346" t="n">
        <v>0</v>
      </c>
      <c r="L346" t="n">
        <v>0</v>
      </c>
      <c r="M346" t="n">
        <v>0</v>
      </c>
      <c r="N346" t="n">
        <v>0</v>
      </c>
      <c r="O346" t="n">
        <v>0</v>
      </c>
      <c r="P346" t="n">
        <v>0</v>
      </c>
      <c r="Q346" t="n">
        <v>0</v>
      </c>
      <c r="R346" s="2" t="inlineStr"/>
    </row>
    <row r="347" ht="15" customHeight="1">
      <c r="A347" t="inlineStr">
        <is>
          <t>A 18469-2020</t>
        </is>
      </c>
      <c r="B347" s="1" t="n">
        <v>43929</v>
      </c>
      <c r="C347" s="1" t="n">
        <v>45708</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19210-2020</t>
        </is>
      </c>
      <c r="B348" s="1" t="n">
        <v>43937</v>
      </c>
      <c r="C348" s="1" t="n">
        <v>45708</v>
      </c>
      <c r="D348" t="inlineStr">
        <is>
          <t>UPPSALA LÄN</t>
        </is>
      </c>
      <c r="E348" t="inlineStr">
        <is>
          <t>UPPSALA</t>
        </is>
      </c>
      <c r="G348" t="n">
        <v>3.7</v>
      </c>
      <c r="H348" t="n">
        <v>0</v>
      </c>
      <c r="I348" t="n">
        <v>0</v>
      </c>
      <c r="J348" t="n">
        <v>0</v>
      </c>
      <c r="K348" t="n">
        <v>0</v>
      </c>
      <c r="L348" t="n">
        <v>0</v>
      </c>
      <c r="M348" t="n">
        <v>0</v>
      </c>
      <c r="N348" t="n">
        <v>0</v>
      </c>
      <c r="O348" t="n">
        <v>0</v>
      </c>
      <c r="P348" t="n">
        <v>0</v>
      </c>
      <c r="Q348" t="n">
        <v>0</v>
      </c>
      <c r="R348" s="2" t="inlineStr"/>
    </row>
    <row r="349" ht="15" customHeight="1">
      <c r="A349" t="inlineStr">
        <is>
          <t>A 20218-2020</t>
        </is>
      </c>
      <c r="B349" s="1" t="n">
        <v>43944</v>
      </c>
      <c r="C349" s="1" t="n">
        <v>45708</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20506-2020</t>
        </is>
      </c>
      <c r="B350" s="1" t="n">
        <v>43948</v>
      </c>
      <c r="C350" s="1" t="n">
        <v>45708</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20490-2020</t>
        </is>
      </c>
      <c r="B351" s="1" t="n">
        <v>43948</v>
      </c>
      <c r="C351" s="1" t="n">
        <v>45708</v>
      </c>
      <c r="D351" t="inlineStr">
        <is>
          <t>UPPSALA LÄN</t>
        </is>
      </c>
      <c r="E351" t="inlineStr">
        <is>
          <t>UPPSALA</t>
        </is>
      </c>
      <c r="G351" t="n">
        <v>2.8</v>
      </c>
      <c r="H351" t="n">
        <v>0</v>
      </c>
      <c r="I351" t="n">
        <v>0</v>
      </c>
      <c r="J351" t="n">
        <v>0</v>
      </c>
      <c r="K351" t="n">
        <v>0</v>
      </c>
      <c r="L351" t="n">
        <v>0</v>
      </c>
      <c r="M351" t="n">
        <v>0</v>
      </c>
      <c r="N351" t="n">
        <v>0</v>
      </c>
      <c r="O351" t="n">
        <v>0</v>
      </c>
      <c r="P351" t="n">
        <v>0</v>
      </c>
      <c r="Q351" t="n">
        <v>0</v>
      </c>
      <c r="R351" s="2" t="inlineStr"/>
    </row>
    <row r="352" ht="15" customHeight="1">
      <c r="A352" t="inlineStr">
        <is>
          <t>A 20960-2020</t>
        </is>
      </c>
      <c r="B352" s="1" t="n">
        <v>43950</v>
      </c>
      <c r="C352" s="1" t="n">
        <v>45708</v>
      </c>
      <c r="D352" t="inlineStr">
        <is>
          <t>UPPSALA LÄN</t>
        </is>
      </c>
      <c r="E352" t="inlineStr">
        <is>
          <t>UPPSALA</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24300-2020</t>
        </is>
      </c>
      <c r="B353" s="1" t="n">
        <v>43973</v>
      </c>
      <c r="C353" s="1" t="n">
        <v>45708</v>
      </c>
      <c r="D353" t="inlineStr">
        <is>
          <t>UPPSALA LÄN</t>
        </is>
      </c>
      <c r="E353" t="inlineStr">
        <is>
          <t>UPPSALA</t>
        </is>
      </c>
      <c r="F353" t="inlineStr">
        <is>
          <t>Övriga Aktiebolag</t>
        </is>
      </c>
      <c r="G353" t="n">
        <v>0.3</v>
      </c>
      <c r="H353" t="n">
        <v>0</v>
      </c>
      <c r="I353" t="n">
        <v>0</v>
      </c>
      <c r="J353" t="n">
        <v>0</v>
      </c>
      <c r="K353" t="n">
        <v>0</v>
      </c>
      <c r="L353" t="n">
        <v>0</v>
      </c>
      <c r="M353" t="n">
        <v>0</v>
      </c>
      <c r="N353" t="n">
        <v>0</v>
      </c>
      <c r="O353" t="n">
        <v>0</v>
      </c>
      <c r="P353" t="n">
        <v>0</v>
      </c>
      <c r="Q353" t="n">
        <v>0</v>
      </c>
      <c r="R353" s="2" t="inlineStr"/>
    </row>
    <row r="354" ht="15" customHeight="1">
      <c r="A354" t="inlineStr">
        <is>
          <t>A 24287-2020</t>
        </is>
      </c>
      <c r="B354" s="1" t="n">
        <v>43976</v>
      </c>
      <c r="C354" s="1" t="n">
        <v>45708</v>
      </c>
      <c r="D354" t="inlineStr">
        <is>
          <t>UPPSALA LÄN</t>
        </is>
      </c>
      <c r="E354" t="inlineStr">
        <is>
          <t>UPPSALA</t>
        </is>
      </c>
      <c r="G354" t="n">
        <v>1</v>
      </c>
      <c r="H354" t="n">
        <v>0</v>
      </c>
      <c r="I354" t="n">
        <v>0</v>
      </c>
      <c r="J354" t="n">
        <v>0</v>
      </c>
      <c r="K354" t="n">
        <v>0</v>
      </c>
      <c r="L354" t="n">
        <v>0</v>
      </c>
      <c r="M354" t="n">
        <v>0</v>
      </c>
      <c r="N354" t="n">
        <v>0</v>
      </c>
      <c r="O354" t="n">
        <v>0</v>
      </c>
      <c r="P354" t="n">
        <v>0</v>
      </c>
      <c r="Q354" t="n">
        <v>0</v>
      </c>
      <c r="R354" s="2" t="inlineStr"/>
    </row>
    <row r="355" ht="15" customHeight="1">
      <c r="A355" t="inlineStr">
        <is>
          <t>A 25798-2020</t>
        </is>
      </c>
      <c r="B355" s="1" t="n">
        <v>43984</v>
      </c>
      <c r="C355" s="1" t="n">
        <v>45708</v>
      </c>
      <c r="D355" t="inlineStr">
        <is>
          <t>UPPSALA LÄN</t>
        </is>
      </c>
      <c r="E355" t="inlineStr">
        <is>
          <t>UPPSALA</t>
        </is>
      </c>
      <c r="G355" t="n">
        <v>2.3</v>
      </c>
      <c r="H355" t="n">
        <v>0</v>
      </c>
      <c r="I355" t="n">
        <v>0</v>
      </c>
      <c r="J355" t="n">
        <v>0</v>
      </c>
      <c r="K355" t="n">
        <v>0</v>
      </c>
      <c r="L355" t="n">
        <v>0</v>
      </c>
      <c r="M355" t="n">
        <v>0</v>
      </c>
      <c r="N355" t="n">
        <v>0</v>
      </c>
      <c r="O355" t="n">
        <v>0</v>
      </c>
      <c r="P355" t="n">
        <v>0</v>
      </c>
      <c r="Q355" t="n">
        <v>0</v>
      </c>
      <c r="R355" s="2" t="inlineStr"/>
    </row>
    <row r="356" ht="15" customHeight="1">
      <c r="A356" t="inlineStr">
        <is>
          <t>A 26488-2020</t>
        </is>
      </c>
      <c r="B356" s="1" t="n">
        <v>43987</v>
      </c>
      <c r="C356" s="1" t="n">
        <v>45708</v>
      </c>
      <c r="D356" t="inlineStr">
        <is>
          <t>UPPSALA LÄN</t>
        </is>
      </c>
      <c r="E356" t="inlineStr">
        <is>
          <t>UPPSALA</t>
        </is>
      </c>
      <c r="G356" t="n">
        <v>2.9</v>
      </c>
      <c r="H356" t="n">
        <v>0</v>
      </c>
      <c r="I356" t="n">
        <v>0</v>
      </c>
      <c r="J356" t="n">
        <v>0</v>
      </c>
      <c r="K356" t="n">
        <v>0</v>
      </c>
      <c r="L356" t="n">
        <v>0</v>
      </c>
      <c r="M356" t="n">
        <v>0</v>
      </c>
      <c r="N356" t="n">
        <v>0</v>
      </c>
      <c r="O356" t="n">
        <v>0</v>
      </c>
      <c r="P356" t="n">
        <v>0</v>
      </c>
      <c r="Q356" t="n">
        <v>0</v>
      </c>
      <c r="R356" s="2" t="inlineStr"/>
    </row>
    <row r="357" ht="15" customHeight="1">
      <c r="A357" t="inlineStr">
        <is>
          <t>A 26492-2020</t>
        </is>
      </c>
      <c r="B357" s="1" t="n">
        <v>43987</v>
      </c>
      <c r="C357" s="1" t="n">
        <v>45708</v>
      </c>
      <c r="D357" t="inlineStr">
        <is>
          <t>UPPSALA LÄN</t>
        </is>
      </c>
      <c r="E357" t="inlineStr">
        <is>
          <t>UPPSALA</t>
        </is>
      </c>
      <c r="G357" t="n">
        <v>9.5</v>
      </c>
      <c r="H357" t="n">
        <v>0</v>
      </c>
      <c r="I357" t="n">
        <v>0</v>
      </c>
      <c r="J357" t="n">
        <v>0</v>
      </c>
      <c r="K357" t="n">
        <v>0</v>
      </c>
      <c r="L357" t="n">
        <v>0</v>
      </c>
      <c r="M357" t="n">
        <v>0</v>
      </c>
      <c r="N357" t="n">
        <v>0</v>
      </c>
      <c r="O357" t="n">
        <v>0</v>
      </c>
      <c r="P357" t="n">
        <v>0</v>
      </c>
      <c r="Q357" t="n">
        <v>0</v>
      </c>
      <c r="R357" s="2" t="inlineStr"/>
    </row>
    <row r="358" ht="15" customHeight="1">
      <c r="A358" t="inlineStr">
        <is>
          <t>A 26856-2020</t>
        </is>
      </c>
      <c r="B358" s="1" t="n">
        <v>43990</v>
      </c>
      <c r="C358" s="1" t="n">
        <v>45708</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28565-2020</t>
        </is>
      </c>
      <c r="B359" s="1" t="n">
        <v>43999</v>
      </c>
      <c r="C359" s="1" t="n">
        <v>45708</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28514-2020</t>
        </is>
      </c>
      <c r="B360" s="1" t="n">
        <v>43999</v>
      </c>
      <c r="C360" s="1" t="n">
        <v>45708</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28993-2020</t>
        </is>
      </c>
      <c r="B361" s="1" t="n">
        <v>44000</v>
      </c>
      <c r="C361" s="1" t="n">
        <v>45708</v>
      </c>
      <c r="D361" t="inlineStr">
        <is>
          <t>UPPSALA LÄN</t>
        </is>
      </c>
      <c r="E361" t="inlineStr">
        <is>
          <t>UPPSALA</t>
        </is>
      </c>
      <c r="G361" t="n">
        <v>2.4</v>
      </c>
      <c r="H361" t="n">
        <v>0</v>
      </c>
      <c r="I361" t="n">
        <v>0</v>
      </c>
      <c r="J361" t="n">
        <v>0</v>
      </c>
      <c r="K361" t="n">
        <v>0</v>
      </c>
      <c r="L361" t="n">
        <v>0</v>
      </c>
      <c r="M361" t="n">
        <v>0</v>
      </c>
      <c r="N361" t="n">
        <v>0</v>
      </c>
      <c r="O361" t="n">
        <v>0</v>
      </c>
      <c r="P361" t="n">
        <v>0</v>
      </c>
      <c r="Q361" t="n">
        <v>0</v>
      </c>
      <c r="R361" s="2" t="inlineStr"/>
    </row>
    <row r="362" ht="15" customHeight="1">
      <c r="A362" t="inlineStr">
        <is>
          <t>A 29034-2020</t>
        </is>
      </c>
      <c r="B362" s="1" t="n">
        <v>44000</v>
      </c>
      <c r="C362" s="1" t="n">
        <v>45708</v>
      </c>
      <c r="D362" t="inlineStr">
        <is>
          <t>UPPSALA LÄN</t>
        </is>
      </c>
      <c r="E362" t="inlineStr">
        <is>
          <t>UPPSALA</t>
        </is>
      </c>
      <c r="G362" t="n">
        <v>2</v>
      </c>
      <c r="H362" t="n">
        <v>0</v>
      </c>
      <c r="I362" t="n">
        <v>0</v>
      </c>
      <c r="J362" t="n">
        <v>0</v>
      </c>
      <c r="K362" t="n">
        <v>0</v>
      </c>
      <c r="L362" t="n">
        <v>0</v>
      </c>
      <c r="M362" t="n">
        <v>0</v>
      </c>
      <c r="N362" t="n">
        <v>0</v>
      </c>
      <c r="O362" t="n">
        <v>0</v>
      </c>
      <c r="P362" t="n">
        <v>0</v>
      </c>
      <c r="Q362" t="n">
        <v>0</v>
      </c>
      <c r="R362" s="2" t="inlineStr"/>
    </row>
    <row r="363" ht="15" customHeight="1">
      <c r="A363" t="inlineStr">
        <is>
          <t>A 30196-2020</t>
        </is>
      </c>
      <c r="B363" s="1" t="n">
        <v>44007</v>
      </c>
      <c r="C363" s="1" t="n">
        <v>45708</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30208-2020</t>
        </is>
      </c>
      <c r="B364" s="1" t="n">
        <v>44007</v>
      </c>
      <c r="C364" s="1" t="n">
        <v>45708</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31219-2020</t>
        </is>
      </c>
      <c r="B365" s="1" t="n">
        <v>44012</v>
      </c>
      <c r="C365" s="1" t="n">
        <v>45708</v>
      </c>
      <c r="D365" t="inlineStr">
        <is>
          <t>UPPSALA LÄN</t>
        </is>
      </c>
      <c r="E365" t="inlineStr">
        <is>
          <t>UPPSALA</t>
        </is>
      </c>
      <c r="F365" t="inlineStr">
        <is>
          <t>Bergvik skog öst AB</t>
        </is>
      </c>
      <c r="G365" t="n">
        <v>7.4</v>
      </c>
      <c r="H365" t="n">
        <v>0</v>
      </c>
      <c r="I365" t="n">
        <v>0</v>
      </c>
      <c r="J365" t="n">
        <v>0</v>
      </c>
      <c r="K365" t="n">
        <v>0</v>
      </c>
      <c r="L365" t="n">
        <v>0</v>
      </c>
      <c r="M365" t="n">
        <v>0</v>
      </c>
      <c r="N365" t="n">
        <v>0</v>
      </c>
      <c r="O365" t="n">
        <v>0</v>
      </c>
      <c r="P365" t="n">
        <v>0</v>
      </c>
      <c r="Q365" t="n">
        <v>0</v>
      </c>
      <c r="R365" s="2" t="inlineStr"/>
    </row>
    <row r="366" ht="15" customHeight="1">
      <c r="A366" t="inlineStr">
        <is>
          <t>A 31430-2020</t>
        </is>
      </c>
      <c r="B366" s="1" t="n">
        <v>44013</v>
      </c>
      <c r="C366" s="1" t="n">
        <v>45708</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31932-2020</t>
        </is>
      </c>
      <c r="B367" s="1" t="n">
        <v>44014</v>
      </c>
      <c r="C367" s="1" t="n">
        <v>45708</v>
      </c>
      <c r="D367" t="inlineStr">
        <is>
          <t>UPPSALA LÄN</t>
        </is>
      </c>
      <c r="E367" t="inlineStr">
        <is>
          <t>UPPSALA</t>
        </is>
      </c>
      <c r="G367" t="n">
        <v>5.6</v>
      </c>
      <c r="H367" t="n">
        <v>0</v>
      </c>
      <c r="I367" t="n">
        <v>0</v>
      </c>
      <c r="J367" t="n">
        <v>0</v>
      </c>
      <c r="K367" t="n">
        <v>0</v>
      </c>
      <c r="L367" t="n">
        <v>0</v>
      </c>
      <c r="M367" t="n">
        <v>0</v>
      </c>
      <c r="N367" t="n">
        <v>0</v>
      </c>
      <c r="O367" t="n">
        <v>0</v>
      </c>
      <c r="P367" t="n">
        <v>0</v>
      </c>
      <c r="Q367" t="n">
        <v>0</v>
      </c>
      <c r="R367" s="2" t="inlineStr"/>
    </row>
    <row r="368" ht="15" customHeight="1">
      <c r="A368" t="inlineStr">
        <is>
          <t>A 32235-2020</t>
        </is>
      </c>
      <c r="B368" s="1" t="n">
        <v>44015</v>
      </c>
      <c r="C368" s="1" t="n">
        <v>45708</v>
      </c>
      <c r="D368" t="inlineStr">
        <is>
          <t>UPPSALA LÄN</t>
        </is>
      </c>
      <c r="E368" t="inlineStr">
        <is>
          <t>UPPSALA</t>
        </is>
      </c>
      <c r="F368" t="inlineStr">
        <is>
          <t>Bergvik skog öst AB</t>
        </is>
      </c>
      <c r="G368" t="n">
        <v>0.5</v>
      </c>
      <c r="H368" t="n">
        <v>0</v>
      </c>
      <c r="I368" t="n">
        <v>0</v>
      </c>
      <c r="J368" t="n">
        <v>0</v>
      </c>
      <c r="K368" t="n">
        <v>0</v>
      </c>
      <c r="L368" t="n">
        <v>0</v>
      </c>
      <c r="M368" t="n">
        <v>0</v>
      </c>
      <c r="N368" t="n">
        <v>0</v>
      </c>
      <c r="O368" t="n">
        <v>0</v>
      </c>
      <c r="P368" t="n">
        <v>0</v>
      </c>
      <c r="Q368" t="n">
        <v>0</v>
      </c>
      <c r="R368" s="2" t="inlineStr"/>
    </row>
    <row r="369" ht="15" customHeight="1">
      <c r="A369" t="inlineStr">
        <is>
          <t>A 32340-2020</t>
        </is>
      </c>
      <c r="B369" s="1" t="n">
        <v>44016</v>
      </c>
      <c r="C369" s="1" t="n">
        <v>45708</v>
      </c>
      <c r="D369" t="inlineStr">
        <is>
          <t>UPPSALA LÄN</t>
        </is>
      </c>
      <c r="E369" t="inlineStr">
        <is>
          <t>UPPSALA</t>
        </is>
      </c>
      <c r="F369" t="inlineStr">
        <is>
          <t>Bergvik skog öst AB</t>
        </is>
      </c>
      <c r="G369" t="n">
        <v>1.2</v>
      </c>
      <c r="H369" t="n">
        <v>0</v>
      </c>
      <c r="I369" t="n">
        <v>0</v>
      </c>
      <c r="J369" t="n">
        <v>0</v>
      </c>
      <c r="K369" t="n">
        <v>0</v>
      </c>
      <c r="L369" t="n">
        <v>0</v>
      </c>
      <c r="M369" t="n">
        <v>0</v>
      </c>
      <c r="N369" t="n">
        <v>0</v>
      </c>
      <c r="O369" t="n">
        <v>0</v>
      </c>
      <c r="P369" t="n">
        <v>0</v>
      </c>
      <c r="Q369" t="n">
        <v>0</v>
      </c>
      <c r="R369" s="2" t="inlineStr"/>
    </row>
    <row r="370" ht="15" customHeight="1">
      <c r="A370" t="inlineStr">
        <is>
          <t>A 32608-2020</t>
        </is>
      </c>
      <c r="B370" s="1" t="n">
        <v>44019</v>
      </c>
      <c r="C370" s="1" t="n">
        <v>45708</v>
      </c>
      <c r="D370" t="inlineStr">
        <is>
          <t>UPPSALA LÄN</t>
        </is>
      </c>
      <c r="E370" t="inlineStr">
        <is>
          <t>UPPSALA</t>
        </is>
      </c>
      <c r="F370" t="inlineStr">
        <is>
          <t>Bergvik skog öst AB</t>
        </is>
      </c>
      <c r="G370" t="n">
        <v>5.7</v>
      </c>
      <c r="H370" t="n">
        <v>0</v>
      </c>
      <c r="I370" t="n">
        <v>0</v>
      </c>
      <c r="J370" t="n">
        <v>0</v>
      </c>
      <c r="K370" t="n">
        <v>0</v>
      </c>
      <c r="L370" t="n">
        <v>0</v>
      </c>
      <c r="M370" t="n">
        <v>0</v>
      </c>
      <c r="N370" t="n">
        <v>0</v>
      </c>
      <c r="O370" t="n">
        <v>0</v>
      </c>
      <c r="P370" t="n">
        <v>0</v>
      </c>
      <c r="Q370" t="n">
        <v>0</v>
      </c>
      <c r="R370" s="2" t="inlineStr"/>
    </row>
    <row r="371" ht="15" customHeight="1">
      <c r="A371" t="inlineStr">
        <is>
          <t>A 33658-2020</t>
        </is>
      </c>
      <c r="B371" s="1" t="n">
        <v>44026</v>
      </c>
      <c r="C371" s="1" t="n">
        <v>45708</v>
      </c>
      <c r="D371" t="inlineStr">
        <is>
          <t>UPPSALA LÄN</t>
        </is>
      </c>
      <c r="E371" t="inlineStr">
        <is>
          <t>UPPSALA</t>
        </is>
      </c>
      <c r="G371" t="n">
        <v>2.2</v>
      </c>
      <c r="H371" t="n">
        <v>0</v>
      </c>
      <c r="I371" t="n">
        <v>0</v>
      </c>
      <c r="J371" t="n">
        <v>0</v>
      </c>
      <c r="K371" t="n">
        <v>0</v>
      </c>
      <c r="L371" t="n">
        <v>0</v>
      </c>
      <c r="M371" t="n">
        <v>0</v>
      </c>
      <c r="N371" t="n">
        <v>0</v>
      </c>
      <c r="O371" t="n">
        <v>0</v>
      </c>
      <c r="P371" t="n">
        <v>0</v>
      </c>
      <c r="Q371" t="n">
        <v>0</v>
      </c>
      <c r="R371" s="2" t="inlineStr"/>
    </row>
    <row r="372" ht="15" customHeight="1">
      <c r="A372" t="inlineStr">
        <is>
          <t>A 34205-2020</t>
        </is>
      </c>
      <c r="B372" s="1" t="n">
        <v>44029</v>
      </c>
      <c r="C372" s="1" t="n">
        <v>45708</v>
      </c>
      <c r="D372" t="inlineStr">
        <is>
          <t>UPPSALA LÄN</t>
        </is>
      </c>
      <c r="E372" t="inlineStr">
        <is>
          <t>UPPSALA</t>
        </is>
      </c>
      <c r="G372" t="n">
        <v>0.8</v>
      </c>
      <c r="H372" t="n">
        <v>0</v>
      </c>
      <c r="I372" t="n">
        <v>0</v>
      </c>
      <c r="J372" t="n">
        <v>0</v>
      </c>
      <c r="K372" t="n">
        <v>0</v>
      </c>
      <c r="L372" t="n">
        <v>0</v>
      </c>
      <c r="M372" t="n">
        <v>0</v>
      </c>
      <c r="N372" t="n">
        <v>0</v>
      </c>
      <c r="O372" t="n">
        <v>0</v>
      </c>
      <c r="P372" t="n">
        <v>0</v>
      </c>
      <c r="Q372" t="n">
        <v>0</v>
      </c>
      <c r="R372" s="2" t="inlineStr"/>
    </row>
    <row r="373" ht="15" customHeight="1">
      <c r="A373" t="inlineStr">
        <is>
          <t>A 34565-2020</t>
        </is>
      </c>
      <c r="B373" s="1" t="n">
        <v>44033</v>
      </c>
      <c r="C373" s="1" t="n">
        <v>45708</v>
      </c>
      <c r="D373" t="inlineStr">
        <is>
          <t>UPPSALA LÄN</t>
        </is>
      </c>
      <c r="E373" t="inlineStr">
        <is>
          <t>UPPSALA</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34753-2020</t>
        </is>
      </c>
      <c r="B374" s="1" t="n">
        <v>44035</v>
      </c>
      <c r="C374" s="1" t="n">
        <v>45708</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34749-2020</t>
        </is>
      </c>
      <c r="B375" s="1" t="n">
        <v>44035</v>
      </c>
      <c r="C375" s="1" t="n">
        <v>45708</v>
      </c>
      <c r="D375" t="inlineStr">
        <is>
          <t>UPPSALA LÄN</t>
        </is>
      </c>
      <c r="E375" t="inlineStr">
        <is>
          <t>UPPSALA</t>
        </is>
      </c>
      <c r="G375" t="n">
        <v>5.5</v>
      </c>
      <c r="H375" t="n">
        <v>0</v>
      </c>
      <c r="I375" t="n">
        <v>0</v>
      </c>
      <c r="J375" t="n">
        <v>0</v>
      </c>
      <c r="K375" t="n">
        <v>0</v>
      </c>
      <c r="L375" t="n">
        <v>0</v>
      </c>
      <c r="M375" t="n">
        <v>0</v>
      </c>
      <c r="N375" t="n">
        <v>0</v>
      </c>
      <c r="O375" t="n">
        <v>0</v>
      </c>
      <c r="P375" t="n">
        <v>0</v>
      </c>
      <c r="Q375" t="n">
        <v>0</v>
      </c>
      <c r="R375" s="2" t="inlineStr"/>
    </row>
    <row r="376" ht="15" customHeight="1">
      <c r="A376" t="inlineStr">
        <is>
          <t>A 35281-2020</t>
        </is>
      </c>
      <c r="B376" s="1" t="n">
        <v>44041</v>
      </c>
      <c r="C376" s="1" t="n">
        <v>45708</v>
      </c>
      <c r="D376" t="inlineStr">
        <is>
          <t>UPPSALA LÄN</t>
        </is>
      </c>
      <c r="E376" t="inlineStr">
        <is>
          <t>UPPSALA</t>
        </is>
      </c>
      <c r="F376" t="inlineStr">
        <is>
          <t>Bergvik skog öst AB</t>
        </is>
      </c>
      <c r="G376" t="n">
        <v>3.1</v>
      </c>
      <c r="H376" t="n">
        <v>0</v>
      </c>
      <c r="I376" t="n">
        <v>0</v>
      </c>
      <c r="J376" t="n">
        <v>0</v>
      </c>
      <c r="K376" t="n">
        <v>0</v>
      </c>
      <c r="L376" t="n">
        <v>0</v>
      </c>
      <c r="M376" t="n">
        <v>0</v>
      </c>
      <c r="N376" t="n">
        <v>0</v>
      </c>
      <c r="O376" t="n">
        <v>0</v>
      </c>
      <c r="P376" t="n">
        <v>0</v>
      </c>
      <c r="Q376" t="n">
        <v>0</v>
      </c>
      <c r="R376" s="2" t="inlineStr"/>
    </row>
    <row r="377" ht="15" customHeight="1">
      <c r="A377" t="inlineStr">
        <is>
          <t>A 36035-2020</t>
        </is>
      </c>
      <c r="B377" s="1" t="n">
        <v>44048</v>
      </c>
      <c r="C377" s="1" t="n">
        <v>45708</v>
      </c>
      <c r="D377" t="inlineStr">
        <is>
          <t>UPPSALA LÄN</t>
        </is>
      </c>
      <c r="E377" t="inlineStr">
        <is>
          <t>UPPSALA</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36202-2020</t>
        </is>
      </c>
      <c r="B378" s="1" t="n">
        <v>44048</v>
      </c>
      <c r="C378" s="1" t="n">
        <v>45708</v>
      </c>
      <c r="D378" t="inlineStr">
        <is>
          <t>UPPSALA LÄN</t>
        </is>
      </c>
      <c r="E378" t="inlineStr">
        <is>
          <t>UPPSALA</t>
        </is>
      </c>
      <c r="F378" t="inlineStr">
        <is>
          <t>Bergvik skog öst AB</t>
        </is>
      </c>
      <c r="G378" t="n">
        <v>0.4</v>
      </c>
      <c r="H378" t="n">
        <v>0</v>
      </c>
      <c r="I378" t="n">
        <v>0</v>
      </c>
      <c r="J378" t="n">
        <v>0</v>
      </c>
      <c r="K378" t="n">
        <v>0</v>
      </c>
      <c r="L378" t="n">
        <v>0</v>
      </c>
      <c r="M378" t="n">
        <v>0</v>
      </c>
      <c r="N378" t="n">
        <v>0</v>
      </c>
      <c r="O378" t="n">
        <v>0</v>
      </c>
      <c r="P378" t="n">
        <v>0</v>
      </c>
      <c r="Q378" t="n">
        <v>0</v>
      </c>
      <c r="R378" s="2" t="inlineStr"/>
    </row>
    <row r="379" ht="15" customHeight="1">
      <c r="A379" t="inlineStr">
        <is>
          <t>A 36198-2020</t>
        </is>
      </c>
      <c r="B379" s="1" t="n">
        <v>44048</v>
      </c>
      <c r="C379" s="1" t="n">
        <v>45708</v>
      </c>
      <c r="D379" t="inlineStr">
        <is>
          <t>UPPSALA LÄN</t>
        </is>
      </c>
      <c r="E379" t="inlineStr">
        <is>
          <t>UPPSALA</t>
        </is>
      </c>
      <c r="F379" t="inlineStr">
        <is>
          <t>Bergvik skog öst AB</t>
        </is>
      </c>
      <c r="G379" t="n">
        <v>0.3</v>
      </c>
      <c r="H379" t="n">
        <v>0</v>
      </c>
      <c r="I379" t="n">
        <v>0</v>
      </c>
      <c r="J379" t="n">
        <v>0</v>
      </c>
      <c r="K379" t="n">
        <v>0</v>
      </c>
      <c r="L379" t="n">
        <v>0</v>
      </c>
      <c r="M379" t="n">
        <v>0</v>
      </c>
      <c r="N379" t="n">
        <v>0</v>
      </c>
      <c r="O379" t="n">
        <v>0</v>
      </c>
      <c r="P379" t="n">
        <v>0</v>
      </c>
      <c r="Q379" t="n">
        <v>0</v>
      </c>
      <c r="R379" s="2" t="inlineStr"/>
    </row>
    <row r="380" ht="15" customHeight="1">
      <c r="A380" t="inlineStr">
        <is>
          <t>A 36350-2020</t>
        </is>
      </c>
      <c r="B380" s="1" t="n">
        <v>44049</v>
      </c>
      <c r="C380" s="1" t="n">
        <v>45708</v>
      </c>
      <c r="D380" t="inlineStr">
        <is>
          <t>UPPSALA LÄN</t>
        </is>
      </c>
      <c r="E380" t="inlineStr">
        <is>
          <t>UPPSALA</t>
        </is>
      </c>
      <c r="G380" t="n">
        <v>1.9</v>
      </c>
      <c r="H380" t="n">
        <v>0</v>
      </c>
      <c r="I380" t="n">
        <v>0</v>
      </c>
      <c r="J380" t="n">
        <v>0</v>
      </c>
      <c r="K380" t="n">
        <v>0</v>
      </c>
      <c r="L380" t="n">
        <v>0</v>
      </c>
      <c r="M380" t="n">
        <v>0</v>
      </c>
      <c r="N380" t="n">
        <v>0</v>
      </c>
      <c r="O380" t="n">
        <v>0</v>
      </c>
      <c r="P380" t="n">
        <v>0</v>
      </c>
      <c r="Q380" t="n">
        <v>0</v>
      </c>
      <c r="R380" s="2" t="inlineStr"/>
    </row>
    <row r="381" ht="15" customHeight="1">
      <c r="A381" t="inlineStr">
        <is>
          <t>A 36512-2020</t>
        </is>
      </c>
      <c r="B381" s="1" t="n">
        <v>44050</v>
      </c>
      <c r="C381" s="1" t="n">
        <v>45708</v>
      </c>
      <c r="D381" t="inlineStr">
        <is>
          <t>UPPSALA LÄN</t>
        </is>
      </c>
      <c r="E381" t="inlineStr">
        <is>
          <t>UPPSALA</t>
        </is>
      </c>
      <c r="G381" t="n">
        <v>5.8</v>
      </c>
      <c r="H381" t="n">
        <v>0</v>
      </c>
      <c r="I381" t="n">
        <v>0</v>
      </c>
      <c r="J381" t="n">
        <v>0</v>
      </c>
      <c r="K381" t="n">
        <v>0</v>
      </c>
      <c r="L381" t="n">
        <v>0</v>
      </c>
      <c r="M381" t="n">
        <v>0</v>
      </c>
      <c r="N381" t="n">
        <v>0</v>
      </c>
      <c r="O381" t="n">
        <v>0</v>
      </c>
      <c r="P381" t="n">
        <v>0</v>
      </c>
      <c r="Q381" t="n">
        <v>0</v>
      </c>
      <c r="R381" s="2" t="inlineStr"/>
    </row>
    <row r="382" ht="15" customHeight="1">
      <c r="A382" t="inlineStr">
        <is>
          <t>A 37276-2020</t>
        </is>
      </c>
      <c r="B382" s="1" t="n">
        <v>44055</v>
      </c>
      <c r="C382" s="1" t="n">
        <v>45708</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37669-2020</t>
        </is>
      </c>
      <c r="B383" s="1" t="n">
        <v>44056</v>
      </c>
      <c r="C383" s="1" t="n">
        <v>45708</v>
      </c>
      <c r="D383" t="inlineStr">
        <is>
          <t>UPPSALA LÄN</t>
        </is>
      </c>
      <c r="E383" t="inlineStr">
        <is>
          <t>UPPSALA</t>
        </is>
      </c>
      <c r="G383" t="n">
        <v>5.1</v>
      </c>
      <c r="H383" t="n">
        <v>0</v>
      </c>
      <c r="I383" t="n">
        <v>0</v>
      </c>
      <c r="J383" t="n">
        <v>0</v>
      </c>
      <c r="K383" t="n">
        <v>0</v>
      </c>
      <c r="L383" t="n">
        <v>0</v>
      </c>
      <c r="M383" t="n">
        <v>0</v>
      </c>
      <c r="N383" t="n">
        <v>0</v>
      </c>
      <c r="O383" t="n">
        <v>0</v>
      </c>
      <c r="P383" t="n">
        <v>0</v>
      </c>
      <c r="Q383" t="n">
        <v>0</v>
      </c>
      <c r="R383" s="2" t="inlineStr"/>
    </row>
    <row r="384" ht="15" customHeight="1">
      <c r="A384" t="inlineStr">
        <is>
          <t>A 39233-2020</t>
        </is>
      </c>
      <c r="B384" s="1" t="n">
        <v>44063</v>
      </c>
      <c r="C384" s="1" t="n">
        <v>45708</v>
      </c>
      <c r="D384" t="inlineStr">
        <is>
          <t>UPPSALA LÄN</t>
        </is>
      </c>
      <c r="E384" t="inlineStr">
        <is>
          <t>UPPSALA</t>
        </is>
      </c>
      <c r="G384" t="n">
        <v>1.2</v>
      </c>
      <c r="H384" t="n">
        <v>0</v>
      </c>
      <c r="I384" t="n">
        <v>0</v>
      </c>
      <c r="J384" t="n">
        <v>0</v>
      </c>
      <c r="K384" t="n">
        <v>0</v>
      </c>
      <c r="L384" t="n">
        <v>0</v>
      </c>
      <c r="M384" t="n">
        <v>0</v>
      </c>
      <c r="N384" t="n">
        <v>0</v>
      </c>
      <c r="O384" t="n">
        <v>0</v>
      </c>
      <c r="P384" t="n">
        <v>0</v>
      </c>
      <c r="Q384" t="n">
        <v>0</v>
      </c>
      <c r="R384" s="2" t="inlineStr"/>
    </row>
    <row r="385" ht="15" customHeight="1">
      <c r="A385" t="inlineStr">
        <is>
          <t>A 39178-2020</t>
        </is>
      </c>
      <c r="B385" s="1" t="n">
        <v>44063</v>
      </c>
      <c r="C385" s="1" t="n">
        <v>45708</v>
      </c>
      <c r="D385" t="inlineStr">
        <is>
          <t>UPPSALA LÄN</t>
        </is>
      </c>
      <c r="E385" t="inlineStr">
        <is>
          <t>UPPSALA</t>
        </is>
      </c>
      <c r="F385" t="inlineStr">
        <is>
          <t>Bergvik skog öst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39236-2020</t>
        </is>
      </c>
      <c r="B386" s="1" t="n">
        <v>44063</v>
      </c>
      <c r="C386" s="1" t="n">
        <v>45708</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39272-2020</t>
        </is>
      </c>
      <c r="B387" s="1" t="n">
        <v>44063</v>
      </c>
      <c r="C387" s="1" t="n">
        <v>45708</v>
      </c>
      <c r="D387" t="inlineStr">
        <is>
          <t>UPPSALA LÄN</t>
        </is>
      </c>
      <c r="E387" t="inlineStr">
        <is>
          <t>UPPSALA</t>
        </is>
      </c>
      <c r="G387" t="n">
        <v>2.3</v>
      </c>
      <c r="H387" t="n">
        <v>0</v>
      </c>
      <c r="I387" t="n">
        <v>0</v>
      </c>
      <c r="J387" t="n">
        <v>0</v>
      </c>
      <c r="K387" t="n">
        <v>0</v>
      </c>
      <c r="L387" t="n">
        <v>0</v>
      </c>
      <c r="M387" t="n">
        <v>0</v>
      </c>
      <c r="N387" t="n">
        <v>0</v>
      </c>
      <c r="O387" t="n">
        <v>0</v>
      </c>
      <c r="P387" t="n">
        <v>0</v>
      </c>
      <c r="Q387" t="n">
        <v>0</v>
      </c>
      <c r="R387" s="2" t="inlineStr"/>
    </row>
    <row r="388" ht="15" customHeight="1">
      <c r="A388" t="inlineStr">
        <is>
          <t>A 40894-2020</t>
        </is>
      </c>
      <c r="B388" s="1" t="n">
        <v>44070</v>
      </c>
      <c r="C388" s="1" t="n">
        <v>45708</v>
      </c>
      <c r="D388" t="inlineStr">
        <is>
          <t>UPPSALA LÄN</t>
        </is>
      </c>
      <c r="E388" t="inlineStr">
        <is>
          <t>UPPSALA</t>
        </is>
      </c>
      <c r="G388" t="n">
        <v>7.1</v>
      </c>
      <c r="H388" t="n">
        <v>0</v>
      </c>
      <c r="I388" t="n">
        <v>0</v>
      </c>
      <c r="J388" t="n">
        <v>0</v>
      </c>
      <c r="K388" t="n">
        <v>0</v>
      </c>
      <c r="L388" t="n">
        <v>0</v>
      </c>
      <c r="M388" t="n">
        <v>0</v>
      </c>
      <c r="N388" t="n">
        <v>0</v>
      </c>
      <c r="O388" t="n">
        <v>0</v>
      </c>
      <c r="P388" t="n">
        <v>0</v>
      </c>
      <c r="Q388" t="n">
        <v>0</v>
      </c>
      <c r="R388" s="2" t="inlineStr"/>
    </row>
    <row r="389" ht="15" customHeight="1">
      <c r="A389" t="inlineStr">
        <is>
          <t>A 42341-2020</t>
        </is>
      </c>
      <c r="B389" s="1" t="n">
        <v>44076</v>
      </c>
      <c r="C389" s="1" t="n">
        <v>45708</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43968-2020</t>
        </is>
      </c>
      <c r="B390" s="1" t="n">
        <v>44083</v>
      </c>
      <c r="C390" s="1" t="n">
        <v>45708</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45930-2020</t>
        </is>
      </c>
      <c r="B391" s="1" t="n">
        <v>44091</v>
      </c>
      <c r="C391" s="1" t="n">
        <v>45708</v>
      </c>
      <c r="D391" t="inlineStr">
        <is>
          <t>UPPSALA LÄN</t>
        </is>
      </c>
      <c r="E391" t="inlineStr">
        <is>
          <t>UPPSALA</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46633-2020</t>
        </is>
      </c>
      <c r="B392" s="1" t="n">
        <v>44095</v>
      </c>
      <c r="C392" s="1" t="n">
        <v>45708</v>
      </c>
      <c r="D392" t="inlineStr">
        <is>
          <t>UPPSALA LÄN</t>
        </is>
      </c>
      <c r="E392" t="inlineStr">
        <is>
          <t>UPPSALA</t>
        </is>
      </c>
      <c r="G392" t="n">
        <v>4.2</v>
      </c>
      <c r="H392" t="n">
        <v>0</v>
      </c>
      <c r="I392" t="n">
        <v>0</v>
      </c>
      <c r="J392" t="n">
        <v>0</v>
      </c>
      <c r="K392" t="n">
        <v>0</v>
      </c>
      <c r="L392" t="n">
        <v>0</v>
      </c>
      <c r="M392" t="n">
        <v>0</v>
      </c>
      <c r="N392" t="n">
        <v>0</v>
      </c>
      <c r="O392" t="n">
        <v>0</v>
      </c>
      <c r="P392" t="n">
        <v>0</v>
      </c>
      <c r="Q392" t="n">
        <v>0</v>
      </c>
      <c r="R392" s="2" t="inlineStr"/>
    </row>
    <row r="393" ht="15" customHeight="1">
      <c r="A393" t="inlineStr">
        <is>
          <t>A 46647-2020</t>
        </is>
      </c>
      <c r="B393" s="1" t="n">
        <v>44095</v>
      </c>
      <c r="C393" s="1" t="n">
        <v>45708</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48786-2020</t>
        </is>
      </c>
      <c r="B394" s="1" t="n">
        <v>44103</v>
      </c>
      <c r="C394" s="1" t="n">
        <v>45708</v>
      </c>
      <c r="D394" t="inlineStr">
        <is>
          <t>UPPSALA LÄN</t>
        </is>
      </c>
      <c r="E394" t="inlineStr">
        <is>
          <t>UPPSALA</t>
        </is>
      </c>
      <c r="G394" t="n">
        <v>0.4</v>
      </c>
      <c r="H394" t="n">
        <v>0</v>
      </c>
      <c r="I394" t="n">
        <v>0</v>
      </c>
      <c r="J394" t="n">
        <v>0</v>
      </c>
      <c r="K394" t="n">
        <v>0</v>
      </c>
      <c r="L394" t="n">
        <v>0</v>
      </c>
      <c r="M394" t="n">
        <v>0</v>
      </c>
      <c r="N394" t="n">
        <v>0</v>
      </c>
      <c r="O394" t="n">
        <v>0</v>
      </c>
      <c r="P394" t="n">
        <v>0</v>
      </c>
      <c r="Q394" t="n">
        <v>0</v>
      </c>
      <c r="R394" s="2" t="inlineStr"/>
    </row>
    <row r="395" ht="15" customHeight="1">
      <c r="A395" t="inlineStr">
        <is>
          <t>A 49363-2020</t>
        </is>
      </c>
      <c r="B395" s="1" t="n">
        <v>44105</v>
      </c>
      <c r="C395" s="1" t="n">
        <v>45708</v>
      </c>
      <c r="D395" t="inlineStr">
        <is>
          <t>UPPSALA LÄN</t>
        </is>
      </c>
      <c r="E395" t="inlineStr">
        <is>
          <t>UPPSALA</t>
        </is>
      </c>
      <c r="G395" t="n">
        <v>0.9</v>
      </c>
      <c r="H395" t="n">
        <v>0</v>
      </c>
      <c r="I395" t="n">
        <v>0</v>
      </c>
      <c r="J395" t="n">
        <v>0</v>
      </c>
      <c r="K395" t="n">
        <v>0</v>
      </c>
      <c r="L395" t="n">
        <v>0</v>
      </c>
      <c r="M395" t="n">
        <v>0</v>
      </c>
      <c r="N395" t="n">
        <v>0</v>
      </c>
      <c r="O395" t="n">
        <v>0</v>
      </c>
      <c r="P395" t="n">
        <v>0</v>
      </c>
      <c r="Q395" t="n">
        <v>0</v>
      </c>
      <c r="R395" s="2" t="inlineStr"/>
    </row>
    <row r="396" ht="15" customHeight="1">
      <c r="A396" t="inlineStr">
        <is>
          <t>A 49409-2020</t>
        </is>
      </c>
      <c r="B396" s="1" t="n">
        <v>44105</v>
      </c>
      <c r="C396" s="1" t="n">
        <v>45708</v>
      </c>
      <c r="D396" t="inlineStr">
        <is>
          <t>UPPSALA LÄN</t>
        </is>
      </c>
      <c r="E396" t="inlineStr">
        <is>
          <t>UPPSALA</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49404-2020</t>
        </is>
      </c>
      <c r="B397" s="1" t="n">
        <v>44105</v>
      </c>
      <c r="C397" s="1" t="n">
        <v>45708</v>
      </c>
      <c r="D397" t="inlineStr">
        <is>
          <t>UPPSALA LÄN</t>
        </is>
      </c>
      <c r="E397" t="inlineStr">
        <is>
          <t>UPPSALA</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49821-2020</t>
        </is>
      </c>
      <c r="B398" s="1" t="n">
        <v>44106</v>
      </c>
      <c r="C398" s="1" t="n">
        <v>45708</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49931-2020</t>
        </is>
      </c>
      <c r="B399" s="1" t="n">
        <v>44109</v>
      </c>
      <c r="C399" s="1" t="n">
        <v>45708</v>
      </c>
      <c r="D399" t="inlineStr">
        <is>
          <t>UPPSALA LÄN</t>
        </is>
      </c>
      <c r="E399" t="inlineStr">
        <is>
          <t>UPPSALA</t>
        </is>
      </c>
      <c r="G399" t="n">
        <v>3.4</v>
      </c>
      <c r="H399" t="n">
        <v>0</v>
      </c>
      <c r="I399" t="n">
        <v>0</v>
      </c>
      <c r="J399" t="n">
        <v>0</v>
      </c>
      <c r="K399" t="n">
        <v>0</v>
      </c>
      <c r="L399" t="n">
        <v>0</v>
      </c>
      <c r="M399" t="n">
        <v>0</v>
      </c>
      <c r="N399" t="n">
        <v>0</v>
      </c>
      <c r="O399" t="n">
        <v>0</v>
      </c>
      <c r="P399" t="n">
        <v>0</v>
      </c>
      <c r="Q399" t="n">
        <v>0</v>
      </c>
      <c r="R399" s="2" t="inlineStr"/>
    </row>
    <row r="400" ht="15" customHeight="1">
      <c r="A400" t="inlineStr">
        <is>
          <t>A 52717-2020</t>
        </is>
      </c>
      <c r="B400" s="1" t="n">
        <v>44119</v>
      </c>
      <c r="C400" s="1" t="n">
        <v>45708</v>
      </c>
      <c r="D400" t="inlineStr">
        <is>
          <t>UPPSALA LÄN</t>
        </is>
      </c>
      <c r="E400" t="inlineStr">
        <is>
          <t>UPPSALA</t>
        </is>
      </c>
      <c r="G400" t="n">
        <v>2.8</v>
      </c>
      <c r="H400" t="n">
        <v>0</v>
      </c>
      <c r="I400" t="n">
        <v>0</v>
      </c>
      <c r="J400" t="n">
        <v>0</v>
      </c>
      <c r="K400" t="n">
        <v>0</v>
      </c>
      <c r="L400" t="n">
        <v>0</v>
      </c>
      <c r="M400" t="n">
        <v>0</v>
      </c>
      <c r="N400" t="n">
        <v>0</v>
      </c>
      <c r="O400" t="n">
        <v>0</v>
      </c>
      <c r="P400" t="n">
        <v>0</v>
      </c>
      <c r="Q400" t="n">
        <v>0</v>
      </c>
      <c r="R400" s="2" t="inlineStr"/>
    </row>
    <row r="401" ht="15" customHeight="1">
      <c r="A401" t="inlineStr">
        <is>
          <t>A 53346-2020</t>
        </is>
      </c>
      <c r="B401" s="1" t="n">
        <v>44123</v>
      </c>
      <c r="C401" s="1" t="n">
        <v>45708</v>
      </c>
      <c r="D401" t="inlineStr">
        <is>
          <t>UPPSALA LÄN</t>
        </is>
      </c>
      <c r="E401" t="inlineStr">
        <is>
          <t>UPPSALA</t>
        </is>
      </c>
      <c r="G401" t="n">
        <v>1.4</v>
      </c>
      <c r="H401" t="n">
        <v>0</v>
      </c>
      <c r="I401" t="n">
        <v>0</v>
      </c>
      <c r="J401" t="n">
        <v>0</v>
      </c>
      <c r="K401" t="n">
        <v>0</v>
      </c>
      <c r="L401" t="n">
        <v>0</v>
      </c>
      <c r="M401" t="n">
        <v>0</v>
      </c>
      <c r="N401" t="n">
        <v>0</v>
      </c>
      <c r="O401" t="n">
        <v>0</v>
      </c>
      <c r="P401" t="n">
        <v>0</v>
      </c>
      <c r="Q401" t="n">
        <v>0</v>
      </c>
      <c r="R401" s="2" t="inlineStr"/>
    </row>
    <row r="402" ht="15" customHeight="1">
      <c r="A402" t="inlineStr">
        <is>
          <t>A 53379-2020</t>
        </is>
      </c>
      <c r="B402" s="1" t="n">
        <v>44123</v>
      </c>
      <c r="C402" s="1" t="n">
        <v>45708</v>
      </c>
      <c r="D402" t="inlineStr">
        <is>
          <t>UPPSALA LÄN</t>
        </is>
      </c>
      <c r="E402" t="inlineStr">
        <is>
          <t>UPPSALA</t>
        </is>
      </c>
      <c r="G402" t="n">
        <v>2.6</v>
      </c>
      <c r="H402" t="n">
        <v>0</v>
      </c>
      <c r="I402" t="n">
        <v>0</v>
      </c>
      <c r="J402" t="n">
        <v>0</v>
      </c>
      <c r="K402" t="n">
        <v>0</v>
      </c>
      <c r="L402" t="n">
        <v>0</v>
      </c>
      <c r="M402" t="n">
        <v>0</v>
      </c>
      <c r="N402" t="n">
        <v>0</v>
      </c>
      <c r="O402" t="n">
        <v>0</v>
      </c>
      <c r="P402" t="n">
        <v>0</v>
      </c>
      <c r="Q402" t="n">
        <v>0</v>
      </c>
      <c r="R402" s="2" t="inlineStr"/>
    </row>
    <row r="403" ht="15" customHeight="1">
      <c r="A403" t="inlineStr">
        <is>
          <t>A 54742-2020</t>
        </is>
      </c>
      <c r="B403" s="1" t="n">
        <v>44126</v>
      </c>
      <c r="C403" s="1" t="n">
        <v>45708</v>
      </c>
      <c r="D403" t="inlineStr">
        <is>
          <t>UPPSALA LÄN</t>
        </is>
      </c>
      <c r="E403" t="inlineStr">
        <is>
          <t>UPPSALA</t>
        </is>
      </c>
      <c r="G403" t="n">
        <v>3.6</v>
      </c>
      <c r="H403" t="n">
        <v>0</v>
      </c>
      <c r="I403" t="n">
        <v>0</v>
      </c>
      <c r="J403" t="n">
        <v>0</v>
      </c>
      <c r="K403" t="n">
        <v>0</v>
      </c>
      <c r="L403" t="n">
        <v>0</v>
      </c>
      <c r="M403" t="n">
        <v>0</v>
      </c>
      <c r="N403" t="n">
        <v>0</v>
      </c>
      <c r="O403" t="n">
        <v>0</v>
      </c>
      <c r="P403" t="n">
        <v>0</v>
      </c>
      <c r="Q403" t="n">
        <v>0</v>
      </c>
      <c r="R403" s="2" t="inlineStr"/>
    </row>
    <row r="404" ht="15" customHeight="1">
      <c r="A404" t="inlineStr">
        <is>
          <t>A 55220-2020</t>
        </is>
      </c>
      <c r="B404" s="1" t="n">
        <v>44130</v>
      </c>
      <c r="C404" s="1" t="n">
        <v>45708</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55953-2020</t>
        </is>
      </c>
      <c r="B405" s="1" t="n">
        <v>44131</v>
      </c>
      <c r="C405" s="1" t="n">
        <v>45708</v>
      </c>
      <c r="D405" t="inlineStr">
        <is>
          <t>UPPSALA LÄN</t>
        </is>
      </c>
      <c r="E405" t="inlineStr">
        <is>
          <t>UPPSALA</t>
        </is>
      </c>
      <c r="F405" t="inlineStr">
        <is>
          <t>Allmännings- och besparingsskogar</t>
        </is>
      </c>
      <c r="G405" t="n">
        <v>74.40000000000001</v>
      </c>
      <c r="H405" t="n">
        <v>0</v>
      </c>
      <c r="I405" t="n">
        <v>0</v>
      </c>
      <c r="J405" t="n">
        <v>0</v>
      </c>
      <c r="K405" t="n">
        <v>0</v>
      </c>
      <c r="L405" t="n">
        <v>0</v>
      </c>
      <c r="M405" t="n">
        <v>0</v>
      </c>
      <c r="N405" t="n">
        <v>0</v>
      </c>
      <c r="O405" t="n">
        <v>0</v>
      </c>
      <c r="P405" t="n">
        <v>0</v>
      </c>
      <c r="Q405" t="n">
        <v>0</v>
      </c>
      <c r="R405" s="2" t="inlineStr"/>
    </row>
    <row r="406" ht="15" customHeight="1">
      <c r="A406" t="inlineStr">
        <is>
          <t>A 56097-2020</t>
        </is>
      </c>
      <c r="B406" s="1" t="n">
        <v>44131</v>
      </c>
      <c r="C406" s="1" t="n">
        <v>45708</v>
      </c>
      <c r="D406" t="inlineStr">
        <is>
          <t>UPPSALA LÄN</t>
        </is>
      </c>
      <c r="E406" t="inlineStr">
        <is>
          <t>UPPSALA</t>
        </is>
      </c>
      <c r="F406" t="inlineStr">
        <is>
          <t>Allmännings- och besparingsskogar</t>
        </is>
      </c>
      <c r="G406" t="n">
        <v>10.6</v>
      </c>
      <c r="H406" t="n">
        <v>0</v>
      </c>
      <c r="I406" t="n">
        <v>0</v>
      </c>
      <c r="J406" t="n">
        <v>0</v>
      </c>
      <c r="K406" t="n">
        <v>0</v>
      </c>
      <c r="L406" t="n">
        <v>0</v>
      </c>
      <c r="M406" t="n">
        <v>0</v>
      </c>
      <c r="N406" t="n">
        <v>0</v>
      </c>
      <c r="O406" t="n">
        <v>0</v>
      </c>
      <c r="P406" t="n">
        <v>0</v>
      </c>
      <c r="Q406" t="n">
        <v>0</v>
      </c>
      <c r="R406" s="2" t="inlineStr"/>
    </row>
    <row r="407" ht="15" customHeight="1">
      <c r="A407" t="inlineStr">
        <is>
          <t>A 56466-2020</t>
        </is>
      </c>
      <c r="B407" s="1" t="n">
        <v>44134</v>
      </c>
      <c r="C407" s="1" t="n">
        <v>45708</v>
      </c>
      <c r="D407" t="inlineStr">
        <is>
          <t>UPPSALA LÄN</t>
        </is>
      </c>
      <c r="E407" t="inlineStr">
        <is>
          <t>UPPSALA</t>
        </is>
      </c>
      <c r="F407" t="inlineStr">
        <is>
          <t>Övriga Aktiebolag</t>
        </is>
      </c>
      <c r="G407" t="n">
        <v>3.3</v>
      </c>
      <c r="H407" t="n">
        <v>0</v>
      </c>
      <c r="I407" t="n">
        <v>0</v>
      </c>
      <c r="J407" t="n">
        <v>0</v>
      </c>
      <c r="K407" t="n">
        <v>0</v>
      </c>
      <c r="L407" t="n">
        <v>0</v>
      </c>
      <c r="M407" t="n">
        <v>0</v>
      </c>
      <c r="N407" t="n">
        <v>0</v>
      </c>
      <c r="O407" t="n">
        <v>0</v>
      </c>
      <c r="P407" t="n">
        <v>0</v>
      </c>
      <c r="Q407" t="n">
        <v>0</v>
      </c>
      <c r="R407" s="2" t="inlineStr"/>
    </row>
    <row r="408" ht="15" customHeight="1">
      <c r="A408" t="inlineStr">
        <is>
          <t>A 57041-2020</t>
        </is>
      </c>
      <c r="B408" s="1" t="n">
        <v>44137</v>
      </c>
      <c r="C408" s="1" t="n">
        <v>45708</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57271-2020</t>
        </is>
      </c>
      <c r="B409" s="1" t="n">
        <v>44139</v>
      </c>
      <c r="C409" s="1" t="n">
        <v>45708</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57451-2020</t>
        </is>
      </c>
      <c r="B410" s="1" t="n">
        <v>44139</v>
      </c>
      <c r="C410" s="1" t="n">
        <v>45708</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57466-2020</t>
        </is>
      </c>
      <c r="B411" s="1" t="n">
        <v>44139</v>
      </c>
      <c r="C411" s="1" t="n">
        <v>45708</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58070-2020</t>
        </is>
      </c>
      <c r="B412" s="1" t="n">
        <v>44140</v>
      </c>
      <c r="C412" s="1" t="n">
        <v>45708</v>
      </c>
      <c r="D412" t="inlineStr">
        <is>
          <t>UPPSALA LÄN</t>
        </is>
      </c>
      <c r="E412" t="inlineStr">
        <is>
          <t>UPPSALA</t>
        </is>
      </c>
      <c r="G412" t="n">
        <v>4</v>
      </c>
      <c r="H412" t="n">
        <v>0</v>
      </c>
      <c r="I412" t="n">
        <v>0</v>
      </c>
      <c r="J412" t="n">
        <v>0</v>
      </c>
      <c r="K412" t="n">
        <v>0</v>
      </c>
      <c r="L412" t="n">
        <v>0</v>
      </c>
      <c r="M412" t="n">
        <v>0</v>
      </c>
      <c r="N412" t="n">
        <v>0</v>
      </c>
      <c r="O412" t="n">
        <v>0</v>
      </c>
      <c r="P412" t="n">
        <v>0</v>
      </c>
      <c r="Q412" t="n">
        <v>0</v>
      </c>
      <c r="R412" s="2" t="inlineStr"/>
    </row>
    <row r="413" ht="15" customHeight="1">
      <c r="A413" t="inlineStr">
        <is>
          <t>A 58058-2020</t>
        </is>
      </c>
      <c r="B413" s="1" t="n">
        <v>44144</v>
      </c>
      <c r="C413" s="1" t="n">
        <v>45708</v>
      </c>
      <c r="D413" t="inlineStr">
        <is>
          <t>UPPSALA LÄN</t>
        </is>
      </c>
      <c r="E413" t="inlineStr">
        <is>
          <t>UPPSALA</t>
        </is>
      </c>
      <c r="G413" t="n">
        <v>4.4</v>
      </c>
      <c r="H413" t="n">
        <v>0</v>
      </c>
      <c r="I413" t="n">
        <v>0</v>
      </c>
      <c r="J413" t="n">
        <v>0</v>
      </c>
      <c r="K413" t="n">
        <v>0</v>
      </c>
      <c r="L413" t="n">
        <v>0</v>
      </c>
      <c r="M413" t="n">
        <v>0</v>
      </c>
      <c r="N413" t="n">
        <v>0</v>
      </c>
      <c r="O413" t="n">
        <v>0</v>
      </c>
      <c r="P413" t="n">
        <v>0</v>
      </c>
      <c r="Q413" t="n">
        <v>0</v>
      </c>
      <c r="R413" s="2" t="inlineStr"/>
    </row>
    <row r="414" ht="15" customHeight="1">
      <c r="A414" t="inlineStr">
        <is>
          <t>A 58056-2020</t>
        </is>
      </c>
      <c r="B414" s="1" t="n">
        <v>44144</v>
      </c>
      <c r="C414" s="1" t="n">
        <v>45708</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58288-2020</t>
        </is>
      </c>
      <c r="B415" s="1" t="n">
        <v>44144</v>
      </c>
      <c r="C415" s="1" t="n">
        <v>45708</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58928-2020</t>
        </is>
      </c>
      <c r="B416" s="1" t="n">
        <v>44146</v>
      </c>
      <c r="C416" s="1" t="n">
        <v>45708</v>
      </c>
      <c r="D416" t="inlineStr">
        <is>
          <t>UPPSALA LÄN</t>
        </is>
      </c>
      <c r="E416" t="inlineStr">
        <is>
          <t>UPPSALA</t>
        </is>
      </c>
      <c r="G416" t="n">
        <v>10.6</v>
      </c>
      <c r="H416" t="n">
        <v>0</v>
      </c>
      <c r="I416" t="n">
        <v>0</v>
      </c>
      <c r="J416" t="n">
        <v>0</v>
      </c>
      <c r="K416" t="n">
        <v>0</v>
      </c>
      <c r="L416" t="n">
        <v>0</v>
      </c>
      <c r="M416" t="n">
        <v>0</v>
      </c>
      <c r="N416" t="n">
        <v>0</v>
      </c>
      <c r="O416" t="n">
        <v>0</v>
      </c>
      <c r="P416" t="n">
        <v>0</v>
      </c>
      <c r="Q416" t="n">
        <v>0</v>
      </c>
      <c r="R416" s="2" t="inlineStr"/>
    </row>
    <row r="417" ht="15" customHeight="1">
      <c r="A417" t="inlineStr">
        <is>
          <t>A 59952-2020</t>
        </is>
      </c>
      <c r="B417" s="1" t="n">
        <v>44151</v>
      </c>
      <c r="C417" s="1" t="n">
        <v>45708</v>
      </c>
      <c r="D417" t="inlineStr">
        <is>
          <t>UPPSALA LÄN</t>
        </is>
      </c>
      <c r="E417" t="inlineStr">
        <is>
          <t>UPPSALA</t>
        </is>
      </c>
      <c r="G417" t="n">
        <v>25.8</v>
      </c>
      <c r="H417" t="n">
        <v>0</v>
      </c>
      <c r="I417" t="n">
        <v>0</v>
      </c>
      <c r="J417" t="n">
        <v>0</v>
      </c>
      <c r="K417" t="n">
        <v>0</v>
      </c>
      <c r="L417" t="n">
        <v>0</v>
      </c>
      <c r="M417" t="n">
        <v>0</v>
      </c>
      <c r="N417" t="n">
        <v>0</v>
      </c>
      <c r="O417" t="n">
        <v>0</v>
      </c>
      <c r="P417" t="n">
        <v>0</v>
      </c>
      <c r="Q417" t="n">
        <v>0</v>
      </c>
      <c r="R417" s="2" t="inlineStr"/>
    </row>
    <row r="418" ht="15" customHeight="1">
      <c r="A418" t="inlineStr">
        <is>
          <t>A 60702-2020</t>
        </is>
      </c>
      <c r="B418" s="1" t="n">
        <v>44153</v>
      </c>
      <c r="C418" s="1" t="n">
        <v>45708</v>
      </c>
      <c r="D418" t="inlineStr">
        <is>
          <t>UPPSALA LÄN</t>
        </is>
      </c>
      <c r="E418" t="inlineStr">
        <is>
          <t>UPPSALA</t>
        </is>
      </c>
      <c r="F418" t="inlineStr">
        <is>
          <t>Övriga statliga verk och myndigheter</t>
        </is>
      </c>
      <c r="G418" t="n">
        <v>1.4</v>
      </c>
      <c r="H418" t="n">
        <v>0</v>
      </c>
      <c r="I418" t="n">
        <v>0</v>
      </c>
      <c r="J418" t="n">
        <v>0</v>
      </c>
      <c r="K418" t="n">
        <v>0</v>
      </c>
      <c r="L418" t="n">
        <v>0</v>
      </c>
      <c r="M418" t="n">
        <v>0</v>
      </c>
      <c r="N418" t="n">
        <v>0</v>
      </c>
      <c r="O418" t="n">
        <v>0</v>
      </c>
      <c r="P418" t="n">
        <v>0</v>
      </c>
      <c r="Q418" t="n">
        <v>0</v>
      </c>
      <c r="R418" s="2" t="inlineStr"/>
    </row>
    <row r="419" ht="15" customHeight="1">
      <c r="A419" t="inlineStr">
        <is>
          <t>A 61265-2020</t>
        </is>
      </c>
      <c r="B419" s="1" t="n">
        <v>44155</v>
      </c>
      <c r="C419" s="1" t="n">
        <v>45708</v>
      </c>
      <c r="D419" t="inlineStr">
        <is>
          <t>UPPSALA LÄN</t>
        </is>
      </c>
      <c r="E419" t="inlineStr">
        <is>
          <t>UPPSALA</t>
        </is>
      </c>
      <c r="G419" t="n">
        <v>4.7</v>
      </c>
      <c r="H419" t="n">
        <v>0</v>
      </c>
      <c r="I419" t="n">
        <v>0</v>
      </c>
      <c r="J419" t="n">
        <v>0</v>
      </c>
      <c r="K419" t="n">
        <v>0</v>
      </c>
      <c r="L419" t="n">
        <v>0</v>
      </c>
      <c r="M419" t="n">
        <v>0</v>
      </c>
      <c r="N419" t="n">
        <v>0</v>
      </c>
      <c r="O419" t="n">
        <v>0</v>
      </c>
      <c r="P419" t="n">
        <v>0</v>
      </c>
      <c r="Q419" t="n">
        <v>0</v>
      </c>
      <c r="R419" s="2" t="inlineStr"/>
    </row>
    <row r="420" ht="15" customHeight="1">
      <c r="A420" t="inlineStr">
        <is>
          <t>A 61271-2020</t>
        </is>
      </c>
      <c r="B420" s="1" t="n">
        <v>44155</v>
      </c>
      <c r="C420" s="1" t="n">
        <v>45708</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62094-2020</t>
        </is>
      </c>
      <c r="B421" s="1" t="n">
        <v>44159</v>
      </c>
      <c r="C421" s="1" t="n">
        <v>45708</v>
      </c>
      <c r="D421" t="inlineStr">
        <is>
          <t>UPPSALA LÄN</t>
        </is>
      </c>
      <c r="E421" t="inlineStr">
        <is>
          <t>UPPSALA</t>
        </is>
      </c>
      <c r="F421" t="inlineStr">
        <is>
          <t>Bergvik skog öst AB</t>
        </is>
      </c>
      <c r="G421" t="n">
        <v>3.4</v>
      </c>
      <c r="H421" t="n">
        <v>0</v>
      </c>
      <c r="I421" t="n">
        <v>0</v>
      </c>
      <c r="J421" t="n">
        <v>0</v>
      </c>
      <c r="K421" t="n">
        <v>0</v>
      </c>
      <c r="L421" t="n">
        <v>0</v>
      </c>
      <c r="M421" t="n">
        <v>0</v>
      </c>
      <c r="N421" t="n">
        <v>0</v>
      </c>
      <c r="O421" t="n">
        <v>0</v>
      </c>
      <c r="P421" t="n">
        <v>0</v>
      </c>
      <c r="Q421" t="n">
        <v>0</v>
      </c>
      <c r="R421" s="2" t="inlineStr"/>
    </row>
    <row r="422" ht="15" customHeight="1">
      <c r="A422" t="inlineStr">
        <is>
          <t>A 62352-2020</t>
        </is>
      </c>
      <c r="B422" s="1" t="n">
        <v>44159</v>
      </c>
      <c r="C422" s="1" t="n">
        <v>45708</v>
      </c>
      <c r="D422" t="inlineStr">
        <is>
          <t>UPPSALA LÄN</t>
        </is>
      </c>
      <c r="E422" t="inlineStr">
        <is>
          <t>UPPSALA</t>
        </is>
      </c>
      <c r="F422" t="inlineStr">
        <is>
          <t>Allmännings- och besparingsskogar</t>
        </is>
      </c>
      <c r="G422" t="n">
        <v>12.9</v>
      </c>
      <c r="H422" t="n">
        <v>0</v>
      </c>
      <c r="I422" t="n">
        <v>0</v>
      </c>
      <c r="J422" t="n">
        <v>0</v>
      </c>
      <c r="K422" t="n">
        <v>0</v>
      </c>
      <c r="L422" t="n">
        <v>0</v>
      </c>
      <c r="M422" t="n">
        <v>0</v>
      </c>
      <c r="N422" t="n">
        <v>0</v>
      </c>
      <c r="O422" t="n">
        <v>0</v>
      </c>
      <c r="P422" t="n">
        <v>0</v>
      </c>
      <c r="Q422" t="n">
        <v>0</v>
      </c>
      <c r="R422" s="2" t="inlineStr"/>
    </row>
    <row r="423" ht="15" customHeight="1">
      <c r="A423" t="inlineStr">
        <is>
          <t>A 62504-2020</t>
        </is>
      </c>
      <c r="B423" s="1" t="n">
        <v>44160</v>
      </c>
      <c r="C423" s="1" t="n">
        <v>45708</v>
      </c>
      <c r="D423" t="inlineStr">
        <is>
          <t>UPPSALA LÄN</t>
        </is>
      </c>
      <c r="E423" t="inlineStr">
        <is>
          <t>UPPSALA</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62729-2020</t>
        </is>
      </c>
      <c r="B424" s="1" t="n">
        <v>44161</v>
      </c>
      <c r="C424" s="1" t="n">
        <v>45708</v>
      </c>
      <c r="D424" t="inlineStr">
        <is>
          <t>UPPSALA LÄN</t>
        </is>
      </c>
      <c r="E424" t="inlineStr">
        <is>
          <t>UPPSALA</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62655-2020</t>
        </is>
      </c>
      <c r="B425" s="1" t="n">
        <v>44161</v>
      </c>
      <c r="C425" s="1" t="n">
        <v>45708</v>
      </c>
      <c r="D425" t="inlineStr">
        <is>
          <t>UPPSALA LÄN</t>
        </is>
      </c>
      <c r="E425" t="inlineStr">
        <is>
          <t>UPPSALA</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63145-2020</t>
        </is>
      </c>
      <c r="B426" s="1" t="n">
        <v>44162</v>
      </c>
      <c r="C426" s="1" t="n">
        <v>45708</v>
      </c>
      <c r="D426" t="inlineStr">
        <is>
          <t>UPPSALA LÄN</t>
        </is>
      </c>
      <c r="E426" t="inlineStr">
        <is>
          <t>UPPSALA</t>
        </is>
      </c>
      <c r="G426" t="n">
        <v>2.6</v>
      </c>
      <c r="H426" t="n">
        <v>0</v>
      </c>
      <c r="I426" t="n">
        <v>0</v>
      </c>
      <c r="J426" t="n">
        <v>0</v>
      </c>
      <c r="K426" t="n">
        <v>0</v>
      </c>
      <c r="L426" t="n">
        <v>0</v>
      </c>
      <c r="M426" t="n">
        <v>0</v>
      </c>
      <c r="N426" t="n">
        <v>0</v>
      </c>
      <c r="O426" t="n">
        <v>0</v>
      </c>
      <c r="P426" t="n">
        <v>0</v>
      </c>
      <c r="Q426" t="n">
        <v>0</v>
      </c>
      <c r="R426" s="2" t="inlineStr"/>
    </row>
    <row r="427" ht="15" customHeight="1">
      <c r="A427" t="inlineStr">
        <is>
          <t>A 63529-2020</t>
        </is>
      </c>
      <c r="B427" s="1" t="n">
        <v>44165</v>
      </c>
      <c r="C427" s="1" t="n">
        <v>45708</v>
      </c>
      <c r="D427" t="inlineStr">
        <is>
          <t>UPPSALA LÄN</t>
        </is>
      </c>
      <c r="E427" t="inlineStr">
        <is>
          <t>UPPSALA</t>
        </is>
      </c>
      <c r="F427" t="inlineStr">
        <is>
          <t>Övriga statliga verk och myndigheter</t>
        </is>
      </c>
      <c r="G427" t="n">
        <v>2.4</v>
      </c>
      <c r="H427" t="n">
        <v>0</v>
      </c>
      <c r="I427" t="n">
        <v>0</v>
      </c>
      <c r="J427" t="n">
        <v>0</v>
      </c>
      <c r="K427" t="n">
        <v>0</v>
      </c>
      <c r="L427" t="n">
        <v>0</v>
      </c>
      <c r="M427" t="n">
        <v>0</v>
      </c>
      <c r="N427" t="n">
        <v>0</v>
      </c>
      <c r="O427" t="n">
        <v>0</v>
      </c>
      <c r="P427" t="n">
        <v>0</v>
      </c>
      <c r="Q427" t="n">
        <v>0</v>
      </c>
      <c r="R427" s="2" t="inlineStr"/>
    </row>
    <row r="428" ht="15" customHeight="1">
      <c r="A428" t="inlineStr">
        <is>
          <t>A 63749-2020</t>
        </is>
      </c>
      <c r="B428" s="1" t="n">
        <v>44166</v>
      </c>
      <c r="C428" s="1" t="n">
        <v>45708</v>
      </c>
      <c r="D428" t="inlineStr">
        <is>
          <t>UPPSALA LÄN</t>
        </is>
      </c>
      <c r="E428" t="inlineStr">
        <is>
          <t>UPPSALA</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64128-2020</t>
        </is>
      </c>
      <c r="B429" s="1" t="n">
        <v>44167</v>
      </c>
      <c r="C429" s="1" t="n">
        <v>45708</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64353-2020</t>
        </is>
      </c>
      <c r="B430" s="1" t="n">
        <v>44168</v>
      </c>
      <c r="C430" s="1" t="n">
        <v>45708</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64333-2020</t>
        </is>
      </c>
      <c r="B431" s="1" t="n">
        <v>44168</v>
      </c>
      <c r="C431" s="1" t="n">
        <v>45708</v>
      </c>
      <c r="D431" t="inlineStr">
        <is>
          <t>UPPSALA LÄN</t>
        </is>
      </c>
      <c r="E431" t="inlineStr">
        <is>
          <t>UPPSALA</t>
        </is>
      </c>
      <c r="G431" t="n">
        <v>7.1</v>
      </c>
      <c r="H431" t="n">
        <v>0</v>
      </c>
      <c r="I431" t="n">
        <v>0</v>
      </c>
      <c r="J431" t="n">
        <v>0</v>
      </c>
      <c r="K431" t="n">
        <v>0</v>
      </c>
      <c r="L431" t="n">
        <v>0</v>
      </c>
      <c r="M431" t="n">
        <v>0</v>
      </c>
      <c r="N431" t="n">
        <v>0</v>
      </c>
      <c r="O431" t="n">
        <v>0</v>
      </c>
      <c r="P431" t="n">
        <v>0</v>
      </c>
      <c r="Q431" t="n">
        <v>0</v>
      </c>
      <c r="R431" s="2" t="inlineStr"/>
    </row>
    <row r="432" ht="15" customHeight="1">
      <c r="A432" t="inlineStr">
        <is>
          <t>A 66984-2020</t>
        </is>
      </c>
      <c r="B432" s="1" t="n">
        <v>44180</v>
      </c>
      <c r="C432" s="1" t="n">
        <v>45708</v>
      </c>
      <c r="D432" t="inlineStr">
        <is>
          <t>UPPSALA LÄN</t>
        </is>
      </c>
      <c r="E432" t="inlineStr">
        <is>
          <t>UPPSALA</t>
        </is>
      </c>
      <c r="F432" t="inlineStr">
        <is>
          <t>Övriga statliga verk och myndigheter</t>
        </is>
      </c>
      <c r="G432" t="n">
        <v>2.1</v>
      </c>
      <c r="H432" t="n">
        <v>0</v>
      </c>
      <c r="I432" t="n">
        <v>0</v>
      </c>
      <c r="J432" t="n">
        <v>0</v>
      </c>
      <c r="K432" t="n">
        <v>0</v>
      </c>
      <c r="L432" t="n">
        <v>0</v>
      </c>
      <c r="M432" t="n">
        <v>0</v>
      </c>
      <c r="N432" t="n">
        <v>0</v>
      </c>
      <c r="O432" t="n">
        <v>0</v>
      </c>
      <c r="P432" t="n">
        <v>0</v>
      </c>
      <c r="Q432" t="n">
        <v>0</v>
      </c>
      <c r="R432" s="2" t="inlineStr"/>
    </row>
    <row r="433" ht="15" customHeight="1">
      <c r="A433" t="inlineStr">
        <is>
          <t>A 265-2021</t>
        </is>
      </c>
      <c r="B433" s="1" t="n">
        <v>44200</v>
      </c>
      <c r="C433" s="1" t="n">
        <v>45708</v>
      </c>
      <c r="D433" t="inlineStr">
        <is>
          <t>UPPSALA LÄN</t>
        </is>
      </c>
      <c r="E433" t="inlineStr">
        <is>
          <t>UPPSALA</t>
        </is>
      </c>
      <c r="G433" t="n">
        <v>3.1</v>
      </c>
      <c r="H433" t="n">
        <v>0</v>
      </c>
      <c r="I433" t="n">
        <v>0</v>
      </c>
      <c r="J433" t="n">
        <v>0</v>
      </c>
      <c r="K433" t="n">
        <v>0</v>
      </c>
      <c r="L433" t="n">
        <v>0</v>
      </c>
      <c r="M433" t="n">
        <v>0</v>
      </c>
      <c r="N433" t="n">
        <v>0</v>
      </c>
      <c r="O433" t="n">
        <v>0</v>
      </c>
      <c r="P433" t="n">
        <v>0</v>
      </c>
      <c r="Q433" t="n">
        <v>0</v>
      </c>
      <c r="R433" s="2" t="inlineStr"/>
    </row>
    <row r="434" ht="15" customHeight="1">
      <c r="A434" t="inlineStr">
        <is>
          <t>A 1020-2021</t>
        </is>
      </c>
      <c r="B434" s="1" t="n">
        <v>44207</v>
      </c>
      <c r="C434" s="1" t="n">
        <v>45708</v>
      </c>
      <c r="D434" t="inlineStr">
        <is>
          <t>UPPSALA LÄN</t>
        </is>
      </c>
      <c r="E434" t="inlineStr">
        <is>
          <t>UPPSALA</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1573-2021</t>
        </is>
      </c>
      <c r="B435" s="1" t="n">
        <v>44209</v>
      </c>
      <c r="C435" s="1" t="n">
        <v>45708</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1617-2021</t>
        </is>
      </c>
      <c r="B436" s="1" t="n">
        <v>44209</v>
      </c>
      <c r="C436" s="1" t="n">
        <v>45708</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1855-2021</t>
        </is>
      </c>
      <c r="B437" s="1" t="n">
        <v>44210</v>
      </c>
      <c r="C437" s="1" t="n">
        <v>45708</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2169-2021</t>
        </is>
      </c>
      <c r="B438" s="1" t="n">
        <v>44211</v>
      </c>
      <c r="C438" s="1" t="n">
        <v>45708</v>
      </c>
      <c r="D438" t="inlineStr">
        <is>
          <t>UPPSALA LÄN</t>
        </is>
      </c>
      <c r="E438" t="inlineStr">
        <is>
          <t>UPPSALA</t>
        </is>
      </c>
      <c r="G438" t="n">
        <v>0.7</v>
      </c>
      <c r="H438" t="n">
        <v>0</v>
      </c>
      <c r="I438" t="n">
        <v>0</v>
      </c>
      <c r="J438" t="n">
        <v>0</v>
      </c>
      <c r="K438" t="n">
        <v>0</v>
      </c>
      <c r="L438" t="n">
        <v>0</v>
      </c>
      <c r="M438" t="n">
        <v>0</v>
      </c>
      <c r="N438" t="n">
        <v>0</v>
      </c>
      <c r="O438" t="n">
        <v>0</v>
      </c>
      <c r="P438" t="n">
        <v>0</v>
      </c>
      <c r="Q438" t="n">
        <v>0</v>
      </c>
      <c r="R438" s="2" t="inlineStr"/>
    </row>
    <row r="439" ht="15" customHeight="1">
      <c r="A439" t="inlineStr">
        <is>
          <t>A 3864-2021</t>
        </is>
      </c>
      <c r="B439" s="1" t="n">
        <v>44216</v>
      </c>
      <c r="C439" s="1" t="n">
        <v>45708</v>
      </c>
      <c r="D439" t="inlineStr">
        <is>
          <t>UPPSALA LÄN</t>
        </is>
      </c>
      <c r="E439" t="inlineStr">
        <is>
          <t>UPPSALA</t>
        </is>
      </c>
      <c r="G439" t="n">
        <v>2.9</v>
      </c>
      <c r="H439" t="n">
        <v>0</v>
      </c>
      <c r="I439" t="n">
        <v>0</v>
      </c>
      <c r="J439" t="n">
        <v>0</v>
      </c>
      <c r="K439" t="n">
        <v>0</v>
      </c>
      <c r="L439" t="n">
        <v>0</v>
      </c>
      <c r="M439" t="n">
        <v>0</v>
      </c>
      <c r="N439" t="n">
        <v>0</v>
      </c>
      <c r="O439" t="n">
        <v>0</v>
      </c>
      <c r="P439" t="n">
        <v>0</v>
      </c>
      <c r="Q439" t="n">
        <v>0</v>
      </c>
      <c r="R439" s="2" t="inlineStr"/>
    </row>
    <row r="440" ht="15" customHeight="1">
      <c r="A440" t="inlineStr">
        <is>
          <t>A 3874-2021</t>
        </is>
      </c>
      <c r="B440" s="1" t="n">
        <v>44216</v>
      </c>
      <c r="C440" s="1" t="n">
        <v>45708</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3955-2021</t>
        </is>
      </c>
      <c r="B441" s="1" t="n">
        <v>44222</v>
      </c>
      <c r="C441" s="1" t="n">
        <v>45708</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4875-2021</t>
        </is>
      </c>
      <c r="B442" s="1" t="n">
        <v>44223</v>
      </c>
      <c r="C442" s="1" t="n">
        <v>45708</v>
      </c>
      <c r="D442" t="inlineStr">
        <is>
          <t>UPPSALA LÄN</t>
        </is>
      </c>
      <c r="E442" t="inlineStr">
        <is>
          <t>UPPSALA</t>
        </is>
      </c>
      <c r="G442" t="n">
        <v>0.4</v>
      </c>
      <c r="H442" t="n">
        <v>0</v>
      </c>
      <c r="I442" t="n">
        <v>0</v>
      </c>
      <c r="J442" t="n">
        <v>0</v>
      </c>
      <c r="K442" t="n">
        <v>0</v>
      </c>
      <c r="L442" t="n">
        <v>0</v>
      </c>
      <c r="M442" t="n">
        <v>0</v>
      </c>
      <c r="N442" t="n">
        <v>0</v>
      </c>
      <c r="O442" t="n">
        <v>0</v>
      </c>
      <c r="P442" t="n">
        <v>0</v>
      </c>
      <c r="Q442" t="n">
        <v>0</v>
      </c>
      <c r="R442" s="2" t="inlineStr"/>
    </row>
    <row r="443" ht="15" customHeight="1">
      <c r="A443" t="inlineStr">
        <is>
          <t>A 5663-2021</t>
        </is>
      </c>
      <c r="B443" s="1" t="n">
        <v>44230</v>
      </c>
      <c r="C443" s="1" t="n">
        <v>45708</v>
      </c>
      <c r="D443" t="inlineStr">
        <is>
          <t>UPPSALA LÄN</t>
        </is>
      </c>
      <c r="E443" t="inlineStr">
        <is>
          <t>UPPSALA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8114-2021</t>
        </is>
      </c>
      <c r="B444" s="1" t="n">
        <v>44243</v>
      </c>
      <c r="C444" s="1" t="n">
        <v>45708</v>
      </c>
      <c r="D444" t="inlineStr">
        <is>
          <t>UPPSALA LÄN</t>
        </is>
      </c>
      <c r="E444" t="inlineStr">
        <is>
          <t>UPPSALA</t>
        </is>
      </c>
      <c r="G444" t="n">
        <v>3.4</v>
      </c>
      <c r="H444" t="n">
        <v>0</v>
      </c>
      <c r="I444" t="n">
        <v>0</v>
      </c>
      <c r="J444" t="n">
        <v>0</v>
      </c>
      <c r="K444" t="n">
        <v>0</v>
      </c>
      <c r="L444" t="n">
        <v>0</v>
      </c>
      <c r="M444" t="n">
        <v>0</v>
      </c>
      <c r="N444" t="n">
        <v>0</v>
      </c>
      <c r="O444" t="n">
        <v>0</v>
      </c>
      <c r="P444" t="n">
        <v>0</v>
      </c>
      <c r="Q444" t="n">
        <v>0</v>
      </c>
      <c r="R444" s="2" t="inlineStr"/>
    </row>
    <row r="445" ht="15" customHeight="1">
      <c r="A445" t="inlineStr">
        <is>
          <t>A 8494-2021</t>
        </is>
      </c>
      <c r="B445" s="1" t="n">
        <v>44245</v>
      </c>
      <c r="C445" s="1" t="n">
        <v>45708</v>
      </c>
      <c r="D445" t="inlineStr">
        <is>
          <t>UPPSALA LÄN</t>
        </is>
      </c>
      <c r="E445" t="inlineStr">
        <is>
          <t>UPPSALA</t>
        </is>
      </c>
      <c r="G445" t="n">
        <v>1.3</v>
      </c>
      <c r="H445" t="n">
        <v>0</v>
      </c>
      <c r="I445" t="n">
        <v>0</v>
      </c>
      <c r="J445" t="n">
        <v>0</v>
      </c>
      <c r="K445" t="n">
        <v>0</v>
      </c>
      <c r="L445" t="n">
        <v>0</v>
      </c>
      <c r="M445" t="n">
        <v>0</v>
      </c>
      <c r="N445" t="n">
        <v>0</v>
      </c>
      <c r="O445" t="n">
        <v>0</v>
      </c>
      <c r="P445" t="n">
        <v>0</v>
      </c>
      <c r="Q445" t="n">
        <v>0</v>
      </c>
      <c r="R445" s="2" t="inlineStr"/>
    </row>
    <row r="446" ht="15" customHeight="1">
      <c r="A446" t="inlineStr">
        <is>
          <t>A 9700-2021</t>
        </is>
      </c>
      <c r="B446" s="1" t="n">
        <v>44252</v>
      </c>
      <c r="C446" s="1" t="n">
        <v>45708</v>
      </c>
      <c r="D446" t="inlineStr">
        <is>
          <t>UPPSALA LÄN</t>
        </is>
      </c>
      <c r="E446" t="inlineStr">
        <is>
          <t>UPPSALA</t>
        </is>
      </c>
      <c r="G446" t="n">
        <v>3.3</v>
      </c>
      <c r="H446" t="n">
        <v>0</v>
      </c>
      <c r="I446" t="n">
        <v>0</v>
      </c>
      <c r="J446" t="n">
        <v>0</v>
      </c>
      <c r="K446" t="n">
        <v>0</v>
      </c>
      <c r="L446" t="n">
        <v>0</v>
      </c>
      <c r="M446" t="n">
        <v>0</v>
      </c>
      <c r="N446" t="n">
        <v>0</v>
      </c>
      <c r="O446" t="n">
        <v>0</v>
      </c>
      <c r="P446" t="n">
        <v>0</v>
      </c>
      <c r="Q446" t="n">
        <v>0</v>
      </c>
      <c r="R446" s="2" t="inlineStr"/>
    </row>
    <row r="447" ht="15" customHeight="1">
      <c r="A447" t="inlineStr">
        <is>
          <t>A 9712-2021</t>
        </is>
      </c>
      <c r="B447" s="1" t="n">
        <v>44252</v>
      </c>
      <c r="C447" s="1" t="n">
        <v>45708</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12225-2021</t>
        </is>
      </c>
      <c r="B448" s="1" t="n">
        <v>44266</v>
      </c>
      <c r="C448" s="1" t="n">
        <v>45708</v>
      </c>
      <c r="D448" t="inlineStr">
        <is>
          <t>UPPSALA LÄN</t>
        </is>
      </c>
      <c r="E448" t="inlineStr">
        <is>
          <t>UPPSALA</t>
        </is>
      </c>
      <c r="F448" t="inlineStr">
        <is>
          <t>Bergvik skog öst AB</t>
        </is>
      </c>
      <c r="G448" t="n">
        <v>4.8</v>
      </c>
      <c r="H448" t="n">
        <v>0</v>
      </c>
      <c r="I448" t="n">
        <v>0</v>
      </c>
      <c r="J448" t="n">
        <v>0</v>
      </c>
      <c r="K448" t="n">
        <v>0</v>
      </c>
      <c r="L448" t="n">
        <v>0</v>
      </c>
      <c r="M448" t="n">
        <v>0</v>
      </c>
      <c r="N448" t="n">
        <v>0</v>
      </c>
      <c r="O448" t="n">
        <v>0</v>
      </c>
      <c r="P448" t="n">
        <v>0</v>
      </c>
      <c r="Q448" t="n">
        <v>0</v>
      </c>
      <c r="R448" s="2" t="inlineStr"/>
    </row>
    <row r="449" ht="15" customHeight="1">
      <c r="A449" t="inlineStr">
        <is>
          <t>A 12152-2021</t>
        </is>
      </c>
      <c r="B449" s="1" t="n">
        <v>44266</v>
      </c>
      <c r="C449" s="1" t="n">
        <v>45708</v>
      </c>
      <c r="D449" t="inlineStr">
        <is>
          <t>UPPSALA LÄN</t>
        </is>
      </c>
      <c r="E449" t="inlineStr">
        <is>
          <t>UPPSALA</t>
        </is>
      </c>
      <c r="F449" t="inlineStr">
        <is>
          <t>Bergvik skog öst AB</t>
        </is>
      </c>
      <c r="G449" t="n">
        <v>0.4</v>
      </c>
      <c r="H449" t="n">
        <v>0</v>
      </c>
      <c r="I449" t="n">
        <v>0</v>
      </c>
      <c r="J449" t="n">
        <v>0</v>
      </c>
      <c r="K449" t="n">
        <v>0</v>
      </c>
      <c r="L449" t="n">
        <v>0</v>
      </c>
      <c r="M449" t="n">
        <v>0</v>
      </c>
      <c r="N449" t="n">
        <v>0</v>
      </c>
      <c r="O449" t="n">
        <v>0</v>
      </c>
      <c r="P449" t="n">
        <v>0</v>
      </c>
      <c r="Q449" t="n">
        <v>0</v>
      </c>
      <c r="R449" s="2" t="inlineStr"/>
    </row>
    <row r="450" ht="15" customHeight="1">
      <c r="A450" t="inlineStr">
        <is>
          <t>A 12172-2021</t>
        </is>
      </c>
      <c r="B450" s="1" t="n">
        <v>44266</v>
      </c>
      <c r="C450" s="1" t="n">
        <v>45708</v>
      </c>
      <c r="D450" t="inlineStr">
        <is>
          <t>UPPSALA LÄN</t>
        </is>
      </c>
      <c r="E450" t="inlineStr">
        <is>
          <t>UPPSALA</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12194-2021</t>
        </is>
      </c>
      <c r="B451" s="1" t="n">
        <v>44266</v>
      </c>
      <c r="C451" s="1" t="n">
        <v>45708</v>
      </c>
      <c r="D451" t="inlineStr">
        <is>
          <t>UPPSALA LÄN</t>
        </is>
      </c>
      <c r="E451" t="inlineStr">
        <is>
          <t>UPPSALA</t>
        </is>
      </c>
      <c r="F451" t="inlineStr">
        <is>
          <t>Bergvik skog öst AB</t>
        </is>
      </c>
      <c r="G451" t="n">
        <v>2.1</v>
      </c>
      <c r="H451" t="n">
        <v>0</v>
      </c>
      <c r="I451" t="n">
        <v>0</v>
      </c>
      <c r="J451" t="n">
        <v>0</v>
      </c>
      <c r="K451" t="n">
        <v>0</v>
      </c>
      <c r="L451" t="n">
        <v>0</v>
      </c>
      <c r="M451" t="n">
        <v>0</v>
      </c>
      <c r="N451" t="n">
        <v>0</v>
      </c>
      <c r="O451" t="n">
        <v>0</v>
      </c>
      <c r="P451" t="n">
        <v>0</v>
      </c>
      <c r="Q451" t="n">
        <v>0</v>
      </c>
      <c r="R451" s="2" t="inlineStr"/>
    </row>
    <row r="452" ht="15" customHeight="1">
      <c r="A452" t="inlineStr">
        <is>
          <t>A 12313-2021</t>
        </is>
      </c>
      <c r="B452" s="1" t="n">
        <v>44266</v>
      </c>
      <c r="C452" s="1" t="n">
        <v>45708</v>
      </c>
      <c r="D452" t="inlineStr">
        <is>
          <t>UPPSALA LÄN</t>
        </is>
      </c>
      <c r="E452" t="inlineStr">
        <is>
          <t>UPPSALA</t>
        </is>
      </c>
      <c r="G452" t="n">
        <v>23.6</v>
      </c>
      <c r="H452" t="n">
        <v>0</v>
      </c>
      <c r="I452" t="n">
        <v>0</v>
      </c>
      <c r="J452" t="n">
        <v>0</v>
      </c>
      <c r="K452" t="n">
        <v>0</v>
      </c>
      <c r="L452" t="n">
        <v>0</v>
      </c>
      <c r="M452" t="n">
        <v>0</v>
      </c>
      <c r="N452" t="n">
        <v>0</v>
      </c>
      <c r="O452" t="n">
        <v>0</v>
      </c>
      <c r="P452" t="n">
        <v>0</v>
      </c>
      <c r="Q452" t="n">
        <v>0</v>
      </c>
      <c r="R452" s="2" t="inlineStr"/>
    </row>
    <row r="453" ht="15" customHeight="1">
      <c r="A453" t="inlineStr">
        <is>
          <t>A 13010-2021</t>
        </is>
      </c>
      <c r="B453" s="1" t="n">
        <v>44271</v>
      </c>
      <c r="C453" s="1" t="n">
        <v>45708</v>
      </c>
      <c r="D453" t="inlineStr">
        <is>
          <t>UPPSALA LÄN</t>
        </is>
      </c>
      <c r="E453" t="inlineStr">
        <is>
          <t>UPPSALA</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13420-2021</t>
        </is>
      </c>
      <c r="B454" s="1" t="n">
        <v>44273</v>
      </c>
      <c r="C454" s="1" t="n">
        <v>45708</v>
      </c>
      <c r="D454" t="inlineStr">
        <is>
          <t>UPPSALA LÄN</t>
        </is>
      </c>
      <c r="E454" t="inlineStr">
        <is>
          <t>UPPSALA</t>
        </is>
      </c>
      <c r="G454" t="n">
        <v>1.9</v>
      </c>
      <c r="H454" t="n">
        <v>0</v>
      </c>
      <c r="I454" t="n">
        <v>0</v>
      </c>
      <c r="J454" t="n">
        <v>0</v>
      </c>
      <c r="K454" t="n">
        <v>0</v>
      </c>
      <c r="L454" t="n">
        <v>0</v>
      </c>
      <c r="M454" t="n">
        <v>0</v>
      </c>
      <c r="N454" t="n">
        <v>0</v>
      </c>
      <c r="O454" t="n">
        <v>0</v>
      </c>
      <c r="P454" t="n">
        <v>0</v>
      </c>
      <c r="Q454" t="n">
        <v>0</v>
      </c>
      <c r="R454" s="2" t="inlineStr"/>
    </row>
    <row r="455" ht="15" customHeight="1">
      <c r="A455" t="inlineStr">
        <is>
          <t>A 14026-2021</t>
        </is>
      </c>
      <c r="B455" s="1" t="n">
        <v>44277</v>
      </c>
      <c r="C455" s="1" t="n">
        <v>45708</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14022-2021</t>
        </is>
      </c>
      <c r="B456" s="1" t="n">
        <v>44277</v>
      </c>
      <c r="C456" s="1" t="n">
        <v>45708</v>
      </c>
      <c r="D456" t="inlineStr">
        <is>
          <t>UPPSALA LÄN</t>
        </is>
      </c>
      <c r="E456" t="inlineStr">
        <is>
          <t>UPPSALA</t>
        </is>
      </c>
      <c r="G456" t="n">
        <v>11.1</v>
      </c>
      <c r="H456" t="n">
        <v>0</v>
      </c>
      <c r="I456" t="n">
        <v>0</v>
      </c>
      <c r="J456" t="n">
        <v>0</v>
      </c>
      <c r="K456" t="n">
        <v>0</v>
      </c>
      <c r="L456" t="n">
        <v>0</v>
      </c>
      <c r="M456" t="n">
        <v>0</v>
      </c>
      <c r="N456" t="n">
        <v>0</v>
      </c>
      <c r="O456" t="n">
        <v>0</v>
      </c>
      <c r="P456" t="n">
        <v>0</v>
      </c>
      <c r="Q456" t="n">
        <v>0</v>
      </c>
      <c r="R456" s="2" t="inlineStr"/>
    </row>
    <row r="457" ht="15" customHeight="1">
      <c r="A457" t="inlineStr">
        <is>
          <t>A 14341-2021</t>
        </is>
      </c>
      <c r="B457" s="1" t="n">
        <v>44279</v>
      </c>
      <c r="C457" s="1" t="n">
        <v>45708</v>
      </c>
      <c r="D457" t="inlineStr">
        <is>
          <t>UPPSALA LÄN</t>
        </is>
      </c>
      <c r="E457" t="inlineStr">
        <is>
          <t>UPPSALA</t>
        </is>
      </c>
      <c r="G457" t="n">
        <v>8.9</v>
      </c>
      <c r="H457" t="n">
        <v>0</v>
      </c>
      <c r="I457" t="n">
        <v>0</v>
      </c>
      <c r="J457" t="n">
        <v>0</v>
      </c>
      <c r="K457" t="n">
        <v>0</v>
      </c>
      <c r="L457" t="n">
        <v>0</v>
      </c>
      <c r="M457" t="n">
        <v>0</v>
      </c>
      <c r="N457" t="n">
        <v>0</v>
      </c>
      <c r="O457" t="n">
        <v>0</v>
      </c>
      <c r="P457" t="n">
        <v>0</v>
      </c>
      <c r="Q457" t="n">
        <v>0</v>
      </c>
      <c r="R457" s="2" t="inlineStr"/>
    </row>
    <row r="458" ht="15" customHeight="1">
      <c r="A458" t="inlineStr">
        <is>
          <t>A 14941-2021</t>
        </is>
      </c>
      <c r="B458" s="1" t="n">
        <v>44281</v>
      </c>
      <c r="C458" s="1" t="n">
        <v>45708</v>
      </c>
      <c r="D458" t="inlineStr">
        <is>
          <t>UPPSALA LÄN</t>
        </is>
      </c>
      <c r="E458" t="inlineStr">
        <is>
          <t>UPPSALA</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15816-2021</t>
        </is>
      </c>
      <c r="B459" s="1" t="n">
        <v>44286</v>
      </c>
      <c r="C459" s="1" t="n">
        <v>45708</v>
      </c>
      <c r="D459" t="inlineStr">
        <is>
          <t>UPPSALA LÄN</t>
        </is>
      </c>
      <c r="E459" t="inlineStr">
        <is>
          <t>UPPSALA</t>
        </is>
      </c>
      <c r="G459" t="n">
        <v>2.9</v>
      </c>
      <c r="H459" t="n">
        <v>0</v>
      </c>
      <c r="I459" t="n">
        <v>0</v>
      </c>
      <c r="J459" t="n">
        <v>0</v>
      </c>
      <c r="K459" t="n">
        <v>0</v>
      </c>
      <c r="L459" t="n">
        <v>0</v>
      </c>
      <c r="M459" t="n">
        <v>0</v>
      </c>
      <c r="N459" t="n">
        <v>0</v>
      </c>
      <c r="O459" t="n">
        <v>0</v>
      </c>
      <c r="P459" t="n">
        <v>0</v>
      </c>
      <c r="Q459" t="n">
        <v>0</v>
      </c>
      <c r="R459" s="2" t="inlineStr"/>
    </row>
    <row r="460" ht="15" customHeight="1">
      <c r="A460" t="inlineStr">
        <is>
          <t>A 15820-2021</t>
        </is>
      </c>
      <c r="B460" s="1" t="n">
        <v>44286</v>
      </c>
      <c r="C460" s="1" t="n">
        <v>45708</v>
      </c>
      <c r="D460" t="inlineStr">
        <is>
          <t>UPPSALA LÄN</t>
        </is>
      </c>
      <c r="E460" t="inlineStr">
        <is>
          <t>UPPSALA</t>
        </is>
      </c>
      <c r="G460" t="n">
        <v>2.1</v>
      </c>
      <c r="H460" t="n">
        <v>0</v>
      </c>
      <c r="I460" t="n">
        <v>0</v>
      </c>
      <c r="J460" t="n">
        <v>0</v>
      </c>
      <c r="K460" t="n">
        <v>0</v>
      </c>
      <c r="L460" t="n">
        <v>0</v>
      </c>
      <c r="M460" t="n">
        <v>0</v>
      </c>
      <c r="N460" t="n">
        <v>0</v>
      </c>
      <c r="O460" t="n">
        <v>0</v>
      </c>
      <c r="P460" t="n">
        <v>0</v>
      </c>
      <c r="Q460" t="n">
        <v>0</v>
      </c>
      <c r="R460" s="2" t="inlineStr"/>
    </row>
    <row r="461" ht="15" customHeight="1">
      <c r="A461" t="inlineStr">
        <is>
          <t>A 16592-2021</t>
        </is>
      </c>
      <c r="B461" s="1" t="n">
        <v>44294</v>
      </c>
      <c r="C461" s="1" t="n">
        <v>45708</v>
      </c>
      <c r="D461" t="inlineStr">
        <is>
          <t>UPPSALA LÄN</t>
        </is>
      </c>
      <c r="E461" t="inlineStr">
        <is>
          <t>UPPSALA</t>
        </is>
      </c>
      <c r="F461" t="inlineStr">
        <is>
          <t>Övriga Aktiebolag</t>
        </is>
      </c>
      <c r="G461" t="n">
        <v>1.6</v>
      </c>
      <c r="H461" t="n">
        <v>0</v>
      </c>
      <c r="I461" t="n">
        <v>0</v>
      </c>
      <c r="J461" t="n">
        <v>0</v>
      </c>
      <c r="K461" t="n">
        <v>0</v>
      </c>
      <c r="L461" t="n">
        <v>0</v>
      </c>
      <c r="M461" t="n">
        <v>0</v>
      </c>
      <c r="N461" t="n">
        <v>0</v>
      </c>
      <c r="O461" t="n">
        <v>0</v>
      </c>
      <c r="P461" t="n">
        <v>0</v>
      </c>
      <c r="Q461" t="n">
        <v>0</v>
      </c>
      <c r="R461" s="2" t="inlineStr"/>
    </row>
    <row r="462" ht="15" customHeight="1">
      <c r="A462" t="inlineStr">
        <is>
          <t>A 16615-2021</t>
        </is>
      </c>
      <c r="B462" s="1" t="n">
        <v>44294</v>
      </c>
      <c r="C462" s="1" t="n">
        <v>45708</v>
      </c>
      <c r="D462" t="inlineStr">
        <is>
          <t>UPPSALA LÄN</t>
        </is>
      </c>
      <c r="E462" t="inlineStr">
        <is>
          <t>UPPSALA</t>
        </is>
      </c>
      <c r="F462" t="inlineStr">
        <is>
          <t>Övriga Aktiebolag</t>
        </is>
      </c>
      <c r="G462" t="n">
        <v>1.5</v>
      </c>
      <c r="H462" t="n">
        <v>0</v>
      </c>
      <c r="I462" t="n">
        <v>0</v>
      </c>
      <c r="J462" t="n">
        <v>0</v>
      </c>
      <c r="K462" t="n">
        <v>0</v>
      </c>
      <c r="L462" t="n">
        <v>0</v>
      </c>
      <c r="M462" t="n">
        <v>0</v>
      </c>
      <c r="N462" t="n">
        <v>0</v>
      </c>
      <c r="O462" t="n">
        <v>0</v>
      </c>
      <c r="P462" t="n">
        <v>0</v>
      </c>
      <c r="Q462" t="n">
        <v>0</v>
      </c>
      <c r="R462" s="2" t="inlineStr"/>
    </row>
    <row r="463" ht="15" customHeight="1">
      <c r="A463" t="inlineStr">
        <is>
          <t>A 16684-2021</t>
        </is>
      </c>
      <c r="B463" s="1" t="n">
        <v>44294</v>
      </c>
      <c r="C463" s="1" t="n">
        <v>45708</v>
      </c>
      <c r="D463" t="inlineStr">
        <is>
          <t>UPPSALA LÄN</t>
        </is>
      </c>
      <c r="E463" t="inlineStr">
        <is>
          <t>UPPSALA</t>
        </is>
      </c>
      <c r="F463" t="inlineStr">
        <is>
          <t>Övriga Aktiebolag</t>
        </is>
      </c>
      <c r="G463" t="n">
        <v>1.3</v>
      </c>
      <c r="H463" t="n">
        <v>0</v>
      </c>
      <c r="I463" t="n">
        <v>0</v>
      </c>
      <c r="J463" t="n">
        <v>0</v>
      </c>
      <c r="K463" t="n">
        <v>0</v>
      </c>
      <c r="L463" t="n">
        <v>0</v>
      </c>
      <c r="M463" t="n">
        <v>0</v>
      </c>
      <c r="N463" t="n">
        <v>0</v>
      </c>
      <c r="O463" t="n">
        <v>0</v>
      </c>
      <c r="P463" t="n">
        <v>0</v>
      </c>
      <c r="Q463" t="n">
        <v>0</v>
      </c>
      <c r="R463" s="2" t="inlineStr"/>
    </row>
    <row r="464" ht="15" customHeight="1">
      <c r="A464" t="inlineStr">
        <is>
          <t>A 17262-2021</t>
        </is>
      </c>
      <c r="B464" s="1" t="n">
        <v>44297</v>
      </c>
      <c r="C464" s="1" t="n">
        <v>45708</v>
      </c>
      <c r="D464" t="inlineStr">
        <is>
          <t>UPPSALA LÄN</t>
        </is>
      </c>
      <c r="E464" t="inlineStr">
        <is>
          <t>UPPSALA</t>
        </is>
      </c>
      <c r="F464" t="inlineStr">
        <is>
          <t>Allmännings- och besparingsskogar</t>
        </is>
      </c>
      <c r="G464" t="n">
        <v>1</v>
      </c>
      <c r="H464" t="n">
        <v>0</v>
      </c>
      <c r="I464" t="n">
        <v>0</v>
      </c>
      <c r="J464" t="n">
        <v>0</v>
      </c>
      <c r="K464" t="n">
        <v>0</v>
      </c>
      <c r="L464" t="n">
        <v>0</v>
      </c>
      <c r="M464" t="n">
        <v>0</v>
      </c>
      <c r="N464" t="n">
        <v>0</v>
      </c>
      <c r="O464" t="n">
        <v>0</v>
      </c>
      <c r="P464" t="n">
        <v>0</v>
      </c>
      <c r="Q464" t="n">
        <v>0</v>
      </c>
      <c r="R464" s="2" t="inlineStr"/>
    </row>
    <row r="465" ht="15" customHeight="1">
      <c r="A465" t="inlineStr">
        <is>
          <t>A 17250-2021</t>
        </is>
      </c>
      <c r="B465" s="1" t="n">
        <v>44297</v>
      </c>
      <c r="C465" s="1" t="n">
        <v>45708</v>
      </c>
      <c r="D465" t="inlineStr">
        <is>
          <t>UPPSALA LÄN</t>
        </is>
      </c>
      <c r="E465" t="inlineStr">
        <is>
          <t>UPPSALA</t>
        </is>
      </c>
      <c r="G465" t="n">
        <v>3.6</v>
      </c>
      <c r="H465" t="n">
        <v>0</v>
      </c>
      <c r="I465" t="n">
        <v>0</v>
      </c>
      <c r="J465" t="n">
        <v>0</v>
      </c>
      <c r="K465" t="n">
        <v>0</v>
      </c>
      <c r="L465" t="n">
        <v>0</v>
      </c>
      <c r="M465" t="n">
        <v>0</v>
      </c>
      <c r="N465" t="n">
        <v>0</v>
      </c>
      <c r="O465" t="n">
        <v>0</v>
      </c>
      <c r="P465" t="n">
        <v>0</v>
      </c>
      <c r="Q465" t="n">
        <v>0</v>
      </c>
      <c r="R465" s="2" t="inlineStr"/>
    </row>
    <row r="466" ht="15" customHeight="1">
      <c r="A466" t="inlineStr">
        <is>
          <t>A 17536-2021</t>
        </is>
      </c>
      <c r="B466" s="1" t="n">
        <v>44299</v>
      </c>
      <c r="C466" s="1" t="n">
        <v>45708</v>
      </c>
      <c r="D466" t="inlineStr">
        <is>
          <t>UPPSALA LÄN</t>
        </is>
      </c>
      <c r="E466" t="inlineStr">
        <is>
          <t>UPPSALA</t>
        </is>
      </c>
      <c r="F466" t="inlineStr">
        <is>
          <t>Holmen skog AB</t>
        </is>
      </c>
      <c r="G466" t="n">
        <v>7.6</v>
      </c>
      <c r="H466" t="n">
        <v>0</v>
      </c>
      <c r="I466" t="n">
        <v>0</v>
      </c>
      <c r="J466" t="n">
        <v>0</v>
      </c>
      <c r="K466" t="n">
        <v>0</v>
      </c>
      <c r="L466" t="n">
        <v>0</v>
      </c>
      <c r="M466" t="n">
        <v>0</v>
      </c>
      <c r="N466" t="n">
        <v>0</v>
      </c>
      <c r="O466" t="n">
        <v>0</v>
      </c>
      <c r="P466" t="n">
        <v>0</v>
      </c>
      <c r="Q466" t="n">
        <v>0</v>
      </c>
      <c r="R466" s="2" t="inlineStr"/>
    </row>
    <row r="467" ht="15" customHeight="1">
      <c r="A467" t="inlineStr">
        <is>
          <t>A 18906-2021</t>
        </is>
      </c>
      <c r="B467" s="1" t="n">
        <v>44308</v>
      </c>
      <c r="C467" s="1" t="n">
        <v>45708</v>
      </c>
      <c r="D467" t="inlineStr">
        <is>
          <t>UPPSALA LÄN</t>
        </is>
      </c>
      <c r="E467" t="inlineStr">
        <is>
          <t>UPPSALA</t>
        </is>
      </c>
      <c r="G467" t="n">
        <v>1.8</v>
      </c>
      <c r="H467" t="n">
        <v>0</v>
      </c>
      <c r="I467" t="n">
        <v>0</v>
      </c>
      <c r="J467" t="n">
        <v>0</v>
      </c>
      <c r="K467" t="n">
        <v>0</v>
      </c>
      <c r="L467" t="n">
        <v>0</v>
      </c>
      <c r="M467" t="n">
        <v>0</v>
      </c>
      <c r="N467" t="n">
        <v>0</v>
      </c>
      <c r="O467" t="n">
        <v>0</v>
      </c>
      <c r="P467" t="n">
        <v>0</v>
      </c>
      <c r="Q467" t="n">
        <v>0</v>
      </c>
      <c r="R467" s="2" t="inlineStr"/>
    </row>
    <row r="468" ht="15" customHeight="1">
      <c r="A468" t="inlineStr">
        <is>
          <t>A 19927-2021</t>
        </is>
      </c>
      <c r="B468" s="1" t="n">
        <v>44313</v>
      </c>
      <c r="C468" s="1" t="n">
        <v>45708</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19947-2021</t>
        </is>
      </c>
      <c r="B469" s="1" t="n">
        <v>44313</v>
      </c>
      <c r="C469" s="1" t="n">
        <v>45708</v>
      </c>
      <c r="D469" t="inlineStr">
        <is>
          <t>UPPSALA LÄN</t>
        </is>
      </c>
      <c r="E469" t="inlineStr">
        <is>
          <t>UPPSALA</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20276-2021</t>
        </is>
      </c>
      <c r="B470" s="1" t="n">
        <v>44314</v>
      </c>
      <c r="C470" s="1" t="n">
        <v>45708</v>
      </c>
      <c r="D470" t="inlineStr">
        <is>
          <t>UPPSALA LÄN</t>
        </is>
      </c>
      <c r="E470" t="inlineStr">
        <is>
          <t>UPPSALA</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20271-2021</t>
        </is>
      </c>
      <c r="B471" s="1" t="n">
        <v>44314</v>
      </c>
      <c r="C471" s="1" t="n">
        <v>45708</v>
      </c>
      <c r="D471" t="inlineStr">
        <is>
          <t>UPPSALA LÄN</t>
        </is>
      </c>
      <c r="E471" t="inlineStr">
        <is>
          <t>UPPSALA</t>
        </is>
      </c>
      <c r="F471" t="inlineStr">
        <is>
          <t>Bergvik skog öst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20609-2021</t>
        </is>
      </c>
      <c r="B472" s="1" t="n">
        <v>44316</v>
      </c>
      <c r="C472" s="1" t="n">
        <v>45708</v>
      </c>
      <c r="D472" t="inlineStr">
        <is>
          <t>UPPSALA LÄN</t>
        </is>
      </c>
      <c r="E472" t="inlineStr">
        <is>
          <t>UPPSALA</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22070-2021</t>
        </is>
      </c>
      <c r="B473" s="1" t="n">
        <v>44323</v>
      </c>
      <c r="C473" s="1" t="n">
        <v>45708</v>
      </c>
      <c r="D473" t="inlineStr">
        <is>
          <t>UPPSALA LÄN</t>
        </is>
      </c>
      <c r="E473" t="inlineStr">
        <is>
          <t>UPPSALA</t>
        </is>
      </c>
      <c r="G473" t="n">
        <v>1.3</v>
      </c>
      <c r="H473" t="n">
        <v>0</v>
      </c>
      <c r="I473" t="n">
        <v>0</v>
      </c>
      <c r="J473" t="n">
        <v>0</v>
      </c>
      <c r="K473" t="n">
        <v>0</v>
      </c>
      <c r="L473" t="n">
        <v>0</v>
      </c>
      <c r="M473" t="n">
        <v>0</v>
      </c>
      <c r="N473" t="n">
        <v>0</v>
      </c>
      <c r="O473" t="n">
        <v>0</v>
      </c>
      <c r="P473" t="n">
        <v>0</v>
      </c>
      <c r="Q473" t="n">
        <v>0</v>
      </c>
      <c r="R473" s="2" t="inlineStr"/>
    </row>
    <row r="474" ht="15" customHeight="1">
      <c r="A474" t="inlineStr">
        <is>
          <t>A 22946-2021</t>
        </is>
      </c>
      <c r="B474" s="1" t="n">
        <v>44328</v>
      </c>
      <c r="C474" s="1" t="n">
        <v>45708</v>
      </c>
      <c r="D474" t="inlineStr">
        <is>
          <t>UPPSALA LÄN</t>
        </is>
      </c>
      <c r="E474" t="inlineStr">
        <is>
          <t>UPPSALA</t>
        </is>
      </c>
      <c r="G474" t="n">
        <v>2.3</v>
      </c>
      <c r="H474" t="n">
        <v>0</v>
      </c>
      <c r="I474" t="n">
        <v>0</v>
      </c>
      <c r="J474" t="n">
        <v>0</v>
      </c>
      <c r="K474" t="n">
        <v>0</v>
      </c>
      <c r="L474" t="n">
        <v>0</v>
      </c>
      <c r="M474" t="n">
        <v>0</v>
      </c>
      <c r="N474" t="n">
        <v>0</v>
      </c>
      <c r="O474" t="n">
        <v>0</v>
      </c>
      <c r="P474" t="n">
        <v>0</v>
      </c>
      <c r="Q474" t="n">
        <v>0</v>
      </c>
      <c r="R474" s="2" t="inlineStr"/>
    </row>
    <row r="475" ht="15" customHeight="1">
      <c r="A475" t="inlineStr">
        <is>
          <t>A 23877-2021</t>
        </is>
      </c>
      <c r="B475" s="1" t="n">
        <v>44335</v>
      </c>
      <c r="C475" s="1" t="n">
        <v>45708</v>
      </c>
      <c r="D475" t="inlineStr">
        <is>
          <t>UPPSALA LÄN</t>
        </is>
      </c>
      <c r="E475" t="inlineStr">
        <is>
          <t>UPPSALA</t>
        </is>
      </c>
      <c r="G475" t="n">
        <v>0.6</v>
      </c>
      <c r="H475" t="n">
        <v>0</v>
      </c>
      <c r="I475" t="n">
        <v>0</v>
      </c>
      <c r="J475" t="n">
        <v>0</v>
      </c>
      <c r="K475" t="n">
        <v>0</v>
      </c>
      <c r="L475" t="n">
        <v>0</v>
      </c>
      <c r="M475" t="n">
        <v>0</v>
      </c>
      <c r="N475" t="n">
        <v>0</v>
      </c>
      <c r="O475" t="n">
        <v>0</v>
      </c>
      <c r="P475" t="n">
        <v>0</v>
      </c>
      <c r="Q475" t="n">
        <v>0</v>
      </c>
      <c r="R475" s="2" t="inlineStr"/>
    </row>
    <row r="476" ht="15" customHeight="1">
      <c r="A476" t="inlineStr">
        <is>
          <t>A 25613-2021</t>
        </is>
      </c>
      <c r="B476" s="1" t="n">
        <v>44343</v>
      </c>
      <c r="C476" s="1" t="n">
        <v>45708</v>
      </c>
      <c r="D476" t="inlineStr">
        <is>
          <t>UPPSALA LÄN</t>
        </is>
      </c>
      <c r="E476" t="inlineStr">
        <is>
          <t>UPPSALA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26785-2021</t>
        </is>
      </c>
      <c r="B477" s="1" t="n">
        <v>44349</v>
      </c>
      <c r="C477" s="1" t="n">
        <v>45708</v>
      </c>
      <c r="D477" t="inlineStr">
        <is>
          <t>UPPSALA LÄN</t>
        </is>
      </c>
      <c r="E477" t="inlineStr">
        <is>
          <t>UPPSALA</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27365-2021</t>
        </is>
      </c>
      <c r="B478" s="1" t="n">
        <v>44351</v>
      </c>
      <c r="C478" s="1" t="n">
        <v>45708</v>
      </c>
      <c r="D478" t="inlineStr">
        <is>
          <t>UPPSALA LÄN</t>
        </is>
      </c>
      <c r="E478" t="inlineStr">
        <is>
          <t>UPPSALA</t>
        </is>
      </c>
      <c r="F478" t="inlineStr">
        <is>
          <t>Allmännings- och besparingsskogar</t>
        </is>
      </c>
      <c r="G478" t="n">
        <v>20.5</v>
      </c>
      <c r="H478" t="n">
        <v>0</v>
      </c>
      <c r="I478" t="n">
        <v>0</v>
      </c>
      <c r="J478" t="n">
        <v>0</v>
      </c>
      <c r="K478" t="n">
        <v>0</v>
      </c>
      <c r="L478" t="n">
        <v>0</v>
      </c>
      <c r="M478" t="n">
        <v>0</v>
      </c>
      <c r="N478" t="n">
        <v>0</v>
      </c>
      <c r="O478" t="n">
        <v>0</v>
      </c>
      <c r="P478" t="n">
        <v>0</v>
      </c>
      <c r="Q478" t="n">
        <v>0</v>
      </c>
      <c r="R478" s="2" t="inlineStr"/>
    </row>
    <row r="479" ht="15" customHeight="1">
      <c r="A479" t="inlineStr">
        <is>
          <t>A 28694-2021</t>
        </is>
      </c>
      <c r="B479" s="1" t="n">
        <v>44357</v>
      </c>
      <c r="C479" s="1" t="n">
        <v>45708</v>
      </c>
      <c r="D479" t="inlineStr">
        <is>
          <t>UPPSALA LÄN</t>
        </is>
      </c>
      <c r="E479" t="inlineStr">
        <is>
          <t>UPPSALA</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29145-2021</t>
        </is>
      </c>
      <c r="B480" s="1" t="n">
        <v>44358</v>
      </c>
      <c r="C480" s="1" t="n">
        <v>45708</v>
      </c>
      <c r="D480" t="inlineStr">
        <is>
          <t>UPPSALA LÄN</t>
        </is>
      </c>
      <c r="E480" t="inlineStr">
        <is>
          <t>UPPSALA</t>
        </is>
      </c>
      <c r="G480" t="n">
        <v>2.4</v>
      </c>
      <c r="H480" t="n">
        <v>0</v>
      </c>
      <c r="I480" t="n">
        <v>0</v>
      </c>
      <c r="J480" t="n">
        <v>0</v>
      </c>
      <c r="K480" t="n">
        <v>0</v>
      </c>
      <c r="L480" t="n">
        <v>0</v>
      </c>
      <c r="M480" t="n">
        <v>0</v>
      </c>
      <c r="N480" t="n">
        <v>0</v>
      </c>
      <c r="O480" t="n">
        <v>0</v>
      </c>
      <c r="P480" t="n">
        <v>0</v>
      </c>
      <c r="Q480" t="n">
        <v>0</v>
      </c>
      <c r="R480" s="2" t="inlineStr"/>
    </row>
    <row r="481" ht="15" customHeight="1">
      <c r="A481" t="inlineStr">
        <is>
          <t>A 30655-2021</t>
        </is>
      </c>
      <c r="B481" s="1" t="n">
        <v>44365</v>
      </c>
      <c r="C481" s="1" t="n">
        <v>45708</v>
      </c>
      <c r="D481" t="inlineStr">
        <is>
          <t>UPPSALA LÄN</t>
        </is>
      </c>
      <c r="E481" t="inlineStr">
        <is>
          <t>UPPSALA</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30656-2021</t>
        </is>
      </c>
      <c r="B482" s="1" t="n">
        <v>44365</v>
      </c>
      <c r="C482" s="1" t="n">
        <v>45708</v>
      </c>
      <c r="D482" t="inlineStr">
        <is>
          <t>UPPSALA LÄN</t>
        </is>
      </c>
      <c r="E482" t="inlineStr">
        <is>
          <t>UPPSALA</t>
        </is>
      </c>
      <c r="G482" t="n">
        <v>6.7</v>
      </c>
      <c r="H482" t="n">
        <v>0</v>
      </c>
      <c r="I482" t="n">
        <v>0</v>
      </c>
      <c r="J482" t="n">
        <v>0</v>
      </c>
      <c r="K482" t="n">
        <v>0</v>
      </c>
      <c r="L482" t="n">
        <v>0</v>
      </c>
      <c r="M482" t="n">
        <v>0</v>
      </c>
      <c r="N482" t="n">
        <v>0</v>
      </c>
      <c r="O482" t="n">
        <v>0</v>
      </c>
      <c r="P482" t="n">
        <v>0</v>
      </c>
      <c r="Q482" t="n">
        <v>0</v>
      </c>
      <c r="R482" s="2" t="inlineStr"/>
    </row>
    <row r="483" ht="15" customHeight="1">
      <c r="A483" t="inlineStr">
        <is>
          <t>A 31646-2021</t>
        </is>
      </c>
      <c r="B483" s="1" t="n">
        <v>44369</v>
      </c>
      <c r="C483" s="1" t="n">
        <v>45708</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31662-2021</t>
        </is>
      </c>
      <c r="B484" s="1" t="n">
        <v>44369</v>
      </c>
      <c r="C484" s="1" t="n">
        <v>45708</v>
      </c>
      <c r="D484" t="inlineStr">
        <is>
          <t>UPPSALA LÄN</t>
        </is>
      </c>
      <c r="E484" t="inlineStr">
        <is>
          <t>UPPSALA</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31829-2021</t>
        </is>
      </c>
      <c r="B485" s="1" t="n">
        <v>44370</v>
      </c>
      <c r="C485" s="1" t="n">
        <v>45708</v>
      </c>
      <c r="D485" t="inlineStr">
        <is>
          <t>UPPSALA LÄN</t>
        </is>
      </c>
      <c r="E485" t="inlineStr">
        <is>
          <t>UPPSALA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32276-2021</t>
        </is>
      </c>
      <c r="B486" s="1" t="n">
        <v>44371</v>
      </c>
      <c r="C486" s="1" t="n">
        <v>45708</v>
      </c>
      <c r="D486" t="inlineStr">
        <is>
          <t>UPPSALA LÄN</t>
        </is>
      </c>
      <c r="E486" t="inlineStr">
        <is>
          <t>UPPSALA</t>
        </is>
      </c>
      <c r="G486" t="n">
        <v>3.7</v>
      </c>
      <c r="H486" t="n">
        <v>0</v>
      </c>
      <c r="I486" t="n">
        <v>0</v>
      </c>
      <c r="J486" t="n">
        <v>0</v>
      </c>
      <c r="K486" t="n">
        <v>0</v>
      </c>
      <c r="L486" t="n">
        <v>0</v>
      </c>
      <c r="M486" t="n">
        <v>0</v>
      </c>
      <c r="N486" t="n">
        <v>0</v>
      </c>
      <c r="O486" t="n">
        <v>0</v>
      </c>
      <c r="P486" t="n">
        <v>0</v>
      </c>
      <c r="Q486" t="n">
        <v>0</v>
      </c>
      <c r="R486" s="2" t="inlineStr"/>
    </row>
    <row r="487" ht="15" customHeight="1">
      <c r="A487" t="inlineStr">
        <is>
          <t>A 32428-2021</t>
        </is>
      </c>
      <c r="B487" s="1" t="n">
        <v>44371</v>
      </c>
      <c r="C487" s="1" t="n">
        <v>45708</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32955-2021</t>
        </is>
      </c>
      <c r="B488" s="1" t="n">
        <v>44376</v>
      </c>
      <c r="C488" s="1" t="n">
        <v>45708</v>
      </c>
      <c r="D488" t="inlineStr">
        <is>
          <t>UPPSALA LÄN</t>
        </is>
      </c>
      <c r="E488" t="inlineStr">
        <is>
          <t>UPPSALA</t>
        </is>
      </c>
      <c r="F488" t="inlineStr">
        <is>
          <t>Bergvik skog öst AB</t>
        </is>
      </c>
      <c r="G488" t="n">
        <v>10</v>
      </c>
      <c r="H488" t="n">
        <v>0</v>
      </c>
      <c r="I488" t="n">
        <v>0</v>
      </c>
      <c r="J488" t="n">
        <v>0</v>
      </c>
      <c r="K488" t="n">
        <v>0</v>
      </c>
      <c r="L488" t="n">
        <v>0</v>
      </c>
      <c r="M488" t="n">
        <v>0</v>
      </c>
      <c r="N488" t="n">
        <v>0</v>
      </c>
      <c r="O488" t="n">
        <v>0</v>
      </c>
      <c r="P488" t="n">
        <v>0</v>
      </c>
      <c r="Q488" t="n">
        <v>0</v>
      </c>
      <c r="R488" s="2" t="inlineStr"/>
    </row>
    <row r="489" ht="15" customHeight="1">
      <c r="A489" t="inlineStr">
        <is>
          <t>A 33797-2021</t>
        </is>
      </c>
      <c r="B489" s="1" t="n">
        <v>44378</v>
      </c>
      <c r="C489" s="1" t="n">
        <v>45708</v>
      </c>
      <c r="D489" t="inlineStr">
        <is>
          <t>UPPSALA LÄN</t>
        </is>
      </c>
      <c r="E489" t="inlineStr">
        <is>
          <t>UPPSALA</t>
        </is>
      </c>
      <c r="G489" t="n">
        <v>1</v>
      </c>
      <c r="H489" t="n">
        <v>0</v>
      </c>
      <c r="I489" t="n">
        <v>0</v>
      </c>
      <c r="J489" t="n">
        <v>0</v>
      </c>
      <c r="K489" t="n">
        <v>0</v>
      </c>
      <c r="L489" t="n">
        <v>0</v>
      </c>
      <c r="M489" t="n">
        <v>0</v>
      </c>
      <c r="N489" t="n">
        <v>0</v>
      </c>
      <c r="O489" t="n">
        <v>0</v>
      </c>
      <c r="P489" t="n">
        <v>0</v>
      </c>
      <c r="Q489" t="n">
        <v>0</v>
      </c>
      <c r="R489" s="2" t="inlineStr"/>
    </row>
    <row r="490" ht="15" customHeight="1">
      <c r="A490" t="inlineStr">
        <is>
          <t>A 33920-2021</t>
        </is>
      </c>
      <c r="B490" s="1" t="n">
        <v>44378</v>
      </c>
      <c r="C490" s="1" t="n">
        <v>45708</v>
      </c>
      <c r="D490" t="inlineStr">
        <is>
          <t>UPPSALA LÄN</t>
        </is>
      </c>
      <c r="E490" t="inlineStr">
        <is>
          <t>UPPSALA</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34039-2021</t>
        </is>
      </c>
      <c r="B491" s="1" t="n">
        <v>44379</v>
      </c>
      <c r="C491" s="1" t="n">
        <v>45708</v>
      </c>
      <c r="D491" t="inlineStr">
        <is>
          <t>UPPSALA LÄN</t>
        </is>
      </c>
      <c r="E491" t="inlineStr">
        <is>
          <t>UPPSALA</t>
        </is>
      </c>
      <c r="G491" t="n">
        <v>0.7</v>
      </c>
      <c r="H491" t="n">
        <v>0</v>
      </c>
      <c r="I491" t="n">
        <v>0</v>
      </c>
      <c r="J491" t="n">
        <v>0</v>
      </c>
      <c r="K491" t="n">
        <v>0</v>
      </c>
      <c r="L491" t="n">
        <v>0</v>
      </c>
      <c r="M491" t="n">
        <v>0</v>
      </c>
      <c r="N491" t="n">
        <v>0</v>
      </c>
      <c r="O491" t="n">
        <v>0</v>
      </c>
      <c r="P491" t="n">
        <v>0</v>
      </c>
      <c r="Q491" t="n">
        <v>0</v>
      </c>
      <c r="R491" s="2" t="inlineStr"/>
    </row>
    <row r="492" ht="15" customHeight="1">
      <c r="A492" t="inlineStr">
        <is>
          <t>A 34043-2021</t>
        </is>
      </c>
      <c r="B492" s="1" t="n">
        <v>44379</v>
      </c>
      <c r="C492" s="1" t="n">
        <v>45708</v>
      </c>
      <c r="D492" t="inlineStr">
        <is>
          <t>UPPSALA LÄN</t>
        </is>
      </c>
      <c r="E492" t="inlineStr">
        <is>
          <t>UPPSALA</t>
        </is>
      </c>
      <c r="G492" t="n">
        <v>2.2</v>
      </c>
      <c r="H492" t="n">
        <v>0</v>
      </c>
      <c r="I492" t="n">
        <v>0</v>
      </c>
      <c r="J492" t="n">
        <v>0</v>
      </c>
      <c r="K492" t="n">
        <v>0</v>
      </c>
      <c r="L492" t="n">
        <v>0</v>
      </c>
      <c r="M492" t="n">
        <v>0</v>
      </c>
      <c r="N492" t="n">
        <v>0</v>
      </c>
      <c r="O492" t="n">
        <v>0</v>
      </c>
      <c r="P492" t="n">
        <v>0</v>
      </c>
      <c r="Q492" t="n">
        <v>0</v>
      </c>
      <c r="R492" s="2" t="inlineStr"/>
    </row>
    <row r="493" ht="15" customHeight="1">
      <c r="A493" t="inlineStr">
        <is>
          <t>A 34265-2021</t>
        </is>
      </c>
      <c r="B493" s="1" t="n">
        <v>44379</v>
      </c>
      <c r="C493" s="1" t="n">
        <v>45708</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34249-2021</t>
        </is>
      </c>
      <c r="B494" s="1" t="n">
        <v>44379</v>
      </c>
      <c r="C494" s="1" t="n">
        <v>45708</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34243-2021</t>
        </is>
      </c>
      <c r="B495" s="1" t="n">
        <v>44379</v>
      </c>
      <c r="C495" s="1" t="n">
        <v>45708</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34263-2021</t>
        </is>
      </c>
      <c r="B496" s="1" t="n">
        <v>44379</v>
      </c>
      <c r="C496" s="1" t="n">
        <v>45708</v>
      </c>
      <c r="D496" t="inlineStr">
        <is>
          <t>UPPSALA LÄN</t>
        </is>
      </c>
      <c r="E496" t="inlineStr">
        <is>
          <t>UPPSALA</t>
        </is>
      </c>
      <c r="G496" t="n">
        <v>5.8</v>
      </c>
      <c r="H496" t="n">
        <v>0</v>
      </c>
      <c r="I496" t="n">
        <v>0</v>
      </c>
      <c r="J496" t="n">
        <v>0</v>
      </c>
      <c r="K496" t="n">
        <v>0</v>
      </c>
      <c r="L496" t="n">
        <v>0</v>
      </c>
      <c r="M496" t="n">
        <v>0</v>
      </c>
      <c r="N496" t="n">
        <v>0</v>
      </c>
      <c r="O496" t="n">
        <v>0</v>
      </c>
      <c r="P496" t="n">
        <v>0</v>
      </c>
      <c r="Q496" t="n">
        <v>0</v>
      </c>
      <c r="R496" s="2" t="inlineStr"/>
    </row>
    <row r="497" ht="15" customHeight="1">
      <c r="A497" t="inlineStr">
        <is>
          <t>A 34838-2021</t>
        </is>
      </c>
      <c r="B497" s="1" t="n">
        <v>44383</v>
      </c>
      <c r="C497" s="1" t="n">
        <v>45708</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34825-2021</t>
        </is>
      </c>
      <c r="B498" s="1" t="n">
        <v>44383</v>
      </c>
      <c r="C498" s="1" t="n">
        <v>45708</v>
      </c>
      <c r="D498" t="inlineStr">
        <is>
          <t>UPPSALA LÄN</t>
        </is>
      </c>
      <c r="E498" t="inlineStr">
        <is>
          <t>UPPSALA</t>
        </is>
      </c>
      <c r="F498" t="inlineStr">
        <is>
          <t>Bergvik skog öst AB</t>
        </is>
      </c>
      <c r="G498" t="n">
        <v>2.6</v>
      </c>
      <c r="H498" t="n">
        <v>0</v>
      </c>
      <c r="I498" t="n">
        <v>0</v>
      </c>
      <c r="J498" t="n">
        <v>0</v>
      </c>
      <c r="K498" t="n">
        <v>0</v>
      </c>
      <c r="L498" t="n">
        <v>0</v>
      </c>
      <c r="M498" t="n">
        <v>0</v>
      </c>
      <c r="N498" t="n">
        <v>0</v>
      </c>
      <c r="O498" t="n">
        <v>0</v>
      </c>
      <c r="P498" t="n">
        <v>0</v>
      </c>
      <c r="Q498" t="n">
        <v>0</v>
      </c>
      <c r="R498" s="2" t="inlineStr"/>
    </row>
    <row r="499" ht="15" customHeight="1">
      <c r="A499" t="inlineStr">
        <is>
          <t>A 35630-2021</t>
        </is>
      </c>
      <c r="B499" s="1" t="n">
        <v>44386</v>
      </c>
      <c r="C499" s="1" t="n">
        <v>45708</v>
      </c>
      <c r="D499" t="inlineStr">
        <is>
          <t>UPPSALA LÄN</t>
        </is>
      </c>
      <c r="E499" t="inlineStr">
        <is>
          <t>UPPSALA</t>
        </is>
      </c>
      <c r="G499" t="n">
        <v>6</v>
      </c>
      <c r="H499" t="n">
        <v>0</v>
      </c>
      <c r="I499" t="n">
        <v>0</v>
      </c>
      <c r="J499" t="n">
        <v>0</v>
      </c>
      <c r="K499" t="n">
        <v>0</v>
      </c>
      <c r="L499" t="n">
        <v>0</v>
      </c>
      <c r="M499" t="n">
        <v>0</v>
      </c>
      <c r="N499" t="n">
        <v>0</v>
      </c>
      <c r="O499" t="n">
        <v>0</v>
      </c>
      <c r="P499" t="n">
        <v>0</v>
      </c>
      <c r="Q499" t="n">
        <v>0</v>
      </c>
      <c r="R499" s="2" t="inlineStr"/>
    </row>
    <row r="500" ht="15" customHeight="1">
      <c r="A500" t="inlineStr">
        <is>
          <t>A 36304-2021</t>
        </is>
      </c>
      <c r="B500" s="1" t="n">
        <v>44390</v>
      </c>
      <c r="C500" s="1" t="n">
        <v>45708</v>
      </c>
      <c r="D500" t="inlineStr">
        <is>
          <t>UPPSALA LÄN</t>
        </is>
      </c>
      <c r="E500" t="inlineStr">
        <is>
          <t>UPPSALA</t>
        </is>
      </c>
      <c r="G500" t="n">
        <v>7.4</v>
      </c>
      <c r="H500" t="n">
        <v>0</v>
      </c>
      <c r="I500" t="n">
        <v>0</v>
      </c>
      <c r="J500" t="n">
        <v>0</v>
      </c>
      <c r="K500" t="n">
        <v>0</v>
      </c>
      <c r="L500" t="n">
        <v>0</v>
      </c>
      <c r="M500" t="n">
        <v>0</v>
      </c>
      <c r="N500" t="n">
        <v>0</v>
      </c>
      <c r="O500" t="n">
        <v>0</v>
      </c>
      <c r="P500" t="n">
        <v>0</v>
      </c>
      <c r="Q500" t="n">
        <v>0</v>
      </c>
      <c r="R500" s="2" t="inlineStr"/>
    </row>
    <row r="501" ht="15" customHeight="1">
      <c r="A501" t="inlineStr">
        <is>
          <t>A 36721-2021</t>
        </is>
      </c>
      <c r="B501" s="1" t="n">
        <v>44392</v>
      </c>
      <c r="C501" s="1" t="n">
        <v>45708</v>
      </c>
      <c r="D501" t="inlineStr">
        <is>
          <t>UPPSALA LÄN</t>
        </is>
      </c>
      <c r="E501" t="inlineStr">
        <is>
          <t>UPPSALA</t>
        </is>
      </c>
      <c r="F501" t="inlineStr">
        <is>
          <t>Bergvik skog öst AB</t>
        </is>
      </c>
      <c r="G501" t="n">
        <v>5.8</v>
      </c>
      <c r="H501" t="n">
        <v>0</v>
      </c>
      <c r="I501" t="n">
        <v>0</v>
      </c>
      <c r="J501" t="n">
        <v>0</v>
      </c>
      <c r="K501" t="n">
        <v>0</v>
      </c>
      <c r="L501" t="n">
        <v>0</v>
      </c>
      <c r="M501" t="n">
        <v>0</v>
      </c>
      <c r="N501" t="n">
        <v>0</v>
      </c>
      <c r="O501" t="n">
        <v>0</v>
      </c>
      <c r="P501" t="n">
        <v>0</v>
      </c>
      <c r="Q501" t="n">
        <v>0</v>
      </c>
      <c r="R501" s="2" t="inlineStr"/>
    </row>
    <row r="502" ht="15" customHeight="1">
      <c r="A502" t="inlineStr">
        <is>
          <t>A 36998-2021</t>
        </is>
      </c>
      <c r="B502" s="1" t="n">
        <v>44393</v>
      </c>
      <c r="C502" s="1" t="n">
        <v>45708</v>
      </c>
      <c r="D502" t="inlineStr">
        <is>
          <t>UPPSALA LÄN</t>
        </is>
      </c>
      <c r="E502" t="inlineStr">
        <is>
          <t>UPPSALA</t>
        </is>
      </c>
      <c r="F502" t="inlineStr">
        <is>
          <t>Bergvik skog öst AB</t>
        </is>
      </c>
      <c r="G502" t="n">
        <v>3.5</v>
      </c>
      <c r="H502" t="n">
        <v>0</v>
      </c>
      <c r="I502" t="n">
        <v>0</v>
      </c>
      <c r="J502" t="n">
        <v>0</v>
      </c>
      <c r="K502" t="n">
        <v>0</v>
      </c>
      <c r="L502" t="n">
        <v>0</v>
      </c>
      <c r="M502" t="n">
        <v>0</v>
      </c>
      <c r="N502" t="n">
        <v>0</v>
      </c>
      <c r="O502" t="n">
        <v>0</v>
      </c>
      <c r="P502" t="n">
        <v>0</v>
      </c>
      <c r="Q502" t="n">
        <v>0</v>
      </c>
      <c r="R502" s="2" t="inlineStr"/>
    </row>
    <row r="503" ht="15" customHeight="1">
      <c r="A503" t="inlineStr">
        <is>
          <t>A 37162-2021</t>
        </is>
      </c>
      <c r="B503" s="1" t="n">
        <v>44395</v>
      </c>
      <c r="C503" s="1" t="n">
        <v>45708</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37763-2021</t>
        </is>
      </c>
      <c r="B504" s="1" t="n">
        <v>44400</v>
      </c>
      <c r="C504" s="1" t="n">
        <v>45708</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37819-2021</t>
        </is>
      </c>
      <c r="B505" s="1" t="n">
        <v>44403</v>
      </c>
      <c r="C505" s="1" t="n">
        <v>45708</v>
      </c>
      <c r="D505" t="inlineStr">
        <is>
          <t>UPPSALA LÄN</t>
        </is>
      </c>
      <c r="E505" t="inlineStr">
        <is>
          <t>UPPSALA</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37820-2021</t>
        </is>
      </c>
      <c r="B506" s="1" t="n">
        <v>44403</v>
      </c>
      <c r="C506" s="1" t="n">
        <v>45708</v>
      </c>
      <c r="D506" t="inlineStr">
        <is>
          <t>UPPSALA LÄN</t>
        </is>
      </c>
      <c r="E506" t="inlineStr">
        <is>
          <t>UPPSALA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38469-2021</t>
        </is>
      </c>
      <c r="B507" s="1" t="n">
        <v>44407</v>
      </c>
      <c r="C507" s="1" t="n">
        <v>45708</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38463-2021</t>
        </is>
      </c>
      <c r="B508" s="1" t="n">
        <v>44407</v>
      </c>
      <c r="C508" s="1" t="n">
        <v>45708</v>
      </c>
      <c r="D508" t="inlineStr">
        <is>
          <t>UPPSALA LÄN</t>
        </is>
      </c>
      <c r="E508" t="inlineStr">
        <is>
          <t>UPPSALA</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40500-2021</t>
        </is>
      </c>
      <c r="B509" s="1" t="n">
        <v>44420</v>
      </c>
      <c r="C509" s="1" t="n">
        <v>45708</v>
      </c>
      <c r="D509" t="inlineStr">
        <is>
          <t>UPPSALA LÄN</t>
        </is>
      </c>
      <c r="E509" t="inlineStr">
        <is>
          <t>UPPSALA</t>
        </is>
      </c>
      <c r="G509" t="n">
        <v>3.5</v>
      </c>
      <c r="H509" t="n">
        <v>0</v>
      </c>
      <c r="I509" t="n">
        <v>0</v>
      </c>
      <c r="J509" t="n">
        <v>0</v>
      </c>
      <c r="K509" t="n">
        <v>0</v>
      </c>
      <c r="L509" t="n">
        <v>0</v>
      </c>
      <c r="M509" t="n">
        <v>0</v>
      </c>
      <c r="N509" t="n">
        <v>0</v>
      </c>
      <c r="O509" t="n">
        <v>0</v>
      </c>
      <c r="P509" t="n">
        <v>0</v>
      </c>
      <c r="Q509" t="n">
        <v>0</v>
      </c>
      <c r="R509" s="2" t="inlineStr"/>
    </row>
    <row r="510" ht="15" customHeight="1">
      <c r="A510" t="inlineStr">
        <is>
          <t>A 40507-2021</t>
        </is>
      </c>
      <c r="B510" s="1" t="n">
        <v>44420</v>
      </c>
      <c r="C510" s="1" t="n">
        <v>45708</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42124-2021</t>
        </is>
      </c>
      <c r="B511" s="1" t="n">
        <v>44426</v>
      </c>
      <c r="C511" s="1" t="n">
        <v>45708</v>
      </c>
      <c r="D511" t="inlineStr">
        <is>
          <t>UPPSALA LÄN</t>
        </is>
      </c>
      <c r="E511" t="inlineStr">
        <is>
          <t>UPPSALA</t>
        </is>
      </c>
      <c r="G511" t="n">
        <v>6.3</v>
      </c>
      <c r="H511" t="n">
        <v>0</v>
      </c>
      <c r="I511" t="n">
        <v>0</v>
      </c>
      <c r="J511" t="n">
        <v>0</v>
      </c>
      <c r="K511" t="n">
        <v>0</v>
      </c>
      <c r="L511" t="n">
        <v>0</v>
      </c>
      <c r="M511" t="n">
        <v>0</v>
      </c>
      <c r="N511" t="n">
        <v>0</v>
      </c>
      <c r="O511" t="n">
        <v>0</v>
      </c>
      <c r="P511" t="n">
        <v>0</v>
      </c>
      <c r="Q511" t="n">
        <v>0</v>
      </c>
      <c r="R511" s="2" t="inlineStr"/>
    </row>
    <row r="512" ht="15" customHeight="1">
      <c r="A512" t="inlineStr">
        <is>
          <t>A 42294-2021</t>
        </is>
      </c>
      <c r="B512" s="1" t="n">
        <v>44427</v>
      </c>
      <c r="C512" s="1" t="n">
        <v>45708</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44315-2021</t>
        </is>
      </c>
      <c r="B513" s="1" t="n">
        <v>44435</v>
      </c>
      <c r="C513" s="1" t="n">
        <v>45708</v>
      </c>
      <c r="D513" t="inlineStr">
        <is>
          <t>UPPSALA LÄN</t>
        </is>
      </c>
      <c r="E513" t="inlineStr">
        <is>
          <t>UPPSALA</t>
        </is>
      </c>
      <c r="G513" t="n">
        <v>5.2</v>
      </c>
      <c r="H513" t="n">
        <v>0</v>
      </c>
      <c r="I513" t="n">
        <v>0</v>
      </c>
      <c r="J513" t="n">
        <v>0</v>
      </c>
      <c r="K513" t="n">
        <v>0</v>
      </c>
      <c r="L513" t="n">
        <v>0</v>
      </c>
      <c r="M513" t="n">
        <v>0</v>
      </c>
      <c r="N513" t="n">
        <v>0</v>
      </c>
      <c r="O513" t="n">
        <v>0</v>
      </c>
      <c r="P513" t="n">
        <v>0</v>
      </c>
      <c r="Q513" t="n">
        <v>0</v>
      </c>
      <c r="R513" s="2" t="inlineStr"/>
    </row>
    <row r="514" ht="15" customHeight="1">
      <c r="A514" t="inlineStr">
        <is>
          <t>A 44781-2021</t>
        </is>
      </c>
      <c r="B514" s="1" t="n">
        <v>44438</v>
      </c>
      <c r="C514" s="1" t="n">
        <v>45708</v>
      </c>
      <c r="D514" t="inlineStr">
        <is>
          <t>UPPSALA LÄN</t>
        </is>
      </c>
      <c r="E514" t="inlineStr">
        <is>
          <t>UPPSALA</t>
        </is>
      </c>
      <c r="F514" t="inlineStr">
        <is>
          <t>Sveaskog</t>
        </is>
      </c>
      <c r="G514" t="n">
        <v>0.1</v>
      </c>
      <c r="H514" t="n">
        <v>0</v>
      </c>
      <c r="I514" t="n">
        <v>0</v>
      </c>
      <c r="J514" t="n">
        <v>0</v>
      </c>
      <c r="K514" t="n">
        <v>0</v>
      </c>
      <c r="L514" t="n">
        <v>0</v>
      </c>
      <c r="M514" t="n">
        <v>0</v>
      </c>
      <c r="N514" t="n">
        <v>0</v>
      </c>
      <c r="O514" t="n">
        <v>0</v>
      </c>
      <c r="P514" t="n">
        <v>0</v>
      </c>
      <c r="Q514" t="n">
        <v>0</v>
      </c>
      <c r="R514" s="2" t="inlineStr"/>
    </row>
    <row r="515" ht="15" customHeight="1">
      <c r="A515" t="inlineStr">
        <is>
          <t>A 46097-2021</t>
        </is>
      </c>
      <c r="B515" s="1" t="n">
        <v>44442</v>
      </c>
      <c r="C515" s="1" t="n">
        <v>45708</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46099-2021</t>
        </is>
      </c>
      <c r="B516" s="1" t="n">
        <v>44442</v>
      </c>
      <c r="C516" s="1" t="n">
        <v>45708</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46553-2021</t>
        </is>
      </c>
      <c r="B517" s="1" t="n">
        <v>44445</v>
      </c>
      <c r="C517" s="1" t="n">
        <v>45708</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46920-2021</t>
        </is>
      </c>
      <c r="B518" s="1" t="n">
        <v>44446</v>
      </c>
      <c r="C518" s="1" t="n">
        <v>45708</v>
      </c>
      <c r="D518" t="inlineStr">
        <is>
          <t>UPPSALA LÄN</t>
        </is>
      </c>
      <c r="E518" t="inlineStr">
        <is>
          <t>UPPSALA</t>
        </is>
      </c>
      <c r="G518" t="n">
        <v>1.6</v>
      </c>
      <c r="H518" t="n">
        <v>0</v>
      </c>
      <c r="I518" t="n">
        <v>0</v>
      </c>
      <c r="J518" t="n">
        <v>0</v>
      </c>
      <c r="K518" t="n">
        <v>0</v>
      </c>
      <c r="L518" t="n">
        <v>0</v>
      </c>
      <c r="M518" t="n">
        <v>0</v>
      </c>
      <c r="N518" t="n">
        <v>0</v>
      </c>
      <c r="O518" t="n">
        <v>0</v>
      </c>
      <c r="P518" t="n">
        <v>0</v>
      </c>
      <c r="Q518" t="n">
        <v>0</v>
      </c>
      <c r="R518" s="2" t="inlineStr"/>
    </row>
    <row r="519" ht="15" customHeight="1">
      <c r="A519" t="inlineStr">
        <is>
          <t>A 46916-2021</t>
        </is>
      </c>
      <c r="B519" s="1" t="n">
        <v>44446</v>
      </c>
      <c r="C519" s="1" t="n">
        <v>45708</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47367-2021</t>
        </is>
      </c>
      <c r="B520" s="1" t="n">
        <v>44447</v>
      </c>
      <c r="C520" s="1" t="n">
        <v>45708</v>
      </c>
      <c r="D520" t="inlineStr">
        <is>
          <t>UPPSALA LÄN</t>
        </is>
      </c>
      <c r="E520" t="inlineStr">
        <is>
          <t>UPPSALA</t>
        </is>
      </c>
      <c r="G520" t="n">
        <v>3.8</v>
      </c>
      <c r="H520" t="n">
        <v>0</v>
      </c>
      <c r="I520" t="n">
        <v>0</v>
      </c>
      <c r="J520" t="n">
        <v>0</v>
      </c>
      <c r="K520" t="n">
        <v>0</v>
      </c>
      <c r="L520" t="n">
        <v>0</v>
      </c>
      <c r="M520" t="n">
        <v>0</v>
      </c>
      <c r="N520" t="n">
        <v>0</v>
      </c>
      <c r="O520" t="n">
        <v>0</v>
      </c>
      <c r="P520" t="n">
        <v>0</v>
      </c>
      <c r="Q520" t="n">
        <v>0</v>
      </c>
      <c r="R520" s="2" t="inlineStr"/>
    </row>
    <row r="521" ht="15" customHeight="1">
      <c r="A521" t="inlineStr">
        <is>
          <t>A 48918-2021</t>
        </is>
      </c>
      <c r="B521" s="1" t="n">
        <v>44453</v>
      </c>
      <c r="C521" s="1" t="n">
        <v>45708</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49274-2021</t>
        </is>
      </c>
      <c r="B522" s="1" t="n">
        <v>44454</v>
      </c>
      <c r="C522" s="1" t="n">
        <v>45708</v>
      </c>
      <c r="D522" t="inlineStr">
        <is>
          <t>UPPSALA LÄN</t>
        </is>
      </c>
      <c r="E522" t="inlineStr">
        <is>
          <t>UPPSALA</t>
        </is>
      </c>
      <c r="G522" t="n">
        <v>8.5</v>
      </c>
      <c r="H522" t="n">
        <v>0</v>
      </c>
      <c r="I522" t="n">
        <v>0</v>
      </c>
      <c r="J522" t="n">
        <v>0</v>
      </c>
      <c r="K522" t="n">
        <v>0</v>
      </c>
      <c r="L522" t="n">
        <v>0</v>
      </c>
      <c r="M522" t="n">
        <v>0</v>
      </c>
      <c r="N522" t="n">
        <v>0</v>
      </c>
      <c r="O522" t="n">
        <v>0</v>
      </c>
      <c r="P522" t="n">
        <v>0</v>
      </c>
      <c r="Q522" t="n">
        <v>0</v>
      </c>
      <c r="R522" s="2" t="inlineStr"/>
    </row>
    <row r="523" ht="15" customHeight="1">
      <c r="A523" t="inlineStr">
        <is>
          <t>A 51050-2021</t>
        </is>
      </c>
      <c r="B523" s="1" t="n">
        <v>44459</v>
      </c>
      <c r="C523" s="1" t="n">
        <v>45708</v>
      </c>
      <c r="D523" t="inlineStr">
        <is>
          <t>UPPSALA LÄN</t>
        </is>
      </c>
      <c r="E523" t="inlineStr">
        <is>
          <t>UPPSALA</t>
        </is>
      </c>
      <c r="F523" t="inlineStr">
        <is>
          <t>Övriga Aktiebolag</t>
        </is>
      </c>
      <c r="G523" t="n">
        <v>7.5</v>
      </c>
      <c r="H523" t="n">
        <v>0</v>
      </c>
      <c r="I523" t="n">
        <v>0</v>
      </c>
      <c r="J523" t="n">
        <v>0</v>
      </c>
      <c r="K523" t="n">
        <v>0</v>
      </c>
      <c r="L523" t="n">
        <v>0</v>
      </c>
      <c r="M523" t="n">
        <v>0</v>
      </c>
      <c r="N523" t="n">
        <v>0</v>
      </c>
      <c r="O523" t="n">
        <v>0</v>
      </c>
      <c r="P523" t="n">
        <v>0</v>
      </c>
      <c r="Q523" t="n">
        <v>0</v>
      </c>
      <c r="R523" s="2" t="inlineStr"/>
    </row>
    <row r="524" ht="15" customHeight="1">
      <c r="A524" t="inlineStr">
        <is>
          <t>A 51821-2021</t>
        </is>
      </c>
      <c r="B524" s="1" t="n">
        <v>44461</v>
      </c>
      <c r="C524" s="1" t="n">
        <v>45708</v>
      </c>
      <c r="D524" t="inlineStr">
        <is>
          <t>UPPSALA LÄN</t>
        </is>
      </c>
      <c r="E524" t="inlineStr">
        <is>
          <t>UPPSALA</t>
        </is>
      </c>
      <c r="F524" t="inlineStr">
        <is>
          <t>Övriga Aktiebolag</t>
        </is>
      </c>
      <c r="G524" t="n">
        <v>5.3</v>
      </c>
      <c r="H524" t="n">
        <v>0</v>
      </c>
      <c r="I524" t="n">
        <v>0</v>
      </c>
      <c r="J524" t="n">
        <v>0</v>
      </c>
      <c r="K524" t="n">
        <v>0</v>
      </c>
      <c r="L524" t="n">
        <v>0</v>
      </c>
      <c r="M524" t="n">
        <v>0</v>
      </c>
      <c r="N524" t="n">
        <v>0</v>
      </c>
      <c r="O524" t="n">
        <v>0</v>
      </c>
      <c r="P524" t="n">
        <v>0</v>
      </c>
      <c r="Q524" t="n">
        <v>0</v>
      </c>
      <c r="R524" s="2" t="inlineStr"/>
    </row>
    <row r="525" ht="15" customHeight="1">
      <c r="A525" t="inlineStr">
        <is>
          <t>A 51396-2021</t>
        </is>
      </c>
      <c r="B525" s="1" t="n">
        <v>44461</v>
      </c>
      <c r="C525" s="1" t="n">
        <v>45708</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52083-2021</t>
        </is>
      </c>
      <c r="B526" s="1" t="n">
        <v>44463</v>
      </c>
      <c r="C526" s="1" t="n">
        <v>45708</v>
      </c>
      <c r="D526" t="inlineStr">
        <is>
          <t>UPPSALA LÄN</t>
        </is>
      </c>
      <c r="E526" t="inlineStr">
        <is>
          <t>UPPSALA</t>
        </is>
      </c>
      <c r="G526" t="n">
        <v>3.6</v>
      </c>
      <c r="H526" t="n">
        <v>0</v>
      </c>
      <c r="I526" t="n">
        <v>0</v>
      </c>
      <c r="J526" t="n">
        <v>0</v>
      </c>
      <c r="K526" t="n">
        <v>0</v>
      </c>
      <c r="L526" t="n">
        <v>0</v>
      </c>
      <c r="M526" t="n">
        <v>0</v>
      </c>
      <c r="N526" t="n">
        <v>0</v>
      </c>
      <c r="O526" t="n">
        <v>0</v>
      </c>
      <c r="P526" t="n">
        <v>0</v>
      </c>
      <c r="Q526" t="n">
        <v>0</v>
      </c>
      <c r="R526" s="2" t="inlineStr"/>
    </row>
    <row r="527" ht="15" customHeight="1">
      <c r="A527" t="inlineStr">
        <is>
          <t>A 54168-2021</t>
        </is>
      </c>
      <c r="B527" s="1" t="n">
        <v>44470</v>
      </c>
      <c r="C527" s="1" t="n">
        <v>45708</v>
      </c>
      <c r="D527" t="inlineStr">
        <is>
          <t>UPPSALA LÄN</t>
        </is>
      </c>
      <c r="E527" t="inlineStr">
        <is>
          <t>UPPSALA</t>
        </is>
      </c>
      <c r="G527" t="n">
        <v>7.5</v>
      </c>
      <c r="H527" t="n">
        <v>0</v>
      </c>
      <c r="I527" t="n">
        <v>0</v>
      </c>
      <c r="J527" t="n">
        <v>0</v>
      </c>
      <c r="K527" t="n">
        <v>0</v>
      </c>
      <c r="L527" t="n">
        <v>0</v>
      </c>
      <c r="M527" t="n">
        <v>0</v>
      </c>
      <c r="N527" t="n">
        <v>0</v>
      </c>
      <c r="O527" t="n">
        <v>0</v>
      </c>
      <c r="P527" t="n">
        <v>0</v>
      </c>
      <c r="Q527" t="n">
        <v>0</v>
      </c>
      <c r="R527" s="2" t="inlineStr"/>
    </row>
    <row r="528" ht="15" customHeight="1">
      <c r="A528" t="inlineStr">
        <is>
          <t>A 55823-2021</t>
        </is>
      </c>
      <c r="B528" s="1" t="n">
        <v>44476</v>
      </c>
      <c r="C528" s="1" t="n">
        <v>45708</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56042-2021</t>
        </is>
      </c>
      <c r="B529" s="1" t="n">
        <v>44477</v>
      </c>
      <c r="C529" s="1" t="n">
        <v>45708</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56049-2021</t>
        </is>
      </c>
      <c r="B530" s="1" t="n">
        <v>44477</v>
      </c>
      <c r="C530" s="1" t="n">
        <v>45708</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56463-2021</t>
        </is>
      </c>
      <c r="B531" s="1" t="n">
        <v>44479</v>
      </c>
      <c r="C531" s="1" t="n">
        <v>45708</v>
      </c>
      <c r="D531" t="inlineStr">
        <is>
          <t>UPPSALA LÄN</t>
        </is>
      </c>
      <c r="E531" t="inlineStr">
        <is>
          <t>UPPSALA</t>
        </is>
      </c>
      <c r="G531" t="n">
        <v>6.4</v>
      </c>
      <c r="H531" t="n">
        <v>0</v>
      </c>
      <c r="I531" t="n">
        <v>0</v>
      </c>
      <c r="J531" t="n">
        <v>0</v>
      </c>
      <c r="K531" t="n">
        <v>0</v>
      </c>
      <c r="L531" t="n">
        <v>0</v>
      </c>
      <c r="M531" t="n">
        <v>0</v>
      </c>
      <c r="N531" t="n">
        <v>0</v>
      </c>
      <c r="O531" t="n">
        <v>0</v>
      </c>
      <c r="P531" t="n">
        <v>0</v>
      </c>
      <c r="Q531" t="n">
        <v>0</v>
      </c>
      <c r="R531" s="2" t="inlineStr"/>
    </row>
    <row r="532" ht="15" customHeight="1">
      <c r="A532" t="inlineStr">
        <is>
          <t>A 56769-2021</t>
        </is>
      </c>
      <c r="B532" s="1" t="n">
        <v>44481</v>
      </c>
      <c r="C532" s="1" t="n">
        <v>45708</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57647-2021</t>
        </is>
      </c>
      <c r="B533" s="1" t="n">
        <v>44484</v>
      </c>
      <c r="C533" s="1" t="n">
        <v>45708</v>
      </c>
      <c r="D533" t="inlineStr">
        <is>
          <t>UPPSALA LÄN</t>
        </is>
      </c>
      <c r="E533" t="inlineStr">
        <is>
          <t>UPPSALA</t>
        </is>
      </c>
      <c r="G533" t="n">
        <v>2.3</v>
      </c>
      <c r="H533" t="n">
        <v>0</v>
      </c>
      <c r="I533" t="n">
        <v>0</v>
      </c>
      <c r="J533" t="n">
        <v>0</v>
      </c>
      <c r="K533" t="n">
        <v>0</v>
      </c>
      <c r="L533" t="n">
        <v>0</v>
      </c>
      <c r="M533" t="n">
        <v>0</v>
      </c>
      <c r="N533" t="n">
        <v>0</v>
      </c>
      <c r="O533" t="n">
        <v>0</v>
      </c>
      <c r="P533" t="n">
        <v>0</v>
      </c>
      <c r="Q533" t="n">
        <v>0</v>
      </c>
      <c r="R533" s="2" t="inlineStr"/>
    </row>
    <row r="534" ht="15" customHeight="1">
      <c r="A534" t="inlineStr">
        <is>
          <t>A 57890-2021</t>
        </is>
      </c>
      <c r="B534" s="1" t="n">
        <v>44486</v>
      </c>
      <c r="C534" s="1" t="n">
        <v>45708</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58767-2021</t>
        </is>
      </c>
      <c r="B535" s="1" t="n">
        <v>44489</v>
      </c>
      <c r="C535" s="1" t="n">
        <v>45708</v>
      </c>
      <c r="D535" t="inlineStr">
        <is>
          <t>UPPSALA LÄN</t>
        </is>
      </c>
      <c r="E535" t="inlineStr">
        <is>
          <t>UPPSALA</t>
        </is>
      </c>
      <c r="G535" t="n">
        <v>4.8</v>
      </c>
      <c r="H535" t="n">
        <v>0</v>
      </c>
      <c r="I535" t="n">
        <v>0</v>
      </c>
      <c r="J535" t="n">
        <v>0</v>
      </c>
      <c r="K535" t="n">
        <v>0</v>
      </c>
      <c r="L535" t="n">
        <v>0</v>
      </c>
      <c r="M535" t="n">
        <v>0</v>
      </c>
      <c r="N535" t="n">
        <v>0</v>
      </c>
      <c r="O535" t="n">
        <v>0</v>
      </c>
      <c r="P535" t="n">
        <v>0</v>
      </c>
      <c r="Q535" t="n">
        <v>0</v>
      </c>
      <c r="R535" s="2" t="inlineStr"/>
    </row>
    <row r="536" ht="15" customHeight="1">
      <c r="A536" t="inlineStr">
        <is>
          <t>A 58897-2021</t>
        </is>
      </c>
      <c r="B536" s="1" t="n">
        <v>44489</v>
      </c>
      <c r="C536" s="1" t="n">
        <v>45708</v>
      </c>
      <c r="D536" t="inlineStr">
        <is>
          <t>UPPSALA LÄN</t>
        </is>
      </c>
      <c r="E536" t="inlineStr">
        <is>
          <t>UPPSALA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59241-2021</t>
        </is>
      </c>
      <c r="B537" s="1" t="n">
        <v>44490</v>
      </c>
      <c r="C537" s="1" t="n">
        <v>45708</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59484-2021</t>
        </is>
      </c>
      <c r="B538" s="1" t="n">
        <v>44491</v>
      </c>
      <c r="C538" s="1" t="n">
        <v>45708</v>
      </c>
      <c r="D538" t="inlineStr">
        <is>
          <t>UPPSALA LÄN</t>
        </is>
      </c>
      <c r="E538" t="inlineStr">
        <is>
          <t>UPPSALA</t>
        </is>
      </c>
      <c r="F538" t="inlineStr">
        <is>
          <t>Bergvik skog öst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59500-2021</t>
        </is>
      </c>
      <c r="B539" s="1" t="n">
        <v>44491</v>
      </c>
      <c r="C539" s="1" t="n">
        <v>45708</v>
      </c>
      <c r="D539" t="inlineStr">
        <is>
          <t>UPPSALA LÄN</t>
        </is>
      </c>
      <c r="E539" t="inlineStr">
        <is>
          <t>UPPSALA</t>
        </is>
      </c>
      <c r="F539" t="inlineStr">
        <is>
          <t>Bergvik skog öst AB</t>
        </is>
      </c>
      <c r="G539" t="n">
        <v>1.6</v>
      </c>
      <c r="H539" t="n">
        <v>0</v>
      </c>
      <c r="I539" t="n">
        <v>0</v>
      </c>
      <c r="J539" t="n">
        <v>0</v>
      </c>
      <c r="K539" t="n">
        <v>0</v>
      </c>
      <c r="L539" t="n">
        <v>0</v>
      </c>
      <c r="M539" t="n">
        <v>0</v>
      </c>
      <c r="N539" t="n">
        <v>0</v>
      </c>
      <c r="O539" t="n">
        <v>0</v>
      </c>
      <c r="P539" t="n">
        <v>0</v>
      </c>
      <c r="Q539" t="n">
        <v>0</v>
      </c>
      <c r="R539" s="2" t="inlineStr"/>
    </row>
    <row r="540" ht="15" customHeight="1">
      <c r="A540" t="inlineStr">
        <is>
          <t>A 59479-2021</t>
        </is>
      </c>
      <c r="B540" s="1" t="n">
        <v>44491</v>
      </c>
      <c r="C540" s="1" t="n">
        <v>45708</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59881-2021</t>
        </is>
      </c>
      <c r="B541" s="1" t="n">
        <v>44494</v>
      </c>
      <c r="C541" s="1" t="n">
        <v>45708</v>
      </c>
      <c r="D541" t="inlineStr">
        <is>
          <t>UPPSALA LÄN</t>
        </is>
      </c>
      <c r="E541" t="inlineStr">
        <is>
          <t>UPPSALA</t>
        </is>
      </c>
      <c r="F541" t="inlineStr">
        <is>
          <t>Allmännings- och besparingsskogar</t>
        </is>
      </c>
      <c r="G541" t="n">
        <v>1.6</v>
      </c>
      <c r="H541" t="n">
        <v>0</v>
      </c>
      <c r="I541" t="n">
        <v>0</v>
      </c>
      <c r="J541" t="n">
        <v>0</v>
      </c>
      <c r="K541" t="n">
        <v>0</v>
      </c>
      <c r="L541" t="n">
        <v>0</v>
      </c>
      <c r="M541" t="n">
        <v>0</v>
      </c>
      <c r="N541" t="n">
        <v>0</v>
      </c>
      <c r="O541" t="n">
        <v>0</v>
      </c>
      <c r="P541" t="n">
        <v>0</v>
      </c>
      <c r="Q541" t="n">
        <v>0</v>
      </c>
      <c r="R541" s="2" t="inlineStr"/>
    </row>
    <row r="542" ht="15" customHeight="1">
      <c r="A542" t="inlineStr">
        <is>
          <t>A 60032-2021</t>
        </is>
      </c>
      <c r="B542" s="1" t="n">
        <v>44495</v>
      </c>
      <c r="C542" s="1" t="n">
        <v>45708</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61008-2021</t>
        </is>
      </c>
      <c r="B543" s="1" t="n">
        <v>44497</v>
      </c>
      <c r="C543" s="1" t="n">
        <v>45708</v>
      </c>
      <c r="D543" t="inlineStr">
        <is>
          <t>UPPSALA LÄN</t>
        </is>
      </c>
      <c r="E543" t="inlineStr">
        <is>
          <t>UPPSALA</t>
        </is>
      </c>
      <c r="G543" t="n">
        <v>6.3</v>
      </c>
      <c r="H543" t="n">
        <v>0</v>
      </c>
      <c r="I543" t="n">
        <v>0</v>
      </c>
      <c r="J543" t="n">
        <v>0</v>
      </c>
      <c r="K543" t="n">
        <v>0</v>
      </c>
      <c r="L543" t="n">
        <v>0</v>
      </c>
      <c r="M543" t="n">
        <v>0</v>
      </c>
      <c r="N543" t="n">
        <v>0</v>
      </c>
      <c r="O543" t="n">
        <v>0</v>
      </c>
      <c r="P543" t="n">
        <v>0</v>
      </c>
      <c r="Q543" t="n">
        <v>0</v>
      </c>
      <c r="R543" s="2" t="inlineStr"/>
    </row>
    <row r="544" ht="15" customHeight="1">
      <c r="A544" t="inlineStr">
        <is>
          <t>A 60917-2021</t>
        </is>
      </c>
      <c r="B544" s="1" t="n">
        <v>44497</v>
      </c>
      <c r="C544" s="1" t="n">
        <v>45708</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60925-2021</t>
        </is>
      </c>
      <c r="B545" s="1" t="n">
        <v>44497</v>
      </c>
      <c r="C545" s="1" t="n">
        <v>45708</v>
      </c>
      <c r="D545" t="inlineStr">
        <is>
          <t>UPPSALA LÄN</t>
        </is>
      </c>
      <c r="E545" t="inlineStr">
        <is>
          <t>UPPSALA</t>
        </is>
      </c>
      <c r="G545" t="n">
        <v>3.7</v>
      </c>
      <c r="H545" t="n">
        <v>0</v>
      </c>
      <c r="I545" t="n">
        <v>0</v>
      </c>
      <c r="J545" t="n">
        <v>0</v>
      </c>
      <c r="K545" t="n">
        <v>0</v>
      </c>
      <c r="L545" t="n">
        <v>0</v>
      </c>
      <c r="M545" t="n">
        <v>0</v>
      </c>
      <c r="N545" t="n">
        <v>0</v>
      </c>
      <c r="O545" t="n">
        <v>0</v>
      </c>
      <c r="P545" t="n">
        <v>0</v>
      </c>
      <c r="Q545" t="n">
        <v>0</v>
      </c>
      <c r="R545" s="2" t="inlineStr"/>
    </row>
    <row r="546" ht="15" customHeight="1">
      <c r="A546" t="inlineStr">
        <is>
          <t>A 61805-2021</t>
        </is>
      </c>
      <c r="B546" s="1" t="n">
        <v>44501</v>
      </c>
      <c r="C546" s="1" t="n">
        <v>45708</v>
      </c>
      <c r="D546" t="inlineStr">
        <is>
          <t>UPPSALA LÄN</t>
        </is>
      </c>
      <c r="E546" t="inlineStr">
        <is>
          <t>UPPSALA</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62471-2021</t>
        </is>
      </c>
      <c r="B547" s="1" t="n">
        <v>44503</v>
      </c>
      <c r="C547" s="1" t="n">
        <v>45708</v>
      </c>
      <c r="D547" t="inlineStr">
        <is>
          <t>UPPSALA LÄN</t>
        </is>
      </c>
      <c r="E547" t="inlineStr">
        <is>
          <t>UPPSALA</t>
        </is>
      </c>
      <c r="G547" t="n">
        <v>2</v>
      </c>
      <c r="H547" t="n">
        <v>0</v>
      </c>
      <c r="I547" t="n">
        <v>0</v>
      </c>
      <c r="J547" t="n">
        <v>0</v>
      </c>
      <c r="K547" t="n">
        <v>0</v>
      </c>
      <c r="L547" t="n">
        <v>0</v>
      </c>
      <c r="M547" t="n">
        <v>0</v>
      </c>
      <c r="N547" t="n">
        <v>0</v>
      </c>
      <c r="O547" t="n">
        <v>0</v>
      </c>
      <c r="P547" t="n">
        <v>0</v>
      </c>
      <c r="Q547" t="n">
        <v>0</v>
      </c>
      <c r="R547" s="2" t="inlineStr"/>
    </row>
    <row r="548" ht="15" customHeight="1">
      <c r="A548" t="inlineStr">
        <is>
          <t>A 62865-2021</t>
        </is>
      </c>
      <c r="B548" s="1" t="n">
        <v>44504</v>
      </c>
      <c r="C548" s="1" t="n">
        <v>45708</v>
      </c>
      <c r="D548" t="inlineStr">
        <is>
          <t>UPPSALA LÄN</t>
        </is>
      </c>
      <c r="E548" t="inlineStr">
        <is>
          <t>UPPSALA</t>
        </is>
      </c>
      <c r="F548" t="inlineStr">
        <is>
          <t>Bergvik skog öst AB</t>
        </is>
      </c>
      <c r="G548" t="n">
        <v>1.7</v>
      </c>
      <c r="H548" t="n">
        <v>0</v>
      </c>
      <c r="I548" t="n">
        <v>0</v>
      </c>
      <c r="J548" t="n">
        <v>0</v>
      </c>
      <c r="K548" t="n">
        <v>0</v>
      </c>
      <c r="L548" t="n">
        <v>0</v>
      </c>
      <c r="M548" t="n">
        <v>0</v>
      </c>
      <c r="N548" t="n">
        <v>0</v>
      </c>
      <c r="O548" t="n">
        <v>0</v>
      </c>
      <c r="P548" t="n">
        <v>0</v>
      </c>
      <c r="Q548" t="n">
        <v>0</v>
      </c>
      <c r="R548" s="2" t="inlineStr"/>
    </row>
    <row r="549" ht="15" customHeight="1">
      <c r="A549" t="inlineStr">
        <is>
          <t>A 63011-2021</t>
        </is>
      </c>
      <c r="B549" s="1" t="n">
        <v>44504</v>
      </c>
      <c r="C549" s="1" t="n">
        <v>45708</v>
      </c>
      <c r="D549" t="inlineStr">
        <is>
          <t>UPPSALA LÄN</t>
        </is>
      </c>
      <c r="E549" t="inlineStr">
        <is>
          <t>UPPSALA</t>
        </is>
      </c>
      <c r="G549" t="n">
        <v>11.2</v>
      </c>
      <c r="H549" t="n">
        <v>0</v>
      </c>
      <c r="I549" t="n">
        <v>0</v>
      </c>
      <c r="J549" t="n">
        <v>0</v>
      </c>
      <c r="K549" t="n">
        <v>0</v>
      </c>
      <c r="L549" t="n">
        <v>0</v>
      </c>
      <c r="M549" t="n">
        <v>0</v>
      </c>
      <c r="N549" t="n">
        <v>0</v>
      </c>
      <c r="O549" t="n">
        <v>0</v>
      </c>
      <c r="P549" t="n">
        <v>0</v>
      </c>
      <c r="Q549" t="n">
        <v>0</v>
      </c>
      <c r="R549" s="2" t="inlineStr"/>
    </row>
    <row r="550" ht="15" customHeight="1">
      <c r="A550" t="inlineStr">
        <is>
          <t>A 63307-2021</t>
        </is>
      </c>
      <c r="B550" s="1" t="n">
        <v>44508</v>
      </c>
      <c r="C550" s="1" t="n">
        <v>45708</v>
      </c>
      <c r="D550" t="inlineStr">
        <is>
          <t>UPPSALA LÄN</t>
        </is>
      </c>
      <c r="E550" t="inlineStr">
        <is>
          <t>UPPSALA</t>
        </is>
      </c>
      <c r="F550" t="inlineStr">
        <is>
          <t>Bergvik skog öst AB</t>
        </is>
      </c>
      <c r="G550" t="n">
        <v>2.8</v>
      </c>
      <c r="H550" t="n">
        <v>0</v>
      </c>
      <c r="I550" t="n">
        <v>0</v>
      </c>
      <c r="J550" t="n">
        <v>0</v>
      </c>
      <c r="K550" t="n">
        <v>0</v>
      </c>
      <c r="L550" t="n">
        <v>0</v>
      </c>
      <c r="M550" t="n">
        <v>0</v>
      </c>
      <c r="N550" t="n">
        <v>0</v>
      </c>
      <c r="O550" t="n">
        <v>0</v>
      </c>
      <c r="P550" t="n">
        <v>0</v>
      </c>
      <c r="Q550" t="n">
        <v>0</v>
      </c>
      <c r="R550" s="2" t="inlineStr"/>
    </row>
    <row r="551" ht="15" customHeight="1">
      <c r="A551" t="inlineStr">
        <is>
          <t>A 64016-2021</t>
        </is>
      </c>
      <c r="B551" s="1" t="n">
        <v>44510</v>
      </c>
      <c r="C551" s="1" t="n">
        <v>45708</v>
      </c>
      <c r="D551" t="inlineStr">
        <is>
          <t>UPPSALA LÄN</t>
        </is>
      </c>
      <c r="E551" t="inlineStr">
        <is>
          <t>UPPSALA</t>
        </is>
      </c>
      <c r="G551" t="n">
        <v>2.1</v>
      </c>
      <c r="H551" t="n">
        <v>0</v>
      </c>
      <c r="I551" t="n">
        <v>0</v>
      </c>
      <c r="J551" t="n">
        <v>0</v>
      </c>
      <c r="K551" t="n">
        <v>0</v>
      </c>
      <c r="L551" t="n">
        <v>0</v>
      </c>
      <c r="M551" t="n">
        <v>0</v>
      </c>
      <c r="N551" t="n">
        <v>0</v>
      </c>
      <c r="O551" t="n">
        <v>0</v>
      </c>
      <c r="P551" t="n">
        <v>0</v>
      </c>
      <c r="Q551" t="n">
        <v>0</v>
      </c>
      <c r="R551" s="2" t="inlineStr"/>
    </row>
    <row r="552" ht="15" customHeight="1">
      <c r="A552" t="inlineStr">
        <is>
          <t>A 64857-2021</t>
        </is>
      </c>
      <c r="B552" s="1" t="n">
        <v>44512</v>
      </c>
      <c r="C552" s="1" t="n">
        <v>45708</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64856-2021</t>
        </is>
      </c>
      <c r="B553" s="1" t="n">
        <v>44512</v>
      </c>
      <c r="C553" s="1" t="n">
        <v>45708</v>
      </c>
      <c r="D553" t="inlineStr">
        <is>
          <t>UPPSALA LÄN</t>
        </is>
      </c>
      <c r="E553" t="inlineStr">
        <is>
          <t>UPPSALA</t>
        </is>
      </c>
      <c r="G553" t="n">
        <v>4.1</v>
      </c>
      <c r="H553" t="n">
        <v>0</v>
      </c>
      <c r="I553" t="n">
        <v>0</v>
      </c>
      <c r="J553" t="n">
        <v>0</v>
      </c>
      <c r="K553" t="n">
        <v>0</v>
      </c>
      <c r="L553" t="n">
        <v>0</v>
      </c>
      <c r="M553" t="n">
        <v>0</v>
      </c>
      <c r="N553" t="n">
        <v>0</v>
      </c>
      <c r="O553" t="n">
        <v>0</v>
      </c>
      <c r="P553" t="n">
        <v>0</v>
      </c>
      <c r="Q553" t="n">
        <v>0</v>
      </c>
      <c r="R553" s="2" t="inlineStr"/>
    </row>
    <row r="554" ht="15" customHeight="1">
      <c r="A554" t="inlineStr">
        <is>
          <t>A 64858-2021</t>
        </is>
      </c>
      <c r="B554" s="1" t="n">
        <v>44512</v>
      </c>
      <c r="C554" s="1" t="n">
        <v>45708</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64855-2021</t>
        </is>
      </c>
      <c r="B555" s="1" t="n">
        <v>44512</v>
      </c>
      <c r="C555" s="1" t="n">
        <v>45708</v>
      </c>
      <c r="D555" t="inlineStr">
        <is>
          <t>UPPSALA LÄN</t>
        </is>
      </c>
      <c r="E555" t="inlineStr">
        <is>
          <t>UPPSALA</t>
        </is>
      </c>
      <c r="G555" t="n">
        <v>3.1</v>
      </c>
      <c r="H555" t="n">
        <v>0</v>
      </c>
      <c r="I555" t="n">
        <v>0</v>
      </c>
      <c r="J555" t="n">
        <v>0</v>
      </c>
      <c r="K555" t="n">
        <v>0</v>
      </c>
      <c r="L555" t="n">
        <v>0</v>
      </c>
      <c r="M555" t="n">
        <v>0</v>
      </c>
      <c r="N555" t="n">
        <v>0</v>
      </c>
      <c r="O555" t="n">
        <v>0</v>
      </c>
      <c r="P555" t="n">
        <v>0</v>
      </c>
      <c r="Q555" t="n">
        <v>0</v>
      </c>
      <c r="R555" s="2" t="inlineStr"/>
    </row>
    <row r="556" ht="15" customHeight="1">
      <c r="A556" t="inlineStr">
        <is>
          <t>A 65132-2021</t>
        </is>
      </c>
      <c r="B556" s="1" t="n">
        <v>44515</v>
      </c>
      <c r="C556" s="1" t="n">
        <v>45708</v>
      </c>
      <c r="D556" t="inlineStr">
        <is>
          <t>UPPSALA LÄN</t>
        </is>
      </c>
      <c r="E556" t="inlineStr">
        <is>
          <t>UPPSALA</t>
        </is>
      </c>
      <c r="G556" t="n">
        <v>1.9</v>
      </c>
      <c r="H556" t="n">
        <v>0</v>
      </c>
      <c r="I556" t="n">
        <v>0</v>
      </c>
      <c r="J556" t="n">
        <v>0</v>
      </c>
      <c r="K556" t="n">
        <v>0</v>
      </c>
      <c r="L556" t="n">
        <v>0</v>
      </c>
      <c r="M556" t="n">
        <v>0</v>
      </c>
      <c r="N556" t="n">
        <v>0</v>
      </c>
      <c r="O556" t="n">
        <v>0</v>
      </c>
      <c r="P556" t="n">
        <v>0</v>
      </c>
      <c r="Q556" t="n">
        <v>0</v>
      </c>
      <c r="R556" s="2" t="inlineStr"/>
    </row>
    <row r="557" ht="15" customHeight="1">
      <c r="A557" t="inlineStr">
        <is>
          <t>A 65659-2021</t>
        </is>
      </c>
      <c r="B557" s="1" t="n">
        <v>44516</v>
      </c>
      <c r="C557" s="1" t="n">
        <v>45708</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65695-2021</t>
        </is>
      </c>
      <c r="B558" s="1" t="n">
        <v>44516</v>
      </c>
      <c r="C558" s="1" t="n">
        <v>45708</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65809-2021</t>
        </is>
      </c>
      <c r="B559" s="1" t="n">
        <v>44517</v>
      </c>
      <c r="C559" s="1" t="n">
        <v>45708</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65811-2021</t>
        </is>
      </c>
      <c r="B560" s="1" t="n">
        <v>44517</v>
      </c>
      <c r="C560" s="1" t="n">
        <v>45708</v>
      </c>
      <c r="D560" t="inlineStr">
        <is>
          <t>UPPSALA LÄN</t>
        </is>
      </c>
      <c r="E560" t="inlineStr">
        <is>
          <t>UPPSALA</t>
        </is>
      </c>
      <c r="G560" t="n">
        <v>0.3</v>
      </c>
      <c r="H560" t="n">
        <v>0</v>
      </c>
      <c r="I560" t="n">
        <v>0</v>
      </c>
      <c r="J560" t="n">
        <v>0</v>
      </c>
      <c r="K560" t="n">
        <v>0</v>
      </c>
      <c r="L560" t="n">
        <v>0</v>
      </c>
      <c r="M560" t="n">
        <v>0</v>
      </c>
      <c r="N560" t="n">
        <v>0</v>
      </c>
      <c r="O560" t="n">
        <v>0</v>
      </c>
      <c r="P560" t="n">
        <v>0</v>
      </c>
      <c r="Q560" t="n">
        <v>0</v>
      </c>
      <c r="R560" s="2" t="inlineStr"/>
    </row>
    <row r="561" ht="15" customHeight="1">
      <c r="A561" t="inlineStr">
        <is>
          <t>A 65964-2021</t>
        </is>
      </c>
      <c r="B561" s="1" t="n">
        <v>44517</v>
      </c>
      <c r="C561" s="1" t="n">
        <v>45708</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66239-2021</t>
        </is>
      </c>
      <c r="B562" s="1" t="n">
        <v>44518</v>
      </c>
      <c r="C562" s="1" t="n">
        <v>45708</v>
      </c>
      <c r="D562" t="inlineStr">
        <is>
          <t>UPPSALA LÄN</t>
        </is>
      </c>
      <c r="E562" t="inlineStr">
        <is>
          <t>UPPSALA</t>
        </is>
      </c>
      <c r="G562" t="n">
        <v>4.2</v>
      </c>
      <c r="H562" t="n">
        <v>0</v>
      </c>
      <c r="I562" t="n">
        <v>0</v>
      </c>
      <c r="J562" t="n">
        <v>0</v>
      </c>
      <c r="K562" t="n">
        <v>0</v>
      </c>
      <c r="L562" t="n">
        <v>0</v>
      </c>
      <c r="M562" t="n">
        <v>0</v>
      </c>
      <c r="N562" t="n">
        <v>0</v>
      </c>
      <c r="O562" t="n">
        <v>0</v>
      </c>
      <c r="P562" t="n">
        <v>0</v>
      </c>
      <c r="Q562" t="n">
        <v>0</v>
      </c>
      <c r="R562" s="2" t="inlineStr"/>
    </row>
    <row r="563" ht="15" customHeight="1">
      <c r="A563" t="inlineStr">
        <is>
          <t>A 66690-2021</t>
        </is>
      </c>
      <c r="B563" s="1" t="n">
        <v>44519</v>
      </c>
      <c r="C563" s="1" t="n">
        <v>45708</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66686-2021</t>
        </is>
      </c>
      <c r="B564" s="1" t="n">
        <v>44519</v>
      </c>
      <c r="C564" s="1" t="n">
        <v>45708</v>
      </c>
      <c r="D564" t="inlineStr">
        <is>
          <t>UPPSALA LÄN</t>
        </is>
      </c>
      <c r="E564" t="inlineStr">
        <is>
          <t>UPPSALA</t>
        </is>
      </c>
      <c r="G564" t="n">
        <v>6.4</v>
      </c>
      <c r="H564" t="n">
        <v>0</v>
      </c>
      <c r="I564" t="n">
        <v>0</v>
      </c>
      <c r="J564" t="n">
        <v>0</v>
      </c>
      <c r="K564" t="n">
        <v>0</v>
      </c>
      <c r="L564" t="n">
        <v>0</v>
      </c>
      <c r="M564" t="n">
        <v>0</v>
      </c>
      <c r="N564" t="n">
        <v>0</v>
      </c>
      <c r="O564" t="n">
        <v>0</v>
      </c>
      <c r="P564" t="n">
        <v>0</v>
      </c>
      <c r="Q564" t="n">
        <v>0</v>
      </c>
      <c r="R564" s="2" t="inlineStr"/>
    </row>
    <row r="565" ht="15" customHeight="1">
      <c r="A565" t="inlineStr">
        <is>
          <t>A 66794-2021</t>
        </is>
      </c>
      <c r="B565" s="1" t="n">
        <v>44522</v>
      </c>
      <c r="C565" s="1" t="n">
        <v>45708</v>
      </c>
      <c r="D565" t="inlineStr">
        <is>
          <t>UPPSALA LÄN</t>
        </is>
      </c>
      <c r="E565" t="inlineStr">
        <is>
          <t>UPPSALA</t>
        </is>
      </c>
      <c r="G565" t="n">
        <v>4.9</v>
      </c>
      <c r="H565" t="n">
        <v>0</v>
      </c>
      <c r="I565" t="n">
        <v>0</v>
      </c>
      <c r="J565" t="n">
        <v>0</v>
      </c>
      <c r="K565" t="n">
        <v>0</v>
      </c>
      <c r="L565" t="n">
        <v>0</v>
      </c>
      <c r="M565" t="n">
        <v>0</v>
      </c>
      <c r="N565" t="n">
        <v>0</v>
      </c>
      <c r="O565" t="n">
        <v>0</v>
      </c>
      <c r="P565" t="n">
        <v>0</v>
      </c>
      <c r="Q565" t="n">
        <v>0</v>
      </c>
      <c r="R565" s="2" t="inlineStr"/>
    </row>
    <row r="566" ht="15" customHeight="1">
      <c r="A566" t="inlineStr">
        <is>
          <t>A 66927-2021</t>
        </is>
      </c>
      <c r="B566" s="1" t="n">
        <v>44522</v>
      </c>
      <c r="C566" s="1" t="n">
        <v>45708</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66983-2021</t>
        </is>
      </c>
      <c r="B567" s="1" t="n">
        <v>44522</v>
      </c>
      <c r="C567" s="1" t="n">
        <v>45708</v>
      </c>
      <c r="D567" t="inlineStr">
        <is>
          <t>UPPSALA LÄN</t>
        </is>
      </c>
      <c r="E567" t="inlineStr">
        <is>
          <t>UPPSALA</t>
        </is>
      </c>
      <c r="G567" t="n">
        <v>2.5</v>
      </c>
      <c r="H567" t="n">
        <v>0</v>
      </c>
      <c r="I567" t="n">
        <v>0</v>
      </c>
      <c r="J567" t="n">
        <v>0</v>
      </c>
      <c r="K567" t="n">
        <v>0</v>
      </c>
      <c r="L567" t="n">
        <v>0</v>
      </c>
      <c r="M567" t="n">
        <v>0</v>
      </c>
      <c r="N567" t="n">
        <v>0</v>
      </c>
      <c r="O567" t="n">
        <v>0</v>
      </c>
      <c r="P567" t="n">
        <v>0</v>
      </c>
      <c r="Q567" t="n">
        <v>0</v>
      </c>
      <c r="R567" s="2" t="inlineStr"/>
    </row>
    <row r="568" ht="15" customHeight="1">
      <c r="A568" t="inlineStr">
        <is>
          <t>A 67991-2021</t>
        </is>
      </c>
      <c r="B568" s="1" t="n">
        <v>44525</v>
      </c>
      <c r="C568" s="1" t="n">
        <v>45708</v>
      </c>
      <c r="D568" t="inlineStr">
        <is>
          <t>UPPSALA LÄN</t>
        </is>
      </c>
      <c r="E568" t="inlineStr">
        <is>
          <t>UPPSALA</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68696-2021</t>
        </is>
      </c>
      <c r="B569" s="1" t="n">
        <v>44526</v>
      </c>
      <c r="C569" s="1" t="n">
        <v>45708</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68139-2021</t>
        </is>
      </c>
      <c r="B570" s="1" t="n">
        <v>44526</v>
      </c>
      <c r="C570" s="1" t="n">
        <v>45708</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68296-2021</t>
        </is>
      </c>
      <c r="B571" s="1" t="n">
        <v>44526</v>
      </c>
      <c r="C571" s="1" t="n">
        <v>45708</v>
      </c>
      <c r="D571" t="inlineStr">
        <is>
          <t>UPPSALA LÄN</t>
        </is>
      </c>
      <c r="E571" t="inlineStr">
        <is>
          <t>UPPSALA</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69067-2021</t>
        </is>
      </c>
      <c r="B572" s="1" t="n">
        <v>44530</v>
      </c>
      <c r="C572" s="1" t="n">
        <v>45708</v>
      </c>
      <c r="D572" t="inlineStr">
        <is>
          <t>UPPSALA LÄN</t>
        </is>
      </c>
      <c r="E572" t="inlineStr">
        <is>
          <t>UPPSALA</t>
        </is>
      </c>
      <c r="F572" t="inlineStr">
        <is>
          <t>Holmen skog AB</t>
        </is>
      </c>
      <c r="G572" t="n">
        <v>2.8</v>
      </c>
      <c r="H572" t="n">
        <v>0</v>
      </c>
      <c r="I572" t="n">
        <v>0</v>
      </c>
      <c r="J572" t="n">
        <v>0</v>
      </c>
      <c r="K572" t="n">
        <v>0</v>
      </c>
      <c r="L572" t="n">
        <v>0</v>
      </c>
      <c r="M572" t="n">
        <v>0</v>
      </c>
      <c r="N572" t="n">
        <v>0</v>
      </c>
      <c r="O572" t="n">
        <v>0</v>
      </c>
      <c r="P572" t="n">
        <v>0</v>
      </c>
      <c r="Q572" t="n">
        <v>0</v>
      </c>
      <c r="R572" s="2" t="inlineStr"/>
    </row>
    <row r="573" ht="15" customHeight="1">
      <c r="A573" t="inlineStr">
        <is>
          <t>A 69432-2021</t>
        </is>
      </c>
      <c r="B573" s="1" t="n">
        <v>44531</v>
      </c>
      <c r="C573" s="1" t="n">
        <v>45708</v>
      </c>
      <c r="D573" t="inlineStr">
        <is>
          <t>UPPSALA LÄN</t>
        </is>
      </c>
      <c r="E573" t="inlineStr">
        <is>
          <t>UPPSALA</t>
        </is>
      </c>
      <c r="G573" t="n">
        <v>1.7</v>
      </c>
      <c r="H573" t="n">
        <v>0</v>
      </c>
      <c r="I573" t="n">
        <v>0</v>
      </c>
      <c r="J573" t="n">
        <v>0</v>
      </c>
      <c r="K573" t="n">
        <v>0</v>
      </c>
      <c r="L573" t="n">
        <v>0</v>
      </c>
      <c r="M573" t="n">
        <v>0</v>
      </c>
      <c r="N573" t="n">
        <v>0</v>
      </c>
      <c r="O573" t="n">
        <v>0</v>
      </c>
      <c r="P573" t="n">
        <v>0</v>
      </c>
      <c r="Q573" t="n">
        <v>0</v>
      </c>
      <c r="R573" s="2" t="inlineStr"/>
    </row>
    <row r="574" ht="15" customHeight="1">
      <c r="A574" t="inlineStr">
        <is>
          <t>A 69214-2021</t>
        </is>
      </c>
      <c r="B574" s="1" t="n">
        <v>44531</v>
      </c>
      <c r="C574" s="1" t="n">
        <v>45708</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69397-2021</t>
        </is>
      </c>
      <c r="B575" s="1" t="n">
        <v>44531</v>
      </c>
      <c r="C575" s="1" t="n">
        <v>45708</v>
      </c>
      <c r="D575" t="inlineStr">
        <is>
          <t>UPPSALA LÄN</t>
        </is>
      </c>
      <c r="E575" t="inlineStr">
        <is>
          <t>UPPSALA</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69436-2021</t>
        </is>
      </c>
      <c r="B576" s="1" t="n">
        <v>44531</v>
      </c>
      <c r="C576" s="1" t="n">
        <v>45708</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69439-2021</t>
        </is>
      </c>
      <c r="B577" s="1" t="n">
        <v>44531</v>
      </c>
      <c r="C577" s="1" t="n">
        <v>45708</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69711-2021</t>
        </is>
      </c>
      <c r="B578" s="1" t="n">
        <v>44532</v>
      </c>
      <c r="C578" s="1" t="n">
        <v>45708</v>
      </c>
      <c r="D578" t="inlineStr">
        <is>
          <t>UPPSALA LÄN</t>
        </is>
      </c>
      <c r="E578" t="inlineStr">
        <is>
          <t>UPPSALA</t>
        </is>
      </c>
      <c r="G578" t="n">
        <v>10.2</v>
      </c>
      <c r="H578" t="n">
        <v>0</v>
      </c>
      <c r="I578" t="n">
        <v>0</v>
      </c>
      <c r="J578" t="n">
        <v>0</v>
      </c>
      <c r="K578" t="n">
        <v>0</v>
      </c>
      <c r="L578" t="n">
        <v>0</v>
      </c>
      <c r="M578" t="n">
        <v>0</v>
      </c>
      <c r="N578" t="n">
        <v>0</v>
      </c>
      <c r="O578" t="n">
        <v>0</v>
      </c>
      <c r="P578" t="n">
        <v>0</v>
      </c>
      <c r="Q578" t="n">
        <v>0</v>
      </c>
      <c r="R578" s="2" t="inlineStr"/>
    </row>
    <row r="579" ht="15" customHeight="1">
      <c r="A579" t="inlineStr">
        <is>
          <t>A 69595-2021</t>
        </is>
      </c>
      <c r="B579" s="1" t="n">
        <v>44532</v>
      </c>
      <c r="C579" s="1" t="n">
        <v>45708</v>
      </c>
      <c r="D579" t="inlineStr">
        <is>
          <t>UPPSALA LÄN</t>
        </is>
      </c>
      <c r="E579" t="inlineStr">
        <is>
          <t>UPPSALA</t>
        </is>
      </c>
      <c r="G579" t="n">
        <v>3.9</v>
      </c>
      <c r="H579" t="n">
        <v>0</v>
      </c>
      <c r="I579" t="n">
        <v>0</v>
      </c>
      <c r="J579" t="n">
        <v>0</v>
      </c>
      <c r="K579" t="n">
        <v>0</v>
      </c>
      <c r="L579" t="n">
        <v>0</v>
      </c>
      <c r="M579" t="n">
        <v>0</v>
      </c>
      <c r="N579" t="n">
        <v>0</v>
      </c>
      <c r="O579" t="n">
        <v>0</v>
      </c>
      <c r="P579" t="n">
        <v>0</v>
      </c>
      <c r="Q579" t="n">
        <v>0</v>
      </c>
      <c r="R579" s="2" t="inlineStr"/>
    </row>
    <row r="580" ht="15" customHeight="1">
      <c r="A580" t="inlineStr">
        <is>
          <t>A 69698-2021</t>
        </is>
      </c>
      <c r="B580" s="1" t="n">
        <v>44532</v>
      </c>
      <c r="C580" s="1" t="n">
        <v>45708</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69691-2021</t>
        </is>
      </c>
      <c r="B581" s="1" t="n">
        <v>44532</v>
      </c>
      <c r="C581" s="1" t="n">
        <v>45708</v>
      </c>
      <c r="D581" t="inlineStr">
        <is>
          <t>UPPSALA LÄN</t>
        </is>
      </c>
      <c r="E581" t="inlineStr">
        <is>
          <t>UPPSALA</t>
        </is>
      </c>
      <c r="G581" t="n">
        <v>2.3</v>
      </c>
      <c r="H581" t="n">
        <v>0</v>
      </c>
      <c r="I581" t="n">
        <v>0</v>
      </c>
      <c r="J581" t="n">
        <v>0</v>
      </c>
      <c r="K581" t="n">
        <v>0</v>
      </c>
      <c r="L581" t="n">
        <v>0</v>
      </c>
      <c r="M581" t="n">
        <v>0</v>
      </c>
      <c r="N581" t="n">
        <v>0</v>
      </c>
      <c r="O581" t="n">
        <v>0</v>
      </c>
      <c r="P581" t="n">
        <v>0</v>
      </c>
      <c r="Q581" t="n">
        <v>0</v>
      </c>
      <c r="R581" s="2" t="inlineStr"/>
    </row>
    <row r="582" ht="15" customHeight="1">
      <c r="A582" t="inlineStr">
        <is>
          <t>A 70032-2021</t>
        </is>
      </c>
      <c r="B582" s="1" t="n">
        <v>44533</v>
      </c>
      <c r="C582" s="1" t="n">
        <v>45708</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70031-2021</t>
        </is>
      </c>
      <c r="B583" s="1" t="n">
        <v>44533</v>
      </c>
      <c r="C583" s="1" t="n">
        <v>45708</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70359-2021</t>
        </is>
      </c>
      <c r="B584" s="1" t="n">
        <v>44535</v>
      </c>
      <c r="C584" s="1" t="n">
        <v>45708</v>
      </c>
      <c r="D584" t="inlineStr">
        <is>
          <t>UPPSALA LÄN</t>
        </is>
      </c>
      <c r="E584" t="inlineStr">
        <is>
          <t>UPPSALA</t>
        </is>
      </c>
      <c r="G584" t="n">
        <v>3</v>
      </c>
      <c r="H584" t="n">
        <v>0</v>
      </c>
      <c r="I584" t="n">
        <v>0</v>
      </c>
      <c r="J584" t="n">
        <v>0</v>
      </c>
      <c r="K584" t="n">
        <v>0</v>
      </c>
      <c r="L584" t="n">
        <v>0</v>
      </c>
      <c r="M584" t="n">
        <v>0</v>
      </c>
      <c r="N584" t="n">
        <v>0</v>
      </c>
      <c r="O584" t="n">
        <v>0</v>
      </c>
      <c r="P584" t="n">
        <v>0</v>
      </c>
      <c r="Q584" t="n">
        <v>0</v>
      </c>
      <c r="R584" s="2" t="inlineStr"/>
    </row>
    <row r="585" ht="15" customHeight="1">
      <c r="A585" t="inlineStr">
        <is>
          <t>A 70228-2021</t>
        </is>
      </c>
      <c r="B585" s="1" t="n">
        <v>44535</v>
      </c>
      <c r="C585" s="1" t="n">
        <v>45708</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70996-2021</t>
        </is>
      </c>
      <c r="B586" s="1" t="n">
        <v>44538</v>
      </c>
      <c r="C586" s="1" t="n">
        <v>45708</v>
      </c>
      <c r="D586" t="inlineStr">
        <is>
          <t>UPPSALA LÄN</t>
        </is>
      </c>
      <c r="E586" t="inlineStr">
        <is>
          <t>UPPSALA</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71563-2021</t>
        </is>
      </c>
      <c r="B587" s="1" t="n">
        <v>44540</v>
      </c>
      <c r="C587" s="1" t="n">
        <v>45708</v>
      </c>
      <c r="D587" t="inlineStr">
        <is>
          <t>UPPSALA LÄN</t>
        </is>
      </c>
      <c r="E587" t="inlineStr">
        <is>
          <t>UPPSALA</t>
        </is>
      </c>
      <c r="F587" t="inlineStr">
        <is>
          <t>Allmännings- och besparingsskogar</t>
        </is>
      </c>
      <c r="G587" t="n">
        <v>7.7</v>
      </c>
      <c r="H587" t="n">
        <v>0</v>
      </c>
      <c r="I587" t="n">
        <v>0</v>
      </c>
      <c r="J587" t="n">
        <v>0</v>
      </c>
      <c r="K587" t="n">
        <v>0</v>
      </c>
      <c r="L587" t="n">
        <v>0</v>
      </c>
      <c r="M587" t="n">
        <v>0</v>
      </c>
      <c r="N587" t="n">
        <v>0</v>
      </c>
      <c r="O587" t="n">
        <v>0</v>
      </c>
      <c r="P587" t="n">
        <v>0</v>
      </c>
      <c r="Q587" t="n">
        <v>0</v>
      </c>
      <c r="R587" s="2" t="inlineStr"/>
    </row>
    <row r="588" ht="15" customHeight="1">
      <c r="A588" t="inlineStr">
        <is>
          <t>A 71675-2021</t>
        </is>
      </c>
      <c r="B588" s="1" t="n">
        <v>44543</v>
      </c>
      <c r="C588" s="1" t="n">
        <v>45708</v>
      </c>
      <c r="D588" t="inlineStr">
        <is>
          <t>UPPSALA LÄN</t>
        </is>
      </c>
      <c r="E588" t="inlineStr">
        <is>
          <t>UPPSALA</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71643-2021</t>
        </is>
      </c>
      <c r="B589" s="1" t="n">
        <v>44543</v>
      </c>
      <c r="C589" s="1" t="n">
        <v>45708</v>
      </c>
      <c r="D589" t="inlineStr">
        <is>
          <t>UPPSALA LÄN</t>
        </is>
      </c>
      <c r="E589" t="inlineStr">
        <is>
          <t>UPPSALA</t>
        </is>
      </c>
      <c r="G589" t="n">
        <v>3</v>
      </c>
      <c r="H589" t="n">
        <v>0</v>
      </c>
      <c r="I589" t="n">
        <v>0</v>
      </c>
      <c r="J589" t="n">
        <v>0</v>
      </c>
      <c r="K589" t="n">
        <v>0</v>
      </c>
      <c r="L589" t="n">
        <v>0</v>
      </c>
      <c r="M589" t="n">
        <v>0</v>
      </c>
      <c r="N589" t="n">
        <v>0</v>
      </c>
      <c r="O589" t="n">
        <v>0</v>
      </c>
      <c r="P589" t="n">
        <v>0</v>
      </c>
      <c r="Q589" t="n">
        <v>0</v>
      </c>
      <c r="R589" s="2" t="inlineStr"/>
    </row>
    <row r="590" ht="15" customHeight="1">
      <c r="A590" t="inlineStr">
        <is>
          <t>A 71671-2021</t>
        </is>
      </c>
      <c r="B590" s="1" t="n">
        <v>44543</v>
      </c>
      <c r="C590" s="1" t="n">
        <v>45708</v>
      </c>
      <c r="D590" t="inlineStr">
        <is>
          <t>UPPSALA LÄN</t>
        </is>
      </c>
      <c r="E590" t="inlineStr">
        <is>
          <t>UPPSALA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72225-2021</t>
        </is>
      </c>
      <c r="B591" s="1" t="n">
        <v>44544</v>
      </c>
      <c r="C591" s="1" t="n">
        <v>45708</v>
      </c>
      <c r="D591" t="inlineStr">
        <is>
          <t>UPPSALA LÄN</t>
        </is>
      </c>
      <c r="E591" t="inlineStr">
        <is>
          <t>UPPSALA</t>
        </is>
      </c>
      <c r="G591" t="n">
        <v>6.2</v>
      </c>
      <c r="H591" t="n">
        <v>0</v>
      </c>
      <c r="I591" t="n">
        <v>0</v>
      </c>
      <c r="J591" t="n">
        <v>0</v>
      </c>
      <c r="K591" t="n">
        <v>0</v>
      </c>
      <c r="L591" t="n">
        <v>0</v>
      </c>
      <c r="M591" t="n">
        <v>0</v>
      </c>
      <c r="N591" t="n">
        <v>0</v>
      </c>
      <c r="O591" t="n">
        <v>0</v>
      </c>
      <c r="P591" t="n">
        <v>0</v>
      </c>
      <c r="Q591" t="n">
        <v>0</v>
      </c>
      <c r="R591" s="2" t="inlineStr"/>
    </row>
    <row r="592" ht="15" customHeight="1">
      <c r="A592" t="inlineStr">
        <is>
          <t>A 72224-2021</t>
        </is>
      </c>
      <c r="B592" s="1" t="n">
        <v>44544</v>
      </c>
      <c r="C592" s="1" t="n">
        <v>45708</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72973-2021</t>
        </is>
      </c>
      <c r="B593" s="1" t="n">
        <v>44548</v>
      </c>
      <c r="C593" s="1" t="n">
        <v>45708</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73326-2021</t>
        </is>
      </c>
      <c r="B594" s="1" t="n">
        <v>44548</v>
      </c>
      <c r="C594" s="1" t="n">
        <v>45708</v>
      </c>
      <c r="D594" t="inlineStr">
        <is>
          <t>UPPSALA LÄN</t>
        </is>
      </c>
      <c r="E594" t="inlineStr">
        <is>
          <t>UPPSALA</t>
        </is>
      </c>
      <c r="G594" t="n">
        <v>4</v>
      </c>
      <c r="H594" t="n">
        <v>0</v>
      </c>
      <c r="I594" t="n">
        <v>0</v>
      </c>
      <c r="J594" t="n">
        <v>0</v>
      </c>
      <c r="K594" t="n">
        <v>0</v>
      </c>
      <c r="L594" t="n">
        <v>0</v>
      </c>
      <c r="M594" t="n">
        <v>0</v>
      </c>
      <c r="N594" t="n">
        <v>0</v>
      </c>
      <c r="O594" t="n">
        <v>0</v>
      </c>
      <c r="P594" t="n">
        <v>0</v>
      </c>
      <c r="Q594" t="n">
        <v>0</v>
      </c>
      <c r="R594" s="2" t="inlineStr"/>
    </row>
    <row r="595" ht="15" customHeight="1">
      <c r="A595" t="inlineStr">
        <is>
          <t>A 73044-2021</t>
        </is>
      </c>
      <c r="B595" s="1" t="n">
        <v>44550</v>
      </c>
      <c r="C595" s="1" t="n">
        <v>45708</v>
      </c>
      <c r="D595" t="inlineStr">
        <is>
          <t>UPPSALA LÄN</t>
        </is>
      </c>
      <c r="E595" t="inlineStr">
        <is>
          <t>UPPSALA</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73468-2021</t>
        </is>
      </c>
      <c r="B596" s="1" t="n">
        <v>44551</v>
      </c>
      <c r="C596" s="1" t="n">
        <v>45708</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73518-2021</t>
        </is>
      </c>
      <c r="B597" s="1" t="n">
        <v>44551</v>
      </c>
      <c r="C597" s="1" t="n">
        <v>45708</v>
      </c>
      <c r="D597" t="inlineStr">
        <is>
          <t>UPPSALA LÄN</t>
        </is>
      </c>
      <c r="E597" t="inlineStr">
        <is>
          <t>UPPSALA</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73531-2021</t>
        </is>
      </c>
      <c r="B598" s="1" t="n">
        <v>44551</v>
      </c>
      <c r="C598" s="1" t="n">
        <v>45708</v>
      </c>
      <c r="D598" t="inlineStr">
        <is>
          <t>UPPSALA LÄN</t>
        </is>
      </c>
      <c r="E598" t="inlineStr">
        <is>
          <t>UPPSALA</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74019-2021</t>
        </is>
      </c>
      <c r="B599" s="1" t="n">
        <v>44553</v>
      </c>
      <c r="C599" s="1" t="n">
        <v>45708</v>
      </c>
      <c r="D599" t="inlineStr">
        <is>
          <t>UPPSALA LÄN</t>
        </is>
      </c>
      <c r="E599" t="inlineStr">
        <is>
          <t>UPPSALA</t>
        </is>
      </c>
      <c r="G599" t="n">
        <v>3</v>
      </c>
      <c r="H599" t="n">
        <v>0</v>
      </c>
      <c r="I599" t="n">
        <v>0</v>
      </c>
      <c r="J599" t="n">
        <v>0</v>
      </c>
      <c r="K599" t="n">
        <v>0</v>
      </c>
      <c r="L599" t="n">
        <v>0</v>
      </c>
      <c r="M599" t="n">
        <v>0</v>
      </c>
      <c r="N599" t="n">
        <v>0</v>
      </c>
      <c r="O599" t="n">
        <v>0</v>
      </c>
      <c r="P599" t="n">
        <v>0</v>
      </c>
      <c r="Q599" t="n">
        <v>0</v>
      </c>
      <c r="R599" s="2" t="inlineStr"/>
    </row>
    <row r="600" ht="15" customHeight="1">
      <c r="A600" t="inlineStr">
        <is>
          <t>A 74023-2021</t>
        </is>
      </c>
      <c r="B600" s="1" t="n">
        <v>44553</v>
      </c>
      <c r="C600" s="1" t="n">
        <v>45708</v>
      </c>
      <c r="D600" t="inlineStr">
        <is>
          <t>UPPSALA LÄN</t>
        </is>
      </c>
      <c r="E600" t="inlineStr">
        <is>
          <t>UPPSALA</t>
        </is>
      </c>
      <c r="G600" t="n">
        <v>5.4</v>
      </c>
      <c r="H600" t="n">
        <v>0</v>
      </c>
      <c r="I600" t="n">
        <v>0</v>
      </c>
      <c r="J600" t="n">
        <v>0</v>
      </c>
      <c r="K600" t="n">
        <v>0</v>
      </c>
      <c r="L600" t="n">
        <v>0</v>
      </c>
      <c r="M600" t="n">
        <v>0</v>
      </c>
      <c r="N600" t="n">
        <v>0</v>
      </c>
      <c r="O600" t="n">
        <v>0</v>
      </c>
      <c r="P600" t="n">
        <v>0</v>
      </c>
      <c r="Q600" t="n">
        <v>0</v>
      </c>
      <c r="R600" s="2" t="inlineStr"/>
    </row>
    <row r="601" ht="15" customHeight="1">
      <c r="A601" t="inlineStr">
        <is>
          <t>A 74493-2021</t>
        </is>
      </c>
      <c r="B601" s="1" t="n">
        <v>44560</v>
      </c>
      <c r="C601" s="1" t="n">
        <v>45708</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74495-2021</t>
        </is>
      </c>
      <c r="B602" s="1" t="n">
        <v>44560</v>
      </c>
      <c r="C602" s="1" t="n">
        <v>45708</v>
      </c>
      <c r="D602" t="inlineStr">
        <is>
          <t>UPPSALA LÄN</t>
        </is>
      </c>
      <c r="E602" t="inlineStr">
        <is>
          <t>UPPSALA</t>
        </is>
      </c>
      <c r="G602" t="n">
        <v>1.9</v>
      </c>
      <c r="H602" t="n">
        <v>0</v>
      </c>
      <c r="I602" t="n">
        <v>0</v>
      </c>
      <c r="J602" t="n">
        <v>0</v>
      </c>
      <c r="K602" t="n">
        <v>0</v>
      </c>
      <c r="L602" t="n">
        <v>0</v>
      </c>
      <c r="M602" t="n">
        <v>0</v>
      </c>
      <c r="N602" t="n">
        <v>0</v>
      </c>
      <c r="O602" t="n">
        <v>0</v>
      </c>
      <c r="P602" t="n">
        <v>0</v>
      </c>
      <c r="Q602" t="n">
        <v>0</v>
      </c>
      <c r="R602" s="2" t="inlineStr"/>
    </row>
    <row r="603" ht="15" customHeight="1">
      <c r="A603" t="inlineStr">
        <is>
          <t>A 612-2022</t>
        </is>
      </c>
      <c r="B603" s="1" t="n">
        <v>44567</v>
      </c>
      <c r="C603" s="1" t="n">
        <v>45708</v>
      </c>
      <c r="D603" t="inlineStr">
        <is>
          <t>UPPSALA LÄN</t>
        </is>
      </c>
      <c r="E603" t="inlineStr">
        <is>
          <t>UPPSALA</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733-2022</t>
        </is>
      </c>
      <c r="B604" s="1" t="n">
        <v>44568</v>
      </c>
      <c r="C604" s="1" t="n">
        <v>45708</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v>
      </c>
      <c r="C605" s="1" t="n">
        <v>45708</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750-2022</t>
        </is>
      </c>
      <c r="B606" s="1" t="n">
        <v>44569</v>
      </c>
      <c r="C606" s="1" t="n">
        <v>45708</v>
      </c>
      <c r="D606" t="inlineStr">
        <is>
          <t>UPPSALA LÄN</t>
        </is>
      </c>
      <c r="E606" t="inlineStr">
        <is>
          <t>UPPSALA</t>
        </is>
      </c>
      <c r="F606" t="inlineStr">
        <is>
          <t>Holmen skog AB</t>
        </is>
      </c>
      <c r="G606" t="n">
        <v>6</v>
      </c>
      <c r="H606" t="n">
        <v>0</v>
      </c>
      <c r="I606" t="n">
        <v>0</v>
      </c>
      <c r="J606" t="n">
        <v>0</v>
      </c>
      <c r="K606" t="n">
        <v>0</v>
      </c>
      <c r="L606" t="n">
        <v>0</v>
      </c>
      <c r="M606" t="n">
        <v>0</v>
      </c>
      <c r="N606" t="n">
        <v>0</v>
      </c>
      <c r="O606" t="n">
        <v>0</v>
      </c>
      <c r="P606" t="n">
        <v>0</v>
      </c>
      <c r="Q606" t="n">
        <v>0</v>
      </c>
      <c r="R606" s="2" t="inlineStr"/>
    </row>
    <row r="607" ht="15" customHeight="1">
      <c r="A607" t="inlineStr">
        <is>
          <t>A 759-2022</t>
        </is>
      </c>
      <c r="B607" s="1" t="n">
        <v>44569</v>
      </c>
      <c r="C607" s="1" t="n">
        <v>45708</v>
      </c>
      <c r="D607" t="inlineStr">
        <is>
          <t>UPPSALA LÄN</t>
        </is>
      </c>
      <c r="E607" t="inlineStr">
        <is>
          <t>UPPSALA</t>
        </is>
      </c>
      <c r="F607" t="inlineStr">
        <is>
          <t>Holmen skog AB</t>
        </is>
      </c>
      <c r="G607" t="n">
        <v>3.6</v>
      </c>
      <c r="H607" t="n">
        <v>0</v>
      </c>
      <c r="I607" t="n">
        <v>0</v>
      </c>
      <c r="J607" t="n">
        <v>0</v>
      </c>
      <c r="K607" t="n">
        <v>0</v>
      </c>
      <c r="L607" t="n">
        <v>0</v>
      </c>
      <c r="M607" t="n">
        <v>0</v>
      </c>
      <c r="N607" t="n">
        <v>0</v>
      </c>
      <c r="O607" t="n">
        <v>0</v>
      </c>
      <c r="P607" t="n">
        <v>0</v>
      </c>
      <c r="Q607" t="n">
        <v>0</v>
      </c>
      <c r="R607" s="2" t="inlineStr"/>
    </row>
    <row r="608" ht="15" customHeight="1">
      <c r="A608" t="inlineStr">
        <is>
          <t>A 758-2022</t>
        </is>
      </c>
      <c r="B608" s="1" t="n">
        <v>44569</v>
      </c>
      <c r="C608" s="1" t="n">
        <v>45708</v>
      </c>
      <c r="D608" t="inlineStr">
        <is>
          <t>UPPSALA LÄN</t>
        </is>
      </c>
      <c r="E608" t="inlineStr">
        <is>
          <t>UPPSALA</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917-2022</t>
        </is>
      </c>
      <c r="B609" s="1" t="n">
        <v>44571</v>
      </c>
      <c r="C609" s="1" t="n">
        <v>45708</v>
      </c>
      <c r="D609" t="inlineStr">
        <is>
          <t>UPPSALA LÄN</t>
        </is>
      </c>
      <c r="E609" t="inlineStr">
        <is>
          <t>UPPSALA</t>
        </is>
      </c>
      <c r="F609" t="inlineStr">
        <is>
          <t>Bergvik skog öst AB</t>
        </is>
      </c>
      <c r="G609" t="n">
        <v>4.1</v>
      </c>
      <c r="H609" t="n">
        <v>0</v>
      </c>
      <c r="I609" t="n">
        <v>0</v>
      </c>
      <c r="J609" t="n">
        <v>0</v>
      </c>
      <c r="K609" t="n">
        <v>0</v>
      </c>
      <c r="L609" t="n">
        <v>0</v>
      </c>
      <c r="M609" t="n">
        <v>0</v>
      </c>
      <c r="N609" t="n">
        <v>0</v>
      </c>
      <c r="O609" t="n">
        <v>0</v>
      </c>
      <c r="P609" t="n">
        <v>0</v>
      </c>
      <c r="Q609" t="n">
        <v>0</v>
      </c>
      <c r="R609" s="2" t="inlineStr"/>
    </row>
    <row r="610" ht="15" customHeight="1">
      <c r="A610" t="inlineStr">
        <is>
          <t>A 874-2022</t>
        </is>
      </c>
      <c r="B610" s="1" t="n">
        <v>44571</v>
      </c>
      <c r="C610" s="1" t="n">
        <v>45708</v>
      </c>
      <c r="D610" t="inlineStr">
        <is>
          <t>UPPSALA LÄN</t>
        </is>
      </c>
      <c r="E610" t="inlineStr">
        <is>
          <t>UPPSALA</t>
        </is>
      </c>
      <c r="G610" t="n">
        <v>7.2</v>
      </c>
      <c r="H610" t="n">
        <v>0</v>
      </c>
      <c r="I610" t="n">
        <v>0</v>
      </c>
      <c r="J610" t="n">
        <v>0</v>
      </c>
      <c r="K610" t="n">
        <v>0</v>
      </c>
      <c r="L610" t="n">
        <v>0</v>
      </c>
      <c r="M610" t="n">
        <v>0</v>
      </c>
      <c r="N610" t="n">
        <v>0</v>
      </c>
      <c r="O610" t="n">
        <v>0</v>
      </c>
      <c r="P610" t="n">
        <v>0</v>
      </c>
      <c r="Q610" t="n">
        <v>0</v>
      </c>
      <c r="R610" s="2" t="inlineStr"/>
    </row>
    <row r="611" ht="15" customHeight="1">
      <c r="A611" t="inlineStr">
        <is>
          <t>A 1037-2022</t>
        </is>
      </c>
      <c r="B611" s="1" t="n">
        <v>44571</v>
      </c>
      <c r="C611" s="1" t="n">
        <v>45708</v>
      </c>
      <c r="D611" t="inlineStr">
        <is>
          <t>UPPSALA LÄN</t>
        </is>
      </c>
      <c r="E611" t="inlineStr">
        <is>
          <t>UPPSALA</t>
        </is>
      </c>
      <c r="F611" t="inlineStr">
        <is>
          <t>Holmen skog AB</t>
        </is>
      </c>
      <c r="G611" t="n">
        <v>2.7</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v>
      </c>
      <c r="C612" s="1" t="n">
        <v>45708</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1298-2022</t>
        </is>
      </c>
      <c r="B613" s="1" t="n">
        <v>44572</v>
      </c>
      <c r="C613" s="1" t="n">
        <v>45708</v>
      </c>
      <c r="D613" t="inlineStr">
        <is>
          <t>UPPSALA LÄN</t>
        </is>
      </c>
      <c r="E613" t="inlineStr">
        <is>
          <t>UPPSALA</t>
        </is>
      </c>
      <c r="F613" t="inlineStr">
        <is>
          <t>Holmen skog AB</t>
        </is>
      </c>
      <c r="G613" t="n">
        <v>5.3</v>
      </c>
      <c r="H613" t="n">
        <v>0</v>
      </c>
      <c r="I613" t="n">
        <v>0</v>
      </c>
      <c r="J613" t="n">
        <v>0</v>
      </c>
      <c r="K613" t="n">
        <v>0</v>
      </c>
      <c r="L613" t="n">
        <v>0</v>
      </c>
      <c r="M613" t="n">
        <v>0</v>
      </c>
      <c r="N613" t="n">
        <v>0</v>
      </c>
      <c r="O613" t="n">
        <v>0</v>
      </c>
      <c r="P613" t="n">
        <v>0</v>
      </c>
      <c r="Q613" t="n">
        <v>0</v>
      </c>
      <c r="R613" s="2" t="inlineStr"/>
    </row>
    <row r="614" ht="15" customHeight="1">
      <c r="A614" t="inlineStr">
        <is>
          <t>A 1731-2022</t>
        </is>
      </c>
      <c r="B614" s="1" t="n">
        <v>44574</v>
      </c>
      <c r="C614" s="1" t="n">
        <v>45708</v>
      </c>
      <c r="D614" t="inlineStr">
        <is>
          <t>UPPSALA LÄN</t>
        </is>
      </c>
      <c r="E614" t="inlineStr">
        <is>
          <t>UPPSALA</t>
        </is>
      </c>
      <c r="G614" t="n">
        <v>10.1</v>
      </c>
      <c r="H614" t="n">
        <v>0</v>
      </c>
      <c r="I614" t="n">
        <v>0</v>
      </c>
      <c r="J614" t="n">
        <v>0</v>
      </c>
      <c r="K614" t="n">
        <v>0</v>
      </c>
      <c r="L614" t="n">
        <v>0</v>
      </c>
      <c r="M614" t="n">
        <v>0</v>
      </c>
      <c r="N614" t="n">
        <v>0</v>
      </c>
      <c r="O614" t="n">
        <v>0</v>
      </c>
      <c r="P614" t="n">
        <v>0</v>
      </c>
      <c r="Q614" t="n">
        <v>0</v>
      </c>
      <c r="R614" s="2" t="inlineStr"/>
    </row>
    <row r="615" ht="15" customHeight="1">
      <c r="A615" t="inlineStr">
        <is>
          <t>A 1963-2022</t>
        </is>
      </c>
      <c r="B615" s="1" t="n">
        <v>44575</v>
      </c>
      <c r="C615" s="1" t="n">
        <v>45708</v>
      </c>
      <c r="D615" t="inlineStr">
        <is>
          <t>UPPSALA LÄN</t>
        </is>
      </c>
      <c r="E615" t="inlineStr">
        <is>
          <t>UPPSALA</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1975-2022</t>
        </is>
      </c>
      <c r="B616" s="1" t="n">
        <v>44575</v>
      </c>
      <c r="C616" s="1" t="n">
        <v>45708</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1936-2022</t>
        </is>
      </c>
      <c r="B617" s="1" t="n">
        <v>44575</v>
      </c>
      <c r="C617" s="1" t="n">
        <v>45708</v>
      </c>
      <c r="D617" t="inlineStr">
        <is>
          <t>UPPSALA LÄN</t>
        </is>
      </c>
      <c r="E617" t="inlineStr">
        <is>
          <t>UPPSALA</t>
        </is>
      </c>
      <c r="F617" t="inlineStr">
        <is>
          <t>Bergvik skog öst AB</t>
        </is>
      </c>
      <c r="G617" t="n">
        <v>0.8</v>
      </c>
      <c r="H617" t="n">
        <v>0</v>
      </c>
      <c r="I617" t="n">
        <v>0</v>
      </c>
      <c r="J617" t="n">
        <v>0</v>
      </c>
      <c r="K617" t="n">
        <v>0</v>
      </c>
      <c r="L617" t="n">
        <v>0</v>
      </c>
      <c r="M617" t="n">
        <v>0</v>
      </c>
      <c r="N617" t="n">
        <v>0</v>
      </c>
      <c r="O617" t="n">
        <v>0</v>
      </c>
      <c r="P617" t="n">
        <v>0</v>
      </c>
      <c r="Q617" t="n">
        <v>0</v>
      </c>
      <c r="R617" s="2" t="inlineStr"/>
    </row>
    <row r="618" ht="15" customHeight="1">
      <c r="A618" t="inlineStr">
        <is>
          <t>A 1978-2022</t>
        </is>
      </c>
      <c r="B618" s="1" t="n">
        <v>44575</v>
      </c>
      <c r="C618" s="1" t="n">
        <v>45708</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2017-2022</t>
        </is>
      </c>
      <c r="B619" s="1" t="n">
        <v>44575</v>
      </c>
      <c r="C619" s="1" t="n">
        <v>45708</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2228-2022</t>
        </is>
      </c>
      <c r="B620" s="1" t="n">
        <v>44578</v>
      </c>
      <c r="C620" s="1" t="n">
        <v>45708</v>
      </c>
      <c r="D620" t="inlineStr">
        <is>
          <t>UPPSALA LÄN</t>
        </is>
      </c>
      <c r="E620" t="inlineStr">
        <is>
          <t>UPPSALA</t>
        </is>
      </c>
      <c r="F620" t="inlineStr">
        <is>
          <t>Bergvik skog öst AB</t>
        </is>
      </c>
      <c r="G620" t="n">
        <v>3.9</v>
      </c>
      <c r="H620" t="n">
        <v>0</v>
      </c>
      <c r="I620" t="n">
        <v>0</v>
      </c>
      <c r="J620" t="n">
        <v>0</v>
      </c>
      <c r="K620" t="n">
        <v>0</v>
      </c>
      <c r="L620" t="n">
        <v>0</v>
      </c>
      <c r="M620" t="n">
        <v>0</v>
      </c>
      <c r="N620" t="n">
        <v>0</v>
      </c>
      <c r="O620" t="n">
        <v>0</v>
      </c>
      <c r="P620" t="n">
        <v>0</v>
      </c>
      <c r="Q620" t="n">
        <v>0</v>
      </c>
      <c r="R620" s="2" t="inlineStr"/>
    </row>
    <row r="621" ht="15" customHeight="1">
      <c r="A621" t="inlineStr">
        <is>
          <t>A 2927-2022</t>
        </is>
      </c>
      <c r="B621" s="1" t="n">
        <v>44581</v>
      </c>
      <c r="C621" s="1" t="n">
        <v>45708</v>
      </c>
      <c r="D621" t="inlineStr">
        <is>
          <t>UPPSALA LÄN</t>
        </is>
      </c>
      <c r="E621" t="inlineStr">
        <is>
          <t>UPPSALA</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3259-2022</t>
        </is>
      </c>
      <c r="B622" s="1" t="n">
        <v>44583</v>
      </c>
      <c r="C622" s="1" t="n">
        <v>45708</v>
      </c>
      <c r="D622" t="inlineStr">
        <is>
          <t>UPPSALA LÄN</t>
        </is>
      </c>
      <c r="E622" t="inlineStr">
        <is>
          <t>UPPSALA</t>
        </is>
      </c>
      <c r="F622" t="inlineStr">
        <is>
          <t>Holmen skog AB</t>
        </is>
      </c>
      <c r="G622" t="n">
        <v>2.4</v>
      </c>
      <c r="H622" t="n">
        <v>0</v>
      </c>
      <c r="I622" t="n">
        <v>0</v>
      </c>
      <c r="J622" t="n">
        <v>0</v>
      </c>
      <c r="K622" t="n">
        <v>0</v>
      </c>
      <c r="L622" t="n">
        <v>0</v>
      </c>
      <c r="M622" t="n">
        <v>0</v>
      </c>
      <c r="N622" t="n">
        <v>0</v>
      </c>
      <c r="O622" t="n">
        <v>0</v>
      </c>
      <c r="P622" t="n">
        <v>0</v>
      </c>
      <c r="Q622" t="n">
        <v>0</v>
      </c>
      <c r="R622" s="2" t="inlineStr"/>
    </row>
    <row r="623" ht="15" customHeight="1">
      <c r="A623" t="inlineStr">
        <is>
          <t>A 3261-2022</t>
        </is>
      </c>
      <c r="B623" s="1" t="n">
        <v>44583</v>
      </c>
      <c r="C623" s="1" t="n">
        <v>45708</v>
      </c>
      <c r="D623" t="inlineStr">
        <is>
          <t>UPPSALA LÄN</t>
        </is>
      </c>
      <c r="E623" t="inlineStr">
        <is>
          <t>UPPSALA</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3252-2022</t>
        </is>
      </c>
      <c r="B624" s="1" t="n">
        <v>44583</v>
      </c>
      <c r="C624" s="1" t="n">
        <v>45708</v>
      </c>
      <c r="D624" t="inlineStr">
        <is>
          <t>UPPSALA LÄN</t>
        </is>
      </c>
      <c r="E624" t="inlineStr">
        <is>
          <t>UPPSALA</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3258-2022</t>
        </is>
      </c>
      <c r="B625" s="1" t="n">
        <v>44583</v>
      </c>
      <c r="C625" s="1" t="n">
        <v>45708</v>
      </c>
      <c r="D625" t="inlineStr">
        <is>
          <t>UPPSALA LÄN</t>
        </is>
      </c>
      <c r="E625" t="inlineStr">
        <is>
          <t>UPPSALA</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3262-2022</t>
        </is>
      </c>
      <c r="B626" s="1" t="n">
        <v>44583</v>
      </c>
      <c r="C626" s="1" t="n">
        <v>45708</v>
      </c>
      <c r="D626" t="inlineStr">
        <is>
          <t>UPPSALA LÄN</t>
        </is>
      </c>
      <c r="E626" t="inlineStr">
        <is>
          <t>UPPSALA</t>
        </is>
      </c>
      <c r="F626" t="inlineStr">
        <is>
          <t>Holmen skog AB</t>
        </is>
      </c>
      <c r="G626" t="n">
        <v>5.4</v>
      </c>
      <c r="H626" t="n">
        <v>0</v>
      </c>
      <c r="I626" t="n">
        <v>0</v>
      </c>
      <c r="J626" t="n">
        <v>0</v>
      </c>
      <c r="K626" t="n">
        <v>0</v>
      </c>
      <c r="L626" t="n">
        <v>0</v>
      </c>
      <c r="M626" t="n">
        <v>0</v>
      </c>
      <c r="N626" t="n">
        <v>0</v>
      </c>
      <c r="O626" t="n">
        <v>0</v>
      </c>
      <c r="P626" t="n">
        <v>0</v>
      </c>
      <c r="Q626" t="n">
        <v>0</v>
      </c>
      <c r="R626" s="2" t="inlineStr"/>
    </row>
    <row r="627" ht="15" customHeight="1">
      <c r="A627" t="inlineStr">
        <is>
          <t>A 3255-2022</t>
        </is>
      </c>
      <c r="B627" s="1" t="n">
        <v>44583</v>
      </c>
      <c r="C627" s="1" t="n">
        <v>45708</v>
      </c>
      <c r="D627" t="inlineStr">
        <is>
          <t>UPPSALA LÄN</t>
        </is>
      </c>
      <c r="E627" t="inlineStr">
        <is>
          <t>UPPSALA</t>
        </is>
      </c>
      <c r="F627" t="inlineStr">
        <is>
          <t>Holmen skog AB</t>
        </is>
      </c>
      <c r="G627" t="n">
        <v>5.6</v>
      </c>
      <c r="H627" t="n">
        <v>0</v>
      </c>
      <c r="I627" t="n">
        <v>0</v>
      </c>
      <c r="J627" t="n">
        <v>0</v>
      </c>
      <c r="K627" t="n">
        <v>0</v>
      </c>
      <c r="L627" t="n">
        <v>0</v>
      </c>
      <c r="M627" t="n">
        <v>0</v>
      </c>
      <c r="N627" t="n">
        <v>0</v>
      </c>
      <c r="O627" t="n">
        <v>0</v>
      </c>
      <c r="P627" t="n">
        <v>0</v>
      </c>
      <c r="Q627" t="n">
        <v>0</v>
      </c>
      <c r="R627" s="2" t="inlineStr"/>
    </row>
    <row r="628" ht="15" customHeight="1">
      <c r="A628" t="inlineStr">
        <is>
          <t>A 3260-2022</t>
        </is>
      </c>
      <c r="B628" s="1" t="n">
        <v>44583</v>
      </c>
      <c r="C628" s="1" t="n">
        <v>45708</v>
      </c>
      <c r="D628" t="inlineStr">
        <is>
          <t>UPPSALA LÄN</t>
        </is>
      </c>
      <c r="E628" t="inlineStr">
        <is>
          <t>UPPSALA</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3284-2022</t>
        </is>
      </c>
      <c r="B629" s="1" t="n">
        <v>44584</v>
      </c>
      <c r="C629" s="1" t="n">
        <v>45708</v>
      </c>
      <c r="D629" t="inlineStr">
        <is>
          <t>UPPSALA LÄN</t>
        </is>
      </c>
      <c r="E629" t="inlineStr">
        <is>
          <t>UPPSALA</t>
        </is>
      </c>
      <c r="F629" t="inlineStr">
        <is>
          <t>Holmen skog AB</t>
        </is>
      </c>
      <c r="G629" t="n">
        <v>3</v>
      </c>
      <c r="H629" t="n">
        <v>0</v>
      </c>
      <c r="I629" t="n">
        <v>0</v>
      </c>
      <c r="J629" t="n">
        <v>0</v>
      </c>
      <c r="K629" t="n">
        <v>0</v>
      </c>
      <c r="L629" t="n">
        <v>0</v>
      </c>
      <c r="M629" t="n">
        <v>0</v>
      </c>
      <c r="N629" t="n">
        <v>0</v>
      </c>
      <c r="O629" t="n">
        <v>0</v>
      </c>
      <c r="P629" t="n">
        <v>0</v>
      </c>
      <c r="Q629" t="n">
        <v>0</v>
      </c>
      <c r="R629" s="2" t="inlineStr"/>
    </row>
    <row r="630" ht="15" customHeight="1">
      <c r="A630" t="inlineStr">
        <is>
          <t>A 3287-2022</t>
        </is>
      </c>
      <c r="B630" s="1" t="n">
        <v>44584</v>
      </c>
      <c r="C630" s="1" t="n">
        <v>45708</v>
      </c>
      <c r="D630" t="inlineStr">
        <is>
          <t>UPPSALA LÄN</t>
        </is>
      </c>
      <c r="E630" t="inlineStr">
        <is>
          <t>UPPSALA</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4059-2022</t>
        </is>
      </c>
      <c r="B631" s="1" t="n">
        <v>44588</v>
      </c>
      <c r="C631" s="1" t="n">
        <v>45708</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4312-2022</t>
        </is>
      </c>
      <c r="B632" s="1" t="n">
        <v>44588</v>
      </c>
      <c r="C632" s="1" t="n">
        <v>45708</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4444-2022</t>
        </is>
      </c>
      <c r="B633" s="1" t="n">
        <v>44589</v>
      </c>
      <c r="C633" s="1" t="n">
        <v>45708</v>
      </c>
      <c r="D633" t="inlineStr">
        <is>
          <t>UPPSALA LÄN</t>
        </is>
      </c>
      <c r="E633" t="inlineStr">
        <is>
          <t>UPPSALA</t>
        </is>
      </c>
      <c r="G633" t="n">
        <v>3.2</v>
      </c>
      <c r="H633" t="n">
        <v>0</v>
      </c>
      <c r="I633" t="n">
        <v>0</v>
      </c>
      <c r="J633" t="n">
        <v>0</v>
      </c>
      <c r="K633" t="n">
        <v>0</v>
      </c>
      <c r="L633" t="n">
        <v>0</v>
      </c>
      <c r="M633" t="n">
        <v>0</v>
      </c>
      <c r="N633" t="n">
        <v>0</v>
      </c>
      <c r="O633" t="n">
        <v>0</v>
      </c>
      <c r="P633" t="n">
        <v>0</v>
      </c>
      <c r="Q633" t="n">
        <v>0</v>
      </c>
      <c r="R633" s="2" t="inlineStr"/>
    </row>
    <row r="634" ht="15" customHeight="1">
      <c r="A634" t="inlineStr">
        <is>
          <t>A 4929-2022</t>
        </is>
      </c>
      <c r="B634" s="1" t="n">
        <v>44593</v>
      </c>
      <c r="C634" s="1" t="n">
        <v>45708</v>
      </c>
      <c r="D634" t="inlineStr">
        <is>
          <t>UPPSALA LÄN</t>
        </is>
      </c>
      <c r="E634" t="inlineStr">
        <is>
          <t>UPPSALA</t>
        </is>
      </c>
      <c r="G634" t="n">
        <v>2.4</v>
      </c>
      <c r="H634" t="n">
        <v>0</v>
      </c>
      <c r="I634" t="n">
        <v>0</v>
      </c>
      <c r="J634" t="n">
        <v>0</v>
      </c>
      <c r="K634" t="n">
        <v>0</v>
      </c>
      <c r="L634" t="n">
        <v>0</v>
      </c>
      <c r="M634" t="n">
        <v>0</v>
      </c>
      <c r="N634" t="n">
        <v>0</v>
      </c>
      <c r="O634" t="n">
        <v>0</v>
      </c>
      <c r="P634" t="n">
        <v>0</v>
      </c>
      <c r="Q634" t="n">
        <v>0</v>
      </c>
      <c r="R634" s="2" t="inlineStr"/>
    </row>
    <row r="635" ht="15" customHeight="1">
      <c r="A635" t="inlineStr">
        <is>
          <t>A 5027-2022</t>
        </is>
      </c>
      <c r="B635" s="1" t="n">
        <v>44593</v>
      </c>
      <c r="C635" s="1" t="n">
        <v>45708</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5081-2022</t>
        </is>
      </c>
      <c r="B636" s="1" t="n">
        <v>44593</v>
      </c>
      <c r="C636" s="1" t="n">
        <v>45708</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5007-2022</t>
        </is>
      </c>
      <c r="B637" s="1" t="n">
        <v>44593</v>
      </c>
      <c r="C637" s="1" t="n">
        <v>45708</v>
      </c>
      <c r="D637" t="inlineStr">
        <is>
          <t>UPPSALA LÄN</t>
        </is>
      </c>
      <c r="E637" t="inlineStr">
        <is>
          <t>UPPSALA</t>
        </is>
      </c>
      <c r="F637" t="inlineStr">
        <is>
          <t>BillerudKorsnäs AB</t>
        </is>
      </c>
      <c r="G637" t="n">
        <v>3.6</v>
      </c>
      <c r="H637" t="n">
        <v>0</v>
      </c>
      <c r="I637" t="n">
        <v>0</v>
      </c>
      <c r="J637" t="n">
        <v>0</v>
      </c>
      <c r="K637" t="n">
        <v>0</v>
      </c>
      <c r="L637" t="n">
        <v>0</v>
      </c>
      <c r="M637" t="n">
        <v>0</v>
      </c>
      <c r="N637" t="n">
        <v>0</v>
      </c>
      <c r="O637" t="n">
        <v>0</v>
      </c>
      <c r="P637" t="n">
        <v>0</v>
      </c>
      <c r="Q637" t="n">
        <v>0</v>
      </c>
      <c r="R637" s="2" t="inlineStr"/>
    </row>
    <row r="638" ht="15" customHeight="1">
      <c r="A638" t="inlineStr">
        <is>
          <t>A 5006-2022</t>
        </is>
      </c>
      <c r="B638" s="1" t="n">
        <v>44593</v>
      </c>
      <c r="C638" s="1" t="n">
        <v>45708</v>
      </c>
      <c r="D638" t="inlineStr">
        <is>
          <t>UPPSALA LÄN</t>
        </is>
      </c>
      <c r="E638" t="inlineStr">
        <is>
          <t>UPPSALA</t>
        </is>
      </c>
      <c r="F638" t="inlineStr">
        <is>
          <t>BillerudKorsnäs AB</t>
        </is>
      </c>
      <c r="G638" t="n">
        <v>1.4</v>
      </c>
      <c r="H638" t="n">
        <v>0</v>
      </c>
      <c r="I638" t="n">
        <v>0</v>
      </c>
      <c r="J638" t="n">
        <v>0</v>
      </c>
      <c r="K638" t="n">
        <v>0</v>
      </c>
      <c r="L638" t="n">
        <v>0</v>
      </c>
      <c r="M638" t="n">
        <v>0</v>
      </c>
      <c r="N638" t="n">
        <v>0</v>
      </c>
      <c r="O638" t="n">
        <v>0</v>
      </c>
      <c r="P638" t="n">
        <v>0</v>
      </c>
      <c r="Q638" t="n">
        <v>0</v>
      </c>
      <c r="R638" s="2" t="inlineStr"/>
    </row>
    <row r="639" ht="15" customHeight="1">
      <c r="A639" t="inlineStr">
        <is>
          <t>A 5028-2022</t>
        </is>
      </c>
      <c r="B639" s="1" t="n">
        <v>44593</v>
      </c>
      <c r="C639" s="1" t="n">
        <v>45708</v>
      </c>
      <c r="D639" t="inlineStr">
        <is>
          <t>UPPSALA LÄN</t>
        </is>
      </c>
      <c r="E639" t="inlineStr">
        <is>
          <t>UPPSALA</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5309-2022</t>
        </is>
      </c>
      <c r="B640" s="1" t="n">
        <v>44594</v>
      </c>
      <c r="C640" s="1" t="n">
        <v>45708</v>
      </c>
      <c r="D640" t="inlineStr">
        <is>
          <t>UPPSALA LÄN</t>
        </is>
      </c>
      <c r="E640" t="inlineStr">
        <is>
          <t>UPPSALA</t>
        </is>
      </c>
      <c r="G640" t="n">
        <v>4.8</v>
      </c>
      <c r="H640" t="n">
        <v>0</v>
      </c>
      <c r="I640" t="n">
        <v>0</v>
      </c>
      <c r="J640" t="n">
        <v>0</v>
      </c>
      <c r="K640" t="n">
        <v>0</v>
      </c>
      <c r="L640" t="n">
        <v>0</v>
      </c>
      <c r="M640" t="n">
        <v>0</v>
      </c>
      <c r="N640" t="n">
        <v>0</v>
      </c>
      <c r="O640" t="n">
        <v>0</v>
      </c>
      <c r="P640" t="n">
        <v>0</v>
      </c>
      <c r="Q640" t="n">
        <v>0</v>
      </c>
      <c r="R640" s="2" t="inlineStr"/>
    </row>
    <row r="641" ht="15" customHeight="1">
      <c r="A641" t="inlineStr">
        <is>
          <t>A 5189-2022</t>
        </is>
      </c>
      <c r="B641" s="1" t="n">
        <v>44594</v>
      </c>
      <c r="C641" s="1" t="n">
        <v>45708</v>
      </c>
      <c r="D641" t="inlineStr">
        <is>
          <t>UPPSALA LÄN</t>
        </is>
      </c>
      <c r="E641" t="inlineStr">
        <is>
          <t>UPPSALA</t>
        </is>
      </c>
      <c r="G641" t="n">
        <v>5.9</v>
      </c>
      <c r="H641" t="n">
        <v>0</v>
      </c>
      <c r="I641" t="n">
        <v>0</v>
      </c>
      <c r="J641" t="n">
        <v>0</v>
      </c>
      <c r="K641" t="n">
        <v>0</v>
      </c>
      <c r="L641" t="n">
        <v>0</v>
      </c>
      <c r="M641" t="n">
        <v>0</v>
      </c>
      <c r="N641" t="n">
        <v>0</v>
      </c>
      <c r="O641" t="n">
        <v>0</v>
      </c>
      <c r="P641" t="n">
        <v>0</v>
      </c>
      <c r="Q641" t="n">
        <v>0</v>
      </c>
      <c r="R641" s="2" t="inlineStr"/>
    </row>
    <row r="642" ht="15" customHeight="1">
      <c r="A642" t="inlineStr">
        <is>
          <t>A 5924-2022</t>
        </is>
      </c>
      <c r="B642" s="1" t="n">
        <v>44598</v>
      </c>
      <c r="C642" s="1" t="n">
        <v>45708</v>
      </c>
      <c r="D642" t="inlineStr">
        <is>
          <t>UPPSALA LÄN</t>
        </is>
      </c>
      <c r="E642" t="inlineStr">
        <is>
          <t>UPPSALA</t>
        </is>
      </c>
      <c r="G642" t="n">
        <v>6.8</v>
      </c>
      <c r="H642" t="n">
        <v>0</v>
      </c>
      <c r="I642" t="n">
        <v>0</v>
      </c>
      <c r="J642" t="n">
        <v>0</v>
      </c>
      <c r="K642" t="n">
        <v>0</v>
      </c>
      <c r="L642" t="n">
        <v>0</v>
      </c>
      <c r="M642" t="n">
        <v>0</v>
      </c>
      <c r="N642" t="n">
        <v>0</v>
      </c>
      <c r="O642" t="n">
        <v>0</v>
      </c>
      <c r="P642" t="n">
        <v>0</v>
      </c>
      <c r="Q642" t="n">
        <v>0</v>
      </c>
      <c r="R642" s="2" t="inlineStr"/>
    </row>
    <row r="643" ht="15" customHeight="1">
      <c r="A643" t="inlineStr">
        <is>
          <t>A 5989-2022</t>
        </is>
      </c>
      <c r="B643" s="1" t="n">
        <v>44599</v>
      </c>
      <c r="C643" s="1" t="n">
        <v>45708</v>
      </c>
      <c r="D643" t="inlineStr">
        <is>
          <t>UPPSALA LÄN</t>
        </is>
      </c>
      <c r="E643" t="inlineStr">
        <is>
          <t>UPPSALA</t>
        </is>
      </c>
      <c r="G643" t="n">
        <v>2.8</v>
      </c>
      <c r="H643" t="n">
        <v>0</v>
      </c>
      <c r="I643" t="n">
        <v>0</v>
      </c>
      <c r="J643" t="n">
        <v>0</v>
      </c>
      <c r="K643" t="n">
        <v>0</v>
      </c>
      <c r="L643" t="n">
        <v>0</v>
      </c>
      <c r="M643" t="n">
        <v>0</v>
      </c>
      <c r="N643" t="n">
        <v>0</v>
      </c>
      <c r="O643" t="n">
        <v>0</v>
      </c>
      <c r="P643" t="n">
        <v>0</v>
      </c>
      <c r="Q643" t="n">
        <v>0</v>
      </c>
      <c r="R643" s="2" t="inlineStr"/>
    </row>
    <row r="644" ht="15" customHeight="1">
      <c r="A644" t="inlineStr">
        <is>
          <t>A 6009-2022</t>
        </is>
      </c>
      <c r="B644" s="1" t="n">
        <v>44599</v>
      </c>
      <c r="C644" s="1" t="n">
        <v>45708</v>
      </c>
      <c r="D644" t="inlineStr">
        <is>
          <t>UPPSALA LÄN</t>
        </is>
      </c>
      <c r="E644" t="inlineStr">
        <is>
          <t>UPPSALA</t>
        </is>
      </c>
      <c r="G644" t="n">
        <v>0.9</v>
      </c>
      <c r="H644" t="n">
        <v>0</v>
      </c>
      <c r="I644" t="n">
        <v>0</v>
      </c>
      <c r="J644" t="n">
        <v>0</v>
      </c>
      <c r="K644" t="n">
        <v>0</v>
      </c>
      <c r="L644" t="n">
        <v>0</v>
      </c>
      <c r="M644" t="n">
        <v>0</v>
      </c>
      <c r="N644" t="n">
        <v>0</v>
      </c>
      <c r="O644" t="n">
        <v>0</v>
      </c>
      <c r="P644" t="n">
        <v>0</v>
      </c>
      <c r="Q644" t="n">
        <v>0</v>
      </c>
      <c r="R644" s="2" t="inlineStr"/>
    </row>
    <row r="645" ht="15" customHeight="1">
      <c r="A645" t="inlineStr">
        <is>
          <t>A 5996-2022</t>
        </is>
      </c>
      <c r="B645" s="1" t="n">
        <v>44599</v>
      </c>
      <c r="C645" s="1" t="n">
        <v>45708</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6339-2022</t>
        </is>
      </c>
      <c r="B646" s="1" t="n">
        <v>44600</v>
      </c>
      <c r="C646" s="1" t="n">
        <v>45708</v>
      </c>
      <c r="D646" t="inlineStr">
        <is>
          <t>UPPSALA LÄN</t>
        </is>
      </c>
      <c r="E646" t="inlineStr">
        <is>
          <t>UPPSALA</t>
        </is>
      </c>
      <c r="G646" t="n">
        <v>18.7</v>
      </c>
      <c r="H646" t="n">
        <v>0</v>
      </c>
      <c r="I646" t="n">
        <v>0</v>
      </c>
      <c r="J646" t="n">
        <v>0</v>
      </c>
      <c r="K646" t="n">
        <v>0</v>
      </c>
      <c r="L646" t="n">
        <v>0</v>
      </c>
      <c r="M646" t="n">
        <v>0</v>
      </c>
      <c r="N646" t="n">
        <v>0</v>
      </c>
      <c r="O646" t="n">
        <v>0</v>
      </c>
      <c r="P646" t="n">
        <v>0</v>
      </c>
      <c r="Q646" t="n">
        <v>0</v>
      </c>
      <c r="R646" s="2" t="inlineStr"/>
    </row>
    <row r="647" ht="15" customHeight="1">
      <c r="A647" t="inlineStr">
        <is>
          <t>A 6408-2022</t>
        </is>
      </c>
      <c r="B647" s="1" t="n">
        <v>44600</v>
      </c>
      <c r="C647" s="1" t="n">
        <v>45708</v>
      </c>
      <c r="D647" t="inlineStr">
        <is>
          <t>UPPSALA LÄN</t>
        </is>
      </c>
      <c r="E647" t="inlineStr">
        <is>
          <t>UPPSALA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6717-2022</t>
        </is>
      </c>
      <c r="B648" s="1" t="n">
        <v>44602</v>
      </c>
      <c r="C648" s="1" t="n">
        <v>45708</v>
      </c>
      <c r="D648" t="inlineStr">
        <is>
          <t>UPPSALA LÄN</t>
        </is>
      </c>
      <c r="E648" t="inlineStr">
        <is>
          <t>UPPSALA</t>
        </is>
      </c>
      <c r="F648" t="inlineStr">
        <is>
          <t>Övriga Aktiebolag</t>
        </is>
      </c>
      <c r="G648" t="n">
        <v>6.7</v>
      </c>
      <c r="H648" t="n">
        <v>0</v>
      </c>
      <c r="I648" t="n">
        <v>0</v>
      </c>
      <c r="J648" t="n">
        <v>0</v>
      </c>
      <c r="K648" t="n">
        <v>0</v>
      </c>
      <c r="L648" t="n">
        <v>0</v>
      </c>
      <c r="M648" t="n">
        <v>0</v>
      </c>
      <c r="N648" t="n">
        <v>0</v>
      </c>
      <c r="O648" t="n">
        <v>0</v>
      </c>
      <c r="P648" t="n">
        <v>0</v>
      </c>
      <c r="Q648" t="n">
        <v>0</v>
      </c>
      <c r="R648" s="2" t="inlineStr"/>
    </row>
    <row r="649" ht="15" customHeight="1">
      <c r="A649" t="inlineStr">
        <is>
          <t>A 6853-2022</t>
        </is>
      </c>
      <c r="B649" s="1" t="n">
        <v>44602</v>
      </c>
      <c r="C649" s="1" t="n">
        <v>45708</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6863-2022</t>
        </is>
      </c>
      <c r="B650" s="1" t="n">
        <v>44602</v>
      </c>
      <c r="C650" s="1" t="n">
        <v>45708</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6850-2022</t>
        </is>
      </c>
      <c r="B651" s="1" t="n">
        <v>44602</v>
      </c>
      <c r="C651" s="1" t="n">
        <v>45708</v>
      </c>
      <c r="D651" t="inlineStr">
        <is>
          <t>UPPSALA LÄN</t>
        </is>
      </c>
      <c r="E651" t="inlineStr">
        <is>
          <t>UPPSALA</t>
        </is>
      </c>
      <c r="G651" t="n">
        <v>3.7</v>
      </c>
      <c r="H651" t="n">
        <v>0</v>
      </c>
      <c r="I651" t="n">
        <v>0</v>
      </c>
      <c r="J651" t="n">
        <v>0</v>
      </c>
      <c r="K651" t="n">
        <v>0</v>
      </c>
      <c r="L651" t="n">
        <v>0</v>
      </c>
      <c r="M651" t="n">
        <v>0</v>
      </c>
      <c r="N651" t="n">
        <v>0</v>
      </c>
      <c r="O651" t="n">
        <v>0</v>
      </c>
      <c r="P651" t="n">
        <v>0</v>
      </c>
      <c r="Q651" t="n">
        <v>0</v>
      </c>
      <c r="R651" s="2" t="inlineStr"/>
    </row>
    <row r="652" ht="15" customHeight="1">
      <c r="A652" t="inlineStr">
        <is>
          <t>A 6851-2022</t>
        </is>
      </c>
      <c r="B652" s="1" t="n">
        <v>44602</v>
      </c>
      <c r="C652" s="1" t="n">
        <v>45708</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6855-2022</t>
        </is>
      </c>
      <c r="B653" s="1" t="n">
        <v>44602</v>
      </c>
      <c r="C653" s="1" t="n">
        <v>45708</v>
      </c>
      <c r="D653" t="inlineStr">
        <is>
          <t>UPPSALA LÄN</t>
        </is>
      </c>
      <c r="E653" t="inlineStr">
        <is>
          <t>UPPSALA</t>
        </is>
      </c>
      <c r="G653" t="n">
        <v>4.6</v>
      </c>
      <c r="H653" t="n">
        <v>0</v>
      </c>
      <c r="I653" t="n">
        <v>0</v>
      </c>
      <c r="J653" t="n">
        <v>0</v>
      </c>
      <c r="K653" t="n">
        <v>0</v>
      </c>
      <c r="L653" t="n">
        <v>0</v>
      </c>
      <c r="M653" t="n">
        <v>0</v>
      </c>
      <c r="N653" t="n">
        <v>0</v>
      </c>
      <c r="O653" t="n">
        <v>0</v>
      </c>
      <c r="P653" t="n">
        <v>0</v>
      </c>
      <c r="Q653" t="n">
        <v>0</v>
      </c>
      <c r="R653" s="2" t="inlineStr"/>
    </row>
    <row r="654" ht="15" customHeight="1">
      <c r="A654" t="inlineStr">
        <is>
          <t>A 6860-2022</t>
        </is>
      </c>
      <c r="B654" s="1" t="n">
        <v>44602</v>
      </c>
      <c r="C654" s="1" t="n">
        <v>45708</v>
      </c>
      <c r="D654" t="inlineStr">
        <is>
          <t>UPPSALA LÄN</t>
        </is>
      </c>
      <c r="E654" t="inlineStr">
        <is>
          <t>UPPSALA</t>
        </is>
      </c>
      <c r="G654" t="n">
        <v>14.8</v>
      </c>
      <c r="H654" t="n">
        <v>0</v>
      </c>
      <c r="I654" t="n">
        <v>0</v>
      </c>
      <c r="J654" t="n">
        <v>0</v>
      </c>
      <c r="K654" t="n">
        <v>0</v>
      </c>
      <c r="L654" t="n">
        <v>0</v>
      </c>
      <c r="M654" t="n">
        <v>0</v>
      </c>
      <c r="N654" t="n">
        <v>0</v>
      </c>
      <c r="O654" t="n">
        <v>0</v>
      </c>
      <c r="P654" t="n">
        <v>0</v>
      </c>
      <c r="Q654" t="n">
        <v>0</v>
      </c>
      <c r="R654" s="2" t="inlineStr"/>
    </row>
    <row r="655" ht="15" customHeight="1">
      <c r="A655" t="inlineStr">
        <is>
          <t>A 6989-2022</t>
        </is>
      </c>
      <c r="B655" s="1" t="n">
        <v>44603</v>
      </c>
      <c r="C655" s="1" t="n">
        <v>45708</v>
      </c>
      <c r="D655" t="inlineStr">
        <is>
          <t>UPPSALA LÄN</t>
        </is>
      </c>
      <c r="E655" t="inlineStr">
        <is>
          <t>UPPSALA</t>
        </is>
      </c>
      <c r="G655" t="n">
        <v>3.1</v>
      </c>
      <c r="H655" t="n">
        <v>0</v>
      </c>
      <c r="I655" t="n">
        <v>0</v>
      </c>
      <c r="J655" t="n">
        <v>0</v>
      </c>
      <c r="K655" t="n">
        <v>0</v>
      </c>
      <c r="L655" t="n">
        <v>0</v>
      </c>
      <c r="M655" t="n">
        <v>0</v>
      </c>
      <c r="N655" t="n">
        <v>0</v>
      </c>
      <c r="O655" t="n">
        <v>0</v>
      </c>
      <c r="P655" t="n">
        <v>0</v>
      </c>
      <c r="Q655" t="n">
        <v>0</v>
      </c>
      <c r="R655" s="2" t="inlineStr"/>
    </row>
    <row r="656" ht="15" customHeight="1">
      <c r="A656" t="inlineStr">
        <is>
          <t>A 7040-2022</t>
        </is>
      </c>
      <c r="B656" s="1" t="n">
        <v>44603</v>
      </c>
      <c r="C656" s="1" t="n">
        <v>45708</v>
      </c>
      <c r="D656" t="inlineStr">
        <is>
          <t>UPPSALA LÄN</t>
        </is>
      </c>
      <c r="E656" t="inlineStr">
        <is>
          <t>UPPSALA</t>
        </is>
      </c>
      <c r="G656" t="n">
        <v>3.9</v>
      </c>
      <c r="H656" t="n">
        <v>0</v>
      </c>
      <c r="I656" t="n">
        <v>0</v>
      </c>
      <c r="J656" t="n">
        <v>0</v>
      </c>
      <c r="K656" t="n">
        <v>0</v>
      </c>
      <c r="L656" t="n">
        <v>0</v>
      </c>
      <c r="M656" t="n">
        <v>0</v>
      </c>
      <c r="N656" t="n">
        <v>0</v>
      </c>
      <c r="O656" t="n">
        <v>0</v>
      </c>
      <c r="P656" t="n">
        <v>0</v>
      </c>
      <c r="Q656" t="n">
        <v>0</v>
      </c>
      <c r="R656" s="2" t="inlineStr"/>
    </row>
    <row r="657" ht="15" customHeight="1">
      <c r="A657" t="inlineStr">
        <is>
          <t>A 7124-2022</t>
        </is>
      </c>
      <c r="B657" s="1" t="n">
        <v>44603</v>
      </c>
      <c r="C657" s="1" t="n">
        <v>45708</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7409-2022</t>
        </is>
      </c>
      <c r="B658" s="1" t="n">
        <v>44606</v>
      </c>
      <c r="C658" s="1" t="n">
        <v>45708</v>
      </c>
      <c r="D658" t="inlineStr">
        <is>
          <t>UPPSALA LÄN</t>
        </is>
      </c>
      <c r="E658" t="inlineStr">
        <is>
          <t>UPPSALA</t>
        </is>
      </c>
      <c r="G658" t="n">
        <v>4.3</v>
      </c>
      <c r="H658" t="n">
        <v>0</v>
      </c>
      <c r="I658" t="n">
        <v>0</v>
      </c>
      <c r="J658" t="n">
        <v>0</v>
      </c>
      <c r="K658" t="n">
        <v>0</v>
      </c>
      <c r="L658" t="n">
        <v>0</v>
      </c>
      <c r="M658" t="n">
        <v>0</v>
      </c>
      <c r="N658" t="n">
        <v>0</v>
      </c>
      <c r="O658" t="n">
        <v>0</v>
      </c>
      <c r="P658" t="n">
        <v>0</v>
      </c>
      <c r="Q658" t="n">
        <v>0</v>
      </c>
      <c r="R658" s="2" t="inlineStr"/>
    </row>
    <row r="659" ht="15" customHeight="1">
      <c r="A659" t="inlineStr">
        <is>
          <t>A 7899-2022</t>
        </is>
      </c>
      <c r="B659" s="1" t="n">
        <v>44608</v>
      </c>
      <c r="C659" s="1" t="n">
        <v>45708</v>
      </c>
      <c r="D659" t="inlineStr">
        <is>
          <t>UPPSALA LÄN</t>
        </is>
      </c>
      <c r="E659" t="inlineStr">
        <is>
          <t>UPPSALA</t>
        </is>
      </c>
      <c r="F659" t="inlineStr">
        <is>
          <t>Övriga Aktiebolag</t>
        </is>
      </c>
      <c r="G659" t="n">
        <v>7.1</v>
      </c>
      <c r="H659" t="n">
        <v>0</v>
      </c>
      <c r="I659" t="n">
        <v>0</v>
      </c>
      <c r="J659" t="n">
        <v>0</v>
      </c>
      <c r="K659" t="n">
        <v>0</v>
      </c>
      <c r="L659" t="n">
        <v>0</v>
      </c>
      <c r="M659" t="n">
        <v>0</v>
      </c>
      <c r="N659" t="n">
        <v>0</v>
      </c>
      <c r="O659" t="n">
        <v>0</v>
      </c>
      <c r="P659" t="n">
        <v>0</v>
      </c>
      <c r="Q659" t="n">
        <v>0</v>
      </c>
      <c r="R659" s="2" t="inlineStr"/>
    </row>
    <row r="660" ht="15" customHeight="1">
      <c r="A660" t="inlineStr">
        <is>
          <t>A 8090-2022</t>
        </is>
      </c>
      <c r="B660" s="1" t="n">
        <v>44608</v>
      </c>
      <c r="C660" s="1" t="n">
        <v>45708</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45708</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8007-2022</t>
        </is>
      </c>
      <c r="B662" s="1" t="n">
        <v>44609</v>
      </c>
      <c r="C662" s="1" t="n">
        <v>45708</v>
      </c>
      <c r="D662" t="inlineStr">
        <is>
          <t>UPPSALA LÄN</t>
        </is>
      </c>
      <c r="E662" t="inlineStr">
        <is>
          <t>UPPSALA</t>
        </is>
      </c>
      <c r="F662" t="inlineStr">
        <is>
          <t>Övriga Aktiebolag</t>
        </is>
      </c>
      <c r="G662" t="n">
        <v>2.3</v>
      </c>
      <c r="H662" t="n">
        <v>0</v>
      </c>
      <c r="I662" t="n">
        <v>0</v>
      </c>
      <c r="J662" t="n">
        <v>0</v>
      </c>
      <c r="K662" t="n">
        <v>0</v>
      </c>
      <c r="L662" t="n">
        <v>0</v>
      </c>
      <c r="M662" t="n">
        <v>0</v>
      </c>
      <c r="N662" t="n">
        <v>0</v>
      </c>
      <c r="O662" t="n">
        <v>0</v>
      </c>
      <c r="P662" t="n">
        <v>0</v>
      </c>
      <c r="Q662" t="n">
        <v>0</v>
      </c>
      <c r="R662" s="2" t="inlineStr"/>
    </row>
    <row r="663" ht="15" customHeight="1">
      <c r="A663" t="inlineStr">
        <is>
          <t>A 8132-2022</t>
        </is>
      </c>
      <c r="B663" s="1" t="n">
        <v>44609</v>
      </c>
      <c r="C663" s="1" t="n">
        <v>45708</v>
      </c>
      <c r="D663" t="inlineStr">
        <is>
          <t>UPPSALA LÄN</t>
        </is>
      </c>
      <c r="E663" t="inlineStr">
        <is>
          <t>UPPSALA</t>
        </is>
      </c>
      <c r="F663" t="inlineStr">
        <is>
          <t>Kommuner</t>
        </is>
      </c>
      <c r="G663" t="n">
        <v>1.2</v>
      </c>
      <c r="H663" t="n">
        <v>0</v>
      </c>
      <c r="I663" t="n">
        <v>0</v>
      </c>
      <c r="J663" t="n">
        <v>0</v>
      </c>
      <c r="K663" t="n">
        <v>0</v>
      </c>
      <c r="L663" t="n">
        <v>0</v>
      </c>
      <c r="M663" t="n">
        <v>0</v>
      </c>
      <c r="N663" t="n">
        <v>0</v>
      </c>
      <c r="O663" t="n">
        <v>0</v>
      </c>
      <c r="P663" t="n">
        <v>0</v>
      </c>
      <c r="Q663" t="n">
        <v>0</v>
      </c>
      <c r="R663" s="2" t="inlineStr"/>
    </row>
    <row r="664" ht="15" customHeight="1">
      <c r="A664" t="inlineStr">
        <is>
          <t>A 8139-2022</t>
        </is>
      </c>
      <c r="B664" s="1" t="n">
        <v>44609</v>
      </c>
      <c r="C664" s="1" t="n">
        <v>45708</v>
      </c>
      <c r="D664" t="inlineStr">
        <is>
          <t>UPPSALA LÄN</t>
        </is>
      </c>
      <c r="E664" t="inlineStr">
        <is>
          <t>UPPSALA</t>
        </is>
      </c>
      <c r="G664" t="n">
        <v>0.6</v>
      </c>
      <c r="H664" t="n">
        <v>0</v>
      </c>
      <c r="I664" t="n">
        <v>0</v>
      </c>
      <c r="J664" t="n">
        <v>0</v>
      </c>
      <c r="K664" t="n">
        <v>0</v>
      </c>
      <c r="L664" t="n">
        <v>0</v>
      </c>
      <c r="M664" t="n">
        <v>0</v>
      </c>
      <c r="N664" t="n">
        <v>0</v>
      </c>
      <c r="O664" t="n">
        <v>0</v>
      </c>
      <c r="P664" t="n">
        <v>0</v>
      </c>
      <c r="Q664" t="n">
        <v>0</v>
      </c>
      <c r="R664" s="2" t="inlineStr"/>
    </row>
    <row r="665" ht="15" customHeight="1">
      <c r="A665" t="inlineStr">
        <is>
          <t>A 8404-2022</t>
        </is>
      </c>
      <c r="B665" s="1" t="n">
        <v>44610</v>
      </c>
      <c r="C665" s="1" t="n">
        <v>45708</v>
      </c>
      <c r="D665" t="inlineStr">
        <is>
          <t>UPPSALA LÄN</t>
        </is>
      </c>
      <c r="E665" t="inlineStr">
        <is>
          <t>UPPSALA</t>
        </is>
      </c>
      <c r="F665" t="inlineStr">
        <is>
          <t>Allmännings- och besparingsskogar</t>
        </is>
      </c>
      <c r="G665" t="n">
        <v>5.4</v>
      </c>
      <c r="H665" t="n">
        <v>0</v>
      </c>
      <c r="I665" t="n">
        <v>0</v>
      </c>
      <c r="J665" t="n">
        <v>0</v>
      </c>
      <c r="K665" t="n">
        <v>0</v>
      </c>
      <c r="L665" t="n">
        <v>0</v>
      </c>
      <c r="M665" t="n">
        <v>0</v>
      </c>
      <c r="N665" t="n">
        <v>0</v>
      </c>
      <c r="O665" t="n">
        <v>0</v>
      </c>
      <c r="P665" t="n">
        <v>0</v>
      </c>
      <c r="Q665" t="n">
        <v>0</v>
      </c>
      <c r="R665" s="2" t="inlineStr"/>
    </row>
    <row r="666" ht="15" customHeight="1">
      <c r="A666" t="inlineStr">
        <is>
          <t>A 8475-2022</t>
        </is>
      </c>
      <c r="B666" s="1" t="n">
        <v>44610</v>
      </c>
      <c r="C666" s="1" t="n">
        <v>45708</v>
      </c>
      <c r="D666" t="inlineStr">
        <is>
          <t>UPPSALA LÄN</t>
        </is>
      </c>
      <c r="E666" t="inlineStr">
        <is>
          <t>UPPSALA</t>
        </is>
      </c>
      <c r="F666" t="inlineStr">
        <is>
          <t>Allmännings- och besparingsskogar</t>
        </is>
      </c>
      <c r="G666" t="n">
        <v>32.7</v>
      </c>
      <c r="H666" t="n">
        <v>0</v>
      </c>
      <c r="I666" t="n">
        <v>0</v>
      </c>
      <c r="J666" t="n">
        <v>0</v>
      </c>
      <c r="K666" t="n">
        <v>0</v>
      </c>
      <c r="L666" t="n">
        <v>0</v>
      </c>
      <c r="M666" t="n">
        <v>0</v>
      </c>
      <c r="N666" t="n">
        <v>0</v>
      </c>
      <c r="O666" t="n">
        <v>0</v>
      </c>
      <c r="P666" t="n">
        <v>0</v>
      </c>
      <c r="Q666" t="n">
        <v>0</v>
      </c>
      <c r="R666" s="2" t="inlineStr"/>
    </row>
    <row r="667" ht="15" customHeight="1">
      <c r="A667" t="inlineStr">
        <is>
          <t>A 8465-2022</t>
        </is>
      </c>
      <c r="B667" s="1" t="n">
        <v>44610</v>
      </c>
      <c r="C667" s="1" t="n">
        <v>45708</v>
      </c>
      <c r="D667" t="inlineStr">
        <is>
          <t>UPPSALA LÄN</t>
        </is>
      </c>
      <c r="E667" t="inlineStr">
        <is>
          <t>UPPSALA</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8451-2022</t>
        </is>
      </c>
      <c r="B668" s="1" t="n">
        <v>44612</v>
      </c>
      <c r="C668" s="1" t="n">
        <v>45708</v>
      </c>
      <c r="D668" t="inlineStr">
        <is>
          <t>UPPSALA LÄN</t>
        </is>
      </c>
      <c r="E668" t="inlineStr">
        <is>
          <t>UPPSALA</t>
        </is>
      </c>
      <c r="G668" t="n">
        <v>1.8</v>
      </c>
      <c r="H668" t="n">
        <v>0</v>
      </c>
      <c r="I668" t="n">
        <v>0</v>
      </c>
      <c r="J668" t="n">
        <v>0</v>
      </c>
      <c r="K668" t="n">
        <v>0</v>
      </c>
      <c r="L668" t="n">
        <v>0</v>
      </c>
      <c r="M668" t="n">
        <v>0</v>
      </c>
      <c r="N668" t="n">
        <v>0</v>
      </c>
      <c r="O668" t="n">
        <v>0</v>
      </c>
      <c r="P668" t="n">
        <v>0</v>
      </c>
      <c r="Q668" t="n">
        <v>0</v>
      </c>
      <c r="R668" s="2" t="inlineStr"/>
    </row>
    <row r="669" ht="15" customHeight="1">
      <c r="A669" t="inlineStr">
        <is>
          <t>A 8877-2022</t>
        </is>
      </c>
      <c r="B669" s="1" t="n">
        <v>44614</v>
      </c>
      <c r="C669" s="1" t="n">
        <v>45708</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8933-2022</t>
        </is>
      </c>
      <c r="B670" s="1" t="n">
        <v>44614</v>
      </c>
      <c r="C670" s="1" t="n">
        <v>45708</v>
      </c>
      <c r="D670" t="inlineStr">
        <is>
          <t>UPPSALA LÄN</t>
        </is>
      </c>
      <c r="E670" t="inlineStr">
        <is>
          <t>UPPSALA</t>
        </is>
      </c>
      <c r="F670" t="inlineStr">
        <is>
          <t>Holmen skog AB</t>
        </is>
      </c>
      <c r="G670" t="n">
        <v>3.6</v>
      </c>
      <c r="H670" t="n">
        <v>0</v>
      </c>
      <c r="I670" t="n">
        <v>0</v>
      </c>
      <c r="J670" t="n">
        <v>0</v>
      </c>
      <c r="K670" t="n">
        <v>0</v>
      </c>
      <c r="L670" t="n">
        <v>0</v>
      </c>
      <c r="M670" t="n">
        <v>0</v>
      </c>
      <c r="N670" t="n">
        <v>0</v>
      </c>
      <c r="O670" t="n">
        <v>0</v>
      </c>
      <c r="P670" t="n">
        <v>0</v>
      </c>
      <c r="Q670" t="n">
        <v>0</v>
      </c>
      <c r="R670" s="2" t="inlineStr"/>
    </row>
    <row r="671" ht="15" customHeight="1">
      <c r="A671" t="inlineStr">
        <is>
          <t>A 9206-2022</t>
        </is>
      </c>
      <c r="B671" s="1" t="n">
        <v>44616</v>
      </c>
      <c r="C671" s="1" t="n">
        <v>45708</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9242-2022</t>
        </is>
      </c>
      <c r="B672" s="1" t="n">
        <v>44616</v>
      </c>
      <c r="C672" s="1" t="n">
        <v>45708</v>
      </c>
      <c r="D672" t="inlineStr">
        <is>
          <t>UPPSALA LÄN</t>
        </is>
      </c>
      <c r="E672" t="inlineStr">
        <is>
          <t>UPPSALA</t>
        </is>
      </c>
      <c r="F672" t="inlineStr">
        <is>
          <t>Övriga Aktiebolag</t>
        </is>
      </c>
      <c r="G672" t="n">
        <v>5.9</v>
      </c>
      <c r="H672" t="n">
        <v>0</v>
      </c>
      <c r="I672" t="n">
        <v>0</v>
      </c>
      <c r="J672" t="n">
        <v>0</v>
      </c>
      <c r="K672" t="n">
        <v>0</v>
      </c>
      <c r="L672" t="n">
        <v>0</v>
      </c>
      <c r="M672" t="n">
        <v>0</v>
      </c>
      <c r="N672" t="n">
        <v>0</v>
      </c>
      <c r="O672" t="n">
        <v>0</v>
      </c>
      <c r="P672" t="n">
        <v>0</v>
      </c>
      <c r="Q672" t="n">
        <v>0</v>
      </c>
      <c r="R672" s="2" t="inlineStr"/>
    </row>
    <row r="673" ht="15" customHeight="1">
      <c r="A673" t="inlineStr">
        <is>
          <t>A 9592-2022</t>
        </is>
      </c>
      <c r="B673" s="1" t="n">
        <v>44617</v>
      </c>
      <c r="C673" s="1" t="n">
        <v>45708</v>
      </c>
      <c r="D673" t="inlineStr">
        <is>
          <t>UPPSALA LÄN</t>
        </is>
      </c>
      <c r="E673" t="inlineStr">
        <is>
          <t>UPPSALA</t>
        </is>
      </c>
      <c r="G673" t="n">
        <v>7.5</v>
      </c>
      <c r="H673" t="n">
        <v>0</v>
      </c>
      <c r="I673" t="n">
        <v>0</v>
      </c>
      <c r="J673" t="n">
        <v>0</v>
      </c>
      <c r="K673" t="n">
        <v>0</v>
      </c>
      <c r="L673" t="n">
        <v>0</v>
      </c>
      <c r="M673" t="n">
        <v>0</v>
      </c>
      <c r="N673" t="n">
        <v>0</v>
      </c>
      <c r="O673" t="n">
        <v>0</v>
      </c>
      <c r="P673" t="n">
        <v>0</v>
      </c>
      <c r="Q673" t="n">
        <v>0</v>
      </c>
      <c r="R673" s="2" t="inlineStr"/>
    </row>
    <row r="674" ht="15" customHeight="1">
      <c r="A674" t="inlineStr">
        <is>
          <t>A 10411-2022</t>
        </is>
      </c>
      <c r="B674" s="1" t="n">
        <v>44623</v>
      </c>
      <c r="C674" s="1" t="n">
        <v>45708</v>
      </c>
      <c r="D674" t="inlineStr">
        <is>
          <t>UPPSALA LÄN</t>
        </is>
      </c>
      <c r="E674" t="inlineStr">
        <is>
          <t>UPPSALA</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10383-2022</t>
        </is>
      </c>
      <c r="B675" s="1" t="n">
        <v>44623</v>
      </c>
      <c r="C675" s="1" t="n">
        <v>45708</v>
      </c>
      <c r="D675" t="inlineStr">
        <is>
          <t>UPPSALA LÄN</t>
        </is>
      </c>
      <c r="E675" t="inlineStr">
        <is>
          <t>UPPSALA</t>
        </is>
      </c>
      <c r="F675" t="inlineStr">
        <is>
          <t>Övriga Aktiebolag</t>
        </is>
      </c>
      <c r="G675" t="n">
        <v>2.8</v>
      </c>
      <c r="H675" t="n">
        <v>0</v>
      </c>
      <c r="I675" t="n">
        <v>0</v>
      </c>
      <c r="J675" t="n">
        <v>0</v>
      </c>
      <c r="K675" t="n">
        <v>0</v>
      </c>
      <c r="L675" t="n">
        <v>0</v>
      </c>
      <c r="M675" t="n">
        <v>0</v>
      </c>
      <c r="N675" t="n">
        <v>0</v>
      </c>
      <c r="O675" t="n">
        <v>0</v>
      </c>
      <c r="P675" t="n">
        <v>0</v>
      </c>
      <c r="Q675" t="n">
        <v>0</v>
      </c>
      <c r="R675" s="2" t="inlineStr"/>
    </row>
    <row r="676" ht="15" customHeight="1">
      <c r="A676" t="inlineStr">
        <is>
          <t>A 10456-2022</t>
        </is>
      </c>
      <c r="B676" s="1" t="n">
        <v>44623</v>
      </c>
      <c r="C676" s="1" t="n">
        <v>45708</v>
      </c>
      <c r="D676" t="inlineStr">
        <is>
          <t>UPPSALA LÄN</t>
        </is>
      </c>
      <c r="E676" t="inlineStr">
        <is>
          <t>UPPSALA</t>
        </is>
      </c>
      <c r="F676" t="inlineStr">
        <is>
          <t>Övriga Aktiebolag</t>
        </is>
      </c>
      <c r="G676" t="n">
        <v>12.6</v>
      </c>
      <c r="H676" t="n">
        <v>0</v>
      </c>
      <c r="I676" t="n">
        <v>0</v>
      </c>
      <c r="J676" t="n">
        <v>0</v>
      </c>
      <c r="K676" t="n">
        <v>0</v>
      </c>
      <c r="L676" t="n">
        <v>0</v>
      </c>
      <c r="M676" t="n">
        <v>0</v>
      </c>
      <c r="N676" t="n">
        <v>0</v>
      </c>
      <c r="O676" t="n">
        <v>0</v>
      </c>
      <c r="P676" t="n">
        <v>0</v>
      </c>
      <c r="Q676" t="n">
        <v>0</v>
      </c>
      <c r="R676" s="2" t="inlineStr"/>
    </row>
    <row r="677" ht="15" customHeight="1">
      <c r="A677" t="inlineStr">
        <is>
          <t>A 10464-2022</t>
        </is>
      </c>
      <c r="B677" s="1" t="n">
        <v>44623</v>
      </c>
      <c r="C677" s="1" t="n">
        <v>45708</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10565-2022</t>
        </is>
      </c>
      <c r="B678" s="1" t="n">
        <v>44624</v>
      </c>
      <c r="C678" s="1" t="n">
        <v>45708</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10674-2022</t>
        </is>
      </c>
      <c r="B679" s="1" t="n">
        <v>44624</v>
      </c>
      <c r="C679" s="1" t="n">
        <v>45708</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11162-2022</t>
        </is>
      </c>
      <c r="B680" s="1" t="n">
        <v>44629</v>
      </c>
      <c r="C680" s="1" t="n">
        <v>45708</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11224-2022</t>
        </is>
      </c>
      <c r="B681" s="1" t="n">
        <v>44629</v>
      </c>
      <c r="C681" s="1" t="n">
        <v>45708</v>
      </c>
      <c r="D681" t="inlineStr">
        <is>
          <t>UPPSALA LÄN</t>
        </is>
      </c>
      <c r="E681" t="inlineStr">
        <is>
          <t>UPPSALA</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11787-2022</t>
        </is>
      </c>
      <c r="B682" s="1" t="n">
        <v>44634</v>
      </c>
      <c r="C682" s="1" t="n">
        <v>45708</v>
      </c>
      <c r="D682" t="inlineStr">
        <is>
          <t>UPPSALA LÄN</t>
        </is>
      </c>
      <c r="E682" t="inlineStr">
        <is>
          <t>UPPSALA</t>
        </is>
      </c>
      <c r="F682" t="inlineStr">
        <is>
          <t>Holmen skog AB</t>
        </is>
      </c>
      <c r="G682" t="n">
        <v>6.2</v>
      </c>
      <c r="H682" t="n">
        <v>0</v>
      </c>
      <c r="I682" t="n">
        <v>0</v>
      </c>
      <c r="J682" t="n">
        <v>0</v>
      </c>
      <c r="K682" t="n">
        <v>0</v>
      </c>
      <c r="L682" t="n">
        <v>0</v>
      </c>
      <c r="M682" t="n">
        <v>0</v>
      </c>
      <c r="N682" t="n">
        <v>0</v>
      </c>
      <c r="O682" t="n">
        <v>0</v>
      </c>
      <c r="P682" t="n">
        <v>0</v>
      </c>
      <c r="Q682" t="n">
        <v>0</v>
      </c>
      <c r="R682" s="2" t="inlineStr"/>
    </row>
    <row r="683" ht="15" customHeight="1">
      <c r="A683" t="inlineStr">
        <is>
          <t>A 11693-2022</t>
        </is>
      </c>
      <c r="B683" s="1" t="n">
        <v>44634</v>
      </c>
      <c r="C683" s="1" t="n">
        <v>45708</v>
      </c>
      <c r="D683" t="inlineStr">
        <is>
          <t>UPPSALA LÄN</t>
        </is>
      </c>
      <c r="E683" t="inlineStr">
        <is>
          <t>UPPSALA</t>
        </is>
      </c>
      <c r="G683" t="n">
        <v>4</v>
      </c>
      <c r="H683" t="n">
        <v>0</v>
      </c>
      <c r="I683" t="n">
        <v>0</v>
      </c>
      <c r="J683" t="n">
        <v>0</v>
      </c>
      <c r="K683" t="n">
        <v>0</v>
      </c>
      <c r="L683" t="n">
        <v>0</v>
      </c>
      <c r="M683" t="n">
        <v>0</v>
      </c>
      <c r="N683" t="n">
        <v>0</v>
      </c>
      <c r="O683" t="n">
        <v>0</v>
      </c>
      <c r="P683" t="n">
        <v>0</v>
      </c>
      <c r="Q683" t="n">
        <v>0</v>
      </c>
      <c r="R683" s="2" t="inlineStr"/>
    </row>
    <row r="684" ht="15" customHeight="1">
      <c r="A684" t="inlineStr">
        <is>
          <t>A 12221-2022</t>
        </is>
      </c>
      <c r="B684" s="1" t="n">
        <v>44637</v>
      </c>
      <c r="C684" s="1" t="n">
        <v>45708</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12293-2022</t>
        </is>
      </c>
      <c r="B685" s="1" t="n">
        <v>44637</v>
      </c>
      <c r="C685" s="1" t="n">
        <v>45708</v>
      </c>
      <c r="D685" t="inlineStr">
        <is>
          <t>UPPSALA LÄN</t>
        </is>
      </c>
      <c r="E685" t="inlineStr">
        <is>
          <t>UPPSALA</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13009-2022</t>
        </is>
      </c>
      <c r="B686" s="1" t="n">
        <v>44643</v>
      </c>
      <c r="C686" s="1" t="n">
        <v>45708</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13134-2022</t>
        </is>
      </c>
      <c r="B687" s="1" t="n">
        <v>44644</v>
      </c>
      <c r="C687" s="1" t="n">
        <v>45708</v>
      </c>
      <c r="D687" t="inlineStr">
        <is>
          <t>UPPSALA LÄN</t>
        </is>
      </c>
      <c r="E687" t="inlineStr">
        <is>
          <t>UPPSALA</t>
        </is>
      </c>
      <c r="F687" t="inlineStr">
        <is>
          <t>Övriga Aktiebolag</t>
        </is>
      </c>
      <c r="G687" t="n">
        <v>3.2</v>
      </c>
      <c r="H687" t="n">
        <v>0</v>
      </c>
      <c r="I687" t="n">
        <v>0</v>
      </c>
      <c r="J687" t="n">
        <v>0</v>
      </c>
      <c r="K687" t="n">
        <v>0</v>
      </c>
      <c r="L687" t="n">
        <v>0</v>
      </c>
      <c r="M687" t="n">
        <v>0</v>
      </c>
      <c r="N687" t="n">
        <v>0</v>
      </c>
      <c r="O687" t="n">
        <v>0</v>
      </c>
      <c r="P687" t="n">
        <v>0</v>
      </c>
      <c r="Q687" t="n">
        <v>0</v>
      </c>
      <c r="R687" s="2" t="inlineStr"/>
    </row>
    <row r="688" ht="15" customHeight="1">
      <c r="A688" t="inlineStr">
        <is>
          <t>A 13128-2022</t>
        </is>
      </c>
      <c r="B688" s="1" t="n">
        <v>44644</v>
      </c>
      <c r="C688" s="1" t="n">
        <v>45708</v>
      </c>
      <c r="D688" t="inlineStr">
        <is>
          <t>UPPSALA LÄN</t>
        </is>
      </c>
      <c r="E688" t="inlineStr">
        <is>
          <t>UPPSALA</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13386-2022</t>
        </is>
      </c>
      <c r="B689" s="1" t="n">
        <v>44645</v>
      </c>
      <c r="C689" s="1" t="n">
        <v>45708</v>
      </c>
      <c r="D689" t="inlineStr">
        <is>
          <t>UPPSALA LÄN</t>
        </is>
      </c>
      <c r="E689" t="inlineStr">
        <is>
          <t>UPPSALA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13343-2022</t>
        </is>
      </c>
      <c r="B690" s="1" t="n">
        <v>44645</v>
      </c>
      <c r="C690" s="1" t="n">
        <v>45708</v>
      </c>
      <c r="D690" t="inlineStr">
        <is>
          <t>UPPSALA LÄN</t>
        </is>
      </c>
      <c r="E690" t="inlineStr">
        <is>
          <t>UPPSALA</t>
        </is>
      </c>
      <c r="F690" t="inlineStr">
        <is>
          <t>Övriga Aktiebolag</t>
        </is>
      </c>
      <c r="G690" t="n">
        <v>1.9</v>
      </c>
      <c r="H690" t="n">
        <v>0</v>
      </c>
      <c r="I690" t="n">
        <v>0</v>
      </c>
      <c r="J690" t="n">
        <v>0</v>
      </c>
      <c r="K690" t="n">
        <v>0</v>
      </c>
      <c r="L690" t="n">
        <v>0</v>
      </c>
      <c r="M690" t="n">
        <v>0</v>
      </c>
      <c r="N690" t="n">
        <v>0</v>
      </c>
      <c r="O690" t="n">
        <v>0</v>
      </c>
      <c r="P690" t="n">
        <v>0</v>
      </c>
      <c r="Q690" t="n">
        <v>0</v>
      </c>
      <c r="R690" s="2" t="inlineStr"/>
    </row>
    <row r="691" ht="15" customHeight="1">
      <c r="A691" t="inlineStr">
        <is>
          <t>A 13892-2022</t>
        </is>
      </c>
      <c r="B691" s="1" t="n">
        <v>44649</v>
      </c>
      <c r="C691" s="1" t="n">
        <v>45708</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13901-2022</t>
        </is>
      </c>
      <c r="B692" s="1" t="n">
        <v>44649</v>
      </c>
      <c r="C692" s="1" t="n">
        <v>45708</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14337-2022</t>
        </is>
      </c>
      <c r="B693" s="1" t="n">
        <v>44652</v>
      </c>
      <c r="C693" s="1" t="n">
        <v>45708</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14355-2022</t>
        </is>
      </c>
      <c r="B694" s="1" t="n">
        <v>44652</v>
      </c>
      <c r="C694" s="1" t="n">
        <v>45708</v>
      </c>
      <c r="D694" t="inlineStr">
        <is>
          <t>UPPSALA LÄN</t>
        </is>
      </c>
      <c r="E694" t="inlineStr">
        <is>
          <t>UPPSALA</t>
        </is>
      </c>
      <c r="F694" t="inlineStr">
        <is>
          <t>Bergvik skog öst AB</t>
        </is>
      </c>
      <c r="G694" t="n">
        <v>7.8</v>
      </c>
      <c r="H694" t="n">
        <v>0</v>
      </c>
      <c r="I694" t="n">
        <v>0</v>
      </c>
      <c r="J694" t="n">
        <v>0</v>
      </c>
      <c r="K694" t="n">
        <v>0</v>
      </c>
      <c r="L694" t="n">
        <v>0</v>
      </c>
      <c r="M694" t="n">
        <v>0</v>
      </c>
      <c r="N694" t="n">
        <v>0</v>
      </c>
      <c r="O694" t="n">
        <v>0</v>
      </c>
      <c r="P694" t="n">
        <v>0</v>
      </c>
      <c r="Q694" t="n">
        <v>0</v>
      </c>
      <c r="R694" s="2" t="inlineStr"/>
    </row>
    <row r="695" ht="15" customHeight="1">
      <c r="A695" t="inlineStr">
        <is>
          <t>A 14340-2022</t>
        </is>
      </c>
      <c r="B695" s="1" t="n">
        <v>44652</v>
      </c>
      <c r="C695" s="1" t="n">
        <v>45708</v>
      </c>
      <c r="D695" t="inlineStr">
        <is>
          <t>UPPSALA LÄN</t>
        </is>
      </c>
      <c r="E695" t="inlineStr">
        <is>
          <t>UPPSALA</t>
        </is>
      </c>
      <c r="F695" t="inlineStr">
        <is>
          <t>Bergvik skog öst AB</t>
        </is>
      </c>
      <c r="G695" t="n">
        <v>4</v>
      </c>
      <c r="H695" t="n">
        <v>0</v>
      </c>
      <c r="I695" t="n">
        <v>0</v>
      </c>
      <c r="J695" t="n">
        <v>0</v>
      </c>
      <c r="K695" t="n">
        <v>0</v>
      </c>
      <c r="L695" t="n">
        <v>0</v>
      </c>
      <c r="M695" t="n">
        <v>0</v>
      </c>
      <c r="N695" t="n">
        <v>0</v>
      </c>
      <c r="O695" t="n">
        <v>0</v>
      </c>
      <c r="P695" t="n">
        <v>0</v>
      </c>
      <c r="Q695" t="n">
        <v>0</v>
      </c>
      <c r="R695" s="2" t="inlineStr"/>
    </row>
    <row r="696" ht="15" customHeight="1">
      <c r="A696" t="inlineStr">
        <is>
          <t>A 14622-2022</t>
        </is>
      </c>
      <c r="B696" s="1" t="n">
        <v>44655</v>
      </c>
      <c r="C696" s="1" t="n">
        <v>45708</v>
      </c>
      <c r="D696" t="inlineStr">
        <is>
          <t>UPPSALA LÄN</t>
        </is>
      </c>
      <c r="E696" t="inlineStr">
        <is>
          <t>UPPSALA</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15436-2022</t>
        </is>
      </c>
      <c r="B697" s="1" t="n">
        <v>44659</v>
      </c>
      <c r="C697" s="1" t="n">
        <v>45708</v>
      </c>
      <c r="D697" t="inlineStr">
        <is>
          <t>UPPSALA LÄN</t>
        </is>
      </c>
      <c r="E697" t="inlineStr">
        <is>
          <t>UPPSALA</t>
        </is>
      </c>
      <c r="G697" t="n">
        <v>14.4</v>
      </c>
      <c r="H697" t="n">
        <v>0</v>
      </c>
      <c r="I697" t="n">
        <v>0</v>
      </c>
      <c r="J697" t="n">
        <v>0</v>
      </c>
      <c r="K697" t="n">
        <v>0</v>
      </c>
      <c r="L697" t="n">
        <v>0</v>
      </c>
      <c r="M697" t="n">
        <v>0</v>
      </c>
      <c r="N697" t="n">
        <v>0</v>
      </c>
      <c r="O697" t="n">
        <v>0</v>
      </c>
      <c r="P697" t="n">
        <v>0</v>
      </c>
      <c r="Q697" t="n">
        <v>0</v>
      </c>
      <c r="R697" s="2" t="inlineStr"/>
    </row>
    <row r="698" ht="15" customHeight="1">
      <c r="A698" t="inlineStr">
        <is>
          <t>A 15377-2022</t>
        </is>
      </c>
      <c r="B698" s="1" t="n">
        <v>44659</v>
      </c>
      <c r="C698" s="1" t="n">
        <v>45708</v>
      </c>
      <c r="D698" t="inlineStr">
        <is>
          <t>UPPSALA LÄN</t>
        </is>
      </c>
      <c r="E698" t="inlineStr">
        <is>
          <t>UPPSALA</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15310-2022</t>
        </is>
      </c>
      <c r="B699" s="1" t="n">
        <v>44659</v>
      </c>
      <c r="C699" s="1" t="n">
        <v>45708</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15583-2022</t>
        </is>
      </c>
      <c r="B700" s="1" t="n">
        <v>44662</v>
      </c>
      <c r="C700" s="1" t="n">
        <v>45708</v>
      </c>
      <c r="D700" t="inlineStr">
        <is>
          <t>UPPSALA LÄN</t>
        </is>
      </c>
      <c r="E700" t="inlineStr">
        <is>
          <t>UPPSALA</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15735-2022</t>
        </is>
      </c>
      <c r="B701" s="1" t="n">
        <v>44663</v>
      </c>
      <c r="C701" s="1" t="n">
        <v>45708</v>
      </c>
      <c r="D701" t="inlineStr">
        <is>
          <t>UPPSALA LÄN</t>
        </is>
      </c>
      <c r="E701" t="inlineStr">
        <is>
          <t>UPPSALA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16126-2022</t>
        </is>
      </c>
      <c r="B702" s="1" t="n">
        <v>44665</v>
      </c>
      <c r="C702" s="1" t="n">
        <v>45708</v>
      </c>
      <c r="D702" t="inlineStr">
        <is>
          <t>UPPSALA LÄN</t>
        </is>
      </c>
      <c r="E702" t="inlineStr">
        <is>
          <t>UPPSALA</t>
        </is>
      </c>
      <c r="F702" t="inlineStr">
        <is>
          <t>Bergvik skog öst AB</t>
        </is>
      </c>
      <c r="G702" t="n">
        <v>4.4</v>
      </c>
      <c r="H702" t="n">
        <v>0</v>
      </c>
      <c r="I702" t="n">
        <v>0</v>
      </c>
      <c r="J702" t="n">
        <v>0</v>
      </c>
      <c r="K702" t="n">
        <v>0</v>
      </c>
      <c r="L702" t="n">
        <v>0</v>
      </c>
      <c r="M702" t="n">
        <v>0</v>
      </c>
      <c r="N702" t="n">
        <v>0</v>
      </c>
      <c r="O702" t="n">
        <v>0</v>
      </c>
      <c r="P702" t="n">
        <v>0</v>
      </c>
      <c r="Q702" t="n">
        <v>0</v>
      </c>
      <c r="R702" s="2" t="inlineStr"/>
    </row>
    <row r="703" ht="15" customHeight="1">
      <c r="A703" t="inlineStr">
        <is>
          <t>A 16804-2022</t>
        </is>
      </c>
      <c r="B703" s="1" t="n">
        <v>44673</v>
      </c>
      <c r="C703" s="1" t="n">
        <v>45708</v>
      </c>
      <c r="D703" t="inlineStr">
        <is>
          <t>UPPSALA LÄN</t>
        </is>
      </c>
      <c r="E703" t="inlineStr">
        <is>
          <t>UPPSALA</t>
        </is>
      </c>
      <c r="F703" t="inlineStr">
        <is>
          <t>Bergvik skog öst AB</t>
        </is>
      </c>
      <c r="G703" t="n">
        <v>3.5</v>
      </c>
      <c r="H703" t="n">
        <v>0</v>
      </c>
      <c r="I703" t="n">
        <v>0</v>
      </c>
      <c r="J703" t="n">
        <v>0</v>
      </c>
      <c r="K703" t="n">
        <v>0</v>
      </c>
      <c r="L703" t="n">
        <v>0</v>
      </c>
      <c r="M703" t="n">
        <v>0</v>
      </c>
      <c r="N703" t="n">
        <v>0</v>
      </c>
      <c r="O703" t="n">
        <v>0</v>
      </c>
      <c r="P703" t="n">
        <v>0</v>
      </c>
      <c r="Q703" t="n">
        <v>0</v>
      </c>
      <c r="R703" s="2" t="inlineStr"/>
    </row>
    <row r="704" ht="15" customHeight="1">
      <c r="A704" t="inlineStr">
        <is>
          <t>A 16828-2022</t>
        </is>
      </c>
      <c r="B704" s="1" t="n">
        <v>44673</v>
      </c>
      <c r="C704" s="1" t="n">
        <v>45708</v>
      </c>
      <c r="D704" t="inlineStr">
        <is>
          <t>UPPSALA LÄN</t>
        </is>
      </c>
      <c r="E704" t="inlineStr">
        <is>
          <t>UPPSALA</t>
        </is>
      </c>
      <c r="F704" t="inlineStr">
        <is>
          <t>Bergvik skog öst AB</t>
        </is>
      </c>
      <c r="G704" t="n">
        <v>4.1</v>
      </c>
      <c r="H704" t="n">
        <v>0</v>
      </c>
      <c r="I704" t="n">
        <v>0</v>
      </c>
      <c r="J704" t="n">
        <v>0</v>
      </c>
      <c r="K704" t="n">
        <v>0</v>
      </c>
      <c r="L704" t="n">
        <v>0</v>
      </c>
      <c r="M704" t="n">
        <v>0</v>
      </c>
      <c r="N704" t="n">
        <v>0</v>
      </c>
      <c r="O704" t="n">
        <v>0</v>
      </c>
      <c r="P704" t="n">
        <v>0</v>
      </c>
      <c r="Q704" t="n">
        <v>0</v>
      </c>
      <c r="R704" s="2" t="inlineStr"/>
    </row>
    <row r="705" ht="15" customHeight="1">
      <c r="A705" t="inlineStr">
        <is>
          <t>A 16827-2022</t>
        </is>
      </c>
      <c r="B705" s="1" t="n">
        <v>44673</v>
      </c>
      <c r="C705" s="1" t="n">
        <v>45708</v>
      </c>
      <c r="D705" t="inlineStr">
        <is>
          <t>UPPSALA LÄN</t>
        </is>
      </c>
      <c r="E705" t="inlineStr">
        <is>
          <t>UPPSALA</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16831-2022</t>
        </is>
      </c>
      <c r="B706" s="1" t="n">
        <v>44673</v>
      </c>
      <c r="C706" s="1" t="n">
        <v>45708</v>
      </c>
      <c r="D706" t="inlineStr">
        <is>
          <t>UPPSALA LÄN</t>
        </is>
      </c>
      <c r="E706" t="inlineStr">
        <is>
          <t>UPPSALA</t>
        </is>
      </c>
      <c r="F706" t="inlineStr">
        <is>
          <t>Bergvik skog öst AB</t>
        </is>
      </c>
      <c r="G706" t="n">
        <v>5.8</v>
      </c>
      <c r="H706" t="n">
        <v>0</v>
      </c>
      <c r="I706" t="n">
        <v>0</v>
      </c>
      <c r="J706" t="n">
        <v>0</v>
      </c>
      <c r="K706" t="n">
        <v>0</v>
      </c>
      <c r="L706" t="n">
        <v>0</v>
      </c>
      <c r="M706" t="n">
        <v>0</v>
      </c>
      <c r="N706" t="n">
        <v>0</v>
      </c>
      <c r="O706" t="n">
        <v>0</v>
      </c>
      <c r="P706" t="n">
        <v>0</v>
      </c>
      <c r="Q706" t="n">
        <v>0</v>
      </c>
      <c r="R706" s="2" t="inlineStr"/>
    </row>
    <row r="707" ht="15" customHeight="1">
      <c r="A707" t="inlineStr">
        <is>
          <t>A 16826-2022</t>
        </is>
      </c>
      <c r="B707" s="1" t="n">
        <v>44673</v>
      </c>
      <c r="C707" s="1" t="n">
        <v>45708</v>
      </c>
      <c r="D707" t="inlineStr">
        <is>
          <t>UPPSALA LÄN</t>
        </is>
      </c>
      <c r="E707" t="inlineStr">
        <is>
          <t>UPPSALA</t>
        </is>
      </c>
      <c r="F707" t="inlineStr">
        <is>
          <t>Bergvik skog öst AB</t>
        </is>
      </c>
      <c r="G707" t="n">
        <v>7.1</v>
      </c>
      <c r="H707" t="n">
        <v>0</v>
      </c>
      <c r="I707" t="n">
        <v>0</v>
      </c>
      <c r="J707" t="n">
        <v>0</v>
      </c>
      <c r="K707" t="n">
        <v>0</v>
      </c>
      <c r="L707" t="n">
        <v>0</v>
      </c>
      <c r="M707" t="n">
        <v>0</v>
      </c>
      <c r="N707" t="n">
        <v>0</v>
      </c>
      <c r="O707" t="n">
        <v>0</v>
      </c>
      <c r="P707" t="n">
        <v>0</v>
      </c>
      <c r="Q707" t="n">
        <v>0</v>
      </c>
      <c r="R707" s="2" t="inlineStr"/>
    </row>
    <row r="708" ht="15" customHeight="1">
      <c r="A708" t="inlineStr">
        <is>
          <t>A 16761-2022</t>
        </is>
      </c>
      <c r="B708" s="1" t="n">
        <v>44673</v>
      </c>
      <c r="C708" s="1" t="n">
        <v>45708</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16942-2022</t>
        </is>
      </c>
      <c r="B709" s="1" t="n">
        <v>44676</v>
      </c>
      <c r="C709" s="1" t="n">
        <v>45708</v>
      </c>
      <c r="D709" t="inlineStr">
        <is>
          <t>UPPSALA LÄN</t>
        </is>
      </c>
      <c r="E709" t="inlineStr">
        <is>
          <t>UPPSALA</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16892-2022</t>
        </is>
      </c>
      <c r="B710" s="1" t="n">
        <v>44676</v>
      </c>
      <c r="C710" s="1" t="n">
        <v>45708</v>
      </c>
      <c r="D710" t="inlineStr">
        <is>
          <t>UPPSALA LÄN</t>
        </is>
      </c>
      <c r="E710" t="inlineStr">
        <is>
          <t>UPPSALA</t>
        </is>
      </c>
      <c r="F710" t="inlineStr">
        <is>
          <t>Bergvik skog öst AB</t>
        </is>
      </c>
      <c r="G710" t="n">
        <v>1.7</v>
      </c>
      <c r="H710" t="n">
        <v>0</v>
      </c>
      <c r="I710" t="n">
        <v>0</v>
      </c>
      <c r="J710" t="n">
        <v>0</v>
      </c>
      <c r="K710" t="n">
        <v>0</v>
      </c>
      <c r="L710" t="n">
        <v>0</v>
      </c>
      <c r="M710" t="n">
        <v>0</v>
      </c>
      <c r="N710" t="n">
        <v>0</v>
      </c>
      <c r="O710" t="n">
        <v>0</v>
      </c>
      <c r="P710" t="n">
        <v>0</v>
      </c>
      <c r="Q710" t="n">
        <v>0</v>
      </c>
      <c r="R710" s="2" t="inlineStr"/>
    </row>
    <row r="711" ht="15" customHeight="1">
      <c r="A711" t="inlineStr">
        <is>
          <t>A 16978-2022</t>
        </is>
      </c>
      <c r="B711" s="1" t="n">
        <v>44676</v>
      </c>
      <c r="C711" s="1" t="n">
        <v>45708</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16898-2022</t>
        </is>
      </c>
      <c r="B712" s="1" t="n">
        <v>44676</v>
      </c>
      <c r="C712" s="1" t="n">
        <v>45708</v>
      </c>
      <c r="D712" t="inlineStr">
        <is>
          <t>UPPSALA LÄN</t>
        </is>
      </c>
      <c r="E712" t="inlineStr">
        <is>
          <t>UPPSALA</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17232-2022</t>
        </is>
      </c>
      <c r="B713" s="1" t="n">
        <v>44678</v>
      </c>
      <c r="C713" s="1" t="n">
        <v>45708</v>
      </c>
      <c r="D713" t="inlineStr">
        <is>
          <t>UPPSALA LÄN</t>
        </is>
      </c>
      <c r="E713" t="inlineStr">
        <is>
          <t>UPPSALA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17562-2022</t>
        </is>
      </c>
      <c r="B714" s="1" t="n">
        <v>44679</v>
      </c>
      <c r="C714" s="1" t="n">
        <v>45708</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17558-2022</t>
        </is>
      </c>
      <c r="B715" s="1" t="n">
        <v>44679</v>
      </c>
      <c r="C715" s="1" t="n">
        <v>45708</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17981-2022</t>
        </is>
      </c>
      <c r="B716" s="1" t="n">
        <v>44683</v>
      </c>
      <c r="C716" s="1" t="n">
        <v>45708</v>
      </c>
      <c r="D716" t="inlineStr">
        <is>
          <t>UPPSALA LÄN</t>
        </is>
      </c>
      <c r="E716" t="inlineStr">
        <is>
          <t>UPPSALA</t>
        </is>
      </c>
      <c r="F716" t="inlineStr">
        <is>
          <t>Bergvik skog öst AB</t>
        </is>
      </c>
      <c r="G716" t="n">
        <v>6.7</v>
      </c>
      <c r="H716" t="n">
        <v>0</v>
      </c>
      <c r="I716" t="n">
        <v>0</v>
      </c>
      <c r="J716" t="n">
        <v>0</v>
      </c>
      <c r="K716" t="n">
        <v>0</v>
      </c>
      <c r="L716" t="n">
        <v>0</v>
      </c>
      <c r="M716" t="n">
        <v>0</v>
      </c>
      <c r="N716" t="n">
        <v>0</v>
      </c>
      <c r="O716" t="n">
        <v>0</v>
      </c>
      <c r="P716" t="n">
        <v>0</v>
      </c>
      <c r="Q716" t="n">
        <v>0</v>
      </c>
      <c r="R716" s="2" t="inlineStr"/>
    </row>
    <row r="717" ht="15" customHeight="1">
      <c r="A717" t="inlineStr">
        <is>
          <t>A 18330-2022</t>
        </is>
      </c>
      <c r="B717" s="1" t="n">
        <v>44685</v>
      </c>
      <c r="C717" s="1" t="n">
        <v>45708</v>
      </c>
      <c r="D717" t="inlineStr">
        <is>
          <t>UPPSALA LÄN</t>
        </is>
      </c>
      <c r="E717" t="inlineStr">
        <is>
          <t>UPPSALA</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18521-2022</t>
        </is>
      </c>
      <c r="B718" s="1" t="n">
        <v>44686</v>
      </c>
      <c r="C718" s="1" t="n">
        <v>45708</v>
      </c>
      <c r="D718" t="inlineStr">
        <is>
          <t>UPPSALA LÄN</t>
        </is>
      </c>
      <c r="E718" t="inlineStr">
        <is>
          <t>UPPSALA</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18583-2022</t>
        </is>
      </c>
      <c r="B719" s="1" t="n">
        <v>44687</v>
      </c>
      <c r="C719" s="1" t="n">
        <v>45708</v>
      </c>
      <c r="D719" t="inlineStr">
        <is>
          <t>UPPSALA LÄN</t>
        </is>
      </c>
      <c r="E719" t="inlineStr">
        <is>
          <t>UPPSALA</t>
        </is>
      </c>
      <c r="F719" t="inlineStr">
        <is>
          <t>Övriga Aktiebolag</t>
        </is>
      </c>
      <c r="G719" t="n">
        <v>6.4</v>
      </c>
      <c r="H719" t="n">
        <v>0</v>
      </c>
      <c r="I719" t="n">
        <v>0</v>
      </c>
      <c r="J719" t="n">
        <v>0</v>
      </c>
      <c r="K719" t="n">
        <v>0</v>
      </c>
      <c r="L719" t="n">
        <v>0</v>
      </c>
      <c r="M719" t="n">
        <v>0</v>
      </c>
      <c r="N719" t="n">
        <v>0</v>
      </c>
      <c r="O719" t="n">
        <v>0</v>
      </c>
      <c r="P719" t="n">
        <v>0</v>
      </c>
      <c r="Q719" t="n">
        <v>0</v>
      </c>
      <c r="R719" s="2" t="inlineStr"/>
    </row>
    <row r="720" ht="15" customHeight="1">
      <c r="A720" t="inlineStr">
        <is>
          <t>A 18960-2022</t>
        </is>
      </c>
      <c r="B720" s="1" t="n">
        <v>44690</v>
      </c>
      <c r="C720" s="1" t="n">
        <v>45708</v>
      </c>
      <c r="D720" t="inlineStr">
        <is>
          <t>UPPSALA LÄN</t>
        </is>
      </c>
      <c r="E720" t="inlineStr">
        <is>
          <t>UPPSALA</t>
        </is>
      </c>
      <c r="F720" t="inlineStr">
        <is>
          <t>Bergvik skog öst AB</t>
        </is>
      </c>
      <c r="G720" t="n">
        <v>2.7</v>
      </c>
      <c r="H720" t="n">
        <v>0</v>
      </c>
      <c r="I720" t="n">
        <v>0</v>
      </c>
      <c r="J720" t="n">
        <v>0</v>
      </c>
      <c r="K720" t="n">
        <v>0</v>
      </c>
      <c r="L720" t="n">
        <v>0</v>
      </c>
      <c r="M720" t="n">
        <v>0</v>
      </c>
      <c r="N720" t="n">
        <v>0</v>
      </c>
      <c r="O720" t="n">
        <v>0</v>
      </c>
      <c r="P720" t="n">
        <v>0</v>
      </c>
      <c r="Q720" t="n">
        <v>0</v>
      </c>
      <c r="R720" s="2" t="inlineStr"/>
    </row>
    <row r="721" ht="15" customHeight="1">
      <c r="A721" t="inlineStr">
        <is>
          <t>A 19034-2022</t>
        </is>
      </c>
      <c r="B721" s="1" t="n">
        <v>44691</v>
      </c>
      <c r="C721" s="1" t="n">
        <v>45708</v>
      </c>
      <c r="D721" t="inlineStr">
        <is>
          <t>UPPSALA LÄN</t>
        </is>
      </c>
      <c r="E721" t="inlineStr">
        <is>
          <t>UPPSALA</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19240-2022</t>
        </is>
      </c>
      <c r="B722" s="1" t="n">
        <v>44692</v>
      </c>
      <c r="C722" s="1" t="n">
        <v>45708</v>
      </c>
      <c r="D722" t="inlineStr">
        <is>
          <t>UPPSALA LÄN</t>
        </is>
      </c>
      <c r="E722" t="inlineStr">
        <is>
          <t>UPPSALA</t>
        </is>
      </c>
      <c r="F722" t="inlineStr">
        <is>
          <t>Bergvik skog öst AB</t>
        </is>
      </c>
      <c r="G722" t="n">
        <v>3.6</v>
      </c>
      <c r="H722" t="n">
        <v>0</v>
      </c>
      <c r="I722" t="n">
        <v>0</v>
      </c>
      <c r="J722" t="n">
        <v>0</v>
      </c>
      <c r="K722" t="n">
        <v>0</v>
      </c>
      <c r="L722" t="n">
        <v>0</v>
      </c>
      <c r="M722" t="n">
        <v>0</v>
      </c>
      <c r="N722" t="n">
        <v>0</v>
      </c>
      <c r="O722" t="n">
        <v>0</v>
      </c>
      <c r="P722" t="n">
        <v>0</v>
      </c>
      <c r="Q722" t="n">
        <v>0</v>
      </c>
      <c r="R722" s="2" t="inlineStr"/>
    </row>
    <row r="723" ht="15" customHeight="1">
      <c r="A723" t="inlineStr">
        <is>
          <t>A 19375-2022</t>
        </is>
      </c>
      <c r="B723" s="1" t="n">
        <v>44692</v>
      </c>
      <c r="C723" s="1" t="n">
        <v>45708</v>
      </c>
      <c r="D723" t="inlineStr">
        <is>
          <t>UPPSALA LÄN</t>
        </is>
      </c>
      <c r="E723" t="inlineStr">
        <is>
          <t>UPPSALA</t>
        </is>
      </c>
      <c r="F723" t="inlineStr">
        <is>
          <t>Bergvik skog öst AB</t>
        </is>
      </c>
      <c r="G723" t="n">
        <v>5</v>
      </c>
      <c r="H723" t="n">
        <v>0</v>
      </c>
      <c r="I723" t="n">
        <v>0</v>
      </c>
      <c r="J723" t="n">
        <v>0</v>
      </c>
      <c r="K723" t="n">
        <v>0</v>
      </c>
      <c r="L723" t="n">
        <v>0</v>
      </c>
      <c r="M723" t="n">
        <v>0</v>
      </c>
      <c r="N723" t="n">
        <v>0</v>
      </c>
      <c r="O723" t="n">
        <v>0</v>
      </c>
      <c r="P723" t="n">
        <v>0</v>
      </c>
      <c r="Q723" t="n">
        <v>0</v>
      </c>
      <c r="R723" s="2" t="inlineStr"/>
    </row>
    <row r="724" ht="15" customHeight="1">
      <c r="A724" t="inlineStr">
        <is>
          <t>A 19380-2022</t>
        </is>
      </c>
      <c r="B724" s="1" t="n">
        <v>44692</v>
      </c>
      <c r="C724" s="1" t="n">
        <v>45708</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19382-2022</t>
        </is>
      </c>
      <c r="B725" s="1" t="n">
        <v>44692</v>
      </c>
      <c r="C725" s="1" t="n">
        <v>45708</v>
      </c>
      <c r="D725" t="inlineStr">
        <is>
          <t>UPPSALA LÄN</t>
        </is>
      </c>
      <c r="E725" t="inlineStr">
        <is>
          <t>UPPSALA</t>
        </is>
      </c>
      <c r="G725" t="n">
        <v>4.3</v>
      </c>
      <c r="H725" t="n">
        <v>0</v>
      </c>
      <c r="I725" t="n">
        <v>0</v>
      </c>
      <c r="J725" t="n">
        <v>0</v>
      </c>
      <c r="K725" t="n">
        <v>0</v>
      </c>
      <c r="L725" t="n">
        <v>0</v>
      </c>
      <c r="M725" t="n">
        <v>0</v>
      </c>
      <c r="N725" t="n">
        <v>0</v>
      </c>
      <c r="O725" t="n">
        <v>0</v>
      </c>
      <c r="P725" t="n">
        <v>0</v>
      </c>
      <c r="Q725" t="n">
        <v>0</v>
      </c>
      <c r="R725" s="2" t="inlineStr"/>
    </row>
    <row r="726" ht="15" customHeight="1">
      <c r="A726" t="inlineStr">
        <is>
          <t>A 20265-2022</t>
        </is>
      </c>
      <c r="B726" s="1" t="n">
        <v>44698</v>
      </c>
      <c r="C726" s="1" t="n">
        <v>45708</v>
      </c>
      <c r="D726" t="inlineStr">
        <is>
          <t>UPPSALA LÄN</t>
        </is>
      </c>
      <c r="E726" t="inlineStr">
        <is>
          <t>UPPSALA</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20497-2022</t>
        </is>
      </c>
      <c r="B727" s="1" t="n">
        <v>44699</v>
      </c>
      <c r="C727" s="1" t="n">
        <v>45708</v>
      </c>
      <c r="D727" t="inlineStr">
        <is>
          <t>UPPSALA LÄN</t>
        </is>
      </c>
      <c r="E727" t="inlineStr">
        <is>
          <t>UPPSALA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20770-2022</t>
        </is>
      </c>
      <c r="B728" s="1" t="n">
        <v>44700</v>
      </c>
      <c r="C728" s="1" t="n">
        <v>45708</v>
      </c>
      <c r="D728" t="inlineStr">
        <is>
          <t>UPPSALA LÄN</t>
        </is>
      </c>
      <c r="E728" t="inlineStr">
        <is>
          <t>UPPSALA</t>
        </is>
      </c>
      <c r="G728" t="n">
        <v>3.7</v>
      </c>
      <c r="H728" t="n">
        <v>0</v>
      </c>
      <c r="I728" t="n">
        <v>0</v>
      </c>
      <c r="J728" t="n">
        <v>0</v>
      </c>
      <c r="K728" t="n">
        <v>0</v>
      </c>
      <c r="L728" t="n">
        <v>0</v>
      </c>
      <c r="M728" t="n">
        <v>0</v>
      </c>
      <c r="N728" t="n">
        <v>0</v>
      </c>
      <c r="O728" t="n">
        <v>0</v>
      </c>
      <c r="P728" t="n">
        <v>0</v>
      </c>
      <c r="Q728" t="n">
        <v>0</v>
      </c>
      <c r="R728" s="2" t="inlineStr"/>
    </row>
    <row r="729" ht="15" customHeight="1">
      <c r="A729" t="inlineStr">
        <is>
          <t>A 20764-2022</t>
        </is>
      </c>
      <c r="B729" s="1" t="n">
        <v>44700</v>
      </c>
      <c r="C729" s="1" t="n">
        <v>45708</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20938-2022</t>
        </is>
      </c>
      <c r="B730" s="1" t="n">
        <v>44701</v>
      </c>
      <c r="C730" s="1" t="n">
        <v>45708</v>
      </c>
      <c r="D730" t="inlineStr">
        <is>
          <t>UPPSALA LÄN</t>
        </is>
      </c>
      <c r="E730" t="inlineStr">
        <is>
          <t>UPPSALA</t>
        </is>
      </c>
      <c r="F730" t="inlineStr">
        <is>
          <t>Bergvik skog öst AB</t>
        </is>
      </c>
      <c r="G730" t="n">
        <v>7.2</v>
      </c>
      <c r="H730" t="n">
        <v>0</v>
      </c>
      <c r="I730" t="n">
        <v>0</v>
      </c>
      <c r="J730" t="n">
        <v>0</v>
      </c>
      <c r="K730" t="n">
        <v>0</v>
      </c>
      <c r="L730" t="n">
        <v>0</v>
      </c>
      <c r="M730" t="n">
        <v>0</v>
      </c>
      <c r="N730" t="n">
        <v>0</v>
      </c>
      <c r="O730" t="n">
        <v>0</v>
      </c>
      <c r="P730" t="n">
        <v>0</v>
      </c>
      <c r="Q730" t="n">
        <v>0</v>
      </c>
      <c r="R730" s="2" t="inlineStr"/>
    </row>
    <row r="731" ht="15" customHeight="1">
      <c r="A731" t="inlineStr">
        <is>
          <t>A 20936-2022</t>
        </is>
      </c>
      <c r="B731" s="1" t="n">
        <v>44701</v>
      </c>
      <c r="C731" s="1" t="n">
        <v>45708</v>
      </c>
      <c r="D731" t="inlineStr">
        <is>
          <t>UPPSALA LÄN</t>
        </is>
      </c>
      <c r="E731" t="inlineStr">
        <is>
          <t>UPPSALA</t>
        </is>
      </c>
      <c r="G731" t="n">
        <v>4.8</v>
      </c>
      <c r="H731" t="n">
        <v>0</v>
      </c>
      <c r="I731" t="n">
        <v>0</v>
      </c>
      <c r="J731" t="n">
        <v>0</v>
      </c>
      <c r="K731" t="n">
        <v>0</v>
      </c>
      <c r="L731" t="n">
        <v>0</v>
      </c>
      <c r="M731" t="n">
        <v>0</v>
      </c>
      <c r="N731" t="n">
        <v>0</v>
      </c>
      <c r="O731" t="n">
        <v>0</v>
      </c>
      <c r="P731" t="n">
        <v>0</v>
      </c>
      <c r="Q731" t="n">
        <v>0</v>
      </c>
      <c r="R731" s="2" t="inlineStr"/>
    </row>
    <row r="732" ht="15" customHeight="1">
      <c r="A732" t="inlineStr">
        <is>
          <t>A 20980-2022</t>
        </is>
      </c>
      <c r="B732" s="1" t="n">
        <v>44702</v>
      </c>
      <c r="C732" s="1" t="n">
        <v>45708</v>
      </c>
      <c r="D732" t="inlineStr">
        <is>
          <t>UPPSALA LÄN</t>
        </is>
      </c>
      <c r="E732" t="inlineStr">
        <is>
          <t>UPPSALA</t>
        </is>
      </c>
      <c r="G732" t="n">
        <v>0.8</v>
      </c>
      <c r="H732" t="n">
        <v>0</v>
      </c>
      <c r="I732" t="n">
        <v>0</v>
      </c>
      <c r="J732" t="n">
        <v>0</v>
      </c>
      <c r="K732" t="n">
        <v>0</v>
      </c>
      <c r="L732" t="n">
        <v>0</v>
      </c>
      <c r="M732" t="n">
        <v>0</v>
      </c>
      <c r="N732" t="n">
        <v>0</v>
      </c>
      <c r="O732" t="n">
        <v>0</v>
      </c>
      <c r="P732" t="n">
        <v>0</v>
      </c>
      <c r="Q732" t="n">
        <v>0</v>
      </c>
      <c r="R732" s="2" t="inlineStr"/>
    </row>
    <row r="733" ht="15" customHeight="1">
      <c r="A733" t="inlineStr">
        <is>
          <t>A 21181-2022</t>
        </is>
      </c>
      <c r="B733" s="1" t="n">
        <v>44704</v>
      </c>
      <c r="C733" s="1" t="n">
        <v>45708</v>
      </c>
      <c r="D733" t="inlineStr">
        <is>
          <t>UPPSALA LÄN</t>
        </is>
      </c>
      <c r="E733" t="inlineStr">
        <is>
          <t>UPPSALA</t>
        </is>
      </c>
      <c r="F733" t="inlineStr">
        <is>
          <t>Bergvik skog öst AB</t>
        </is>
      </c>
      <c r="G733" t="n">
        <v>2.8</v>
      </c>
      <c r="H733" t="n">
        <v>0</v>
      </c>
      <c r="I733" t="n">
        <v>0</v>
      </c>
      <c r="J733" t="n">
        <v>0</v>
      </c>
      <c r="K733" t="n">
        <v>0</v>
      </c>
      <c r="L733" t="n">
        <v>0</v>
      </c>
      <c r="M733" t="n">
        <v>0</v>
      </c>
      <c r="N733" t="n">
        <v>0</v>
      </c>
      <c r="O733" t="n">
        <v>0</v>
      </c>
      <c r="P733" t="n">
        <v>0</v>
      </c>
      <c r="Q733" t="n">
        <v>0</v>
      </c>
      <c r="R733" s="2" t="inlineStr"/>
    </row>
    <row r="734" ht="15" customHeight="1">
      <c r="A734" t="inlineStr">
        <is>
          <t>A 21228-2022</t>
        </is>
      </c>
      <c r="B734" s="1" t="n">
        <v>44704</v>
      </c>
      <c r="C734" s="1" t="n">
        <v>45708</v>
      </c>
      <c r="D734" t="inlineStr">
        <is>
          <t>UPPSALA LÄN</t>
        </is>
      </c>
      <c r="E734" t="inlineStr">
        <is>
          <t>UPPSALA</t>
        </is>
      </c>
      <c r="G734" t="n">
        <v>0.2</v>
      </c>
      <c r="H734" t="n">
        <v>0</v>
      </c>
      <c r="I734" t="n">
        <v>0</v>
      </c>
      <c r="J734" t="n">
        <v>0</v>
      </c>
      <c r="K734" t="n">
        <v>0</v>
      </c>
      <c r="L734" t="n">
        <v>0</v>
      </c>
      <c r="M734" t="n">
        <v>0</v>
      </c>
      <c r="N734" t="n">
        <v>0</v>
      </c>
      <c r="O734" t="n">
        <v>0</v>
      </c>
      <c r="P734" t="n">
        <v>0</v>
      </c>
      <c r="Q734" t="n">
        <v>0</v>
      </c>
      <c r="R734" s="2" t="inlineStr"/>
    </row>
    <row r="735" ht="15" customHeight="1">
      <c r="A735" t="inlineStr">
        <is>
          <t>A 21387-2022</t>
        </is>
      </c>
      <c r="B735" s="1" t="n">
        <v>44705</v>
      </c>
      <c r="C735" s="1" t="n">
        <v>45708</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21391-2022</t>
        </is>
      </c>
      <c r="B736" s="1" t="n">
        <v>44705</v>
      </c>
      <c r="C736" s="1" t="n">
        <v>45708</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21394-2022</t>
        </is>
      </c>
      <c r="B737" s="1" t="n">
        <v>44705</v>
      </c>
      <c r="C737" s="1" t="n">
        <v>45708</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22021-2022</t>
        </is>
      </c>
      <c r="B738" s="1" t="n">
        <v>44711</v>
      </c>
      <c r="C738" s="1" t="n">
        <v>45708</v>
      </c>
      <c r="D738" t="inlineStr">
        <is>
          <t>UPPSALA LÄN</t>
        </is>
      </c>
      <c r="E738" t="inlineStr">
        <is>
          <t>UPPSALA</t>
        </is>
      </c>
      <c r="F738" t="inlineStr">
        <is>
          <t>Allmännings- och besparingsskogar</t>
        </is>
      </c>
      <c r="G738" t="n">
        <v>2.1</v>
      </c>
      <c r="H738" t="n">
        <v>0</v>
      </c>
      <c r="I738" t="n">
        <v>0</v>
      </c>
      <c r="J738" t="n">
        <v>0</v>
      </c>
      <c r="K738" t="n">
        <v>0</v>
      </c>
      <c r="L738" t="n">
        <v>0</v>
      </c>
      <c r="M738" t="n">
        <v>0</v>
      </c>
      <c r="N738" t="n">
        <v>0</v>
      </c>
      <c r="O738" t="n">
        <v>0</v>
      </c>
      <c r="P738" t="n">
        <v>0</v>
      </c>
      <c r="Q738" t="n">
        <v>0</v>
      </c>
      <c r="R738" s="2" t="inlineStr"/>
    </row>
    <row r="739" ht="15" customHeight="1">
      <c r="A739" t="inlineStr">
        <is>
          <t>A 22390-2022</t>
        </is>
      </c>
      <c r="B739" s="1" t="n">
        <v>44713</v>
      </c>
      <c r="C739" s="1" t="n">
        <v>45708</v>
      </c>
      <c r="D739" t="inlineStr">
        <is>
          <t>UPPSALA LÄN</t>
        </is>
      </c>
      <c r="E739" t="inlineStr">
        <is>
          <t>UPPSALA</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22429-2022</t>
        </is>
      </c>
      <c r="B740" s="1" t="n">
        <v>44713</v>
      </c>
      <c r="C740" s="1" t="n">
        <v>45708</v>
      </c>
      <c r="D740" t="inlineStr">
        <is>
          <t>UPPSALA LÄN</t>
        </is>
      </c>
      <c r="E740" t="inlineStr">
        <is>
          <t>UPPSALA</t>
        </is>
      </c>
      <c r="F740" t="inlineStr">
        <is>
          <t>Bergvik skog öst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22645-2022</t>
        </is>
      </c>
      <c r="B741" s="1" t="n">
        <v>44714</v>
      </c>
      <c r="C741" s="1" t="n">
        <v>45708</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23324-2022</t>
        </is>
      </c>
      <c r="B742" s="1" t="n">
        <v>44720</v>
      </c>
      <c r="C742" s="1" t="n">
        <v>45708</v>
      </c>
      <c r="D742" t="inlineStr">
        <is>
          <t>UPPSALA LÄN</t>
        </is>
      </c>
      <c r="E742" t="inlineStr">
        <is>
          <t>UPPSALA</t>
        </is>
      </c>
      <c r="G742" t="n">
        <v>1.5</v>
      </c>
      <c r="H742" t="n">
        <v>0</v>
      </c>
      <c r="I742" t="n">
        <v>0</v>
      </c>
      <c r="J742" t="n">
        <v>0</v>
      </c>
      <c r="K742" t="n">
        <v>0</v>
      </c>
      <c r="L742" t="n">
        <v>0</v>
      </c>
      <c r="M742" t="n">
        <v>0</v>
      </c>
      <c r="N742" t="n">
        <v>0</v>
      </c>
      <c r="O742" t="n">
        <v>0</v>
      </c>
      <c r="P742" t="n">
        <v>0</v>
      </c>
      <c r="Q742" t="n">
        <v>0</v>
      </c>
      <c r="R742" s="2" t="inlineStr"/>
    </row>
    <row r="743" ht="15" customHeight="1">
      <c r="A743" t="inlineStr">
        <is>
          <t>A 23289-2022</t>
        </is>
      </c>
      <c r="B743" s="1" t="n">
        <v>44720</v>
      </c>
      <c r="C743" s="1" t="n">
        <v>45708</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23761-2022</t>
        </is>
      </c>
      <c r="B744" s="1" t="n">
        <v>44722</v>
      </c>
      <c r="C744" s="1" t="n">
        <v>45708</v>
      </c>
      <c r="D744" t="inlineStr">
        <is>
          <t>UPPSALA LÄN</t>
        </is>
      </c>
      <c r="E744" t="inlineStr">
        <is>
          <t>UPPSALA</t>
        </is>
      </c>
      <c r="F744" t="inlineStr">
        <is>
          <t>Bergvik skog öst AB</t>
        </is>
      </c>
      <c r="G744" t="n">
        <v>7.3</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v>
      </c>
      <c r="C745" s="1" t="n">
        <v>45708</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23717-2022</t>
        </is>
      </c>
      <c r="B746" s="1" t="n">
        <v>44722</v>
      </c>
      <c r="C746" s="1" t="n">
        <v>45708</v>
      </c>
      <c r="D746" t="inlineStr">
        <is>
          <t>UPPSALA LÄN</t>
        </is>
      </c>
      <c r="E746" t="inlineStr">
        <is>
          <t>UPPSALA</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23730-2022</t>
        </is>
      </c>
      <c r="B747" s="1" t="n">
        <v>44722</v>
      </c>
      <c r="C747" s="1" t="n">
        <v>45708</v>
      </c>
      <c r="D747" t="inlineStr">
        <is>
          <t>UPPSALA LÄN</t>
        </is>
      </c>
      <c r="E747" t="inlineStr">
        <is>
          <t>UPPSALA</t>
        </is>
      </c>
      <c r="F747" t="inlineStr">
        <is>
          <t>Bergvik skog öst AB</t>
        </is>
      </c>
      <c r="G747" t="n">
        <v>2.2</v>
      </c>
      <c r="H747" t="n">
        <v>0</v>
      </c>
      <c r="I747" t="n">
        <v>0</v>
      </c>
      <c r="J747" t="n">
        <v>0</v>
      </c>
      <c r="K747" t="n">
        <v>0</v>
      </c>
      <c r="L747" t="n">
        <v>0</v>
      </c>
      <c r="M747" t="n">
        <v>0</v>
      </c>
      <c r="N747" t="n">
        <v>0</v>
      </c>
      <c r="O747" t="n">
        <v>0</v>
      </c>
      <c r="P747" t="n">
        <v>0</v>
      </c>
      <c r="Q747" t="n">
        <v>0</v>
      </c>
      <c r="R747" s="2" t="inlineStr"/>
    </row>
    <row r="748" ht="15" customHeight="1">
      <c r="A748" t="inlineStr">
        <is>
          <t>A 24420-2022</t>
        </is>
      </c>
      <c r="B748" s="1" t="n">
        <v>44726</v>
      </c>
      <c r="C748" s="1" t="n">
        <v>45708</v>
      </c>
      <c r="D748" t="inlineStr">
        <is>
          <t>UPPSALA LÄN</t>
        </is>
      </c>
      <c r="E748" t="inlineStr">
        <is>
          <t>UPPSALA</t>
        </is>
      </c>
      <c r="F748" t="inlineStr">
        <is>
          <t>Bergvik skog öst AB</t>
        </is>
      </c>
      <c r="G748" t="n">
        <v>2.9</v>
      </c>
      <c r="H748" t="n">
        <v>0</v>
      </c>
      <c r="I748" t="n">
        <v>0</v>
      </c>
      <c r="J748" t="n">
        <v>0</v>
      </c>
      <c r="K748" t="n">
        <v>0</v>
      </c>
      <c r="L748" t="n">
        <v>0</v>
      </c>
      <c r="M748" t="n">
        <v>0</v>
      </c>
      <c r="N748" t="n">
        <v>0</v>
      </c>
      <c r="O748" t="n">
        <v>0</v>
      </c>
      <c r="P748" t="n">
        <v>0</v>
      </c>
      <c r="Q748" t="n">
        <v>0</v>
      </c>
      <c r="R748" s="2" t="inlineStr"/>
    </row>
    <row r="749" ht="15" customHeight="1">
      <c r="A749" t="inlineStr">
        <is>
          <t>A 24401-2022</t>
        </is>
      </c>
      <c r="B749" s="1" t="n">
        <v>44726</v>
      </c>
      <c r="C749" s="1" t="n">
        <v>45708</v>
      </c>
      <c r="D749" t="inlineStr">
        <is>
          <t>UPPSALA LÄN</t>
        </is>
      </c>
      <c r="E749" t="inlineStr">
        <is>
          <t>UPPSALA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24409-2022</t>
        </is>
      </c>
      <c r="B750" s="1" t="n">
        <v>44726</v>
      </c>
      <c r="C750" s="1" t="n">
        <v>45708</v>
      </c>
      <c r="D750" t="inlineStr">
        <is>
          <t>UPPSALA LÄN</t>
        </is>
      </c>
      <c r="E750" t="inlineStr">
        <is>
          <t>UPPSALA</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25178-2022</t>
        </is>
      </c>
      <c r="B751" s="1" t="n">
        <v>44729</v>
      </c>
      <c r="C751" s="1" t="n">
        <v>45708</v>
      </c>
      <c r="D751" t="inlineStr">
        <is>
          <t>UPPSALA LÄN</t>
        </is>
      </c>
      <c r="E751" t="inlineStr">
        <is>
          <t>UPPSALA</t>
        </is>
      </c>
      <c r="F751" t="inlineStr">
        <is>
          <t>Holmen skog AB</t>
        </is>
      </c>
      <c r="G751" t="n">
        <v>4.6</v>
      </c>
      <c r="H751" t="n">
        <v>0</v>
      </c>
      <c r="I751" t="n">
        <v>0</v>
      </c>
      <c r="J751" t="n">
        <v>0</v>
      </c>
      <c r="K751" t="n">
        <v>0</v>
      </c>
      <c r="L751" t="n">
        <v>0</v>
      </c>
      <c r="M751" t="n">
        <v>0</v>
      </c>
      <c r="N751" t="n">
        <v>0</v>
      </c>
      <c r="O751" t="n">
        <v>0</v>
      </c>
      <c r="P751" t="n">
        <v>0</v>
      </c>
      <c r="Q751" t="n">
        <v>0</v>
      </c>
      <c r="R751" s="2" t="inlineStr"/>
    </row>
    <row r="752" ht="15" customHeight="1">
      <c r="A752" t="inlineStr">
        <is>
          <t>A 25120-2022</t>
        </is>
      </c>
      <c r="B752" s="1" t="n">
        <v>44729</v>
      </c>
      <c r="C752" s="1" t="n">
        <v>45708</v>
      </c>
      <c r="D752" t="inlineStr">
        <is>
          <t>UPPSALA LÄN</t>
        </is>
      </c>
      <c r="E752" t="inlineStr">
        <is>
          <t>UPPSALA</t>
        </is>
      </c>
      <c r="G752" t="n">
        <v>0.5</v>
      </c>
      <c r="H752" t="n">
        <v>0</v>
      </c>
      <c r="I752" t="n">
        <v>0</v>
      </c>
      <c r="J752" t="n">
        <v>0</v>
      </c>
      <c r="K752" t="n">
        <v>0</v>
      </c>
      <c r="L752" t="n">
        <v>0</v>
      </c>
      <c r="M752" t="n">
        <v>0</v>
      </c>
      <c r="N752" t="n">
        <v>0</v>
      </c>
      <c r="O752" t="n">
        <v>0</v>
      </c>
      <c r="P752" t="n">
        <v>0</v>
      </c>
      <c r="Q752" t="n">
        <v>0</v>
      </c>
      <c r="R752" s="2" t="inlineStr"/>
    </row>
    <row r="753" ht="15" customHeight="1">
      <c r="A753" t="inlineStr">
        <is>
          <t>A 25759-2022</t>
        </is>
      </c>
      <c r="B753" s="1" t="n">
        <v>44733</v>
      </c>
      <c r="C753" s="1" t="n">
        <v>45708</v>
      </c>
      <c r="D753" t="inlineStr">
        <is>
          <t>UPPSALA LÄN</t>
        </is>
      </c>
      <c r="E753" t="inlineStr">
        <is>
          <t>UPPSALA</t>
        </is>
      </c>
      <c r="F753" t="inlineStr">
        <is>
          <t>Bergvik skog öst AB</t>
        </is>
      </c>
      <c r="G753" t="n">
        <v>1.3</v>
      </c>
      <c r="H753" t="n">
        <v>0</v>
      </c>
      <c r="I753" t="n">
        <v>0</v>
      </c>
      <c r="J753" t="n">
        <v>0</v>
      </c>
      <c r="K753" t="n">
        <v>0</v>
      </c>
      <c r="L753" t="n">
        <v>0</v>
      </c>
      <c r="M753" t="n">
        <v>0</v>
      </c>
      <c r="N753" t="n">
        <v>0</v>
      </c>
      <c r="O753" t="n">
        <v>0</v>
      </c>
      <c r="P753" t="n">
        <v>0</v>
      </c>
      <c r="Q753" t="n">
        <v>0</v>
      </c>
      <c r="R753" s="2" t="inlineStr"/>
    </row>
    <row r="754" ht="15" customHeight="1">
      <c r="A754" t="inlineStr">
        <is>
          <t>A 25809-2022</t>
        </is>
      </c>
      <c r="B754" s="1" t="n">
        <v>44733</v>
      </c>
      <c r="C754" s="1" t="n">
        <v>45708</v>
      </c>
      <c r="D754" t="inlineStr">
        <is>
          <t>UPPSALA LÄN</t>
        </is>
      </c>
      <c r="E754" t="inlineStr">
        <is>
          <t>UPPSALA</t>
        </is>
      </c>
      <c r="F754" t="inlineStr">
        <is>
          <t>Bergvik skog öst AB</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25745-2022</t>
        </is>
      </c>
      <c r="B755" s="1" t="n">
        <v>44733</v>
      </c>
      <c r="C755" s="1" t="n">
        <v>45708</v>
      </c>
      <c r="D755" t="inlineStr">
        <is>
          <t>UPPSALA LÄN</t>
        </is>
      </c>
      <c r="E755" t="inlineStr">
        <is>
          <t>UPPSALA</t>
        </is>
      </c>
      <c r="F755" t="inlineStr">
        <is>
          <t>Bergvik skog öst AB</t>
        </is>
      </c>
      <c r="G755" t="n">
        <v>0.8</v>
      </c>
      <c r="H755" t="n">
        <v>0</v>
      </c>
      <c r="I755" t="n">
        <v>0</v>
      </c>
      <c r="J755" t="n">
        <v>0</v>
      </c>
      <c r="K755" t="n">
        <v>0</v>
      </c>
      <c r="L755" t="n">
        <v>0</v>
      </c>
      <c r="M755" t="n">
        <v>0</v>
      </c>
      <c r="N755" t="n">
        <v>0</v>
      </c>
      <c r="O755" t="n">
        <v>0</v>
      </c>
      <c r="P755" t="n">
        <v>0</v>
      </c>
      <c r="Q755" t="n">
        <v>0</v>
      </c>
      <c r="R755" s="2" t="inlineStr"/>
    </row>
    <row r="756" ht="15" customHeight="1">
      <c r="A756" t="inlineStr">
        <is>
          <t>A 25776-2022</t>
        </is>
      </c>
      <c r="B756" s="1" t="n">
        <v>44733</v>
      </c>
      <c r="C756" s="1" t="n">
        <v>45708</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26609-2022</t>
        </is>
      </c>
      <c r="B757" s="1" t="n">
        <v>44739</v>
      </c>
      <c r="C757" s="1" t="n">
        <v>45708</v>
      </c>
      <c r="D757" t="inlineStr">
        <is>
          <t>UPPSALA LÄN</t>
        </is>
      </c>
      <c r="E757" t="inlineStr">
        <is>
          <t>UPPSALA</t>
        </is>
      </c>
      <c r="F757" t="inlineStr">
        <is>
          <t>Bergvik skog öst AB</t>
        </is>
      </c>
      <c r="G757" t="n">
        <v>1.5</v>
      </c>
      <c r="H757" t="n">
        <v>0</v>
      </c>
      <c r="I757" t="n">
        <v>0</v>
      </c>
      <c r="J757" t="n">
        <v>0</v>
      </c>
      <c r="K757" t="n">
        <v>0</v>
      </c>
      <c r="L757" t="n">
        <v>0</v>
      </c>
      <c r="M757" t="n">
        <v>0</v>
      </c>
      <c r="N757" t="n">
        <v>0</v>
      </c>
      <c r="O757" t="n">
        <v>0</v>
      </c>
      <c r="P757" t="n">
        <v>0</v>
      </c>
      <c r="Q757" t="n">
        <v>0</v>
      </c>
      <c r="R757" s="2" t="inlineStr"/>
    </row>
    <row r="758" ht="15" customHeight="1">
      <c r="A758" t="inlineStr">
        <is>
          <t>A 26958-2022</t>
        </is>
      </c>
      <c r="B758" s="1" t="n">
        <v>44740</v>
      </c>
      <c r="C758" s="1" t="n">
        <v>45708</v>
      </c>
      <c r="D758" t="inlineStr">
        <is>
          <t>UPPSALA LÄN</t>
        </is>
      </c>
      <c r="E758" t="inlineStr">
        <is>
          <t>UPPSALA</t>
        </is>
      </c>
      <c r="F758" t="inlineStr">
        <is>
          <t>Bergvik skog öst AB</t>
        </is>
      </c>
      <c r="G758" t="n">
        <v>2.7</v>
      </c>
      <c r="H758" t="n">
        <v>0</v>
      </c>
      <c r="I758" t="n">
        <v>0</v>
      </c>
      <c r="J758" t="n">
        <v>0</v>
      </c>
      <c r="K758" t="n">
        <v>0</v>
      </c>
      <c r="L758" t="n">
        <v>0</v>
      </c>
      <c r="M758" t="n">
        <v>0</v>
      </c>
      <c r="N758" t="n">
        <v>0</v>
      </c>
      <c r="O758" t="n">
        <v>0</v>
      </c>
      <c r="P758" t="n">
        <v>0</v>
      </c>
      <c r="Q758" t="n">
        <v>0</v>
      </c>
      <c r="R758" s="2" t="inlineStr"/>
    </row>
    <row r="759" ht="15" customHeight="1">
      <c r="A759" t="inlineStr">
        <is>
          <t>A 26972-2022</t>
        </is>
      </c>
      <c r="B759" s="1" t="n">
        <v>44740</v>
      </c>
      <c r="C759" s="1" t="n">
        <v>45708</v>
      </c>
      <c r="D759" t="inlineStr">
        <is>
          <t>UPPSALA LÄN</t>
        </is>
      </c>
      <c r="E759" t="inlineStr">
        <is>
          <t>UPPSALA</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27372-2022</t>
        </is>
      </c>
      <c r="B760" s="1" t="n">
        <v>44742</v>
      </c>
      <c r="C760" s="1" t="n">
        <v>45708</v>
      </c>
      <c r="D760" t="inlineStr">
        <is>
          <t>UPPSALA LÄN</t>
        </is>
      </c>
      <c r="E760" t="inlineStr">
        <is>
          <t>UPPSALA</t>
        </is>
      </c>
      <c r="G760" t="n">
        <v>1.6</v>
      </c>
      <c r="H760" t="n">
        <v>0</v>
      </c>
      <c r="I760" t="n">
        <v>0</v>
      </c>
      <c r="J760" t="n">
        <v>0</v>
      </c>
      <c r="K760" t="n">
        <v>0</v>
      </c>
      <c r="L760" t="n">
        <v>0</v>
      </c>
      <c r="M760" t="n">
        <v>0</v>
      </c>
      <c r="N760" t="n">
        <v>0</v>
      </c>
      <c r="O760" t="n">
        <v>0</v>
      </c>
      <c r="P760" t="n">
        <v>0</v>
      </c>
      <c r="Q760" t="n">
        <v>0</v>
      </c>
      <c r="R760" s="2" t="inlineStr"/>
    </row>
    <row r="761" ht="15" customHeight="1">
      <c r="A761" t="inlineStr">
        <is>
          <t>A 27369-2022</t>
        </is>
      </c>
      <c r="B761" s="1" t="n">
        <v>44742</v>
      </c>
      <c r="C761" s="1" t="n">
        <v>45708</v>
      </c>
      <c r="D761" t="inlineStr">
        <is>
          <t>UPPSALA LÄN</t>
        </is>
      </c>
      <c r="E761" t="inlineStr">
        <is>
          <t>UPPSALA</t>
        </is>
      </c>
      <c r="G761" t="n">
        <v>4.5</v>
      </c>
      <c r="H761" t="n">
        <v>0</v>
      </c>
      <c r="I761" t="n">
        <v>0</v>
      </c>
      <c r="J761" t="n">
        <v>0</v>
      </c>
      <c r="K761" t="n">
        <v>0</v>
      </c>
      <c r="L761" t="n">
        <v>0</v>
      </c>
      <c r="M761" t="n">
        <v>0</v>
      </c>
      <c r="N761" t="n">
        <v>0</v>
      </c>
      <c r="O761" t="n">
        <v>0</v>
      </c>
      <c r="P761" t="n">
        <v>0</v>
      </c>
      <c r="Q761" t="n">
        <v>0</v>
      </c>
      <c r="R761" s="2" t="inlineStr"/>
    </row>
    <row r="762" ht="15" customHeight="1">
      <c r="A762" t="inlineStr">
        <is>
          <t>A 27390-2022</t>
        </is>
      </c>
      <c r="B762" s="1" t="n">
        <v>44742</v>
      </c>
      <c r="C762" s="1" t="n">
        <v>45708</v>
      </c>
      <c r="D762" t="inlineStr">
        <is>
          <t>UPPSALA LÄN</t>
        </is>
      </c>
      <c r="E762" t="inlineStr">
        <is>
          <t>UPPSALA</t>
        </is>
      </c>
      <c r="G762" t="n">
        <v>3.3</v>
      </c>
      <c r="H762" t="n">
        <v>0</v>
      </c>
      <c r="I762" t="n">
        <v>0</v>
      </c>
      <c r="J762" t="n">
        <v>0</v>
      </c>
      <c r="K762" t="n">
        <v>0</v>
      </c>
      <c r="L762" t="n">
        <v>0</v>
      </c>
      <c r="M762" t="n">
        <v>0</v>
      </c>
      <c r="N762" t="n">
        <v>0</v>
      </c>
      <c r="O762" t="n">
        <v>0</v>
      </c>
      <c r="P762" t="n">
        <v>0</v>
      </c>
      <c r="Q762" t="n">
        <v>0</v>
      </c>
      <c r="R762" s="2" t="inlineStr"/>
    </row>
    <row r="763" ht="15" customHeight="1">
      <c r="A763" t="inlineStr">
        <is>
          <t>A 27397-2022</t>
        </is>
      </c>
      <c r="B763" s="1" t="n">
        <v>44742</v>
      </c>
      <c r="C763" s="1" t="n">
        <v>45708</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27546-2022</t>
        </is>
      </c>
      <c r="B764" s="1" t="n">
        <v>44742</v>
      </c>
      <c r="C764" s="1" t="n">
        <v>45708</v>
      </c>
      <c r="D764" t="inlineStr">
        <is>
          <t>UPPSALA LÄN</t>
        </is>
      </c>
      <c r="E764" t="inlineStr">
        <is>
          <t>UPPSALA</t>
        </is>
      </c>
      <c r="G764" t="n">
        <v>3.4</v>
      </c>
      <c r="H764" t="n">
        <v>0</v>
      </c>
      <c r="I764" t="n">
        <v>0</v>
      </c>
      <c r="J764" t="n">
        <v>0</v>
      </c>
      <c r="K764" t="n">
        <v>0</v>
      </c>
      <c r="L764" t="n">
        <v>0</v>
      </c>
      <c r="M764" t="n">
        <v>0</v>
      </c>
      <c r="N764" t="n">
        <v>0</v>
      </c>
      <c r="O764" t="n">
        <v>0</v>
      </c>
      <c r="P764" t="n">
        <v>0</v>
      </c>
      <c r="Q764" t="n">
        <v>0</v>
      </c>
      <c r="R764" s="2" t="inlineStr"/>
    </row>
    <row r="765" ht="15" customHeight="1">
      <c r="A765" t="inlineStr">
        <is>
          <t>A 27543-2022</t>
        </is>
      </c>
      <c r="B765" s="1" t="n">
        <v>44742</v>
      </c>
      <c r="C765" s="1" t="n">
        <v>45708</v>
      </c>
      <c r="D765" t="inlineStr">
        <is>
          <t>UPPSALA LÄN</t>
        </is>
      </c>
      <c r="E765" t="inlineStr">
        <is>
          <t>UPPSALA</t>
        </is>
      </c>
      <c r="F765" t="inlineStr">
        <is>
          <t>Kyrkan</t>
        </is>
      </c>
      <c r="G765" t="n">
        <v>2.6</v>
      </c>
      <c r="H765" t="n">
        <v>0</v>
      </c>
      <c r="I765" t="n">
        <v>0</v>
      </c>
      <c r="J765" t="n">
        <v>0</v>
      </c>
      <c r="K765" t="n">
        <v>0</v>
      </c>
      <c r="L765" t="n">
        <v>0</v>
      </c>
      <c r="M765" t="n">
        <v>0</v>
      </c>
      <c r="N765" t="n">
        <v>0</v>
      </c>
      <c r="O765" t="n">
        <v>0</v>
      </c>
      <c r="P765" t="n">
        <v>0</v>
      </c>
      <c r="Q765" t="n">
        <v>0</v>
      </c>
      <c r="R765" s="2" t="inlineStr"/>
    </row>
    <row r="766" ht="15" customHeight="1">
      <c r="A766" t="inlineStr">
        <is>
          <t>A 27763-2022</t>
        </is>
      </c>
      <c r="B766" s="1" t="n">
        <v>44743</v>
      </c>
      <c r="C766" s="1" t="n">
        <v>45708</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27762-2022</t>
        </is>
      </c>
      <c r="B767" s="1" t="n">
        <v>44743</v>
      </c>
      <c r="C767" s="1" t="n">
        <v>45708</v>
      </c>
      <c r="D767" t="inlineStr">
        <is>
          <t>UPPSALA LÄN</t>
        </is>
      </c>
      <c r="E767" t="inlineStr">
        <is>
          <t>UPPSALA</t>
        </is>
      </c>
      <c r="G767" t="n">
        <v>3.5</v>
      </c>
      <c r="H767" t="n">
        <v>0</v>
      </c>
      <c r="I767" t="n">
        <v>0</v>
      </c>
      <c r="J767" t="n">
        <v>0</v>
      </c>
      <c r="K767" t="n">
        <v>0</v>
      </c>
      <c r="L767" t="n">
        <v>0</v>
      </c>
      <c r="M767" t="n">
        <v>0</v>
      </c>
      <c r="N767" t="n">
        <v>0</v>
      </c>
      <c r="O767" t="n">
        <v>0</v>
      </c>
      <c r="P767" t="n">
        <v>0</v>
      </c>
      <c r="Q767" t="n">
        <v>0</v>
      </c>
      <c r="R767" s="2" t="inlineStr"/>
    </row>
    <row r="768" ht="15" customHeight="1">
      <c r="A768" t="inlineStr">
        <is>
          <t>A 29277-2022</t>
        </is>
      </c>
      <c r="B768" s="1" t="n">
        <v>44750</v>
      </c>
      <c r="C768" s="1" t="n">
        <v>45708</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29134-2022</t>
        </is>
      </c>
      <c r="B769" s="1" t="n">
        <v>44750</v>
      </c>
      <c r="C769" s="1" t="n">
        <v>45708</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29986-2022</t>
        </is>
      </c>
      <c r="B770" s="1" t="n">
        <v>44756</v>
      </c>
      <c r="C770" s="1" t="n">
        <v>45708</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29991-2022</t>
        </is>
      </c>
      <c r="B771" s="1" t="n">
        <v>44756</v>
      </c>
      <c r="C771" s="1" t="n">
        <v>45708</v>
      </c>
      <c r="D771" t="inlineStr">
        <is>
          <t>UPPSALA LÄN</t>
        </is>
      </c>
      <c r="E771" t="inlineStr">
        <is>
          <t>UPPSALA</t>
        </is>
      </c>
      <c r="F771" t="inlineStr">
        <is>
          <t>Bergvik skog öst AB</t>
        </is>
      </c>
      <c r="G771" t="n">
        <v>4.1</v>
      </c>
      <c r="H771" t="n">
        <v>0</v>
      </c>
      <c r="I771" t="n">
        <v>0</v>
      </c>
      <c r="J771" t="n">
        <v>0</v>
      </c>
      <c r="K771" t="n">
        <v>0</v>
      </c>
      <c r="L771" t="n">
        <v>0</v>
      </c>
      <c r="M771" t="n">
        <v>0</v>
      </c>
      <c r="N771" t="n">
        <v>0</v>
      </c>
      <c r="O771" t="n">
        <v>0</v>
      </c>
      <c r="P771" t="n">
        <v>0</v>
      </c>
      <c r="Q771" t="n">
        <v>0</v>
      </c>
      <c r="R771" s="2" t="inlineStr"/>
    </row>
    <row r="772" ht="15" customHeight="1">
      <c r="A772" t="inlineStr">
        <is>
          <t>A 30052-2022</t>
        </is>
      </c>
      <c r="B772" s="1" t="n">
        <v>44757</v>
      </c>
      <c r="C772" s="1" t="n">
        <v>45708</v>
      </c>
      <c r="D772" t="inlineStr">
        <is>
          <t>UPPSALA LÄN</t>
        </is>
      </c>
      <c r="E772" t="inlineStr">
        <is>
          <t>UPPSALA</t>
        </is>
      </c>
      <c r="F772" t="inlineStr">
        <is>
          <t>Bergvik skog öst AB</t>
        </is>
      </c>
      <c r="G772" t="n">
        <v>9.6</v>
      </c>
      <c r="H772" t="n">
        <v>0</v>
      </c>
      <c r="I772" t="n">
        <v>0</v>
      </c>
      <c r="J772" t="n">
        <v>0</v>
      </c>
      <c r="K772" t="n">
        <v>0</v>
      </c>
      <c r="L772" t="n">
        <v>0</v>
      </c>
      <c r="M772" t="n">
        <v>0</v>
      </c>
      <c r="N772" t="n">
        <v>0</v>
      </c>
      <c r="O772" t="n">
        <v>0</v>
      </c>
      <c r="P772" t="n">
        <v>0</v>
      </c>
      <c r="Q772" t="n">
        <v>0</v>
      </c>
      <c r="R772" s="2" t="inlineStr"/>
    </row>
    <row r="773" ht="15" customHeight="1">
      <c r="A773" t="inlineStr">
        <is>
          <t>A 30580-2022</t>
        </is>
      </c>
      <c r="B773" s="1" t="n">
        <v>44762</v>
      </c>
      <c r="C773" s="1" t="n">
        <v>45708</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30783-2022</t>
        </is>
      </c>
      <c r="B774" s="1" t="n">
        <v>44764</v>
      </c>
      <c r="C774" s="1" t="n">
        <v>45708</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30775-2022</t>
        </is>
      </c>
      <c r="B775" s="1" t="n">
        <v>44764</v>
      </c>
      <c r="C775" s="1" t="n">
        <v>45708</v>
      </c>
      <c r="D775" t="inlineStr">
        <is>
          <t>UPPSALA LÄN</t>
        </is>
      </c>
      <c r="E775" t="inlineStr">
        <is>
          <t>UPPSALA</t>
        </is>
      </c>
      <c r="F775" t="inlineStr">
        <is>
          <t>Bergvik skog öst AB</t>
        </is>
      </c>
      <c r="G775" t="n">
        <v>4.5</v>
      </c>
      <c r="H775" t="n">
        <v>0</v>
      </c>
      <c r="I775" t="n">
        <v>0</v>
      </c>
      <c r="J775" t="n">
        <v>0</v>
      </c>
      <c r="K775" t="n">
        <v>0</v>
      </c>
      <c r="L775" t="n">
        <v>0</v>
      </c>
      <c r="M775" t="n">
        <v>0</v>
      </c>
      <c r="N775" t="n">
        <v>0</v>
      </c>
      <c r="O775" t="n">
        <v>0</v>
      </c>
      <c r="P775" t="n">
        <v>0</v>
      </c>
      <c r="Q775" t="n">
        <v>0</v>
      </c>
      <c r="R775" s="2" t="inlineStr"/>
    </row>
    <row r="776" ht="15" customHeight="1">
      <c r="A776" t="inlineStr">
        <is>
          <t>A 31113-2022</t>
        </is>
      </c>
      <c r="B776" s="1" t="n">
        <v>44769</v>
      </c>
      <c r="C776" s="1" t="n">
        <v>45708</v>
      </c>
      <c r="D776" t="inlineStr">
        <is>
          <t>UPPSALA LÄN</t>
        </is>
      </c>
      <c r="E776" t="inlineStr">
        <is>
          <t>UPPSALA</t>
        </is>
      </c>
      <c r="F776" t="inlineStr">
        <is>
          <t>Bergvik skog öst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31263-2022</t>
        </is>
      </c>
      <c r="B777" s="1" t="n">
        <v>44771</v>
      </c>
      <c r="C777" s="1" t="n">
        <v>45708</v>
      </c>
      <c r="D777" t="inlineStr">
        <is>
          <t>UPPSALA LÄN</t>
        </is>
      </c>
      <c r="E777" t="inlineStr">
        <is>
          <t>UPPSALA</t>
        </is>
      </c>
      <c r="F777" t="inlineStr">
        <is>
          <t>Bergvik skog öst AB</t>
        </is>
      </c>
      <c r="G777" t="n">
        <v>2.5</v>
      </c>
      <c r="H777" t="n">
        <v>0</v>
      </c>
      <c r="I777" t="n">
        <v>0</v>
      </c>
      <c r="J777" t="n">
        <v>0</v>
      </c>
      <c r="K777" t="n">
        <v>0</v>
      </c>
      <c r="L777" t="n">
        <v>0</v>
      </c>
      <c r="M777" t="n">
        <v>0</v>
      </c>
      <c r="N777" t="n">
        <v>0</v>
      </c>
      <c r="O777" t="n">
        <v>0</v>
      </c>
      <c r="P777" t="n">
        <v>0</v>
      </c>
      <c r="Q777" t="n">
        <v>0</v>
      </c>
      <c r="R777" s="2" t="inlineStr"/>
    </row>
    <row r="778" ht="15" customHeight="1">
      <c r="A778" t="inlineStr">
        <is>
          <t>A 31261-2022</t>
        </is>
      </c>
      <c r="B778" s="1" t="n">
        <v>44771</v>
      </c>
      <c r="C778" s="1" t="n">
        <v>45708</v>
      </c>
      <c r="D778" t="inlineStr">
        <is>
          <t>UPPSALA LÄN</t>
        </is>
      </c>
      <c r="E778" t="inlineStr">
        <is>
          <t>UPPSALA</t>
        </is>
      </c>
      <c r="F778" t="inlineStr">
        <is>
          <t>Bergvik skog öst AB</t>
        </is>
      </c>
      <c r="G778" t="n">
        <v>2.6</v>
      </c>
      <c r="H778" t="n">
        <v>0</v>
      </c>
      <c r="I778" t="n">
        <v>0</v>
      </c>
      <c r="J778" t="n">
        <v>0</v>
      </c>
      <c r="K778" t="n">
        <v>0</v>
      </c>
      <c r="L778" t="n">
        <v>0</v>
      </c>
      <c r="M778" t="n">
        <v>0</v>
      </c>
      <c r="N778" t="n">
        <v>0</v>
      </c>
      <c r="O778" t="n">
        <v>0</v>
      </c>
      <c r="P778" t="n">
        <v>0</v>
      </c>
      <c r="Q778" t="n">
        <v>0</v>
      </c>
      <c r="R778" s="2" t="inlineStr"/>
    </row>
    <row r="779" ht="15" customHeight="1">
      <c r="A779" t="inlineStr">
        <is>
          <t>A 31249-2022</t>
        </is>
      </c>
      <c r="B779" s="1" t="n">
        <v>44771</v>
      </c>
      <c r="C779" s="1" t="n">
        <v>45708</v>
      </c>
      <c r="D779" t="inlineStr">
        <is>
          <t>UPPSALA LÄN</t>
        </is>
      </c>
      <c r="E779" t="inlineStr">
        <is>
          <t>UPPSALA</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31253-2022</t>
        </is>
      </c>
      <c r="B780" s="1" t="n">
        <v>44771</v>
      </c>
      <c r="C780" s="1" t="n">
        <v>45708</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32954-2022</t>
        </is>
      </c>
      <c r="B781" s="1" t="n">
        <v>44784</v>
      </c>
      <c r="C781" s="1" t="n">
        <v>45708</v>
      </c>
      <c r="D781" t="inlineStr">
        <is>
          <t>UPPSALA LÄN</t>
        </is>
      </c>
      <c r="E781" t="inlineStr">
        <is>
          <t>UPPSALA</t>
        </is>
      </c>
      <c r="G781" t="n">
        <v>2.6</v>
      </c>
      <c r="H781" t="n">
        <v>0</v>
      </c>
      <c r="I781" t="n">
        <v>0</v>
      </c>
      <c r="J781" t="n">
        <v>0</v>
      </c>
      <c r="K781" t="n">
        <v>0</v>
      </c>
      <c r="L781" t="n">
        <v>0</v>
      </c>
      <c r="M781" t="n">
        <v>0</v>
      </c>
      <c r="N781" t="n">
        <v>0</v>
      </c>
      <c r="O781" t="n">
        <v>0</v>
      </c>
      <c r="P781" t="n">
        <v>0</v>
      </c>
      <c r="Q781" t="n">
        <v>0</v>
      </c>
      <c r="R781" s="2" t="inlineStr"/>
    </row>
    <row r="782" ht="15" customHeight="1">
      <c r="A782" t="inlineStr">
        <is>
          <t>A 33332-2022</t>
        </is>
      </c>
      <c r="B782" s="1" t="n">
        <v>44788</v>
      </c>
      <c r="C782" s="1" t="n">
        <v>45708</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33283-2022</t>
        </is>
      </c>
      <c r="B783" s="1" t="n">
        <v>44788</v>
      </c>
      <c r="C783" s="1" t="n">
        <v>45708</v>
      </c>
      <c r="D783" t="inlineStr">
        <is>
          <t>UPPSALA LÄN</t>
        </is>
      </c>
      <c r="E783" t="inlineStr">
        <is>
          <t>UPPSALA</t>
        </is>
      </c>
      <c r="G783" t="n">
        <v>20.2</v>
      </c>
      <c r="H783" t="n">
        <v>0</v>
      </c>
      <c r="I783" t="n">
        <v>0</v>
      </c>
      <c r="J783" t="n">
        <v>0</v>
      </c>
      <c r="K783" t="n">
        <v>0</v>
      </c>
      <c r="L783" t="n">
        <v>0</v>
      </c>
      <c r="M783" t="n">
        <v>0</v>
      </c>
      <c r="N783" t="n">
        <v>0</v>
      </c>
      <c r="O783" t="n">
        <v>0</v>
      </c>
      <c r="P783" t="n">
        <v>0</v>
      </c>
      <c r="Q783" t="n">
        <v>0</v>
      </c>
      <c r="R783" s="2" t="inlineStr"/>
    </row>
    <row r="784" ht="15" customHeight="1">
      <c r="A784" t="inlineStr">
        <is>
          <t>A 34061-2022</t>
        </is>
      </c>
      <c r="B784" s="1" t="n">
        <v>44791</v>
      </c>
      <c r="C784" s="1" t="n">
        <v>45708</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34770-2022</t>
        </is>
      </c>
      <c r="B785" s="1" t="n">
        <v>44795</v>
      </c>
      <c r="C785" s="1" t="n">
        <v>45708</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35212-2022</t>
        </is>
      </c>
      <c r="B786" s="1" t="n">
        <v>44797</v>
      </c>
      <c r="C786" s="1" t="n">
        <v>45708</v>
      </c>
      <c r="D786" t="inlineStr">
        <is>
          <t>UPPSALA LÄN</t>
        </is>
      </c>
      <c r="E786" t="inlineStr">
        <is>
          <t>UPPSALA</t>
        </is>
      </c>
      <c r="G786" t="n">
        <v>2.6</v>
      </c>
      <c r="H786" t="n">
        <v>0</v>
      </c>
      <c r="I786" t="n">
        <v>0</v>
      </c>
      <c r="J786" t="n">
        <v>0</v>
      </c>
      <c r="K786" t="n">
        <v>0</v>
      </c>
      <c r="L786" t="n">
        <v>0</v>
      </c>
      <c r="M786" t="n">
        <v>0</v>
      </c>
      <c r="N786" t="n">
        <v>0</v>
      </c>
      <c r="O786" t="n">
        <v>0</v>
      </c>
      <c r="P786" t="n">
        <v>0</v>
      </c>
      <c r="Q786" t="n">
        <v>0</v>
      </c>
      <c r="R786" s="2" t="inlineStr"/>
    </row>
    <row r="787" ht="15" customHeight="1">
      <c r="A787" t="inlineStr">
        <is>
          <t>A 35411-2022</t>
        </is>
      </c>
      <c r="B787" s="1" t="n">
        <v>44798</v>
      </c>
      <c r="C787" s="1" t="n">
        <v>45708</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35539-2022</t>
        </is>
      </c>
      <c r="B788" s="1" t="n">
        <v>44799</v>
      </c>
      <c r="C788" s="1" t="n">
        <v>45708</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35544-2022</t>
        </is>
      </c>
      <c r="B789" s="1" t="n">
        <v>44799</v>
      </c>
      <c r="C789" s="1" t="n">
        <v>45708</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35542-2022</t>
        </is>
      </c>
      <c r="B790" s="1" t="n">
        <v>44799</v>
      </c>
      <c r="C790" s="1" t="n">
        <v>45708</v>
      </c>
      <c r="D790" t="inlineStr">
        <is>
          <t>UPPSALA LÄN</t>
        </is>
      </c>
      <c r="E790" t="inlineStr">
        <is>
          <t>UPPSALA</t>
        </is>
      </c>
      <c r="G790" t="n">
        <v>3.2</v>
      </c>
      <c r="H790" t="n">
        <v>0</v>
      </c>
      <c r="I790" t="n">
        <v>0</v>
      </c>
      <c r="J790" t="n">
        <v>0</v>
      </c>
      <c r="K790" t="n">
        <v>0</v>
      </c>
      <c r="L790" t="n">
        <v>0</v>
      </c>
      <c r="M790" t="n">
        <v>0</v>
      </c>
      <c r="N790" t="n">
        <v>0</v>
      </c>
      <c r="O790" t="n">
        <v>0</v>
      </c>
      <c r="P790" t="n">
        <v>0</v>
      </c>
      <c r="Q790" t="n">
        <v>0</v>
      </c>
      <c r="R790" s="2" t="inlineStr"/>
    </row>
    <row r="791" ht="15" customHeight="1">
      <c r="A791" t="inlineStr">
        <is>
          <t>A 37187-2022</t>
        </is>
      </c>
      <c r="B791" s="1" t="n">
        <v>44806</v>
      </c>
      <c r="C791" s="1" t="n">
        <v>45708</v>
      </c>
      <c r="D791" t="inlineStr">
        <is>
          <t>UPPSALA LÄN</t>
        </is>
      </c>
      <c r="E791" t="inlineStr">
        <is>
          <t>UPPSALA</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37316-2022</t>
        </is>
      </c>
      <c r="B792" s="1" t="n">
        <v>44806</v>
      </c>
      <c r="C792" s="1" t="n">
        <v>45708</v>
      </c>
      <c r="D792" t="inlineStr">
        <is>
          <t>UPPSALA LÄN</t>
        </is>
      </c>
      <c r="E792" t="inlineStr">
        <is>
          <t>UPPSALA</t>
        </is>
      </c>
      <c r="G792" t="n">
        <v>10.6</v>
      </c>
      <c r="H792" t="n">
        <v>0</v>
      </c>
      <c r="I792" t="n">
        <v>0</v>
      </c>
      <c r="J792" t="n">
        <v>0</v>
      </c>
      <c r="K792" t="n">
        <v>0</v>
      </c>
      <c r="L792" t="n">
        <v>0</v>
      </c>
      <c r="M792" t="n">
        <v>0</v>
      </c>
      <c r="N792" t="n">
        <v>0</v>
      </c>
      <c r="O792" t="n">
        <v>0</v>
      </c>
      <c r="P792" t="n">
        <v>0</v>
      </c>
      <c r="Q792" t="n">
        <v>0</v>
      </c>
      <c r="R792" s="2" t="inlineStr"/>
    </row>
    <row r="793" ht="15" customHeight="1">
      <c r="A793" t="inlineStr">
        <is>
          <t>A 37188-2022</t>
        </is>
      </c>
      <c r="B793" s="1" t="n">
        <v>44806</v>
      </c>
      <c r="C793" s="1" t="n">
        <v>45708</v>
      </c>
      <c r="D793" t="inlineStr">
        <is>
          <t>UPPSALA LÄN</t>
        </is>
      </c>
      <c r="E793" t="inlineStr">
        <is>
          <t>UPPSALA</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37588-2022</t>
        </is>
      </c>
      <c r="B794" s="1" t="n">
        <v>44810</v>
      </c>
      <c r="C794" s="1" t="n">
        <v>45708</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37761-2022</t>
        </is>
      </c>
      <c r="B795" s="1" t="n">
        <v>44810</v>
      </c>
      <c r="C795" s="1" t="n">
        <v>45708</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37670-2022</t>
        </is>
      </c>
      <c r="B796" s="1" t="n">
        <v>44810</v>
      </c>
      <c r="C796" s="1" t="n">
        <v>45708</v>
      </c>
      <c r="D796" t="inlineStr">
        <is>
          <t>UPPSALA LÄN</t>
        </is>
      </c>
      <c r="E796" t="inlineStr">
        <is>
          <t>UPPSALA</t>
        </is>
      </c>
      <c r="G796" t="n">
        <v>2.4</v>
      </c>
      <c r="H796" t="n">
        <v>0</v>
      </c>
      <c r="I796" t="n">
        <v>0</v>
      </c>
      <c r="J796" t="n">
        <v>0</v>
      </c>
      <c r="K796" t="n">
        <v>0</v>
      </c>
      <c r="L796" t="n">
        <v>0</v>
      </c>
      <c r="M796" t="n">
        <v>0</v>
      </c>
      <c r="N796" t="n">
        <v>0</v>
      </c>
      <c r="O796" t="n">
        <v>0</v>
      </c>
      <c r="P796" t="n">
        <v>0</v>
      </c>
      <c r="Q796" t="n">
        <v>0</v>
      </c>
      <c r="R796" s="2" t="inlineStr"/>
    </row>
    <row r="797" ht="15" customHeight="1">
      <c r="A797" t="inlineStr">
        <is>
          <t>A 38078-2022</t>
        </is>
      </c>
      <c r="B797" s="1" t="n">
        <v>44811</v>
      </c>
      <c r="C797" s="1" t="n">
        <v>45708</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38524-2022</t>
        </is>
      </c>
      <c r="B798" s="1" t="n">
        <v>44813</v>
      </c>
      <c r="C798" s="1" t="n">
        <v>45708</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38865-2022</t>
        </is>
      </c>
      <c r="B799" s="1" t="n">
        <v>44816</v>
      </c>
      <c r="C799" s="1" t="n">
        <v>45708</v>
      </c>
      <c r="D799" t="inlineStr">
        <is>
          <t>UPPSALA LÄN</t>
        </is>
      </c>
      <c r="E799" t="inlineStr">
        <is>
          <t>UPPSALA</t>
        </is>
      </c>
      <c r="G799" t="n">
        <v>14.6</v>
      </c>
      <c r="H799" t="n">
        <v>0</v>
      </c>
      <c r="I799" t="n">
        <v>0</v>
      </c>
      <c r="J799" t="n">
        <v>0</v>
      </c>
      <c r="K799" t="n">
        <v>0</v>
      </c>
      <c r="L799" t="n">
        <v>0</v>
      </c>
      <c r="M799" t="n">
        <v>0</v>
      </c>
      <c r="N799" t="n">
        <v>0</v>
      </c>
      <c r="O799" t="n">
        <v>0</v>
      </c>
      <c r="P799" t="n">
        <v>0</v>
      </c>
      <c r="Q799" t="n">
        <v>0</v>
      </c>
      <c r="R799" s="2" t="inlineStr"/>
    </row>
    <row r="800" ht="15" customHeight="1">
      <c r="A800" t="inlineStr">
        <is>
          <t>A 38892-2022</t>
        </is>
      </c>
      <c r="B800" s="1" t="n">
        <v>44816</v>
      </c>
      <c r="C800" s="1" t="n">
        <v>45708</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38909-2022</t>
        </is>
      </c>
      <c r="B801" s="1" t="n">
        <v>44816</v>
      </c>
      <c r="C801" s="1" t="n">
        <v>45708</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39148-2022</t>
        </is>
      </c>
      <c r="B802" s="1" t="n">
        <v>44816</v>
      </c>
      <c r="C802" s="1" t="n">
        <v>45708</v>
      </c>
      <c r="D802" t="inlineStr">
        <is>
          <t>UPPSALA LÄN</t>
        </is>
      </c>
      <c r="E802" t="inlineStr">
        <is>
          <t>UPPSALA</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39144-2022</t>
        </is>
      </c>
      <c r="B803" s="1" t="n">
        <v>44816</v>
      </c>
      <c r="C803" s="1" t="n">
        <v>45708</v>
      </c>
      <c r="D803" t="inlineStr">
        <is>
          <t>UPPSALA LÄN</t>
        </is>
      </c>
      <c r="E803" t="inlineStr">
        <is>
          <t>UPPSALA</t>
        </is>
      </c>
      <c r="G803" t="n">
        <v>8.4</v>
      </c>
      <c r="H803" t="n">
        <v>0</v>
      </c>
      <c r="I803" t="n">
        <v>0</v>
      </c>
      <c r="J803" t="n">
        <v>0</v>
      </c>
      <c r="K803" t="n">
        <v>0</v>
      </c>
      <c r="L803" t="n">
        <v>0</v>
      </c>
      <c r="M803" t="n">
        <v>0</v>
      </c>
      <c r="N803" t="n">
        <v>0</v>
      </c>
      <c r="O803" t="n">
        <v>0</v>
      </c>
      <c r="P803" t="n">
        <v>0</v>
      </c>
      <c r="Q803" t="n">
        <v>0</v>
      </c>
      <c r="R803" s="2" t="inlineStr"/>
    </row>
    <row r="804" ht="15" customHeight="1">
      <c r="A804" t="inlineStr">
        <is>
          <t>A 39454-2022</t>
        </is>
      </c>
      <c r="B804" s="1" t="n">
        <v>44817</v>
      </c>
      <c r="C804" s="1" t="n">
        <v>45708</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39608-2022</t>
        </is>
      </c>
      <c r="B805" s="1" t="n">
        <v>44817</v>
      </c>
      <c r="C805" s="1" t="n">
        <v>45708</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39599-2022</t>
        </is>
      </c>
      <c r="B806" s="1" t="n">
        <v>44817</v>
      </c>
      <c r="C806" s="1" t="n">
        <v>45708</v>
      </c>
      <c r="D806" t="inlineStr">
        <is>
          <t>UPPSALA LÄN</t>
        </is>
      </c>
      <c r="E806" t="inlineStr">
        <is>
          <t>UPPSALA</t>
        </is>
      </c>
      <c r="G806" t="n">
        <v>4.8</v>
      </c>
      <c r="H806" t="n">
        <v>0</v>
      </c>
      <c r="I806" t="n">
        <v>0</v>
      </c>
      <c r="J806" t="n">
        <v>0</v>
      </c>
      <c r="K806" t="n">
        <v>0</v>
      </c>
      <c r="L806" t="n">
        <v>0</v>
      </c>
      <c r="M806" t="n">
        <v>0</v>
      </c>
      <c r="N806" t="n">
        <v>0</v>
      </c>
      <c r="O806" t="n">
        <v>0</v>
      </c>
      <c r="P806" t="n">
        <v>0</v>
      </c>
      <c r="Q806" t="n">
        <v>0</v>
      </c>
      <c r="R806" s="2" t="inlineStr"/>
    </row>
    <row r="807" ht="15" customHeight="1">
      <c r="A807" t="inlineStr">
        <is>
          <t>A 39795-2022</t>
        </is>
      </c>
      <c r="B807" s="1" t="n">
        <v>44819</v>
      </c>
      <c r="C807" s="1" t="n">
        <v>45708</v>
      </c>
      <c r="D807" t="inlineStr">
        <is>
          <t>UPPSALA LÄN</t>
        </is>
      </c>
      <c r="E807" t="inlineStr">
        <is>
          <t>UPPSALA</t>
        </is>
      </c>
      <c r="F807" t="inlineStr">
        <is>
          <t>Övriga Aktiebolag</t>
        </is>
      </c>
      <c r="G807" t="n">
        <v>3.5</v>
      </c>
      <c r="H807" t="n">
        <v>0</v>
      </c>
      <c r="I807" t="n">
        <v>0</v>
      </c>
      <c r="J807" t="n">
        <v>0</v>
      </c>
      <c r="K807" t="n">
        <v>0</v>
      </c>
      <c r="L807" t="n">
        <v>0</v>
      </c>
      <c r="M807" t="n">
        <v>0</v>
      </c>
      <c r="N807" t="n">
        <v>0</v>
      </c>
      <c r="O807" t="n">
        <v>0</v>
      </c>
      <c r="P807" t="n">
        <v>0</v>
      </c>
      <c r="Q807" t="n">
        <v>0</v>
      </c>
      <c r="R807" s="2" t="inlineStr"/>
    </row>
    <row r="808" ht="15" customHeight="1">
      <c r="A808" t="inlineStr">
        <is>
          <t>A 39915-2022</t>
        </is>
      </c>
      <c r="B808" s="1" t="n">
        <v>44819</v>
      </c>
      <c r="C808" s="1" t="n">
        <v>45708</v>
      </c>
      <c r="D808" t="inlineStr">
        <is>
          <t>UPPSALA LÄN</t>
        </is>
      </c>
      <c r="E808" t="inlineStr">
        <is>
          <t>UPPSALA</t>
        </is>
      </c>
      <c r="F808" t="inlineStr">
        <is>
          <t>Allmännings- och besparingsskogar</t>
        </is>
      </c>
      <c r="G808" t="n">
        <v>20.1</v>
      </c>
      <c r="H808" t="n">
        <v>0</v>
      </c>
      <c r="I808" t="n">
        <v>0</v>
      </c>
      <c r="J808" t="n">
        <v>0</v>
      </c>
      <c r="K808" t="n">
        <v>0</v>
      </c>
      <c r="L808" t="n">
        <v>0</v>
      </c>
      <c r="M808" t="n">
        <v>0</v>
      </c>
      <c r="N808" t="n">
        <v>0</v>
      </c>
      <c r="O808" t="n">
        <v>0</v>
      </c>
      <c r="P808" t="n">
        <v>0</v>
      </c>
      <c r="Q808" t="n">
        <v>0</v>
      </c>
      <c r="R808" s="2" t="inlineStr"/>
    </row>
    <row r="809" ht="15" customHeight="1">
      <c r="A809" t="inlineStr">
        <is>
          <t>A 39865-2022</t>
        </is>
      </c>
      <c r="B809" s="1" t="n">
        <v>44819</v>
      </c>
      <c r="C809" s="1" t="n">
        <v>45708</v>
      </c>
      <c r="D809" t="inlineStr">
        <is>
          <t>UPPSALA LÄN</t>
        </is>
      </c>
      <c r="E809" t="inlineStr">
        <is>
          <t>UPPSALA</t>
        </is>
      </c>
      <c r="G809" t="n">
        <v>2.5</v>
      </c>
      <c r="H809" t="n">
        <v>0</v>
      </c>
      <c r="I809" t="n">
        <v>0</v>
      </c>
      <c r="J809" t="n">
        <v>0</v>
      </c>
      <c r="K809" t="n">
        <v>0</v>
      </c>
      <c r="L809" t="n">
        <v>0</v>
      </c>
      <c r="M809" t="n">
        <v>0</v>
      </c>
      <c r="N809" t="n">
        <v>0</v>
      </c>
      <c r="O809" t="n">
        <v>0</v>
      </c>
      <c r="P809" t="n">
        <v>0</v>
      </c>
      <c r="Q809" t="n">
        <v>0</v>
      </c>
      <c r="R809" s="2" t="inlineStr"/>
    </row>
    <row r="810" ht="15" customHeight="1">
      <c r="A810" t="inlineStr">
        <is>
          <t>A 40100-2022</t>
        </is>
      </c>
      <c r="B810" s="1" t="n">
        <v>44820</v>
      </c>
      <c r="C810" s="1" t="n">
        <v>45708</v>
      </c>
      <c r="D810" t="inlineStr">
        <is>
          <t>UPPSALA LÄN</t>
        </is>
      </c>
      <c r="E810" t="inlineStr">
        <is>
          <t>UPPSALA</t>
        </is>
      </c>
      <c r="F810" t="inlineStr">
        <is>
          <t>Övriga Aktiebolag</t>
        </is>
      </c>
      <c r="G810" t="n">
        <v>1.1</v>
      </c>
      <c r="H810" t="n">
        <v>0</v>
      </c>
      <c r="I810" t="n">
        <v>0</v>
      </c>
      <c r="J810" t="n">
        <v>0</v>
      </c>
      <c r="K810" t="n">
        <v>0</v>
      </c>
      <c r="L810" t="n">
        <v>0</v>
      </c>
      <c r="M810" t="n">
        <v>0</v>
      </c>
      <c r="N810" t="n">
        <v>0</v>
      </c>
      <c r="O810" t="n">
        <v>0</v>
      </c>
      <c r="P810" t="n">
        <v>0</v>
      </c>
      <c r="Q810" t="n">
        <v>0</v>
      </c>
      <c r="R810" s="2" t="inlineStr"/>
    </row>
    <row r="811" ht="15" customHeight="1">
      <c r="A811" t="inlineStr">
        <is>
          <t>A 42622-2022</t>
        </is>
      </c>
      <c r="B811" s="1" t="n">
        <v>44831</v>
      </c>
      <c r="C811" s="1" t="n">
        <v>45708</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42772-2022</t>
        </is>
      </c>
      <c r="B812" s="1" t="n">
        <v>44832</v>
      </c>
      <c r="C812" s="1" t="n">
        <v>45708</v>
      </c>
      <c r="D812" t="inlineStr">
        <is>
          <t>UPPSALA LÄN</t>
        </is>
      </c>
      <c r="E812" t="inlineStr">
        <is>
          <t>UPPSALA</t>
        </is>
      </c>
      <c r="G812" t="n">
        <v>17.7</v>
      </c>
      <c r="H812" t="n">
        <v>0</v>
      </c>
      <c r="I812" t="n">
        <v>0</v>
      </c>
      <c r="J812" t="n">
        <v>0</v>
      </c>
      <c r="K812" t="n">
        <v>0</v>
      </c>
      <c r="L812" t="n">
        <v>0</v>
      </c>
      <c r="M812" t="n">
        <v>0</v>
      </c>
      <c r="N812" t="n">
        <v>0</v>
      </c>
      <c r="O812" t="n">
        <v>0</v>
      </c>
      <c r="P812" t="n">
        <v>0</v>
      </c>
      <c r="Q812" t="n">
        <v>0</v>
      </c>
      <c r="R812" s="2" t="inlineStr"/>
    </row>
    <row r="813" ht="15" customHeight="1">
      <c r="A813" t="inlineStr">
        <is>
          <t>A 43032-2022</t>
        </is>
      </c>
      <c r="B813" s="1" t="n">
        <v>44832</v>
      </c>
      <c r="C813" s="1" t="n">
        <v>45708</v>
      </c>
      <c r="D813" t="inlineStr">
        <is>
          <t>UPPSALA LÄN</t>
        </is>
      </c>
      <c r="E813" t="inlineStr">
        <is>
          <t>UPPSALA</t>
        </is>
      </c>
      <c r="G813" t="n">
        <v>1.5</v>
      </c>
      <c r="H813" t="n">
        <v>0</v>
      </c>
      <c r="I813" t="n">
        <v>0</v>
      </c>
      <c r="J813" t="n">
        <v>0</v>
      </c>
      <c r="K813" t="n">
        <v>0</v>
      </c>
      <c r="L813" t="n">
        <v>0</v>
      </c>
      <c r="M813" t="n">
        <v>0</v>
      </c>
      <c r="N813" t="n">
        <v>0</v>
      </c>
      <c r="O813" t="n">
        <v>0</v>
      </c>
      <c r="P813" t="n">
        <v>0</v>
      </c>
      <c r="Q813" t="n">
        <v>0</v>
      </c>
      <c r="R813" s="2" t="inlineStr"/>
    </row>
    <row r="814" ht="15" customHeight="1">
      <c r="A814" t="inlineStr">
        <is>
          <t>A 43850-2022</t>
        </is>
      </c>
      <c r="B814" s="1" t="n">
        <v>44838</v>
      </c>
      <c r="C814" s="1" t="n">
        <v>45708</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44265-2022</t>
        </is>
      </c>
      <c r="B815" s="1" t="n">
        <v>44839</v>
      </c>
      <c r="C815" s="1" t="n">
        <v>45708</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44817-2022</t>
        </is>
      </c>
      <c r="B816" s="1" t="n">
        <v>44841</v>
      </c>
      <c r="C816" s="1" t="n">
        <v>45708</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45195-2022</t>
        </is>
      </c>
      <c r="B817" s="1" t="n">
        <v>44844</v>
      </c>
      <c r="C817" s="1" t="n">
        <v>45708</v>
      </c>
      <c r="D817" t="inlineStr">
        <is>
          <t>UPPSALA LÄN</t>
        </is>
      </c>
      <c r="E817" t="inlineStr">
        <is>
          <t>UPPSALA</t>
        </is>
      </c>
      <c r="G817" t="n">
        <v>3.3</v>
      </c>
      <c r="H817" t="n">
        <v>0</v>
      </c>
      <c r="I817" t="n">
        <v>0</v>
      </c>
      <c r="J817" t="n">
        <v>0</v>
      </c>
      <c r="K817" t="n">
        <v>0</v>
      </c>
      <c r="L817" t="n">
        <v>0</v>
      </c>
      <c r="M817" t="n">
        <v>0</v>
      </c>
      <c r="N817" t="n">
        <v>0</v>
      </c>
      <c r="O817" t="n">
        <v>0</v>
      </c>
      <c r="P817" t="n">
        <v>0</v>
      </c>
      <c r="Q817" t="n">
        <v>0</v>
      </c>
      <c r="R817" s="2" t="inlineStr"/>
    </row>
    <row r="818" ht="15" customHeight="1">
      <c r="A818" t="inlineStr">
        <is>
          <t>A 45780-2022</t>
        </is>
      </c>
      <c r="B818" s="1" t="n">
        <v>44846</v>
      </c>
      <c r="C818" s="1" t="n">
        <v>45708</v>
      </c>
      <c r="D818" t="inlineStr">
        <is>
          <t>UPPSALA LÄN</t>
        </is>
      </c>
      <c r="E818" t="inlineStr">
        <is>
          <t>UPPSALA</t>
        </is>
      </c>
      <c r="G818" t="n">
        <v>5.8</v>
      </c>
      <c r="H818" t="n">
        <v>0</v>
      </c>
      <c r="I818" t="n">
        <v>0</v>
      </c>
      <c r="J818" t="n">
        <v>0</v>
      </c>
      <c r="K818" t="n">
        <v>0</v>
      </c>
      <c r="L818" t="n">
        <v>0</v>
      </c>
      <c r="M818" t="n">
        <v>0</v>
      </c>
      <c r="N818" t="n">
        <v>0</v>
      </c>
      <c r="O818" t="n">
        <v>0</v>
      </c>
      <c r="P818" t="n">
        <v>0</v>
      </c>
      <c r="Q818" t="n">
        <v>0</v>
      </c>
      <c r="R818" s="2" t="inlineStr"/>
    </row>
    <row r="819" ht="15" customHeight="1">
      <c r="A819" t="inlineStr">
        <is>
          <t>A 45849-2022</t>
        </is>
      </c>
      <c r="B819" s="1" t="n">
        <v>44846</v>
      </c>
      <c r="C819" s="1" t="n">
        <v>45708</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46077-2022</t>
        </is>
      </c>
      <c r="B820" s="1" t="n">
        <v>44847</v>
      </c>
      <c r="C820" s="1" t="n">
        <v>45708</v>
      </c>
      <c r="D820" t="inlineStr">
        <is>
          <t>UPPSALA LÄN</t>
        </is>
      </c>
      <c r="E820" t="inlineStr">
        <is>
          <t>UPPSALA</t>
        </is>
      </c>
      <c r="G820" t="n">
        <v>2.1</v>
      </c>
      <c r="H820" t="n">
        <v>0</v>
      </c>
      <c r="I820" t="n">
        <v>0</v>
      </c>
      <c r="J820" t="n">
        <v>0</v>
      </c>
      <c r="K820" t="n">
        <v>0</v>
      </c>
      <c r="L820" t="n">
        <v>0</v>
      </c>
      <c r="M820" t="n">
        <v>0</v>
      </c>
      <c r="N820" t="n">
        <v>0</v>
      </c>
      <c r="O820" t="n">
        <v>0</v>
      </c>
      <c r="P820" t="n">
        <v>0</v>
      </c>
      <c r="Q820" t="n">
        <v>0</v>
      </c>
      <c r="R820" s="2" t="inlineStr"/>
    </row>
    <row r="821" ht="15" customHeight="1">
      <c r="A821" t="inlineStr">
        <is>
          <t>A 46069-2022</t>
        </is>
      </c>
      <c r="B821" s="1" t="n">
        <v>44847</v>
      </c>
      <c r="C821" s="1" t="n">
        <v>45708</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46079-2022</t>
        </is>
      </c>
      <c r="B822" s="1" t="n">
        <v>44847</v>
      </c>
      <c r="C822" s="1" t="n">
        <v>45708</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46293-2022</t>
        </is>
      </c>
      <c r="B823" s="1" t="n">
        <v>44847</v>
      </c>
      <c r="C823" s="1" t="n">
        <v>45708</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46805-2022</t>
        </is>
      </c>
      <c r="B824" s="1" t="n">
        <v>44847</v>
      </c>
      <c r="C824" s="1" t="n">
        <v>45708</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46807-2022</t>
        </is>
      </c>
      <c r="B825" s="1" t="n">
        <v>44848</v>
      </c>
      <c r="C825" s="1" t="n">
        <v>45708</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46635-2022</t>
        </is>
      </c>
      <c r="B826" s="1" t="n">
        <v>44849</v>
      </c>
      <c r="C826" s="1" t="n">
        <v>45708</v>
      </c>
      <c r="D826" t="inlineStr">
        <is>
          <t>UPPSALA LÄN</t>
        </is>
      </c>
      <c r="E826" t="inlineStr">
        <is>
          <t>UPPSALA</t>
        </is>
      </c>
      <c r="G826" t="n">
        <v>3.4</v>
      </c>
      <c r="H826" t="n">
        <v>0</v>
      </c>
      <c r="I826" t="n">
        <v>0</v>
      </c>
      <c r="J826" t="n">
        <v>0</v>
      </c>
      <c r="K826" t="n">
        <v>0</v>
      </c>
      <c r="L826" t="n">
        <v>0</v>
      </c>
      <c r="M826" t="n">
        <v>0</v>
      </c>
      <c r="N826" t="n">
        <v>0</v>
      </c>
      <c r="O826" t="n">
        <v>0</v>
      </c>
      <c r="P826" t="n">
        <v>0</v>
      </c>
      <c r="Q826" t="n">
        <v>0</v>
      </c>
      <c r="R826" s="2" t="inlineStr"/>
    </row>
    <row r="827" ht="15" customHeight="1">
      <c r="A827" t="inlineStr">
        <is>
          <t>A 47413-2022</t>
        </is>
      </c>
      <c r="B827" s="1" t="n">
        <v>44853</v>
      </c>
      <c r="C827" s="1" t="n">
        <v>45708</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48686-2022</t>
        </is>
      </c>
      <c r="B828" s="1" t="n">
        <v>44859</v>
      </c>
      <c r="C828" s="1" t="n">
        <v>45708</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48588-2022</t>
        </is>
      </c>
      <c r="B829" s="1" t="n">
        <v>44859</v>
      </c>
      <c r="C829" s="1" t="n">
        <v>45708</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48692-2022</t>
        </is>
      </c>
      <c r="B830" s="1" t="n">
        <v>44859</v>
      </c>
      <c r="C830" s="1" t="n">
        <v>45708</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48688-2022</t>
        </is>
      </c>
      <c r="B831" s="1" t="n">
        <v>44859</v>
      </c>
      <c r="C831" s="1" t="n">
        <v>45708</v>
      </c>
      <c r="D831" t="inlineStr">
        <is>
          <t>UPPSALA LÄN</t>
        </is>
      </c>
      <c r="E831" t="inlineStr">
        <is>
          <t>UPPSALA</t>
        </is>
      </c>
      <c r="G831" t="n">
        <v>1</v>
      </c>
      <c r="H831" t="n">
        <v>0</v>
      </c>
      <c r="I831" t="n">
        <v>0</v>
      </c>
      <c r="J831" t="n">
        <v>0</v>
      </c>
      <c r="K831" t="n">
        <v>0</v>
      </c>
      <c r="L831" t="n">
        <v>0</v>
      </c>
      <c r="M831" t="n">
        <v>0</v>
      </c>
      <c r="N831" t="n">
        <v>0</v>
      </c>
      <c r="O831" t="n">
        <v>0</v>
      </c>
      <c r="P831" t="n">
        <v>0</v>
      </c>
      <c r="Q831" t="n">
        <v>0</v>
      </c>
      <c r="R831" s="2" t="inlineStr"/>
    </row>
    <row r="832" ht="15" customHeight="1">
      <c r="A832" t="inlineStr">
        <is>
          <t>A 50006-2022</t>
        </is>
      </c>
      <c r="B832" s="1" t="n">
        <v>44865</v>
      </c>
      <c r="C832" s="1" t="n">
        <v>45708</v>
      </c>
      <c r="D832" t="inlineStr">
        <is>
          <t>UPPSALA LÄN</t>
        </is>
      </c>
      <c r="E832" t="inlineStr">
        <is>
          <t>UPPSALA</t>
        </is>
      </c>
      <c r="G832" t="n">
        <v>1.5</v>
      </c>
      <c r="H832" t="n">
        <v>0</v>
      </c>
      <c r="I832" t="n">
        <v>0</v>
      </c>
      <c r="J832" t="n">
        <v>0</v>
      </c>
      <c r="K832" t="n">
        <v>0</v>
      </c>
      <c r="L832" t="n">
        <v>0</v>
      </c>
      <c r="M832" t="n">
        <v>0</v>
      </c>
      <c r="N832" t="n">
        <v>0</v>
      </c>
      <c r="O832" t="n">
        <v>0</v>
      </c>
      <c r="P832" t="n">
        <v>0</v>
      </c>
      <c r="Q832" t="n">
        <v>0</v>
      </c>
      <c r="R832" s="2" t="inlineStr"/>
    </row>
    <row r="833" ht="15" customHeight="1">
      <c r="A833" t="inlineStr">
        <is>
          <t>A 50092-2022</t>
        </is>
      </c>
      <c r="B833" s="1" t="n">
        <v>44865</v>
      </c>
      <c r="C833" s="1" t="n">
        <v>45708</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50954-2022</t>
        </is>
      </c>
      <c r="B834" s="1" t="n">
        <v>44866</v>
      </c>
      <c r="C834" s="1" t="n">
        <v>45708</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51661-2022</t>
        </is>
      </c>
      <c r="B835" s="1" t="n">
        <v>44872</v>
      </c>
      <c r="C835" s="1" t="n">
        <v>45708</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51899-2022</t>
        </is>
      </c>
      <c r="B836" s="1" t="n">
        <v>44872</v>
      </c>
      <c r="C836" s="1" t="n">
        <v>45708</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54715-2022</t>
        </is>
      </c>
      <c r="B837" s="1" t="n">
        <v>44883</v>
      </c>
      <c r="C837" s="1" t="n">
        <v>45708</v>
      </c>
      <c r="D837" t="inlineStr">
        <is>
          <t>UPPSALA LÄN</t>
        </is>
      </c>
      <c r="E837" t="inlineStr">
        <is>
          <t>UPPSALA</t>
        </is>
      </c>
      <c r="F837" t="inlineStr">
        <is>
          <t>Övriga Aktiebolag</t>
        </is>
      </c>
      <c r="G837" t="n">
        <v>9.5</v>
      </c>
      <c r="H837" t="n">
        <v>0</v>
      </c>
      <c r="I837" t="n">
        <v>0</v>
      </c>
      <c r="J837" t="n">
        <v>0</v>
      </c>
      <c r="K837" t="n">
        <v>0</v>
      </c>
      <c r="L837" t="n">
        <v>0</v>
      </c>
      <c r="M837" t="n">
        <v>0</v>
      </c>
      <c r="N837" t="n">
        <v>0</v>
      </c>
      <c r="O837" t="n">
        <v>0</v>
      </c>
      <c r="P837" t="n">
        <v>0</v>
      </c>
      <c r="Q837" t="n">
        <v>0</v>
      </c>
      <c r="R837" s="2" t="inlineStr"/>
    </row>
    <row r="838" ht="15" customHeight="1">
      <c r="A838" t="inlineStr">
        <is>
          <t>A 54732-2022</t>
        </is>
      </c>
      <c r="B838" s="1" t="n">
        <v>44883</v>
      </c>
      <c r="C838" s="1" t="n">
        <v>45708</v>
      </c>
      <c r="D838" t="inlineStr">
        <is>
          <t>UPPSALA LÄN</t>
        </is>
      </c>
      <c r="E838" t="inlineStr">
        <is>
          <t>UPPSALA</t>
        </is>
      </c>
      <c r="F838" t="inlineStr">
        <is>
          <t>Övriga Aktiebolag</t>
        </is>
      </c>
      <c r="G838" t="n">
        <v>0.7</v>
      </c>
      <c r="H838" t="n">
        <v>0</v>
      </c>
      <c r="I838" t="n">
        <v>0</v>
      </c>
      <c r="J838" t="n">
        <v>0</v>
      </c>
      <c r="K838" t="n">
        <v>0</v>
      </c>
      <c r="L838" t="n">
        <v>0</v>
      </c>
      <c r="M838" t="n">
        <v>0</v>
      </c>
      <c r="N838" t="n">
        <v>0</v>
      </c>
      <c r="O838" t="n">
        <v>0</v>
      </c>
      <c r="P838" t="n">
        <v>0</v>
      </c>
      <c r="Q838" t="n">
        <v>0</v>
      </c>
      <c r="R838" s="2" t="inlineStr"/>
    </row>
    <row r="839" ht="15" customHeight="1">
      <c r="A839" t="inlineStr">
        <is>
          <t>A 54813-2022</t>
        </is>
      </c>
      <c r="B839" s="1" t="n">
        <v>44883</v>
      </c>
      <c r="C839" s="1" t="n">
        <v>45708</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55021-2022</t>
        </is>
      </c>
      <c r="B840" s="1" t="n">
        <v>44886</v>
      </c>
      <c r="C840" s="1" t="n">
        <v>45708</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55040-2022</t>
        </is>
      </c>
      <c r="B841" s="1" t="n">
        <v>44886</v>
      </c>
      <c r="C841" s="1" t="n">
        <v>45708</v>
      </c>
      <c r="D841" t="inlineStr">
        <is>
          <t>UPPSALA LÄN</t>
        </is>
      </c>
      <c r="E841" t="inlineStr">
        <is>
          <t>UPPSALA</t>
        </is>
      </c>
      <c r="F841" t="inlineStr">
        <is>
          <t>Sveaskog</t>
        </is>
      </c>
      <c r="G841" t="n">
        <v>5.3</v>
      </c>
      <c r="H841" t="n">
        <v>0</v>
      </c>
      <c r="I841" t="n">
        <v>0</v>
      </c>
      <c r="J841" t="n">
        <v>0</v>
      </c>
      <c r="K841" t="n">
        <v>0</v>
      </c>
      <c r="L841" t="n">
        <v>0</v>
      </c>
      <c r="M841" t="n">
        <v>0</v>
      </c>
      <c r="N841" t="n">
        <v>0</v>
      </c>
      <c r="O841" t="n">
        <v>0</v>
      </c>
      <c r="P841" t="n">
        <v>0</v>
      </c>
      <c r="Q841" t="n">
        <v>0</v>
      </c>
      <c r="R841" s="2" t="inlineStr"/>
    </row>
    <row r="842" ht="15" customHeight="1">
      <c r="A842" t="inlineStr">
        <is>
          <t>A 55073-2022</t>
        </is>
      </c>
      <c r="B842" s="1" t="n">
        <v>44886</v>
      </c>
      <c r="C842" s="1" t="n">
        <v>45708</v>
      </c>
      <c r="D842" t="inlineStr">
        <is>
          <t>UPPSALA LÄN</t>
        </is>
      </c>
      <c r="E842" t="inlineStr">
        <is>
          <t>UPPSALA</t>
        </is>
      </c>
      <c r="G842" t="n">
        <v>1</v>
      </c>
      <c r="H842" t="n">
        <v>0</v>
      </c>
      <c r="I842" t="n">
        <v>0</v>
      </c>
      <c r="J842" t="n">
        <v>0</v>
      </c>
      <c r="K842" t="n">
        <v>0</v>
      </c>
      <c r="L842" t="n">
        <v>0</v>
      </c>
      <c r="M842" t="n">
        <v>0</v>
      </c>
      <c r="N842" t="n">
        <v>0</v>
      </c>
      <c r="O842" t="n">
        <v>0</v>
      </c>
      <c r="P842" t="n">
        <v>0</v>
      </c>
      <c r="Q842" t="n">
        <v>0</v>
      </c>
      <c r="R842" s="2" t="inlineStr"/>
    </row>
    <row r="843" ht="15" customHeight="1">
      <c r="A843" t="inlineStr">
        <is>
          <t>A 55066-2022</t>
        </is>
      </c>
      <c r="B843" s="1" t="n">
        <v>44886</v>
      </c>
      <c r="C843" s="1" t="n">
        <v>45708</v>
      </c>
      <c r="D843" t="inlineStr">
        <is>
          <t>UPPSALA LÄN</t>
        </is>
      </c>
      <c r="E843" t="inlineStr">
        <is>
          <t>UPPSALA</t>
        </is>
      </c>
      <c r="G843" t="n">
        <v>0.4</v>
      </c>
      <c r="H843" t="n">
        <v>0</v>
      </c>
      <c r="I843" t="n">
        <v>0</v>
      </c>
      <c r="J843" t="n">
        <v>0</v>
      </c>
      <c r="K843" t="n">
        <v>0</v>
      </c>
      <c r="L843" t="n">
        <v>0</v>
      </c>
      <c r="M843" t="n">
        <v>0</v>
      </c>
      <c r="N843" t="n">
        <v>0</v>
      </c>
      <c r="O843" t="n">
        <v>0</v>
      </c>
      <c r="P843" t="n">
        <v>0</v>
      </c>
      <c r="Q843" t="n">
        <v>0</v>
      </c>
      <c r="R843" s="2" t="inlineStr"/>
    </row>
    <row r="844" ht="15" customHeight="1">
      <c r="A844" t="inlineStr">
        <is>
          <t>A 55401-2022</t>
        </is>
      </c>
      <c r="B844" s="1" t="n">
        <v>44887</v>
      </c>
      <c r="C844" s="1" t="n">
        <v>45708</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55862-2022</t>
        </is>
      </c>
      <c r="B845" s="1" t="n">
        <v>44888</v>
      </c>
      <c r="C845" s="1" t="n">
        <v>45708</v>
      </c>
      <c r="D845" t="inlineStr">
        <is>
          <t>UPPSALA LÄN</t>
        </is>
      </c>
      <c r="E845" t="inlineStr">
        <is>
          <t>UPPSALA</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56679-2022</t>
        </is>
      </c>
      <c r="B846" s="1" t="n">
        <v>44893</v>
      </c>
      <c r="C846" s="1" t="n">
        <v>45708</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56889-2022</t>
        </is>
      </c>
      <c r="B847" s="1" t="n">
        <v>44894</v>
      </c>
      <c r="C847" s="1" t="n">
        <v>45708</v>
      </c>
      <c r="D847" t="inlineStr">
        <is>
          <t>UPPSALA LÄN</t>
        </is>
      </c>
      <c r="E847" t="inlineStr">
        <is>
          <t>UPPSALA</t>
        </is>
      </c>
      <c r="F847" t="inlineStr">
        <is>
          <t>Övriga Aktiebolag</t>
        </is>
      </c>
      <c r="G847" t="n">
        <v>21.6</v>
      </c>
      <c r="H847" t="n">
        <v>0</v>
      </c>
      <c r="I847" t="n">
        <v>0</v>
      </c>
      <c r="J847" t="n">
        <v>0</v>
      </c>
      <c r="K847" t="n">
        <v>0</v>
      </c>
      <c r="L847" t="n">
        <v>0</v>
      </c>
      <c r="M847" t="n">
        <v>0</v>
      </c>
      <c r="N847" t="n">
        <v>0</v>
      </c>
      <c r="O847" t="n">
        <v>0</v>
      </c>
      <c r="P847" t="n">
        <v>0</v>
      </c>
      <c r="Q847" t="n">
        <v>0</v>
      </c>
      <c r="R847" s="2" t="inlineStr"/>
    </row>
    <row r="848" ht="15" customHeight="1">
      <c r="A848" t="inlineStr">
        <is>
          <t>A 56795-2022</t>
        </is>
      </c>
      <c r="B848" s="1" t="n">
        <v>44894</v>
      </c>
      <c r="C848" s="1" t="n">
        <v>45708</v>
      </c>
      <c r="D848" t="inlineStr">
        <is>
          <t>UPPSALA LÄN</t>
        </is>
      </c>
      <c r="E848" t="inlineStr">
        <is>
          <t>UPPSALA</t>
        </is>
      </c>
      <c r="F848" t="inlineStr">
        <is>
          <t>Holmen skog AB</t>
        </is>
      </c>
      <c r="G848" t="n">
        <v>4.1</v>
      </c>
      <c r="H848" t="n">
        <v>0</v>
      </c>
      <c r="I848" t="n">
        <v>0</v>
      </c>
      <c r="J848" t="n">
        <v>0</v>
      </c>
      <c r="K848" t="n">
        <v>0</v>
      </c>
      <c r="L848" t="n">
        <v>0</v>
      </c>
      <c r="M848" t="n">
        <v>0</v>
      </c>
      <c r="N848" t="n">
        <v>0</v>
      </c>
      <c r="O848" t="n">
        <v>0</v>
      </c>
      <c r="P848" t="n">
        <v>0</v>
      </c>
      <c r="Q848" t="n">
        <v>0</v>
      </c>
      <c r="R848" s="2" t="inlineStr"/>
    </row>
    <row r="849" ht="15" customHeight="1">
      <c r="A849" t="inlineStr">
        <is>
          <t>A 56779-2022</t>
        </is>
      </c>
      <c r="B849" s="1" t="n">
        <v>44894</v>
      </c>
      <c r="C849" s="1" t="n">
        <v>45708</v>
      </c>
      <c r="D849" t="inlineStr">
        <is>
          <t>UPPSALA LÄN</t>
        </is>
      </c>
      <c r="E849" t="inlineStr">
        <is>
          <t>UPPSALA</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57495-2022</t>
        </is>
      </c>
      <c r="B850" s="1" t="n">
        <v>44896</v>
      </c>
      <c r="C850" s="1" t="n">
        <v>45708</v>
      </c>
      <c r="D850" t="inlineStr">
        <is>
          <t>UPPSALA LÄN</t>
        </is>
      </c>
      <c r="E850" t="inlineStr">
        <is>
          <t>UPPSALA</t>
        </is>
      </c>
      <c r="G850" t="n">
        <v>7</v>
      </c>
      <c r="H850" t="n">
        <v>0</v>
      </c>
      <c r="I850" t="n">
        <v>0</v>
      </c>
      <c r="J850" t="n">
        <v>0</v>
      </c>
      <c r="K850" t="n">
        <v>0</v>
      </c>
      <c r="L850" t="n">
        <v>0</v>
      </c>
      <c r="M850" t="n">
        <v>0</v>
      </c>
      <c r="N850" t="n">
        <v>0</v>
      </c>
      <c r="O850" t="n">
        <v>0</v>
      </c>
      <c r="P850" t="n">
        <v>0</v>
      </c>
      <c r="Q850" t="n">
        <v>0</v>
      </c>
      <c r="R850" s="2" t="inlineStr"/>
    </row>
    <row r="851" ht="15" customHeight="1">
      <c r="A851" t="inlineStr">
        <is>
          <t>A 57714-2022</t>
        </is>
      </c>
      <c r="B851" s="1" t="n">
        <v>44897</v>
      </c>
      <c r="C851" s="1" t="n">
        <v>45708</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57809-2022</t>
        </is>
      </c>
      <c r="B852" s="1" t="n">
        <v>44897</v>
      </c>
      <c r="C852" s="1" t="n">
        <v>45708</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58023-2022</t>
        </is>
      </c>
      <c r="B853" s="1" t="n">
        <v>44900</v>
      </c>
      <c r="C853" s="1" t="n">
        <v>45708</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58096-2022</t>
        </is>
      </c>
      <c r="B854" s="1" t="n">
        <v>44900</v>
      </c>
      <c r="C854" s="1" t="n">
        <v>45708</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58243-2022</t>
        </is>
      </c>
      <c r="B855" s="1" t="n">
        <v>44901</v>
      </c>
      <c r="C855" s="1" t="n">
        <v>45708</v>
      </c>
      <c r="D855" t="inlineStr">
        <is>
          <t>UPPSALA LÄN</t>
        </is>
      </c>
      <c r="E855" t="inlineStr">
        <is>
          <t>UPPSALA</t>
        </is>
      </c>
      <c r="F855" t="inlineStr">
        <is>
          <t>Sveaskog</t>
        </is>
      </c>
      <c r="G855" t="n">
        <v>1.6</v>
      </c>
      <c r="H855" t="n">
        <v>0</v>
      </c>
      <c r="I855" t="n">
        <v>0</v>
      </c>
      <c r="J855" t="n">
        <v>0</v>
      </c>
      <c r="K855" t="n">
        <v>0</v>
      </c>
      <c r="L855" t="n">
        <v>0</v>
      </c>
      <c r="M855" t="n">
        <v>0</v>
      </c>
      <c r="N855" t="n">
        <v>0</v>
      </c>
      <c r="O855" t="n">
        <v>0</v>
      </c>
      <c r="P855" t="n">
        <v>0</v>
      </c>
      <c r="Q855" t="n">
        <v>0</v>
      </c>
      <c r="R855" s="2" t="inlineStr"/>
    </row>
    <row r="856" ht="15" customHeight="1">
      <c r="A856" t="inlineStr">
        <is>
          <t>A 59133-2022</t>
        </is>
      </c>
      <c r="B856" s="1" t="n">
        <v>44904</v>
      </c>
      <c r="C856" s="1" t="n">
        <v>45708</v>
      </c>
      <c r="D856" t="inlineStr">
        <is>
          <t>UPPSALA LÄN</t>
        </is>
      </c>
      <c r="E856" t="inlineStr">
        <is>
          <t>UPPSALA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59730-2022</t>
        </is>
      </c>
      <c r="B857" s="1" t="n">
        <v>44908</v>
      </c>
      <c r="C857" s="1" t="n">
        <v>45708</v>
      </c>
      <c r="D857" t="inlineStr">
        <is>
          <t>UPPSALA LÄN</t>
        </is>
      </c>
      <c r="E857" t="inlineStr">
        <is>
          <t>UPPSALA</t>
        </is>
      </c>
      <c r="G857" t="n">
        <v>1.3</v>
      </c>
      <c r="H857" t="n">
        <v>0</v>
      </c>
      <c r="I857" t="n">
        <v>0</v>
      </c>
      <c r="J857" t="n">
        <v>0</v>
      </c>
      <c r="K857" t="n">
        <v>0</v>
      </c>
      <c r="L857" t="n">
        <v>0</v>
      </c>
      <c r="M857" t="n">
        <v>0</v>
      </c>
      <c r="N857" t="n">
        <v>0</v>
      </c>
      <c r="O857" t="n">
        <v>0</v>
      </c>
      <c r="P857" t="n">
        <v>0</v>
      </c>
      <c r="Q857" t="n">
        <v>0</v>
      </c>
      <c r="R857" s="2" t="inlineStr"/>
    </row>
    <row r="858" ht="15" customHeight="1">
      <c r="A858" t="inlineStr">
        <is>
          <t>A 59719-2022</t>
        </is>
      </c>
      <c r="B858" s="1" t="n">
        <v>44908</v>
      </c>
      <c r="C858" s="1" t="n">
        <v>45708</v>
      </c>
      <c r="D858" t="inlineStr">
        <is>
          <t>UPPSALA LÄN</t>
        </is>
      </c>
      <c r="E858" t="inlineStr">
        <is>
          <t>UPPSALA</t>
        </is>
      </c>
      <c r="G858" t="n">
        <v>3.6</v>
      </c>
      <c r="H858" t="n">
        <v>0</v>
      </c>
      <c r="I858" t="n">
        <v>0</v>
      </c>
      <c r="J858" t="n">
        <v>0</v>
      </c>
      <c r="K858" t="n">
        <v>0</v>
      </c>
      <c r="L858" t="n">
        <v>0</v>
      </c>
      <c r="M858" t="n">
        <v>0</v>
      </c>
      <c r="N858" t="n">
        <v>0</v>
      </c>
      <c r="O858" t="n">
        <v>0</v>
      </c>
      <c r="P858" t="n">
        <v>0</v>
      </c>
      <c r="Q858" t="n">
        <v>0</v>
      </c>
      <c r="R858" s="2" t="inlineStr"/>
    </row>
    <row r="859" ht="15" customHeight="1">
      <c r="A859" t="inlineStr">
        <is>
          <t>A 59727-2022</t>
        </is>
      </c>
      <c r="B859" s="1" t="n">
        <v>44908</v>
      </c>
      <c r="C859" s="1" t="n">
        <v>45708</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60056-2022</t>
        </is>
      </c>
      <c r="B860" s="1" t="n">
        <v>44909</v>
      </c>
      <c r="C860" s="1" t="n">
        <v>45708</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60047-2022</t>
        </is>
      </c>
      <c r="B861" s="1" t="n">
        <v>44909</v>
      </c>
      <c r="C861" s="1" t="n">
        <v>45708</v>
      </c>
      <c r="D861" t="inlineStr">
        <is>
          <t>UPPSALA LÄN</t>
        </is>
      </c>
      <c r="E861" t="inlineStr">
        <is>
          <t>UPPSALA</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60702-2022</t>
        </is>
      </c>
      <c r="B862" s="1" t="n">
        <v>44912</v>
      </c>
      <c r="C862" s="1" t="n">
        <v>45708</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60701-2022</t>
        </is>
      </c>
      <c r="B863" s="1" t="n">
        <v>44912</v>
      </c>
      <c r="C863" s="1" t="n">
        <v>45708</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60984-2022</t>
        </is>
      </c>
      <c r="B864" s="1" t="n">
        <v>44914</v>
      </c>
      <c r="C864" s="1" t="n">
        <v>45708</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60986-2022</t>
        </is>
      </c>
      <c r="B865" s="1" t="n">
        <v>44914</v>
      </c>
      <c r="C865" s="1" t="n">
        <v>45708</v>
      </c>
      <c r="D865" t="inlineStr">
        <is>
          <t>UPPSALA LÄN</t>
        </is>
      </c>
      <c r="E865" t="inlineStr">
        <is>
          <t>UPPSALA</t>
        </is>
      </c>
      <c r="G865" t="n">
        <v>1.6</v>
      </c>
      <c r="H865" t="n">
        <v>0</v>
      </c>
      <c r="I865" t="n">
        <v>0</v>
      </c>
      <c r="J865" t="n">
        <v>0</v>
      </c>
      <c r="K865" t="n">
        <v>0</v>
      </c>
      <c r="L865" t="n">
        <v>0</v>
      </c>
      <c r="M865" t="n">
        <v>0</v>
      </c>
      <c r="N865" t="n">
        <v>0</v>
      </c>
      <c r="O865" t="n">
        <v>0</v>
      </c>
      <c r="P865" t="n">
        <v>0</v>
      </c>
      <c r="Q865" t="n">
        <v>0</v>
      </c>
      <c r="R865" s="2" t="inlineStr"/>
    </row>
    <row r="866" ht="15" customHeight="1">
      <c r="A866" t="inlineStr">
        <is>
          <t>A 60988-2022</t>
        </is>
      </c>
      <c r="B866" s="1" t="n">
        <v>44914</v>
      </c>
      <c r="C866" s="1" t="n">
        <v>45708</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61526-2022</t>
        </is>
      </c>
      <c r="B867" s="1" t="n">
        <v>44916</v>
      </c>
      <c r="C867" s="1" t="n">
        <v>45708</v>
      </c>
      <c r="D867" t="inlineStr">
        <is>
          <t>UPPSALA LÄN</t>
        </is>
      </c>
      <c r="E867" t="inlineStr">
        <is>
          <t>UPPSALA</t>
        </is>
      </c>
      <c r="F867" t="inlineStr">
        <is>
          <t>Kyrkan</t>
        </is>
      </c>
      <c r="G867" t="n">
        <v>1.2</v>
      </c>
      <c r="H867" t="n">
        <v>0</v>
      </c>
      <c r="I867" t="n">
        <v>0</v>
      </c>
      <c r="J867" t="n">
        <v>0</v>
      </c>
      <c r="K867" t="n">
        <v>0</v>
      </c>
      <c r="L867" t="n">
        <v>0</v>
      </c>
      <c r="M867" t="n">
        <v>0</v>
      </c>
      <c r="N867" t="n">
        <v>0</v>
      </c>
      <c r="O867" t="n">
        <v>0</v>
      </c>
      <c r="P867" t="n">
        <v>0</v>
      </c>
      <c r="Q867" t="n">
        <v>0</v>
      </c>
      <c r="R867" s="2" t="inlineStr"/>
    </row>
    <row r="868" ht="15" customHeight="1">
      <c r="A868" t="inlineStr">
        <is>
          <t>A 61578-2022</t>
        </is>
      </c>
      <c r="B868" s="1" t="n">
        <v>44916</v>
      </c>
      <c r="C868" s="1" t="n">
        <v>45708</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62311-2022</t>
        </is>
      </c>
      <c r="B869" s="1" t="n">
        <v>44916</v>
      </c>
      <c r="C869" s="1" t="n">
        <v>45708</v>
      </c>
      <c r="D869" t="inlineStr">
        <is>
          <t>UPPSALA LÄN</t>
        </is>
      </c>
      <c r="E869" t="inlineStr">
        <is>
          <t>UPPSALA</t>
        </is>
      </c>
      <c r="G869" t="n">
        <v>7.6</v>
      </c>
      <c r="H869" t="n">
        <v>0</v>
      </c>
      <c r="I869" t="n">
        <v>0</v>
      </c>
      <c r="J869" t="n">
        <v>0</v>
      </c>
      <c r="K869" t="n">
        <v>0</v>
      </c>
      <c r="L869" t="n">
        <v>0</v>
      </c>
      <c r="M869" t="n">
        <v>0</v>
      </c>
      <c r="N869" t="n">
        <v>0</v>
      </c>
      <c r="O869" t="n">
        <v>0</v>
      </c>
      <c r="P869" t="n">
        <v>0</v>
      </c>
      <c r="Q869" t="n">
        <v>0</v>
      </c>
      <c r="R869" s="2" t="inlineStr"/>
    </row>
    <row r="870" ht="15" customHeight="1">
      <c r="A870" t="inlineStr">
        <is>
          <t>A 111-2023</t>
        </is>
      </c>
      <c r="B870" s="1" t="n">
        <v>44928</v>
      </c>
      <c r="C870" s="1" t="n">
        <v>45708</v>
      </c>
      <c r="D870" t="inlineStr">
        <is>
          <t>UPPSALA LÄN</t>
        </is>
      </c>
      <c r="E870" t="inlineStr">
        <is>
          <t>UPPSALA</t>
        </is>
      </c>
      <c r="F870" t="inlineStr">
        <is>
          <t>Kommuner</t>
        </is>
      </c>
      <c r="G870" t="n">
        <v>4.8</v>
      </c>
      <c r="H870" t="n">
        <v>0</v>
      </c>
      <c r="I870" t="n">
        <v>0</v>
      </c>
      <c r="J870" t="n">
        <v>0</v>
      </c>
      <c r="K870" t="n">
        <v>0</v>
      </c>
      <c r="L870" t="n">
        <v>0</v>
      </c>
      <c r="M870" t="n">
        <v>0</v>
      </c>
      <c r="N870" t="n">
        <v>0</v>
      </c>
      <c r="O870" t="n">
        <v>0</v>
      </c>
      <c r="P870" t="n">
        <v>0</v>
      </c>
      <c r="Q870" t="n">
        <v>0</v>
      </c>
      <c r="R870" s="2" t="inlineStr"/>
    </row>
    <row r="871" ht="15" customHeight="1">
      <c r="A871" t="inlineStr">
        <is>
          <t>A 179-2023</t>
        </is>
      </c>
      <c r="B871" s="1" t="n">
        <v>44928</v>
      </c>
      <c r="C871" s="1" t="n">
        <v>45708</v>
      </c>
      <c r="D871" t="inlineStr">
        <is>
          <t>UPPSALA LÄN</t>
        </is>
      </c>
      <c r="E871" t="inlineStr">
        <is>
          <t>UPPSALA</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367-2023</t>
        </is>
      </c>
      <c r="B872" s="1" t="n">
        <v>44929</v>
      </c>
      <c r="C872" s="1" t="n">
        <v>45708</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554-2023</t>
        </is>
      </c>
      <c r="B873" s="1" t="n">
        <v>44930</v>
      </c>
      <c r="C873" s="1" t="n">
        <v>45708</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686-2023</t>
        </is>
      </c>
      <c r="B874" s="1" t="n">
        <v>44930</v>
      </c>
      <c r="C874" s="1" t="n">
        <v>45708</v>
      </c>
      <c r="D874" t="inlineStr">
        <is>
          <t>UPPSALA LÄN</t>
        </is>
      </c>
      <c r="E874" t="inlineStr">
        <is>
          <t>UPPSALA</t>
        </is>
      </c>
      <c r="F874" t="inlineStr">
        <is>
          <t>Bergvik skog öst AB</t>
        </is>
      </c>
      <c r="G874" t="n">
        <v>4.6</v>
      </c>
      <c r="H874" t="n">
        <v>0</v>
      </c>
      <c r="I874" t="n">
        <v>0</v>
      </c>
      <c r="J874" t="n">
        <v>0</v>
      </c>
      <c r="K874" t="n">
        <v>0</v>
      </c>
      <c r="L874" t="n">
        <v>0</v>
      </c>
      <c r="M874" t="n">
        <v>0</v>
      </c>
      <c r="N874" t="n">
        <v>0</v>
      </c>
      <c r="O874" t="n">
        <v>0</v>
      </c>
      <c r="P874" t="n">
        <v>0</v>
      </c>
      <c r="Q874" t="n">
        <v>0</v>
      </c>
      <c r="R874" s="2" t="inlineStr"/>
    </row>
    <row r="875" ht="15" customHeight="1">
      <c r="A875" t="inlineStr">
        <is>
          <t>A 1032-2023</t>
        </is>
      </c>
      <c r="B875" s="1" t="n">
        <v>44935</v>
      </c>
      <c r="C875" s="1" t="n">
        <v>45708</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1357-2023</t>
        </is>
      </c>
      <c r="B876" s="1" t="n">
        <v>44936</v>
      </c>
      <c r="C876" s="1" t="n">
        <v>45708</v>
      </c>
      <c r="D876" t="inlineStr">
        <is>
          <t>UPPSALA LÄN</t>
        </is>
      </c>
      <c r="E876" t="inlineStr">
        <is>
          <t>UPPSALA</t>
        </is>
      </c>
      <c r="F876" t="inlineStr">
        <is>
          <t>Bergvik skog öst AB</t>
        </is>
      </c>
      <c r="G876" t="n">
        <v>1.9</v>
      </c>
      <c r="H876" t="n">
        <v>0</v>
      </c>
      <c r="I876" t="n">
        <v>0</v>
      </c>
      <c r="J876" t="n">
        <v>0</v>
      </c>
      <c r="K876" t="n">
        <v>0</v>
      </c>
      <c r="L876" t="n">
        <v>0</v>
      </c>
      <c r="M876" t="n">
        <v>0</v>
      </c>
      <c r="N876" t="n">
        <v>0</v>
      </c>
      <c r="O876" t="n">
        <v>0</v>
      </c>
      <c r="P876" t="n">
        <v>0</v>
      </c>
      <c r="Q876" t="n">
        <v>0</v>
      </c>
      <c r="R876" s="2" t="inlineStr"/>
    </row>
    <row r="877" ht="15" customHeight="1">
      <c r="A877" t="inlineStr">
        <is>
          <t>A 2186-2023</t>
        </is>
      </c>
      <c r="B877" s="1" t="n">
        <v>44942</v>
      </c>
      <c r="C877" s="1" t="n">
        <v>45708</v>
      </c>
      <c r="D877" t="inlineStr">
        <is>
          <t>UPPSALA LÄN</t>
        </is>
      </c>
      <c r="E877" t="inlineStr">
        <is>
          <t>UPPSALA</t>
        </is>
      </c>
      <c r="F877" t="inlineStr">
        <is>
          <t>Bergvik skog öst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2622-2023</t>
        </is>
      </c>
      <c r="B878" s="1" t="n">
        <v>44944</v>
      </c>
      <c r="C878" s="1" t="n">
        <v>45708</v>
      </c>
      <c r="D878" t="inlineStr">
        <is>
          <t>UPPSALA LÄN</t>
        </is>
      </c>
      <c r="E878" t="inlineStr">
        <is>
          <t>UPPSALA</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2624-2023</t>
        </is>
      </c>
      <c r="B879" s="1" t="n">
        <v>44944</v>
      </c>
      <c r="C879" s="1" t="n">
        <v>45708</v>
      </c>
      <c r="D879" t="inlineStr">
        <is>
          <t>UPPSALA LÄN</t>
        </is>
      </c>
      <c r="E879" t="inlineStr">
        <is>
          <t>UPPSALA</t>
        </is>
      </c>
      <c r="F879" t="inlineStr">
        <is>
          <t>Kommuner</t>
        </is>
      </c>
      <c r="G879" t="n">
        <v>2.9</v>
      </c>
      <c r="H879" t="n">
        <v>0</v>
      </c>
      <c r="I879" t="n">
        <v>0</v>
      </c>
      <c r="J879" t="n">
        <v>0</v>
      </c>
      <c r="K879" t="n">
        <v>0</v>
      </c>
      <c r="L879" t="n">
        <v>0</v>
      </c>
      <c r="M879" t="n">
        <v>0</v>
      </c>
      <c r="N879" t="n">
        <v>0</v>
      </c>
      <c r="O879" t="n">
        <v>0</v>
      </c>
      <c r="P879" t="n">
        <v>0</v>
      </c>
      <c r="Q879" t="n">
        <v>0</v>
      </c>
      <c r="R879" s="2" t="inlineStr"/>
    </row>
    <row r="880" ht="15" customHeight="1">
      <c r="A880" t="inlineStr">
        <is>
          <t>A 5362-2023</t>
        </is>
      </c>
      <c r="B880" s="1" t="n">
        <v>44944</v>
      </c>
      <c r="C880" s="1" t="n">
        <v>45708</v>
      </c>
      <c r="D880" t="inlineStr">
        <is>
          <t>UPPSALA LÄN</t>
        </is>
      </c>
      <c r="E880" t="inlineStr">
        <is>
          <t>UPPSALA</t>
        </is>
      </c>
      <c r="G880" t="n">
        <v>2.3</v>
      </c>
      <c r="H880" t="n">
        <v>0</v>
      </c>
      <c r="I880" t="n">
        <v>0</v>
      </c>
      <c r="J880" t="n">
        <v>0</v>
      </c>
      <c r="K880" t="n">
        <v>0</v>
      </c>
      <c r="L880" t="n">
        <v>0</v>
      </c>
      <c r="M880" t="n">
        <v>0</v>
      </c>
      <c r="N880" t="n">
        <v>0</v>
      </c>
      <c r="O880" t="n">
        <v>0</v>
      </c>
      <c r="P880" t="n">
        <v>0</v>
      </c>
      <c r="Q880" t="n">
        <v>0</v>
      </c>
      <c r="R880" s="2" t="inlineStr"/>
    </row>
    <row r="881" ht="15" customHeight="1">
      <c r="A881" t="inlineStr">
        <is>
          <t>A 3214-2023</t>
        </is>
      </c>
      <c r="B881" s="1" t="n">
        <v>44944</v>
      </c>
      <c r="C881" s="1" t="n">
        <v>45708</v>
      </c>
      <c r="D881" t="inlineStr">
        <is>
          <t>UPPSALA LÄN</t>
        </is>
      </c>
      <c r="E881" t="inlineStr">
        <is>
          <t>UPPSALA</t>
        </is>
      </c>
      <c r="G881" t="n">
        <v>4.1</v>
      </c>
      <c r="H881" t="n">
        <v>0</v>
      </c>
      <c r="I881" t="n">
        <v>0</v>
      </c>
      <c r="J881" t="n">
        <v>0</v>
      </c>
      <c r="K881" t="n">
        <v>0</v>
      </c>
      <c r="L881" t="n">
        <v>0</v>
      </c>
      <c r="M881" t="n">
        <v>0</v>
      </c>
      <c r="N881" t="n">
        <v>0</v>
      </c>
      <c r="O881" t="n">
        <v>0</v>
      </c>
      <c r="P881" t="n">
        <v>0</v>
      </c>
      <c r="Q881" t="n">
        <v>0</v>
      </c>
      <c r="R881" s="2" t="inlineStr"/>
    </row>
    <row r="882" ht="15" customHeight="1">
      <c r="A882" t="inlineStr">
        <is>
          <t>A 5374-2023</t>
        </is>
      </c>
      <c r="B882" s="1" t="n">
        <v>44944</v>
      </c>
      <c r="C882" s="1" t="n">
        <v>45708</v>
      </c>
      <c r="D882" t="inlineStr">
        <is>
          <t>UPPSALA LÄN</t>
        </is>
      </c>
      <c r="E882" t="inlineStr">
        <is>
          <t>UPPSALA</t>
        </is>
      </c>
      <c r="G882" t="n">
        <v>3.5</v>
      </c>
      <c r="H882" t="n">
        <v>0</v>
      </c>
      <c r="I882" t="n">
        <v>0</v>
      </c>
      <c r="J882" t="n">
        <v>0</v>
      </c>
      <c r="K882" t="n">
        <v>0</v>
      </c>
      <c r="L882" t="n">
        <v>0</v>
      </c>
      <c r="M882" t="n">
        <v>0</v>
      </c>
      <c r="N882" t="n">
        <v>0</v>
      </c>
      <c r="O882" t="n">
        <v>0</v>
      </c>
      <c r="P882" t="n">
        <v>0</v>
      </c>
      <c r="Q882" t="n">
        <v>0</v>
      </c>
      <c r="R882" s="2" t="inlineStr"/>
    </row>
    <row r="883" ht="15" customHeight="1">
      <c r="A883" t="inlineStr">
        <is>
          <t>A 2942-2023</t>
        </is>
      </c>
      <c r="B883" s="1" t="n">
        <v>44945</v>
      </c>
      <c r="C883" s="1" t="n">
        <v>45708</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3040-2023</t>
        </is>
      </c>
      <c r="B884" s="1" t="n">
        <v>44946</v>
      </c>
      <c r="C884" s="1" t="n">
        <v>45708</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3089-2023</t>
        </is>
      </c>
      <c r="B885" s="1" t="n">
        <v>44946</v>
      </c>
      <c r="C885" s="1" t="n">
        <v>45708</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3086-2023</t>
        </is>
      </c>
      <c r="B886" s="1" t="n">
        <v>44946</v>
      </c>
      <c r="C886" s="1" t="n">
        <v>45708</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3092-2023</t>
        </is>
      </c>
      <c r="B887" s="1" t="n">
        <v>44946</v>
      </c>
      <c r="C887" s="1" t="n">
        <v>45708</v>
      </c>
      <c r="D887" t="inlineStr">
        <is>
          <t>UPPSALA LÄN</t>
        </is>
      </c>
      <c r="E887" t="inlineStr">
        <is>
          <t>UPPSALA</t>
        </is>
      </c>
      <c r="G887" t="n">
        <v>2.7</v>
      </c>
      <c r="H887" t="n">
        <v>0</v>
      </c>
      <c r="I887" t="n">
        <v>0</v>
      </c>
      <c r="J887" t="n">
        <v>0</v>
      </c>
      <c r="K887" t="n">
        <v>0</v>
      </c>
      <c r="L887" t="n">
        <v>0</v>
      </c>
      <c r="M887" t="n">
        <v>0</v>
      </c>
      <c r="N887" t="n">
        <v>0</v>
      </c>
      <c r="O887" t="n">
        <v>0</v>
      </c>
      <c r="P887" t="n">
        <v>0</v>
      </c>
      <c r="Q887" t="n">
        <v>0</v>
      </c>
      <c r="R887" s="2" t="inlineStr"/>
    </row>
    <row r="888" ht="15" customHeight="1">
      <c r="A888" t="inlineStr">
        <is>
          <t>A 3343-2023</t>
        </is>
      </c>
      <c r="B888" s="1" t="n">
        <v>44949</v>
      </c>
      <c r="C888" s="1" t="n">
        <v>45708</v>
      </c>
      <c r="D888" t="inlineStr">
        <is>
          <t>UPPSALA LÄN</t>
        </is>
      </c>
      <c r="E888" t="inlineStr">
        <is>
          <t>UPPSALA</t>
        </is>
      </c>
      <c r="F888" t="inlineStr">
        <is>
          <t>Allmännings- och besparingsskogar</t>
        </is>
      </c>
      <c r="G888" t="n">
        <v>2.3</v>
      </c>
      <c r="H888" t="n">
        <v>0</v>
      </c>
      <c r="I888" t="n">
        <v>0</v>
      </c>
      <c r="J888" t="n">
        <v>0</v>
      </c>
      <c r="K888" t="n">
        <v>0</v>
      </c>
      <c r="L888" t="n">
        <v>0</v>
      </c>
      <c r="M888" t="n">
        <v>0</v>
      </c>
      <c r="N888" t="n">
        <v>0</v>
      </c>
      <c r="O888" t="n">
        <v>0</v>
      </c>
      <c r="P888" t="n">
        <v>0</v>
      </c>
      <c r="Q888" t="n">
        <v>0</v>
      </c>
      <c r="R888" s="2" t="inlineStr"/>
    </row>
    <row r="889" ht="15" customHeight="1">
      <c r="A889" t="inlineStr">
        <is>
          <t>A 3353-2023</t>
        </is>
      </c>
      <c r="B889" s="1" t="n">
        <v>44949</v>
      </c>
      <c r="C889" s="1" t="n">
        <v>45708</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3661-2023</t>
        </is>
      </c>
      <c r="B890" s="1" t="n">
        <v>44950</v>
      </c>
      <c r="C890" s="1" t="n">
        <v>45708</v>
      </c>
      <c r="D890" t="inlineStr">
        <is>
          <t>UPPSALA LÄN</t>
        </is>
      </c>
      <c r="E890" t="inlineStr">
        <is>
          <t>UPPSALA</t>
        </is>
      </c>
      <c r="F890" t="inlineStr">
        <is>
          <t>Allmännings- och besparingsskogar</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3940-2023</t>
        </is>
      </c>
      <c r="B891" s="1" t="n">
        <v>44952</v>
      </c>
      <c r="C891" s="1" t="n">
        <v>45708</v>
      </c>
      <c r="D891" t="inlineStr">
        <is>
          <t>UPPSALA LÄN</t>
        </is>
      </c>
      <c r="E891" t="inlineStr">
        <is>
          <t>UPPSALA</t>
        </is>
      </c>
      <c r="F891" t="inlineStr">
        <is>
          <t>Bergvik skog öst AB</t>
        </is>
      </c>
      <c r="G891" t="n">
        <v>20.6</v>
      </c>
      <c r="H891" t="n">
        <v>0</v>
      </c>
      <c r="I891" t="n">
        <v>0</v>
      </c>
      <c r="J891" t="n">
        <v>0</v>
      </c>
      <c r="K891" t="n">
        <v>0</v>
      </c>
      <c r="L891" t="n">
        <v>0</v>
      </c>
      <c r="M891" t="n">
        <v>0</v>
      </c>
      <c r="N891" t="n">
        <v>0</v>
      </c>
      <c r="O891" t="n">
        <v>0</v>
      </c>
      <c r="P891" t="n">
        <v>0</v>
      </c>
      <c r="Q891" t="n">
        <v>0</v>
      </c>
      <c r="R891" s="2" t="inlineStr"/>
    </row>
    <row r="892" ht="15" customHeight="1">
      <c r="A892" t="inlineStr">
        <is>
          <t>A 3939-2023</t>
        </is>
      </c>
      <c r="B892" s="1" t="n">
        <v>44952</v>
      </c>
      <c r="C892" s="1" t="n">
        <v>45708</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5254-2023</t>
        </is>
      </c>
      <c r="B893" s="1" t="n">
        <v>44959</v>
      </c>
      <c r="C893" s="1" t="n">
        <v>45708</v>
      </c>
      <c r="D893" t="inlineStr">
        <is>
          <t>UPPSALA LÄN</t>
        </is>
      </c>
      <c r="E893" t="inlineStr">
        <is>
          <t>UPPSALA</t>
        </is>
      </c>
      <c r="G893" t="n">
        <v>2.6</v>
      </c>
      <c r="H893" t="n">
        <v>0</v>
      </c>
      <c r="I893" t="n">
        <v>0</v>
      </c>
      <c r="J893" t="n">
        <v>0</v>
      </c>
      <c r="K893" t="n">
        <v>0</v>
      </c>
      <c r="L893" t="n">
        <v>0</v>
      </c>
      <c r="M893" t="n">
        <v>0</v>
      </c>
      <c r="N893" t="n">
        <v>0</v>
      </c>
      <c r="O893" t="n">
        <v>0</v>
      </c>
      <c r="P893" t="n">
        <v>0</v>
      </c>
      <c r="Q893" t="n">
        <v>0</v>
      </c>
      <c r="R893" s="2" t="inlineStr"/>
    </row>
    <row r="894" ht="15" customHeight="1">
      <c r="A894" t="inlineStr">
        <is>
          <t>A 5258-2023</t>
        </is>
      </c>
      <c r="B894" s="1" t="n">
        <v>44959</v>
      </c>
      <c r="C894" s="1" t="n">
        <v>45708</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5247-2023</t>
        </is>
      </c>
      <c r="B895" s="1" t="n">
        <v>44959</v>
      </c>
      <c r="C895" s="1" t="n">
        <v>45708</v>
      </c>
      <c r="D895" t="inlineStr">
        <is>
          <t>UPPSALA LÄN</t>
        </is>
      </c>
      <c r="E895" t="inlineStr">
        <is>
          <t>UPPSALA</t>
        </is>
      </c>
      <c r="G895" t="n">
        <v>11.1</v>
      </c>
      <c r="H895" t="n">
        <v>0</v>
      </c>
      <c r="I895" t="n">
        <v>0</v>
      </c>
      <c r="J895" t="n">
        <v>0</v>
      </c>
      <c r="K895" t="n">
        <v>0</v>
      </c>
      <c r="L895" t="n">
        <v>0</v>
      </c>
      <c r="M895" t="n">
        <v>0</v>
      </c>
      <c r="N895" t="n">
        <v>0</v>
      </c>
      <c r="O895" t="n">
        <v>0</v>
      </c>
      <c r="P895" t="n">
        <v>0</v>
      </c>
      <c r="Q895" t="n">
        <v>0</v>
      </c>
      <c r="R895" s="2" t="inlineStr"/>
    </row>
    <row r="896" ht="15" customHeight="1">
      <c r="A896" t="inlineStr">
        <is>
          <t>A 5678-2023</t>
        </is>
      </c>
      <c r="B896" s="1" t="n">
        <v>44960</v>
      </c>
      <c r="C896" s="1" t="n">
        <v>45708</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5682-2023</t>
        </is>
      </c>
      <c r="B897" s="1" t="n">
        <v>44960</v>
      </c>
      <c r="C897" s="1" t="n">
        <v>45708</v>
      </c>
      <c r="D897" t="inlineStr">
        <is>
          <t>UPPSALA LÄN</t>
        </is>
      </c>
      <c r="E897" t="inlineStr">
        <is>
          <t>UPPSALA</t>
        </is>
      </c>
      <c r="F897" t="inlineStr">
        <is>
          <t>Allmännings- och besparingsskogar</t>
        </is>
      </c>
      <c r="G897" t="n">
        <v>14.2</v>
      </c>
      <c r="H897" t="n">
        <v>0</v>
      </c>
      <c r="I897" t="n">
        <v>0</v>
      </c>
      <c r="J897" t="n">
        <v>0</v>
      </c>
      <c r="K897" t="n">
        <v>0</v>
      </c>
      <c r="L897" t="n">
        <v>0</v>
      </c>
      <c r="M897" t="n">
        <v>0</v>
      </c>
      <c r="N897" t="n">
        <v>0</v>
      </c>
      <c r="O897" t="n">
        <v>0</v>
      </c>
      <c r="P897" t="n">
        <v>0</v>
      </c>
      <c r="Q897" t="n">
        <v>0</v>
      </c>
      <c r="R897" s="2" t="inlineStr"/>
    </row>
    <row r="898" ht="15" customHeight="1">
      <c r="A898" t="inlineStr">
        <is>
          <t>A 5663-2023</t>
        </is>
      </c>
      <c r="B898" s="1" t="n">
        <v>44960</v>
      </c>
      <c r="C898" s="1" t="n">
        <v>45708</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5669-2023</t>
        </is>
      </c>
      <c r="B899" s="1" t="n">
        <v>44960</v>
      </c>
      <c r="C899" s="1" t="n">
        <v>45708</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5675-2023</t>
        </is>
      </c>
      <c r="B900" s="1" t="n">
        <v>44960</v>
      </c>
      <c r="C900" s="1" t="n">
        <v>45708</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6213-2023</t>
        </is>
      </c>
      <c r="B901" s="1" t="n">
        <v>44964</v>
      </c>
      <c r="C901" s="1" t="n">
        <v>45708</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6155-2023</t>
        </is>
      </c>
      <c r="B902" s="1" t="n">
        <v>44964</v>
      </c>
      <c r="C902" s="1" t="n">
        <v>45708</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6215-2023</t>
        </is>
      </c>
      <c r="B903" s="1" t="n">
        <v>44964</v>
      </c>
      <c r="C903" s="1" t="n">
        <v>45708</v>
      </c>
      <c r="D903" t="inlineStr">
        <is>
          <t>UPPSALA LÄN</t>
        </is>
      </c>
      <c r="E903" t="inlineStr">
        <is>
          <t>UPPSALA</t>
        </is>
      </c>
      <c r="G903" t="n">
        <v>3.1</v>
      </c>
      <c r="H903" t="n">
        <v>0</v>
      </c>
      <c r="I903" t="n">
        <v>0</v>
      </c>
      <c r="J903" t="n">
        <v>0</v>
      </c>
      <c r="K903" t="n">
        <v>0</v>
      </c>
      <c r="L903" t="n">
        <v>0</v>
      </c>
      <c r="M903" t="n">
        <v>0</v>
      </c>
      <c r="N903" t="n">
        <v>0</v>
      </c>
      <c r="O903" t="n">
        <v>0</v>
      </c>
      <c r="P903" t="n">
        <v>0</v>
      </c>
      <c r="Q903" t="n">
        <v>0</v>
      </c>
      <c r="R903" s="2" t="inlineStr"/>
    </row>
    <row r="904" ht="15" customHeight="1">
      <c r="A904" t="inlineStr">
        <is>
          <t>A 6422-2023</t>
        </is>
      </c>
      <c r="B904" s="1" t="n">
        <v>44965</v>
      </c>
      <c r="C904" s="1" t="n">
        <v>45708</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6423-2023</t>
        </is>
      </c>
      <c r="B905" s="1" t="n">
        <v>44965</v>
      </c>
      <c r="C905" s="1" t="n">
        <v>45708</v>
      </c>
      <c r="D905" t="inlineStr">
        <is>
          <t>UPPSALA LÄN</t>
        </is>
      </c>
      <c r="E905" t="inlineStr">
        <is>
          <t>UPPSALA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6602-2023</t>
        </is>
      </c>
      <c r="B906" s="1" t="n">
        <v>44966</v>
      </c>
      <c r="C906" s="1" t="n">
        <v>45708</v>
      </c>
      <c r="D906" t="inlineStr">
        <is>
          <t>UPPSALA LÄN</t>
        </is>
      </c>
      <c r="E906" t="inlineStr">
        <is>
          <t>UPPSALA</t>
        </is>
      </c>
      <c r="F906" t="inlineStr">
        <is>
          <t>Allmännings- och besparingsskogar</t>
        </is>
      </c>
      <c r="G906" t="n">
        <v>20.2</v>
      </c>
      <c r="H906" t="n">
        <v>0</v>
      </c>
      <c r="I906" t="n">
        <v>0</v>
      </c>
      <c r="J906" t="n">
        <v>0</v>
      </c>
      <c r="K906" t="n">
        <v>0</v>
      </c>
      <c r="L906" t="n">
        <v>0</v>
      </c>
      <c r="M906" t="n">
        <v>0</v>
      </c>
      <c r="N906" t="n">
        <v>0</v>
      </c>
      <c r="O906" t="n">
        <v>0</v>
      </c>
      <c r="P906" t="n">
        <v>0</v>
      </c>
      <c r="Q906" t="n">
        <v>0</v>
      </c>
      <c r="R906" s="2" t="inlineStr"/>
    </row>
    <row r="907" ht="15" customHeight="1">
      <c r="A907" t="inlineStr">
        <is>
          <t>A 6749-2023</t>
        </is>
      </c>
      <c r="B907" s="1" t="n">
        <v>44966</v>
      </c>
      <c r="C907" s="1" t="n">
        <v>45708</v>
      </c>
      <c r="D907" t="inlineStr">
        <is>
          <t>UPPSALA LÄN</t>
        </is>
      </c>
      <c r="E907" t="inlineStr">
        <is>
          <t>UPPSALA</t>
        </is>
      </c>
      <c r="F907" t="inlineStr">
        <is>
          <t>Allmännings- och besparingsskogar</t>
        </is>
      </c>
      <c r="G907" t="n">
        <v>13.5</v>
      </c>
      <c r="H907" t="n">
        <v>0</v>
      </c>
      <c r="I907" t="n">
        <v>0</v>
      </c>
      <c r="J907" t="n">
        <v>0</v>
      </c>
      <c r="K907" t="n">
        <v>0</v>
      </c>
      <c r="L907" t="n">
        <v>0</v>
      </c>
      <c r="M907" t="n">
        <v>0</v>
      </c>
      <c r="N907" t="n">
        <v>0</v>
      </c>
      <c r="O907" t="n">
        <v>0</v>
      </c>
      <c r="P907" t="n">
        <v>0</v>
      </c>
      <c r="Q907" t="n">
        <v>0</v>
      </c>
      <c r="R907" s="2" t="inlineStr"/>
    </row>
    <row r="908" ht="15" customHeight="1">
      <c r="A908" t="inlineStr">
        <is>
          <t>A 6930-2023</t>
        </is>
      </c>
      <c r="B908" s="1" t="n">
        <v>44967</v>
      </c>
      <c r="C908" s="1" t="n">
        <v>45708</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7000-2023</t>
        </is>
      </c>
      <c r="B909" s="1" t="n">
        <v>44967</v>
      </c>
      <c r="C909" s="1" t="n">
        <v>45708</v>
      </c>
      <c r="D909" t="inlineStr">
        <is>
          <t>UPPSALA LÄN</t>
        </is>
      </c>
      <c r="E909" t="inlineStr">
        <is>
          <t>UPPSALA</t>
        </is>
      </c>
      <c r="G909" t="n">
        <v>7.1</v>
      </c>
      <c r="H909" t="n">
        <v>0</v>
      </c>
      <c r="I909" t="n">
        <v>0</v>
      </c>
      <c r="J909" t="n">
        <v>0</v>
      </c>
      <c r="K909" t="n">
        <v>0</v>
      </c>
      <c r="L909" t="n">
        <v>0</v>
      </c>
      <c r="M909" t="n">
        <v>0</v>
      </c>
      <c r="N909" t="n">
        <v>0</v>
      </c>
      <c r="O909" t="n">
        <v>0</v>
      </c>
      <c r="P909" t="n">
        <v>0</v>
      </c>
      <c r="Q909" t="n">
        <v>0</v>
      </c>
      <c r="R909" s="2" t="inlineStr"/>
    </row>
    <row r="910" ht="15" customHeight="1">
      <c r="A910" t="inlineStr">
        <is>
          <t>A 6999-2023</t>
        </is>
      </c>
      <c r="B910" s="1" t="n">
        <v>44967</v>
      </c>
      <c r="C910" s="1" t="n">
        <v>45708</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6997-2023</t>
        </is>
      </c>
      <c r="B911" s="1" t="n">
        <v>44967</v>
      </c>
      <c r="C911" s="1" t="n">
        <v>45708</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7001-2023</t>
        </is>
      </c>
      <c r="B912" s="1" t="n">
        <v>44967</v>
      </c>
      <c r="C912" s="1" t="n">
        <v>45708</v>
      </c>
      <c r="D912" t="inlineStr">
        <is>
          <t>UPPSALA LÄN</t>
        </is>
      </c>
      <c r="E912" t="inlineStr">
        <is>
          <t>UPPSALA</t>
        </is>
      </c>
      <c r="G912" t="n">
        <v>4.3</v>
      </c>
      <c r="H912" t="n">
        <v>0</v>
      </c>
      <c r="I912" t="n">
        <v>0</v>
      </c>
      <c r="J912" t="n">
        <v>0</v>
      </c>
      <c r="K912" t="n">
        <v>0</v>
      </c>
      <c r="L912" t="n">
        <v>0</v>
      </c>
      <c r="M912" t="n">
        <v>0</v>
      </c>
      <c r="N912" t="n">
        <v>0</v>
      </c>
      <c r="O912" t="n">
        <v>0</v>
      </c>
      <c r="P912" t="n">
        <v>0</v>
      </c>
      <c r="Q912" t="n">
        <v>0</v>
      </c>
      <c r="R912" s="2" t="inlineStr"/>
    </row>
    <row r="913" ht="15" customHeight="1">
      <c r="A913" t="inlineStr">
        <is>
          <t>A 7002-2023</t>
        </is>
      </c>
      <c r="B913" s="1" t="n">
        <v>44967</v>
      </c>
      <c r="C913" s="1" t="n">
        <v>45708</v>
      </c>
      <c r="D913" t="inlineStr">
        <is>
          <t>UPPSALA LÄN</t>
        </is>
      </c>
      <c r="E913" t="inlineStr">
        <is>
          <t>UPPSALA</t>
        </is>
      </c>
      <c r="G913" t="n">
        <v>5</v>
      </c>
      <c r="H913" t="n">
        <v>0</v>
      </c>
      <c r="I913" t="n">
        <v>0</v>
      </c>
      <c r="J913" t="n">
        <v>0</v>
      </c>
      <c r="K913" t="n">
        <v>0</v>
      </c>
      <c r="L913" t="n">
        <v>0</v>
      </c>
      <c r="M913" t="n">
        <v>0</v>
      </c>
      <c r="N913" t="n">
        <v>0</v>
      </c>
      <c r="O913" t="n">
        <v>0</v>
      </c>
      <c r="P913" t="n">
        <v>0</v>
      </c>
      <c r="Q913" t="n">
        <v>0</v>
      </c>
      <c r="R913" s="2" t="inlineStr"/>
    </row>
    <row r="914" ht="15" customHeight="1">
      <c r="A914" t="inlineStr">
        <is>
          <t>A 7611-2023</t>
        </is>
      </c>
      <c r="B914" s="1" t="n">
        <v>44967</v>
      </c>
      <c r="C914" s="1" t="n">
        <v>45708</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7607-2023</t>
        </is>
      </c>
      <c r="B915" s="1" t="n">
        <v>44967</v>
      </c>
      <c r="C915" s="1" t="n">
        <v>45708</v>
      </c>
      <c r="D915" t="inlineStr">
        <is>
          <t>UPPSALA LÄN</t>
        </is>
      </c>
      <c r="E915" t="inlineStr">
        <is>
          <t>UPPSALA</t>
        </is>
      </c>
      <c r="G915" t="n">
        <v>11.1</v>
      </c>
      <c r="H915" t="n">
        <v>0</v>
      </c>
      <c r="I915" t="n">
        <v>0</v>
      </c>
      <c r="J915" t="n">
        <v>0</v>
      </c>
      <c r="K915" t="n">
        <v>0</v>
      </c>
      <c r="L915" t="n">
        <v>0</v>
      </c>
      <c r="M915" t="n">
        <v>0</v>
      </c>
      <c r="N915" t="n">
        <v>0</v>
      </c>
      <c r="O915" t="n">
        <v>0</v>
      </c>
      <c r="P915" t="n">
        <v>0</v>
      </c>
      <c r="Q915" t="n">
        <v>0</v>
      </c>
      <c r="R915" s="2" t="inlineStr"/>
    </row>
    <row r="916" ht="15" customHeight="1">
      <c r="A916" t="inlineStr">
        <is>
          <t>A 7058-2023</t>
        </is>
      </c>
      <c r="B916" s="1" t="n">
        <v>44969</v>
      </c>
      <c r="C916" s="1" t="n">
        <v>45708</v>
      </c>
      <c r="D916" t="inlineStr">
        <is>
          <t>UPPSALA LÄN</t>
        </is>
      </c>
      <c r="E916" t="inlineStr">
        <is>
          <t>UPPSALA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7084-2023</t>
        </is>
      </c>
      <c r="B917" s="1" t="n">
        <v>44970</v>
      </c>
      <c r="C917" s="1" t="n">
        <v>45708</v>
      </c>
      <c r="D917" t="inlineStr">
        <is>
          <t>UPPSALA LÄN</t>
        </is>
      </c>
      <c r="E917" t="inlineStr">
        <is>
          <t>UPPSALA</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8384-2023</t>
        </is>
      </c>
      <c r="B918" s="1" t="n">
        <v>44971</v>
      </c>
      <c r="C918" s="1" t="n">
        <v>45708</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8286-2023</t>
        </is>
      </c>
      <c r="B919" s="1" t="n">
        <v>44971</v>
      </c>
      <c r="C919" s="1" t="n">
        <v>45708</v>
      </c>
      <c r="D919" t="inlineStr">
        <is>
          <t>UPPSALA LÄN</t>
        </is>
      </c>
      <c r="E919" t="inlineStr">
        <is>
          <t>UPPSALA</t>
        </is>
      </c>
      <c r="G919" t="n">
        <v>9</v>
      </c>
      <c r="H919" t="n">
        <v>0</v>
      </c>
      <c r="I919" t="n">
        <v>0</v>
      </c>
      <c r="J919" t="n">
        <v>0</v>
      </c>
      <c r="K919" t="n">
        <v>0</v>
      </c>
      <c r="L919" t="n">
        <v>0</v>
      </c>
      <c r="M919" t="n">
        <v>0</v>
      </c>
      <c r="N919" t="n">
        <v>0</v>
      </c>
      <c r="O919" t="n">
        <v>0</v>
      </c>
      <c r="P919" t="n">
        <v>0</v>
      </c>
      <c r="Q919" t="n">
        <v>0</v>
      </c>
      <c r="R919" s="2" t="inlineStr"/>
    </row>
    <row r="920" ht="15" customHeight="1">
      <c r="A920" t="inlineStr">
        <is>
          <t>A 7577-2023</t>
        </is>
      </c>
      <c r="B920" s="1" t="n">
        <v>44972</v>
      </c>
      <c r="C920" s="1" t="n">
        <v>45708</v>
      </c>
      <c r="D920" t="inlineStr">
        <is>
          <t>UPPSALA LÄN</t>
        </is>
      </c>
      <c r="E920" t="inlineStr">
        <is>
          <t>UPPSALA</t>
        </is>
      </c>
      <c r="G920" t="n">
        <v>5.5</v>
      </c>
      <c r="H920" t="n">
        <v>0</v>
      </c>
      <c r="I920" t="n">
        <v>0</v>
      </c>
      <c r="J920" t="n">
        <v>0</v>
      </c>
      <c r="K920" t="n">
        <v>0</v>
      </c>
      <c r="L920" t="n">
        <v>0</v>
      </c>
      <c r="M920" t="n">
        <v>0</v>
      </c>
      <c r="N920" t="n">
        <v>0</v>
      </c>
      <c r="O920" t="n">
        <v>0</v>
      </c>
      <c r="P920" t="n">
        <v>0</v>
      </c>
      <c r="Q920" t="n">
        <v>0</v>
      </c>
      <c r="R920" s="2" t="inlineStr"/>
    </row>
    <row r="921" ht="15" customHeight="1">
      <c r="A921" t="inlineStr">
        <is>
          <t>A 7663-2023</t>
        </is>
      </c>
      <c r="B921" s="1" t="n">
        <v>44972</v>
      </c>
      <c r="C921" s="1" t="n">
        <v>45708</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7894-2023</t>
        </is>
      </c>
      <c r="B922" s="1" t="n">
        <v>44973</v>
      </c>
      <c r="C922" s="1" t="n">
        <v>45708</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8162-2023</t>
        </is>
      </c>
      <c r="B923" s="1" t="n">
        <v>44974</v>
      </c>
      <c r="C923" s="1" t="n">
        <v>45708</v>
      </c>
      <c r="D923" t="inlineStr">
        <is>
          <t>UPPSALA LÄN</t>
        </is>
      </c>
      <c r="E923" t="inlineStr">
        <is>
          <t>UPPSALA</t>
        </is>
      </c>
      <c r="G923" t="n">
        <v>3.9</v>
      </c>
      <c r="H923" t="n">
        <v>0</v>
      </c>
      <c r="I923" t="n">
        <v>0</v>
      </c>
      <c r="J923" t="n">
        <v>0</v>
      </c>
      <c r="K923" t="n">
        <v>0</v>
      </c>
      <c r="L923" t="n">
        <v>0</v>
      </c>
      <c r="M923" t="n">
        <v>0</v>
      </c>
      <c r="N923" t="n">
        <v>0</v>
      </c>
      <c r="O923" t="n">
        <v>0</v>
      </c>
      <c r="P923" t="n">
        <v>0</v>
      </c>
      <c r="Q923" t="n">
        <v>0</v>
      </c>
      <c r="R923" s="2" t="inlineStr"/>
    </row>
    <row r="924" ht="15" customHeight="1">
      <c r="A924" t="inlineStr">
        <is>
          <t>A 8473-2023</t>
        </is>
      </c>
      <c r="B924" s="1" t="n">
        <v>44977</v>
      </c>
      <c r="C924" s="1" t="n">
        <v>45708</v>
      </c>
      <c r="D924" t="inlineStr">
        <is>
          <t>UPPSALA LÄN</t>
        </is>
      </c>
      <c r="E924" t="inlineStr">
        <is>
          <t>UPPSALA</t>
        </is>
      </c>
      <c r="F924" t="inlineStr">
        <is>
          <t>Holmen skog AB</t>
        </is>
      </c>
      <c r="G924" t="n">
        <v>3.6</v>
      </c>
      <c r="H924" t="n">
        <v>0</v>
      </c>
      <c r="I924" t="n">
        <v>0</v>
      </c>
      <c r="J924" t="n">
        <v>0</v>
      </c>
      <c r="K924" t="n">
        <v>0</v>
      </c>
      <c r="L924" t="n">
        <v>0</v>
      </c>
      <c r="M924" t="n">
        <v>0</v>
      </c>
      <c r="N924" t="n">
        <v>0</v>
      </c>
      <c r="O924" t="n">
        <v>0</v>
      </c>
      <c r="P924" t="n">
        <v>0</v>
      </c>
      <c r="Q924" t="n">
        <v>0</v>
      </c>
      <c r="R924" s="2" t="inlineStr"/>
    </row>
    <row r="925" ht="15" customHeight="1">
      <c r="A925" t="inlineStr">
        <is>
          <t>A 9426-2023</t>
        </is>
      </c>
      <c r="B925" s="1" t="n">
        <v>44977</v>
      </c>
      <c r="C925" s="1" t="n">
        <v>45708</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9398-2023</t>
        </is>
      </c>
      <c r="B926" s="1" t="n">
        <v>44977</v>
      </c>
      <c r="C926" s="1" t="n">
        <v>45708</v>
      </c>
      <c r="D926" t="inlineStr">
        <is>
          <t>UPPSALA LÄN</t>
        </is>
      </c>
      <c r="E926" t="inlineStr">
        <is>
          <t>UPPSALA</t>
        </is>
      </c>
      <c r="G926" t="n">
        <v>5.1</v>
      </c>
      <c r="H926" t="n">
        <v>0</v>
      </c>
      <c r="I926" t="n">
        <v>0</v>
      </c>
      <c r="J926" t="n">
        <v>0</v>
      </c>
      <c r="K926" t="n">
        <v>0</v>
      </c>
      <c r="L926" t="n">
        <v>0</v>
      </c>
      <c r="M926" t="n">
        <v>0</v>
      </c>
      <c r="N926" t="n">
        <v>0</v>
      </c>
      <c r="O926" t="n">
        <v>0</v>
      </c>
      <c r="P926" t="n">
        <v>0</v>
      </c>
      <c r="Q926" t="n">
        <v>0</v>
      </c>
      <c r="R926" s="2" t="inlineStr"/>
    </row>
    <row r="927" ht="15" customHeight="1">
      <c r="A927" t="inlineStr">
        <is>
          <t>A 9295-2023</t>
        </is>
      </c>
      <c r="B927" s="1" t="n">
        <v>44980</v>
      </c>
      <c r="C927" s="1" t="n">
        <v>45708</v>
      </c>
      <c r="D927" t="inlineStr">
        <is>
          <t>UPPSALA LÄN</t>
        </is>
      </c>
      <c r="E927" t="inlineStr">
        <is>
          <t>UPPSALA</t>
        </is>
      </c>
      <c r="G927" t="n">
        <v>2.1</v>
      </c>
      <c r="H927" t="n">
        <v>0</v>
      </c>
      <c r="I927" t="n">
        <v>0</v>
      </c>
      <c r="J927" t="n">
        <v>0</v>
      </c>
      <c r="K927" t="n">
        <v>0</v>
      </c>
      <c r="L927" t="n">
        <v>0</v>
      </c>
      <c r="M927" t="n">
        <v>0</v>
      </c>
      <c r="N927" t="n">
        <v>0</v>
      </c>
      <c r="O927" t="n">
        <v>0</v>
      </c>
      <c r="P927" t="n">
        <v>0</v>
      </c>
      <c r="Q927" t="n">
        <v>0</v>
      </c>
      <c r="R927" s="2" t="inlineStr"/>
    </row>
    <row r="928" ht="15" customHeight="1">
      <c r="A928" t="inlineStr">
        <is>
          <t>A 9261-2023</t>
        </is>
      </c>
      <c r="B928" s="1" t="n">
        <v>44980</v>
      </c>
      <c r="C928" s="1" t="n">
        <v>45708</v>
      </c>
      <c r="D928" t="inlineStr">
        <is>
          <t>UPPSALA LÄN</t>
        </is>
      </c>
      <c r="E928" t="inlineStr">
        <is>
          <t>UPPSALA</t>
        </is>
      </c>
      <c r="G928" t="n">
        <v>5.3</v>
      </c>
      <c r="H928" t="n">
        <v>0</v>
      </c>
      <c r="I928" t="n">
        <v>0</v>
      </c>
      <c r="J928" t="n">
        <v>0</v>
      </c>
      <c r="K928" t="n">
        <v>0</v>
      </c>
      <c r="L928" t="n">
        <v>0</v>
      </c>
      <c r="M928" t="n">
        <v>0</v>
      </c>
      <c r="N928" t="n">
        <v>0</v>
      </c>
      <c r="O928" t="n">
        <v>0</v>
      </c>
      <c r="P928" t="n">
        <v>0</v>
      </c>
      <c r="Q928" t="n">
        <v>0</v>
      </c>
      <c r="R928" s="2" t="inlineStr"/>
    </row>
    <row r="929" ht="15" customHeight="1">
      <c r="A929" t="inlineStr">
        <is>
          <t>A 9291-2023</t>
        </is>
      </c>
      <c r="B929" s="1" t="n">
        <v>44980</v>
      </c>
      <c r="C929" s="1" t="n">
        <v>45708</v>
      </c>
      <c r="D929" t="inlineStr">
        <is>
          <t>UPPSALA LÄN</t>
        </is>
      </c>
      <c r="E929" t="inlineStr">
        <is>
          <t>UPPSALA</t>
        </is>
      </c>
      <c r="G929" t="n">
        <v>12.9</v>
      </c>
      <c r="H929" t="n">
        <v>0</v>
      </c>
      <c r="I929" t="n">
        <v>0</v>
      </c>
      <c r="J929" t="n">
        <v>0</v>
      </c>
      <c r="K929" t="n">
        <v>0</v>
      </c>
      <c r="L929" t="n">
        <v>0</v>
      </c>
      <c r="M929" t="n">
        <v>0</v>
      </c>
      <c r="N929" t="n">
        <v>0</v>
      </c>
      <c r="O929" t="n">
        <v>0</v>
      </c>
      <c r="P929" t="n">
        <v>0</v>
      </c>
      <c r="Q929" t="n">
        <v>0</v>
      </c>
      <c r="R929" s="2" t="inlineStr"/>
    </row>
    <row r="930" ht="15" customHeight="1">
      <c r="A930" t="inlineStr">
        <is>
          <t>A 9313-2023</t>
        </is>
      </c>
      <c r="B930" s="1" t="n">
        <v>44980</v>
      </c>
      <c r="C930" s="1" t="n">
        <v>45708</v>
      </c>
      <c r="D930" t="inlineStr">
        <is>
          <t>UPPSALA LÄN</t>
        </is>
      </c>
      <c r="E930" t="inlineStr">
        <is>
          <t>UPPSALA</t>
        </is>
      </c>
      <c r="G930" t="n">
        <v>2.6</v>
      </c>
      <c r="H930" t="n">
        <v>0</v>
      </c>
      <c r="I930" t="n">
        <v>0</v>
      </c>
      <c r="J930" t="n">
        <v>0</v>
      </c>
      <c r="K930" t="n">
        <v>0</v>
      </c>
      <c r="L930" t="n">
        <v>0</v>
      </c>
      <c r="M930" t="n">
        <v>0</v>
      </c>
      <c r="N930" t="n">
        <v>0</v>
      </c>
      <c r="O930" t="n">
        <v>0</v>
      </c>
      <c r="P930" t="n">
        <v>0</v>
      </c>
      <c r="Q930" t="n">
        <v>0</v>
      </c>
      <c r="R930" s="2" t="inlineStr"/>
    </row>
    <row r="931" ht="15" customHeight="1">
      <c r="A931" t="inlineStr">
        <is>
          <t>A 9817-2023</t>
        </is>
      </c>
      <c r="B931" s="1" t="n">
        <v>44984</v>
      </c>
      <c r="C931" s="1" t="n">
        <v>45708</v>
      </c>
      <c r="D931" t="inlineStr">
        <is>
          <t>UPPSALA LÄN</t>
        </is>
      </c>
      <c r="E931" t="inlineStr">
        <is>
          <t>UPPSALA</t>
        </is>
      </c>
      <c r="F931" t="inlineStr">
        <is>
          <t>Kyrkan</t>
        </is>
      </c>
      <c r="G931" t="n">
        <v>5.3</v>
      </c>
      <c r="H931" t="n">
        <v>0</v>
      </c>
      <c r="I931" t="n">
        <v>0</v>
      </c>
      <c r="J931" t="n">
        <v>0</v>
      </c>
      <c r="K931" t="n">
        <v>0</v>
      </c>
      <c r="L931" t="n">
        <v>0</v>
      </c>
      <c r="M931" t="n">
        <v>0</v>
      </c>
      <c r="N931" t="n">
        <v>0</v>
      </c>
      <c r="O931" t="n">
        <v>0</v>
      </c>
      <c r="P931" t="n">
        <v>0</v>
      </c>
      <c r="Q931" t="n">
        <v>0</v>
      </c>
      <c r="R931" s="2" t="inlineStr"/>
    </row>
    <row r="932" ht="15" customHeight="1">
      <c r="A932" t="inlineStr">
        <is>
          <t>A 9814-2023</t>
        </is>
      </c>
      <c r="B932" s="1" t="n">
        <v>44984</v>
      </c>
      <c r="C932" s="1" t="n">
        <v>45708</v>
      </c>
      <c r="D932" t="inlineStr">
        <is>
          <t>UPPSALA LÄN</t>
        </is>
      </c>
      <c r="E932" t="inlineStr">
        <is>
          <t>UPPSALA</t>
        </is>
      </c>
      <c r="F932" t="inlineStr">
        <is>
          <t>Kyrkan</t>
        </is>
      </c>
      <c r="G932" t="n">
        <v>5</v>
      </c>
      <c r="H932" t="n">
        <v>0</v>
      </c>
      <c r="I932" t="n">
        <v>0</v>
      </c>
      <c r="J932" t="n">
        <v>0</v>
      </c>
      <c r="K932" t="n">
        <v>0</v>
      </c>
      <c r="L932" t="n">
        <v>0</v>
      </c>
      <c r="M932" t="n">
        <v>0</v>
      </c>
      <c r="N932" t="n">
        <v>0</v>
      </c>
      <c r="O932" t="n">
        <v>0</v>
      </c>
      <c r="P932" t="n">
        <v>0</v>
      </c>
      <c r="Q932" t="n">
        <v>0</v>
      </c>
      <c r="R932" s="2" t="inlineStr"/>
    </row>
    <row r="933" ht="15" customHeight="1">
      <c r="A933" t="inlineStr">
        <is>
          <t>A 9811-2023</t>
        </is>
      </c>
      <c r="B933" s="1" t="n">
        <v>44984</v>
      </c>
      <c r="C933" s="1" t="n">
        <v>45708</v>
      </c>
      <c r="D933" t="inlineStr">
        <is>
          <t>UPPSALA LÄN</t>
        </is>
      </c>
      <c r="E933" t="inlineStr">
        <is>
          <t>UPPSALA</t>
        </is>
      </c>
      <c r="G933" t="n">
        <v>5.5</v>
      </c>
      <c r="H933" t="n">
        <v>0</v>
      </c>
      <c r="I933" t="n">
        <v>0</v>
      </c>
      <c r="J933" t="n">
        <v>0</v>
      </c>
      <c r="K933" t="n">
        <v>0</v>
      </c>
      <c r="L933" t="n">
        <v>0</v>
      </c>
      <c r="M933" t="n">
        <v>0</v>
      </c>
      <c r="N933" t="n">
        <v>0</v>
      </c>
      <c r="O933" t="n">
        <v>0</v>
      </c>
      <c r="P933" t="n">
        <v>0</v>
      </c>
      <c r="Q933" t="n">
        <v>0</v>
      </c>
      <c r="R933" s="2" t="inlineStr"/>
    </row>
    <row r="934" ht="15" customHeight="1">
      <c r="A934" t="inlineStr">
        <is>
          <t>A 9820-2023</t>
        </is>
      </c>
      <c r="B934" s="1" t="n">
        <v>44984</v>
      </c>
      <c r="C934" s="1" t="n">
        <v>45708</v>
      </c>
      <c r="D934" t="inlineStr">
        <is>
          <t>UPPSALA LÄN</t>
        </is>
      </c>
      <c r="E934" t="inlineStr">
        <is>
          <t>UPPSALA</t>
        </is>
      </c>
      <c r="F934" t="inlineStr">
        <is>
          <t>Kyrkan</t>
        </is>
      </c>
      <c r="G934" t="n">
        <v>2</v>
      </c>
      <c r="H934" t="n">
        <v>0</v>
      </c>
      <c r="I934" t="n">
        <v>0</v>
      </c>
      <c r="J934" t="n">
        <v>0</v>
      </c>
      <c r="K934" t="n">
        <v>0</v>
      </c>
      <c r="L934" t="n">
        <v>0</v>
      </c>
      <c r="M934" t="n">
        <v>0</v>
      </c>
      <c r="N934" t="n">
        <v>0</v>
      </c>
      <c r="O934" t="n">
        <v>0</v>
      </c>
      <c r="P934" t="n">
        <v>0</v>
      </c>
      <c r="Q934" t="n">
        <v>0</v>
      </c>
      <c r="R934" s="2" t="inlineStr"/>
    </row>
    <row r="935" ht="15" customHeight="1">
      <c r="A935" t="inlineStr">
        <is>
          <t>A 10005-2023</t>
        </is>
      </c>
      <c r="B935" s="1" t="n">
        <v>44985</v>
      </c>
      <c r="C935" s="1" t="n">
        <v>45708</v>
      </c>
      <c r="D935" t="inlineStr">
        <is>
          <t>UPPSALA LÄN</t>
        </is>
      </c>
      <c r="E935" t="inlineStr">
        <is>
          <t>UPPSALA</t>
        </is>
      </c>
      <c r="G935" t="n">
        <v>2.6</v>
      </c>
      <c r="H935" t="n">
        <v>0</v>
      </c>
      <c r="I935" t="n">
        <v>0</v>
      </c>
      <c r="J935" t="n">
        <v>0</v>
      </c>
      <c r="K935" t="n">
        <v>0</v>
      </c>
      <c r="L935" t="n">
        <v>0</v>
      </c>
      <c r="M935" t="n">
        <v>0</v>
      </c>
      <c r="N935" t="n">
        <v>0</v>
      </c>
      <c r="O935" t="n">
        <v>0</v>
      </c>
      <c r="P935" t="n">
        <v>0</v>
      </c>
      <c r="Q935" t="n">
        <v>0</v>
      </c>
      <c r="R935" s="2" t="inlineStr"/>
    </row>
    <row r="936" ht="15" customHeight="1">
      <c r="A936" t="inlineStr">
        <is>
          <t>A 10669-2023</t>
        </is>
      </c>
      <c r="B936" s="1" t="n">
        <v>44988</v>
      </c>
      <c r="C936" s="1" t="n">
        <v>45708</v>
      </c>
      <c r="D936" t="inlineStr">
        <is>
          <t>UPPSALA LÄN</t>
        </is>
      </c>
      <c r="E936" t="inlineStr">
        <is>
          <t>UPPSALA</t>
        </is>
      </c>
      <c r="G936" t="n">
        <v>4.9</v>
      </c>
      <c r="H936" t="n">
        <v>0</v>
      </c>
      <c r="I936" t="n">
        <v>0</v>
      </c>
      <c r="J936" t="n">
        <v>0</v>
      </c>
      <c r="K936" t="n">
        <v>0</v>
      </c>
      <c r="L936" t="n">
        <v>0</v>
      </c>
      <c r="M936" t="n">
        <v>0</v>
      </c>
      <c r="N936" t="n">
        <v>0</v>
      </c>
      <c r="O936" t="n">
        <v>0</v>
      </c>
      <c r="P936" t="n">
        <v>0</v>
      </c>
      <c r="Q936" t="n">
        <v>0</v>
      </c>
      <c r="R936" s="2" t="inlineStr"/>
    </row>
    <row r="937" ht="15" customHeight="1">
      <c r="A937" t="inlineStr">
        <is>
          <t>A 11484-2023</t>
        </is>
      </c>
      <c r="B937" s="1" t="n">
        <v>44991</v>
      </c>
      <c r="C937" s="1" t="n">
        <v>45708</v>
      </c>
      <c r="D937" t="inlineStr">
        <is>
          <t>UPPSALA LÄN</t>
        </is>
      </c>
      <c r="E937" t="inlineStr">
        <is>
          <t>UPPSALA</t>
        </is>
      </c>
      <c r="G937" t="n">
        <v>10.3</v>
      </c>
      <c r="H937" t="n">
        <v>0</v>
      </c>
      <c r="I937" t="n">
        <v>0</v>
      </c>
      <c r="J937" t="n">
        <v>0</v>
      </c>
      <c r="K937" t="n">
        <v>0</v>
      </c>
      <c r="L937" t="n">
        <v>0</v>
      </c>
      <c r="M937" t="n">
        <v>0</v>
      </c>
      <c r="N937" t="n">
        <v>0</v>
      </c>
      <c r="O937" t="n">
        <v>0</v>
      </c>
      <c r="P937" t="n">
        <v>0</v>
      </c>
      <c r="Q937" t="n">
        <v>0</v>
      </c>
      <c r="R937" s="2" t="inlineStr"/>
    </row>
    <row r="938" ht="15" customHeight="1">
      <c r="A938" t="inlineStr">
        <is>
          <t>A 11739-2023</t>
        </is>
      </c>
      <c r="B938" s="1" t="n">
        <v>44993</v>
      </c>
      <c r="C938" s="1" t="n">
        <v>45708</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11744-2023</t>
        </is>
      </c>
      <c r="B939" s="1" t="n">
        <v>44993</v>
      </c>
      <c r="C939" s="1" t="n">
        <v>45708</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11568-2023</t>
        </is>
      </c>
      <c r="B940" s="1" t="n">
        <v>44994</v>
      </c>
      <c r="C940" s="1" t="n">
        <v>45708</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12158-2023</t>
        </is>
      </c>
      <c r="B941" s="1" t="n">
        <v>44998</v>
      </c>
      <c r="C941" s="1" t="n">
        <v>45708</v>
      </c>
      <c r="D941" t="inlineStr">
        <is>
          <t>UPPSALA LÄN</t>
        </is>
      </c>
      <c r="E941" t="inlineStr">
        <is>
          <t>UPPSALA</t>
        </is>
      </c>
      <c r="G941" t="n">
        <v>2.4</v>
      </c>
      <c r="H941" t="n">
        <v>0</v>
      </c>
      <c r="I941" t="n">
        <v>0</v>
      </c>
      <c r="J941" t="n">
        <v>0</v>
      </c>
      <c r="K941" t="n">
        <v>0</v>
      </c>
      <c r="L941" t="n">
        <v>0</v>
      </c>
      <c r="M941" t="n">
        <v>0</v>
      </c>
      <c r="N941" t="n">
        <v>0</v>
      </c>
      <c r="O941" t="n">
        <v>0</v>
      </c>
      <c r="P941" t="n">
        <v>0</v>
      </c>
      <c r="Q941" t="n">
        <v>0</v>
      </c>
      <c r="R941" s="2" t="inlineStr"/>
    </row>
    <row r="942" ht="15" customHeight="1">
      <c r="A942" t="inlineStr">
        <is>
          <t>A 12604-2023</t>
        </is>
      </c>
      <c r="B942" s="1" t="n">
        <v>45000</v>
      </c>
      <c r="C942" s="1" t="n">
        <v>45708</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12603-2023</t>
        </is>
      </c>
      <c r="B943" s="1" t="n">
        <v>45000</v>
      </c>
      <c r="C943" s="1" t="n">
        <v>45708</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12602-2023</t>
        </is>
      </c>
      <c r="B944" s="1" t="n">
        <v>45000</v>
      </c>
      <c r="C944" s="1" t="n">
        <v>45708</v>
      </c>
      <c r="D944" t="inlineStr">
        <is>
          <t>UPPSALA LÄN</t>
        </is>
      </c>
      <c r="E944" t="inlineStr">
        <is>
          <t>UPPSALA</t>
        </is>
      </c>
      <c r="G944" t="n">
        <v>2.5</v>
      </c>
      <c r="H944" t="n">
        <v>0</v>
      </c>
      <c r="I944" t="n">
        <v>0</v>
      </c>
      <c r="J944" t="n">
        <v>0</v>
      </c>
      <c r="K944" t="n">
        <v>0</v>
      </c>
      <c r="L944" t="n">
        <v>0</v>
      </c>
      <c r="M944" t="n">
        <v>0</v>
      </c>
      <c r="N944" t="n">
        <v>0</v>
      </c>
      <c r="O944" t="n">
        <v>0</v>
      </c>
      <c r="P944" t="n">
        <v>0</v>
      </c>
      <c r="Q944" t="n">
        <v>0</v>
      </c>
      <c r="R944" s="2" t="inlineStr"/>
    </row>
    <row r="945" ht="15" customHeight="1">
      <c r="A945" t="inlineStr">
        <is>
          <t>A 12703-2023</t>
        </is>
      </c>
      <c r="B945" s="1" t="n">
        <v>45000</v>
      </c>
      <c r="C945" s="1" t="n">
        <v>45708</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12606-2023</t>
        </is>
      </c>
      <c r="B946" s="1" t="n">
        <v>45000</v>
      </c>
      <c r="C946" s="1" t="n">
        <v>45708</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13526-2023</t>
        </is>
      </c>
      <c r="B947" s="1" t="n">
        <v>45006</v>
      </c>
      <c r="C947" s="1" t="n">
        <v>45708</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14253-2023</t>
        </is>
      </c>
      <c r="B948" s="1" t="n">
        <v>45009</v>
      </c>
      <c r="C948" s="1" t="n">
        <v>45708</v>
      </c>
      <c r="D948" t="inlineStr">
        <is>
          <t>UPPSALA LÄN</t>
        </is>
      </c>
      <c r="E948" t="inlineStr">
        <is>
          <t>UPPSALA</t>
        </is>
      </c>
      <c r="F948" t="inlineStr">
        <is>
          <t>Allmännings- och besparingsskogar</t>
        </is>
      </c>
      <c r="G948" t="n">
        <v>14</v>
      </c>
      <c r="H948" t="n">
        <v>0</v>
      </c>
      <c r="I948" t="n">
        <v>0</v>
      </c>
      <c r="J948" t="n">
        <v>0</v>
      </c>
      <c r="K948" t="n">
        <v>0</v>
      </c>
      <c r="L948" t="n">
        <v>0</v>
      </c>
      <c r="M948" t="n">
        <v>0</v>
      </c>
      <c r="N948" t="n">
        <v>0</v>
      </c>
      <c r="O948" t="n">
        <v>0</v>
      </c>
      <c r="P948" t="n">
        <v>0</v>
      </c>
      <c r="Q948" t="n">
        <v>0</v>
      </c>
      <c r="R948" s="2" t="inlineStr"/>
    </row>
    <row r="949" ht="15" customHeight="1">
      <c r="A949" t="inlineStr">
        <is>
          <t>A 14784-2023</t>
        </is>
      </c>
      <c r="B949" s="1" t="n">
        <v>45014</v>
      </c>
      <c r="C949" s="1" t="n">
        <v>45708</v>
      </c>
      <c r="D949" t="inlineStr">
        <is>
          <t>UPPSALA LÄN</t>
        </is>
      </c>
      <c r="E949" t="inlineStr">
        <is>
          <t>UPPSALA</t>
        </is>
      </c>
      <c r="G949" t="n">
        <v>4.7</v>
      </c>
      <c r="H949" t="n">
        <v>0</v>
      </c>
      <c r="I949" t="n">
        <v>0</v>
      </c>
      <c r="J949" t="n">
        <v>0</v>
      </c>
      <c r="K949" t="n">
        <v>0</v>
      </c>
      <c r="L949" t="n">
        <v>0</v>
      </c>
      <c r="M949" t="n">
        <v>0</v>
      </c>
      <c r="N949" t="n">
        <v>0</v>
      </c>
      <c r="O949" t="n">
        <v>0</v>
      </c>
      <c r="P949" t="n">
        <v>0</v>
      </c>
      <c r="Q949" t="n">
        <v>0</v>
      </c>
      <c r="R949" s="2" t="inlineStr"/>
    </row>
    <row r="950" ht="15" customHeight="1">
      <c r="A950" t="inlineStr">
        <is>
          <t>A 14988-2023</t>
        </is>
      </c>
      <c r="B950" s="1" t="n">
        <v>45015</v>
      </c>
      <c r="C950" s="1" t="n">
        <v>45708</v>
      </c>
      <c r="D950" t="inlineStr">
        <is>
          <t>UPPSALA LÄN</t>
        </is>
      </c>
      <c r="E950" t="inlineStr">
        <is>
          <t>UPPSALA</t>
        </is>
      </c>
      <c r="G950" t="n">
        <v>4.2</v>
      </c>
      <c r="H950" t="n">
        <v>0</v>
      </c>
      <c r="I950" t="n">
        <v>0</v>
      </c>
      <c r="J950" t="n">
        <v>0</v>
      </c>
      <c r="K950" t="n">
        <v>0</v>
      </c>
      <c r="L950" t="n">
        <v>0</v>
      </c>
      <c r="M950" t="n">
        <v>0</v>
      </c>
      <c r="N950" t="n">
        <v>0</v>
      </c>
      <c r="O950" t="n">
        <v>0</v>
      </c>
      <c r="P950" t="n">
        <v>0</v>
      </c>
      <c r="Q950" t="n">
        <v>0</v>
      </c>
      <c r="R950" s="2" t="inlineStr"/>
    </row>
    <row r="951" ht="15" customHeight="1">
      <c r="A951" t="inlineStr">
        <is>
          <t>A 15547-2023</t>
        </is>
      </c>
      <c r="B951" s="1" t="n">
        <v>45020</v>
      </c>
      <c r="C951" s="1" t="n">
        <v>45708</v>
      </c>
      <c r="D951" t="inlineStr">
        <is>
          <t>UPPSALA LÄN</t>
        </is>
      </c>
      <c r="E951" t="inlineStr">
        <is>
          <t>UPPSALA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15551-2023</t>
        </is>
      </c>
      <c r="B952" s="1" t="n">
        <v>45020</v>
      </c>
      <c r="C952" s="1" t="n">
        <v>45708</v>
      </c>
      <c r="D952" t="inlineStr">
        <is>
          <t>UPPSALA LÄN</t>
        </is>
      </c>
      <c r="E952" t="inlineStr">
        <is>
          <t>UPPSALA</t>
        </is>
      </c>
      <c r="G952" t="n">
        <v>3.3</v>
      </c>
      <c r="H952" t="n">
        <v>0</v>
      </c>
      <c r="I952" t="n">
        <v>0</v>
      </c>
      <c r="J952" t="n">
        <v>0</v>
      </c>
      <c r="K952" t="n">
        <v>0</v>
      </c>
      <c r="L952" t="n">
        <v>0</v>
      </c>
      <c r="M952" t="n">
        <v>0</v>
      </c>
      <c r="N952" t="n">
        <v>0</v>
      </c>
      <c r="O952" t="n">
        <v>0</v>
      </c>
      <c r="P952" t="n">
        <v>0</v>
      </c>
      <c r="Q952" t="n">
        <v>0</v>
      </c>
      <c r="R952" s="2" t="inlineStr"/>
    </row>
    <row r="953" ht="15" customHeight="1">
      <c r="A953" t="inlineStr">
        <is>
          <t>A 15629-2023</t>
        </is>
      </c>
      <c r="B953" s="1" t="n">
        <v>45021</v>
      </c>
      <c r="C953" s="1" t="n">
        <v>45708</v>
      </c>
      <c r="D953" t="inlineStr">
        <is>
          <t>UPPSALA LÄN</t>
        </is>
      </c>
      <c r="E953" t="inlineStr">
        <is>
          <t>UPPSALA</t>
        </is>
      </c>
      <c r="F953" t="inlineStr">
        <is>
          <t>Övriga Aktiebolag</t>
        </is>
      </c>
      <c r="G953" t="n">
        <v>7</v>
      </c>
      <c r="H953" t="n">
        <v>0</v>
      </c>
      <c r="I953" t="n">
        <v>0</v>
      </c>
      <c r="J953" t="n">
        <v>0</v>
      </c>
      <c r="K953" t="n">
        <v>0</v>
      </c>
      <c r="L953" t="n">
        <v>0</v>
      </c>
      <c r="M953" t="n">
        <v>0</v>
      </c>
      <c r="N953" t="n">
        <v>0</v>
      </c>
      <c r="O953" t="n">
        <v>0</v>
      </c>
      <c r="P953" t="n">
        <v>0</v>
      </c>
      <c r="Q953" t="n">
        <v>0</v>
      </c>
      <c r="R953" s="2" t="inlineStr"/>
    </row>
    <row r="954" ht="15" customHeight="1">
      <c r="A954" t="inlineStr">
        <is>
          <t>A 16346-2023</t>
        </is>
      </c>
      <c r="B954" s="1" t="n">
        <v>45028</v>
      </c>
      <c r="C954" s="1" t="n">
        <v>45708</v>
      </c>
      <c r="D954" t="inlineStr">
        <is>
          <t>UPPSALA LÄN</t>
        </is>
      </c>
      <c r="E954" t="inlineStr">
        <is>
          <t>UPPSALA</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16811-2023</t>
        </is>
      </c>
      <c r="B955" s="1" t="n">
        <v>45033</v>
      </c>
      <c r="C955" s="1" t="n">
        <v>45708</v>
      </c>
      <c r="D955" t="inlineStr">
        <is>
          <t>UPPSALA LÄN</t>
        </is>
      </c>
      <c r="E955" t="inlineStr">
        <is>
          <t>UPPSALA</t>
        </is>
      </c>
      <c r="G955" t="n">
        <v>10.1</v>
      </c>
      <c r="H955" t="n">
        <v>0</v>
      </c>
      <c r="I955" t="n">
        <v>0</v>
      </c>
      <c r="J955" t="n">
        <v>0</v>
      </c>
      <c r="K955" t="n">
        <v>0</v>
      </c>
      <c r="L955" t="n">
        <v>0</v>
      </c>
      <c r="M955" t="n">
        <v>0</v>
      </c>
      <c r="N955" t="n">
        <v>0</v>
      </c>
      <c r="O955" t="n">
        <v>0</v>
      </c>
      <c r="P955" t="n">
        <v>0</v>
      </c>
      <c r="Q955" t="n">
        <v>0</v>
      </c>
      <c r="R955" s="2" t="inlineStr"/>
    </row>
    <row r="956" ht="15" customHeight="1">
      <c r="A956" t="inlineStr">
        <is>
          <t>A 17229-2023</t>
        </is>
      </c>
      <c r="B956" s="1" t="n">
        <v>45035</v>
      </c>
      <c r="C956" s="1" t="n">
        <v>45708</v>
      </c>
      <c r="D956" t="inlineStr">
        <is>
          <t>UPPSALA LÄN</t>
        </is>
      </c>
      <c r="E956" t="inlineStr">
        <is>
          <t>UPPSALA</t>
        </is>
      </c>
      <c r="F956" t="inlineStr">
        <is>
          <t>Övriga Aktiebolag</t>
        </is>
      </c>
      <c r="G956" t="n">
        <v>1.9</v>
      </c>
      <c r="H956" t="n">
        <v>0</v>
      </c>
      <c r="I956" t="n">
        <v>0</v>
      </c>
      <c r="J956" t="n">
        <v>0</v>
      </c>
      <c r="K956" t="n">
        <v>0</v>
      </c>
      <c r="L956" t="n">
        <v>0</v>
      </c>
      <c r="M956" t="n">
        <v>0</v>
      </c>
      <c r="N956" t="n">
        <v>0</v>
      </c>
      <c r="O956" t="n">
        <v>0</v>
      </c>
      <c r="P956" t="n">
        <v>0</v>
      </c>
      <c r="Q956" t="n">
        <v>0</v>
      </c>
      <c r="R956" s="2" t="inlineStr"/>
    </row>
    <row r="957" ht="15" customHeight="1">
      <c r="A957" t="inlineStr">
        <is>
          <t>A 17280-2023</t>
        </is>
      </c>
      <c r="B957" s="1" t="n">
        <v>45035</v>
      </c>
      <c r="C957" s="1" t="n">
        <v>45708</v>
      </c>
      <c r="D957" t="inlineStr">
        <is>
          <t>UPPSALA LÄN</t>
        </is>
      </c>
      <c r="E957" t="inlineStr">
        <is>
          <t>UPPSALA</t>
        </is>
      </c>
      <c r="G957" t="n">
        <v>5.6</v>
      </c>
      <c r="H957" t="n">
        <v>0</v>
      </c>
      <c r="I957" t="n">
        <v>0</v>
      </c>
      <c r="J957" t="n">
        <v>0</v>
      </c>
      <c r="K957" t="n">
        <v>0</v>
      </c>
      <c r="L957" t="n">
        <v>0</v>
      </c>
      <c r="M957" t="n">
        <v>0</v>
      </c>
      <c r="N957" t="n">
        <v>0</v>
      </c>
      <c r="O957" t="n">
        <v>0</v>
      </c>
      <c r="P957" t="n">
        <v>0</v>
      </c>
      <c r="Q957" t="n">
        <v>0</v>
      </c>
      <c r="R957" s="2" t="inlineStr"/>
    </row>
    <row r="958" ht="15" customHeight="1">
      <c r="A958" t="inlineStr">
        <is>
          <t>A 17481-2023</t>
        </is>
      </c>
      <c r="B958" s="1" t="n">
        <v>45036</v>
      </c>
      <c r="C958" s="1" t="n">
        <v>45708</v>
      </c>
      <c r="D958" t="inlineStr">
        <is>
          <t>UPPSALA LÄN</t>
        </is>
      </c>
      <c r="E958" t="inlineStr">
        <is>
          <t>UPPSALA</t>
        </is>
      </c>
      <c r="G958" t="n">
        <v>1.9</v>
      </c>
      <c r="H958" t="n">
        <v>0</v>
      </c>
      <c r="I958" t="n">
        <v>0</v>
      </c>
      <c r="J958" t="n">
        <v>0</v>
      </c>
      <c r="K958" t="n">
        <v>0</v>
      </c>
      <c r="L958" t="n">
        <v>0</v>
      </c>
      <c r="M958" t="n">
        <v>0</v>
      </c>
      <c r="N958" t="n">
        <v>0</v>
      </c>
      <c r="O958" t="n">
        <v>0</v>
      </c>
      <c r="P958" t="n">
        <v>0</v>
      </c>
      <c r="Q958" t="n">
        <v>0</v>
      </c>
      <c r="R958" s="2" t="inlineStr"/>
    </row>
    <row r="959" ht="15" customHeight="1">
      <c r="A959" t="inlineStr">
        <is>
          <t>A 17788-2023</t>
        </is>
      </c>
      <c r="B959" s="1" t="n">
        <v>45037</v>
      </c>
      <c r="C959" s="1" t="n">
        <v>45708</v>
      </c>
      <c r="D959" t="inlineStr">
        <is>
          <t>UPPSALA LÄN</t>
        </is>
      </c>
      <c r="E959" t="inlineStr">
        <is>
          <t>UPPSALA</t>
        </is>
      </c>
      <c r="F959" t="inlineStr">
        <is>
          <t>Övriga Aktiebolag</t>
        </is>
      </c>
      <c r="G959" t="n">
        <v>3.7</v>
      </c>
      <c r="H959" t="n">
        <v>0</v>
      </c>
      <c r="I959" t="n">
        <v>0</v>
      </c>
      <c r="J959" t="n">
        <v>0</v>
      </c>
      <c r="K959" t="n">
        <v>0</v>
      </c>
      <c r="L959" t="n">
        <v>0</v>
      </c>
      <c r="M959" t="n">
        <v>0</v>
      </c>
      <c r="N959" t="n">
        <v>0</v>
      </c>
      <c r="O959" t="n">
        <v>0</v>
      </c>
      <c r="P959" t="n">
        <v>0</v>
      </c>
      <c r="Q959" t="n">
        <v>0</v>
      </c>
      <c r="R959" s="2" t="inlineStr"/>
    </row>
    <row r="960" ht="15" customHeight="1">
      <c r="A960" t="inlineStr">
        <is>
          <t>A 17938-2023</t>
        </is>
      </c>
      <c r="B960" s="1" t="n">
        <v>45040</v>
      </c>
      <c r="C960" s="1" t="n">
        <v>45708</v>
      </c>
      <c r="D960" t="inlineStr">
        <is>
          <t>UPPSALA LÄN</t>
        </is>
      </c>
      <c r="E960" t="inlineStr">
        <is>
          <t>UPPSALA</t>
        </is>
      </c>
      <c r="G960" t="n">
        <v>2.9</v>
      </c>
      <c r="H960" t="n">
        <v>0</v>
      </c>
      <c r="I960" t="n">
        <v>0</v>
      </c>
      <c r="J960" t="n">
        <v>0</v>
      </c>
      <c r="K960" t="n">
        <v>0</v>
      </c>
      <c r="L960" t="n">
        <v>0</v>
      </c>
      <c r="M960" t="n">
        <v>0</v>
      </c>
      <c r="N960" t="n">
        <v>0</v>
      </c>
      <c r="O960" t="n">
        <v>0</v>
      </c>
      <c r="P960" t="n">
        <v>0</v>
      </c>
      <c r="Q960" t="n">
        <v>0</v>
      </c>
      <c r="R960" s="2" t="inlineStr"/>
    </row>
    <row r="961" ht="15" customHeight="1">
      <c r="A961" t="inlineStr">
        <is>
          <t>A 18277-2023</t>
        </is>
      </c>
      <c r="B961" s="1" t="n">
        <v>45041</v>
      </c>
      <c r="C961" s="1" t="n">
        <v>45708</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18275-2023</t>
        </is>
      </c>
      <c r="B962" s="1" t="n">
        <v>45041</v>
      </c>
      <c r="C962" s="1" t="n">
        <v>45708</v>
      </c>
      <c r="D962" t="inlineStr">
        <is>
          <t>UPPSALA LÄN</t>
        </is>
      </c>
      <c r="E962" t="inlineStr">
        <is>
          <t>UPPSALA</t>
        </is>
      </c>
      <c r="G962" t="n">
        <v>2.7</v>
      </c>
      <c r="H962" t="n">
        <v>0</v>
      </c>
      <c r="I962" t="n">
        <v>0</v>
      </c>
      <c r="J962" t="n">
        <v>0</v>
      </c>
      <c r="K962" t="n">
        <v>0</v>
      </c>
      <c r="L962" t="n">
        <v>0</v>
      </c>
      <c r="M962" t="n">
        <v>0</v>
      </c>
      <c r="N962" t="n">
        <v>0</v>
      </c>
      <c r="O962" t="n">
        <v>0</v>
      </c>
      <c r="P962" t="n">
        <v>0</v>
      </c>
      <c r="Q962" t="n">
        <v>0</v>
      </c>
      <c r="R962" s="2" t="inlineStr"/>
    </row>
    <row r="963" ht="15" customHeight="1">
      <c r="A963" t="inlineStr">
        <is>
          <t>A 18278-2023</t>
        </is>
      </c>
      <c r="B963" s="1" t="n">
        <v>45041</v>
      </c>
      <c r="C963" s="1" t="n">
        <v>45708</v>
      </c>
      <c r="D963" t="inlineStr">
        <is>
          <t>UPPSALA LÄN</t>
        </is>
      </c>
      <c r="E963" t="inlineStr">
        <is>
          <t>UPPSALA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18276-2023</t>
        </is>
      </c>
      <c r="B964" s="1" t="n">
        <v>45041</v>
      </c>
      <c r="C964" s="1" t="n">
        <v>45708</v>
      </c>
      <c r="D964" t="inlineStr">
        <is>
          <t>UPPSALA LÄN</t>
        </is>
      </c>
      <c r="E964" t="inlineStr">
        <is>
          <t>UPPSALA</t>
        </is>
      </c>
      <c r="G964" t="n">
        <v>6.6</v>
      </c>
      <c r="H964" t="n">
        <v>0</v>
      </c>
      <c r="I964" t="n">
        <v>0</v>
      </c>
      <c r="J964" t="n">
        <v>0</v>
      </c>
      <c r="K964" t="n">
        <v>0</v>
      </c>
      <c r="L964" t="n">
        <v>0</v>
      </c>
      <c r="M964" t="n">
        <v>0</v>
      </c>
      <c r="N964" t="n">
        <v>0</v>
      </c>
      <c r="O964" t="n">
        <v>0</v>
      </c>
      <c r="P964" t="n">
        <v>0</v>
      </c>
      <c r="Q964" t="n">
        <v>0</v>
      </c>
      <c r="R964" s="2" t="inlineStr"/>
    </row>
    <row r="965" ht="15" customHeight="1">
      <c r="A965" t="inlineStr">
        <is>
          <t>A 18443-2023</t>
        </is>
      </c>
      <c r="B965" s="1" t="n">
        <v>45042</v>
      </c>
      <c r="C965" s="1" t="n">
        <v>45708</v>
      </c>
      <c r="D965" t="inlineStr">
        <is>
          <t>UPPSALA LÄN</t>
        </is>
      </c>
      <c r="E965" t="inlineStr">
        <is>
          <t>UPPSALA</t>
        </is>
      </c>
      <c r="G965" t="n">
        <v>0.4</v>
      </c>
      <c r="H965" t="n">
        <v>0</v>
      </c>
      <c r="I965" t="n">
        <v>0</v>
      </c>
      <c r="J965" t="n">
        <v>0</v>
      </c>
      <c r="K965" t="n">
        <v>0</v>
      </c>
      <c r="L965" t="n">
        <v>0</v>
      </c>
      <c r="M965" t="n">
        <v>0</v>
      </c>
      <c r="N965" t="n">
        <v>0</v>
      </c>
      <c r="O965" t="n">
        <v>0</v>
      </c>
      <c r="P965" t="n">
        <v>0</v>
      </c>
      <c r="Q965" t="n">
        <v>0</v>
      </c>
      <c r="R965" s="2" t="inlineStr"/>
    </row>
    <row r="966" ht="15" customHeight="1">
      <c r="A966" t="inlineStr">
        <is>
          <t>A 18496-2023</t>
        </is>
      </c>
      <c r="B966" s="1" t="n">
        <v>45042</v>
      </c>
      <c r="C966" s="1" t="n">
        <v>45708</v>
      </c>
      <c r="D966" t="inlineStr">
        <is>
          <t>UPPSALA LÄN</t>
        </is>
      </c>
      <c r="E966" t="inlineStr">
        <is>
          <t>UPPSALA</t>
        </is>
      </c>
      <c r="G966" t="n">
        <v>1.7</v>
      </c>
      <c r="H966" t="n">
        <v>0</v>
      </c>
      <c r="I966" t="n">
        <v>0</v>
      </c>
      <c r="J966" t="n">
        <v>0</v>
      </c>
      <c r="K966" t="n">
        <v>0</v>
      </c>
      <c r="L966" t="n">
        <v>0</v>
      </c>
      <c r="M966" t="n">
        <v>0</v>
      </c>
      <c r="N966" t="n">
        <v>0</v>
      </c>
      <c r="O966" t="n">
        <v>0</v>
      </c>
      <c r="P966" t="n">
        <v>0</v>
      </c>
      <c r="Q966" t="n">
        <v>0</v>
      </c>
      <c r="R966" s="2" t="inlineStr"/>
    </row>
    <row r="967" ht="15" customHeight="1">
      <c r="A967" t="inlineStr">
        <is>
          <t>A 18507-2023</t>
        </is>
      </c>
      <c r="B967" s="1" t="n">
        <v>45042</v>
      </c>
      <c r="C967" s="1" t="n">
        <v>45708</v>
      </c>
      <c r="D967" t="inlineStr">
        <is>
          <t>UPPSALA LÄN</t>
        </is>
      </c>
      <c r="E967" t="inlineStr">
        <is>
          <t>UPPSALA</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18472-2023</t>
        </is>
      </c>
      <c r="B968" s="1" t="n">
        <v>45042</v>
      </c>
      <c r="C968" s="1" t="n">
        <v>45708</v>
      </c>
      <c r="D968" t="inlineStr">
        <is>
          <t>UPPSALA LÄN</t>
        </is>
      </c>
      <c r="E968" t="inlineStr">
        <is>
          <t>UPPSALA</t>
        </is>
      </c>
      <c r="F968" t="inlineStr">
        <is>
          <t>Övriga Aktiebolag</t>
        </is>
      </c>
      <c r="G968" t="n">
        <v>3</v>
      </c>
      <c r="H968" t="n">
        <v>0</v>
      </c>
      <c r="I968" t="n">
        <v>0</v>
      </c>
      <c r="J968" t="n">
        <v>0</v>
      </c>
      <c r="K968" t="n">
        <v>0</v>
      </c>
      <c r="L968" t="n">
        <v>0</v>
      </c>
      <c r="M968" t="n">
        <v>0</v>
      </c>
      <c r="N968" t="n">
        <v>0</v>
      </c>
      <c r="O968" t="n">
        <v>0</v>
      </c>
      <c r="P968" t="n">
        <v>0</v>
      </c>
      <c r="Q968" t="n">
        <v>0</v>
      </c>
      <c r="R968" s="2" t="inlineStr"/>
    </row>
    <row r="969" ht="15" customHeight="1">
      <c r="A969" t="inlineStr">
        <is>
          <t>A 18710-2023</t>
        </is>
      </c>
      <c r="B969" s="1" t="n">
        <v>45043</v>
      </c>
      <c r="C969" s="1" t="n">
        <v>45708</v>
      </c>
      <c r="D969" t="inlineStr">
        <is>
          <t>UPPSALA LÄN</t>
        </is>
      </c>
      <c r="E969" t="inlineStr">
        <is>
          <t>UPPSALA</t>
        </is>
      </c>
      <c r="G969" t="n">
        <v>3.3</v>
      </c>
      <c r="H969" t="n">
        <v>0</v>
      </c>
      <c r="I969" t="n">
        <v>0</v>
      </c>
      <c r="J969" t="n">
        <v>0</v>
      </c>
      <c r="K969" t="n">
        <v>0</v>
      </c>
      <c r="L969" t="n">
        <v>0</v>
      </c>
      <c r="M969" t="n">
        <v>0</v>
      </c>
      <c r="N969" t="n">
        <v>0</v>
      </c>
      <c r="O969" t="n">
        <v>0</v>
      </c>
      <c r="P969" t="n">
        <v>0</v>
      </c>
      <c r="Q969" t="n">
        <v>0</v>
      </c>
      <c r="R969" s="2" t="inlineStr"/>
    </row>
    <row r="970" ht="15" customHeight="1">
      <c r="A970" t="inlineStr">
        <is>
          <t>A 19017-2023</t>
        </is>
      </c>
      <c r="B970" s="1" t="n">
        <v>45047</v>
      </c>
      <c r="C970" s="1" t="n">
        <v>45708</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19135-2023</t>
        </is>
      </c>
      <c r="B971" s="1" t="n">
        <v>45048</v>
      </c>
      <c r="C971" s="1" t="n">
        <v>45708</v>
      </c>
      <c r="D971" t="inlineStr">
        <is>
          <t>UPPSALA LÄN</t>
        </is>
      </c>
      <c r="E971" t="inlineStr">
        <is>
          <t>UPPSALA</t>
        </is>
      </c>
      <c r="G971" t="n">
        <v>4.2</v>
      </c>
      <c r="H971" t="n">
        <v>0</v>
      </c>
      <c r="I971" t="n">
        <v>0</v>
      </c>
      <c r="J971" t="n">
        <v>0</v>
      </c>
      <c r="K971" t="n">
        <v>0</v>
      </c>
      <c r="L971" t="n">
        <v>0</v>
      </c>
      <c r="M971" t="n">
        <v>0</v>
      </c>
      <c r="N971" t="n">
        <v>0</v>
      </c>
      <c r="O971" t="n">
        <v>0</v>
      </c>
      <c r="P971" t="n">
        <v>0</v>
      </c>
      <c r="Q971" t="n">
        <v>0</v>
      </c>
      <c r="R971" s="2" t="inlineStr"/>
    </row>
    <row r="972" ht="15" customHeight="1">
      <c r="A972" t="inlineStr">
        <is>
          <t>A 19139-2023</t>
        </is>
      </c>
      <c r="B972" s="1" t="n">
        <v>45048</v>
      </c>
      <c r="C972" s="1" t="n">
        <v>45708</v>
      </c>
      <c r="D972" t="inlineStr">
        <is>
          <t>UPPSALA LÄN</t>
        </is>
      </c>
      <c r="E972" t="inlineStr">
        <is>
          <t>UPPSALA</t>
        </is>
      </c>
      <c r="G972" t="n">
        <v>3</v>
      </c>
      <c r="H972" t="n">
        <v>0</v>
      </c>
      <c r="I972" t="n">
        <v>0</v>
      </c>
      <c r="J972" t="n">
        <v>0</v>
      </c>
      <c r="K972" t="n">
        <v>0</v>
      </c>
      <c r="L972" t="n">
        <v>0</v>
      </c>
      <c r="M972" t="n">
        <v>0</v>
      </c>
      <c r="N972" t="n">
        <v>0</v>
      </c>
      <c r="O972" t="n">
        <v>0</v>
      </c>
      <c r="P972" t="n">
        <v>0</v>
      </c>
      <c r="Q972" t="n">
        <v>0</v>
      </c>
      <c r="R972" s="2" t="inlineStr"/>
    </row>
    <row r="973" ht="15" customHeight="1">
      <c r="A973" t="inlineStr">
        <is>
          <t>A 19279-2023</t>
        </is>
      </c>
      <c r="B973" s="1" t="n">
        <v>45049</v>
      </c>
      <c r="C973" s="1" t="n">
        <v>45708</v>
      </c>
      <c r="D973" t="inlineStr">
        <is>
          <t>UPPSALA LÄN</t>
        </is>
      </c>
      <c r="E973" t="inlineStr">
        <is>
          <t>UPPSALA</t>
        </is>
      </c>
      <c r="G973" t="n">
        <v>5.8</v>
      </c>
      <c r="H973" t="n">
        <v>0</v>
      </c>
      <c r="I973" t="n">
        <v>0</v>
      </c>
      <c r="J973" t="n">
        <v>0</v>
      </c>
      <c r="K973" t="n">
        <v>0</v>
      </c>
      <c r="L973" t="n">
        <v>0</v>
      </c>
      <c r="M973" t="n">
        <v>0</v>
      </c>
      <c r="N973" t="n">
        <v>0</v>
      </c>
      <c r="O973" t="n">
        <v>0</v>
      </c>
      <c r="P973" t="n">
        <v>0</v>
      </c>
      <c r="Q973" t="n">
        <v>0</v>
      </c>
      <c r="R973" s="2" t="inlineStr"/>
    </row>
    <row r="974" ht="15" customHeight="1">
      <c r="A974" t="inlineStr">
        <is>
          <t>A 19269-2023</t>
        </is>
      </c>
      <c r="B974" s="1" t="n">
        <v>45049</v>
      </c>
      <c r="C974" s="1" t="n">
        <v>45708</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19314-2023</t>
        </is>
      </c>
      <c r="B975" s="1" t="n">
        <v>45049</v>
      </c>
      <c r="C975" s="1" t="n">
        <v>45708</v>
      </c>
      <c r="D975" t="inlineStr">
        <is>
          <t>UPPSALA LÄN</t>
        </is>
      </c>
      <c r="E975" t="inlineStr">
        <is>
          <t>UPPSALA</t>
        </is>
      </c>
      <c r="G975" t="n">
        <v>9</v>
      </c>
      <c r="H975" t="n">
        <v>0</v>
      </c>
      <c r="I975" t="n">
        <v>0</v>
      </c>
      <c r="J975" t="n">
        <v>0</v>
      </c>
      <c r="K975" t="n">
        <v>0</v>
      </c>
      <c r="L975" t="n">
        <v>0</v>
      </c>
      <c r="M975" t="n">
        <v>0</v>
      </c>
      <c r="N975" t="n">
        <v>0</v>
      </c>
      <c r="O975" t="n">
        <v>0</v>
      </c>
      <c r="P975" t="n">
        <v>0</v>
      </c>
      <c r="Q975" t="n">
        <v>0</v>
      </c>
      <c r="R975" s="2" t="inlineStr"/>
    </row>
    <row r="976" ht="15" customHeight="1">
      <c r="A976" t="inlineStr">
        <is>
          <t>A 19320-2023</t>
        </is>
      </c>
      <c r="B976" s="1" t="n">
        <v>45049</v>
      </c>
      <c r="C976" s="1" t="n">
        <v>45708</v>
      </c>
      <c r="D976" t="inlineStr">
        <is>
          <t>UPPSALA LÄN</t>
        </is>
      </c>
      <c r="E976" t="inlineStr">
        <is>
          <t>UPPSALA</t>
        </is>
      </c>
      <c r="G976" t="n">
        <v>17.5</v>
      </c>
      <c r="H976" t="n">
        <v>0</v>
      </c>
      <c r="I976" t="n">
        <v>0</v>
      </c>
      <c r="J976" t="n">
        <v>0</v>
      </c>
      <c r="K976" t="n">
        <v>0</v>
      </c>
      <c r="L976" t="n">
        <v>0</v>
      </c>
      <c r="M976" t="n">
        <v>0</v>
      </c>
      <c r="N976" t="n">
        <v>0</v>
      </c>
      <c r="O976" t="n">
        <v>0</v>
      </c>
      <c r="P976" t="n">
        <v>0</v>
      </c>
      <c r="Q976" t="n">
        <v>0</v>
      </c>
      <c r="R976" s="2" t="inlineStr"/>
    </row>
    <row r="977" ht="15" customHeight="1">
      <c r="A977" t="inlineStr">
        <is>
          <t>A 19339-2023</t>
        </is>
      </c>
      <c r="B977" s="1" t="n">
        <v>45049</v>
      </c>
      <c r="C977" s="1" t="n">
        <v>45708</v>
      </c>
      <c r="D977" t="inlineStr">
        <is>
          <t>UPPSALA LÄN</t>
        </is>
      </c>
      <c r="E977" t="inlineStr">
        <is>
          <t>UPPSALA</t>
        </is>
      </c>
      <c r="G977" t="n">
        <v>6.9</v>
      </c>
      <c r="H977" t="n">
        <v>0</v>
      </c>
      <c r="I977" t="n">
        <v>0</v>
      </c>
      <c r="J977" t="n">
        <v>0</v>
      </c>
      <c r="K977" t="n">
        <v>0</v>
      </c>
      <c r="L977" t="n">
        <v>0</v>
      </c>
      <c r="M977" t="n">
        <v>0</v>
      </c>
      <c r="N977" t="n">
        <v>0</v>
      </c>
      <c r="O977" t="n">
        <v>0</v>
      </c>
      <c r="P977" t="n">
        <v>0</v>
      </c>
      <c r="Q977" t="n">
        <v>0</v>
      </c>
      <c r="R977" s="2" t="inlineStr"/>
    </row>
    <row r="978" ht="15" customHeight="1">
      <c r="A978" t="inlineStr">
        <is>
          <t>A 19380-2023</t>
        </is>
      </c>
      <c r="B978" s="1" t="n">
        <v>45049</v>
      </c>
      <c r="C978" s="1" t="n">
        <v>45708</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19411-2023</t>
        </is>
      </c>
      <c r="B979" s="1" t="n">
        <v>45049</v>
      </c>
      <c r="C979" s="1" t="n">
        <v>45708</v>
      </c>
      <c r="D979" t="inlineStr">
        <is>
          <t>UPPSALA LÄN</t>
        </is>
      </c>
      <c r="E979" t="inlineStr">
        <is>
          <t>UPPSALA</t>
        </is>
      </c>
      <c r="G979" t="n">
        <v>12.6</v>
      </c>
      <c r="H979" t="n">
        <v>0</v>
      </c>
      <c r="I979" t="n">
        <v>0</v>
      </c>
      <c r="J979" t="n">
        <v>0</v>
      </c>
      <c r="K979" t="n">
        <v>0</v>
      </c>
      <c r="L979" t="n">
        <v>0</v>
      </c>
      <c r="M979" t="n">
        <v>0</v>
      </c>
      <c r="N979" t="n">
        <v>0</v>
      </c>
      <c r="O979" t="n">
        <v>0</v>
      </c>
      <c r="P979" t="n">
        <v>0</v>
      </c>
      <c r="Q979" t="n">
        <v>0</v>
      </c>
      <c r="R979" s="2" t="inlineStr"/>
    </row>
    <row r="980" ht="15" customHeight="1">
      <c r="A980" t="inlineStr">
        <is>
          <t>A 19272-2023</t>
        </is>
      </c>
      <c r="B980" s="1" t="n">
        <v>45049</v>
      </c>
      <c r="C980" s="1" t="n">
        <v>45708</v>
      </c>
      <c r="D980" t="inlineStr">
        <is>
          <t>UPPSALA LÄN</t>
        </is>
      </c>
      <c r="E980" t="inlineStr">
        <is>
          <t>UPPSALA</t>
        </is>
      </c>
      <c r="G980" t="n">
        <v>4.9</v>
      </c>
      <c r="H980" t="n">
        <v>0</v>
      </c>
      <c r="I980" t="n">
        <v>0</v>
      </c>
      <c r="J980" t="n">
        <v>0</v>
      </c>
      <c r="K980" t="n">
        <v>0</v>
      </c>
      <c r="L980" t="n">
        <v>0</v>
      </c>
      <c r="M980" t="n">
        <v>0</v>
      </c>
      <c r="N980" t="n">
        <v>0</v>
      </c>
      <c r="O980" t="n">
        <v>0</v>
      </c>
      <c r="P980" t="n">
        <v>0</v>
      </c>
      <c r="Q980" t="n">
        <v>0</v>
      </c>
      <c r="R980" s="2" t="inlineStr"/>
    </row>
    <row r="981" ht="15" customHeight="1">
      <c r="A981" t="inlineStr">
        <is>
          <t>A 19276-2023</t>
        </is>
      </c>
      <c r="B981" s="1" t="n">
        <v>45049</v>
      </c>
      <c r="C981" s="1" t="n">
        <v>45708</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19317-2023</t>
        </is>
      </c>
      <c r="B982" s="1" t="n">
        <v>45049</v>
      </c>
      <c r="C982" s="1" t="n">
        <v>45708</v>
      </c>
      <c r="D982" t="inlineStr">
        <is>
          <t>UPPSALA LÄN</t>
        </is>
      </c>
      <c r="E982" t="inlineStr">
        <is>
          <t>UPPSALA</t>
        </is>
      </c>
      <c r="G982" t="n">
        <v>15.4</v>
      </c>
      <c r="H982" t="n">
        <v>0</v>
      </c>
      <c r="I982" t="n">
        <v>0</v>
      </c>
      <c r="J982" t="n">
        <v>0</v>
      </c>
      <c r="K982" t="n">
        <v>0</v>
      </c>
      <c r="L982" t="n">
        <v>0</v>
      </c>
      <c r="M982" t="n">
        <v>0</v>
      </c>
      <c r="N982" t="n">
        <v>0</v>
      </c>
      <c r="O982" t="n">
        <v>0</v>
      </c>
      <c r="P982" t="n">
        <v>0</v>
      </c>
      <c r="Q982" t="n">
        <v>0</v>
      </c>
      <c r="R982" s="2" t="inlineStr"/>
    </row>
    <row r="983" ht="15" customHeight="1">
      <c r="A983" t="inlineStr">
        <is>
          <t>A 19409-2023</t>
        </is>
      </c>
      <c r="B983" s="1" t="n">
        <v>45049</v>
      </c>
      <c r="C983" s="1" t="n">
        <v>45708</v>
      </c>
      <c r="D983" t="inlineStr">
        <is>
          <t>UPPSALA LÄN</t>
        </is>
      </c>
      <c r="E983" t="inlineStr">
        <is>
          <t>UPPSALA</t>
        </is>
      </c>
      <c r="G983" t="n">
        <v>0.9</v>
      </c>
      <c r="H983" t="n">
        <v>0</v>
      </c>
      <c r="I983" t="n">
        <v>0</v>
      </c>
      <c r="J983" t="n">
        <v>0</v>
      </c>
      <c r="K983" t="n">
        <v>0</v>
      </c>
      <c r="L983" t="n">
        <v>0</v>
      </c>
      <c r="M983" t="n">
        <v>0</v>
      </c>
      <c r="N983" t="n">
        <v>0</v>
      </c>
      <c r="O983" t="n">
        <v>0</v>
      </c>
      <c r="P983" t="n">
        <v>0</v>
      </c>
      <c r="Q983" t="n">
        <v>0</v>
      </c>
      <c r="R983" s="2" t="inlineStr"/>
    </row>
    <row r="984" ht="15" customHeight="1">
      <c r="A984" t="inlineStr">
        <is>
          <t>A 19455-2023</t>
        </is>
      </c>
      <c r="B984" s="1" t="n">
        <v>45050</v>
      </c>
      <c r="C984" s="1" t="n">
        <v>45708</v>
      </c>
      <c r="D984" t="inlineStr">
        <is>
          <t>UPPSALA LÄN</t>
        </is>
      </c>
      <c r="E984" t="inlineStr">
        <is>
          <t>UPPSALA</t>
        </is>
      </c>
      <c r="G984" t="n">
        <v>3.7</v>
      </c>
      <c r="H984" t="n">
        <v>0</v>
      </c>
      <c r="I984" t="n">
        <v>0</v>
      </c>
      <c r="J984" t="n">
        <v>0</v>
      </c>
      <c r="K984" t="n">
        <v>0</v>
      </c>
      <c r="L984" t="n">
        <v>0</v>
      </c>
      <c r="M984" t="n">
        <v>0</v>
      </c>
      <c r="N984" t="n">
        <v>0</v>
      </c>
      <c r="O984" t="n">
        <v>0</v>
      </c>
      <c r="P984" t="n">
        <v>0</v>
      </c>
      <c r="Q984" t="n">
        <v>0</v>
      </c>
      <c r="R984" s="2" t="inlineStr"/>
    </row>
    <row r="985" ht="15" customHeight="1">
      <c r="A985" t="inlineStr">
        <is>
          <t>A 19515-2023</t>
        </is>
      </c>
      <c r="B985" s="1" t="n">
        <v>45050</v>
      </c>
      <c r="C985" s="1" t="n">
        <v>45708</v>
      </c>
      <c r="D985" t="inlineStr">
        <is>
          <t>UPPSALA LÄN</t>
        </is>
      </c>
      <c r="E985" t="inlineStr">
        <is>
          <t>UPPSALA</t>
        </is>
      </c>
      <c r="G985" t="n">
        <v>11.2</v>
      </c>
      <c r="H985" t="n">
        <v>0</v>
      </c>
      <c r="I985" t="n">
        <v>0</v>
      </c>
      <c r="J985" t="n">
        <v>0</v>
      </c>
      <c r="K985" t="n">
        <v>0</v>
      </c>
      <c r="L985" t="n">
        <v>0</v>
      </c>
      <c r="M985" t="n">
        <v>0</v>
      </c>
      <c r="N985" t="n">
        <v>0</v>
      </c>
      <c r="O985" t="n">
        <v>0</v>
      </c>
      <c r="P985" t="n">
        <v>0</v>
      </c>
      <c r="Q985" t="n">
        <v>0</v>
      </c>
      <c r="R985" s="2" t="inlineStr"/>
    </row>
    <row r="986" ht="15" customHeight="1">
      <c r="A986" t="inlineStr">
        <is>
          <t>A 19447-2023</t>
        </is>
      </c>
      <c r="B986" s="1" t="n">
        <v>45050</v>
      </c>
      <c r="C986" s="1" t="n">
        <v>45708</v>
      </c>
      <c r="D986" t="inlineStr">
        <is>
          <t>UPPSALA LÄN</t>
        </is>
      </c>
      <c r="E986" t="inlineStr">
        <is>
          <t>UPPSALA</t>
        </is>
      </c>
      <c r="G986" t="n">
        <v>2.3</v>
      </c>
      <c r="H986" t="n">
        <v>0</v>
      </c>
      <c r="I986" t="n">
        <v>0</v>
      </c>
      <c r="J986" t="n">
        <v>0</v>
      </c>
      <c r="K986" t="n">
        <v>0</v>
      </c>
      <c r="L986" t="n">
        <v>0</v>
      </c>
      <c r="M986" t="n">
        <v>0</v>
      </c>
      <c r="N986" t="n">
        <v>0</v>
      </c>
      <c r="O986" t="n">
        <v>0</v>
      </c>
      <c r="P986" t="n">
        <v>0</v>
      </c>
      <c r="Q986" t="n">
        <v>0</v>
      </c>
      <c r="R986" s="2" t="inlineStr"/>
    </row>
    <row r="987" ht="15" customHeight="1">
      <c r="A987" t="inlineStr">
        <is>
          <t>A 19513-2023</t>
        </is>
      </c>
      <c r="B987" s="1" t="n">
        <v>45050</v>
      </c>
      <c r="C987" s="1" t="n">
        <v>45708</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19516-2023</t>
        </is>
      </c>
      <c r="B988" s="1" t="n">
        <v>45050</v>
      </c>
      <c r="C988" s="1" t="n">
        <v>45708</v>
      </c>
      <c r="D988" t="inlineStr">
        <is>
          <t>UPPSALA LÄN</t>
        </is>
      </c>
      <c r="E988" t="inlineStr">
        <is>
          <t>UPPSALA</t>
        </is>
      </c>
      <c r="G988" t="n">
        <v>4.5</v>
      </c>
      <c r="H988" t="n">
        <v>0</v>
      </c>
      <c r="I988" t="n">
        <v>0</v>
      </c>
      <c r="J988" t="n">
        <v>0</v>
      </c>
      <c r="K988" t="n">
        <v>0</v>
      </c>
      <c r="L988" t="n">
        <v>0</v>
      </c>
      <c r="M988" t="n">
        <v>0</v>
      </c>
      <c r="N988" t="n">
        <v>0</v>
      </c>
      <c r="O988" t="n">
        <v>0</v>
      </c>
      <c r="P988" t="n">
        <v>0</v>
      </c>
      <c r="Q988" t="n">
        <v>0</v>
      </c>
      <c r="R988" s="2" t="inlineStr"/>
    </row>
    <row r="989" ht="15" customHeight="1">
      <c r="A989" t="inlineStr">
        <is>
          <t>A 19920-2023</t>
        </is>
      </c>
      <c r="B989" s="1" t="n">
        <v>45054</v>
      </c>
      <c r="C989" s="1" t="n">
        <v>45708</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20087-2023</t>
        </is>
      </c>
      <c r="B990" s="1" t="n">
        <v>45055</v>
      </c>
      <c r="C990" s="1" t="n">
        <v>45708</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20102-2023</t>
        </is>
      </c>
      <c r="B991" s="1" t="n">
        <v>45055</v>
      </c>
      <c r="C991" s="1" t="n">
        <v>45708</v>
      </c>
      <c r="D991" t="inlineStr">
        <is>
          <t>UPPSALA LÄN</t>
        </is>
      </c>
      <c r="E991" t="inlineStr">
        <is>
          <t>UPPSALA</t>
        </is>
      </c>
      <c r="G991" t="n">
        <v>0.5</v>
      </c>
      <c r="H991" t="n">
        <v>0</v>
      </c>
      <c r="I991" t="n">
        <v>0</v>
      </c>
      <c r="J991" t="n">
        <v>0</v>
      </c>
      <c r="K991" t="n">
        <v>0</v>
      </c>
      <c r="L991" t="n">
        <v>0</v>
      </c>
      <c r="M991" t="n">
        <v>0</v>
      </c>
      <c r="N991" t="n">
        <v>0</v>
      </c>
      <c r="O991" t="n">
        <v>0</v>
      </c>
      <c r="P991" t="n">
        <v>0</v>
      </c>
      <c r="Q991" t="n">
        <v>0</v>
      </c>
      <c r="R991" s="2" t="inlineStr"/>
    </row>
    <row r="992" ht="15" customHeight="1">
      <c r="A992" t="inlineStr">
        <is>
          <t>A 20105-2023</t>
        </is>
      </c>
      <c r="B992" s="1" t="n">
        <v>45055</v>
      </c>
      <c r="C992" s="1" t="n">
        <v>45708</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20206-2023</t>
        </is>
      </c>
      <c r="B993" s="1" t="n">
        <v>45055</v>
      </c>
      <c r="C993" s="1" t="n">
        <v>45708</v>
      </c>
      <c r="D993" t="inlineStr">
        <is>
          <t>UPPSALA LÄN</t>
        </is>
      </c>
      <c r="E993" t="inlineStr">
        <is>
          <t>UPPSALA</t>
        </is>
      </c>
      <c r="G993" t="n">
        <v>5.7</v>
      </c>
      <c r="H993" t="n">
        <v>0</v>
      </c>
      <c r="I993" t="n">
        <v>0</v>
      </c>
      <c r="J993" t="n">
        <v>0</v>
      </c>
      <c r="K993" t="n">
        <v>0</v>
      </c>
      <c r="L993" t="n">
        <v>0</v>
      </c>
      <c r="M993" t="n">
        <v>0</v>
      </c>
      <c r="N993" t="n">
        <v>0</v>
      </c>
      <c r="O993" t="n">
        <v>0</v>
      </c>
      <c r="P993" t="n">
        <v>0</v>
      </c>
      <c r="Q993" t="n">
        <v>0</v>
      </c>
      <c r="R993" s="2" t="inlineStr"/>
    </row>
    <row r="994" ht="15" customHeight="1">
      <c r="A994" t="inlineStr">
        <is>
          <t>A 20438-2023</t>
        </is>
      </c>
      <c r="B994" s="1" t="n">
        <v>45056</v>
      </c>
      <c r="C994" s="1" t="n">
        <v>45708</v>
      </c>
      <c r="D994" t="inlineStr">
        <is>
          <t>UPPSALA LÄN</t>
        </is>
      </c>
      <c r="E994" t="inlineStr">
        <is>
          <t>UPPSALA</t>
        </is>
      </c>
      <c r="F994" t="inlineStr">
        <is>
          <t>Holmen skog AB</t>
        </is>
      </c>
      <c r="G994" t="n">
        <v>2.4</v>
      </c>
      <c r="H994" t="n">
        <v>0</v>
      </c>
      <c r="I994" t="n">
        <v>0</v>
      </c>
      <c r="J994" t="n">
        <v>0</v>
      </c>
      <c r="K994" t="n">
        <v>0</v>
      </c>
      <c r="L994" t="n">
        <v>0</v>
      </c>
      <c r="M994" t="n">
        <v>0</v>
      </c>
      <c r="N994" t="n">
        <v>0</v>
      </c>
      <c r="O994" t="n">
        <v>0</v>
      </c>
      <c r="P994" t="n">
        <v>0</v>
      </c>
      <c r="Q994" t="n">
        <v>0</v>
      </c>
      <c r="R994" s="2" t="inlineStr"/>
    </row>
    <row r="995" ht="15" customHeight="1">
      <c r="A995" t="inlineStr">
        <is>
          <t>A 20440-2023</t>
        </is>
      </c>
      <c r="B995" s="1" t="n">
        <v>45056</v>
      </c>
      <c r="C995" s="1" t="n">
        <v>45708</v>
      </c>
      <c r="D995" t="inlineStr">
        <is>
          <t>UPPSALA LÄN</t>
        </is>
      </c>
      <c r="E995" t="inlineStr">
        <is>
          <t>UPPSALA</t>
        </is>
      </c>
      <c r="F995" t="inlineStr">
        <is>
          <t>Holmen skog AB</t>
        </is>
      </c>
      <c r="G995" t="n">
        <v>2.8</v>
      </c>
      <c r="H995" t="n">
        <v>0</v>
      </c>
      <c r="I995" t="n">
        <v>0</v>
      </c>
      <c r="J995" t="n">
        <v>0</v>
      </c>
      <c r="K995" t="n">
        <v>0</v>
      </c>
      <c r="L995" t="n">
        <v>0</v>
      </c>
      <c r="M995" t="n">
        <v>0</v>
      </c>
      <c r="N995" t="n">
        <v>0</v>
      </c>
      <c r="O995" t="n">
        <v>0</v>
      </c>
      <c r="P995" t="n">
        <v>0</v>
      </c>
      <c r="Q995" t="n">
        <v>0</v>
      </c>
      <c r="R995" s="2" t="inlineStr"/>
    </row>
    <row r="996" ht="15" customHeight="1">
      <c r="A996" t="inlineStr">
        <is>
          <t>A 20437-2023</t>
        </is>
      </c>
      <c r="B996" s="1" t="n">
        <v>45056</v>
      </c>
      <c r="C996" s="1" t="n">
        <v>45708</v>
      </c>
      <c r="D996" t="inlineStr">
        <is>
          <t>UPPSALA LÄN</t>
        </is>
      </c>
      <c r="E996" t="inlineStr">
        <is>
          <t>UPPSALA</t>
        </is>
      </c>
      <c r="F996" t="inlineStr">
        <is>
          <t>Holmen skog AB</t>
        </is>
      </c>
      <c r="G996" t="n">
        <v>20.1</v>
      </c>
      <c r="H996" t="n">
        <v>0</v>
      </c>
      <c r="I996" t="n">
        <v>0</v>
      </c>
      <c r="J996" t="n">
        <v>0</v>
      </c>
      <c r="K996" t="n">
        <v>0</v>
      </c>
      <c r="L996" t="n">
        <v>0</v>
      </c>
      <c r="M996" t="n">
        <v>0</v>
      </c>
      <c r="N996" t="n">
        <v>0</v>
      </c>
      <c r="O996" t="n">
        <v>0</v>
      </c>
      <c r="P996" t="n">
        <v>0</v>
      </c>
      <c r="Q996" t="n">
        <v>0</v>
      </c>
      <c r="R996" s="2" t="inlineStr"/>
    </row>
    <row r="997" ht="15" customHeight="1">
      <c r="A997" t="inlineStr">
        <is>
          <t>A 20550-2023</t>
        </is>
      </c>
      <c r="B997" s="1" t="n">
        <v>45057</v>
      </c>
      <c r="C997" s="1" t="n">
        <v>45708</v>
      </c>
      <c r="D997" t="inlineStr">
        <is>
          <t>UPPSALA LÄN</t>
        </is>
      </c>
      <c r="E997" t="inlineStr">
        <is>
          <t>UPPSALA</t>
        </is>
      </c>
      <c r="F997" t="inlineStr">
        <is>
          <t>Övriga Aktiebolag</t>
        </is>
      </c>
      <c r="G997" t="n">
        <v>12.2</v>
      </c>
      <c r="H997" t="n">
        <v>0</v>
      </c>
      <c r="I997" t="n">
        <v>0</v>
      </c>
      <c r="J997" t="n">
        <v>0</v>
      </c>
      <c r="K997" t="n">
        <v>0</v>
      </c>
      <c r="L997" t="n">
        <v>0</v>
      </c>
      <c r="M997" t="n">
        <v>0</v>
      </c>
      <c r="N997" t="n">
        <v>0</v>
      </c>
      <c r="O997" t="n">
        <v>0</v>
      </c>
      <c r="P997" t="n">
        <v>0</v>
      </c>
      <c r="Q997" t="n">
        <v>0</v>
      </c>
      <c r="R997" s="2" t="inlineStr"/>
    </row>
    <row r="998" ht="15" customHeight="1">
      <c r="A998" t="inlineStr">
        <is>
          <t>A 20670-2023</t>
        </is>
      </c>
      <c r="B998" s="1" t="n">
        <v>45058</v>
      </c>
      <c r="C998" s="1" t="n">
        <v>45708</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20692-2023</t>
        </is>
      </c>
      <c r="B999" s="1" t="n">
        <v>45058</v>
      </c>
      <c r="C999" s="1" t="n">
        <v>45708</v>
      </c>
      <c r="D999" t="inlineStr">
        <is>
          <t>UPPSALA LÄN</t>
        </is>
      </c>
      <c r="E999" t="inlineStr">
        <is>
          <t>UPPSALA</t>
        </is>
      </c>
      <c r="G999" t="n">
        <v>7.9</v>
      </c>
      <c r="H999" t="n">
        <v>0</v>
      </c>
      <c r="I999" t="n">
        <v>0</v>
      </c>
      <c r="J999" t="n">
        <v>0</v>
      </c>
      <c r="K999" t="n">
        <v>0</v>
      </c>
      <c r="L999" t="n">
        <v>0</v>
      </c>
      <c r="M999" t="n">
        <v>0</v>
      </c>
      <c r="N999" t="n">
        <v>0</v>
      </c>
      <c r="O999" t="n">
        <v>0</v>
      </c>
      <c r="P999" t="n">
        <v>0</v>
      </c>
      <c r="Q999" t="n">
        <v>0</v>
      </c>
      <c r="R999" s="2" t="inlineStr"/>
    </row>
    <row r="1000" ht="15" customHeight="1">
      <c r="A1000" t="inlineStr">
        <is>
          <t>A 20667-2023</t>
        </is>
      </c>
      <c r="B1000" s="1" t="n">
        <v>45058</v>
      </c>
      <c r="C1000" s="1" t="n">
        <v>45708</v>
      </c>
      <c r="D1000" t="inlineStr">
        <is>
          <t>UPPSALA LÄN</t>
        </is>
      </c>
      <c r="E1000" t="inlineStr">
        <is>
          <t>UPPSALA</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20708-2023</t>
        </is>
      </c>
      <c r="B1001" s="1" t="n">
        <v>45058</v>
      </c>
      <c r="C1001" s="1" t="n">
        <v>45708</v>
      </c>
      <c r="D1001" t="inlineStr">
        <is>
          <t>UPPSALA LÄN</t>
        </is>
      </c>
      <c r="E1001" t="inlineStr">
        <is>
          <t>UPPSALA</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20669-2023</t>
        </is>
      </c>
      <c r="B1002" s="1" t="n">
        <v>45058</v>
      </c>
      <c r="C1002" s="1" t="n">
        <v>45708</v>
      </c>
      <c r="D1002" t="inlineStr">
        <is>
          <t>UPPSALA LÄN</t>
        </is>
      </c>
      <c r="E1002" t="inlineStr">
        <is>
          <t>UPPSALA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20786-2023</t>
        </is>
      </c>
      <c r="B1003" s="1" t="n">
        <v>45058</v>
      </c>
      <c r="C1003" s="1" t="n">
        <v>45708</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20900-2023</t>
        </is>
      </c>
      <c r="B1004" s="1" t="n">
        <v>45060</v>
      </c>
      <c r="C1004" s="1" t="n">
        <v>45708</v>
      </c>
      <c r="D1004" t="inlineStr">
        <is>
          <t>UPPSALA LÄN</t>
        </is>
      </c>
      <c r="E1004" t="inlineStr">
        <is>
          <t>UPPSALA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21052-2023</t>
        </is>
      </c>
      <c r="B1005" s="1" t="n">
        <v>45061</v>
      </c>
      <c r="C1005" s="1" t="n">
        <v>45708</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21416-2023</t>
        </is>
      </c>
      <c r="B1006" s="1" t="n">
        <v>45063</v>
      </c>
      <c r="C1006" s="1" t="n">
        <v>45708</v>
      </c>
      <c r="D1006" t="inlineStr">
        <is>
          <t>UPPSALA LÄN</t>
        </is>
      </c>
      <c r="E1006" t="inlineStr">
        <is>
          <t>UPPSALA</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21424-2023</t>
        </is>
      </c>
      <c r="B1007" s="1" t="n">
        <v>45063</v>
      </c>
      <c r="C1007" s="1" t="n">
        <v>45708</v>
      </c>
      <c r="D1007" t="inlineStr">
        <is>
          <t>UPPSALA LÄN</t>
        </is>
      </c>
      <c r="E1007" t="inlineStr">
        <is>
          <t>UPPSALA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21727-2023</t>
        </is>
      </c>
      <c r="B1008" s="1" t="n">
        <v>45065</v>
      </c>
      <c r="C1008" s="1" t="n">
        <v>45708</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21935-2023</t>
        </is>
      </c>
      <c r="B1009" s="1" t="n">
        <v>45068</v>
      </c>
      <c r="C1009" s="1" t="n">
        <v>45708</v>
      </c>
      <c r="D1009" t="inlineStr">
        <is>
          <t>UPPSALA LÄN</t>
        </is>
      </c>
      <c r="E1009" t="inlineStr">
        <is>
          <t>UPPSALA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22450-2023</t>
        </is>
      </c>
      <c r="B1010" s="1" t="n">
        <v>45070</v>
      </c>
      <c r="C1010" s="1" t="n">
        <v>45708</v>
      </c>
      <c r="D1010" t="inlineStr">
        <is>
          <t>UPPSALA LÄN</t>
        </is>
      </c>
      <c r="E1010" t="inlineStr">
        <is>
          <t>UPPSALA</t>
        </is>
      </c>
      <c r="F1010" t="inlineStr">
        <is>
          <t>Allmännings- och besparingsskogar</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23159-2023</t>
        </is>
      </c>
      <c r="B1011" s="1" t="n">
        <v>45075</v>
      </c>
      <c r="C1011" s="1" t="n">
        <v>45708</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23157-2023</t>
        </is>
      </c>
      <c r="B1012" s="1" t="n">
        <v>45075</v>
      </c>
      <c r="C1012" s="1" t="n">
        <v>45708</v>
      </c>
      <c r="D1012" t="inlineStr">
        <is>
          <t>UPPSALA LÄN</t>
        </is>
      </c>
      <c r="E1012" t="inlineStr">
        <is>
          <t>UPPSALA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23929-2023</t>
        </is>
      </c>
      <c r="B1013" s="1" t="n">
        <v>45078</v>
      </c>
      <c r="C1013" s="1" t="n">
        <v>45708</v>
      </c>
      <c r="D1013" t="inlineStr">
        <is>
          <t>UPPSALA LÄN</t>
        </is>
      </c>
      <c r="E1013" t="inlineStr">
        <is>
          <t>UPPSALA</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24012-2023</t>
        </is>
      </c>
      <c r="B1014" s="1" t="n">
        <v>45078</v>
      </c>
      <c r="C1014" s="1" t="n">
        <v>45708</v>
      </c>
      <c r="D1014" t="inlineStr">
        <is>
          <t>UPPSALA LÄN</t>
        </is>
      </c>
      <c r="E1014" t="inlineStr">
        <is>
          <t>UPPSALA</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24016-2023</t>
        </is>
      </c>
      <c r="B1015" s="1" t="n">
        <v>45078</v>
      </c>
      <c r="C1015" s="1" t="n">
        <v>45708</v>
      </c>
      <c r="D1015" t="inlineStr">
        <is>
          <t>UPPSALA LÄN</t>
        </is>
      </c>
      <c r="E1015" t="inlineStr">
        <is>
          <t>UPPSALA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24009-2023</t>
        </is>
      </c>
      <c r="B1016" s="1" t="n">
        <v>45078</v>
      </c>
      <c r="C1016" s="1" t="n">
        <v>45708</v>
      </c>
      <c r="D1016" t="inlineStr">
        <is>
          <t>UPPSALA LÄN</t>
        </is>
      </c>
      <c r="E1016" t="inlineStr">
        <is>
          <t>UPPSALA</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24174-2023</t>
        </is>
      </c>
      <c r="B1017" s="1" t="n">
        <v>45079</v>
      </c>
      <c r="C1017" s="1" t="n">
        <v>45708</v>
      </c>
      <c r="D1017" t="inlineStr">
        <is>
          <t>UPPSALA LÄN</t>
        </is>
      </c>
      <c r="E1017" t="inlineStr">
        <is>
          <t>UPPSALA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24670-2023</t>
        </is>
      </c>
      <c r="B1018" s="1" t="n">
        <v>45084</v>
      </c>
      <c r="C1018" s="1" t="n">
        <v>45708</v>
      </c>
      <c r="D1018" t="inlineStr">
        <is>
          <t>UPPSALA LÄN</t>
        </is>
      </c>
      <c r="E1018" t="inlineStr">
        <is>
          <t>UPPSALA</t>
        </is>
      </c>
      <c r="F1018" t="inlineStr">
        <is>
          <t>Holmen skog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25264-2023</t>
        </is>
      </c>
      <c r="B1019" s="1" t="n">
        <v>45086</v>
      </c>
      <c r="C1019" s="1" t="n">
        <v>45708</v>
      </c>
      <c r="D1019" t="inlineStr">
        <is>
          <t>UPPSALA LÄN</t>
        </is>
      </c>
      <c r="E1019" t="inlineStr">
        <is>
          <t>UPPSALA</t>
        </is>
      </c>
      <c r="F1019" t="inlineStr">
        <is>
          <t>Holmen skog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25280-2023</t>
        </is>
      </c>
      <c r="B1020" s="1" t="n">
        <v>45086</v>
      </c>
      <c r="C1020" s="1" t="n">
        <v>45708</v>
      </c>
      <c r="D1020" t="inlineStr">
        <is>
          <t>UPPSALA LÄN</t>
        </is>
      </c>
      <c r="E1020" t="inlineStr">
        <is>
          <t>UPPSALA</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25380-2023</t>
        </is>
      </c>
      <c r="B1021" s="1" t="n">
        <v>45089</v>
      </c>
      <c r="C1021" s="1" t="n">
        <v>45708</v>
      </c>
      <c r="D1021" t="inlineStr">
        <is>
          <t>UPPSALA LÄN</t>
        </is>
      </c>
      <c r="E1021" t="inlineStr">
        <is>
          <t>UPPSALA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25381-2023</t>
        </is>
      </c>
      <c r="B1022" s="1" t="n">
        <v>45089</v>
      </c>
      <c r="C1022" s="1" t="n">
        <v>45708</v>
      </c>
      <c r="D1022" t="inlineStr">
        <is>
          <t>UPPSALA LÄN</t>
        </is>
      </c>
      <c r="E1022" t="inlineStr">
        <is>
          <t>UPPSALA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25446-2023</t>
        </is>
      </c>
      <c r="B1023" s="1" t="n">
        <v>45089</v>
      </c>
      <c r="C1023" s="1" t="n">
        <v>45708</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25462-2023</t>
        </is>
      </c>
      <c r="B1024" s="1" t="n">
        <v>45089</v>
      </c>
      <c r="C1024" s="1" t="n">
        <v>45708</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25939-2023</t>
        </is>
      </c>
      <c r="B1025" s="1" t="n">
        <v>45090</v>
      </c>
      <c r="C1025" s="1" t="n">
        <v>45708</v>
      </c>
      <c r="D1025" t="inlineStr">
        <is>
          <t>UPPSALA LÄN</t>
        </is>
      </c>
      <c r="E1025" t="inlineStr">
        <is>
          <t>UPPSALA</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26208-2023</t>
        </is>
      </c>
      <c r="B1026" s="1" t="n">
        <v>45091</v>
      </c>
      <c r="C1026" s="1" t="n">
        <v>45708</v>
      </c>
      <c r="D1026" t="inlineStr">
        <is>
          <t>UPPSALA LÄN</t>
        </is>
      </c>
      <c r="E1026" t="inlineStr">
        <is>
          <t>UPPSALA</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26298-2023</t>
        </is>
      </c>
      <c r="B1027" s="1" t="n">
        <v>45091</v>
      </c>
      <c r="C1027" s="1" t="n">
        <v>45708</v>
      </c>
      <c r="D1027" t="inlineStr">
        <is>
          <t>UPPSALA LÄN</t>
        </is>
      </c>
      <c r="E1027" t="inlineStr">
        <is>
          <t>UPPSALA</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26323-2023</t>
        </is>
      </c>
      <c r="B1028" s="1" t="n">
        <v>45091</v>
      </c>
      <c r="C1028" s="1" t="n">
        <v>45708</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26081-2023</t>
        </is>
      </c>
      <c r="B1029" s="1" t="n">
        <v>45091</v>
      </c>
      <c r="C1029" s="1" t="n">
        <v>45708</v>
      </c>
      <c r="D1029" t="inlineStr">
        <is>
          <t>UPPSALA LÄN</t>
        </is>
      </c>
      <c r="E1029" t="inlineStr">
        <is>
          <t>UPPSALA</t>
        </is>
      </c>
      <c r="F1029" t="inlineStr">
        <is>
          <t>Holmen skog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26143-2023</t>
        </is>
      </c>
      <c r="B1030" s="1" t="n">
        <v>45091</v>
      </c>
      <c r="C1030" s="1" t="n">
        <v>45708</v>
      </c>
      <c r="D1030" t="inlineStr">
        <is>
          <t>UPPSALA LÄN</t>
        </is>
      </c>
      <c r="E1030" t="inlineStr">
        <is>
          <t>UPPSALA</t>
        </is>
      </c>
      <c r="F1030" t="inlineStr">
        <is>
          <t>Holmen skog AB</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26134-2023</t>
        </is>
      </c>
      <c r="B1031" s="1" t="n">
        <v>45091</v>
      </c>
      <c r="C1031" s="1" t="n">
        <v>45708</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26759-2023</t>
        </is>
      </c>
      <c r="B1032" s="1" t="n">
        <v>45093</v>
      </c>
      <c r="C1032" s="1" t="n">
        <v>45708</v>
      </c>
      <c r="D1032" t="inlineStr">
        <is>
          <t>UPPSALA LÄN</t>
        </is>
      </c>
      <c r="E1032" t="inlineStr">
        <is>
          <t>UPPSALA</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26762-2023</t>
        </is>
      </c>
      <c r="B1033" s="1" t="n">
        <v>45093</v>
      </c>
      <c r="C1033" s="1" t="n">
        <v>45708</v>
      </c>
      <c r="D1033" t="inlineStr">
        <is>
          <t>UPPSALA LÄN</t>
        </is>
      </c>
      <c r="E1033" t="inlineStr">
        <is>
          <t>UPPSALA</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27128-2023</t>
        </is>
      </c>
      <c r="B1034" s="1" t="n">
        <v>45096</v>
      </c>
      <c r="C1034" s="1" t="n">
        <v>45708</v>
      </c>
      <c r="D1034" t="inlineStr">
        <is>
          <t>UPPSALA LÄN</t>
        </is>
      </c>
      <c r="E1034" t="inlineStr">
        <is>
          <t>UPPSALA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27068-2023</t>
        </is>
      </c>
      <c r="B1035" s="1" t="n">
        <v>45096</v>
      </c>
      <c r="C1035" s="1" t="n">
        <v>45708</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27119-2023</t>
        </is>
      </c>
      <c r="B1036" s="1" t="n">
        <v>45096</v>
      </c>
      <c r="C1036" s="1" t="n">
        <v>45708</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27123-2023</t>
        </is>
      </c>
      <c r="B1037" s="1" t="n">
        <v>45096</v>
      </c>
      <c r="C1037" s="1" t="n">
        <v>45708</v>
      </c>
      <c r="D1037" t="inlineStr">
        <is>
          <t>UPPSALA LÄN</t>
        </is>
      </c>
      <c r="E1037" t="inlineStr">
        <is>
          <t>UPPSALA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27126-2023</t>
        </is>
      </c>
      <c r="B1038" s="1" t="n">
        <v>45096</v>
      </c>
      <c r="C1038" s="1" t="n">
        <v>45708</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27104-2023</t>
        </is>
      </c>
      <c r="B1039" s="1" t="n">
        <v>45096</v>
      </c>
      <c r="C1039" s="1" t="n">
        <v>45708</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27121-2023</t>
        </is>
      </c>
      <c r="B1040" s="1" t="n">
        <v>45096</v>
      </c>
      <c r="C1040" s="1" t="n">
        <v>45708</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27125-2023</t>
        </is>
      </c>
      <c r="B1041" s="1" t="n">
        <v>45096</v>
      </c>
      <c r="C1041" s="1" t="n">
        <v>45708</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27254-2023</t>
        </is>
      </c>
      <c r="B1042" s="1" t="n">
        <v>45096</v>
      </c>
      <c r="C1042" s="1" t="n">
        <v>45708</v>
      </c>
      <c r="D1042" t="inlineStr">
        <is>
          <t>UPPSALA LÄN</t>
        </is>
      </c>
      <c r="E1042" t="inlineStr">
        <is>
          <t>UPPSALA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27467-2023</t>
        </is>
      </c>
      <c r="B1043" s="1" t="n">
        <v>45097</v>
      </c>
      <c r="C1043" s="1" t="n">
        <v>45708</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27617-2023</t>
        </is>
      </c>
      <c r="B1044" s="1" t="n">
        <v>45097</v>
      </c>
      <c r="C1044" s="1" t="n">
        <v>45708</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27622-2023</t>
        </is>
      </c>
      <c r="B1045" s="1" t="n">
        <v>45097</v>
      </c>
      <c r="C1045" s="1" t="n">
        <v>45708</v>
      </c>
      <c r="D1045" t="inlineStr">
        <is>
          <t>UPPSALA LÄN</t>
        </is>
      </c>
      <c r="E1045" t="inlineStr">
        <is>
          <t>UPPSALA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27599-2023</t>
        </is>
      </c>
      <c r="B1046" s="1" t="n">
        <v>45097</v>
      </c>
      <c r="C1046" s="1" t="n">
        <v>45708</v>
      </c>
      <c r="D1046" t="inlineStr">
        <is>
          <t>UPPSALA LÄN</t>
        </is>
      </c>
      <c r="E1046" t="inlineStr">
        <is>
          <t>UPPSALA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27620-2023</t>
        </is>
      </c>
      <c r="B1047" s="1" t="n">
        <v>45097</v>
      </c>
      <c r="C1047" s="1" t="n">
        <v>45708</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27912-2023</t>
        </is>
      </c>
      <c r="B1048" s="1" t="n">
        <v>45098</v>
      </c>
      <c r="C1048" s="1" t="n">
        <v>45708</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27903-2023</t>
        </is>
      </c>
      <c r="B1049" s="1" t="n">
        <v>45098</v>
      </c>
      <c r="C1049" s="1" t="n">
        <v>45708</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27930-2023</t>
        </is>
      </c>
      <c r="B1050" s="1" t="n">
        <v>45098</v>
      </c>
      <c r="C1050" s="1" t="n">
        <v>45708</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28186-2023</t>
        </is>
      </c>
      <c r="B1051" s="1" t="n">
        <v>45099</v>
      </c>
      <c r="C1051" s="1" t="n">
        <v>45708</v>
      </c>
      <c r="D1051" t="inlineStr">
        <is>
          <t>UPPSALA LÄN</t>
        </is>
      </c>
      <c r="E1051" t="inlineStr">
        <is>
          <t>UPPSALA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28577-2023</t>
        </is>
      </c>
      <c r="B1052" s="1" t="n">
        <v>45103</v>
      </c>
      <c r="C1052" s="1" t="n">
        <v>45708</v>
      </c>
      <c r="D1052" t="inlineStr">
        <is>
          <t>UPPSALA LÄN</t>
        </is>
      </c>
      <c r="E1052" t="inlineStr">
        <is>
          <t>UPPSALA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28701-2023</t>
        </is>
      </c>
      <c r="B1053" s="1" t="n">
        <v>45103</v>
      </c>
      <c r="C1053" s="1" t="n">
        <v>45708</v>
      </c>
      <c r="D1053" t="inlineStr">
        <is>
          <t>UPPSALA LÄN</t>
        </is>
      </c>
      <c r="E1053" t="inlineStr">
        <is>
          <t>UPPSALA</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29019-2023</t>
        </is>
      </c>
      <c r="B1054" s="1" t="n">
        <v>45104</v>
      </c>
      <c r="C1054" s="1" t="n">
        <v>45708</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31599-2023</t>
        </is>
      </c>
      <c r="B1055" s="1" t="n">
        <v>45105</v>
      </c>
      <c r="C1055" s="1" t="n">
        <v>45708</v>
      </c>
      <c r="D1055" t="inlineStr">
        <is>
          <t>UPPSALA LÄN</t>
        </is>
      </c>
      <c r="E1055" t="inlineStr">
        <is>
          <t>UPPSALA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29282-2023</t>
        </is>
      </c>
      <c r="B1056" s="1" t="n">
        <v>45105</v>
      </c>
      <c r="C1056" s="1" t="n">
        <v>45708</v>
      </c>
      <c r="D1056" t="inlineStr">
        <is>
          <t>UPPSALA LÄN</t>
        </is>
      </c>
      <c r="E1056" t="inlineStr">
        <is>
          <t>UPPSALA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31630-2023</t>
        </is>
      </c>
      <c r="B1057" s="1" t="n">
        <v>45105</v>
      </c>
      <c r="C1057" s="1" t="n">
        <v>45708</v>
      </c>
      <c r="D1057" t="inlineStr">
        <is>
          <t>UPPSALA LÄN</t>
        </is>
      </c>
      <c r="E1057" t="inlineStr">
        <is>
          <t>UPPSALA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29579-2023</t>
        </is>
      </c>
      <c r="B1058" s="1" t="n">
        <v>45106</v>
      </c>
      <c r="C1058" s="1" t="n">
        <v>45708</v>
      </c>
      <c r="D1058" t="inlineStr">
        <is>
          <t>UPPSALA LÄN</t>
        </is>
      </c>
      <c r="E1058" t="inlineStr">
        <is>
          <t>UPPSALA</t>
        </is>
      </c>
      <c r="F1058" t="inlineStr">
        <is>
          <t>Kyrkan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29815-2023</t>
        </is>
      </c>
      <c r="B1059" s="1" t="n">
        <v>45107</v>
      </c>
      <c r="C1059" s="1" t="n">
        <v>45708</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29901-2023</t>
        </is>
      </c>
      <c r="B1060" s="1" t="n">
        <v>45107</v>
      </c>
      <c r="C1060" s="1" t="n">
        <v>45708</v>
      </c>
      <c r="D1060" t="inlineStr">
        <is>
          <t>UPPSALA LÄN</t>
        </is>
      </c>
      <c r="E1060" t="inlineStr">
        <is>
          <t>UPPSALA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29868-2023</t>
        </is>
      </c>
      <c r="B1061" s="1" t="n">
        <v>45107</v>
      </c>
      <c r="C1061" s="1" t="n">
        <v>45708</v>
      </c>
      <c r="D1061" t="inlineStr">
        <is>
          <t>UPPSALA LÄN</t>
        </is>
      </c>
      <c r="E1061" t="inlineStr">
        <is>
          <t>UPPSALA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29799-2023</t>
        </is>
      </c>
      <c r="B1062" s="1" t="n">
        <v>45107</v>
      </c>
      <c r="C1062" s="1" t="n">
        <v>45708</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29808-2023</t>
        </is>
      </c>
      <c r="B1063" s="1" t="n">
        <v>45107</v>
      </c>
      <c r="C1063" s="1" t="n">
        <v>45708</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29902-2023</t>
        </is>
      </c>
      <c r="B1064" s="1" t="n">
        <v>45107</v>
      </c>
      <c r="C1064" s="1" t="n">
        <v>45708</v>
      </c>
      <c r="D1064" t="inlineStr">
        <is>
          <t>UPPSALA LÄN</t>
        </is>
      </c>
      <c r="E1064" t="inlineStr">
        <is>
          <t>UPPSALA</t>
        </is>
      </c>
      <c r="F1064" t="inlineStr">
        <is>
          <t>Kyrkan</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45708</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45708</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45708</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45708</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45708</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45708</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45708</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45708</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45708</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45708</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45708</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45708</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45708</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45708</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45708</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45708</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45708</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45708</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45708</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45708</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45708</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45708</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45708</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45708</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45708</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45708</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45708</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45708</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45708</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45708</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45708</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45708</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45708</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45708</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45708</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45708</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45708</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45708</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45708</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45708</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45708</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45708</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45708</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45708</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45708</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45708</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45708</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45708</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45708</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45708</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45708</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45708</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45708</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45708</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45708</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45708</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45708</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45708</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45708</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45708</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45708</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45708</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45708</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45708</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45708</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45708</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45708</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45708</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45708</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45708</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45708</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45708</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45708</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45708</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45708</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45708</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45708</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45708</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45708</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45708</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45708</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45708</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45708</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45708</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45708</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45708</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45708</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45708</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45708</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45708</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45708</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45708</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45708</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45708</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45708</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45708</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45708</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45708</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45708</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45708</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45708</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45708</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45708</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45708</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45708</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45708</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45708</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45708</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45708</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45708</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45708</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45708</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45708</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45708</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45708</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45708</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45708</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45708</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45708</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45708</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45708</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45708</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45708</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45708</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45708</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45708</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45708</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45708</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45708</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45708</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45708</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45708</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45708</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45708</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45708</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45708</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45708</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45708</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45708</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45708</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45708</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45708</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45708</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45708</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45708</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45708</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45708</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45708</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45708</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45708</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45708</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45708</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45708</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45708</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45708</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45708</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45708</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45708</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45708</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45708</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45708</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45708</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45708</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45708</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45708</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45708</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45708</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45708</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45708</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45708</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45708</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45708</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45708</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45708</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45708</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45708</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45708</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45708</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45708</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45708</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45708</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45708</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45708</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45708</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45708</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45708</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45708</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45708</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45708</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45708</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45708</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45708</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45708</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45708</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45708</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45708</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45708</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45708</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45708</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45708</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45708</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45708</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45708</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45708</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45708</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45708</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45708</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45708</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45708</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45708</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45708</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45708</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45708</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45708</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45708</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45708</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45708</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45708</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45708</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45708</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45708</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45708</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45708</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45708</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45708</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45708</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45708</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45708</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45708</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45708</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45708</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45708</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45708</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45708</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45708</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45708</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45708</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45708</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45708</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45708</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45708</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45708</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45708</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45708</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45708</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45708</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45708</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45708</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45708</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45708</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45708</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45708</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45708</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45708</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45708</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45708</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45708</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45708</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45708</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45708</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45708</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45708</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45708</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45708</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45708</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45708</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45708</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45708</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45708</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45708</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45708</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45708</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45708</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45708</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45708</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45708</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45708</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45708</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45708</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45708</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45708</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45708</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45708</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45708</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45708</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45708</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45708</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45708</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45708</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45708</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45708</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45708</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45708</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45708</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45708</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45708</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45708</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45708</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45708</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45708</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45708</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45708</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45708</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45708</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45708</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45708</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45708</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45708</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45708</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45708</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45708</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45708</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45708</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45708</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45708</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45708</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45708</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45708</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45708</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45708</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45708</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45708</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45708</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45708</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45708</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45708</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45708</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45708</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45708</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45708</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45708</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45708</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45708</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45708</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45708</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45708</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45708</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45708</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45708</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45708</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45708</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45708</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45708</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45708</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45708</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45708</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45708</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45708</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45708</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45708</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45708</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45708</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45708</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45708</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45708</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45708</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45708</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45708</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45708</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45708</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45708</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45708</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45708</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45708</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45708</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45708</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45708</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45708</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45708</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45708</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45708</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45708</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45708</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45708</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45708</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45708</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45708</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45708</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45708</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45708</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45708</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45708</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45708</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45708</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45708</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45708</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45708</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45708</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45708</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45708</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45708</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45708</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45708</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45708</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45708</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45708</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45708</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45708</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45708</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45708</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45708</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45708</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45708</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45708</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45708</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45708</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45708</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45708</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45708</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45708</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45708</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45708</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45708</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45708</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45708</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45708</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45708</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45708</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45708</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45708</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45708</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45708</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45708</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45708</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45708</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45708</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45708</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45708</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45708</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45708</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45708</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45708</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45708</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45708</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45708</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45708</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45708</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45708</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45708</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45708</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45708</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45708</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45708</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45708</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45708</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45708</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45708</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45708</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45708</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45708</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45708</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45708</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45708</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45708</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45708</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45708</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45708</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45708</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45708</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45708</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45708</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45708</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45708</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45708</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45708</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45708</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45708</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45708</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45708</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45708</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45708</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45708</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45708</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45708</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45708</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45708</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45708</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45708</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45708</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45708</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45708</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45708</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45708</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45708</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45708</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45708</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45708</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45708</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45708</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45708</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45708</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45708</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45708</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45708</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45708</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45708</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45708</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45708</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45708</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45708</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45708</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45708</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45708</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45708</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45708</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45708</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45708</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45708</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45708</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45708</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45708</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45708</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45708</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45708</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45708</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45708</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45708</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45708</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45708</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45708</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45708</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45708</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45708</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45708</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45708</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45708</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45708</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45708</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45708</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45708</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45708</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45708</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45708</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45708</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45708</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45708</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45708</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45708</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45708</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45708</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45708</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45708</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45708</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45708</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45708</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45708</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45708</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45708</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45708</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45708</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45708</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45708</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45708</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45708</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45708</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45708</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45708</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45708</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45708</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45708</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45708</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45708</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45708</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45708</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45708</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45708</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45708</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45708</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45708</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45708</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45708</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45708</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45708</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45708</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45708</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45708</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45708</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45708</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45708</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45708</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45708</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45708</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45708</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45708</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45708</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45708</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45708</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45708</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45708</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45708</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45708</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45708</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45708</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45708</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45708</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45708</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1588-2025</t>
        </is>
      </c>
      <c r="B1661" s="1" t="n">
        <v>45670</v>
      </c>
      <c r="C1661" s="1" t="n">
        <v>45708</v>
      </c>
      <c r="D1661" t="inlineStr">
        <is>
          <t>UPPSALA LÄN</t>
        </is>
      </c>
      <c r="E1661" t="inlineStr">
        <is>
          <t>UPPSALA</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1592-2025</t>
        </is>
      </c>
      <c r="B1662" s="1" t="n">
        <v>45670</v>
      </c>
      <c r="C1662" s="1" t="n">
        <v>45708</v>
      </c>
      <c r="D1662" t="inlineStr">
        <is>
          <t>UPPSALA LÄN</t>
        </is>
      </c>
      <c r="E1662" t="inlineStr">
        <is>
          <t>UPPSALA</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2790-2025</t>
        </is>
      </c>
      <c r="B1663" s="1" t="n">
        <v>45677</v>
      </c>
      <c r="C1663" s="1" t="n">
        <v>45708</v>
      </c>
      <c r="D1663" t="inlineStr">
        <is>
          <t>UPPSALA LÄN</t>
        </is>
      </c>
      <c r="E1663" t="inlineStr">
        <is>
          <t>UPPSALA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2695-2025</t>
        </is>
      </c>
      <c r="B1664" s="1" t="n">
        <v>45677</v>
      </c>
      <c r="C1664" s="1" t="n">
        <v>45708</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45708</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3314-2025</t>
        </is>
      </c>
      <c r="B1666" s="1" t="n">
        <v>45679</v>
      </c>
      <c r="C1666" s="1" t="n">
        <v>45708</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3315-2025</t>
        </is>
      </c>
      <c r="B1667" s="1" t="n">
        <v>45679</v>
      </c>
      <c r="C1667" s="1" t="n">
        <v>45708</v>
      </c>
      <c r="D1667" t="inlineStr">
        <is>
          <t>UPPSALA LÄN</t>
        </is>
      </c>
      <c r="E1667" t="inlineStr">
        <is>
          <t>UPPSALA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3287-2025</t>
        </is>
      </c>
      <c r="B1668" s="1" t="n">
        <v>45679</v>
      </c>
      <c r="C1668" s="1" t="n">
        <v>45708</v>
      </c>
      <c r="D1668" t="inlineStr">
        <is>
          <t>UPPSALA LÄN</t>
        </is>
      </c>
      <c r="E1668" t="inlineStr">
        <is>
          <t>UPPSALA</t>
        </is>
      </c>
      <c r="F1668" t="inlineStr">
        <is>
          <t>Kyrkan</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3973-2025</t>
        </is>
      </c>
      <c r="B1669" s="1" t="n">
        <v>45684</v>
      </c>
      <c r="C1669" s="1" t="n">
        <v>45708</v>
      </c>
      <c r="D1669" t="inlineStr">
        <is>
          <t>UPPSALA LÄN</t>
        </is>
      </c>
      <c r="E1669" t="inlineStr">
        <is>
          <t>UPPSALA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4014-2025</t>
        </is>
      </c>
      <c r="B1670" s="1" t="n">
        <v>45684</v>
      </c>
      <c r="C1670" s="1" t="n">
        <v>45708</v>
      </c>
      <c r="D1670" t="inlineStr">
        <is>
          <t>UPPSALA LÄN</t>
        </is>
      </c>
      <c r="E1670" t="inlineStr">
        <is>
          <t>UPPSALA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4242-2025</t>
        </is>
      </c>
      <c r="B1671" s="1" t="n">
        <v>45685</v>
      </c>
      <c r="C1671" s="1" t="n">
        <v>45708</v>
      </c>
      <c r="D1671" t="inlineStr">
        <is>
          <t>UPPSALA LÄN</t>
        </is>
      </c>
      <c r="E1671" t="inlineStr">
        <is>
          <t>UPPSALA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4240-2025</t>
        </is>
      </c>
      <c r="B1672" s="1" t="n">
        <v>45685</v>
      </c>
      <c r="C1672" s="1" t="n">
        <v>45708</v>
      </c>
      <c r="D1672" t="inlineStr">
        <is>
          <t>UPPSALA LÄN</t>
        </is>
      </c>
      <c r="E1672" t="inlineStr">
        <is>
          <t>UPPSALA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4244-2025</t>
        </is>
      </c>
      <c r="B1673" s="1" t="n">
        <v>45685</v>
      </c>
      <c r="C1673" s="1" t="n">
        <v>45708</v>
      </c>
      <c r="D1673" t="inlineStr">
        <is>
          <t>UPPSALA LÄN</t>
        </is>
      </c>
      <c r="E1673" t="inlineStr">
        <is>
          <t>UPPSALA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45708</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45708</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4993-2025</t>
        </is>
      </c>
      <c r="B1676" s="1" t="n">
        <v>45691</v>
      </c>
      <c r="C1676" s="1" t="n">
        <v>45708</v>
      </c>
      <c r="D1676" t="inlineStr">
        <is>
          <t>UPPSALA LÄN</t>
        </is>
      </c>
      <c r="E1676" t="inlineStr">
        <is>
          <t>UPPSALA</t>
        </is>
      </c>
      <c r="F1676" t="inlineStr">
        <is>
          <t>Kyrkan</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5068-2025</t>
        </is>
      </c>
      <c r="B1677" s="1" t="n">
        <v>45691</v>
      </c>
      <c r="C1677" s="1" t="n">
        <v>45708</v>
      </c>
      <c r="D1677" t="inlineStr">
        <is>
          <t>UPPSALA LÄN</t>
        </is>
      </c>
      <c r="E1677" t="inlineStr">
        <is>
          <t>UPPSALA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45708</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5373-2025</t>
        </is>
      </c>
      <c r="B1679" s="1" t="n">
        <v>45692</v>
      </c>
      <c r="C1679" s="1" t="n">
        <v>45708</v>
      </c>
      <c r="D1679" t="inlineStr">
        <is>
          <t>UPPSALA LÄN</t>
        </is>
      </c>
      <c r="E1679" t="inlineStr">
        <is>
          <t>UPPSALA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5371-2025</t>
        </is>
      </c>
      <c r="B1680" s="1" t="n">
        <v>45692</v>
      </c>
      <c r="C1680" s="1" t="n">
        <v>45708</v>
      </c>
      <c r="D1680" t="inlineStr">
        <is>
          <t>UPPSALA LÄN</t>
        </is>
      </c>
      <c r="E1680" t="inlineStr">
        <is>
          <t>UPPSALA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5605-2025</t>
        </is>
      </c>
      <c r="B1681" s="1" t="n">
        <v>45693</v>
      </c>
      <c r="C1681" s="1" t="n">
        <v>45708</v>
      </c>
      <c r="D1681" t="inlineStr">
        <is>
          <t>UPPSALA LÄN</t>
        </is>
      </c>
      <c r="E1681" t="inlineStr">
        <is>
          <t>UPPSALA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6973-2025</t>
        </is>
      </c>
      <c r="B1682" s="1" t="n">
        <v>45693</v>
      </c>
      <c r="C1682" s="1" t="n">
        <v>45708</v>
      </c>
      <c r="D1682" t="inlineStr">
        <is>
          <t>UPPSALA LÄN</t>
        </is>
      </c>
      <c r="E1682" t="inlineStr">
        <is>
          <t>UPPSALA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5624-2025</t>
        </is>
      </c>
      <c r="B1683" s="1" t="n">
        <v>45693</v>
      </c>
      <c r="C1683" s="1" t="n">
        <v>45708</v>
      </c>
      <c r="D1683" t="inlineStr">
        <is>
          <t>UPPSALA LÄN</t>
        </is>
      </c>
      <c r="E1683" t="inlineStr">
        <is>
          <t>UPPSALA</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5628-2025</t>
        </is>
      </c>
      <c r="B1684" s="1" t="n">
        <v>45693</v>
      </c>
      <c r="C1684" s="1" t="n">
        <v>45708</v>
      </c>
      <c r="D1684" t="inlineStr">
        <is>
          <t>UPPSALA LÄN</t>
        </is>
      </c>
      <c r="E1684" t="inlineStr">
        <is>
          <t>UPPSALA</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6971-2025</t>
        </is>
      </c>
      <c r="B1685" s="1" t="n">
        <v>45693</v>
      </c>
      <c r="C1685" s="1" t="n">
        <v>45708</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6988-2025</t>
        </is>
      </c>
      <c r="B1686" s="1" t="n">
        <v>45693</v>
      </c>
      <c r="C1686" s="1" t="n">
        <v>45708</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6970-2025</t>
        </is>
      </c>
      <c r="B1687" s="1" t="n">
        <v>45693</v>
      </c>
      <c r="C1687" s="1" t="n">
        <v>45708</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5671-2025</t>
        </is>
      </c>
      <c r="B1688" s="1" t="n">
        <v>45694</v>
      </c>
      <c r="C1688" s="1" t="n">
        <v>45708</v>
      </c>
      <c r="D1688" t="inlineStr">
        <is>
          <t>UPPSALA LÄN</t>
        </is>
      </c>
      <c r="E1688" t="inlineStr">
        <is>
          <t>UPPSALA</t>
        </is>
      </c>
      <c r="F1688" t="inlineStr">
        <is>
          <t>Bergvik skog öst AB</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5719-2025</t>
        </is>
      </c>
      <c r="B1689" s="1" t="n">
        <v>45694</v>
      </c>
      <c r="C1689" s="1" t="n">
        <v>45708</v>
      </c>
      <c r="D1689" t="inlineStr">
        <is>
          <t>UPPSALA LÄN</t>
        </is>
      </c>
      <c r="E1689" t="inlineStr">
        <is>
          <t>UPPSALA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5764-2025</t>
        </is>
      </c>
      <c r="B1690" s="1" t="n">
        <v>45694</v>
      </c>
      <c r="C1690" s="1" t="n">
        <v>45708</v>
      </c>
      <c r="D1690" t="inlineStr">
        <is>
          <t>UPPSALA LÄN</t>
        </is>
      </c>
      <c r="E1690" t="inlineStr">
        <is>
          <t>UPPSALA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5725-2025</t>
        </is>
      </c>
      <c r="B1691" s="1" t="n">
        <v>45694</v>
      </c>
      <c r="C1691" s="1" t="n">
        <v>45708</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5729-2025</t>
        </is>
      </c>
      <c r="B1692" s="1" t="n">
        <v>45694</v>
      </c>
      <c r="C1692" s="1" t="n">
        <v>45708</v>
      </c>
      <c r="D1692" t="inlineStr">
        <is>
          <t>UPPSALA LÄN</t>
        </is>
      </c>
      <c r="E1692" t="inlineStr">
        <is>
          <t>UPPSALA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5722-2025</t>
        </is>
      </c>
      <c r="B1693" s="1" t="n">
        <v>45694</v>
      </c>
      <c r="C1693" s="1" t="n">
        <v>45708</v>
      </c>
      <c r="D1693" t="inlineStr">
        <is>
          <t>UPPSALA LÄN</t>
        </is>
      </c>
      <c r="E1693" t="inlineStr">
        <is>
          <t>UPPSALA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5730-2025</t>
        </is>
      </c>
      <c r="B1694" s="1" t="n">
        <v>45694</v>
      </c>
      <c r="C1694" s="1" t="n">
        <v>45708</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5925-2025</t>
        </is>
      </c>
      <c r="B1695" s="1" t="n">
        <v>45695</v>
      </c>
      <c r="C1695" s="1" t="n">
        <v>45708</v>
      </c>
      <c r="D1695" t="inlineStr">
        <is>
          <t>UPPSALA LÄN</t>
        </is>
      </c>
      <c r="E1695" t="inlineStr">
        <is>
          <t>UPPSALA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6006-2025</t>
        </is>
      </c>
      <c r="B1696" s="1" t="n">
        <v>45695</v>
      </c>
      <c r="C1696" s="1" t="n">
        <v>45708</v>
      </c>
      <c r="D1696" t="inlineStr">
        <is>
          <t>UPPSALA LÄN</t>
        </is>
      </c>
      <c r="E1696" t="inlineStr">
        <is>
          <t>UPPSALA</t>
        </is>
      </c>
      <c r="F1696" t="inlineStr">
        <is>
          <t>Övriga Aktiebolag</t>
        </is>
      </c>
      <c r="G1696" t="n">
        <v>13.8</v>
      </c>
      <c r="H1696" t="n">
        <v>0</v>
      </c>
      <c r="I1696" t="n">
        <v>0</v>
      </c>
      <c r="J1696" t="n">
        <v>0</v>
      </c>
      <c r="K1696" t="n">
        <v>0</v>
      </c>
      <c r="L1696" t="n">
        <v>0</v>
      </c>
      <c r="M1696" t="n">
        <v>0</v>
      </c>
      <c r="N1696" t="n">
        <v>0</v>
      </c>
      <c r="O1696" t="n">
        <v>0</v>
      </c>
      <c r="P1696" t="n">
        <v>0</v>
      </c>
      <c r="Q1696" t="n">
        <v>0</v>
      </c>
      <c r="R1696" s="2" t="inlineStr"/>
    </row>
    <row r="1697" ht="15" customHeight="1">
      <c r="A1697" t="inlineStr">
        <is>
          <t>A 6012-2025</t>
        </is>
      </c>
      <c r="B1697" s="1" t="n">
        <v>45695</v>
      </c>
      <c r="C1697" s="1" t="n">
        <v>45708</v>
      </c>
      <c r="D1697" t="inlineStr">
        <is>
          <t>UPPSALA LÄN</t>
        </is>
      </c>
      <c r="E1697" t="inlineStr">
        <is>
          <t>UPPSALA</t>
        </is>
      </c>
      <c r="F1697" t="inlineStr">
        <is>
          <t>Övriga Aktiebolag</t>
        </is>
      </c>
      <c r="G1697" t="n">
        <v>14.3</v>
      </c>
      <c r="H1697" t="n">
        <v>0</v>
      </c>
      <c r="I1697" t="n">
        <v>0</v>
      </c>
      <c r="J1697" t="n">
        <v>0</v>
      </c>
      <c r="K1697" t="n">
        <v>0</v>
      </c>
      <c r="L1697" t="n">
        <v>0</v>
      </c>
      <c r="M1697" t="n">
        <v>0</v>
      </c>
      <c r="N1697" t="n">
        <v>0</v>
      </c>
      <c r="O1697" t="n">
        <v>0</v>
      </c>
      <c r="P1697" t="n">
        <v>0</v>
      </c>
      <c r="Q1697" t="n">
        <v>0</v>
      </c>
      <c r="R1697" s="2" t="inlineStr"/>
    </row>
    <row r="1698" ht="15" customHeight="1">
      <c r="A1698" t="inlineStr">
        <is>
          <t>A 6059-2025</t>
        </is>
      </c>
      <c r="B1698" s="1" t="n">
        <v>45695</v>
      </c>
      <c r="C1698" s="1" t="n">
        <v>45708</v>
      </c>
      <c r="D1698" t="inlineStr">
        <is>
          <t>UPPSALA LÄN</t>
        </is>
      </c>
      <c r="E1698" t="inlineStr">
        <is>
          <t>UPPSALA</t>
        </is>
      </c>
      <c r="F1698" t="inlineStr">
        <is>
          <t>Bergvik skog öst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6058-2025</t>
        </is>
      </c>
      <c r="B1699" s="1" t="n">
        <v>45695</v>
      </c>
      <c r="C1699" s="1" t="n">
        <v>45708</v>
      </c>
      <c r="D1699" t="inlineStr">
        <is>
          <t>UPPSALA LÄN</t>
        </is>
      </c>
      <c r="E1699" t="inlineStr">
        <is>
          <t>UPPSALA</t>
        </is>
      </c>
      <c r="F1699" t="inlineStr">
        <is>
          <t>Bergvik skog öst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6060-2025</t>
        </is>
      </c>
      <c r="B1700" s="1" t="n">
        <v>45695</v>
      </c>
      <c r="C1700" s="1" t="n">
        <v>45708</v>
      </c>
      <c r="D1700" t="inlineStr">
        <is>
          <t>UPPSALA LÄN</t>
        </is>
      </c>
      <c r="E1700" t="inlineStr">
        <is>
          <t>UPPSALA</t>
        </is>
      </c>
      <c r="F1700" t="inlineStr">
        <is>
          <t>Bergvik skog öst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6290-2025</t>
        </is>
      </c>
      <c r="B1701" s="1" t="n">
        <v>45698</v>
      </c>
      <c r="C1701" s="1" t="n">
        <v>45708</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6541-2025</t>
        </is>
      </c>
      <c r="B1702" s="1" t="n">
        <v>45699</v>
      </c>
      <c r="C1702" s="1" t="n">
        <v>45708</v>
      </c>
      <c r="D1702" t="inlineStr">
        <is>
          <t>UPPSALA LÄN</t>
        </is>
      </c>
      <c r="E1702" t="inlineStr">
        <is>
          <t>UPPSALA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6549-2025</t>
        </is>
      </c>
      <c r="B1703" s="1" t="n">
        <v>45699</v>
      </c>
      <c r="C1703" s="1" t="n">
        <v>45708</v>
      </c>
      <c r="D1703" t="inlineStr">
        <is>
          <t>UPPSALA LÄN</t>
        </is>
      </c>
      <c r="E1703" t="inlineStr">
        <is>
          <t>UPPSALA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6550-2025</t>
        </is>
      </c>
      <c r="B1704" s="1" t="n">
        <v>45699</v>
      </c>
      <c r="C1704" s="1" t="n">
        <v>45708</v>
      </c>
      <c r="D1704" t="inlineStr">
        <is>
          <t>UPPSALA LÄN</t>
        </is>
      </c>
      <c r="E1704" t="inlineStr">
        <is>
          <t>UPPSALA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7346-2025</t>
        </is>
      </c>
      <c r="B1705" s="1" t="n">
        <v>45703</v>
      </c>
      <c r="C1705" s="1" t="n">
        <v>45708</v>
      </c>
      <c r="D1705" t="inlineStr">
        <is>
          <t>UPPSALA LÄN</t>
        </is>
      </c>
      <c r="E1705" t="inlineStr">
        <is>
          <t>UPPSALA</t>
        </is>
      </c>
      <c r="F1705" t="inlineStr">
        <is>
          <t>Bergvik skog öst AB</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7501-2025</t>
        </is>
      </c>
      <c r="B1706" s="1" t="n">
        <v>45705</v>
      </c>
      <c r="C1706" s="1" t="n">
        <v>45708</v>
      </c>
      <c r="D1706" t="inlineStr">
        <is>
          <t>UPPSALA LÄN</t>
        </is>
      </c>
      <c r="E1706" t="inlineStr">
        <is>
          <t>UPPSALA</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7376-2025</t>
        </is>
      </c>
      <c r="B1707" s="1" t="n">
        <v>45705</v>
      </c>
      <c r="C1707" s="1" t="n">
        <v>45708</v>
      </c>
      <c r="D1707" t="inlineStr">
        <is>
          <t>UPPSALA LÄN</t>
        </is>
      </c>
      <c r="E1707" t="inlineStr">
        <is>
          <t>UPPSALA</t>
        </is>
      </c>
      <c r="F1707" t="inlineStr">
        <is>
          <t>Bergvik skog väst AB</t>
        </is>
      </c>
      <c r="G1707" t="n">
        <v>7.4</v>
      </c>
      <c r="H1707" t="n">
        <v>0</v>
      </c>
      <c r="I1707" t="n">
        <v>0</v>
      </c>
      <c r="J1707" t="n">
        <v>0</v>
      </c>
      <c r="K1707" t="n">
        <v>0</v>
      </c>
      <c r="L1707" t="n">
        <v>0</v>
      </c>
      <c r="M1707" t="n">
        <v>0</v>
      </c>
      <c r="N1707" t="n">
        <v>0</v>
      </c>
      <c r="O1707" t="n">
        <v>0</v>
      </c>
      <c r="P1707" t="n">
        <v>0</v>
      </c>
      <c r="Q1707" t="n">
        <v>0</v>
      </c>
      <c r="R1707" s="2" t="inlineStr"/>
    </row>
    <row r="1708" ht="15" customHeight="1">
      <c r="A1708" t="inlineStr">
        <is>
          <t>A 7633-2025</t>
        </is>
      </c>
      <c r="B1708" s="1" t="n">
        <v>45705</v>
      </c>
      <c r="C1708" s="1" t="n">
        <v>45708</v>
      </c>
      <c r="D1708" t="inlineStr">
        <is>
          <t>UPPSALA LÄN</t>
        </is>
      </c>
      <c r="E1708" t="inlineStr">
        <is>
          <t>UPPSALA</t>
        </is>
      </c>
      <c r="F1708" t="inlineStr">
        <is>
          <t>Bergvik skog öst AB</t>
        </is>
      </c>
      <c r="G1708" t="n">
        <v>1.2</v>
      </c>
      <c r="H1708" t="n">
        <v>0</v>
      </c>
      <c r="I1708" t="n">
        <v>0</v>
      </c>
      <c r="J1708" t="n">
        <v>0</v>
      </c>
      <c r="K1708" t="n">
        <v>0</v>
      </c>
      <c r="L1708" t="n">
        <v>0</v>
      </c>
      <c r="M1708" t="n">
        <v>0</v>
      </c>
      <c r="N1708" t="n">
        <v>0</v>
      </c>
      <c r="O1708" t="n">
        <v>0</v>
      </c>
      <c r="P1708" t="n">
        <v>0</v>
      </c>
      <c r="Q1708" t="n">
        <v>0</v>
      </c>
      <c r="R1708" s="2" t="inlineStr"/>
    </row>
    <row r="1709">
      <c r="A1709" t="inlineStr">
        <is>
          <t>A 7645-2025</t>
        </is>
      </c>
      <c r="B1709" s="1" t="n">
        <v>45705</v>
      </c>
      <c r="C1709" s="1" t="n">
        <v>45708</v>
      </c>
      <c r="D1709" t="inlineStr">
        <is>
          <t>UPPSALA LÄN</t>
        </is>
      </c>
      <c r="E1709" t="inlineStr">
        <is>
          <t>UPPSALA</t>
        </is>
      </c>
      <c r="F1709" t="inlineStr">
        <is>
          <t>Bergvik skog öst AB</t>
        </is>
      </c>
      <c r="G1709" t="n">
        <v>5.6</v>
      </c>
      <c r="H1709" t="n">
        <v>0</v>
      </c>
      <c r="I1709" t="n">
        <v>0</v>
      </c>
      <c r="J1709" t="n">
        <v>0</v>
      </c>
      <c r="K1709" t="n">
        <v>0</v>
      </c>
      <c r="L1709" t="n">
        <v>0</v>
      </c>
      <c r="M1709" t="n">
        <v>0</v>
      </c>
      <c r="N1709" t="n">
        <v>0</v>
      </c>
      <c r="O1709" t="n">
        <v>0</v>
      </c>
      <c r="P1709" t="n">
        <v>0</v>
      </c>
      <c r="Q1709" t="n">
        <v>0</v>
      </c>
      <c r="R1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2025-02-20T17:04:04Z</dcterms:created>
  <dcterms:modified xmlns:dcterms="http://purl.org/dc/terms/" xmlns:xsi="http://www.w3.org/2001/XMLSchema-instance" xsi:type="dcterms:W3CDTF">2025-02-20T17:04:06Z</dcterms:modified>
</cp:coreProperties>
</file>