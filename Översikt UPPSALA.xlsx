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45661</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45661</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45661</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45661</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45661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45661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45661</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45661</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45661</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45661</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45661</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45661</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45661</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45661</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45661</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45661</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45661</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45661</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45661</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45661</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45661</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45661</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45661</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45661</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45661</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45661</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45661</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45661</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45661</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45661</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45661</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45661</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45661</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45661</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45661</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45661</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45661</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45661</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45661</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45661</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45661</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45661</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45661</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45661</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45661</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45661</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45661</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45661</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45661</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45661</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45661</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45661</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45661</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45661</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45661</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45661</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45661</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45661</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45661</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45661</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45661</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45661</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45661</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45661</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45661</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45661</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45661</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45661</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45661</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45661</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45661</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45661</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45661</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45661</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45661</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45661</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45661</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45661</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45661</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45661</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45661</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45661</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45661</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45661</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45661</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45661</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45661</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45661</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45661</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45661</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45661</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45661</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45661</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45661</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45661</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45661</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45661</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45661</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45661</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45661</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45661</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45661</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45661</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45661</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45661</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45661</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45661</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61511-2024</t>
        </is>
      </c>
      <c r="B109" s="1" t="n">
        <v>45646</v>
      </c>
      <c r="C109" s="1" t="n">
        <v>45661</v>
      </c>
      <c r="D109" t="inlineStr">
        <is>
          <t>UPPSALA LÄN</t>
        </is>
      </c>
      <c r="E109" t="inlineStr">
        <is>
          <t>UPPSALA</t>
        </is>
      </c>
      <c r="F109" t="inlineStr">
        <is>
          <t>Bergvik skog väst AB</t>
        </is>
      </c>
      <c r="G109" t="n">
        <v>25.1</v>
      </c>
      <c r="H109" t="n">
        <v>0</v>
      </c>
      <c r="I109" t="n">
        <v>1</v>
      </c>
      <c r="J109" t="n">
        <v>0</v>
      </c>
      <c r="K109" t="n">
        <v>1</v>
      </c>
      <c r="L109" t="n">
        <v>0</v>
      </c>
      <c r="M109" t="n">
        <v>0</v>
      </c>
      <c r="N109" t="n">
        <v>0</v>
      </c>
      <c r="O109" t="n">
        <v>1</v>
      </c>
      <c r="P109" t="n">
        <v>1</v>
      </c>
      <c r="Q109" t="n">
        <v>2</v>
      </c>
      <c r="R109" s="2" t="inlineStr">
        <is>
          <t>Doftfjällskivling
Kamjordstjärna</t>
        </is>
      </c>
      <c r="S109">
        <f>HYPERLINK("https://klasma.github.io/Logging_0380/artfynd/A 61511-2024 artfynd.xlsx", "A 61511-2024")</f>
        <v/>
      </c>
      <c r="T109">
        <f>HYPERLINK("https://klasma.github.io/Logging_0380/kartor/A 61511-2024 karta.png", "A 61511-2024")</f>
        <v/>
      </c>
      <c r="V109">
        <f>HYPERLINK("https://klasma.github.io/Logging_0380/klagomål/A 61511-2024 FSC-klagomål.docx", "A 61511-2024")</f>
        <v/>
      </c>
      <c r="W109">
        <f>HYPERLINK("https://klasma.github.io/Logging_0380/klagomålsmail/A 61511-2024 FSC-klagomål mail.docx", "A 61511-2024")</f>
        <v/>
      </c>
      <c r="X109">
        <f>HYPERLINK("https://klasma.github.io/Logging_0380/tillsyn/A 61511-2024 tillsynsbegäran.docx", "A 61511-2024")</f>
        <v/>
      </c>
      <c r="Y109">
        <f>HYPERLINK("https://klasma.github.io/Logging_0380/tillsynsmail/A 61511-2024 tillsynsbegäran mail.docx", "A 61511-2024")</f>
        <v/>
      </c>
    </row>
    <row r="110" ht="15" customHeight="1">
      <c r="A110" t="inlineStr">
        <is>
          <t>A 20671-2019</t>
        </is>
      </c>
      <c r="B110" s="1" t="n">
        <v>43572</v>
      </c>
      <c r="C110" s="1" t="n">
        <v>45661</v>
      </c>
      <c r="D110" t="inlineStr">
        <is>
          <t>UPPSALA LÄN</t>
        </is>
      </c>
      <c r="E110" t="inlineStr">
        <is>
          <t>UPPSALA</t>
        </is>
      </c>
      <c r="G110" t="n">
        <v>14.8</v>
      </c>
      <c r="H110" t="n">
        <v>0</v>
      </c>
      <c r="I110" t="n">
        <v>0</v>
      </c>
      <c r="J110" t="n">
        <v>1</v>
      </c>
      <c r="K110" t="n">
        <v>0</v>
      </c>
      <c r="L110" t="n">
        <v>0</v>
      </c>
      <c r="M110" t="n">
        <v>0</v>
      </c>
      <c r="N110" t="n">
        <v>0</v>
      </c>
      <c r="O110" t="n">
        <v>1</v>
      </c>
      <c r="P110" t="n">
        <v>0</v>
      </c>
      <c r="Q110" t="n">
        <v>1</v>
      </c>
      <c r="R110" s="2" t="inlineStr">
        <is>
          <t>Svartöra</t>
        </is>
      </c>
      <c r="S110">
        <f>HYPERLINK("https://klasma.github.io/Logging_0380/artfynd/A 20671-2019 artfynd.xlsx", "A 20671-2019")</f>
        <v/>
      </c>
      <c r="T110">
        <f>HYPERLINK("https://klasma.github.io/Logging_0380/kartor/A 20671-2019 karta.png", "A 20671-2019")</f>
        <v/>
      </c>
      <c r="V110">
        <f>HYPERLINK("https://klasma.github.io/Logging_0380/klagomål/A 20671-2019 FSC-klagomål.docx", "A 20671-2019")</f>
        <v/>
      </c>
      <c r="W110">
        <f>HYPERLINK("https://klasma.github.io/Logging_0380/klagomålsmail/A 20671-2019 FSC-klagomål mail.docx", "A 20671-2019")</f>
        <v/>
      </c>
      <c r="X110">
        <f>HYPERLINK("https://klasma.github.io/Logging_0380/tillsyn/A 20671-2019 tillsynsbegäran.docx", "A 20671-2019")</f>
        <v/>
      </c>
      <c r="Y110">
        <f>HYPERLINK("https://klasma.github.io/Logging_0380/tillsynsmail/A 20671-2019 tillsynsbegäran mail.docx", "A 20671-2019")</f>
        <v/>
      </c>
    </row>
    <row r="111" ht="15" customHeight="1">
      <c r="A111" t="inlineStr">
        <is>
          <t>A 36346-2019</t>
        </is>
      </c>
      <c r="B111" s="1" t="n">
        <v>43661</v>
      </c>
      <c r="C111" s="1" t="n">
        <v>45661</v>
      </c>
      <c r="D111" t="inlineStr">
        <is>
          <t>UPPSALA LÄN</t>
        </is>
      </c>
      <c r="E111" t="inlineStr">
        <is>
          <t>UPPSALA</t>
        </is>
      </c>
      <c r="G111" t="n">
        <v>15.8</v>
      </c>
      <c r="H111" t="n">
        <v>0</v>
      </c>
      <c r="I111" t="n">
        <v>0</v>
      </c>
      <c r="J111" t="n">
        <v>1</v>
      </c>
      <c r="K111" t="n">
        <v>0</v>
      </c>
      <c r="L111" t="n">
        <v>0</v>
      </c>
      <c r="M111" t="n">
        <v>0</v>
      </c>
      <c r="N111" t="n">
        <v>0</v>
      </c>
      <c r="O111" t="n">
        <v>1</v>
      </c>
      <c r="P111" t="n">
        <v>0</v>
      </c>
      <c r="Q111" t="n">
        <v>1</v>
      </c>
      <c r="R111" s="2" t="inlineStr">
        <is>
          <t>Rosenticka</t>
        </is>
      </c>
      <c r="S111">
        <f>HYPERLINK("https://klasma.github.io/Logging_0380/artfynd/A 36346-2019 artfynd.xlsx", "A 36346-2019")</f>
        <v/>
      </c>
      <c r="T111">
        <f>HYPERLINK("https://klasma.github.io/Logging_0380/kartor/A 36346-2019 karta.png", "A 36346-2019")</f>
        <v/>
      </c>
      <c r="V111">
        <f>HYPERLINK("https://klasma.github.io/Logging_0380/klagomål/A 36346-2019 FSC-klagomål.docx", "A 36346-2019")</f>
        <v/>
      </c>
      <c r="W111">
        <f>HYPERLINK("https://klasma.github.io/Logging_0380/klagomålsmail/A 36346-2019 FSC-klagomål mail.docx", "A 36346-2019")</f>
        <v/>
      </c>
      <c r="X111">
        <f>HYPERLINK("https://klasma.github.io/Logging_0380/tillsyn/A 36346-2019 tillsynsbegäran.docx", "A 36346-2019")</f>
        <v/>
      </c>
      <c r="Y111">
        <f>HYPERLINK("https://klasma.github.io/Logging_0380/tillsynsmail/A 36346-2019 tillsynsbegäran mail.docx", "A 36346-2019")</f>
        <v/>
      </c>
    </row>
    <row r="112" ht="15" customHeight="1">
      <c r="A112" t="inlineStr">
        <is>
          <t>A 40104-2019</t>
        </is>
      </c>
      <c r="B112" s="1" t="n">
        <v>43693</v>
      </c>
      <c r="C112" s="1" t="n">
        <v>45661</v>
      </c>
      <c r="D112" t="inlineStr">
        <is>
          <t>UPPSALA LÄN</t>
        </is>
      </c>
      <c r="E112" t="inlineStr">
        <is>
          <t>UPPSALA</t>
        </is>
      </c>
      <c r="G112" t="n">
        <v>1.8</v>
      </c>
      <c r="H112" t="n">
        <v>1</v>
      </c>
      <c r="I112" t="n">
        <v>0</v>
      </c>
      <c r="J112" t="n">
        <v>0</v>
      </c>
      <c r="K112" t="n">
        <v>0</v>
      </c>
      <c r="L112" t="n">
        <v>0</v>
      </c>
      <c r="M112" t="n">
        <v>0</v>
      </c>
      <c r="N112" t="n">
        <v>0</v>
      </c>
      <c r="O112" t="n">
        <v>0</v>
      </c>
      <c r="P112" t="n">
        <v>0</v>
      </c>
      <c r="Q112" t="n">
        <v>1</v>
      </c>
      <c r="R112" s="2" t="inlineStr">
        <is>
          <t>Huggorm</t>
        </is>
      </c>
      <c r="S112">
        <f>HYPERLINK("https://klasma.github.io/Logging_0380/artfynd/A 40104-2019 artfynd.xlsx", "A 40104-2019")</f>
        <v/>
      </c>
      <c r="T112">
        <f>HYPERLINK("https://klasma.github.io/Logging_0380/kartor/A 40104-2019 karta.png", "A 40104-2019")</f>
        <v/>
      </c>
      <c r="V112">
        <f>HYPERLINK("https://klasma.github.io/Logging_0380/klagomål/A 40104-2019 FSC-klagomål.docx", "A 40104-2019")</f>
        <v/>
      </c>
      <c r="W112">
        <f>HYPERLINK("https://klasma.github.io/Logging_0380/klagomålsmail/A 40104-2019 FSC-klagomål mail.docx", "A 40104-2019")</f>
        <v/>
      </c>
      <c r="X112">
        <f>HYPERLINK("https://klasma.github.io/Logging_0380/tillsyn/A 40104-2019 tillsynsbegäran.docx", "A 40104-2019")</f>
        <v/>
      </c>
      <c r="Y112">
        <f>HYPERLINK("https://klasma.github.io/Logging_0380/tillsynsmail/A 40104-2019 tillsynsbegäran mail.docx", "A 40104-2019")</f>
        <v/>
      </c>
    </row>
    <row r="113" ht="15" customHeight="1">
      <c r="A113" t="inlineStr">
        <is>
          <t>A 40111-2019</t>
        </is>
      </c>
      <c r="B113" s="1" t="n">
        <v>43693</v>
      </c>
      <c r="C113" s="1" t="n">
        <v>45661</v>
      </c>
      <c r="D113" t="inlineStr">
        <is>
          <t>UPPSALA LÄN</t>
        </is>
      </c>
      <c r="E113" t="inlineStr">
        <is>
          <t>UPPSALA</t>
        </is>
      </c>
      <c r="G113" t="n">
        <v>1.9</v>
      </c>
      <c r="H113" t="n">
        <v>1</v>
      </c>
      <c r="I113" t="n">
        <v>0</v>
      </c>
      <c r="J113" t="n">
        <v>0</v>
      </c>
      <c r="K113" t="n">
        <v>0</v>
      </c>
      <c r="L113" t="n">
        <v>0</v>
      </c>
      <c r="M113" t="n">
        <v>0</v>
      </c>
      <c r="N113" t="n">
        <v>0</v>
      </c>
      <c r="O113" t="n">
        <v>0</v>
      </c>
      <c r="P113" t="n">
        <v>0</v>
      </c>
      <c r="Q113" t="n">
        <v>1</v>
      </c>
      <c r="R113" s="2" t="inlineStr">
        <is>
          <t>Blåsippa</t>
        </is>
      </c>
      <c r="S113">
        <f>HYPERLINK("https://klasma.github.io/Logging_0380/artfynd/A 40111-2019 artfynd.xlsx", "A 40111-2019")</f>
        <v/>
      </c>
      <c r="T113">
        <f>HYPERLINK("https://klasma.github.io/Logging_0380/kartor/A 40111-2019 karta.png", "A 40111-2019")</f>
        <v/>
      </c>
      <c r="V113">
        <f>HYPERLINK("https://klasma.github.io/Logging_0380/klagomål/A 40111-2019 FSC-klagomål.docx", "A 40111-2019")</f>
        <v/>
      </c>
      <c r="W113">
        <f>HYPERLINK("https://klasma.github.io/Logging_0380/klagomålsmail/A 40111-2019 FSC-klagomål mail.docx", "A 40111-2019")</f>
        <v/>
      </c>
      <c r="X113">
        <f>HYPERLINK("https://klasma.github.io/Logging_0380/tillsyn/A 40111-2019 tillsynsbegäran.docx", "A 40111-2019")</f>
        <v/>
      </c>
      <c r="Y113">
        <f>HYPERLINK("https://klasma.github.io/Logging_0380/tillsynsmail/A 40111-2019 tillsynsbegäran mail.docx", "A 40111-2019")</f>
        <v/>
      </c>
    </row>
    <row r="114" ht="15" customHeight="1">
      <c r="A114" t="inlineStr">
        <is>
          <t>A 49081-2019</t>
        </is>
      </c>
      <c r="B114" s="1" t="n">
        <v>43731</v>
      </c>
      <c r="C114" s="1" t="n">
        <v>45661</v>
      </c>
      <c r="D114" t="inlineStr">
        <is>
          <t>UPPSALA LÄN</t>
        </is>
      </c>
      <c r="E114" t="inlineStr">
        <is>
          <t>UPPSALA</t>
        </is>
      </c>
      <c r="G114" t="n">
        <v>14.4</v>
      </c>
      <c r="H114" t="n">
        <v>1</v>
      </c>
      <c r="I114" t="n">
        <v>0</v>
      </c>
      <c r="J114" t="n">
        <v>0</v>
      </c>
      <c r="K114" t="n">
        <v>0</v>
      </c>
      <c r="L114" t="n">
        <v>0</v>
      </c>
      <c r="M114" t="n">
        <v>0</v>
      </c>
      <c r="N114" t="n">
        <v>0</v>
      </c>
      <c r="O114" t="n">
        <v>0</v>
      </c>
      <c r="P114" t="n">
        <v>0</v>
      </c>
      <c r="Q114" t="n">
        <v>1</v>
      </c>
      <c r="R114" s="2" t="inlineStr">
        <is>
          <t>Vanlig padda</t>
        </is>
      </c>
      <c r="S114">
        <f>HYPERLINK("https://klasma.github.io/Logging_0380/artfynd/A 49081-2019 artfynd.xlsx", "A 49081-2019")</f>
        <v/>
      </c>
      <c r="T114">
        <f>HYPERLINK("https://klasma.github.io/Logging_0380/kartor/A 49081-2019 karta.png", "A 49081-2019")</f>
        <v/>
      </c>
      <c r="V114">
        <f>HYPERLINK("https://klasma.github.io/Logging_0380/klagomål/A 49081-2019 FSC-klagomål.docx", "A 49081-2019")</f>
        <v/>
      </c>
      <c r="W114">
        <f>HYPERLINK("https://klasma.github.io/Logging_0380/klagomålsmail/A 49081-2019 FSC-klagomål mail.docx", "A 49081-2019")</f>
        <v/>
      </c>
      <c r="X114">
        <f>HYPERLINK("https://klasma.github.io/Logging_0380/tillsyn/A 49081-2019 tillsynsbegäran.docx", "A 49081-2019")</f>
        <v/>
      </c>
      <c r="Y114">
        <f>HYPERLINK("https://klasma.github.io/Logging_0380/tillsynsmail/A 49081-2019 tillsynsbegäran mail.docx", "A 49081-2019")</f>
        <v/>
      </c>
    </row>
    <row r="115" ht="15" customHeight="1">
      <c r="A115" t="inlineStr">
        <is>
          <t>A 54859-2019</t>
        </is>
      </c>
      <c r="B115" s="1" t="n">
        <v>43755</v>
      </c>
      <c r="C115" s="1" t="n">
        <v>45661</v>
      </c>
      <c r="D115" t="inlineStr">
        <is>
          <t>UPPSALA LÄN</t>
        </is>
      </c>
      <c r="E115" t="inlineStr">
        <is>
          <t>UPPSALA</t>
        </is>
      </c>
      <c r="G115" t="n">
        <v>2.4</v>
      </c>
      <c r="H115" t="n">
        <v>1</v>
      </c>
      <c r="I115" t="n">
        <v>0</v>
      </c>
      <c r="J115" t="n">
        <v>1</v>
      </c>
      <c r="K115" t="n">
        <v>0</v>
      </c>
      <c r="L115" t="n">
        <v>0</v>
      </c>
      <c r="M115" t="n">
        <v>0</v>
      </c>
      <c r="N115" t="n">
        <v>0</v>
      </c>
      <c r="O115" t="n">
        <v>1</v>
      </c>
      <c r="P115" t="n">
        <v>0</v>
      </c>
      <c r="Q115" t="n">
        <v>1</v>
      </c>
      <c r="R115" s="2" t="inlineStr">
        <is>
          <t>Slaguggla</t>
        </is>
      </c>
      <c r="S115">
        <f>HYPERLINK("https://klasma.github.io/Logging_0380/artfynd/A 54859-2019 artfynd.xlsx", "A 54859-2019")</f>
        <v/>
      </c>
      <c r="T115">
        <f>HYPERLINK("https://klasma.github.io/Logging_0380/kartor/A 54859-2019 karta.png", "A 54859-2019")</f>
        <v/>
      </c>
      <c r="V115">
        <f>HYPERLINK("https://klasma.github.io/Logging_0380/klagomål/A 54859-2019 FSC-klagomål.docx", "A 54859-2019")</f>
        <v/>
      </c>
      <c r="W115">
        <f>HYPERLINK("https://klasma.github.io/Logging_0380/klagomålsmail/A 54859-2019 FSC-klagomål mail.docx", "A 54859-2019")</f>
        <v/>
      </c>
      <c r="X115">
        <f>HYPERLINK("https://klasma.github.io/Logging_0380/tillsyn/A 54859-2019 tillsynsbegäran.docx", "A 54859-2019")</f>
        <v/>
      </c>
      <c r="Y115">
        <f>HYPERLINK("https://klasma.github.io/Logging_0380/tillsynsmail/A 54859-2019 tillsynsbegäran mail.docx", "A 54859-2019")</f>
        <v/>
      </c>
      <c r="Z115">
        <f>HYPERLINK("https://klasma.github.io/Logging_0380/fåglar/A 54859-2019 prioriterade fågelarter.docx", "A 54859-2019")</f>
        <v/>
      </c>
    </row>
    <row r="116" ht="15" customHeight="1">
      <c r="A116" t="inlineStr">
        <is>
          <t>A 6659-2020</t>
        </is>
      </c>
      <c r="B116" s="1" t="n">
        <v>43867</v>
      </c>
      <c r="C116" s="1" t="n">
        <v>45661</v>
      </c>
      <c r="D116" t="inlineStr">
        <is>
          <t>UPPSALA LÄN</t>
        </is>
      </c>
      <c r="E116" t="inlineStr">
        <is>
          <t>UPPSALA</t>
        </is>
      </c>
      <c r="G116" t="n">
        <v>3.4</v>
      </c>
      <c r="H116" t="n">
        <v>1</v>
      </c>
      <c r="I116" t="n">
        <v>0</v>
      </c>
      <c r="J116" t="n">
        <v>0</v>
      </c>
      <c r="K116" t="n">
        <v>0</v>
      </c>
      <c r="L116" t="n">
        <v>0</v>
      </c>
      <c r="M116" t="n">
        <v>0</v>
      </c>
      <c r="N116" t="n">
        <v>0</v>
      </c>
      <c r="O116" t="n">
        <v>0</v>
      </c>
      <c r="P116" t="n">
        <v>0</v>
      </c>
      <c r="Q116" t="n">
        <v>1</v>
      </c>
      <c r="R116" s="2" t="inlineStr">
        <is>
          <t>Mindre vattensalamander</t>
        </is>
      </c>
      <c r="S116">
        <f>HYPERLINK("https://klasma.github.io/Logging_0380/artfynd/A 6659-2020 artfynd.xlsx", "A 6659-2020")</f>
        <v/>
      </c>
      <c r="T116">
        <f>HYPERLINK("https://klasma.github.io/Logging_0380/kartor/A 6659-2020 karta.png", "A 6659-2020")</f>
        <v/>
      </c>
      <c r="V116">
        <f>HYPERLINK("https://klasma.github.io/Logging_0380/klagomål/A 6659-2020 FSC-klagomål.docx", "A 6659-2020")</f>
        <v/>
      </c>
      <c r="W116">
        <f>HYPERLINK("https://klasma.github.io/Logging_0380/klagomålsmail/A 6659-2020 FSC-klagomål mail.docx", "A 6659-2020")</f>
        <v/>
      </c>
      <c r="X116">
        <f>HYPERLINK("https://klasma.github.io/Logging_0380/tillsyn/A 6659-2020 tillsynsbegäran.docx", "A 6659-2020")</f>
        <v/>
      </c>
      <c r="Y116">
        <f>HYPERLINK("https://klasma.github.io/Logging_0380/tillsynsmail/A 6659-2020 tillsynsbegäran mail.docx", "A 6659-2020")</f>
        <v/>
      </c>
    </row>
    <row r="117" ht="15" customHeight="1">
      <c r="A117" t="inlineStr">
        <is>
          <t>A 12786-2020</t>
        </is>
      </c>
      <c r="B117" s="1" t="n">
        <v>43893</v>
      </c>
      <c r="C117" s="1" t="n">
        <v>45661</v>
      </c>
      <c r="D117" t="inlineStr">
        <is>
          <t>UPPSALA LÄN</t>
        </is>
      </c>
      <c r="E117" t="inlineStr">
        <is>
          <t>UPPSALA</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HYPERLINK("https://klasma.github.io/Logging_0380/artfynd/A 12786-2020 artfynd.xlsx", "A 12786-2020")</f>
        <v/>
      </c>
      <c r="T117">
        <f>HYPERLINK("https://klasma.github.io/Logging_0380/kartor/A 12786-2020 karta.png", "A 12786-2020")</f>
        <v/>
      </c>
      <c r="V117">
        <f>HYPERLINK("https://klasma.github.io/Logging_0380/klagomål/A 12786-2020 FSC-klagomål.docx", "A 12786-2020")</f>
        <v/>
      </c>
      <c r="W117">
        <f>HYPERLINK("https://klasma.github.io/Logging_0380/klagomålsmail/A 12786-2020 FSC-klagomål mail.docx", "A 12786-2020")</f>
        <v/>
      </c>
      <c r="X117">
        <f>HYPERLINK("https://klasma.github.io/Logging_0380/tillsyn/A 12786-2020 tillsynsbegäran.docx", "A 12786-2020")</f>
        <v/>
      </c>
      <c r="Y117">
        <f>HYPERLINK("https://klasma.github.io/Logging_0380/tillsynsmail/A 12786-2020 tillsynsbegäran mail.docx", "A 12786-2020")</f>
        <v/>
      </c>
    </row>
    <row r="118" ht="15" customHeight="1">
      <c r="A118" t="inlineStr">
        <is>
          <t>A 25299-2020</t>
        </is>
      </c>
      <c r="B118" s="1" t="n">
        <v>43980</v>
      </c>
      <c r="C118" s="1" t="n">
        <v>45661</v>
      </c>
      <c r="D118" t="inlineStr">
        <is>
          <t>UPPSALA LÄN</t>
        </is>
      </c>
      <c r="E118" t="inlineStr">
        <is>
          <t>UPPSALA</t>
        </is>
      </c>
      <c r="F118" t="inlineStr">
        <is>
          <t>Bergvik skog öst AB</t>
        </is>
      </c>
      <c r="G118" t="n">
        <v>2.5</v>
      </c>
      <c r="H118" t="n">
        <v>0</v>
      </c>
      <c r="I118" t="n">
        <v>1</v>
      </c>
      <c r="J118" t="n">
        <v>0</v>
      </c>
      <c r="K118" t="n">
        <v>0</v>
      </c>
      <c r="L118" t="n">
        <v>0</v>
      </c>
      <c r="M118" t="n">
        <v>0</v>
      </c>
      <c r="N118" t="n">
        <v>0</v>
      </c>
      <c r="O118" t="n">
        <v>0</v>
      </c>
      <c r="P118" t="n">
        <v>0</v>
      </c>
      <c r="Q118" t="n">
        <v>1</v>
      </c>
      <c r="R118" s="2" t="inlineStr">
        <is>
          <t>Scharlakansskål</t>
        </is>
      </c>
      <c r="S118">
        <f>HYPERLINK("https://klasma.github.io/Logging_0380/artfynd/A 25299-2020 artfynd.xlsx", "A 25299-2020")</f>
        <v/>
      </c>
      <c r="T118">
        <f>HYPERLINK("https://klasma.github.io/Logging_0380/kartor/A 25299-2020 karta.png", "A 25299-2020")</f>
        <v/>
      </c>
      <c r="V118">
        <f>HYPERLINK("https://klasma.github.io/Logging_0380/klagomål/A 25299-2020 FSC-klagomål.docx", "A 25299-2020")</f>
        <v/>
      </c>
      <c r="W118">
        <f>HYPERLINK("https://klasma.github.io/Logging_0380/klagomålsmail/A 25299-2020 FSC-klagomål mail.docx", "A 25299-2020")</f>
        <v/>
      </c>
      <c r="X118">
        <f>HYPERLINK("https://klasma.github.io/Logging_0380/tillsyn/A 25299-2020 tillsynsbegäran.docx", "A 25299-2020")</f>
        <v/>
      </c>
      <c r="Y118">
        <f>HYPERLINK("https://klasma.github.io/Logging_0380/tillsynsmail/A 25299-2020 tillsynsbegäran mail.docx", "A 25299-2020")</f>
        <v/>
      </c>
    </row>
    <row r="119" ht="15" customHeight="1">
      <c r="A119" t="inlineStr">
        <is>
          <t>A 35478-2020</t>
        </is>
      </c>
      <c r="B119" s="1" t="n">
        <v>44042</v>
      </c>
      <c r="C119" s="1" t="n">
        <v>45661</v>
      </c>
      <c r="D119" t="inlineStr">
        <is>
          <t>UPPSALA LÄN</t>
        </is>
      </c>
      <c r="E119" t="inlineStr">
        <is>
          <t>UPPSALA</t>
        </is>
      </c>
      <c r="G119" t="n">
        <v>2.5</v>
      </c>
      <c r="H119" t="n">
        <v>0</v>
      </c>
      <c r="I119" t="n">
        <v>1</v>
      </c>
      <c r="J119" t="n">
        <v>0</v>
      </c>
      <c r="K119" t="n">
        <v>0</v>
      </c>
      <c r="L119" t="n">
        <v>0</v>
      </c>
      <c r="M119" t="n">
        <v>0</v>
      </c>
      <c r="N119" t="n">
        <v>0</v>
      </c>
      <c r="O119" t="n">
        <v>0</v>
      </c>
      <c r="P119" t="n">
        <v>0</v>
      </c>
      <c r="Q119" t="n">
        <v>1</v>
      </c>
      <c r="R119" s="2" t="inlineStr">
        <is>
          <t>Stor aspticka</t>
        </is>
      </c>
      <c r="S119">
        <f>HYPERLINK("https://klasma.github.io/Logging_0380/artfynd/A 35478-2020 artfynd.xlsx", "A 35478-2020")</f>
        <v/>
      </c>
      <c r="T119">
        <f>HYPERLINK("https://klasma.github.io/Logging_0380/kartor/A 35478-2020 karta.png", "A 35478-2020")</f>
        <v/>
      </c>
      <c r="V119">
        <f>HYPERLINK("https://klasma.github.io/Logging_0380/klagomål/A 35478-2020 FSC-klagomål.docx", "A 35478-2020")</f>
        <v/>
      </c>
      <c r="W119">
        <f>HYPERLINK("https://klasma.github.io/Logging_0380/klagomålsmail/A 35478-2020 FSC-klagomål mail.docx", "A 35478-2020")</f>
        <v/>
      </c>
      <c r="X119">
        <f>HYPERLINK("https://klasma.github.io/Logging_0380/tillsyn/A 35478-2020 tillsynsbegäran.docx", "A 35478-2020")</f>
        <v/>
      </c>
      <c r="Y119">
        <f>HYPERLINK("https://klasma.github.io/Logging_0380/tillsynsmail/A 35478-2020 tillsynsbegäran mail.docx", "A 35478-2020")</f>
        <v/>
      </c>
    </row>
    <row r="120" ht="15" customHeight="1">
      <c r="A120" t="inlineStr">
        <is>
          <t>A 43192-2020</t>
        </is>
      </c>
      <c r="B120" s="1" t="n">
        <v>44081</v>
      </c>
      <c r="C120" s="1" t="n">
        <v>45661</v>
      </c>
      <c r="D120" t="inlineStr">
        <is>
          <t>UPPSALA LÄN</t>
        </is>
      </c>
      <c r="E120" t="inlineStr">
        <is>
          <t>UPPSALA</t>
        </is>
      </c>
      <c r="G120" t="n">
        <v>16.5</v>
      </c>
      <c r="H120" t="n">
        <v>0</v>
      </c>
      <c r="I120" t="n">
        <v>0</v>
      </c>
      <c r="J120" t="n">
        <v>1</v>
      </c>
      <c r="K120" t="n">
        <v>0</v>
      </c>
      <c r="L120" t="n">
        <v>0</v>
      </c>
      <c r="M120" t="n">
        <v>0</v>
      </c>
      <c r="N120" t="n">
        <v>0</v>
      </c>
      <c r="O120" t="n">
        <v>1</v>
      </c>
      <c r="P120" t="n">
        <v>0</v>
      </c>
      <c r="Q120" t="n">
        <v>1</v>
      </c>
      <c r="R120" s="2" t="inlineStr">
        <is>
          <t>Lunglav</t>
        </is>
      </c>
      <c r="S120">
        <f>HYPERLINK("https://klasma.github.io/Logging_0380/artfynd/A 43192-2020 artfynd.xlsx", "A 43192-2020")</f>
        <v/>
      </c>
      <c r="T120">
        <f>HYPERLINK("https://klasma.github.io/Logging_0380/kartor/A 43192-2020 karta.png", "A 43192-2020")</f>
        <v/>
      </c>
      <c r="V120">
        <f>HYPERLINK("https://klasma.github.io/Logging_0380/klagomål/A 43192-2020 FSC-klagomål.docx", "A 43192-2020")</f>
        <v/>
      </c>
      <c r="W120">
        <f>HYPERLINK("https://klasma.github.io/Logging_0380/klagomålsmail/A 43192-2020 FSC-klagomål mail.docx", "A 43192-2020")</f>
        <v/>
      </c>
      <c r="X120">
        <f>HYPERLINK("https://klasma.github.io/Logging_0380/tillsyn/A 43192-2020 tillsynsbegäran.docx", "A 43192-2020")</f>
        <v/>
      </c>
      <c r="Y120">
        <f>HYPERLINK("https://klasma.github.io/Logging_0380/tillsynsmail/A 43192-2020 tillsynsbegäran mail.docx", "A 43192-2020")</f>
        <v/>
      </c>
    </row>
    <row r="121" ht="15" customHeight="1">
      <c r="A121" t="inlineStr">
        <is>
          <t>A 12255-2021</t>
        </is>
      </c>
      <c r="B121" s="1" t="n">
        <v>44266</v>
      </c>
      <c r="C121" s="1" t="n">
        <v>45661</v>
      </c>
      <c r="D121" t="inlineStr">
        <is>
          <t>UPPSALA LÄN</t>
        </is>
      </c>
      <c r="E121" t="inlineStr">
        <is>
          <t>UPPSALA</t>
        </is>
      </c>
      <c r="F121" t="inlineStr">
        <is>
          <t>Bergvik skog öst AB</t>
        </is>
      </c>
      <c r="G121" t="n">
        <v>19.1</v>
      </c>
      <c r="H121" t="n">
        <v>0</v>
      </c>
      <c r="I121" t="n">
        <v>0</v>
      </c>
      <c r="J121" t="n">
        <v>1</v>
      </c>
      <c r="K121" t="n">
        <v>0</v>
      </c>
      <c r="L121" t="n">
        <v>0</v>
      </c>
      <c r="M121" t="n">
        <v>0</v>
      </c>
      <c r="N121" t="n">
        <v>0</v>
      </c>
      <c r="O121" t="n">
        <v>1</v>
      </c>
      <c r="P121" t="n">
        <v>0</v>
      </c>
      <c r="Q121" t="n">
        <v>1</v>
      </c>
      <c r="R121" s="2" t="inlineStr">
        <is>
          <t>Sexfläckig bastardsvärmare</t>
        </is>
      </c>
      <c r="S121">
        <f>HYPERLINK("https://klasma.github.io/Logging_0380/artfynd/A 12255-2021 artfynd.xlsx", "A 12255-2021")</f>
        <v/>
      </c>
      <c r="T121">
        <f>HYPERLINK("https://klasma.github.io/Logging_0380/kartor/A 12255-2021 karta.png", "A 12255-2021")</f>
        <v/>
      </c>
      <c r="V121">
        <f>HYPERLINK("https://klasma.github.io/Logging_0380/klagomål/A 12255-2021 FSC-klagomål.docx", "A 12255-2021")</f>
        <v/>
      </c>
      <c r="W121">
        <f>HYPERLINK("https://klasma.github.io/Logging_0380/klagomålsmail/A 12255-2021 FSC-klagomål mail.docx", "A 12255-2021")</f>
        <v/>
      </c>
      <c r="X121">
        <f>HYPERLINK("https://klasma.github.io/Logging_0380/tillsyn/A 12255-2021 tillsynsbegäran.docx", "A 12255-2021")</f>
        <v/>
      </c>
      <c r="Y121">
        <f>HYPERLINK("https://klasma.github.io/Logging_0380/tillsynsmail/A 12255-2021 tillsynsbegäran mail.docx", "A 12255-2021")</f>
        <v/>
      </c>
    </row>
    <row r="122" ht="15" customHeight="1">
      <c r="A122" t="inlineStr">
        <is>
          <t>A 52849-2021</t>
        </is>
      </c>
      <c r="B122" s="1" t="n">
        <v>44467</v>
      </c>
      <c r="C122" s="1" t="n">
        <v>45661</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58050-2021</t>
        </is>
      </c>
      <c r="B123" s="1" t="n">
        <v>44487</v>
      </c>
      <c r="C123" s="1" t="n">
        <v>45661</v>
      </c>
      <c r="D123" t="inlineStr">
        <is>
          <t>UPPSALA LÄN</t>
        </is>
      </c>
      <c r="E123" t="inlineStr">
        <is>
          <t>UPPSALA</t>
        </is>
      </c>
      <c r="G123" t="n">
        <v>4.4</v>
      </c>
      <c r="H123" t="n">
        <v>0</v>
      </c>
      <c r="I123" t="n">
        <v>0</v>
      </c>
      <c r="J123" t="n">
        <v>1</v>
      </c>
      <c r="K123" t="n">
        <v>0</v>
      </c>
      <c r="L123" t="n">
        <v>0</v>
      </c>
      <c r="M123" t="n">
        <v>0</v>
      </c>
      <c r="N123" t="n">
        <v>0</v>
      </c>
      <c r="O123" t="n">
        <v>1</v>
      </c>
      <c r="P123" t="n">
        <v>0</v>
      </c>
      <c r="Q123" t="n">
        <v>1</v>
      </c>
      <c r="R123" s="2" t="inlineStr">
        <is>
          <t>Ullticka</t>
        </is>
      </c>
      <c r="S123">
        <f>HYPERLINK("https://klasma.github.io/Logging_0380/artfynd/A 58050-2021 artfynd.xlsx", "A 58050-2021")</f>
        <v/>
      </c>
      <c r="T123">
        <f>HYPERLINK("https://klasma.github.io/Logging_0380/kartor/A 58050-2021 karta.png", "A 58050-2021")</f>
        <v/>
      </c>
      <c r="V123">
        <f>HYPERLINK("https://klasma.github.io/Logging_0380/klagomål/A 58050-2021 FSC-klagomål.docx", "A 58050-2021")</f>
        <v/>
      </c>
      <c r="W123">
        <f>HYPERLINK("https://klasma.github.io/Logging_0380/klagomålsmail/A 58050-2021 FSC-klagomål mail.docx", "A 58050-2021")</f>
        <v/>
      </c>
      <c r="X123">
        <f>HYPERLINK("https://klasma.github.io/Logging_0380/tillsyn/A 58050-2021 tillsynsbegäran.docx", "A 58050-2021")</f>
        <v/>
      </c>
      <c r="Y123">
        <f>HYPERLINK("https://klasma.github.io/Logging_0380/tillsynsmail/A 58050-2021 tillsynsbegäran mail.docx", "A 58050-2021")</f>
        <v/>
      </c>
    </row>
    <row r="124" ht="15" customHeight="1">
      <c r="A124" t="inlineStr">
        <is>
          <t>A 58906-2021</t>
        </is>
      </c>
      <c r="B124" s="1" t="n">
        <v>44489</v>
      </c>
      <c r="C124" s="1" t="n">
        <v>45661</v>
      </c>
      <c r="D124" t="inlineStr">
        <is>
          <t>UPPSALA LÄN</t>
        </is>
      </c>
      <c r="E124" t="inlineStr">
        <is>
          <t>UPPSALA</t>
        </is>
      </c>
      <c r="G124" t="n">
        <v>8.6</v>
      </c>
      <c r="H124" t="n">
        <v>0</v>
      </c>
      <c r="I124" t="n">
        <v>0</v>
      </c>
      <c r="J124" t="n">
        <v>1</v>
      </c>
      <c r="K124" t="n">
        <v>0</v>
      </c>
      <c r="L124" t="n">
        <v>0</v>
      </c>
      <c r="M124" t="n">
        <v>0</v>
      </c>
      <c r="N124" t="n">
        <v>0</v>
      </c>
      <c r="O124" t="n">
        <v>1</v>
      </c>
      <c r="P124" t="n">
        <v>0</v>
      </c>
      <c r="Q124" t="n">
        <v>1</v>
      </c>
      <c r="R124" s="2" t="inlineStr">
        <is>
          <t>Ullticka</t>
        </is>
      </c>
      <c r="S124">
        <f>HYPERLINK("https://klasma.github.io/Logging_0380/artfynd/A 58906-2021 artfynd.xlsx", "A 58906-2021")</f>
        <v/>
      </c>
      <c r="T124">
        <f>HYPERLINK("https://klasma.github.io/Logging_0380/kartor/A 58906-2021 karta.png", "A 58906-2021")</f>
        <v/>
      </c>
      <c r="V124">
        <f>HYPERLINK("https://klasma.github.io/Logging_0380/klagomål/A 58906-2021 FSC-klagomål.docx", "A 58906-2021")</f>
        <v/>
      </c>
      <c r="W124">
        <f>HYPERLINK("https://klasma.github.io/Logging_0380/klagomålsmail/A 58906-2021 FSC-klagomål mail.docx", "A 58906-2021")</f>
        <v/>
      </c>
      <c r="X124">
        <f>HYPERLINK("https://klasma.github.io/Logging_0380/tillsyn/A 58906-2021 tillsynsbegäran.docx", "A 58906-2021")</f>
        <v/>
      </c>
      <c r="Y124">
        <f>HYPERLINK("https://klasma.github.io/Logging_0380/tillsynsmail/A 58906-2021 tillsynsbegäran mail.docx", "A 58906-2021")</f>
        <v/>
      </c>
    </row>
    <row r="125" ht="15" customHeight="1">
      <c r="A125" t="inlineStr">
        <is>
          <t>A 3257-2022</t>
        </is>
      </c>
      <c r="B125" s="1" t="n">
        <v>44583</v>
      </c>
      <c r="C125" s="1" t="n">
        <v>45661</v>
      </c>
      <c r="D125" t="inlineStr">
        <is>
          <t>UPPSALA LÄN</t>
        </is>
      </c>
      <c r="E125" t="inlineStr">
        <is>
          <t>UPPSALA</t>
        </is>
      </c>
      <c r="F125" t="inlineStr">
        <is>
          <t>Holmen skog AB</t>
        </is>
      </c>
      <c r="G125" t="n">
        <v>1.9</v>
      </c>
      <c r="H125" t="n">
        <v>0</v>
      </c>
      <c r="I125" t="n">
        <v>1</v>
      </c>
      <c r="J125" t="n">
        <v>0</v>
      </c>
      <c r="K125" t="n">
        <v>0</v>
      </c>
      <c r="L125" t="n">
        <v>0</v>
      </c>
      <c r="M125" t="n">
        <v>0</v>
      </c>
      <c r="N125" t="n">
        <v>0</v>
      </c>
      <c r="O125" t="n">
        <v>0</v>
      </c>
      <c r="P125" t="n">
        <v>0</v>
      </c>
      <c r="Q125" t="n">
        <v>1</v>
      </c>
      <c r="R125" s="2" t="inlineStr">
        <is>
          <t>Gulpudrad spiklav</t>
        </is>
      </c>
      <c r="S125">
        <f>HYPERLINK("https://klasma.github.io/Logging_0380/artfynd/A 3257-2022 artfynd.xlsx", "A 3257-2022")</f>
        <v/>
      </c>
      <c r="T125">
        <f>HYPERLINK("https://klasma.github.io/Logging_0380/kartor/A 3257-2022 karta.png", "A 3257-2022")</f>
        <v/>
      </c>
      <c r="V125">
        <f>HYPERLINK("https://klasma.github.io/Logging_0380/klagomål/A 3257-2022 FSC-klagomål.docx", "A 3257-2022")</f>
        <v/>
      </c>
      <c r="W125">
        <f>HYPERLINK("https://klasma.github.io/Logging_0380/klagomålsmail/A 3257-2022 FSC-klagomål mail.docx", "A 3257-2022")</f>
        <v/>
      </c>
      <c r="X125">
        <f>HYPERLINK("https://klasma.github.io/Logging_0380/tillsyn/A 3257-2022 tillsynsbegäran.docx", "A 3257-2022")</f>
        <v/>
      </c>
      <c r="Y125">
        <f>HYPERLINK("https://klasma.github.io/Logging_0380/tillsynsmail/A 3257-2022 tillsynsbegäran mail.docx", "A 3257-2022")</f>
        <v/>
      </c>
    </row>
    <row r="126" ht="15" customHeight="1">
      <c r="A126" t="inlineStr">
        <is>
          <t>A 4449-2022</t>
        </is>
      </c>
      <c r="B126" s="1" t="n">
        <v>44589</v>
      </c>
      <c r="C126" s="1" t="n">
        <v>45661</v>
      </c>
      <c r="D126" t="inlineStr">
        <is>
          <t>UPPSALA LÄN</t>
        </is>
      </c>
      <c r="E126" t="inlineStr">
        <is>
          <t>UPPSALA</t>
        </is>
      </c>
      <c r="G126" t="n">
        <v>8.9</v>
      </c>
      <c r="H126" t="n">
        <v>0</v>
      </c>
      <c r="I126" t="n">
        <v>0</v>
      </c>
      <c r="J126" t="n">
        <v>1</v>
      </c>
      <c r="K126" t="n">
        <v>0</v>
      </c>
      <c r="L126" t="n">
        <v>0</v>
      </c>
      <c r="M126" t="n">
        <v>0</v>
      </c>
      <c r="N126" t="n">
        <v>0</v>
      </c>
      <c r="O126" t="n">
        <v>1</v>
      </c>
      <c r="P126" t="n">
        <v>0</v>
      </c>
      <c r="Q126" t="n">
        <v>1</v>
      </c>
      <c r="R126" s="2" t="inlineStr">
        <is>
          <t>Gul taggsvamp</t>
        </is>
      </c>
      <c r="S126">
        <f>HYPERLINK("https://klasma.github.io/Logging_0380/artfynd/A 4449-2022 artfynd.xlsx", "A 4449-2022")</f>
        <v/>
      </c>
      <c r="T126">
        <f>HYPERLINK("https://klasma.github.io/Logging_0380/kartor/A 4449-2022 karta.png", "A 4449-2022")</f>
        <v/>
      </c>
      <c r="V126">
        <f>HYPERLINK("https://klasma.github.io/Logging_0380/klagomål/A 4449-2022 FSC-klagomål.docx", "A 4449-2022")</f>
        <v/>
      </c>
      <c r="W126">
        <f>HYPERLINK("https://klasma.github.io/Logging_0380/klagomålsmail/A 4449-2022 FSC-klagomål mail.docx", "A 4449-2022")</f>
        <v/>
      </c>
      <c r="X126">
        <f>HYPERLINK("https://klasma.github.io/Logging_0380/tillsyn/A 4449-2022 tillsynsbegäran.docx", "A 4449-2022")</f>
        <v/>
      </c>
      <c r="Y126">
        <f>HYPERLINK("https://klasma.github.io/Logging_0380/tillsynsmail/A 4449-2022 tillsynsbegäran mail.docx", "A 4449-2022")</f>
        <v/>
      </c>
    </row>
    <row r="127" ht="15" customHeight="1">
      <c r="A127" t="inlineStr">
        <is>
          <t>A 8865-2022</t>
        </is>
      </c>
      <c r="B127" s="1" t="n">
        <v>44614</v>
      </c>
      <c r="C127" s="1" t="n">
        <v>45661</v>
      </c>
      <c r="D127" t="inlineStr">
        <is>
          <t>UPPSALA LÄN</t>
        </is>
      </c>
      <c r="E127" t="inlineStr">
        <is>
          <t>UPPSALA</t>
        </is>
      </c>
      <c r="G127" t="n">
        <v>1.1</v>
      </c>
      <c r="H127" t="n">
        <v>0</v>
      </c>
      <c r="I127" t="n">
        <v>1</v>
      </c>
      <c r="J127" t="n">
        <v>0</v>
      </c>
      <c r="K127" t="n">
        <v>0</v>
      </c>
      <c r="L127" t="n">
        <v>0</v>
      </c>
      <c r="M127" t="n">
        <v>0</v>
      </c>
      <c r="N127" t="n">
        <v>0</v>
      </c>
      <c r="O127" t="n">
        <v>0</v>
      </c>
      <c r="P127" t="n">
        <v>0</v>
      </c>
      <c r="Q127" t="n">
        <v>1</v>
      </c>
      <c r="R127" s="2" t="inlineStr">
        <is>
          <t>Narrtagging</t>
        </is>
      </c>
      <c r="S127">
        <f>HYPERLINK("https://klasma.github.io/Logging_0380/artfynd/A 8865-2022 artfynd.xlsx", "A 8865-2022")</f>
        <v/>
      </c>
      <c r="T127">
        <f>HYPERLINK("https://klasma.github.io/Logging_0380/kartor/A 8865-2022 karta.png", "A 8865-2022")</f>
        <v/>
      </c>
      <c r="V127">
        <f>HYPERLINK("https://klasma.github.io/Logging_0380/klagomål/A 8865-2022 FSC-klagomål.docx", "A 8865-2022")</f>
        <v/>
      </c>
      <c r="W127">
        <f>HYPERLINK("https://klasma.github.io/Logging_0380/klagomålsmail/A 8865-2022 FSC-klagomål mail.docx", "A 8865-2022")</f>
        <v/>
      </c>
      <c r="X127">
        <f>HYPERLINK("https://klasma.github.io/Logging_0380/tillsyn/A 8865-2022 tillsynsbegäran.docx", "A 8865-2022")</f>
        <v/>
      </c>
      <c r="Y127">
        <f>HYPERLINK("https://klasma.github.io/Logging_0380/tillsynsmail/A 8865-2022 tillsynsbegäran mail.docx", "A 8865-2022")</f>
        <v/>
      </c>
    </row>
    <row r="128" ht="15" customHeight="1">
      <c r="A128" t="inlineStr">
        <is>
          <t>A 13363-2022</t>
        </is>
      </c>
      <c r="B128" s="1" t="n">
        <v>44645</v>
      </c>
      <c r="C128" s="1" t="n">
        <v>45661</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15297-2022</t>
        </is>
      </c>
      <c r="B129" s="1" t="n">
        <v>44659</v>
      </c>
      <c r="C129" s="1" t="n">
        <v>45661</v>
      </c>
      <c r="D129" t="inlineStr">
        <is>
          <t>UPPSALA LÄN</t>
        </is>
      </c>
      <c r="E129" t="inlineStr">
        <is>
          <t>UPPSALA</t>
        </is>
      </c>
      <c r="F129" t="inlineStr">
        <is>
          <t>Övriga Aktiebolag</t>
        </is>
      </c>
      <c r="G129" t="n">
        <v>6.6</v>
      </c>
      <c r="H129" t="n">
        <v>0</v>
      </c>
      <c r="I129" t="n">
        <v>1</v>
      </c>
      <c r="J129" t="n">
        <v>0</v>
      </c>
      <c r="K129" t="n">
        <v>0</v>
      </c>
      <c r="L129" t="n">
        <v>0</v>
      </c>
      <c r="M129" t="n">
        <v>0</v>
      </c>
      <c r="N129" t="n">
        <v>0</v>
      </c>
      <c r="O129" t="n">
        <v>0</v>
      </c>
      <c r="P129" t="n">
        <v>0</v>
      </c>
      <c r="Q129" t="n">
        <v>1</v>
      </c>
      <c r="R129" s="2" t="inlineStr">
        <is>
          <t>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19376-2022</t>
        </is>
      </c>
      <c r="B130" s="1" t="n">
        <v>44692</v>
      </c>
      <c r="C130" s="1" t="n">
        <v>45661</v>
      </c>
      <c r="D130" t="inlineStr">
        <is>
          <t>UPPSALA LÄN</t>
        </is>
      </c>
      <c r="E130" t="inlineStr">
        <is>
          <t>UPPSALA</t>
        </is>
      </c>
      <c r="F130" t="inlineStr">
        <is>
          <t>Bergvik skog öst AB</t>
        </is>
      </c>
      <c r="G130" t="n">
        <v>6.8</v>
      </c>
      <c r="H130" t="n">
        <v>0</v>
      </c>
      <c r="I130" t="n">
        <v>1</v>
      </c>
      <c r="J130" t="n">
        <v>0</v>
      </c>
      <c r="K130" t="n">
        <v>0</v>
      </c>
      <c r="L130" t="n">
        <v>0</v>
      </c>
      <c r="M130" t="n">
        <v>0</v>
      </c>
      <c r="N130" t="n">
        <v>0</v>
      </c>
      <c r="O130" t="n">
        <v>0</v>
      </c>
      <c r="P130" t="n">
        <v>0</v>
      </c>
      <c r="Q130" t="n">
        <v>1</v>
      </c>
      <c r="R130" s="2" t="inlineStr">
        <is>
          <t>Vårärt</t>
        </is>
      </c>
      <c r="S130">
        <f>HYPERLINK("https://klasma.github.io/Logging_0380/artfynd/A 19376-2022 artfynd.xlsx", "A 19376-2022")</f>
        <v/>
      </c>
      <c r="T130">
        <f>HYPERLINK("https://klasma.github.io/Logging_0380/kartor/A 19376-2022 karta.png", "A 19376-2022")</f>
        <v/>
      </c>
      <c r="V130">
        <f>HYPERLINK("https://klasma.github.io/Logging_0380/klagomål/A 19376-2022 FSC-klagomål.docx", "A 19376-2022")</f>
        <v/>
      </c>
      <c r="W130">
        <f>HYPERLINK("https://klasma.github.io/Logging_0380/klagomålsmail/A 19376-2022 FSC-klagomål mail.docx", "A 19376-2022")</f>
        <v/>
      </c>
      <c r="X130">
        <f>HYPERLINK("https://klasma.github.io/Logging_0380/tillsyn/A 19376-2022 tillsynsbegäran.docx", "A 19376-2022")</f>
        <v/>
      </c>
      <c r="Y130">
        <f>HYPERLINK("https://klasma.github.io/Logging_0380/tillsynsmail/A 19376-2022 tillsynsbegäran mail.docx", "A 19376-2022")</f>
        <v/>
      </c>
    </row>
    <row r="131" ht="15" customHeight="1">
      <c r="A131" t="inlineStr">
        <is>
          <t>A 23141-2022</t>
        </is>
      </c>
      <c r="B131" s="1" t="n">
        <v>44719</v>
      </c>
      <c r="C131" s="1" t="n">
        <v>45661</v>
      </c>
      <c r="D131" t="inlineStr">
        <is>
          <t>UPPSALA LÄN</t>
        </is>
      </c>
      <c r="E131" t="inlineStr">
        <is>
          <t>UPPSALA</t>
        </is>
      </c>
      <c r="G131" t="n">
        <v>3.1</v>
      </c>
      <c r="H131" t="n">
        <v>1</v>
      </c>
      <c r="I131" t="n">
        <v>0</v>
      </c>
      <c r="J131" t="n">
        <v>0</v>
      </c>
      <c r="K131" t="n">
        <v>0</v>
      </c>
      <c r="L131" t="n">
        <v>0</v>
      </c>
      <c r="M131" t="n">
        <v>0</v>
      </c>
      <c r="N131" t="n">
        <v>0</v>
      </c>
      <c r="O131" t="n">
        <v>0</v>
      </c>
      <c r="P131" t="n">
        <v>0</v>
      </c>
      <c r="Q131" t="n">
        <v>1</v>
      </c>
      <c r="R131" s="2" t="inlineStr">
        <is>
          <t>Enkelbeckasin</t>
        </is>
      </c>
      <c r="S131">
        <f>HYPERLINK("https://klasma.github.io/Logging_0380/artfynd/A 23141-2022 artfynd.xlsx", "A 23141-2022")</f>
        <v/>
      </c>
      <c r="T131">
        <f>HYPERLINK("https://klasma.github.io/Logging_0380/kartor/A 23141-2022 karta.png", "A 23141-2022")</f>
        <v/>
      </c>
      <c r="V131">
        <f>HYPERLINK("https://klasma.github.io/Logging_0380/klagomål/A 23141-2022 FSC-klagomål.docx", "A 23141-2022")</f>
        <v/>
      </c>
      <c r="W131">
        <f>HYPERLINK("https://klasma.github.io/Logging_0380/klagomålsmail/A 23141-2022 FSC-klagomål mail.docx", "A 23141-2022")</f>
        <v/>
      </c>
      <c r="X131">
        <f>HYPERLINK("https://klasma.github.io/Logging_0380/tillsyn/A 23141-2022 tillsynsbegäran.docx", "A 23141-2022")</f>
        <v/>
      </c>
      <c r="Y131">
        <f>HYPERLINK("https://klasma.github.io/Logging_0380/tillsynsmail/A 23141-2022 tillsynsbegäran mail.docx", "A 23141-2022")</f>
        <v/>
      </c>
      <c r="Z131">
        <f>HYPERLINK("https://klasma.github.io/Logging_0380/fåglar/A 23141-2022 prioriterade fågelarter.docx", "A 23141-2022")</f>
        <v/>
      </c>
    </row>
    <row r="132" ht="15" customHeight="1">
      <c r="A132" t="inlineStr">
        <is>
          <t>A 25119-2022</t>
        </is>
      </c>
      <c r="B132" s="1" t="n">
        <v>44729</v>
      </c>
      <c r="C132" s="1" t="n">
        <v>45661</v>
      </c>
      <c r="D132" t="inlineStr">
        <is>
          <t>UPPSALA LÄN</t>
        </is>
      </c>
      <c r="E132" t="inlineStr">
        <is>
          <t>UPPSALA</t>
        </is>
      </c>
      <c r="F132" t="inlineStr">
        <is>
          <t>Kommuner</t>
        </is>
      </c>
      <c r="G132" t="n">
        <v>0.9</v>
      </c>
      <c r="H132" t="n">
        <v>0</v>
      </c>
      <c r="I132" t="n">
        <v>1</v>
      </c>
      <c r="J132" t="n">
        <v>0</v>
      </c>
      <c r="K132" t="n">
        <v>0</v>
      </c>
      <c r="L132" t="n">
        <v>0</v>
      </c>
      <c r="M132" t="n">
        <v>0</v>
      </c>
      <c r="N132" t="n">
        <v>0</v>
      </c>
      <c r="O132" t="n">
        <v>0</v>
      </c>
      <c r="P132" t="n">
        <v>0</v>
      </c>
      <c r="Q132" t="n">
        <v>1</v>
      </c>
      <c r="R132" s="2" t="inlineStr">
        <is>
          <t>Stor aspticka</t>
        </is>
      </c>
      <c r="S132">
        <f>HYPERLINK("https://klasma.github.io/Logging_0380/artfynd/A 25119-2022 artfynd.xlsx", "A 25119-2022")</f>
        <v/>
      </c>
      <c r="T132">
        <f>HYPERLINK("https://klasma.github.io/Logging_0380/kartor/A 25119-2022 karta.png", "A 25119-2022")</f>
        <v/>
      </c>
      <c r="V132">
        <f>HYPERLINK("https://klasma.github.io/Logging_0380/klagomål/A 25119-2022 FSC-klagomål.docx", "A 25119-2022")</f>
        <v/>
      </c>
      <c r="W132">
        <f>HYPERLINK("https://klasma.github.io/Logging_0380/klagomålsmail/A 25119-2022 FSC-klagomål mail.docx", "A 25119-2022")</f>
        <v/>
      </c>
      <c r="X132">
        <f>HYPERLINK("https://klasma.github.io/Logging_0380/tillsyn/A 25119-2022 tillsynsbegäran.docx", "A 25119-2022")</f>
        <v/>
      </c>
      <c r="Y132">
        <f>HYPERLINK("https://klasma.github.io/Logging_0380/tillsynsmail/A 25119-2022 tillsynsbegäran mail.docx", "A 25119-2022")</f>
        <v/>
      </c>
    </row>
    <row r="133" ht="15" customHeight="1">
      <c r="A133" t="inlineStr">
        <is>
          <t>A 46634-2022</t>
        </is>
      </c>
      <c r="B133" s="1" t="n">
        <v>44849</v>
      </c>
      <c r="C133" s="1" t="n">
        <v>45661</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49015-2022</t>
        </is>
      </c>
      <c r="B134" s="1" t="n">
        <v>44855</v>
      </c>
      <c r="C134" s="1" t="n">
        <v>45661</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57793-2022</t>
        </is>
      </c>
      <c r="B135" s="1" t="n">
        <v>44897</v>
      </c>
      <c r="C135" s="1" t="n">
        <v>45661</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60055-2022</t>
        </is>
      </c>
      <c r="B136" s="1" t="n">
        <v>44909</v>
      </c>
      <c r="C136" s="1" t="n">
        <v>45661</v>
      </c>
      <c r="D136" t="inlineStr">
        <is>
          <t>UPPSALA LÄN</t>
        </is>
      </c>
      <c r="E136" t="inlineStr">
        <is>
          <t>UPPSALA</t>
        </is>
      </c>
      <c r="G136" t="n">
        <v>11.4</v>
      </c>
      <c r="H136" t="n">
        <v>1</v>
      </c>
      <c r="I136" t="n">
        <v>0</v>
      </c>
      <c r="J136" t="n">
        <v>0</v>
      </c>
      <c r="K136" t="n">
        <v>0</v>
      </c>
      <c r="L136" t="n">
        <v>0</v>
      </c>
      <c r="M136" t="n">
        <v>0</v>
      </c>
      <c r="N136" t="n">
        <v>0</v>
      </c>
      <c r="O136" t="n">
        <v>0</v>
      </c>
      <c r="P136" t="n">
        <v>0</v>
      </c>
      <c r="Q136" t="n">
        <v>1</v>
      </c>
      <c r="R136" s="2" t="inlineStr">
        <is>
          <t>Tjäder</t>
        </is>
      </c>
      <c r="S136">
        <f>HYPERLINK("https://klasma.github.io/Logging_0380/artfynd/A 60055-2022 artfynd.xlsx", "A 60055-2022")</f>
        <v/>
      </c>
      <c r="T136">
        <f>HYPERLINK("https://klasma.github.io/Logging_0380/kartor/A 60055-2022 karta.png", "A 60055-2022")</f>
        <v/>
      </c>
      <c r="V136">
        <f>HYPERLINK("https://klasma.github.io/Logging_0380/klagomål/A 60055-2022 FSC-klagomål.docx", "A 60055-2022")</f>
        <v/>
      </c>
      <c r="W136">
        <f>HYPERLINK("https://klasma.github.io/Logging_0380/klagomålsmail/A 60055-2022 FSC-klagomål mail.docx", "A 60055-2022")</f>
        <v/>
      </c>
      <c r="X136">
        <f>HYPERLINK("https://klasma.github.io/Logging_0380/tillsyn/A 60055-2022 tillsynsbegäran.docx", "A 60055-2022")</f>
        <v/>
      </c>
      <c r="Y136">
        <f>HYPERLINK("https://klasma.github.io/Logging_0380/tillsynsmail/A 60055-2022 tillsynsbegäran mail.docx", "A 60055-2022")</f>
        <v/>
      </c>
      <c r="Z136">
        <f>HYPERLINK("https://klasma.github.io/Logging_0380/fåglar/A 60055-2022 prioriterade fågelarter.docx", "A 60055-2022")</f>
        <v/>
      </c>
    </row>
    <row r="137" ht="15" customHeight="1">
      <c r="A137" t="inlineStr">
        <is>
          <t>A 61818-2022</t>
        </is>
      </c>
      <c r="B137" s="1" t="n">
        <v>44917</v>
      </c>
      <c r="C137" s="1" t="n">
        <v>45661</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61830-2022</t>
        </is>
      </c>
      <c r="B138" s="1" t="n">
        <v>44917</v>
      </c>
      <c r="C138" s="1" t="n">
        <v>45661</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5009-2023</t>
        </is>
      </c>
      <c r="B139" s="1" t="n">
        <v>44958</v>
      </c>
      <c r="C139" s="1" t="n">
        <v>45661</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5750-2023</t>
        </is>
      </c>
      <c r="B140" s="1" t="n">
        <v>44963</v>
      </c>
      <c r="C140" s="1" t="n">
        <v>45661</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13154-2023</t>
        </is>
      </c>
      <c r="B141" s="1" t="n">
        <v>45002</v>
      </c>
      <c r="C141" s="1" t="n">
        <v>45661</v>
      </c>
      <c r="D141" t="inlineStr">
        <is>
          <t>UPPSALA LÄN</t>
        </is>
      </c>
      <c r="E141" t="inlineStr">
        <is>
          <t>UPPSALA</t>
        </is>
      </c>
      <c r="F141" t="inlineStr">
        <is>
          <t>Holmen skog AB</t>
        </is>
      </c>
      <c r="G141" t="n">
        <v>2.6</v>
      </c>
      <c r="H141" t="n">
        <v>0</v>
      </c>
      <c r="I141" t="n">
        <v>1</v>
      </c>
      <c r="J141" t="n">
        <v>0</v>
      </c>
      <c r="K141" t="n">
        <v>0</v>
      </c>
      <c r="L141" t="n">
        <v>0</v>
      </c>
      <c r="M141" t="n">
        <v>0</v>
      </c>
      <c r="N141" t="n">
        <v>0</v>
      </c>
      <c r="O141" t="n">
        <v>0</v>
      </c>
      <c r="P141" t="n">
        <v>0</v>
      </c>
      <c r="Q141" t="n">
        <v>1</v>
      </c>
      <c r="R141" s="2" t="inlineStr">
        <is>
          <t>Korallblylav</t>
        </is>
      </c>
      <c r="S141">
        <f>HYPERLINK("https://klasma.github.io/Logging_0380/artfynd/A 13154-2023 artfynd.xlsx", "A 13154-2023")</f>
        <v/>
      </c>
      <c r="T141">
        <f>HYPERLINK("https://klasma.github.io/Logging_0380/kartor/A 13154-2023 karta.png", "A 13154-2023")</f>
        <v/>
      </c>
      <c r="V141">
        <f>HYPERLINK("https://klasma.github.io/Logging_0380/klagomål/A 13154-2023 FSC-klagomål.docx", "A 13154-2023")</f>
        <v/>
      </c>
      <c r="W141">
        <f>HYPERLINK("https://klasma.github.io/Logging_0380/klagomålsmail/A 13154-2023 FSC-klagomål mail.docx", "A 13154-2023")</f>
        <v/>
      </c>
      <c r="X141">
        <f>HYPERLINK("https://klasma.github.io/Logging_0380/tillsyn/A 13154-2023 tillsynsbegäran.docx", "A 13154-2023")</f>
        <v/>
      </c>
      <c r="Y141">
        <f>HYPERLINK("https://klasma.github.io/Logging_0380/tillsynsmail/A 13154-2023 tillsynsbegäran mail.docx", "A 13154-2023")</f>
        <v/>
      </c>
    </row>
    <row r="142" ht="15" customHeight="1">
      <c r="A142" t="inlineStr">
        <is>
          <t>A 15722-2023</t>
        </is>
      </c>
      <c r="B142" s="1" t="n">
        <v>45021</v>
      </c>
      <c r="C142" s="1" t="n">
        <v>45661</v>
      </c>
      <c r="D142" t="inlineStr">
        <is>
          <t>UPPSALA LÄN</t>
        </is>
      </c>
      <c r="E142" t="inlineStr">
        <is>
          <t>UPPSALA</t>
        </is>
      </c>
      <c r="G142" t="n">
        <v>15.2</v>
      </c>
      <c r="H142" t="n">
        <v>0</v>
      </c>
      <c r="I142" t="n">
        <v>1</v>
      </c>
      <c r="J142" t="n">
        <v>0</v>
      </c>
      <c r="K142" t="n">
        <v>0</v>
      </c>
      <c r="L142" t="n">
        <v>0</v>
      </c>
      <c r="M142" t="n">
        <v>0</v>
      </c>
      <c r="N142" t="n">
        <v>0</v>
      </c>
      <c r="O142" t="n">
        <v>0</v>
      </c>
      <c r="P142" t="n">
        <v>0</v>
      </c>
      <c r="Q142" t="n">
        <v>1</v>
      </c>
      <c r="R142" s="2" t="inlineStr">
        <is>
          <t>Tibast</t>
        </is>
      </c>
      <c r="S142">
        <f>HYPERLINK("https://klasma.github.io/Logging_0380/artfynd/A 15722-2023 artfynd.xlsx", "A 15722-2023")</f>
        <v/>
      </c>
      <c r="T142">
        <f>HYPERLINK("https://klasma.github.io/Logging_0380/kartor/A 15722-2023 karta.png", "A 15722-2023")</f>
        <v/>
      </c>
      <c r="V142">
        <f>HYPERLINK("https://klasma.github.io/Logging_0380/klagomål/A 15722-2023 FSC-klagomål.docx", "A 15722-2023")</f>
        <v/>
      </c>
      <c r="W142">
        <f>HYPERLINK("https://klasma.github.io/Logging_0380/klagomålsmail/A 15722-2023 FSC-klagomål mail.docx", "A 15722-2023")</f>
        <v/>
      </c>
      <c r="X142">
        <f>HYPERLINK("https://klasma.github.io/Logging_0380/tillsyn/A 15722-2023 tillsynsbegäran.docx", "A 15722-2023")</f>
        <v/>
      </c>
      <c r="Y142">
        <f>HYPERLINK("https://klasma.github.io/Logging_0380/tillsynsmail/A 15722-2023 tillsynsbegäran mail.docx", "A 15722-2023")</f>
        <v/>
      </c>
    </row>
    <row r="143" ht="15" customHeight="1">
      <c r="A143" t="inlineStr">
        <is>
          <t>A 15919-2023</t>
        </is>
      </c>
      <c r="B143" s="1" t="n">
        <v>45022</v>
      </c>
      <c r="C143" s="1" t="n">
        <v>45661</v>
      </c>
      <c r="D143" t="inlineStr">
        <is>
          <t>UPPSALA LÄN</t>
        </is>
      </c>
      <c r="E143" t="inlineStr">
        <is>
          <t>UPPSALA</t>
        </is>
      </c>
      <c r="F143" t="inlineStr">
        <is>
          <t>Holmen skog AB</t>
        </is>
      </c>
      <c r="G143" t="n">
        <v>10</v>
      </c>
      <c r="H143" t="n">
        <v>1</v>
      </c>
      <c r="I143" t="n">
        <v>0</v>
      </c>
      <c r="J143" t="n">
        <v>0</v>
      </c>
      <c r="K143" t="n">
        <v>0</v>
      </c>
      <c r="L143" t="n">
        <v>0</v>
      </c>
      <c r="M143" t="n">
        <v>0</v>
      </c>
      <c r="N143" t="n">
        <v>0</v>
      </c>
      <c r="O143" t="n">
        <v>0</v>
      </c>
      <c r="P143" t="n">
        <v>0</v>
      </c>
      <c r="Q143" t="n">
        <v>1</v>
      </c>
      <c r="R143" s="2" t="inlineStr">
        <is>
          <t>Blåsippa</t>
        </is>
      </c>
      <c r="S143">
        <f>HYPERLINK("https://klasma.github.io/Logging_0380/artfynd/A 15919-2023 artfynd.xlsx", "A 15919-2023")</f>
        <v/>
      </c>
      <c r="T143">
        <f>HYPERLINK("https://klasma.github.io/Logging_0380/kartor/A 15919-2023 karta.png", "A 15919-2023")</f>
        <v/>
      </c>
      <c r="V143">
        <f>HYPERLINK("https://klasma.github.io/Logging_0380/klagomål/A 15919-2023 FSC-klagomål.docx", "A 15919-2023")</f>
        <v/>
      </c>
      <c r="W143">
        <f>HYPERLINK("https://klasma.github.io/Logging_0380/klagomålsmail/A 15919-2023 FSC-klagomål mail.docx", "A 15919-2023")</f>
        <v/>
      </c>
      <c r="X143">
        <f>HYPERLINK("https://klasma.github.io/Logging_0380/tillsyn/A 15919-2023 tillsynsbegäran.docx", "A 15919-2023")</f>
        <v/>
      </c>
      <c r="Y143">
        <f>HYPERLINK("https://klasma.github.io/Logging_0380/tillsynsmail/A 15919-2023 tillsynsbegäran mail.docx", "A 15919-2023")</f>
        <v/>
      </c>
    </row>
    <row r="144" ht="15" customHeight="1">
      <c r="A144" t="inlineStr">
        <is>
          <t>A 15918-2023</t>
        </is>
      </c>
      <c r="B144" s="1" t="n">
        <v>45022</v>
      </c>
      <c r="C144" s="1" t="n">
        <v>45661</v>
      </c>
      <c r="D144" t="inlineStr">
        <is>
          <t>UPPSALA LÄN</t>
        </is>
      </c>
      <c r="E144" t="inlineStr">
        <is>
          <t>UPPSALA</t>
        </is>
      </c>
      <c r="F144" t="inlineStr">
        <is>
          <t>Holmen skog AB</t>
        </is>
      </c>
      <c r="G144" t="n">
        <v>3.2</v>
      </c>
      <c r="H144" t="n">
        <v>1</v>
      </c>
      <c r="I144" t="n">
        <v>0</v>
      </c>
      <c r="J144" t="n">
        <v>0</v>
      </c>
      <c r="K144" t="n">
        <v>0</v>
      </c>
      <c r="L144" t="n">
        <v>0</v>
      </c>
      <c r="M144" t="n">
        <v>0</v>
      </c>
      <c r="N144" t="n">
        <v>0</v>
      </c>
      <c r="O144" t="n">
        <v>0</v>
      </c>
      <c r="P144" t="n">
        <v>0</v>
      </c>
      <c r="Q144" t="n">
        <v>1</v>
      </c>
      <c r="R144" s="2" t="inlineStr">
        <is>
          <t>Blåsippa</t>
        </is>
      </c>
      <c r="S144">
        <f>HYPERLINK("https://klasma.github.io/Logging_0380/artfynd/A 15918-2023 artfynd.xlsx", "A 15918-2023")</f>
        <v/>
      </c>
      <c r="T144">
        <f>HYPERLINK("https://klasma.github.io/Logging_0380/kartor/A 15918-2023 karta.png", "A 15918-2023")</f>
        <v/>
      </c>
      <c r="V144">
        <f>HYPERLINK("https://klasma.github.io/Logging_0380/klagomål/A 15918-2023 FSC-klagomål.docx", "A 15918-2023")</f>
        <v/>
      </c>
      <c r="W144">
        <f>HYPERLINK("https://klasma.github.io/Logging_0380/klagomålsmail/A 15918-2023 FSC-klagomål mail.docx", "A 15918-2023")</f>
        <v/>
      </c>
      <c r="X144">
        <f>HYPERLINK("https://klasma.github.io/Logging_0380/tillsyn/A 15918-2023 tillsynsbegäran.docx", "A 15918-2023")</f>
        <v/>
      </c>
      <c r="Y144">
        <f>HYPERLINK("https://klasma.github.io/Logging_0380/tillsynsmail/A 15918-2023 tillsynsbegäran mail.docx", "A 15918-2023")</f>
        <v/>
      </c>
    </row>
    <row r="145" ht="15" customHeight="1">
      <c r="A145" t="inlineStr">
        <is>
          <t>A 20172-2023</t>
        </is>
      </c>
      <c r="B145" s="1" t="n">
        <v>45055</v>
      </c>
      <c r="C145" s="1" t="n">
        <v>45661</v>
      </c>
      <c r="D145" t="inlineStr">
        <is>
          <t>UPPSALA LÄN</t>
        </is>
      </c>
      <c r="E145" t="inlineStr">
        <is>
          <t>UPPSALA</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HYPERLINK("https://klasma.github.io/Logging_0380/artfynd/A 20172-2023 artfynd.xlsx", "A 20172-2023")</f>
        <v/>
      </c>
      <c r="T145">
        <f>HYPERLINK("https://klasma.github.io/Logging_0380/kartor/A 20172-2023 karta.png", "A 20172-2023")</f>
        <v/>
      </c>
      <c r="V145">
        <f>HYPERLINK("https://klasma.github.io/Logging_0380/klagomål/A 20172-2023 FSC-klagomål.docx", "A 20172-2023")</f>
        <v/>
      </c>
      <c r="W145">
        <f>HYPERLINK("https://klasma.github.io/Logging_0380/klagomålsmail/A 20172-2023 FSC-klagomål mail.docx", "A 20172-2023")</f>
        <v/>
      </c>
      <c r="X145">
        <f>HYPERLINK("https://klasma.github.io/Logging_0380/tillsyn/A 20172-2023 tillsynsbegäran.docx", "A 20172-2023")</f>
        <v/>
      </c>
      <c r="Y145">
        <f>HYPERLINK("https://klasma.github.io/Logging_0380/tillsynsmail/A 20172-2023 tillsynsbegäran mail.docx", "A 20172-2023")</f>
        <v/>
      </c>
    </row>
    <row r="146" ht="15" customHeight="1">
      <c r="A146" t="inlineStr">
        <is>
          <t>A 20930-2023</t>
        </is>
      </c>
      <c r="B146" s="1" t="n">
        <v>45061</v>
      </c>
      <c r="C146" s="1" t="n">
        <v>45661</v>
      </c>
      <c r="D146" t="inlineStr">
        <is>
          <t>UPPSALA LÄN</t>
        </is>
      </c>
      <c r="E146" t="inlineStr">
        <is>
          <t>UPPSALA</t>
        </is>
      </c>
      <c r="G146" t="n">
        <v>5.1</v>
      </c>
      <c r="H146" t="n">
        <v>0</v>
      </c>
      <c r="I146" t="n">
        <v>1</v>
      </c>
      <c r="J146" t="n">
        <v>0</v>
      </c>
      <c r="K146" t="n">
        <v>0</v>
      </c>
      <c r="L146" t="n">
        <v>0</v>
      </c>
      <c r="M146" t="n">
        <v>0</v>
      </c>
      <c r="N146" t="n">
        <v>0</v>
      </c>
      <c r="O146" t="n">
        <v>0</v>
      </c>
      <c r="P146" t="n">
        <v>0</v>
      </c>
      <c r="Q146" t="n">
        <v>1</v>
      </c>
      <c r="R146" s="2" t="inlineStr">
        <is>
          <t>Grönpyrola</t>
        </is>
      </c>
      <c r="S146">
        <f>HYPERLINK("https://klasma.github.io/Logging_0380/artfynd/A 20930-2023 artfynd.xlsx", "A 20930-2023")</f>
        <v/>
      </c>
      <c r="T146">
        <f>HYPERLINK("https://klasma.github.io/Logging_0380/kartor/A 20930-2023 karta.png", "A 20930-2023")</f>
        <v/>
      </c>
      <c r="V146">
        <f>HYPERLINK("https://klasma.github.io/Logging_0380/klagomål/A 20930-2023 FSC-klagomål.docx", "A 20930-2023")</f>
        <v/>
      </c>
      <c r="W146">
        <f>HYPERLINK("https://klasma.github.io/Logging_0380/klagomålsmail/A 20930-2023 FSC-klagomål mail.docx", "A 20930-2023")</f>
        <v/>
      </c>
      <c r="X146">
        <f>HYPERLINK("https://klasma.github.io/Logging_0380/tillsyn/A 20930-2023 tillsynsbegäran.docx", "A 20930-2023")</f>
        <v/>
      </c>
      <c r="Y146">
        <f>HYPERLINK("https://klasma.github.io/Logging_0380/tillsynsmail/A 20930-2023 tillsynsbegäran mail.docx", "A 20930-2023")</f>
        <v/>
      </c>
    </row>
    <row r="147" ht="15" customHeight="1">
      <c r="A147" t="inlineStr">
        <is>
          <t>A 20923-2023</t>
        </is>
      </c>
      <c r="B147" s="1" t="n">
        <v>45061</v>
      </c>
      <c r="C147" s="1" t="n">
        <v>45661</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Dvärghäxört</t>
        </is>
      </c>
      <c r="S147">
        <f>HYPERLINK("https://klasma.github.io/Logging_0380/artfynd/A 20923-2023 artfynd.xlsx", "A 20923-2023")</f>
        <v/>
      </c>
      <c r="T147">
        <f>HYPERLINK("https://klasma.github.io/Logging_0380/kartor/A 20923-2023 karta.png", "A 20923-2023")</f>
        <v/>
      </c>
      <c r="V147">
        <f>HYPERLINK("https://klasma.github.io/Logging_0380/klagomål/A 20923-2023 FSC-klagomål.docx", "A 20923-2023")</f>
        <v/>
      </c>
      <c r="W147">
        <f>HYPERLINK("https://klasma.github.io/Logging_0380/klagomålsmail/A 20923-2023 FSC-klagomål mail.docx", "A 20923-2023")</f>
        <v/>
      </c>
      <c r="X147">
        <f>HYPERLINK("https://klasma.github.io/Logging_0380/tillsyn/A 20923-2023 tillsynsbegäran.docx", "A 20923-2023")</f>
        <v/>
      </c>
      <c r="Y147">
        <f>HYPERLINK("https://klasma.github.io/Logging_0380/tillsynsmail/A 20923-2023 tillsynsbegäran mail.docx", "A 20923-2023")</f>
        <v/>
      </c>
    </row>
    <row r="148" ht="15" customHeight="1">
      <c r="A148" t="inlineStr">
        <is>
          <t>A 22958-2023</t>
        </is>
      </c>
      <c r="B148" s="1" t="n">
        <v>45072</v>
      </c>
      <c r="C148" s="1" t="n">
        <v>45661</v>
      </c>
      <c r="D148" t="inlineStr">
        <is>
          <t>UPPSALA LÄN</t>
        </is>
      </c>
      <c r="E148" t="inlineStr">
        <is>
          <t>UPPSALA</t>
        </is>
      </c>
      <c r="F148" t="inlineStr">
        <is>
          <t>Holmen skog AB</t>
        </is>
      </c>
      <c r="G148" t="n">
        <v>6.4</v>
      </c>
      <c r="H148" t="n">
        <v>0</v>
      </c>
      <c r="I148" t="n">
        <v>0</v>
      </c>
      <c r="J148" t="n">
        <v>1</v>
      </c>
      <c r="K148" t="n">
        <v>0</v>
      </c>
      <c r="L148" t="n">
        <v>0</v>
      </c>
      <c r="M148" t="n">
        <v>0</v>
      </c>
      <c r="N148" t="n">
        <v>0</v>
      </c>
      <c r="O148" t="n">
        <v>1</v>
      </c>
      <c r="P148" t="n">
        <v>0</v>
      </c>
      <c r="Q148" t="n">
        <v>1</v>
      </c>
      <c r="R148" s="2" t="inlineStr">
        <is>
          <t>Krusfrö</t>
        </is>
      </c>
      <c r="S148">
        <f>HYPERLINK("https://klasma.github.io/Logging_0380/artfynd/A 22958-2023 artfynd.xlsx", "A 22958-2023")</f>
        <v/>
      </c>
      <c r="T148">
        <f>HYPERLINK("https://klasma.github.io/Logging_0380/kartor/A 22958-2023 karta.png", "A 22958-2023")</f>
        <v/>
      </c>
      <c r="V148">
        <f>HYPERLINK("https://klasma.github.io/Logging_0380/klagomål/A 22958-2023 FSC-klagomål.docx", "A 22958-2023")</f>
        <v/>
      </c>
      <c r="W148">
        <f>HYPERLINK("https://klasma.github.io/Logging_0380/klagomålsmail/A 22958-2023 FSC-klagomål mail.docx", "A 22958-2023")</f>
        <v/>
      </c>
      <c r="X148">
        <f>HYPERLINK("https://klasma.github.io/Logging_0380/tillsyn/A 22958-2023 tillsynsbegäran.docx", "A 22958-2023")</f>
        <v/>
      </c>
      <c r="Y148">
        <f>HYPERLINK("https://klasma.github.io/Logging_0380/tillsynsmail/A 22958-2023 tillsynsbegäran mail.docx", "A 22958-2023")</f>
        <v/>
      </c>
    </row>
    <row r="149" ht="15" customHeight="1">
      <c r="A149" t="inlineStr">
        <is>
          <t>A 27848-2023</t>
        </is>
      </c>
      <c r="B149" s="1" t="n">
        <v>45098</v>
      </c>
      <c r="C149" s="1" t="n">
        <v>45661</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28951-2023</t>
        </is>
      </c>
      <c r="B150" s="1" t="n">
        <v>45104</v>
      </c>
      <c r="C150" s="1" t="n">
        <v>45661</v>
      </c>
      <c r="D150" t="inlineStr">
        <is>
          <t>UPPSALA LÄN</t>
        </is>
      </c>
      <c r="E150" t="inlineStr">
        <is>
          <t>UPPSALA</t>
        </is>
      </c>
      <c r="G150" t="n">
        <v>3.7</v>
      </c>
      <c r="H150" t="n">
        <v>0</v>
      </c>
      <c r="I150" t="n">
        <v>1</v>
      </c>
      <c r="J150" t="n">
        <v>0</v>
      </c>
      <c r="K150" t="n">
        <v>0</v>
      </c>
      <c r="L150" t="n">
        <v>0</v>
      </c>
      <c r="M150" t="n">
        <v>0</v>
      </c>
      <c r="N150" t="n">
        <v>0</v>
      </c>
      <c r="O150" t="n">
        <v>0</v>
      </c>
      <c r="P150" t="n">
        <v>0</v>
      </c>
      <c r="Q150" t="n">
        <v>1</v>
      </c>
      <c r="R150" s="2" t="inlineStr">
        <is>
          <t>Grönpyrola</t>
        </is>
      </c>
      <c r="S150">
        <f>HYPERLINK("https://klasma.github.io/Logging_0380/artfynd/A 28951-2023 artfynd.xlsx", "A 28951-2023")</f>
        <v/>
      </c>
      <c r="T150">
        <f>HYPERLINK("https://klasma.github.io/Logging_0380/kartor/A 28951-2023 karta.png", "A 28951-2023")</f>
        <v/>
      </c>
      <c r="V150">
        <f>HYPERLINK("https://klasma.github.io/Logging_0380/klagomål/A 28951-2023 FSC-klagomål.docx", "A 28951-2023")</f>
        <v/>
      </c>
      <c r="W150">
        <f>HYPERLINK("https://klasma.github.io/Logging_0380/klagomålsmail/A 28951-2023 FSC-klagomål mail.docx", "A 28951-2023")</f>
        <v/>
      </c>
      <c r="X150">
        <f>HYPERLINK("https://klasma.github.io/Logging_0380/tillsyn/A 28951-2023 tillsynsbegäran.docx", "A 28951-2023")</f>
        <v/>
      </c>
      <c r="Y150">
        <f>HYPERLINK("https://klasma.github.io/Logging_0380/tillsynsmail/A 28951-2023 tillsynsbegäran mail.docx", "A 28951-2023")</f>
        <v/>
      </c>
    </row>
    <row r="151" ht="15" customHeight="1">
      <c r="A151" t="inlineStr">
        <is>
          <t>A 29906-2023</t>
        </is>
      </c>
      <c r="B151" s="1" t="n">
        <v>45107</v>
      </c>
      <c r="C151" s="1" t="n">
        <v>45661</v>
      </c>
      <c r="D151" t="inlineStr">
        <is>
          <t>UPPSALA LÄN</t>
        </is>
      </c>
      <c r="E151" t="inlineStr">
        <is>
          <t>UPPSALA</t>
        </is>
      </c>
      <c r="F151" t="inlineStr">
        <is>
          <t>Kyrkan</t>
        </is>
      </c>
      <c r="G151" t="n">
        <v>0.5</v>
      </c>
      <c r="H151" t="n">
        <v>0</v>
      </c>
      <c r="I151" t="n">
        <v>1</v>
      </c>
      <c r="J151" t="n">
        <v>0</v>
      </c>
      <c r="K151" t="n">
        <v>0</v>
      </c>
      <c r="L151" t="n">
        <v>0</v>
      </c>
      <c r="M151" t="n">
        <v>0</v>
      </c>
      <c r="N151" t="n">
        <v>0</v>
      </c>
      <c r="O151" t="n">
        <v>0</v>
      </c>
      <c r="P151" t="n">
        <v>0</v>
      </c>
      <c r="Q151" t="n">
        <v>1</v>
      </c>
      <c r="R151" s="2" t="inlineStr">
        <is>
          <t>Sotriska</t>
        </is>
      </c>
      <c r="S151">
        <f>HYPERLINK("https://klasma.github.io/Logging_0380/artfynd/A 29906-2023 artfynd.xlsx", "A 29906-2023")</f>
        <v/>
      </c>
      <c r="T151">
        <f>HYPERLINK("https://klasma.github.io/Logging_0380/kartor/A 29906-2023 karta.png", "A 29906-2023")</f>
        <v/>
      </c>
      <c r="V151">
        <f>HYPERLINK("https://klasma.github.io/Logging_0380/klagomål/A 29906-2023 FSC-klagomål.docx", "A 29906-2023")</f>
        <v/>
      </c>
      <c r="W151">
        <f>HYPERLINK("https://klasma.github.io/Logging_0380/klagomålsmail/A 29906-2023 FSC-klagomål mail.docx", "A 29906-2023")</f>
        <v/>
      </c>
      <c r="X151">
        <f>HYPERLINK("https://klasma.github.io/Logging_0380/tillsyn/A 29906-2023 tillsynsbegäran.docx", "A 29906-2023")</f>
        <v/>
      </c>
      <c r="Y151">
        <f>HYPERLINK("https://klasma.github.io/Logging_0380/tillsynsmail/A 29906-2023 tillsynsbegäran mail.docx", "A 29906-2023")</f>
        <v/>
      </c>
    </row>
    <row r="152" ht="15" customHeight="1">
      <c r="A152" t="inlineStr">
        <is>
          <t>A 32668-2023</t>
        </is>
      </c>
      <c r="B152" s="1" t="n">
        <v>45121</v>
      </c>
      <c r="C152" s="1" t="n">
        <v>45661</v>
      </c>
      <c r="D152" t="inlineStr">
        <is>
          <t>UPPSALA LÄN</t>
        </is>
      </c>
      <c r="E152" t="inlineStr">
        <is>
          <t>UPPSALA</t>
        </is>
      </c>
      <c r="F152" t="inlineStr">
        <is>
          <t>Holmen skog AB</t>
        </is>
      </c>
      <c r="G152" t="n">
        <v>6.3</v>
      </c>
      <c r="H152" t="n">
        <v>1</v>
      </c>
      <c r="I152" t="n">
        <v>0</v>
      </c>
      <c r="J152" t="n">
        <v>0</v>
      </c>
      <c r="K152" t="n">
        <v>0</v>
      </c>
      <c r="L152" t="n">
        <v>0</v>
      </c>
      <c r="M152" t="n">
        <v>0</v>
      </c>
      <c r="N152" t="n">
        <v>0</v>
      </c>
      <c r="O152" t="n">
        <v>0</v>
      </c>
      <c r="P152" t="n">
        <v>0</v>
      </c>
      <c r="Q152" t="n">
        <v>1</v>
      </c>
      <c r="R152" s="2" t="inlineStr">
        <is>
          <t>Blåsippa</t>
        </is>
      </c>
      <c r="S152">
        <f>HYPERLINK("https://klasma.github.io/Logging_0380/artfynd/A 32668-2023 artfynd.xlsx", "A 32668-2023")</f>
        <v/>
      </c>
      <c r="T152">
        <f>HYPERLINK("https://klasma.github.io/Logging_0380/kartor/A 32668-2023 karta.png", "A 32668-2023")</f>
        <v/>
      </c>
      <c r="V152">
        <f>HYPERLINK("https://klasma.github.io/Logging_0380/klagomål/A 32668-2023 FSC-klagomål.docx", "A 32668-2023")</f>
        <v/>
      </c>
      <c r="W152">
        <f>HYPERLINK("https://klasma.github.io/Logging_0380/klagomålsmail/A 32668-2023 FSC-klagomål mail.docx", "A 32668-2023")</f>
        <v/>
      </c>
      <c r="X152">
        <f>HYPERLINK("https://klasma.github.io/Logging_0380/tillsyn/A 32668-2023 tillsynsbegäran.docx", "A 32668-2023")</f>
        <v/>
      </c>
      <c r="Y152">
        <f>HYPERLINK("https://klasma.github.io/Logging_0380/tillsynsmail/A 32668-2023 tillsynsbegäran mail.docx", "A 32668-2023")</f>
        <v/>
      </c>
    </row>
    <row r="153" ht="15" customHeight="1">
      <c r="A153" t="inlineStr">
        <is>
          <t>A 32755-2023</t>
        </is>
      </c>
      <c r="B153" s="1" t="n">
        <v>45123</v>
      </c>
      <c r="C153" s="1" t="n">
        <v>45661</v>
      </c>
      <c r="D153" t="inlineStr">
        <is>
          <t>UPPSALA LÄN</t>
        </is>
      </c>
      <c r="E153" t="inlineStr">
        <is>
          <t>UPPSALA</t>
        </is>
      </c>
      <c r="G153" t="n">
        <v>5.7</v>
      </c>
      <c r="H153" t="n">
        <v>1</v>
      </c>
      <c r="I153" t="n">
        <v>0</v>
      </c>
      <c r="J153" t="n">
        <v>1</v>
      </c>
      <c r="K153" t="n">
        <v>0</v>
      </c>
      <c r="L153" t="n">
        <v>0</v>
      </c>
      <c r="M153" t="n">
        <v>0</v>
      </c>
      <c r="N153" t="n">
        <v>0</v>
      </c>
      <c r="O153" t="n">
        <v>1</v>
      </c>
      <c r="P153" t="n">
        <v>0</v>
      </c>
      <c r="Q153" t="n">
        <v>1</v>
      </c>
      <c r="R153" s="2" t="inlineStr">
        <is>
          <t>Spillkråka</t>
        </is>
      </c>
      <c r="S153">
        <f>HYPERLINK("https://klasma.github.io/Logging_0380/artfynd/A 32755-2023 artfynd.xlsx", "A 32755-2023")</f>
        <v/>
      </c>
      <c r="T153">
        <f>HYPERLINK("https://klasma.github.io/Logging_0380/kartor/A 32755-2023 karta.png", "A 32755-2023")</f>
        <v/>
      </c>
      <c r="V153">
        <f>HYPERLINK("https://klasma.github.io/Logging_0380/klagomål/A 32755-2023 FSC-klagomål.docx", "A 32755-2023")</f>
        <v/>
      </c>
      <c r="W153">
        <f>HYPERLINK("https://klasma.github.io/Logging_0380/klagomålsmail/A 32755-2023 FSC-klagomål mail.docx", "A 32755-2023")</f>
        <v/>
      </c>
      <c r="X153">
        <f>HYPERLINK("https://klasma.github.io/Logging_0380/tillsyn/A 32755-2023 tillsynsbegäran.docx", "A 32755-2023")</f>
        <v/>
      </c>
      <c r="Y153">
        <f>HYPERLINK("https://klasma.github.io/Logging_0380/tillsynsmail/A 32755-2023 tillsynsbegäran mail.docx", "A 32755-2023")</f>
        <v/>
      </c>
      <c r="Z153">
        <f>HYPERLINK("https://klasma.github.io/Logging_0380/fåglar/A 32755-2023 prioriterade fågelarter.docx", "A 32755-2023")</f>
        <v/>
      </c>
    </row>
    <row r="154" ht="15" customHeight="1">
      <c r="A154" t="inlineStr">
        <is>
          <t>A 34732-2023</t>
        </is>
      </c>
      <c r="B154" s="1" t="n">
        <v>45139</v>
      </c>
      <c r="C154" s="1" t="n">
        <v>45661</v>
      </c>
      <c r="D154" t="inlineStr">
        <is>
          <t>UPPSALA LÄN</t>
        </is>
      </c>
      <c r="E154" t="inlineStr">
        <is>
          <t>UPPSALA</t>
        </is>
      </c>
      <c r="G154" t="n">
        <v>8.1</v>
      </c>
      <c r="H154" t="n">
        <v>1</v>
      </c>
      <c r="I154" t="n">
        <v>1</v>
      </c>
      <c r="J154" t="n">
        <v>0</v>
      </c>
      <c r="K154" t="n">
        <v>0</v>
      </c>
      <c r="L154" t="n">
        <v>0</v>
      </c>
      <c r="M154" t="n">
        <v>0</v>
      </c>
      <c r="N154" t="n">
        <v>0</v>
      </c>
      <c r="O154" t="n">
        <v>0</v>
      </c>
      <c r="P154" t="n">
        <v>0</v>
      </c>
      <c r="Q154" t="n">
        <v>1</v>
      </c>
      <c r="R154" s="2" t="inlineStr">
        <is>
          <t>Grön sköldmossa</t>
        </is>
      </c>
      <c r="S154">
        <f>HYPERLINK("https://klasma.github.io/Logging_0380/artfynd/A 34732-2023 artfynd.xlsx", "A 34732-2023")</f>
        <v/>
      </c>
      <c r="T154">
        <f>HYPERLINK("https://klasma.github.io/Logging_0380/kartor/A 34732-2023 karta.png", "A 34732-2023")</f>
        <v/>
      </c>
      <c r="V154">
        <f>HYPERLINK("https://klasma.github.io/Logging_0380/klagomål/A 34732-2023 FSC-klagomål.docx", "A 34732-2023")</f>
        <v/>
      </c>
      <c r="W154">
        <f>HYPERLINK("https://klasma.github.io/Logging_0380/klagomålsmail/A 34732-2023 FSC-klagomål mail.docx", "A 34732-2023")</f>
        <v/>
      </c>
      <c r="X154">
        <f>HYPERLINK("https://klasma.github.io/Logging_0380/tillsyn/A 34732-2023 tillsynsbegäran.docx", "A 34732-2023")</f>
        <v/>
      </c>
      <c r="Y154">
        <f>HYPERLINK("https://klasma.github.io/Logging_0380/tillsynsmail/A 34732-2023 tillsynsbegäran mail.docx", "A 34732-2023")</f>
        <v/>
      </c>
    </row>
    <row r="155" ht="15" customHeight="1">
      <c r="A155" t="inlineStr">
        <is>
          <t>A 39741-2023</t>
        </is>
      </c>
      <c r="B155" s="1" t="n">
        <v>45167</v>
      </c>
      <c r="C155" s="1" t="n">
        <v>45661</v>
      </c>
      <c r="D155" t="inlineStr">
        <is>
          <t>UPPSALA LÄN</t>
        </is>
      </c>
      <c r="E155" t="inlineStr">
        <is>
          <t>UPPSALA</t>
        </is>
      </c>
      <c r="G155" t="n">
        <v>5.6</v>
      </c>
      <c r="H155" t="n">
        <v>1</v>
      </c>
      <c r="I155" t="n">
        <v>0</v>
      </c>
      <c r="J155" t="n">
        <v>1</v>
      </c>
      <c r="K155" t="n">
        <v>0</v>
      </c>
      <c r="L155" t="n">
        <v>0</v>
      </c>
      <c r="M155" t="n">
        <v>0</v>
      </c>
      <c r="N155" t="n">
        <v>0</v>
      </c>
      <c r="O155" t="n">
        <v>1</v>
      </c>
      <c r="P155" t="n">
        <v>0</v>
      </c>
      <c r="Q155" t="n">
        <v>1</v>
      </c>
      <c r="R155" s="2" t="inlineStr">
        <is>
          <t>Entita</t>
        </is>
      </c>
      <c r="S155">
        <f>HYPERLINK("https://klasma.github.io/Logging_0380/artfynd/A 39741-2023 artfynd.xlsx", "A 39741-2023")</f>
        <v/>
      </c>
      <c r="T155">
        <f>HYPERLINK("https://klasma.github.io/Logging_0380/kartor/A 39741-2023 karta.png", "A 39741-2023")</f>
        <v/>
      </c>
      <c r="V155">
        <f>HYPERLINK("https://klasma.github.io/Logging_0380/klagomål/A 39741-2023 FSC-klagomål.docx", "A 39741-2023")</f>
        <v/>
      </c>
      <c r="W155">
        <f>HYPERLINK("https://klasma.github.io/Logging_0380/klagomålsmail/A 39741-2023 FSC-klagomål mail.docx", "A 39741-2023")</f>
        <v/>
      </c>
      <c r="X155">
        <f>HYPERLINK("https://klasma.github.io/Logging_0380/tillsyn/A 39741-2023 tillsynsbegäran.docx", "A 39741-2023")</f>
        <v/>
      </c>
      <c r="Y155">
        <f>HYPERLINK("https://klasma.github.io/Logging_0380/tillsynsmail/A 39741-2023 tillsynsbegäran mail.docx", "A 39741-2023")</f>
        <v/>
      </c>
      <c r="Z155">
        <f>HYPERLINK("https://klasma.github.io/Logging_0380/fåglar/A 39741-2023 prioriterade fågelarter.docx", "A 39741-2023")</f>
        <v/>
      </c>
    </row>
    <row r="156" ht="15" customHeight="1">
      <c r="A156" t="inlineStr">
        <is>
          <t>A 49990-2023</t>
        </is>
      </c>
      <c r="B156" s="1" t="n">
        <v>45215</v>
      </c>
      <c r="C156" s="1" t="n">
        <v>45661</v>
      </c>
      <c r="D156" t="inlineStr">
        <is>
          <t>UPPSALA LÄN</t>
        </is>
      </c>
      <c r="E156" t="inlineStr">
        <is>
          <t>UPPSALA</t>
        </is>
      </c>
      <c r="G156" t="n">
        <v>2</v>
      </c>
      <c r="H156" t="n">
        <v>1</v>
      </c>
      <c r="I156" t="n">
        <v>0</v>
      </c>
      <c r="J156" t="n">
        <v>0</v>
      </c>
      <c r="K156" t="n">
        <v>0</v>
      </c>
      <c r="L156" t="n">
        <v>0</v>
      </c>
      <c r="M156" t="n">
        <v>0</v>
      </c>
      <c r="N156" t="n">
        <v>0</v>
      </c>
      <c r="O156" t="n">
        <v>0</v>
      </c>
      <c r="P156" t="n">
        <v>0</v>
      </c>
      <c r="Q156" t="n">
        <v>1</v>
      </c>
      <c r="R156" s="2" t="inlineStr">
        <is>
          <t>Järnsparv</t>
        </is>
      </c>
      <c r="S156">
        <f>HYPERLINK("https://klasma.github.io/Logging_0380/artfynd/A 49990-2023 artfynd.xlsx", "A 49990-2023")</f>
        <v/>
      </c>
      <c r="T156">
        <f>HYPERLINK("https://klasma.github.io/Logging_0380/kartor/A 49990-2023 karta.png", "A 49990-2023")</f>
        <v/>
      </c>
      <c r="V156">
        <f>HYPERLINK("https://klasma.github.io/Logging_0380/klagomål/A 49990-2023 FSC-klagomål.docx", "A 49990-2023")</f>
        <v/>
      </c>
      <c r="W156">
        <f>HYPERLINK("https://klasma.github.io/Logging_0380/klagomålsmail/A 49990-2023 FSC-klagomål mail.docx", "A 49990-2023")</f>
        <v/>
      </c>
      <c r="X156">
        <f>HYPERLINK("https://klasma.github.io/Logging_0380/tillsyn/A 49990-2023 tillsynsbegäran.docx", "A 49990-2023")</f>
        <v/>
      </c>
      <c r="Y156">
        <f>HYPERLINK("https://klasma.github.io/Logging_0380/tillsynsmail/A 49990-2023 tillsynsbegäran mail.docx", "A 49990-2023")</f>
        <v/>
      </c>
      <c r="Z156">
        <f>HYPERLINK("https://klasma.github.io/Logging_0380/fåglar/A 49990-2023 prioriterade fågelarter.docx", "A 49990-2023")</f>
        <v/>
      </c>
    </row>
    <row r="157" ht="15" customHeight="1">
      <c r="A157" t="inlineStr">
        <is>
          <t>A 51540-2023</t>
        </is>
      </c>
      <c r="B157" s="1" t="n">
        <v>45222</v>
      </c>
      <c r="C157" s="1" t="n">
        <v>45661</v>
      </c>
      <c r="D157" t="inlineStr">
        <is>
          <t>UPPSALA LÄN</t>
        </is>
      </c>
      <c r="E157" t="inlineStr">
        <is>
          <t>UPPSALA</t>
        </is>
      </c>
      <c r="G157" t="n">
        <v>6.4</v>
      </c>
      <c r="H157" t="n">
        <v>0</v>
      </c>
      <c r="I157" t="n">
        <v>0</v>
      </c>
      <c r="J157" t="n">
        <v>1</v>
      </c>
      <c r="K157" t="n">
        <v>0</v>
      </c>
      <c r="L157" t="n">
        <v>0</v>
      </c>
      <c r="M157" t="n">
        <v>0</v>
      </c>
      <c r="N157" t="n">
        <v>0</v>
      </c>
      <c r="O157" t="n">
        <v>1</v>
      </c>
      <c r="P157" t="n">
        <v>0</v>
      </c>
      <c r="Q157" t="n">
        <v>1</v>
      </c>
      <c r="R157" s="2" t="inlineStr">
        <is>
          <t>Svedjenäva</t>
        </is>
      </c>
      <c r="S157">
        <f>HYPERLINK("https://klasma.github.io/Logging_0380/artfynd/A 51540-2023 artfynd.xlsx", "A 51540-2023")</f>
        <v/>
      </c>
      <c r="T157">
        <f>HYPERLINK("https://klasma.github.io/Logging_0380/kartor/A 51540-2023 karta.png", "A 51540-2023")</f>
        <v/>
      </c>
      <c r="V157">
        <f>HYPERLINK("https://klasma.github.io/Logging_0380/klagomål/A 51540-2023 FSC-klagomål.docx", "A 51540-2023")</f>
        <v/>
      </c>
      <c r="W157">
        <f>HYPERLINK("https://klasma.github.io/Logging_0380/klagomålsmail/A 51540-2023 FSC-klagomål mail.docx", "A 51540-2023")</f>
        <v/>
      </c>
      <c r="X157">
        <f>HYPERLINK("https://klasma.github.io/Logging_0380/tillsyn/A 51540-2023 tillsynsbegäran.docx", "A 51540-2023")</f>
        <v/>
      </c>
      <c r="Y157">
        <f>HYPERLINK("https://klasma.github.io/Logging_0380/tillsynsmail/A 51540-2023 tillsynsbegäran mail.docx", "A 51540-2023")</f>
        <v/>
      </c>
    </row>
    <row r="158" ht="15" customHeight="1">
      <c r="A158" t="inlineStr">
        <is>
          <t>A 57332-2023</t>
        </is>
      </c>
      <c r="B158" s="1" t="n">
        <v>45245</v>
      </c>
      <c r="C158" s="1" t="n">
        <v>45661</v>
      </c>
      <c r="D158" t="inlineStr">
        <is>
          <t>UPPSALA LÄN</t>
        </is>
      </c>
      <c r="E158" t="inlineStr">
        <is>
          <t>UPPSALA</t>
        </is>
      </c>
      <c r="F158" t="inlineStr">
        <is>
          <t>Allmännings- och besparingsskogar</t>
        </is>
      </c>
      <c r="G158" t="n">
        <v>11.4</v>
      </c>
      <c r="H158" t="n">
        <v>1</v>
      </c>
      <c r="I158" t="n">
        <v>0</v>
      </c>
      <c r="J158" t="n">
        <v>0</v>
      </c>
      <c r="K158" t="n">
        <v>1</v>
      </c>
      <c r="L158" t="n">
        <v>0</v>
      </c>
      <c r="M158" t="n">
        <v>0</v>
      </c>
      <c r="N158" t="n">
        <v>0</v>
      </c>
      <c r="O158" t="n">
        <v>1</v>
      </c>
      <c r="P158" t="n">
        <v>1</v>
      </c>
      <c r="Q158" t="n">
        <v>1</v>
      </c>
      <c r="R158" s="2" t="inlineStr">
        <is>
          <t>Knärot</t>
        </is>
      </c>
      <c r="S158">
        <f>HYPERLINK("https://klasma.github.io/Logging_0380/artfynd/A 57332-2023 artfynd.xlsx", "A 57332-2023")</f>
        <v/>
      </c>
      <c r="T158">
        <f>HYPERLINK("https://klasma.github.io/Logging_0380/kartor/A 57332-2023 karta.png", "A 57332-2023")</f>
        <v/>
      </c>
      <c r="U158">
        <f>HYPERLINK("https://klasma.github.io/Logging_0380/knärot/A 57332-2023 karta knärot.png", "A 57332-2023")</f>
        <v/>
      </c>
      <c r="V158">
        <f>HYPERLINK("https://klasma.github.io/Logging_0380/klagomål/A 57332-2023 FSC-klagomål.docx", "A 57332-2023")</f>
        <v/>
      </c>
      <c r="W158">
        <f>HYPERLINK("https://klasma.github.io/Logging_0380/klagomålsmail/A 57332-2023 FSC-klagomål mail.docx", "A 57332-2023")</f>
        <v/>
      </c>
      <c r="X158">
        <f>HYPERLINK("https://klasma.github.io/Logging_0380/tillsyn/A 57332-2023 tillsynsbegäran.docx", "A 57332-2023")</f>
        <v/>
      </c>
      <c r="Y158">
        <f>HYPERLINK("https://klasma.github.io/Logging_0380/tillsynsmail/A 57332-2023 tillsynsbegäran mail.docx", "A 57332-2023")</f>
        <v/>
      </c>
    </row>
    <row r="159" ht="15" customHeight="1">
      <c r="A159" t="inlineStr">
        <is>
          <t>A 61068-2023</t>
        </is>
      </c>
      <c r="B159" s="1" t="n">
        <v>45259</v>
      </c>
      <c r="C159" s="1" t="n">
        <v>45661</v>
      </c>
      <c r="D159" t="inlineStr">
        <is>
          <t>UPPSALA LÄN</t>
        </is>
      </c>
      <c r="E159" t="inlineStr">
        <is>
          <t>UPPSALA</t>
        </is>
      </c>
      <c r="F159" t="inlineStr">
        <is>
          <t>Övriga Aktiebolag</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HYPERLINK("https://klasma.github.io/Logging_0380/artfynd/A 61068-2023 artfynd.xlsx", "A 61068-2023")</f>
        <v/>
      </c>
      <c r="T159">
        <f>HYPERLINK("https://klasma.github.io/Logging_0380/kartor/A 61068-2023 karta.png", "A 61068-2023")</f>
        <v/>
      </c>
      <c r="U159">
        <f>HYPERLINK("https://klasma.github.io/Logging_0380/knärot/A 61068-2023 karta knärot.png", "A 61068-2023")</f>
        <v/>
      </c>
      <c r="V159">
        <f>HYPERLINK("https://klasma.github.io/Logging_0380/klagomål/A 61068-2023 FSC-klagomål.docx", "A 61068-2023")</f>
        <v/>
      </c>
      <c r="W159">
        <f>HYPERLINK("https://klasma.github.io/Logging_0380/klagomålsmail/A 61068-2023 FSC-klagomål mail.docx", "A 61068-2023")</f>
        <v/>
      </c>
      <c r="X159">
        <f>HYPERLINK("https://klasma.github.io/Logging_0380/tillsyn/A 61068-2023 tillsynsbegäran.docx", "A 61068-2023")</f>
        <v/>
      </c>
      <c r="Y159">
        <f>HYPERLINK("https://klasma.github.io/Logging_0380/tillsynsmail/A 61068-2023 tillsynsbegäran mail.docx", "A 61068-2023")</f>
        <v/>
      </c>
    </row>
    <row r="160" ht="15" customHeight="1">
      <c r="A160" t="inlineStr">
        <is>
          <t>A 61066-2023</t>
        </is>
      </c>
      <c r="B160" s="1" t="n">
        <v>45259</v>
      </c>
      <c r="C160" s="1" t="n">
        <v>45661</v>
      </c>
      <c r="D160" t="inlineStr">
        <is>
          <t>UPPSALA LÄN</t>
        </is>
      </c>
      <c r="E160" t="inlineStr">
        <is>
          <t>UPPSALA</t>
        </is>
      </c>
      <c r="F160" t="inlineStr">
        <is>
          <t>Övriga Aktiebolag</t>
        </is>
      </c>
      <c r="G160" t="n">
        <v>4.7</v>
      </c>
      <c r="H160" t="n">
        <v>0</v>
      </c>
      <c r="I160" t="n">
        <v>0</v>
      </c>
      <c r="J160" t="n">
        <v>1</v>
      </c>
      <c r="K160" t="n">
        <v>0</v>
      </c>
      <c r="L160" t="n">
        <v>0</v>
      </c>
      <c r="M160" t="n">
        <v>0</v>
      </c>
      <c r="N160" t="n">
        <v>0</v>
      </c>
      <c r="O160" t="n">
        <v>1</v>
      </c>
      <c r="P160" t="n">
        <v>0</v>
      </c>
      <c r="Q160" t="n">
        <v>1</v>
      </c>
      <c r="R160" s="2" t="inlineStr">
        <is>
          <t>Igelkott</t>
        </is>
      </c>
      <c r="S160">
        <f>HYPERLINK("https://klasma.github.io/Logging_0380/artfynd/A 61066-2023 artfynd.xlsx", "A 61066-2023")</f>
        <v/>
      </c>
      <c r="T160">
        <f>HYPERLINK("https://klasma.github.io/Logging_0380/kartor/A 61066-2023 karta.png", "A 61066-2023")</f>
        <v/>
      </c>
      <c r="V160">
        <f>HYPERLINK("https://klasma.github.io/Logging_0380/klagomål/A 61066-2023 FSC-klagomål.docx", "A 61066-2023")</f>
        <v/>
      </c>
      <c r="W160">
        <f>HYPERLINK("https://klasma.github.io/Logging_0380/klagomålsmail/A 61066-2023 FSC-klagomål mail.docx", "A 61066-2023")</f>
        <v/>
      </c>
      <c r="X160">
        <f>HYPERLINK("https://klasma.github.io/Logging_0380/tillsyn/A 61066-2023 tillsynsbegäran.docx", "A 61066-2023")</f>
        <v/>
      </c>
      <c r="Y160">
        <f>HYPERLINK("https://klasma.github.io/Logging_0380/tillsynsmail/A 61066-2023 tillsynsbegäran mail.docx", "A 61066-2023")</f>
        <v/>
      </c>
    </row>
    <row r="161" ht="15" customHeight="1">
      <c r="A161" t="inlineStr">
        <is>
          <t>A 63172-2023</t>
        </is>
      </c>
      <c r="B161" s="1" t="n">
        <v>45273</v>
      </c>
      <c r="C161" s="1" t="n">
        <v>45661</v>
      </c>
      <c r="D161" t="inlineStr">
        <is>
          <t>UPPSALA LÄN</t>
        </is>
      </c>
      <c r="E161" t="inlineStr">
        <is>
          <t>UPPSALA</t>
        </is>
      </c>
      <c r="G161" t="n">
        <v>1.8</v>
      </c>
      <c r="H161" t="n">
        <v>0</v>
      </c>
      <c r="I161" t="n">
        <v>1</v>
      </c>
      <c r="J161" t="n">
        <v>0</v>
      </c>
      <c r="K161" t="n">
        <v>0</v>
      </c>
      <c r="L161" t="n">
        <v>0</v>
      </c>
      <c r="M161" t="n">
        <v>0</v>
      </c>
      <c r="N161" t="n">
        <v>0</v>
      </c>
      <c r="O161" t="n">
        <v>0</v>
      </c>
      <c r="P161" t="n">
        <v>0</v>
      </c>
      <c r="Q161" t="n">
        <v>1</v>
      </c>
      <c r="R161" s="2" t="inlineStr">
        <is>
          <t>Ögonpyrola</t>
        </is>
      </c>
      <c r="S161">
        <f>HYPERLINK("https://klasma.github.io/Logging_0380/artfynd/A 63172-2023 artfynd.xlsx", "A 63172-2023")</f>
        <v/>
      </c>
      <c r="T161">
        <f>HYPERLINK("https://klasma.github.io/Logging_0380/kartor/A 63172-2023 karta.png", "A 63172-2023")</f>
        <v/>
      </c>
      <c r="V161">
        <f>HYPERLINK("https://klasma.github.io/Logging_0380/klagomål/A 63172-2023 FSC-klagomål.docx", "A 63172-2023")</f>
        <v/>
      </c>
      <c r="W161">
        <f>HYPERLINK("https://klasma.github.io/Logging_0380/klagomålsmail/A 63172-2023 FSC-klagomål mail.docx", "A 63172-2023")</f>
        <v/>
      </c>
      <c r="X161">
        <f>HYPERLINK("https://klasma.github.io/Logging_0380/tillsyn/A 63172-2023 tillsynsbegäran.docx", "A 63172-2023")</f>
        <v/>
      </c>
      <c r="Y161">
        <f>HYPERLINK("https://klasma.github.io/Logging_0380/tillsynsmail/A 63172-2023 tillsynsbegäran mail.docx", "A 63172-2023")</f>
        <v/>
      </c>
    </row>
    <row r="162" ht="15" customHeight="1">
      <c r="A162" t="inlineStr">
        <is>
          <t>A 584-2024</t>
        </is>
      </c>
      <c r="B162" s="1" t="n">
        <v>45299</v>
      </c>
      <c r="C162" s="1" t="n">
        <v>45661</v>
      </c>
      <c r="D162" t="inlineStr">
        <is>
          <t>UPPSALA LÄN</t>
        </is>
      </c>
      <c r="E162" t="inlineStr">
        <is>
          <t>UPPSALA</t>
        </is>
      </c>
      <c r="G162" t="n">
        <v>0.8</v>
      </c>
      <c r="H162" t="n">
        <v>1</v>
      </c>
      <c r="I162" t="n">
        <v>0</v>
      </c>
      <c r="J162" t="n">
        <v>0</v>
      </c>
      <c r="K162" t="n">
        <v>1</v>
      </c>
      <c r="L162" t="n">
        <v>0</v>
      </c>
      <c r="M162" t="n">
        <v>0</v>
      </c>
      <c r="N162" t="n">
        <v>0</v>
      </c>
      <c r="O162" t="n">
        <v>1</v>
      </c>
      <c r="P162" t="n">
        <v>1</v>
      </c>
      <c r="Q162" t="n">
        <v>1</v>
      </c>
      <c r="R162" s="2" t="inlineStr">
        <is>
          <t>Väddnätfjäril</t>
        </is>
      </c>
      <c r="S162">
        <f>HYPERLINK("https://klasma.github.io/Logging_0380/artfynd/A 584-2024 artfynd.xlsx", "A 584-2024")</f>
        <v/>
      </c>
      <c r="T162">
        <f>HYPERLINK("https://klasma.github.io/Logging_0380/kartor/A 584-2024 karta.png", "A 584-2024")</f>
        <v/>
      </c>
      <c r="V162">
        <f>HYPERLINK("https://klasma.github.io/Logging_0380/klagomål/A 584-2024 FSC-klagomål.docx", "A 584-2024")</f>
        <v/>
      </c>
      <c r="W162">
        <f>HYPERLINK("https://klasma.github.io/Logging_0380/klagomålsmail/A 584-2024 FSC-klagomål mail.docx", "A 584-2024")</f>
        <v/>
      </c>
      <c r="X162">
        <f>HYPERLINK("https://klasma.github.io/Logging_0380/tillsyn/A 584-2024 tillsynsbegäran.docx", "A 584-2024")</f>
        <v/>
      </c>
      <c r="Y162">
        <f>HYPERLINK("https://klasma.github.io/Logging_0380/tillsynsmail/A 584-2024 tillsynsbegäran mail.docx", "A 584-2024")</f>
        <v/>
      </c>
    </row>
    <row r="163" ht="15" customHeight="1">
      <c r="A163" t="inlineStr">
        <is>
          <t>A 2729-2024</t>
        </is>
      </c>
      <c r="B163" s="1" t="n">
        <v>45314</v>
      </c>
      <c r="C163" s="1" t="n">
        <v>45661</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5972-2024</t>
        </is>
      </c>
      <c r="B164" s="1" t="n">
        <v>45336</v>
      </c>
      <c r="C164" s="1" t="n">
        <v>45661</v>
      </c>
      <c r="D164" t="inlineStr">
        <is>
          <t>UPPSALA LÄN</t>
        </is>
      </c>
      <c r="E164" t="inlineStr">
        <is>
          <t>UPPSALA</t>
        </is>
      </c>
      <c r="G164" t="n">
        <v>1.6</v>
      </c>
      <c r="H164" t="n">
        <v>1</v>
      </c>
      <c r="I164" t="n">
        <v>0</v>
      </c>
      <c r="J164" t="n">
        <v>0</v>
      </c>
      <c r="K164" t="n">
        <v>0</v>
      </c>
      <c r="L164" t="n">
        <v>0</v>
      </c>
      <c r="M164" t="n">
        <v>0</v>
      </c>
      <c r="N164" t="n">
        <v>0</v>
      </c>
      <c r="O164" t="n">
        <v>0</v>
      </c>
      <c r="P164" t="n">
        <v>0</v>
      </c>
      <c r="Q164" t="n">
        <v>1</v>
      </c>
      <c r="R164" s="2" t="inlineStr">
        <is>
          <t>Sparvuggla</t>
        </is>
      </c>
      <c r="S164">
        <f>HYPERLINK("https://klasma.github.io/Logging_0380/artfynd/A 5972-2024 artfynd.xlsx", "A 5972-2024")</f>
        <v/>
      </c>
      <c r="T164">
        <f>HYPERLINK("https://klasma.github.io/Logging_0380/kartor/A 5972-2024 karta.png", "A 5972-2024")</f>
        <v/>
      </c>
      <c r="V164">
        <f>HYPERLINK("https://klasma.github.io/Logging_0380/klagomål/A 5972-2024 FSC-klagomål.docx", "A 5972-2024")</f>
        <v/>
      </c>
      <c r="W164">
        <f>HYPERLINK("https://klasma.github.io/Logging_0380/klagomålsmail/A 5972-2024 FSC-klagomål mail.docx", "A 5972-2024")</f>
        <v/>
      </c>
      <c r="X164">
        <f>HYPERLINK("https://klasma.github.io/Logging_0380/tillsyn/A 5972-2024 tillsynsbegäran.docx", "A 5972-2024")</f>
        <v/>
      </c>
      <c r="Y164">
        <f>HYPERLINK("https://klasma.github.io/Logging_0380/tillsynsmail/A 5972-2024 tillsynsbegäran mail.docx", "A 5972-2024")</f>
        <v/>
      </c>
      <c r="Z164">
        <f>HYPERLINK("https://klasma.github.io/Logging_0380/fåglar/A 5972-2024 prioriterade fågelarter.docx", "A 5972-2024")</f>
        <v/>
      </c>
    </row>
    <row r="165" ht="15" customHeight="1">
      <c r="A165" t="inlineStr">
        <is>
          <t>A 6044-2024</t>
        </is>
      </c>
      <c r="B165" s="1" t="n">
        <v>45336</v>
      </c>
      <c r="C165" s="1" t="n">
        <v>45661</v>
      </c>
      <c r="D165" t="inlineStr">
        <is>
          <t>UPPSALA LÄN</t>
        </is>
      </c>
      <c r="E165" t="inlineStr">
        <is>
          <t>UPPSALA</t>
        </is>
      </c>
      <c r="F165" t="inlineStr">
        <is>
          <t>Holmen skog AB</t>
        </is>
      </c>
      <c r="G165" t="n">
        <v>7.4</v>
      </c>
      <c r="H165" t="n">
        <v>0</v>
      </c>
      <c r="I165" t="n">
        <v>0</v>
      </c>
      <c r="J165" t="n">
        <v>1</v>
      </c>
      <c r="K165" t="n">
        <v>0</v>
      </c>
      <c r="L165" t="n">
        <v>0</v>
      </c>
      <c r="M165" t="n">
        <v>0</v>
      </c>
      <c r="N165" t="n">
        <v>0</v>
      </c>
      <c r="O165" t="n">
        <v>1</v>
      </c>
      <c r="P165" t="n">
        <v>0</v>
      </c>
      <c r="Q165" t="n">
        <v>1</v>
      </c>
      <c r="R165" s="2" t="inlineStr">
        <is>
          <t>Gul dropplav</t>
        </is>
      </c>
      <c r="S165">
        <f>HYPERLINK("https://klasma.github.io/Logging_0380/artfynd/A 6044-2024 artfynd.xlsx", "A 6044-2024")</f>
        <v/>
      </c>
      <c r="T165">
        <f>HYPERLINK("https://klasma.github.io/Logging_0380/kartor/A 6044-2024 karta.png", "A 6044-2024")</f>
        <v/>
      </c>
      <c r="V165">
        <f>HYPERLINK("https://klasma.github.io/Logging_0380/klagomål/A 6044-2024 FSC-klagomål.docx", "A 6044-2024")</f>
        <v/>
      </c>
      <c r="W165">
        <f>HYPERLINK("https://klasma.github.io/Logging_0380/klagomålsmail/A 6044-2024 FSC-klagomål mail.docx", "A 6044-2024")</f>
        <v/>
      </c>
      <c r="X165">
        <f>HYPERLINK("https://klasma.github.io/Logging_0380/tillsyn/A 6044-2024 tillsynsbegäran.docx", "A 6044-2024")</f>
        <v/>
      </c>
      <c r="Y165">
        <f>HYPERLINK("https://klasma.github.io/Logging_0380/tillsynsmail/A 6044-2024 tillsynsbegäran mail.docx", "A 6044-2024")</f>
        <v/>
      </c>
    </row>
    <row r="166" ht="15" customHeight="1">
      <c r="A166" t="inlineStr">
        <is>
          <t>A 7395-2024</t>
        </is>
      </c>
      <c r="B166" s="1" t="n">
        <v>45345</v>
      </c>
      <c r="C166" s="1" t="n">
        <v>45661</v>
      </c>
      <c r="D166" t="inlineStr">
        <is>
          <t>UPPSALA LÄN</t>
        </is>
      </c>
      <c r="E166" t="inlineStr">
        <is>
          <t>UPPSALA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HYPERLINK("https://klasma.github.io/Logging_0380/artfynd/A 7395-2024 artfynd.xlsx", "A 7395-2024")</f>
        <v/>
      </c>
      <c r="T166">
        <f>HYPERLINK("https://klasma.github.io/Logging_0380/kartor/A 7395-2024 karta.png", "A 7395-2024")</f>
        <v/>
      </c>
      <c r="U166">
        <f>HYPERLINK("https://klasma.github.io/Logging_0380/knärot/A 7395-2024 karta knärot.png", "A 7395-2024")</f>
        <v/>
      </c>
      <c r="V166">
        <f>HYPERLINK("https://klasma.github.io/Logging_0380/klagomål/A 7395-2024 FSC-klagomål.docx", "A 7395-2024")</f>
        <v/>
      </c>
      <c r="W166">
        <f>HYPERLINK("https://klasma.github.io/Logging_0380/klagomålsmail/A 7395-2024 FSC-klagomål mail.docx", "A 7395-2024")</f>
        <v/>
      </c>
      <c r="X166">
        <f>HYPERLINK("https://klasma.github.io/Logging_0380/tillsyn/A 7395-2024 tillsynsbegäran.docx", "A 7395-2024")</f>
        <v/>
      </c>
      <c r="Y166">
        <f>HYPERLINK("https://klasma.github.io/Logging_0380/tillsynsmail/A 7395-2024 tillsynsbegäran mail.docx", "A 7395-2024")</f>
        <v/>
      </c>
    </row>
    <row r="167" ht="15" customHeight="1">
      <c r="A167" t="inlineStr">
        <is>
          <t>A 7397-2024</t>
        </is>
      </c>
      <c r="B167" s="1" t="n">
        <v>45345</v>
      </c>
      <c r="C167" s="1" t="n">
        <v>45661</v>
      </c>
      <c r="D167" t="inlineStr">
        <is>
          <t>UPPSALA LÄN</t>
        </is>
      </c>
      <c r="E167" t="inlineStr">
        <is>
          <t>UPPSALA</t>
        </is>
      </c>
      <c r="G167" t="n">
        <v>3.4</v>
      </c>
      <c r="H167" t="n">
        <v>0</v>
      </c>
      <c r="I167" t="n">
        <v>1</v>
      </c>
      <c r="J167" t="n">
        <v>0</v>
      </c>
      <c r="K167" t="n">
        <v>0</v>
      </c>
      <c r="L167" t="n">
        <v>0</v>
      </c>
      <c r="M167" t="n">
        <v>0</v>
      </c>
      <c r="N167" t="n">
        <v>0</v>
      </c>
      <c r="O167" t="n">
        <v>0</v>
      </c>
      <c r="P167" t="n">
        <v>0</v>
      </c>
      <c r="Q167" t="n">
        <v>1</v>
      </c>
      <c r="R167" s="2" t="inlineStr">
        <is>
          <t>Svavelriska</t>
        </is>
      </c>
      <c r="S167">
        <f>HYPERLINK("https://klasma.github.io/Logging_0380/artfynd/A 7397-2024 artfynd.xlsx", "A 7397-2024")</f>
        <v/>
      </c>
      <c r="T167">
        <f>HYPERLINK("https://klasma.github.io/Logging_0380/kartor/A 7397-2024 karta.png", "A 7397-2024")</f>
        <v/>
      </c>
      <c r="U167">
        <f>HYPERLINK("https://klasma.github.io/Logging_0380/knärot/A 7397-2024 karta knärot.png", "A 7397-2024")</f>
        <v/>
      </c>
      <c r="V167">
        <f>HYPERLINK("https://klasma.github.io/Logging_0380/klagomål/A 7397-2024 FSC-klagomål.docx", "A 7397-2024")</f>
        <v/>
      </c>
      <c r="W167">
        <f>HYPERLINK("https://klasma.github.io/Logging_0380/klagomålsmail/A 7397-2024 FSC-klagomål mail.docx", "A 7397-2024")</f>
        <v/>
      </c>
      <c r="X167">
        <f>HYPERLINK("https://klasma.github.io/Logging_0380/tillsyn/A 7397-2024 tillsynsbegäran.docx", "A 7397-2024")</f>
        <v/>
      </c>
      <c r="Y167">
        <f>HYPERLINK("https://klasma.github.io/Logging_0380/tillsynsmail/A 7397-2024 tillsynsbegäran mail.docx", "A 7397-2024")</f>
        <v/>
      </c>
    </row>
    <row r="168" ht="15" customHeight="1">
      <c r="A168" t="inlineStr">
        <is>
          <t>A 8398-2024</t>
        </is>
      </c>
      <c r="B168" s="1" t="n">
        <v>45352</v>
      </c>
      <c r="C168" s="1" t="n">
        <v>45661</v>
      </c>
      <c r="D168" t="inlineStr">
        <is>
          <t>UPPSALA LÄN</t>
        </is>
      </c>
      <c r="E168" t="inlineStr">
        <is>
          <t>UPPSALA</t>
        </is>
      </c>
      <c r="G168" t="n">
        <v>6.2</v>
      </c>
      <c r="H168" t="n">
        <v>1</v>
      </c>
      <c r="I168" t="n">
        <v>0</v>
      </c>
      <c r="J168" t="n">
        <v>0</v>
      </c>
      <c r="K168" t="n">
        <v>0</v>
      </c>
      <c r="L168" t="n">
        <v>0</v>
      </c>
      <c r="M168" t="n">
        <v>0</v>
      </c>
      <c r="N168" t="n">
        <v>0</v>
      </c>
      <c r="O168" t="n">
        <v>0</v>
      </c>
      <c r="P168" t="n">
        <v>0</v>
      </c>
      <c r="Q168" t="n">
        <v>1</v>
      </c>
      <c r="R168" s="2" t="inlineStr">
        <is>
          <t>Tjäder</t>
        </is>
      </c>
      <c r="S168">
        <f>HYPERLINK("https://klasma.github.io/Logging_0380/artfynd/A 8398-2024 artfynd.xlsx", "A 8398-2024")</f>
        <v/>
      </c>
      <c r="T168">
        <f>HYPERLINK("https://klasma.github.io/Logging_0380/kartor/A 8398-2024 karta.png", "A 8398-2024")</f>
        <v/>
      </c>
      <c r="V168">
        <f>HYPERLINK("https://klasma.github.io/Logging_0380/klagomål/A 8398-2024 FSC-klagomål.docx", "A 8398-2024")</f>
        <v/>
      </c>
      <c r="W168">
        <f>HYPERLINK("https://klasma.github.io/Logging_0380/klagomålsmail/A 8398-2024 FSC-klagomål mail.docx", "A 8398-2024")</f>
        <v/>
      </c>
      <c r="X168">
        <f>HYPERLINK("https://klasma.github.io/Logging_0380/tillsyn/A 8398-2024 tillsynsbegäran.docx", "A 8398-2024")</f>
        <v/>
      </c>
      <c r="Y168">
        <f>HYPERLINK("https://klasma.github.io/Logging_0380/tillsynsmail/A 8398-2024 tillsynsbegäran mail.docx", "A 8398-2024")</f>
        <v/>
      </c>
      <c r="Z168">
        <f>HYPERLINK("https://klasma.github.io/Logging_0380/fåglar/A 8398-2024 prioriterade fågelarter.docx", "A 8398-2024")</f>
        <v/>
      </c>
    </row>
    <row r="169" ht="15" customHeight="1">
      <c r="A169" t="inlineStr">
        <is>
          <t>A 9206-2024</t>
        </is>
      </c>
      <c r="B169" s="1" t="n">
        <v>45358</v>
      </c>
      <c r="C169" s="1" t="n">
        <v>45661</v>
      </c>
      <c r="D169" t="inlineStr">
        <is>
          <t>UPPSALA LÄN</t>
        </is>
      </c>
      <c r="E169" t="inlineStr">
        <is>
          <t>UPPSALA</t>
        </is>
      </c>
      <c r="F169" t="inlineStr">
        <is>
          <t>Allmännings- och besparingsskogar</t>
        </is>
      </c>
      <c r="G169" t="n">
        <v>22.2</v>
      </c>
      <c r="H169" t="n">
        <v>1</v>
      </c>
      <c r="I169" t="n">
        <v>0</v>
      </c>
      <c r="J169" t="n">
        <v>0</v>
      </c>
      <c r="K169" t="n">
        <v>1</v>
      </c>
      <c r="L169" t="n">
        <v>0</v>
      </c>
      <c r="M169" t="n">
        <v>0</v>
      </c>
      <c r="N169" t="n">
        <v>0</v>
      </c>
      <c r="O169" t="n">
        <v>1</v>
      </c>
      <c r="P169" t="n">
        <v>1</v>
      </c>
      <c r="Q169" t="n">
        <v>1</v>
      </c>
      <c r="R169" s="2" t="inlineStr">
        <is>
          <t>Knärot</t>
        </is>
      </c>
      <c r="S169">
        <f>HYPERLINK("https://klasma.github.io/Logging_0380/artfynd/A 9206-2024 artfynd.xlsx", "A 9206-2024")</f>
        <v/>
      </c>
      <c r="T169">
        <f>HYPERLINK("https://klasma.github.io/Logging_0380/kartor/A 9206-2024 karta.png", "A 9206-2024")</f>
        <v/>
      </c>
      <c r="U169">
        <f>HYPERLINK("https://klasma.github.io/Logging_0380/knärot/A 9206-2024 karta knärot.png", "A 9206-2024")</f>
        <v/>
      </c>
      <c r="V169">
        <f>HYPERLINK("https://klasma.github.io/Logging_0380/klagomål/A 9206-2024 FSC-klagomål.docx", "A 9206-2024")</f>
        <v/>
      </c>
      <c r="W169">
        <f>HYPERLINK("https://klasma.github.io/Logging_0380/klagomålsmail/A 9206-2024 FSC-klagomål mail.docx", "A 9206-2024")</f>
        <v/>
      </c>
      <c r="X169">
        <f>HYPERLINK("https://klasma.github.io/Logging_0380/tillsyn/A 9206-2024 tillsynsbegäran.docx", "A 9206-2024")</f>
        <v/>
      </c>
      <c r="Y169">
        <f>HYPERLINK("https://klasma.github.io/Logging_0380/tillsynsmail/A 9206-2024 tillsynsbegäran mail.docx", "A 9206-2024")</f>
        <v/>
      </c>
    </row>
    <row r="170" ht="15" customHeight="1">
      <c r="A170" t="inlineStr">
        <is>
          <t>A 13093-2024</t>
        </is>
      </c>
      <c r="B170" s="1" t="n">
        <v>45385</v>
      </c>
      <c r="C170" s="1" t="n">
        <v>45661</v>
      </c>
      <c r="D170" t="inlineStr">
        <is>
          <t>UPPSALA LÄN</t>
        </is>
      </c>
      <c r="E170" t="inlineStr">
        <is>
          <t>UPPSALA</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HYPERLINK("https://klasma.github.io/Logging_0380/artfynd/A 13093-2024 artfynd.xlsx", "A 13093-2024")</f>
        <v/>
      </c>
      <c r="T170">
        <f>HYPERLINK("https://klasma.github.io/Logging_0380/kartor/A 13093-2024 karta.png", "A 13093-2024")</f>
        <v/>
      </c>
      <c r="V170">
        <f>HYPERLINK("https://klasma.github.io/Logging_0380/klagomål/A 13093-2024 FSC-klagomål.docx", "A 13093-2024")</f>
        <v/>
      </c>
      <c r="W170">
        <f>HYPERLINK("https://klasma.github.io/Logging_0380/klagomålsmail/A 13093-2024 FSC-klagomål mail.docx", "A 13093-2024")</f>
        <v/>
      </c>
      <c r="X170">
        <f>HYPERLINK("https://klasma.github.io/Logging_0380/tillsyn/A 13093-2024 tillsynsbegäran.docx", "A 13093-2024")</f>
        <v/>
      </c>
      <c r="Y170">
        <f>HYPERLINK("https://klasma.github.io/Logging_0380/tillsynsmail/A 13093-2024 tillsynsbegäran mail.docx", "A 13093-2024")</f>
        <v/>
      </c>
    </row>
    <row r="171" ht="15" customHeight="1">
      <c r="A171" t="inlineStr">
        <is>
          <t>A 13661-2024</t>
        </is>
      </c>
      <c r="B171" s="1" t="n">
        <v>45390</v>
      </c>
      <c r="C171" s="1" t="n">
        <v>45661</v>
      </c>
      <c r="D171" t="inlineStr">
        <is>
          <t>UPPSALA LÄN</t>
        </is>
      </c>
      <c r="E171" t="inlineStr">
        <is>
          <t>UPPSALA</t>
        </is>
      </c>
      <c r="F171" t="inlineStr">
        <is>
          <t>Holmen skog AB</t>
        </is>
      </c>
      <c r="G171" t="n">
        <v>3.7</v>
      </c>
      <c r="H171" t="n">
        <v>0</v>
      </c>
      <c r="I171" t="n">
        <v>0</v>
      </c>
      <c r="J171" t="n">
        <v>1</v>
      </c>
      <c r="K171" t="n">
        <v>0</v>
      </c>
      <c r="L171" t="n">
        <v>0</v>
      </c>
      <c r="M171" t="n">
        <v>0</v>
      </c>
      <c r="N171" t="n">
        <v>0</v>
      </c>
      <c r="O171" t="n">
        <v>1</v>
      </c>
      <c r="P171" t="n">
        <v>0</v>
      </c>
      <c r="Q171" t="n">
        <v>1</v>
      </c>
      <c r="R171" s="2" t="inlineStr">
        <is>
          <t>Skogsklocka</t>
        </is>
      </c>
      <c r="S171">
        <f>HYPERLINK("https://klasma.github.io/Logging_0380/artfynd/A 13661-2024 artfynd.xlsx", "A 13661-2024")</f>
        <v/>
      </c>
      <c r="T171">
        <f>HYPERLINK("https://klasma.github.io/Logging_0380/kartor/A 13661-2024 karta.png", "A 13661-2024")</f>
        <v/>
      </c>
      <c r="V171">
        <f>HYPERLINK("https://klasma.github.io/Logging_0380/klagomål/A 13661-2024 FSC-klagomål.docx", "A 13661-2024")</f>
        <v/>
      </c>
      <c r="W171">
        <f>HYPERLINK("https://klasma.github.io/Logging_0380/klagomålsmail/A 13661-2024 FSC-klagomål mail.docx", "A 13661-2024")</f>
        <v/>
      </c>
      <c r="X171">
        <f>HYPERLINK("https://klasma.github.io/Logging_0380/tillsyn/A 13661-2024 tillsynsbegäran.docx", "A 13661-2024")</f>
        <v/>
      </c>
      <c r="Y171">
        <f>HYPERLINK("https://klasma.github.io/Logging_0380/tillsynsmail/A 13661-2024 tillsynsbegäran mail.docx", "A 13661-2024")</f>
        <v/>
      </c>
    </row>
    <row r="172" ht="15" customHeight="1">
      <c r="A172" t="inlineStr">
        <is>
          <t>A 18348-2024</t>
        </is>
      </c>
      <c r="B172" s="1" t="n">
        <v>45422</v>
      </c>
      <c r="C172" s="1" t="n">
        <v>45661</v>
      </c>
      <c r="D172" t="inlineStr">
        <is>
          <t>UPPSALA LÄN</t>
        </is>
      </c>
      <c r="E172" t="inlineStr">
        <is>
          <t>UPPSALA</t>
        </is>
      </c>
      <c r="F172" t="inlineStr">
        <is>
          <t>Holmen skog AB</t>
        </is>
      </c>
      <c r="G172" t="n">
        <v>2.8</v>
      </c>
      <c r="H172" t="n">
        <v>0</v>
      </c>
      <c r="I172" t="n">
        <v>0</v>
      </c>
      <c r="J172" t="n">
        <v>1</v>
      </c>
      <c r="K172" t="n">
        <v>0</v>
      </c>
      <c r="L172" t="n">
        <v>0</v>
      </c>
      <c r="M172" t="n">
        <v>0</v>
      </c>
      <c r="N172" t="n">
        <v>0</v>
      </c>
      <c r="O172" t="n">
        <v>1</v>
      </c>
      <c r="P172" t="n">
        <v>0</v>
      </c>
      <c r="Q172" t="n">
        <v>1</v>
      </c>
      <c r="R172" s="2" t="inlineStr">
        <is>
          <t>Granticka</t>
        </is>
      </c>
      <c r="S172">
        <f>HYPERLINK("https://klasma.github.io/Logging_0380/artfynd/A 18348-2024 artfynd.xlsx", "A 18348-2024")</f>
        <v/>
      </c>
      <c r="T172">
        <f>HYPERLINK("https://klasma.github.io/Logging_0380/kartor/A 18348-2024 karta.png", "A 18348-2024")</f>
        <v/>
      </c>
      <c r="V172">
        <f>HYPERLINK("https://klasma.github.io/Logging_0380/klagomål/A 18348-2024 FSC-klagomål.docx", "A 18348-2024")</f>
        <v/>
      </c>
      <c r="W172">
        <f>HYPERLINK("https://klasma.github.io/Logging_0380/klagomålsmail/A 18348-2024 FSC-klagomål mail.docx", "A 18348-2024")</f>
        <v/>
      </c>
      <c r="X172">
        <f>HYPERLINK("https://klasma.github.io/Logging_0380/tillsyn/A 18348-2024 tillsynsbegäran.docx", "A 18348-2024")</f>
        <v/>
      </c>
      <c r="Y172">
        <f>HYPERLINK("https://klasma.github.io/Logging_0380/tillsynsmail/A 18348-2024 tillsynsbegäran mail.docx", "A 18348-2024")</f>
        <v/>
      </c>
    </row>
    <row r="173" ht="15" customHeight="1">
      <c r="A173" t="inlineStr">
        <is>
          <t>A 18509-2024</t>
        </is>
      </c>
      <c r="B173" s="1" t="n">
        <v>45425</v>
      </c>
      <c r="C173" s="1" t="n">
        <v>45661</v>
      </c>
      <c r="D173" t="inlineStr">
        <is>
          <t>UPPSALA LÄN</t>
        </is>
      </c>
      <c r="E173" t="inlineStr">
        <is>
          <t>UPPSALA</t>
        </is>
      </c>
      <c r="G173" t="n">
        <v>4</v>
      </c>
      <c r="H173" t="n">
        <v>0</v>
      </c>
      <c r="I173" t="n">
        <v>1</v>
      </c>
      <c r="J173" t="n">
        <v>0</v>
      </c>
      <c r="K173" t="n">
        <v>0</v>
      </c>
      <c r="L173" t="n">
        <v>0</v>
      </c>
      <c r="M173" t="n">
        <v>0</v>
      </c>
      <c r="N173" t="n">
        <v>0</v>
      </c>
      <c r="O173" t="n">
        <v>0</v>
      </c>
      <c r="P173" t="n">
        <v>0</v>
      </c>
      <c r="Q173" t="n">
        <v>1</v>
      </c>
      <c r="R173" s="2" t="inlineStr">
        <is>
          <t>Fällmossa</t>
        </is>
      </c>
      <c r="S173">
        <f>HYPERLINK("https://klasma.github.io/Logging_0380/artfynd/A 18509-2024 artfynd.xlsx", "A 18509-2024")</f>
        <v/>
      </c>
      <c r="T173">
        <f>HYPERLINK("https://klasma.github.io/Logging_0380/kartor/A 18509-2024 karta.png", "A 18509-2024")</f>
        <v/>
      </c>
      <c r="V173">
        <f>HYPERLINK("https://klasma.github.io/Logging_0380/klagomål/A 18509-2024 FSC-klagomål.docx", "A 18509-2024")</f>
        <v/>
      </c>
      <c r="W173">
        <f>HYPERLINK("https://klasma.github.io/Logging_0380/klagomålsmail/A 18509-2024 FSC-klagomål mail.docx", "A 18509-2024")</f>
        <v/>
      </c>
      <c r="X173">
        <f>HYPERLINK("https://klasma.github.io/Logging_0380/tillsyn/A 18509-2024 tillsynsbegäran.docx", "A 18509-2024")</f>
        <v/>
      </c>
      <c r="Y173">
        <f>HYPERLINK("https://klasma.github.io/Logging_0380/tillsynsmail/A 18509-2024 tillsynsbegäran mail.docx", "A 18509-2024")</f>
        <v/>
      </c>
    </row>
    <row r="174" ht="15" customHeight="1">
      <c r="A174" t="inlineStr">
        <is>
          <t>A 21671-2024</t>
        </is>
      </c>
      <c r="B174" s="1" t="n">
        <v>45442</v>
      </c>
      <c r="C174" s="1" t="n">
        <v>45661</v>
      </c>
      <c r="D174" t="inlineStr">
        <is>
          <t>UPPSALA LÄN</t>
        </is>
      </c>
      <c r="E174" t="inlineStr">
        <is>
          <t>UPPSALA</t>
        </is>
      </c>
      <c r="G174" t="n">
        <v>3.7</v>
      </c>
      <c r="H174" t="n">
        <v>1</v>
      </c>
      <c r="I174" t="n">
        <v>0</v>
      </c>
      <c r="J174" t="n">
        <v>0</v>
      </c>
      <c r="K174" t="n">
        <v>1</v>
      </c>
      <c r="L174" t="n">
        <v>0</v>
      </c>
      <c r="M174" t="n">
        <v>0</v>
      </c>
      <c r="N174" t="n">
        <v>0</v>
      </c>
      <c r="O174" t="n">
        <v>1</v>
      </c>
      <c r="P174" t="n">
        <v>1</v>
      </c>
      <c r="Q174" t="n">
        <v>1</v>
      </c>
      <c r="R174" s="2" t="inlineStr">
        <is>
          <t>Knärot</t>
        </is>
      </c>
      <c r="S174">
        <f>HYPERLINK("https://klasma.github.io/Logging_0380/artfynd/A 21671-2024 artfynd.xlsx", "A 21671-2024")</f>
        <v/>
      </c>
      <c r="T174">
        <f>HYPERLINK("https://klasma.github.io/Logging_0380/kartor/A 21671-2024 karta.png", "A 21671-2024")</f>
        <v/>
      </c>
      <c r="U174">
        <f>HYPERLINK("https://klasma.github.io/Logging_0380/knärot/A 21671-2024 karta knärot.png", "A 21671-2024")</f>
        <v/>
      </c>
      <c r="V174">
        <f>HYPERLINK("https://klasma.github.io/Logging_0380/klagomål/A 21671-2024 FSC-klagomål.docx", "A 21671-2024")</f>
        <v/>
      </c>
      <c r="W174">
        <f>HYPERLINK("https://klasma.github.io/Logging_0380/klagomålsmail/A 21671-2024 FSC-klagomål mail.docx", "A 21671-2024")</f>
        <v/>
      </c>
      <c r="X174">
        <f>HYPERLINK("https://klasma.github.io/Logging_0380/tillsyn/A 21671-2024 tillsynsbegäran.docx", "A 21671-2024")</f>
        <v/>
      </c>
      <c r="Y174">
        <f>HYPERLINK("https://klasma.github.io/Logging_0380/tillsynsmail/A 21671-2024 tillsynsbegäran mail.docx", "A 21671-2024")</f>
        <v/>
      </c>
    </row>
    <row r="175" ht="15" customHeight="1">
      <c r="A175" t="inlineStr">
        <is>
          <t>A 23321-2024</t>
        </is>
      </c>
      <c r="B175" s="1" t="n">
        <v>45453</v>
      </c>
      <c r="C175" s="1" t="n">
        <v>45661</v>
      </c>
      <c r="D175" t="inlineStr">
        <is>
          <t>UPPSALA LÄN</t>
        </is>
      </c>
      <c r="E175" t="inlineStr">
        <is>
          <t>UPPSALA</t>
        </is>
      </c>
      <c r="G175" t="n">
        <v>11.8</v>
      </c>
      <c r="H175" t="n">
        <v>1</v>
      </c>
      <c r="I175" t="n">
        <v>0</v>
      </c>
      <c r="J175" t="n">
        <v>1</v>
      </c>
      <c r="K175" t="n">
        <v>0</v>
      </c>
      <c r="L175" t="n">
        <v>0</v>
      </c>
      <c r="M175" t="n">
        <v>0</v>
      </c>
      <c r="N175" t="n">
        <v>0</v>
      </c>
      <c r="O175" t="n">
        <v>1</v>
      </c>
      <c r="P175" t="n">
        <v>0</v>
      </c>
      <c r="Q175" t="n">
        <v>1</v>
      </c>
      <c r="R175" s="2" t="inlineStr">
        <is>
          <t>Talltita</t>
        </is>
      </c>
      <c r="S175">
        <f>HYPERLINK("https://klasma.github.io/Logging_0380/artfynd/A 23321-2024 artfynd.xlsx", "A 23321-2024")</f>
        <v/>
      </c>
      <c r="T175">
        <f>HYPERLINK("https://klasma.github.io/Logging_0380/kartor/A 23321-2024 karta.png", "A 23321-2024")</f>
        <v/>
      </c>
      <c r="U175">
        <f>HYPERLINK("https://klasma.github.io/Logging_0380/knärot/A 23321-2024 karta knärot.png", "A 23321-2024")</f>
        <v/>
      </c>
      <c r="V175">
        <f>HYPERLINK("https://klasma.github.io/Logging_0380/klagomål/A 23321-2024 FSC-klagomål.docx", "A 23321-2024")</f>
        <v/>
      </c>
      <c r="W175">
        <f>HYPERLINK("https://klasma.github.io/Logging_0380/klagomålsmail/A 23321-2024 FSC-klagomål mail.docx", "A 23321-2024")</f>
        <v/>
      </c>
      <c r="X175">
        <f>HYPERLINK("https://klasma.github.io/Logging_0380/tillsyn/A 23321-2024 tillsynsbegäran.docx", "A 23321-2024")</f>
        <v/>
      </c>
      <c r="Y175">
        <f>HYPERLINK("https://klasma.github.io/Logging_0380/tillsynsmail/A 23321-2024 tillsynsbegäran mail.docx", "A 23321-2024")</f>
        <v/>
      </c>
      <c r="Z175">
        <f>HYPERLINK("https://klasma.github.io/Logging_0380/fåglar/A 23321-2024 prioriterade fågelarter.docx", "A 23321-2024")</f>
        <v/>
      </c>
    </row>
    <row r="176" ht="15" customHeight="1">
      <c r="A176" t="inlineStr">
        <is>
          <t>A 25482-2024</t>
        </is>
      </c>
      <c r="B176" s="1" t="n">
        <v>45463</v>
      </c>
      <c r="C176" s="1" t="n">
        <v>45661</v>
      </c>
      <c r="D176" t="inlineStr">
        <is>
          <t>UPPSALA LÄN</t>
        </is>
      </c>
      <c r="E176" t="inlineStr">
        <is>
          <t>UPPSALA</t>
        </is>
      </c>
      <c r="F176" t="inlineStr">
        <is>
          <t>Övriga Aktiebolag</t>
        </is>
      </c>
      <c r="G176" t="n">
        <v>1</v>
      </c>
      <c r="H176" t="n">
        <v>0</v>
      </c>
      <c r="I176" t="n">
        <v>1</v>
      </c>
      <c r="J176" t="n">
        <v>0</v>
      </c>
      <c r="K176" t="n">
        <v>0</v>
      </c>
      <c r="L176" t="n">
        <v>0</v>
      </c>
      <c r="M176" t="n">
        <v>0</v>
      </c>
      <c r="N176" t="n">
        <v>0</v>
      </c>
      <c r="O176" t="n">
        <v>0</v>
      </c>
      <c r="P176" t="n">
        <v>0</v>
      </c>
      <c r="Q176" t="n">
        <v>1</v>
      </c>
      <c r="R176" s="2" t="inlineStr">
        <is>
          <t>Stor aspticka</t>
        </is>
      </c>
      <c r="S176">
        <f>HYPERLINK("https://klasma.github.io/Logging_0380/artfynd/A 25482-2024 artfynd.xlsx", "A 25482-2024")</f>
        <v/>
      </c>
      <c r="T176">
        <f>HYPERLINK("https://klasma.github.io/Logging_0380/kartor/A 25482-2024 karta.png", "A 25482-2024")</f>
        <v/>
      </c>
      <c r="V176">
        <f>HYPERLINK("https://klasma.github.io/Logging_0380/klagomål/A 25482-2024 FSC-klagomål.docx", "A 25482-2024")</f>
        <v/>
      </c>
      <c r="W176">
        <f>HYPERLINK("https://klasma.github.io/Logging_0380/klagomålsmail/A 25482-2024 FSC-klagomål mail.docx", "A 25482-2024")</f>
        <v/>
      </c>
      <c r="X176">
        <f>HYPERLINK("https://klasma.github.io/Logging_0380/tillsyn/A 25482-2024 tillsynsbegäran.docx", "A 25482-2024")</f>
        <v/>
      </c>
      <c r="Y176">
        <f>HYPERLINK("https://klasma.github.io/Logging_0380/tillsynsmail/A 25482-2024 tillsynsbegäran mail.docx", "A 25482-2024")</f>
        <v/>
      </c>
    </row>
    <row r="177" ht="15" customHeight="1">
      <c r="A177" t="inlineStr">
        <is>
          <t>A 25729-2024</t>
        </is>
      </c>
      <c r="B177" s="1" t="n">
        <v>45464</v>
      </c>
      <c r="C177" s="1" t="n">
        <v>45661</v>
      </c>
      <c r="D177" t="inlineStr">
        <is>
          <t>UPPSALA LÄN</t>
        </is>
      </c>
      <c r="E177" t="inlineStr">
        <is>
          <t>UPPSALA</t>
        </is>
      </c>
      <c r="G177" t="n">
        <v>22.3</v>
      </c>
      <c r="H177" t="n">
        <v>0</v>
      </c>
      <c r="I177" t="n">
        <v>0</v>
      </c>
      <c r="J177" t="n">
        <v>1</v>
      </c>
      <c r="K177" t="n">
        <v>0</v>
      </c>
      <c r="L177" t="n">
        <v>0</v>
      </c>
      <c r="M177" t="n">
        <v>0</v>
      </c>
      <c r="N177" t="n">
        <v>0</v>
      </c>
      <c r="O177" t="n">
        <v>1</v>
      </c>
      <c r="P177" t="n">
        <v>0</v>
      </c>
      <c r="Q177" t="n">
        <v>1</v>
      </c>
      <c r="R177" s="2" t="inlineStr">
        <is>
          <t>Ullticka</t>
        </is>
      </c>
      <c r="S177">
        <f>HYPERLINK("https://klasma.github.io/Logging_0380/artfynd/A 25729-2024 artfynd.xlsx", "A 25729-2024")</f>
        <v/>
      </c>
      <c r="T177">
        <f>HYPERLINK("https://klasma.github.io/Logging_0380/kartor/A 25729-2024 karta.png", "A 25729-2024")</f>
        <v/>
      </c>
      <c r="V177">
        <f>HYPERLINK("https://klasma.github.io/Logging_0380/klagomål/A 25729-2024 FSC-klagomål.docx", "A 25729-2024")</f>
        <v/>
      </c>
      <c r="W177">
        <f>HYPERLINK("https://klasma.github.io/Logging_0380/klagomålsmail/A 25729-2024 FSC-klagomål mail.docx", "A 25729-2024")</f>
        <v/>
      </c>
      <c r="X177">
        <f>HYPERLINK("https://klasma.github.io/Logging_0380/tillsyn/A 25729-2024 tillsynsbegäran.docx", "A 25729-2024")</f>
        <v/>
      </c>
      <c r="Y177">
        <f>HYPERLINK("https://klasma.github.io/Logging_0380/tillsynsmail/A 25729-2024 tillsynsbegäran mail.docx", "A 25729-2024")</f>
        <v/>
      </c>
    </row>
    <row r="178" ht="15" customHeight="1">
      <c r="A178" t="inlineStr">
        <is>
          <t>A 29139-2024</t>
        </is>
      </c>
      <c r="B178" s="1" t="n">
        <v>45482</v>
      </c>
      <c r="C178" s="1" t="n">
        <v>45661</v>
      </c>
      <c r="D178" t="inlineStr">
        <is>
          <t>UPPSALA LÄN</t>
        </is>
      </c>
      <c r="E178" t="inlineStr">
        <is>
          <t>UPPSALA</t>
        </is>
      </c>
      <c r="F178" t="inlineStr">
        <is>
          <t>Allmännings- och besparingsskogar</t>
        </is>
      </c>
      <c r="G178" t="n">
        <v>26.4</v>
      </c>
      <c r="H178" t="n">
        <v>0</v>
      </c>
      <c r="I178" t="n">
        <v>0</v>
      </c>
      <c r="J178" t="n">
        <v>1</v>
      </c>
      <c r="K178" t="n">
        <v>0</v>
      </c>
      <c r="L178" t="n">
        <v>0</v>
      </c>
      <c r="M178" t="n">
        <v>0</v>
      </c>
      <c r="N178" t="n">
        <v>0</v>
      </c>
      <c r="O178" t="n">
        <v>1</v>
      </c>
      <c r="P178" t="n">
        <v>0</v>
      </c>
      <c r="Q178" t="n">
        <v>1</v>
      </c>
      <c r="R178" s="2" t="inlineStr">
        <is>
          <t>Granskugglöpare</t>
        </is>
      </c>
      <c r="S178">
        <f>HYPERLINK("https://klasma.github.io/Logging_0380/artfynd/A 29139-2024 artfynd.xlsx", "A 29139-2024")</f>
        <v/>
      </c>
      <c r="T178">
        <f>HYPERLINK("https://klasma.github.io/Logging_0380/kartor/A 29139-2024 karta.png", "A 29139-2024")</f>
        <v/>
      </c>
      <c r="V178">
        <f>HYPERLINK("https://klasma.github.io/Logging_0380/klagomål/A 29139-2024 FSC-klagomål.docx", "A 29139-2024")</f>
        <v/>
      </c>
      <c r="W178">
        <f>HYPERLINK("https://klasma.github.io/Logging_0380/klagomålsmail/A 29139-2024 FSC-klagomål mail.docx", "A 29139-2024")</f>
        <v/>
      </c>
      <c r="X178">
        <f>HYPERLINK("https://klasma.github.io/Logging_0380/tillsyn/A 29139-2024 tillsynsbegäran.docx", "A 29139-2024")</f>
        <v/>
      </c>
      <c r="Y178">
        <f>HYPERLINK("https://klasma.github.io/Logging_0380/tillsynsmail/A 29139-2024 tillsynsbegäran mail.docx", "A 29139-2024")</f>
        <v/>
      </c>
    </row>
    <row r="179" ht="15" customHeight="1">
      <c r="A179" t="inlineStr">
        <is>
          <t>A 34159-2024</t>
        </is>
      </c>
      <c r="B179" s="1" t="n">
        <v>45524</v>
      </c>
      <c r="C179" s="1" t="n">
        <v>45661</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Granbarkgnagare</t>
        </is>
      </c>
      <c r="S179">
        <f>HYPERLINK("https://klasma.github.io/Logging_0380/artfynd/A 34159-2024 artfynd.xlsx", "A 34159-2024")</f>
        <v/>
      </c>
      <c r="T179">
        <f>HYPERLINK("https://klasma.github.io/Logging_0380/kartor/A 34159-2024 karta.png", "A 34159-2024")</f>
        <v/>
      </c>
      <c r="V179">
        <f>HYPERLINK("https://klasma.github.io/Logging_0380/klagomål/A 34159-2024 FSC-klagomål.docx", "A 34159-2024")</f>
        <v/>
      </c>
      <c r="W179">
        <f>HYPERLINK("https://klasma.github.io/Logging_0380/klagomålsmail/A 34159-2024 FSC-klagomål mail.docx", "A 34159-2024")</f>
        <v/>
      </c>
      <c r="X179">
        <f>HYPERLINK("https://klasma.github.io/Logging_0380/tillsyn/A 34159-2024 tillsynsbegäran.docx", "A 34159-2024")</f>
        <v/>
      </c>
      <c r="Y179">
        <f>HYPERLINK("https://klasma.github.io/Logging_0380/tillsynsmail/A 34159-2024 tillsynsbegäran mail.docx", "A 34159-2024")</f>
        <v/>
      </c>
    </row>
    <row r="180" ht="15" customHeight="1">
      <c r="A180" t="inlineStr">
        <is>
          <t>A 37563-2024</t>
        </is>
      </c>
      <c r="B180" s="1" t="n">
        <v>45541</v>
      </c>
      <c r="C180" s="1" t="n">
        <v>45661</v>
      </c>
      <c r="D180" t="inlineStr">
        <is>
          <t>UPPSALA LÄN</t>
        </is>
      </c>
      <c r="E180" t="inlineStr">
        <is>
          <t>UPPSALA</t>
        </is>
      </c>
      <c r="F180" t="inlineStr">
        <is>
          <t>Övriga Aktiebolag</t>
        </is>
      </c>
      <c r="G180" t="n">
        <v>6.1</v>
      </c>
      <c r="H180" t="n">
        <v>0</v>
      </c>
      <c r="I180" t="n">
        <v>0</v>
      </c>
      <c r="J180" t="n">
        <v>1</v>
      </c>
      <c r="K180" t="n">
        <v>0</v>
      </c>
      <c r="L180" t="n">
        <v>0</v>
      </c>
      <c r="M180" t="n">
        <v>0</v>
      </c>
      <c r="N180" t="n">
        <v>0</v>
      </c>
      <c r="O180" t="n">
        <v>1</v>
      </c>
      <c r="P180" t="n">
        <v>0</v>
      </c>
      <c r="Q180" t="n">
        <v>1</v>
      </c>
      <c r="R180" s="2" t="inlineStr">
        <is>
          <t>Skogshare</t>
        </is>
      </c>
      <c r="S180">
        <f>HYPERLINK("https://klasma.github.io/Logging_0380/artfynd/A 37563-2024 artfynd.xlsx", "A 37563-2024")</f>
        <v/>
      </c>
      <c r="T180">
        <f>HYPERLINK("https://klasma.github.io/Logging_0380/kartor/A 37563-2024 karta.png", "A 37563-2024")</f>
        <v/>
      </c>
      <c r="V180">
        <f>HYPERLINK("https://klasma.github.io/Logging_0380/klagomål/A 37563-2024 FSC-klagomål.docx", "A 37563-2024")</f>
        <v/>
      </c>
      <c r="W180">
        <f>HYPERLINK("https://klasma.github.io/Logging_0380/klagomålsmail/A 37563-2024 FSC-klagomål mail.docx", "A 37563-2024")</f>
        <v/>
      </c>
      <c r="X180">
        <f>HYPERLINK("https://klasma.github.io/Logging_0380/tillsyn/A 37563-2024 tillsynsbegäran.docx", "A 37563-2024")</f>
        <v/>
      </c>
      <c r="Y180">
        <f>HYPERLINK("https://klasma.github.io/Logging_0380/tillsynsmail/A 37563-2024 tillsynsbegäran mail.docx", "A 37563-2024")</f>
        <v/>
      </c>
    </row>
    <row r="181" ht="15" customHeight="1">
      <c r="A181" t="inlineStr">
        <is>
          <t>A 42787-2024</t>
        </is>
      </c>
      <c r="B181" s="1" t="n">
        <v>45566</v>
      </c>
      <c r="C181" s="1" t="n">
        <v>45661</v>
      </c>
      <c r="D181" t="inlineStr">
        <is>
          <t>UPPSALA LÄN</t>
        </is>
      </c>
      <c r="E181" t="inlineStr">
        <is>
          <t>UPPSALA</t>
        </is>
      </c>
      <c r="G181" t="n">
        <v>3.2</v>
      </c>
      <c r="H181" t="n">
        <v>1</v>
      </c>
      <c r="I181" t="n">
        <v>0</v>
      </c>
      <c r="J181" t="n">
        <v>0</v>
      </c>
      <c r="K181" t="n">
        <v>0</v>
      </c>
      <c r="L181" t="n">
        <v>0</v>
      </c>
      <c r="M181" t="n">
        <v>0</v>
      </c>
      <c r="N181" t="n">
        <v>0</v>
      </c>
      <c r="O181" t="n">
        <v>0</v>
      </c>
      <c r="P181" t="n">
        <v>0</v>
      </c>
      <c r="Q181" t="n">
        <v>1</v>
      </c>
      <c r="R181" s="2" t="inlineStr">
        <is>
          <t>Mattlummer</t>
        </is>
      </c>
      <c r="S181">
        <f>HYPERLINK("https://klasma.github.io/Logging_0380/artfynd/A 42787-2024 artfynd.xlsx", "A 42787-2024")</f>
        <v/>
      </c>
      <c r="T181">
        <f>HYPERLINK("https://klasma.github.io/Logging_0380/kartor/A 42787-2024 karta.png", "A 42787-2024")</f>
        <v/>
      </c>
      <c r="V181">
        <f>HYPERLINK("https://klasma.github.io/Logging_0380/klagomål/A 42787-2024 FSC-klagomål.docx", "A 42787-2024")</f>
        <v/>
      </c>
      <c r="W181">
        <f>HYPERLINK("https://klasma.github.io/Logging_0380/klagomålsmail/A 42787-2024 FSC-klagomål mail.docx", "A 42787-2024")</f>
        <v/>
      </c>
      <c r="X181">
        <f>HYPERLINK("https://klasma.github.io/Logging_0380/tillsyn/A 42787-2024 tillsynsbegäran.docx", "A 42787-2024")</f>
        <v/>
      </c>
      <c r="Y181">
        <f>HYPERLINK("https://klasma.github.io/Logging_0380/tillsynsmail/A 42787-2024 tillsynsbegäran mail.docx", "A 42787-2024")</f>
        <v/>
      </c>
    </row>
    <row r="182" ht="15" customHeight="1">
      <c r="A182" t="inlineStr">
        <is>
          <t>A 54144-2024</t>
        </is>
      </c>
      <c r="B182" s="1" t="n">
        <v>45616</v>
      </c>
      <c r="C182" s="1" t="n">
        <v>45661</v>
      </c>
      <c r="D182" t="inlineStr">
        <is>
          <t>UPPSALA LÄN</t>
        </is>
      </c>
      <c r="E182" t="inlineStr">
        <is>
          <t>UPPSALA</t>
        </is>
      </c>
      <c r="G182" t="n">
        <v>3.2</v>
      </c>
      <c r="H182" t="n">
        <v>0</v>
      </c>
      <c r="I182" t="n">
        <v>1</v>
      </c>
      <c r="J182" t="n">
        <v>0</v>
      </c>
      <c r="K182" t="n">
        <v>0</v>
      </c>
      <c r="L182" t="n">
        <v>0</v>
      </c>
      <c r="M182" t="n">
        <v>0</v>
      </c>
      <c r="N182" t="n">
        <v>0</v>
      </c>
      <c r="O182" t="n">
        <v>0</v>
      </c>
      <c r="P182" t="n">
        <v>0</v>
      </c>
      <c r="Q182" t="n">
        <v>1</v>
      </c>
      <c r="R182" s="2" t="inlineStr">
        <is>
          <t>Svavelriska</t>
        </is>
      </c>
      <c r="S182">
        <f>HYPERLINK("https://klasma.github.io/Logging_0380/artfynd/A 54144-2024 artfynd.xlsx", "A 54144-2024")</f>
        <v/>
      </c>
      <c r="T182">
        <f>HYPERLINK("https://klasma.github.io/Logging_0380/kartor/A 54144-2024 karta.png", "A 54144-2024")</f>
        <v/>
      </c>
      <c r="V182">
        <f>HYPERLINK("https://klasma.github.io/Logging_0380/klagomål/A 54144-2024 FSC-klagomål.docx", "A 54144-2024")</f>
        <v/>
      </c>
      <c r="W182">
        <f>HYPERLINK("https://klasma.github.io/Logging_0380/klagomålsmail/A 54144-2024 FSC-klagomål mail.docx", "A 54144-2024")</f>
        <v/>
      </c>
      <c r="X182">
        <f>HYPERLINK("https://klasma.github.io/Logging_0380/tillsyn/A 54144-2024 tillsynsbegäran.docx", "A 54144-2024")</f>
        <v/>
      </c>
      <c r="Y182">
        <f>HYPERLINK("https://klasma.github.io/Logging_0380/tillsynsmail/A 54144-2024 tillsynsbegäran mail.docx", "A 54144-2024")</f>
        <v/>
      </c>
    </row>
    <row r="183" ht="15" customHeight="1">
      <c r="A183" t="inlineStr">
        <is>
          <t>A 59588-2024</t>
        </is>
      </c>
      <c r="B183" s="1" t="n">
        <v>45638</v>
      </c>
      <c r="C183" s="1" t="n">
        <v>45661</v>
      </c>
      <c r="D183" t="inlineStr">
        <is>
          <t>UPPSALA LÄN</t>
        </is>
      </c>
      <c r="E183" t="inlineStr">
        <is>
          <t>UPPSALA</t>
        </is>
      </c>
      <c r="G183" t="n">
        <v>3.4</v>
      </c>
      <c r="H183" t="n">
        <v>1</v>
      </c>
      <c r="I183" t="n">
        <v>0</v>
      </c>
      <c r="J183" t="n">
        <v>0</v>
      </c>
      <c r="K183" t="n">
        <v>1</v>
      </c>
      <c r="L183" t="n">
        <v>0</v>
      </c>
      <c r="M183" t="n">
        <v>0</v>
      </c>
      <c r="N183" t="n">
        <v>0</v>
      </c>
      <c r="O183" t="n">
        <v>1</v>
      </c>
      <c r="P183" t="n">
        <v>1</v>
      </c>
      <c r="Q183" t="n">
        <v>1</v>
      </c>
      <c r="R183" s="2" t="inlineStr">
        <is>
          <t>Knärot</t>
        </is>
      </c>
      <c r="S183">
        <f>HYPERLINK("https://klasma.github.io/Logging_0380/artfynd/A 59588-2024 artfynd.xlsx", "A 59588-2024")</f>
        <v/>
      </c>
      <c r="T183">
        <f>HYPERLINK("https://klasma.github.io/Logging_0380/kartor/A 59588-2024 karta.png", "A 59588-2024")</f>
        <v/>
      </c>
      <c r="U183">
        <f>HYPERLINK("https://klasma.github.io/Logging_0380/knärot/A 59588-2024 karta knärot.png", "A 59588-2024")</f>
        <v/>
      </c>
      <c r="V183">
        <f>HYPERLINK("https://klasma.github.io/Logging_0380/klagomål/A 59588-2024 FSC-klagomål.docx", "A 59588-2024")</f>
        <v/>
      </c>
      <c r="W183">
        <f>HYPERLINK("https://klasma.github.io/Logging_0380/klagomålsmail/A 59588-2024 FSC-klagomål mail.docx", "A 59588-2024")</f>
        <v/>
      </c>
      <c r="X183">
        <f>HYPERLINK("https://klasma.github.io/Logging_0380/tillsyn/A 59588-2024 tillsynsbegäran.docx", "A 59588-2024")</f>
        <v/>
      </c>
      <c r="Y183">
        <f>HYPERLINK("https://klasma.github.io/Logging_0380/tillsynsmail/A 59588-2024 tillsynsbegäran mail.docx", "A 59588-2024")</f>
        <v/>
      </c>
    </row>
    <row r="184" ht="15" customHeight="1">
      <c r="A184" t="inlineStr">
        <is>
          <t>A 17828-2019</t>
        </is>
      </c>
      <c r="B184" s="1" t="n">
        <v>43556</v>
      </c>
      <c r="C184" s="1" t="n">
        <v>45661</v>
      </c>
      <c r="D184" t="inlineStr">
        <is>
          <t>UPPSALA LÄN</t>
        </is>
      </c>
      <c r="E184" t="inlineStr">
        <is>
          <t>UPPSALA</t>
        </is>
      </c>
      <c r="G184" t="n">
        <v>2.8</v>
      </c>
      <c r="H184" t="n">
        <v>0</v>
      </c>
      <c r="I184" t="n">
        <v>0</v>
      </c>
      <c r="J184" t="n">
        <v>0</v>
      </c>
      <c r="K184" t="n">
        <v>0</v>
      </c>
      <c r="L184" t="n">
        <v>0</v>
      </c>
      <c r="M184" t="n">
        <v>0</v>
      </c>
      <c r="N184" t="n">
        <v>0</v>
      </c>
      <c r="O184" t="n">
        <v>0</v>
      </c>
      <c r="P184" t="n">
        <v>0</v>
      </c>
      <c r="Q184" t="n">
        <v>0</v>
      </c>
      <c r="R184" s="2" t="inlineStr"/>
    </row>
    <row r="185" ht="15" customHeight="1">
      <c r="A185" t="inlineStr">
        <is>
          <t>A 18446-2019</t>
        </is>
      </c>
      <c r="B185" s="1" t="n">
        <v>43559</v>
      </c>
      <c r="C185" s="1" t="n">
        <v>45661</v>
      </c>
      <c r="D185" t="inlineStr">
        <is>
          <t>UPPSALA LÄN</t>
        </is>
      </c>
      <c r="E185" t="inlineStr">
        <is>
          <t>UPPSALA</t>
        </is>
      </c>
      <c r="G185" t="n">
        <v>9.1</v>
      </c>
      <c r="H185" t="n">
        <v>0</v>
      </c>
      <c r="I185" t="n">
        <v>0</v>
      </c>
      <c r="J185" t="n">
        <v>0</v>
      </c>
      <c r="K185" t="n">
        <v>0</v>
      </c>
      <c r="L185" t="n">
        <v>0</v>
      </c>
      <c r="M185" t="n">
        <v>0</v>
      </c>
      <c r="N185" t="n">
        <v>0</v>
      </c>
      <c r="O185" t="n">
        <v>0</v>
      </c>
      <c r="P185" t="n">
        <v>0</v>
      </c>
      <c r="Q185" t="n">
        <v>0</v>
      </c>
      <c r="R185" s="2" t="inlineStr"/>
    </row>
    <row r="186" ht="15" customHeight="1">
      <c r="A186" t="inlineStr">
        <is>
          <t>A 18554-2019</t>
        </is>
      </c>
      <c r="B186" s="1" t="n">
        <v>43559</v>
      </c>
      <c r="C186" s="1" t="n">
        <v>45661</v>
      </c>
      <c r="D186" t="inlineStr">
        <is>
          <t>UPPSALA LÄN</t>
        </is>
      </c>
      <c r="E186" t="inlineStr">
        <is>
          <t>UPPSALA</t>
        </is>
      </c>
      <c r="G186" t="n">
        <v>5.6</v>
      </c>
      <c r="H186" t="n">
        <v>0</v>
      </c>
      <c r="I186" t="n">
        <v>0</v>
      </c>
      <c r="J186" t="n">
        <v>0</v>
      </c>
      <c r="K186" t="n">
        <v>0</v>
      </c>
      <c r="L186" t="n">
        <v>0</v>
      </c>
      <c r="M186" t="n">
        <v>0</v>
      </c>
      <c r="N186" t="n">
        <v>0</v>
      </c>
      <c r="O186" t="n">
        <v>0</v>
      </c>
      <c r="P186" t="n">
        <v>0</v>
      </c>
      <c r="Q186" t="n">
        <v>0</v>
      </c>
      <c r="R186" s="2" t="inlineStr"/>
    </row>
    <row r="187" ht="15" customHeight="1">
      <c r="A187" t="inlineStr">
        <is>
          <t>A 18810-2019</t>
        </is>
      </c>
      <c r="B187" s="1" t="n">
        <v>43560</v>
      </c>
      <c r="C187" s="1" t="n">
        <v>45661</v>
      </c>
      <c r="D187" t="inlineStr">
        <is>
          <t>UPPSALA LÄN</t>
        </is>
      </c>
      <c r="E187" t="inlineStr">
        <is>
          <t>UPPSALA</t>
        </is>
      </c>
      <c r="G187" t="n">
        <v>4</v>
      </c>
      <c r="H187" t="n">
        <v>0</v>
      </c>
      <c r="I187" t="n">
        <v>0</v>
      </c>
      <c r="J187" t="n">
        <v>0</v>
      </c>
      <c r="K187" t="n">
        <v>0</v>
      </c>
      <c r="L187" t="n">
        <v>0</v>
      </c>
      <c r="M187" t="n">
        <v>0</v>
      </c>
      <c r="N187" t="n">
        <v>0</v>
      </c>
      <c r="O187" t="n">
        <v>0</v>
      </c>
      <c r="P187" t="n">
        <v>0</v>
      </c>
      <c r="Q187" t="n">
        <v>0</v>
      </c>
      <c r="R187" s="2" t="inlineStr"/>
    </row>
    <row r="188" ht="15" customHeight="1">
      <c r="A188" t="inlineStr">
        <is>
          <t>A 20011-2019</t>
        </is>
      </c>
      <c r="B188" s="1" t="n">
        <v>43570</v>
      </c>
      <c r="C188" s="1" t="n">
        <v>45661</v>
      </c>
      <c r="D188" t="inlineStr">
        <is>
          <t>UPPSALA LÄN</t>
        </is>
      </c>
      <c r="E188" t="inlineStr">
        <is>
          <t>UPPSALA</t>
        </is>
      </c>
      <c r="G188" t="n">
        <v>6.3</v>
      </c>
      <c r="H188" t="n">
        <v>0</v>
      </c>
      <c r="I188" t="n">
        <v>0</v>
      </c>
      <c r="J188" t="n">
        <v>0</v>
      </c>
      <c r="K188" t="n">
        <v>0</v>
      </c>
      <c r="L188" t="n">
        <v>0</v>
      </c>
      <c r="M188" t="n">
        <v>0</v>
      </c>
      <c r="N188" t="n">
        <v>0</v>
      </c>
      <c r="O188" t="n">
        <v>0</v>
      </c>
      <c r="P188" t="n">
        <v>0</v>
      </c>
      <c r="Q188" t="n">
        <v>0</v>
      </c>
      <c r="R188" s="2" t="inlineStr"/>
    </row>
    <row r="189" ht="15" customHeight="1">
      <c r="A189" t="inlineStr">
        <is>
          <t>A 21087-2019</t>
        </is>
      </c>
      <c r="B189" s="1" t="n">
        <v>43578</v>
      </c>
      <c r="C189" s="1" t="n">
        <v>45661</v>
      </c>
      <c r="D189" t="inlineStr">
        <is>
          <t>UPPSALA LÄN</t>
        </is>
      </c>
      <c r="E189" t="inlineStr">
        <is>
          <t>UPPSALA</t>
        </is>
      </c>
      <c r="G189" t="n">
        <v>1.8</v>
      </c>
      <c r="H189" t="n">
        <v>0</v>
      </c>
      <c r="I189" t="n">
        <v>0</v>
      </c>
      <c r="J189" t="n">
        <v>0</v>
      </c>
      <c r="K189" t="n">
        <v>0</v>
      </c>
      <c r="L189" t="n">
        <v>0</v>
      </c>
      <c r="M189" t="n">
        <v>0</v>
      </c>
      <c r="N189" t="n">
        <v>0</v>
      </c>
      <c r="O189" t="n">
        <v>0</v>
      </c>
      <c r="P189" t="n">
        <v>0</v>
      </c>
      <c r="Q189" t="n">
        <v>0</v>
      </c>
      <c r="R189" s="2" t="inlineStr"/>
    </row>
    <row r="190" ht="15" customHeight="1">
      <c r="A190" t="inlineStr">
        <is>
          <t>A 21082-2019</t>
        </is>
      </c>
      <c r="B190" s="1" t="n">
        <v>43578</v>
      </c>
      <c r="C190" s="1" t="n">
        <v>45661</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21862-2019</t>
        </is>
      </c>
      <c r="B191" s="1" t="n">
        <v>43583</v>
      </c>
      <c r="C191" s="1" t="n">
        <v>45661</v>
      </c>
      <c r="D191" t="inlineStr">
        <is>
          <t>UPPSALA LÄN</t>
        </is>
      </c>
      <c r="E191" t="inlineStr">
        <is>
          <t>UPPSALA</t>
        </is>
      </c>
      <c r="G191" t="n">
        <v>9.5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45661</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45661</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45661</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45661</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45661</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45661</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45661</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45661</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45661</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45661</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45661</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45661</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45661</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45661</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45661</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45661</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45661</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45661</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45661</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45661</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45661</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45661</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45661</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45661</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45661</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45661</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45661</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45661</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45661</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45661</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45661</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45661</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45661</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45661</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45661</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45661</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45661</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45661</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45661</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45661</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45661</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45661</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45661</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45661</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45661</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45661</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45661</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45661</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45661</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45661</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45661</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45661</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45661</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45661</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45661</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45661</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45661</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45661</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45661</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45661</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45661</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45661</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45661</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45661</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45661</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45661</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45661</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45661</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45661</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45661</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45661</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45661</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45661</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45661</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45661</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45661</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45661</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45661</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45661</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45661</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45661</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45661</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45661</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45661</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45661</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45661</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45661</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45661</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45661</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45661</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45661</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45661</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45661</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45661</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45661</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45661</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45661</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45661</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45661</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45661</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45661</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45661</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45661</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45661</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45661</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45661</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45661</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45661</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45661</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45661</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45661</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45661</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45661</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45661</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45661</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45661</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45661</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45661</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45661</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45661</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45661</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45661</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45661</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45661</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45661</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45661</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45661</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45661</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45661</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45661</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45661</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45661</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45661</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45661</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45661</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45661</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45661</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45661</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45661</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45661</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45661</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45661</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45661</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45661</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45661</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45661</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45661</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45661</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45661</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45661</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45661</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45661</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45661</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45661</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45661</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45661</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45661</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45661</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45661</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45661</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45661</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45661</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45661</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45661</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45661</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45661</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45661</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45661</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45661</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45661</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45661</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45661</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45661</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45661</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45661</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45661</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45661</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45661</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45661</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45661</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45661</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45661</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45661</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45661</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45661</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45661</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45661</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45661</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45661</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45661</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45661</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45661</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45661</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45661</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45661</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45661</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45661</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45661</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45661</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45661</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45661</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45661</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45661</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45661</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45661</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45661</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45661</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45661</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45661</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45661</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45661</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45661</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45661</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45661</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45661</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45661</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45661</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45661</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45661</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45661</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45661</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45661</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45661</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45661</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45661</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45661</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45661</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45661</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45661</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45661</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45661</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45661</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45661</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45661</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45661</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45661</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45661</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45661</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45661</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45661</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45661</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45661</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45661</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45661</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45661</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45661</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45661</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45661</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45661</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45661</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45661</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45661</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45661</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45661</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45661</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45661</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45661</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45661</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45661</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45661</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45661</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45661</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45661</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45661</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45661</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45661</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45661</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45661</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45661</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45661</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45661</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45661</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45661</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45661</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45661</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45661</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45661</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45661</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45661</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45661</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45661</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45661</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45661</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45661</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45661</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45661</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45661</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45661</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45661</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45661</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45661</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45661</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45661</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45661</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45661</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45661</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45661</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45661</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45661</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45661</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45661</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45661</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45661</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45661</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45661</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45661</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45661</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45661</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45661</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45661</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45661</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45661</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45661</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45661</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45661</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45661</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45661</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45661</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45661</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45661</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45661</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45661</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45661</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45661</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45661</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45661</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45661</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45661</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45661</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45661</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45661</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45661</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45661</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45661</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45661</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45661</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45661</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45661</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45661</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45661</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45661</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45661</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45661</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45661</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45661</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45661</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45661</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45661</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45661</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45661</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45661</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45661</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45661</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45661</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45661</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45661</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45661</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45661</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45661</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45661</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45661</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45661</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45661</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45661</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45661</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45661</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45661</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45661</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45661</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45661</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45661</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45661</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45661</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45661</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45661</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45661</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45661</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45661</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45661</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45661</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45661</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45661</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45661</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45661</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45661</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45661</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45661</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45661</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45661</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45661</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45661</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45661</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45661</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45661</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45661</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45661</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45661</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45661</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45661</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45661</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45661</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45661</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45661</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45661</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45661</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45661</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45661</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45661</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45661</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45661</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45661</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45661</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45661</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45661</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45661</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45661</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45661</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45661</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45661</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45661</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45661</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45661</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45661</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45661</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45661</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45661</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45661</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45661</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45661</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45661</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45661</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45661</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45661</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45661</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45661</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45661</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45661</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45661</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45661</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45661</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45661</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45661</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45661</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45661</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45661</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45661</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45661</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45661</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45661</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45661</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45661</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45661</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45661</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45661</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45661</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45661</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45661</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45661</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45661</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45661</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45661</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45661</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45661</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45661</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45661</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45661</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45661</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45661</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45661</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45661</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45661</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45661</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45661</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45661</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45661</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45661</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45661</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45661</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45661</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45661</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45661</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45661</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45661</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45661</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45661</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45661</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45661</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45661</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45661</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45661</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45661</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45661</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45661</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45661</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45661</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45661</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45661</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45661</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45661</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45661</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45661</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45661</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45661</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45661</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45661</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45661</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45661</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45661</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45661</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45661</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45661</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45661</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45661</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45661</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45661</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45661</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45661</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45661</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45661</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45661</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45661</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45661</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45661</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45661</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45661</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45661</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45661</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45661</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45661</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45661</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45661</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45661</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45661</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45661</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45661</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45661</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45661</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45661</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45661</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45661</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45661</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45661</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45661</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45661</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45661</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45661</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45661</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45661</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45661</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45661</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45661</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45661</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45661</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45661</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45661</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45661</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45661</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45661</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45661</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45661</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45661</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45661</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45661</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45661</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45661</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45661</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45661</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45661</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45661</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45661</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45661</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45661</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45661</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45661</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45661</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45661</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45661</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45661</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45661</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45661</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45661</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45661</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45661</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45661</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45661</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45661</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45661</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45661</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45661</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45661</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45661</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45661</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45661</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45661</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45661</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45661</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45661</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45661</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45661</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45661</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45661</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45661</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45661</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45661</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45661</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45661</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45661</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45661</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45661</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45661</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45661</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45661</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45661</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45661</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45661</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45661</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45661</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45661</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45661</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45661</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45661</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45661</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45661</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45661</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45661</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45661</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45661</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45661</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45661</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45661</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45661</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45661</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45661</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45661</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45661</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45661</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45661</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45661</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45661</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45661</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45661</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45661</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45661</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45661</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45661</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45661</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45661</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45661</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45661</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45661</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45661</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45661</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45661</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45661</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45661</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45661</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45661</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45661</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45661</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45661</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45661</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45661</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45661</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45661</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45661</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45661</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45661</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45661</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45661</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45661</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45661</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45661</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45661</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45661</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45661</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45661</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45661</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45661</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45661</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45661</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45661</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45661</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45661</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45661</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45661</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45661</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45661</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45661</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45661</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45661</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45661</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45661</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45661</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45661</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45661</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45661</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45661</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45661</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45661</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45661</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45661</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45661</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45661</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45661</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45661</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45661</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45661</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45661</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45661</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45661</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45661</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45661</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45661</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45661</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45661</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45661</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45661</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45661</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45661</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45661</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45661</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45661</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45661</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45661</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45661</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45661</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45661</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45661</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45661</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45661</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45661</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45661</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45661</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45661</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45661</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45661</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45661</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45661</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45661</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45661</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45661</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45661</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45661</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45661</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45661</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45661</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45661</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45661</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45661</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45661</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45661</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45661</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45661</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45661</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45661</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45661</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45661</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45661</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45661</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45661</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45661</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45661</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45661</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45661</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45661</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45661</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45661</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45661</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45661</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45661</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45661</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45661</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45661</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45661</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45661</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45661</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45661</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45661</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45661</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45661</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45661</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45661</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45661</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45661</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45661</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45661</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45661</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45661</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45661</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45661</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45661</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45661</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45661</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45661</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45661</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45661</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45661</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45661</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45661</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45661</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45661</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45661</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45661</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45661</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45661</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45661</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45661</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45661</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45661</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45661</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45661</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45661</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45661</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45661</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45661</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45661</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45661</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45661</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45661</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45661</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45661</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45661</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45661</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45661</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45661</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45661</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45661</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45661</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45661</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45661</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45661</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45661</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45661</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45661</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45661</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45661</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45661</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45661</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45661</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45661</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45661</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45661</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45661</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45661</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45661</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45661</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45661</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45661</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45661</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45661</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45661</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45661</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45661</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45661</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45661</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45661</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45661</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45661</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45661</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45661</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45661</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45661</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45661</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45661</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45661</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45661</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45661</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45661</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45661</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45661</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45661</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45661</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45661</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45661</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45661</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45661</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45661</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45661</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45661</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45661</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45661</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45661</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45661</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45661</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45661</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45661</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45661</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45661</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45661</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45661</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45661</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45661</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45661</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45661</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45661</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45661</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45661</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45661</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45661</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45661</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45661</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45661</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45661</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45661</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45661</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45661</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45661</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45661</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45661</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45661</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45661</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45661</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45661</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45661</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45661</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45661</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45661</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45661</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45661</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45661</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45661</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45661</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45661</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45661</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45661</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45661</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45661</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45661</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45661</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45661</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45661</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45661</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45661</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45661</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45661</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45661</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45661</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45661</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45661</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45661</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45661</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45661</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45661</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45661</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45661</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45661</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45661</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45661</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45661</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45661</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45661</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45661</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45661</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45661</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45661</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45661</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45661</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45661</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45661</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45661</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45661</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45661</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45661</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45661</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45661</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45661</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45661</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45661</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45661</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45661</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45661</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45661</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45661</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45661</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45661</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45661</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45661</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45661</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45661</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45661</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45661</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45661</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45661</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45661</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45661</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45661</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45661</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45661</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45661</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45661</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45661</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45661</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45661</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45661</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45661</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45661</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45661</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45661</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45661</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45661</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45661</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45661</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45661</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45661</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45661</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45661</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45661</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45661</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45661</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45661</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45661</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45661</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45661</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45661</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45661</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45661</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45661</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45661</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45661</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45661</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45661</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45661</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45661</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45661</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45661</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45661</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45661</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45661</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45661</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45661</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45661</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45661</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45661</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45661</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45661</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45661</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45661</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45661</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45661</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45661</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45661</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45661</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45661</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45661</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45661</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45661</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45661</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45661</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45661</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45661</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45661</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45661</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45661</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45661</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45661</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45661</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45661</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45661</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45661</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45661</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45661</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45661</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45661</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45661</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45661</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45661</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45661</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45661</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45661</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45661</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45661</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45661</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45661</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45661</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45661</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45661</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45661</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45661</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45661</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45661</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45661</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45661</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45661</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45661</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45661</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45661</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45661</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45661</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45661</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45661</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45661</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45661</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45661</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45661</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45661</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45661</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45661</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45661</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45661</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45661</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45661</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45661</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45661</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45661</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45661</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45661</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45661</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45661</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45661</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45661</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45661</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45661</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45661</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45661</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45661</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45661</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45661</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45661</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45661</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45661</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45661</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45661</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45661</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45661</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45661</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45661</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45661</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45661</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45661</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45661</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45661</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45661</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45661</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45661</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45661</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45661</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45661</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45661</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45661</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45661</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45661</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45661</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45661</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45661</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45661</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45661</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45661</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45661</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45661</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45661</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45661</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45661</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45661</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45661</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45661</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45661</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45661</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45661</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45661</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45661</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45661</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45661</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45661</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45661</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45661</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45661</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45661</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45661</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45661</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45661</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45661</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45661</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45661</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45661</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45661</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45661</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45661</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45661</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45661</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45661</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45661</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45661</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45661</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45661</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45661</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45661</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45661</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45661</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45661</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45661</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45661</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45661</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45661</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45661</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45661</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45661</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45661</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45661</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45661</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45661</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45661</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45661</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45661</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45661</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45661</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45661</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45661</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45661</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45661</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45661</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45661</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45661</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45661</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45661</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45661</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45661</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45661</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45661</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45661</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45661</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45661</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45661</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45661</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45661</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45661</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45661</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45661</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45661</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45661</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45661</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45661</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45661</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45661</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45661</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45661</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45661</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45661</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45661</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45661</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45661</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45661</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45661</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45661</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45661</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45661</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45661</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45661</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45661</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45661</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45661</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45661</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45661</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45661</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45661</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45661</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45661</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45661</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45661</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45661</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45661</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45661</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45661</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45661</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45661</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45661</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45661</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45661</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45661</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45661</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45661</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45661</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45661</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45661</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45661</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45661</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45661</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45661</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45661</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45661</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45661</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45661</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45661</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45661</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45661</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45661</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45661</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45661</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45661</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45661</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45661</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45661</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45661</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45661</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45661</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45661</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45661</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45661</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45661</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45661</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45661</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45661</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45661</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45661</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45661</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45661</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45661</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45661</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45661</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45661</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45661</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45661</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45661</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45661</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45661</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45661</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45661</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45661</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45661</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45661</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45661</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45661</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45661</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45661</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45661</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45661</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45661</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45661</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45661</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45661</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45661</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45661</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45661</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45661</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45661</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45661</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45661</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45661</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45661</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45661</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45661</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45661</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45661</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45661</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45661</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45661</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45661</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45661</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45661</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45661</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45661</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45661</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45661</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45661</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45661</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45661</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45661</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45661</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45661</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45661</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45661</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45661</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45661</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45661</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45661</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45661</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45661</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45661</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45661</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45661</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45661</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45661</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45661</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45661</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45661</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45661</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45661</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45661</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45661</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45661</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45661</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45661</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45661</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45661</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45661</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45661</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45661</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45661</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45661</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45661</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45661</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45661</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45661</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45661</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45661</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45661</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45661</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45661</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45661</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45661</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45661</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45661</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45661</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45661</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45661</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45661</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45661</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45661</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45661</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45661</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45661</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45661</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45661</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45661</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45661</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45661</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45661</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45661</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45661</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45661</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45661</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45661</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45661</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45661</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45661</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45661</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45661</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45661</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45661</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45661</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58188-2024</t>
        </is>
      </c>
      <c r="B1621" s="1" t="n">
        <v>45632</v>
      </c>
      <c r="C1621" s="1" t="n">
        <v>45661</v>
      </c>
      <c r="D1621" t="inlineStr">
        <is>
          <t>UPPSALA LÄN</t>
        </is>
      </c>
      <c r="E1621" t="inlineStr">
        <is>
          <t>UPPSALA</t>
        </is>
      </c>
      <c r="F1621" t="inlineStr">
        <is>
          <t>Bergvik skog väst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45661</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45661</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59116-2024</t>
        </is>
      </c>
      <c r="B1624" s="1" t="n">
        <v>45637</v>
      </c>
      <c r="C1624" s="1" t="n">
        <v>45661</v>
      </c>
      <c r="D1624" t="inlineStr">
        <is>
          <t>UPPSALA LÄN</t>
        </is>
      </c>
      <c r="E1624" t="inlineStr">
        <is>
          <t>UPPSALA</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45661</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59158-2024</t>
        </is>
      </c>
      <c r="B1626" s="1" t="n">
        <v>45637</v>
      </c>
      <c r="C1626" s="1" t="n">
        <v>45661</v>
      </c>
      <c r="D1626" t="inlineStr">
        <is>
          <t>UPPSALA LÄN</t>
        </is>
      </c>
      <c r="E1626" t="inlineStr">
        <is>
          <t>UPPSALA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59358-2024</t>
        </is>
      </c>
      <c r="B1627" s="1" t="n">
        <v>45638</v>
      </c>
      <c r="C1627" s="1" t="n">
        <v>45661</v>
      </c>
      <c r="D1627" t="inlineStr">
        <is>
          <t>UPPSALA LÄN</t>
        </is>
      </c>
      <c r="E1627" t="inlineStr">
        <is>
          <t>UPPSALA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59547-2024</t>
        </is>
      </c>
      <c r="B1628" s="1" t="n">
        <v>45638</v>
      </c>
      <c r="C1628" s="1" t="n">
        <v>45661</v>
      </c>
      <c r="D1628" t="inlineStr">
        <is>
          <t>UPPSALA LÄN</t>
        </is>
      </c>
      <c r="E1628" t="inlineStr">
        <is>
          <t>UPPSALA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59562-2024</t>
        </is>
      </c>
      <c r="B1629" s="1" t="n">
        <v>45638</v>
      </c>
      <c r="C1629" s="1" t="n">
        <v>45661</v>
      </c>
      <c r="D1629" t="inlineStr">
        <is>
          <t>UPPSALA LÄN</t>
        </is>
      </c>
      <c r="E1629" t="inlineStr">
        <is>
          <t>UPPSALA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59587-2024</t>
        </is>
      </c>
      <c r="B1630" s="1" t="n">
        <v>45638</v>
      </c>
      <c r="C1630" s="1" t="n">
        <v>45661</v>
      </c>
      <c r="D1630" t="inlineStr">
        <is>
          <t>UPPSALA LÄN</t>
        </is>
      </c>
      <c r="E1630" t="inlineStr">
        <is>
          <t>UPPSALA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59549-2024</t>
        </is>
      </c>
      <c r="B1631" s="1" t="n">
        <v>45638</v>
      </c>
      <c r="C1631" s="1" t="n">
        <v>45661</v>
      </c>
      <c r="D1631" t="inlineStr">
        <is>
          <t>UPPSALA LÄN</t>
        </is>
      </c>
      <c r="E1631" t="inlineStr">
        <is>
          <t>UPPSALA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60003-2024</t>
        </is>
      </c>
      <c r="B1632" s="1" t="n">
        <v>45642</v>
      </c>
      <c r="C1632" s="1" t="n">
        <v>45661</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59996-2024</t>
        </is>
      </c>
      <c r="B1633" s="1" t="n">
        <v>45642</v>
      </c>
      <c r="C1633" s="1" t="n">
        <v>45661</v>
      </c>
      <c r="D1633" t="inlineStr">
        <is>
          <t>UPPSALA LÄN</t>
        </is>
      </c>
      <c r="E1633" t="inlineStr">
        <is>
          <t>UPPSALA</t>
        </is>
      </c>
      <c r="F1633" t="inlineStr">
        <is>
          <t>Bergvik skog väst AB</t>
        </is>
      </c>
      <c r="G1633" t="n">
        <v>14.5</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45661</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45661</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60691-2024</t>
        </is>
      </c>
      <c r="B1636" s="1" t="n">
        <v>45644</v>
      </c>
      <c r="C1636" s="1" t="n">
        <v>45661</v>
      </c>
      <c r="D1636" t="inlineStr">
        <is>
          <t>UPPSALA LÄN</t>
        </is>
      </c>
      <c r="E1636" t="inlineStr">
        <is>
          <t>UPPSALA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45661</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45661</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60807-2024</t>
        </is>
      </c>
      <c r="B1639" s="1" t="n">
        <v>45644</v>
      </c>
      <c r="C1639" s="1" t="n">
        <v>45661</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60820-2024</t>
        </is>
      </c>
      <c r="B1640" s="1" t="n">
        <v>45644</v>
      </c>
      <c r="C1640" s="1" t="n">
        <v>45661</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60729-2024</t>
        </is>
      </c>
      <c r="B1641" s="1" t="n">
        <v>45644</v>
      </c>
      <c r="C1641" s="1" t="n">
        <v>45661</v>
      </c>
      <c r="D1641" t="inlineStr">
        <is>
          <t>UPPSALA LÄN</t>
        </is>
      </c>
      <c r="E1641" t="inlineStr">
        <is>
          <t>UPPSALA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60811-2024</t>
        </is>
      </c>
      <c r="B1642" s="1" t="n">
        <v>45644</v>
      </c>
      <c r="C1642" s="1" t="n">
        <v>45661</v>
      </c>
      <c r="D1642" t="inlineStr">
        <is>
          <t>UPPSALA LÄN</t>
        </is>
      </c>
      <c r="E1642" t="inlineStr">
        <is>
          <t>UPPSALA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60949-2024</t>
        </is>
      </c>
      <c r="B1643" s="1" t="n">
        <v>45645</v>
      </c>
      <c r="C1643" s="1" t="n">
        <v>45661</v>
      </c>
      <c r="D1643" t="inlineStr">
        <is>
          <t>UPPSALA LÄN</t>
        </is>
      </c>
      <c r="E1643" t="inlineStr">
        <is>
          <t>UPPSALA</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60954-2024</t>
        </is>
      </c>
      <c r="B1644" s="1" t="n">
        <v>45645</v>
      </c>
      <c r="C1644" s="1" t="n">
        <v>45661</v>
      </c>
      <c r="D1644" t="inlineStr">
        <is>
          <t>UPPSALA LÄN</t>
        </is>
      </c>
      <c r="E1644" t="inlineStr">
        <is>
          <t>UPPSALA</t>
        </is>
      </c>
      <c r="F1644" t="inlineStr">
        <is>
          <t>Kommuner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61071-2024</t>
        </is>
      </c>
      <c r="B1645" s="1" t="n">
        <v>45645</v>
      </c>
      <c r="C1645" s="1" t="n">
        <v>45661</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61463-2024</t>
        </is>
      </c>
      <c r="B1646" s="1" t="n">
        <v>45646</v>
      </c>
      <c r="C1646" s="1" t="n">
        <v>45661</v>
      </c>
      <c r="D1646" t="inlineStr">
        <is>
          <t>UPPSALA LÄN</t>
        </is>
      </c>
      <c r="E1646" t="inlineStr">
        <is>
          <t>UPPSALA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61574-2024</t>
        </is>
      </c>
      <c r="B1647" s="1" t="n">
        <v>45646</v>
      </c>
      <c r="C1647" s="1" t="n">
        <v>45661</v>
      </c>
      <c r="D1647" t="inlineStr">
        <is>
          <t>UPPSALA LÄN</t>
        </is>
      </c>
      <c r="E1647" t="inlineStr">
        <is>
          <t>UPPSALA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62054-2024</t>
        </is>
      </c>
      <c r="B1648" s="1" t="n">
        <v>45656</v>
      </c>
      <c r="C1648" s="1" t="n">
        <v>45661</v>
      </c>
      <c r="D1648" t="inlineStr">
        <is>
          <t>UPPSALA LÄN</t>
        </is>
      </c>
      <c r="E1648" t="inlineStr">
        <is>
          <t>UPPSALA</t>
        </is>
      </c>
      <c r="F1648" t="inlineStr">
        <is>
          <t>Övriga statliga verk och myndigheter</t>
        </is>
      </c>
      <c r="G1648" t="n">
        <v>29.3</v>
      </c>
      <c r="H1648" t="n">
        <v>0</v>
      </c>
      <c r="I1648" t="n">
        <v>0</v>
      </c>
      <c r="J1648" t="n">
        <v>0</v>
      </c>
      <c r="K1648" t="n">
        <v>0</v>
      </c>
      <c r="L1648" t="n">
        <v>0</v>
      </c>
      <c r="M1648" t="n">
        <v>0</v>
      </c>
      <c r="N1648" t="n">
        <v>0</v>
      </c>
      <c r="O1648" t="n">
        <v>0</v>
      </c>
      <c r="P1648" t="n">
        <v>0</v>
      </c>
      <c r="Q1648" t="n">
        <v>0</v>
      </c>
      <c r="R1648" s="2" t="inlineStr"/>
    </row>
    <row r="1649">
      <c r="A1649" t="inlineStr">
        <is>
          <t>A 62044-2024</t>
        </is>
      </c>
      <c r="B1649" s="1" t="n">
        <v>45656</v>
      </c>
      <c r="C1649" s="1" t="n">
        <v>45661</v>
      </c>
      <c r="D1649" t="inlineStr">
        <is>
          <t>UPPSALA LÄN</t>
        </is>
      </c>
      <c r="E1649" t="inlineStr">
        <is>
          <t>UPPSALA</t>
        </is>
      </c>
      <c r="F1649" t="inlineStr">
        <is>
          <t>Övriga statliga verk och myndigheter</t>
        </is>
      </c>
      <c r="G1649" t="n">
        <v>11.6</v>
      </c>
      <c r="H1649" t="n">
        <v>0</v>
      </c>
      <c r="I1649" t="n">
        <v>0</v>
      </c>
      <c r="J1649" t="n">
        <v>0</v>
      </c>
      <c r="K1649" t="n">
        <v>0</v>
      </c>
      <c r="L1649" t="n">
        <v>0</v>
      </c>
      <c r="M1649" t="n">
        <v>0</v>
      </c>
      <c r="N1649" t="n">
        <v>0</v>
      </c>
      <c r="O1649" t="n">
        <v>0</v>
      </c>
      <c r="P1649" t="n">
        <v>0</v>
      </c>
      <c r="Q1649" t="n">
        <v>0</v>
      </c>
      <c r="R1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2025-01-04T15:59:13Z</dcterms:created>
  <dcterms:modified xmlns:dcterms="http://purl.org/dc/terms/" xmlns:xsi="http://www.w3.org/2001/XMLSchema-instance" xsi:type="dcterms:W3CDTF">2025-01-04T15:59:14Z</dcterms:modified>
</cp:coreProperties>
</file>