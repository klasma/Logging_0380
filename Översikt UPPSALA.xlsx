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45351</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45351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45351</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45351</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45351</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45351</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45351</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45351</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45351</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45351</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45351</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45351</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45351</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45351</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45351</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45351</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45351</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45351</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45351</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45351</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45351</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45351</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45351</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45351</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45351</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45351</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45351</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45351</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45351</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45351</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45351</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45351</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45351</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45351</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45351</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45351</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45351</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45351</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45351</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45351</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45351</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45351</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45351</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45351</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45351</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45351</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45351</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45351</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45351</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45351</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45351</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45351</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45351</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45351</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45351</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45351</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45351</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45351</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45351</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45351</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45351</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45351</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45351</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45351</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45351</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45351</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45351</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45351</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45351</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45351</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45351</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45351</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45351</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45351</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45351</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45351</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45351</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45351</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45351</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45351</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45351</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45351</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45351</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45351</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45351</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45351</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45351</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45351</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45351</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45351</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45351</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45351</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45351</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45351</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45351</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45351</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45351</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45351</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45351</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45351</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45351</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45351</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45351</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45351</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45351</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45351</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45351</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45351</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45351</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45351</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45351</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45351</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45351</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45351</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45351</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45351</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45351</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45351</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45351</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45351</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45351</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45351</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45351</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45351</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45351</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45351</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45351</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45351</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45351</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45351</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45351</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45351</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45351</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45351</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45351</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45351</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45351</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45351</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45351</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45351</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45351</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45351</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45351</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7395-2024</t>
        </is>
      </c>
      <c r="B145" s="1" t="n">
        <v>45345</v>
      </c>
      <c r="C145" s="1" t="n">
        <v>45351</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Knärot</t>
        </is>
      </c>
      <c r="S145">
        <f>HYPERLINK("https://klasma.github.io/Logging_0380/artfynd/A 7395-2024 artfynd.xlsx", "A 7395-2024")</f>
        <v/>
      </c>
      <c r="T145">
        <f>HYPERLINK("https://klasma.github.io/Logging_0380/kartor/A 7395-2024 karta.png", "A 7395-2024")</f>
        <v/>
      </c>
      <c r="U145">
        <f>HYPERLINK("https://klasma.github.io/Logging_0380/knärot/A 7395-2024 karta knärot.png", "A 7395-2024")</f>
        <v/>
      </c>
      <c r="V145">
        <f>HYPERLINK("https://klasma.github.io/Logging_0380/klagomål/A 7395-2024 FSC-klagomål.docx", "A 7395-2024")</f>
        <v/>
      </c>
      <c r="W145">
        <f>HYPERLINK("https://klasma.github.io/Logging_0380/klagomålsmail/A 7395-2024 FSC-klagomål mail.docx", "A 7395-2024")</f>
        <v/>
      </c>
      <c r="X145">
        <f>HYPERLINK("https://klasma.github.io/Logging_0380/tillsyn/A 7395-2024 tillsynsbegäran.docx", "A 7395-2024")</f>
        <v/>
      </c>
      <c r="Y145">
        <f>HYPERLINK("https://klasma.github.io/Logging_0380/tillsynsmail/A 7395-2024 tillsynsbegäran mail.docx", "A 7395-2024")</f>
        <v/>
      </c>
    </row>
    <row r="146" ht="15" customHeight="1">
      <c r="A146" t="inlineStr">
        <is>
          <t>A 7397-2024</t>
        </is>
      </c>
      <c r="B146" s="1" t="n">
        <v>45345</v>
      </c>
      <c r="C146" s="1" t="n">
        <v>45351</v>
      </c>
      <c r="D146" t="inlineStr">
        <is>
          <t>UPPSALA LÄN</t>
        </is>
      </c>
      <c r="E146" t="inlineStr">
        <is>
          <t>UPPSALA</t>
        </is>
      </c>
      <c r="G146" t="n">
        <v>3.4</v>
      </c>
      <c r="H146" t="n">
        <v>0</v>
      </c>
      <c r="I146" t="n">
        <v>1</v>
      </c>
      <c r="J146" t="n">
        <v>0</v>
      </c>
      <c r="K146" t="n">
        <v>0</v>
      </c>
      <c r="L146" t="n">
        <v>0</v>
      </c>
      <c r="M146" t="n">
        <v>0</v>
      </c>
      <c r="N146" t="n">
        <v>0</v>
      </c>
      <c r="O146" t="n">
        <v>0</v>
      </c>
      <c r="P146" t="n">
        <v>0</v>
      </c>
      <c r="Q146" t="n">
        <v>1</v>
      </c>
      <c r="R146" s="2" t="inlineStr">
        <is>
          <t>Svavelriska</t>
        </is>
      </c>
      <c r="S146">
        <f>HYPERLINK("https://klasma.github.io/Logging_0380/artfynd/A 7397-2024 artfynd.xlsx", "A 7397-2024")</f>
        <v/>
      </c>
      <c r="T146">
        <f>HYPERLINK("https://klasma.github.io/Logging_0380/kartor/A 7397-2024 karta.png", "A 7397-2024")</f>
        <v/>
      </c>
      <c r="U146">
        <f>HYPERLINK("https://klasma.github.io/Logging_0380/knärot/A 7397-2024 karta knärot.png", "A 7397-2024")</f>
        <v/>
      </c>
      <c r="V146">
        <f>HYPERLINK("https://klasma.github.io/Logging_0380/klagomål/A 7397-2024 FSC-klagomål.docx", "A 7397-2024")</f>
        <v/>
      </c>
      <c r="W146">
        <f>HYPERLINK("https://klasma.github.io/Logging_0380/klagomålsmail/A 7397-2024 FSC-klagomål mail.docx", "A 7397-2024")</f>
        <v/>
      </c>
      <c r="X146">
        <f>HYPERLINK("https://klasma.github.io/Logging_0380/tillsyn/A 7397-2024 tillsynsbegäran.docx", "A 7397-2024")</f>
        <v/>
      </c>
      <c r="Y146">
        <f>HYPERLINK("https://klasma.github.io/Logging_0380/tillsynsmail/A 7397-2024 tillsynsbegäran mail.docx", "A 7397-2024")</f>
        <v/>
      </c>
    </row>
    <row r="147" ht="15" customHeight="1">
      <c r="A147" t="inlineStr">
        <is>
          <t>A 34956-2018</t>
        </is>
      </c>
      <c r="B147" s="1" t="n">
        <v>43321</v>
      </c>
      <c r="C147" s="1" t="n">
        <v>45351</v>
      </c>
      <c r="D147" t="inlineStr">
        <is>
          <t>UPPSALA LÄN</t>
        </is>
      </c>
      <c r="E147" t="inlineStr">
        <is>
          <t>UPPSALA</t>
        </is>
      </c>
      <c r="G147" t="n">
        <v>7.9</v>
      </c>
      <c r="H147" t="n">
        <v>0</v>
      </c>
      <c r="I147" t="n">
        <v>0</v>
      </c>
      <c r="J147" t="n">
        <v>0</v>
      </c>
      <c r="K147" t="n">
        <v>0</v>
      </c>
      <c r="L147" t="n">
        <v>0</v>
      </c>
      <c r="M147" t="n">
        <v>0</v>
      </c>
      <c r="N147" t="n">
        <v>0</v>
      </c>
      <c r="O147" t="n">
        <v>0</v>
      </c>
      <c r="P147" t="n">
        <v>0</v>
      </c>
      <c r="Q147" t="n">
        <v>0</v>
      </c>
      <c r="R147" s="2" t="inlineStr"/>
    </row>
    <row r="148" ht="15" customHeight="1">
      <c r="A148" t="inlineStr">
        <is>
          <t>A 34957-2018</t>
        </is>
      </c>
      <c r="B148" s="1" t="n">
        <v>43321</v>
      </c>
      <c r="C148" s="1" t="n">
        <v>45351</v>
      </c>
      <c r="D148" t="inlineStr">
        <is>
          <t>UPPSALA LÄN</t>
        </is>
      </c>
      <c r="E148" t="inlineStr">
        <is>
          <t>UPPSALA</t>
        </is>
      </c>
      <c r="G148" t="n">
        <v>13.2</v>
      </c>
      <c r="H148" t="n">
        <v>0</v>
      </c>
      <c r="I148" t="n">
        <v>0</v>
      </c>
      <c r="J148" t="n">
        <v>0</v>
      </c>
      <c r="K148" t="n">
        <v>0</v>
      </c>
      <c r="L148" t="n">
        <v>0</v>
      </c>
      <c r="M148" t="n">
        <v>0</v>
      </c>
      <c r="N148" t="n">
        <v>0</v>
      </c>
      <c r="O148" t="n">
        <v>0</v>
      </c>
      <c r="P148" t="n">
        <v>0</v>
      </c>
      <c r="Q148" t="n">
        <v>0</v>
      </c>
      <c r="R148" s="2" t="inlineStr"/>
    </row>
    <row r="149" ht="15" customHeight="1">
      <c r="A149" t="inlineStr">
        <is>
          <t>A 38599-2018</t>
        </is>
      </c>
      <c r="B149" s="1" t="n">
        <v>43335</v>
      </c>
      <c r="C149" s="1" t="n">
        <v>45351</v>
      </c>
      <c r="D149" t="inlineStr">
        <is>
          <t>UPPSALA LÄN</t>
        </is>
      </c>
      <c r="E149" t="inlineStr">
        <is>
          <t>UPPSALA</t>
        </is>
      </c>
      <c r="G149" t="n">
        <v>1.4</v>
      </c>
      <c r="H149" t="n">
        <v>0</v>
      </c>
      <c r="I149" t="n">
        <v>0</v>
      </c>
      <c r="J149" t="n">
        <v>0</v>
      </c>
      <c r="K149" t="n">
        <v>0</v>
      </c>
      <c r="L149" t="n">
        <v>0</v>
      </c>
      <c r="M149" t="n">
        <v>0</v>
      </c>
      <c r="N149" t="n">
        <v>0</v>
      </c>
      <c r="O149" t="n">
        <v>0</v>
      </c>
      <c r="P149" t="n">
        <v>0</v>
      </c>
      <c r="Q149" t="n">
        <v>0</v>
      </c>
      <c r="R149" s="2" t="inlineStr"/>
    </row>
    <row r="150" ht="15" customHeight="1">
      <c r="A150" t="inlineStr">
        <is>
          <t>A 39217-2018</t>
        </is>
      </c>
      <c r="B150" s="1" t="n">
        <v>43341</v>
      </c>
      <c r="C150" s="1" t="n">
        <v>45351</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41580-2018</t>
        </is>
      </c>
      <c r="B151" s="1" t="n">
        <v>43347</v>
      </c>
      <c r="C151" s="1" t="n">
        <v>45351</v>
      </c>
      <c r="D151" t="inlineStr">
        <is>
          <t>UPPSALA LÄN</t>
        </is>
      </c>
      <c r="E151" t="inlineStr">
        <is>
          <t>UPPSALA</t>
        </is>
      </c>
      <c r="G151" t="n">
        <v>1.6</v>
      </c>
      <c r="H151" t="n">
        <v>0</v>
      </c>
      <c r="I151" t="n">
        <v>0</v>
      </c>
      <c r="J151" t="n">
        <v>0</v>
      </c>
      <c r="K151" t="n">
        <v>0</v>
      </c>
      <c r="L151" t="n">
        <v>0</v>
      </c>
      <c r="M151" t="n">
        <v>0</v>
      </c>
      <c r="N151" t="n">
        <v>0</v>
      </c>
      <c r="O151" t="n">
        <v>0</v>
      </c>
      <c r="P151" t="n">
        <v>0</v>
      </c>
      <c r="Q151" t="n">
        <v>0</v>
      </c>
      <c r="R151" s="2" t="inlineStr"/>
    </row>
    <row r="152" ht="15" customHeight="1">
      <c r="A152" t="inlineStr">
        <is>
          <t>A 44234-2018</t>
        </is>
      </c>
      <c r="B152" s="1" t="n">
        <v>43355</v>
      </c>
      <c r="C152" s="1" t="n">
        <v>45351</v>
      </c>
      <c r="D152" t="inlineStr">
        <is>
          <t>UPPSALA LÄN</t>
        </is>
      </c>
      <c r="E152" t="inlineStr">
        <is>
          <t>UPPSALA</t>
        </is>
      </c>
      <c r="G152" t="n">
        <v>1.1</v>
      </c>
      <c r="H152" t="n">
        <v>0</v>
      </c>
      <c r="I152" t="n">
        <v>0</v>
      </c>
      <c r="J152" t="n">
        <v>0</v>
      </c>
      <c r="K152" t="n">
        <v>0</v>
      </c>
      <c r="L152" t="n">
        <v>0</v>
      </c>
      <c r="M152" t="n">
        <v>0</v>
      </c>
      <c r="N152" t="n">
        <v>0</v>
      </c>
      <c r="O152" t="n">
        <v>0</v>
      </c>
      <c r="P152" t="n">
        <v>0</v>
      </c>
      <c r="Q152" t="n">
        <v>0</v>
      </c>
      <c r="R152" s="2" t="inlineStr"/>
    </row>
    <row r="153" ht="15" customHeight="1">
      <c r="A153" t="inlineStr">
        <is>
          <t>A 44178-2018</t>
        </is>
      </c>
      <c r="B153" s="1" t="n">
        <v>43360</v>
      </c>
      <c r="C153" s="1" t="n">
        <v>45351</v>
      </c>
      <c r="D153" t="inlineStr">
        <is>
          <t>UPPSALA LÄN</t>
        </is>
      </c>
      <c r="E153" t="inlineStr">
        <is>
          <t>UPPSALA</t>
        </is>
      </c>
      <c r="G153" t="n">
        <v>2</v>
      </c>
      <c r="H153" t="n">
        <v>0</v>
      </c>
      <c r="I153" t="n">
        <v>0</v>
      </c>
      <c r="J153" t="n">
        <v>0</v>
      </c>
      <c r="K153" t="n">
        <v>0</v>
      </c>
      <c r="L153" t="n">
        <v>0</v>
      </c>
      <c r="M153" t="n">
        <v>0</v>
      </c>
      <c r="N153" t="n">
        <v>0</v>
      </c>
      <c r="O153" t="n">
        <v>0</v>
      </c>
      <c r="P153" t="n">
        <v>0</v>
      </c>
      <c r="Q153" t="n">
        <v>0</v>
      </c>
      <c r="R153" s="2" t="inlineStr"/>
    </row>
    <row r="154" ht="15" customHeight="1">
      <c r="A154" t="inlineStr">
        <is>
          <t>A 49847-2018</t>
        </is>
      </c>
      <c r="B154" s="1" t="n">
        <v>43377</v>
      </c>
      <c r="C154" s="1" t="n">
        <v>45351</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51192-2018</t>
        </is>
      </c>
      <c r="B155" s="1" t="n">
        <v>43378</v>
      </c>
      <c r="C155" s="1" t="n">
        <v>45351</v>
      </c>
      <c r="D155" t="inlineStr">
        <is>
          <t>UPPSALA LÄN</t>
        </is>
      </c>
      <c r="E155" t="inlineStr">
        <is>
          <t>UPPSALA</t>
        </is>
      </c>
      <c r="F155" t="inlineStr">
        <is>
          <t>Allmännings- och besparingsskogar</t>
        </is>
      </c>
      <c r="G155" t="n">
        <v>5.6</v>
      </c>
      <c r="H155" t="n">
        <v>0</v>
      </c>
      <c r="I155" t="n">
        <v>0</v>
      </c>
      <c r="J155" t="n">
        <v>0</v>
      </c>
      <c r="K155" t="n">
        <v>0</v>
      </c>
      <c r="L155" t="n">
        <v>0</v>
      </c>
      <c r="M155" t="n">
        <v>0</v>
      </c>
      <c r="N155" t="n">
        <v>0</v>
      </c>
      <c r="O155" t="n">
        <v>0</v>
      </c>
      <c r="P155" t="n">
        <v>0</v>
      </c>
      <c r="Q155" t="n">
        <v>0</v>
      </c>
      <c r="R155" s="2" t="inlineStr"/>
    </row>
    <row r="156" ht="15" customHeight="1">
      <c r="A156" t="inlineStr">
        <is>
          <t>A 50380-2018</t>
        </is>
      </c>
      <c r="B156" s="1" t="n">
        <v>43378</v>
      </c>
      <c r="C156" s="1" t="n">
        <v>45351</v>
      </c>
      <c r="D156" t="inlineStr">
        <is>
          <t>UPPSALA LÄN</t>
        </is>
      </c>
      <c r="E156" t="inlineStr">
        <is>
          <t>UPPSALA</t>
        </is>
      </c>
      <c r="G156" t="n">
        <v>10.8</v>
      </c>
      <c r="H156" t="n">
        <v>0</v>
      </c>
      <c r="I156" t="n">
        <v>0</v>
      </c>
      <c r="J156" t="n">
        <v>0</v>
      </c>
      <c r="K156" t="n">
        <v>0</v>
      </c>
      <c r="L156" t="n">
        <v>0</v>
      </c>
      <c r="M156" t="n">
        <v>0</v>
      </c>
      <c r="N156" t="n">
        <v>0</v>
      </c>
      <c r="O156" t="n">
        <v>0</v>
      </c>
      <c r="P156" t="n">
        <v>0</v>
      </c>
      <c r="Q156" t="n">
        <v>0</v>
      </c>
      <c r="R156" s="2" t="inlineStr"/>
    </row>
    <row r="157" ht="15" customHeight="1">
      <c r="A157" t="inlineStr">
        <is>
          <t>A 51187-2018</t>
        </is>
      </c>
      <c r="B157" s="1" t="n">
        <v>43378</v>
      </c>
      <c r="C157" s="1" t="n">
        <v>45351</v>
      </c>
      <c r="D157" t="inlineStr">
        <is>
          <t>UPPSALA LÄN</t>
        </is>
      </c>
      <c r="E157" t="inlineStr">
        <is>
          <t>UPPSALA</t>
        </is>
      </c>
      <c r="F157" t="inlineStr">
        <is>
          <t>Allmännings- och besparingsskogar</t>
        </is>
      </c>
      <c r="G157" t="n">
        <v>21.1</v>
      </c>
      <c r="H157" t="n">
        <v>0</v>
      </c>
      <c r="I157" t="n">
        <v>0</v>
      </c>
      <c r="J157" t="n">
        <v>0</v>
      </c>
      <c r="K157" t="n">
        <v>0</v>
      </c>
      <c r="L157" t="n">
        <v>0</v>
      </c>
      <c r="M157" t="n">
        <v>0</v>
      </c>
      <c r="N157" t="n">
        <v>0</v>
      </c>
      <c r="O157" t="n">
        <v>0</v>
      </c>
      <c r="P157" t="n">
        <v>0</v>
      </c>
      <c r="Q157" t="n">
        <v>0</v>
      </c>
      <c r="R157" s="2" t="inlineStr"/>
    </row>
    <row r="158" ht="15" customHeight="1">
      <c r="A158" t="inlineStr">
        <is>
          <t>A 51664-2018</t>
        </is>
      </c>
      <c r="B158" s="1" t="n">
        <v>43381</v>
      </c>
      <c r="C158" s="1" t="n">
        <v>45351</v>
      </c>
      <c r="D158" t="inlineStr">
        <is>
          <t>UPPSALA LÄN</t>
        </is>
      </c>
      <c r="E158" t="inlineStr">
        <is>
          <t>UPPSALA</t>
        </is>
      </c>
      <c r="F158" t="inlineStr">
        <is>
          <t>Övriga statliga verk och myndigheter</t>
        </is>
      </c>
      <c r="G158" t="n">
        <v>0.4</v>
      </c>
      <c r="H158" t="n">
        <v>0</v>
      </c>
      <c r="I158" t="n">
        <v>0</v>
      </c>
      <c r="J158" t="n">
        <v>0</v>
      </c>
      <c r="K158" t="n">
        <v>0</v>
      </c>
      <c r="L158" t="n">
        <v>0</v>
      </c>
      <c r="M158" t="n">
        <v>0</v>
      </c>
      <c r="N158" t="n">
        <v>0</v>
      </c>
      <c r="O158" t="n">
        <v>0</v>
      </c>
      <c r="P158" t="n">
        <v>0</v>
      </c>
      <c r="Q158" t="n">
        <v>0</v>
      </c>
      <c r="R158" s="2" t="inlineStr"/>
    </row>
    <row r="159" ht="15" customHeight="1">
      <c r="A159" t="inlineStr">
        <is>
          <t>A 51656-2018</t>
        </is>
      </c>
      <c r="B159" s="1" t="n">
        <v>43381</v>
      </c>
      <c r="C159" s="1" t="n">
        <v>45351</v>
      </c>
      <c r="D159" t="inlineStr">
        <is>
          <t>UPPSALA LÄN</t>
        </is>
      </c>
      <c r="E159" t="inlineStr">
        <is>
          <t>UPPSALA</t>
        </is>
      </c>
      <c r="F159" t="inlineStr">
        <is>
          <t>Övriga statliga verk och myndigheter</t>
        </is>
      </c>
      <c r="G159" t="n">
        <v>1.2</v>
      </c>
      <c r="H159" t="n">
        <v>0</v>
      </c>
      <c r="I159" t="n">
        <v>0</v>
      </c>
      <c r="J159" t="n">
        <v>0</v>
      </c>
      <c r="K159" t="n">
        <v>0</v>
      </c>
      <c r="L159" t="n">
        <v>0</v>
      </c>
      <c r="M159" t="n">
        <v>0</v>
      </c>
      <c r="N159" t="n">
        <v>0</v>
      </c>
      <c r="O159" t="n">
        <v>0</v>
      </c>
      <c r="P159" t="n">
        <v>0</v>
      </c>
      <c r="Q159" t="n">
        <v>0</v>
      </c>
      <c r="R159" s="2" t="inlineStr"/>
    </row>
    <row r="160" ht="15" customHeight="1">
      <c r="A160" t="inlineStr">
        <is>
          <t>A 52762-2018</t>
        </is>
      </c>
      <c r="B160" s="1" t="n">
        <v>43389</v>
      </c>
      <c r="C160" s="1" t="n">
        <v>45351</v>
      </c>
      <c r="D160" t="inlineStr">
        <is>
          <t>UPPSALA LÄN</t>
        </is>
      </c>
      <c r="E160" t="inlineStr">
        <is>
          <t>UPPSALA</t>
        </is>
      </c>
      <c r="G160" t="n">
        <v>8</v>
      </c>
      <c r="H160" t="n">
        <v>0</v>
      </c>
      <c r="I160" t="n">
        <v>0</v>
      </c>
      <c r="J160" t="n">
        <v>0</v>
      </c>
      <c r="K160" t="n">
        <v>0</v>
      </c>
      <c r="L160" t="n">
        <v>0</v>
      </c>
      <c r="M160" t="n">
        <v>0</v>
      </c>
      <c r="N160" t="n">
        <v>0</v>
      </c>
      <c r="O160" t="n">
        <v>0</v>
      </c>
      <c r="P160" t="n">
        <v>0</v>
      </c>
      <c r="Q160" t="n">
        <v>0</v>
      </c>
      <c r="R160" s="2" t="inlineStr"/>
    </row>
    <row r="161" ht="15" customHeight="1">
      <c r="A161" t="inlineStr">
        <is>
          <t>A 56382-2018</t>
        </is>
      </c>
      <c r="B161" s="1" t="n">
        <v>43395</v>
      </c>
      <c r="C161" s="1" t="n">
        <v>45351</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55829-2018</t>
        </is>
      </c>
      <c r="B162" s="1" t="n">
        <v>43398</v>
      </c>
      <c r="C162" s="1" t="n">
        <v>45351</v>
      </c>
      <c r="D162" t="inlineStr">
        <is>
          <t>UPPSALA LÄN</t>
        </is>
      </c>
      <c r="E162" t="inlineStr">
        <is>
          <t>UPPSALA</t>
        </is>
      </c>
      <c r="F162" t="inlineStr">
        <is>
          <t>Bergvik skog öst AB</t>
        </is>
      </c>
      <c r="G162" t="n">
        <v>4.6</v>
      </c>
      <c r="H162" t="n">
        <v>0</v>
      </c>
      <c r="I162" t="n">
        <v>0</v>
      </c>
      <c r="J162" t="n">
        <v>0</v>
      </c>
      <c r="K162" t="n">
        <v>0</v>
      </c>
      <c r="L162" t="n">
        <v>0</v>
      </c>
      <c r="M162" t="n">
        <v>0</v>
      </c>
      <c r="N162" t="n">
        <v>0</v>
      </c>
      <c r="O162" t="n">
        <v>0</v>
      </c>
      <c r="P162" t="n">
        <v>0</v>
      </c>
      <c r="Q162" t="n">
        <v>0</v>
      </c>
      <c r="R162" s="2" t="inlineStr"/>
    </row>
    <row r="163" ht="15" customHeight="1">
      <c r="A163" t="inlineStr">
        <is>
          <t>A 60554-2018</t>
        </is>
      </c>
      <c r="B163" s="1" t="n">
        <v>43407</v>
      </c>
      <c r="C163" s="1" t="n">
        <v>45351</v>
      </c>
      <c r="D163" t="inlineStr">
        <is>
          <t>UPPSALA LÄN</t>
        </is>
      </c>
      <c r="E163" t="inlineStr">
        <is>
          <t>UPPSALA</t>
        </is>
      </c>
      <c r="G163" t="n">
        <v>5.4</v>
      </c>
      <c r="H163" t="n">
        <v>0</v>
      </c>
      <c r="I163" t="n">
        <v>0</v>
      </c>
      <c r="J163" t="n">
        <v>0</v>
      </c>
      <c r="K163" t="n">
        <v>0</v>
      </c>
      <c r="L163" t="n">
        <v>0</v>
      </c>
      <c r="M163" t="n">
        <v>0</v>
      </c>
      <c r="N163" t="n">
        <v>0</v>
      </c>
      <c r="O163" t="n">
        <v>0</v>
      </c>
      <c r="P163" t="n">
        <v>0</v>
      </c>
      <c r="Q163" t="n">
        <v>0</v>
      </c>
      <c r="R163" s="2" t="inlineStr"/>
    </row>
    <row r="164" ht="15" customHeight="1">
      <c r="A164" t="inlineStr">
        <is>
          <t>A 59095-2018</t>
        </is>
      </c>
      <c r="B164" s="1" t="n">
        <v>43411</v>
      </c>
      <c r="C164" s="1" t="n">
        <v>45351</v>
      </c>
      <c r="D164" t="inlineStr">
        <is>
          <t>UPPSALA LÄN</t>
        </is>
      </c>
      <c r="E164" t="inlineStr">
        <is>
          <t>UPPSALA</t>
        </is>
      </c>
      <c r="F164" t="inlineStr">
        <is>
          <t>Allmännings- och besparingsskogar</t>
        </is>
      </c>
      <c r="G164" t="n">
        <v>18.7</v>
      </c>
      <c r="H164" t="n">
        <v>0</v>
      </c>
      <c r="I164" t="n">
        <v>0</v>
      </c>
      <c r="J164" t="n">
        <v>0</v>
      </c>
      <c r="K164" t="n">
        <v>0</v>
      </c>
      <c r="L164" t="n">
        <v>0</v>
      </c>
      <c r="M164" t="n">
        <v>0</v>
      </c>
      <c r="N164" t="n">
        <v>0</v>
      </c>
      <c r="O164" t="n">
        <v>0</v>
      </c>
      <c r="P164" t="n">
        <v>0</v>
      </c>
      <c r="Q164" t="n">
        <v>0</v>
      </c>
      <c r="R164" s="2" t="inlineStr"/>
    </row>
    <row r="165" ht="15" customHeight="1">
      <c r="A165" t="inlineStr">
        <is>
          <t>A 63084-2018</t>
        </is>
      </c>
      <c r="B165" s="1" t="n">
        <v>43418</v>
      </c>
      <c r="C165" s="1" t="n">
        <v>45351</v>
      </c>
      <c r="D165" t="inlineStr">
        <is>
          <t>UPPSALA LÄN</t>
        </is>
      </c>
      <c r="E165" t="inlineStr">
        <is>
          <t>UPPSALA</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60396-2018</t>
        </is>
      </c>
      <c r="B166" s="1" t="n">
        <v>43420</v>
      </c>
      <c r="C166" s="1" t="n">
        <v>45351</v>
      </c>
      <c r="D166" t="inlineStr">
        <is>
          <t>UPPSALA LÄN</t>
        </is>
      </c>
      <c r="E166" t="inlineStr">
        <is>
          <t>UPPSALA</t>
        </is>
      </c>
      <c r="F166" t="inlineStr">
        <is>
          <t>Bergvik skog öst AB</t>
        </is>
      </c>
      <c r="G166" t="n">
        <v>3.5</v>
      </c>
      <c r="H166" t="n">
        <v>0</v>
      </c>
      <c r="I166" t="n">
        <v>0</v>
      </c>
      <c r="J166" t="n">
        <v>0</v>
      </c>
      <c r="K166" t="n">
        <v>0</v>
      </c>
      <c r="L166" t="n">
        <v>0</v>
      </c>
      <c r="M166" t="n">
        <v>0</v>
      </c>
      <c r="N166" t="n">
        <v>0</v>
      </c>
      <c r="O166" t="n">
        <v>0</v>
      </c>
      <c r="P166" t="n">
        <v>0</v>
      </c>
      <c r="Q166" t="n">
        <v>0</v>
      </c>
      <c r="R166" s="2" t="inlineStr"/>
    </row>
    <row r="167" ht="15" customHeight="1">
      <c r="A167" t="inlineStr">
        <is>
          <t>A 61154-2018</t>
        </is>
      </c>
      <c r="B167" s="1" t="n">
        <v>43423</v>
      </c>
      <c r="C167" s="1" t="n">
        <v>45351</v>
      </c>
      <c r="D167" t="inlineStr">
        <is>
          <t>UPPSALA LÄN</t>
        </is>
      </c>
      <c r="E167" t="inlineStr">
        <is>
          <t>UPPSALA</t>
        </is>
      </c>
      <c r="G167" t="n">
        <v>3.8</v>
      </c>
      <c r="H167" t="n">
        <v>0</v>
      </c>
      <c r="I167" t="n">
        <v>0</v>
      </c>
      <c r="J167" t="n">
        <v>0</v>
      </c>
      <c r="K167" t="n">
        <v>0</v>
      </c>
      <c r="L167" t="n">
        <v>0</v>
      </c>
      <c r="M167" t="n">
        <v>0</v>
      </c>
      <c r="N167" t="n">
        <v>0</v>
      </c>
      <c r="O167" t="n">
        <v>0</v>
      </c>
      <c r="P167" t="n">
        <v>0</v>
      </c>
      <c r="Q167" t="n">
        <v>0</v>
      </c>
      <c r="R167" s="2" t="inlineStr"/>
    </row>
    <row r="168" ht="15" customHeight="1">
      <c r="A168" t="inlineStr">
        <is>
          <t>A 61230-2018</t>
        </is>
      </c>
      <c r="B168" s="1" t="n">
        <v>43423</v>
      </c>
      <c r="C168" s="1" t="n">
        <v>45351</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61542-2018</t>
        </is>
      </c>
      <c r="B169" s="1" t="n">
        <v>43424</v>
      </c>
      <c r="C169" s="1" t="n">
        <v>45351</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61437-2018</t>
        </is>
      </c>
      <c r="B170" s="1" t="n">
        <v>43424</v>
      </c>
      <c r="C170" s="1" t="n">
        <v>45351</v>
      </c>
      <c r="D170" t="inlineStr">
        <is>
          <t>UPPSALA LÄN</t>
        </is>
      </c>
      <c r="E170" t="inlineStr">
        <is>
          <t>UPPSALA</t>
        </is>
      </c>
      <c r="G170" t="n">
        <v>0.2</v>
      </c>
      <c r="H170" t="n">
        <v>0</v>
      </c>
      <c r="I170" t="n">
        <v>0</v>
      </c>
      <c r="J170" t="n">
        <v>0</v>
      </c>
      <c r="K170" t="n">
        <v>0</v>
      </c>
      <c r="L170" t="n">
        <v>0</v>
      </c>
      <c r="M170" t="n">
        <v>0</v>
      </c>
      <c r="N170" t="n">
        <v>0</v>
      </c>
      <c r="O170" t="n">
        <v>0</v>
      </c>
      <c r="P170" t="n">
        <v>0</v>
      </c>
      <c r="Q170" t="n">
        <v>0</v>
      </c>
      <c r="R170" s="2" t="inlineStr"/>
    </row>
    <row r="171" ht="15" customHeight="1">
      <c r="A171" t="inlineStr">
        <is>
          <t>A 61537-2018</t>
        </is>
      </c>
      <c r="B171" s="1" t="n">
        <v>43424</v>
      </c>
      <c r="C171" s="1" t="n">
        <v>45351</v>
      </c>
      <c r="D171" t="inlineStr">
        <is>
          <t>UPPSALA LÄN</t>
        </is>
      </c>
      <c r="E171" t="inlineStr">
        <is>
          <t>UPPSALA</t>
        </is>
      </c>
      <c r="F171" t="inlineStr">
        <is>
          <t>Bergvik skog öst AB</t>
        </is>
      </c>
      <c r="G171" t="n">
        <v>3.1</v>
      </c>
      <c r="H171" t="n">
        <v>0</v>
      </c>
      <c r="I171" t="n">
        <v>0</v>
      </c>
      <c r="J171" t="n">
        <v>0</v>
      </c>
      <c r="K171" t="n">
        <v>0</v>
      </c>
      <c r="L171" t="n">
        <v>0</v>
      </c>
      <c r="M171" t="n">
        <v>0</v>
      </c>
      <c r="N171" t="n">
        <v>0</v>
      </c>
      <c r="O171" t="n">
        <v>0</v>
      </c>
      <c r="P171" t="n">
        <v>0</v>
      </c>
      <c r="Q171" t="n">
        <v>0</v>
      </c>
      <c r="R171" s="2" t="inlineStr"/>
    </row>
    <row r="172" ht="15" customHeight="1">
      <c r="A172" t="inlineStr">
        <is>
          <t>A 66329-2018</t>
        </is>
      </c>
      <c r="B172" s="1" t="n">
        <v>43427</v>
      </c>
      <c r="C172" s="1" t="n">
        <v>45351</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63962-2018</t>
        </is>
      </c>
      <c r="B173" s="1" t="n">
        <v>43430</v>
      </c>
      <c r="C173" s="1" t="n">
        <v>45351</v>
      </c>
      <c r="D173" t="inlineStr">
        <is>
          <t>UPPSALA LÄN</t>
        </is>
      </c>
      <c r="E173" t="inlineStr">
        <is>
          <t>UPPSALA</t>
        </is>
      </c>
      <c r="G173" t="n">
        <v>2.9</v>
      </c>
      <c r="H173" t="n">
        <v>0</v>
      </c>
      <c r="I173" t="n">
        <v>0</v>
      </c>
      <c r="J173" t="n">
        <v>0</v>
      </c>
      <c r="K173" t="n">
        <v>0</v>
      </c>
      <c r="L173" t="n">
        <v>0</v>
      </c>
      <c r="M173" t="n">
        <v>0</v>
      </c>
      <c r="N173" t="n">
        <v>0</v>
      </c>
      <c r="O173" t="n">
        <v>0</v>
      </c>
      <c r="P173" t="n">
        <v>0</v>
      </c>
      <c r="Q173" t="n">
        <v>0</v>
      </c>
      <c r="R173" s="2" t="inlineStr"/>
    </row>
    <row r="174" ht="15" customHeight="1">
      <c r="A174" t="inlineStr">
        <is>
          <t>A 64854-2018</t>
        </is>
      </c>
      <c r="B174" s="1" t="n">
        <v>43431</v>
      </c>
      <c r="C174" s="1" t="n">
        <v>45351</v>
      </c>
      <c r="D174" t="inlineStr">
        <is>
          <t>UPPSALA LÄN</t>
        </is>
      </c>
      <c r="E174" t="inlineStr">
        <is>
          <t>UPPSALA</t>
        </is>
      </c>
      <c r="G174" t="n">
        <v>4.4</v>
      </c>
      <c r="H174" t="n">
        <v>0</v>
      </c>
      <c r="I174" t="n">
        <v>0</v>
      </c>
      <c r="J174" t="n">
        <v>0</v>
      </c>
      <c r="K174" t="n">
        <v>0</v>
      </c>
      <c r="L174" t="n">
        <v>0</v>
      </c>
      <c r="M174" t="n">
        <v>0</v>
      </c>
      <c r="N174" t="n">
        <v>0</v>
      </c>
      <c r="O174" t="n">
        <v>0</v>
      </c>
      <c r="P174" t="n">
        <v>0</v>
      </c>
      <c r="Q174" t="n">
        <v>0</v>
      </c>
      <c r="R174" s="2" t="inlineStr"/>
    </row>
    <row r="175" ht="15" customHeight="1">
      <c r="A175" t="inlineStr">
        <is>
          <t>A 65389-2018</t>
        </is>
      </c>
      <c r="B175" s="1" t="n">
        <v>43433</v>
      </c>
      <c r="C175" s="1" t="n">
        <v>45351</v>
      </c>
      <c r="D175" t="inlineStr">
        <is>
          <t>UPPSALA LÄN</t>
        </is>
      </c>
      <c r="E175" t="inlineStr">
        <is>
          <t>UPPSALA</t>
        </is>
      </c>
      <c r="G175" t="n">
        <v>1.1</v>
      </c>
      <c r="H175" t="n">
        <v>0</v>
      </c>
      <c r="I175" t="n">
        <v>0</v>
      </c>
      <c r="J175" t="n">
        <v>0</v>
      </c>
      <c r="K175" t="n">
        <v>0</v>
      </c>
      <c r="L175" t="n">
        <v>0</v>
      </c>
      <c r="M175" t="n">
        <v>0</v>
      </c>
      <c r="N175" t="n">
        <v>0</v>
      </c>
      <c r="O175" t="n">
        <v>0</v>
      </c>
      <c r="P175" t="n">
        <v>0</v>
      </c>
      <c r="Q175" t="n">
        <v>0</v>
      </c>
      <c r="R175" s="2" t="inlineStr"/>
    </row>
    <row r="176" ht="15" customHeight="1">
      <c r="A176" t="inlineStr">
        <is>
          <t>A 65590-2018</t>
        </is>
      </c>
      <c r="B176" s="1" t="n">
        <v>43433</v>
      </c>
      <c r="C176" s="1" t="n">
        <v>45351</v>
      </c>
      <c r="D176" t="inlineStr">
        <is>
          <t>UPPSALA LÄN</t>
        </is>
      </c>
      <c r="E176" t="inlineStr">
        <is>
          <t>UPPSALA</t>
        </is>
      </c>
      <c r="G176" t="n">
        <v>5.5</v>
      </c>
      <c r="H176" t="n">
        <v>0</v>
      </c>
      <c r="I176" t="n">
        <v>0</v>
      </c>
      <c r="J176" t="n">
        <v>0</v>
      </c>
      <c r="K176" t="n">
        <v>0</v>
      </c>
      <c r="L176" t="n">
        <v>0</v>
      </c>
      <c r="M176" t="n">
        <v>0</v>
      </c>
      <c r="N176" t="n">
        <v>0</v>
      </c>
      <c r="O176" t="n">
        <v>0</v>
      </c>
      <c r="P176" t="n">
        <v>0</v>
      </c>
      <c r="Q176" t="n">
        <v>0</v>
      </c>
      <c r="R176" s="2" t="inlineStr"/>
    </row>
    <row r="177" ht="15" customHeight="1">
      <c r="A177" t="inlineStr">
        <is>
          <t>A 65785-2018</t>
        </is>
      </c>
      <c r="B177" s="1" t="n">
        <v>43433</v>
      </c>
      <c r="C177" s="1" t="n">
        <v>45351</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65486-2018</t>
        </is>
      </c>
      <c r="B178" s="1" t="n">
        <v>43433</v>
      </c>
      <c r="C178" s="1" t="n">
        <v>45351</v>
      </c>
      <c r="D178" t="inlineStr">
        <is>
          <t>UPPSALA LÄN</t>
        </is>
      </c>
      <c r="E178" t="inlineStr">
        <is>
          <t>UPPSALA</t>
        </is>
      </c>
      <c r="G178" t="n">
        <v>0.6</v>
      </c>
      <c r="H178" t="n">
        <v>0</v>
      </c>
      <c r="I178" t="n">
        <v>0</v>
      </c>
      <c r="J178" t="n">
        <v>0</v>
      </c>
      <c r="K178" t="n">
        <v>0</v>
      </c>
      <c r="L178" t="n">
        <v>0</v>
      </c>
      <c r="M178" t="n">
        <v>0</v>
      </c>
      <c r="N178" t="n">
        <v>0</v>
      </c>
      <c r="O178" t="n">
        <v>0</v>
      </c>
      <c r="P178" t="n">
        <v>0</v>
      </c>
      <c r="Q178" t="n">
        <v>0</v>
      </c>
      <c r="R178" s="2" t="inlineStr"/>
    </row>
    <row r="179" ht="15" customHeight="1">
      <c r="A179" t="inlineStr">
        <is>
          <t>A 67906-2018</t>
        </is>
      </c>
      <c r="B179" s="1" t="n">
        <v>43436</v>
      </c>
      <c r="C179" s="1" t="n">
        <v>45351</v>
      </c>
      <c r="D179" t="inlineStr">
        <is>
          <t>UPPSALA LÄN</t>
        </is>
      </c>
      <c r="E179" t="inlineStr">
        <is>
          <t>UPPSALA</t>
        </is>
      </c>
      <c r="G179" t="n">
        <v>2</v>
      </c>
      <c r="H179" t="n">
        <v>0</v>
      </c>
      <c r="I179" t="n">
        <v>0</v>
      </c>
      <c r="J179" t="n">
        <v>0</v>
      </c>
      <c r="K179" t="n">
        <v>0</v>
      </c>
      <c r="L179" t="n">
        <v>0</v>
      </c>
      <c r="M179" t="n">
        <v>0</v>
      </c>
      <c r="N179" t="n">
        <v>0</v>
      </c>
      <c r="O179" t="n">
        <v>0</v>
      </c>
      <c r="P179" t="n">
        <v>0</v>
      </c>
      <c r="Q179" t="n">
        <v>0</v>
      </c>
      <c r="R179" s="2" t="inlineStr"/>
    </row>
    <row r="180" ht="15" customHeight="1">
      <c r="A180" t="inlineStr">
        <is>
          <t>A 67910-2018</t>
        </is>
      </c>
      <c r="B180" s="1" t="n">
        <v>43436</v>
      </c>
      <c r="C180" s="1" t="n">
        <v>45351</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66589-2018</t>
        </is>
      </c>
      <c r="B181" s="1" t="n">
        <v>43437</v>
      </c>
      <c r="C181" s="1" t="n">
        <v>45351</v>
      </c>
      <c r="D181" t="inlineStr">
        <is>
          <t>UPPSALA LÄN</t>
        </is>
      </c>
      <c r="E181" t="inlineStr">
        <is>
          <t>UPPSALA</t>
        </is>
      </c>
      <c r="G181" t="n">
        <v>4.7</v>
      </c>
      <c r="H181" t="n">
        <v>0</v>
      </c>
      <c r="I181" t="n">
        <v>0</v>
      </c>
      <c r="J181" t="n">
        <v>0</v>
      </c>
      <c r="K181" t="n">
        <v>0</v>
      </c>
      <c r="L181" t="n">
        <v>0</v>
      </c>
      <c r="M181" t="n">
        <v>0</v>
      </c>
      <c r="N181" t="n">
        <v>0</v>
      </c>
      <c r="O181" t="n">
        <v>0</v>
      </c>
      <c r="P181" t="n">
        <v>0</v>
      </c>
      <c r="Q181" t="n">
        <v>0</v>
      </c>
      <c r="R181" s="2" t="inlineStr"/>
    </row>
    <row r="182" ht="15" customHeight="1">
      <c r="A182" t="inlineStr">
        <is>
          <t>A 67431-2018</t>
        </is>
      </c>
      <c r="B182" s="1" t="n">
        <v>43439</v>
      </c>
      <c r="C182" s="1" t="n">
        <v>45351</v>
      </c>
      <c r="D182" t="inlineStr">
        <is>
          <t>UPPSALA LÄN</t>
        </is>
      </c>
      <c r="E182" t="inlineStr">
        <is>
          <t>UPPSALA</t>
        </is>
      </c>
      <c r="G182" t="n">
        <v>1.3</v>
      </c>
      <c r="H182" t="n">
        <v>0</v>
      </c>
      <c r="I182" t="n">
        <v>0</v>
      </c>
      <c r="J182" t="n">
        <v>0</v>
      </c>
      <c r="K182" t="n">
        <v>0</v>
      </c>
      <c r="L182" t="n">
        <v>0</v>
      </c>
      <c r="M182" t="n">
        <v>0</v>
      </c>
      <c r="N182" t="n">
        <v>0</v>
      </c>
      <c r="O182" t="n">
        <v>0</v>
      </c>
      <c r="P182" t="n">
        <v>0</v>
      </c>
      <c r="Q182" t="n">
        <v>0</v>
      </c>
      <c r="R182" s="2" t="inlineStr"/>
    </row>
    <row r="183" ht="15" customHeight="1">
      <c r="A183" t="inlineStr">
        <is>
          <t>A 69939-2018</t>
        </is>
      </c>
      <c r="B183" s="1" t="n">
        <v>43444</v>
      </c>
      <c r="C183" s="1" t="n">
        <v>45351</v>
      </c>
      <c r="D183" t="inlineStr">
        <is>
          <t>UPPSALA LÄN</t>
        </is>
      </c>
      <c r="E183" t="inlineStr">
        <is>
          <t>UPPSALA</t>
        </is>
      </c>
      <c r="G183" t="n">
        <v>1.7</v>
      </c>
      <c r="H183" t="n">
        <v>0</v>
      </c>
      <c r="I183" t="n">
        <v>0</v>
      </c>
      <c r="J183" t="n">
        <v>0</v>
      </c>
      <c r="K183" t="n">
        <v>0</v>
      </c>
      <c r="L183" t="n">
        <v>0</v>
      </c>
      <c r="M183" t="n">
        <v>0</v>
      </c>
      <c r="N183" t="n">
        <v>0</v>
      </c>
      <c r="O183" t="n">
        <v>0</v>
      </c>
      <c r="P183" t="n">
        <v>0</v>
      </c>
      <c r="Q183" t="n">
        <v>0</v>
      </c>
      <c r="R183" s="2" t="inlineStr"/>
    </row>
    <row r="184" ht="15" customHeight="1">
      <c r="A184" t="inlineStr">
        <is>
          <t>A 69019-2018</t>
        </is>
      </c>
      <c r="B184" s="1" t="n">
        <v>43445</v>
      </c>
      <c r="C184" s="1" t="n">
        <v>45351</v>
      </c>
      <c r="D184" t="inlineStr">
        <is>
          <t>UPPSALA LÄN</t>
        </is>
      </c>
      <c r="E184" t="inlineStr">
        <is>
          <t>UPPSALA</t>
        </is>
      </c>
      <c r="G184" t="n">
        <v>0.8</v>
      </c>
      <c r="H184" t="n">
        <v>0</v>
      </c>
      <c r="I184" t="n">
        <v>0</v>
      </c>
      <c r="J184" t="n">
        <v>0</v>
      </c>
      <c r="K184" t="n">
        <v>0</v>
      </c>
      <c r="L184" t="n">
        <v>0</v>
      </c>
      <c r="M184" t="n">
        <v>0</v>
      </c>
      <c r="N184" t="n">
        <v>0</v>
      </c>
      <c r="O184" t="n">
        <v>0</v>
      </c>
      <c r="P184" t="n">
        <v>0</v>
      </c>
      <c r="Q184" t="n">
        <v>0</v>
      </c>
      <c r="R184" s="2" t="inlineStr"/>
    </row>
    <row r="185" ht="15" customHeight="1">
      <c r="A185" t="inlineStr">
        <is>
          <t>A 69515-2018</t>
        </is>
      </c>
      <c r="B185" s="1" t="n">
        <v>43446</v>
      </c>
      <c r="C185" s="1" t="n">
        <v>45351</v>
      </c>
      <c r="D185" t="inlineStr">
        <is>
          <t>UPPSALA LÄN</t>
        </is>
      </c>
      <c r="E185" t="inlineStr">
        <is>
          <t>UPPSALA</t>
        </is>
      </c>
      <c r="G185" t="n">
        <v>0.4</v>
      </c>
      <c r="H185" t="n">
        <v>0</v>
      </c>
      <c r="I185" t="n">
        <v>0</v>
      </c>
      <c r="J185" t="n">
        <v>0</v>
      </c>
      <c r="K185" t="n">
        <v>0</v>
      </c>
      <c r="L185" t="n">
        <v>0</v>
      </c>
      <c r="M185" t="n">
        <v>0</v>
      </c>
      <c r="N185" t="n">
        <v>0</v>
      </c>
      <c r="O185" t="n">
        <v>0</v>
      </c>
      <c r="P185" t="n">
        <v>0</v>
      </c>
      <c r="Q185" t="n">
        <v>0</v>
      </c>
      <c r="R185" s="2" t="inlineStr"/>
    </row>
    <row r="186" ht="15" customHeight="1">
      <c r="A186" t="inlineStr">
        <is>
          <t>A 69517-2018</t>
        </is>
      </c>
      <c r="B186" s="1" t="n">
        <v>43446</v>
      </c>
      <c r="C186" s="1" t="n">
        <v>45351</v>
      </c>
      <c r="D186" t="inlineStr">
        <is>
          <t>UPPSALA LÄN</t>
        </is>
      </c>
      <c r="E186" t="inlineStr">
        <is>
          <t>UPPSALA</t>
        </is>
      </c>
      <c r="G186" t="n">
        <v>1</v>
      </c>
      <c r="H186" t="n">
        <v>0</v>
      </c>
      <c r="I186" t="n">
        <v>0</v>
      </c>
      <c r="J186" t="n">
        <v>0</v>
      </c>
      <c r="K186" t="n">
        <v>0</v>
      </c>
      <c r="L186" t="n">
        <v>0</v>
      </c>
      <c r="M186" t="n">
        <v>0</v>
      </c>
      <c r="N186" t="n">
        <v>0</v>
      </c>
      <c r="O186" t="n">
        <v>0</v>
      </c>
      <c r="P186" t="n">
        <v>0</v>
      </c>
      <c r="Q186" t="n">
        <v>0</v>
      </c>
      <c r="R186" s="2" t="inlineStr"/>
    </row>
    <row r="187" ht="15" customHeight="1">
      <c r="A187" t="inlineStr">
        <is>
          <t>A 69884-2018</t>
        </is>
      </c>
      <c r="B187" s="1" t="n">
        <v>43447</v>
      </c>
      <c r="C187" s="1" t="n">
        <v>45351</v>
      </c>
      <c r="D187" t="inlineStr">
        <is>
          <t>UPPSALA LÄN</t>
        </is>
      </c>
      <c r="E187" t="inlineStr">
        <is>
          <t>UPPSALA</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69890-2018</t>
        </is>
      </c>
      <c r="B188" s="1" t="n">
        <v>43447</v>
      </c>
      <c r="C188" s="1" t="n">
        <v>45351</v>
      </c>
      <c r="D188" t="inlineStr">
        <is>
          <t>UPPSALA LÄN</t>
        </is>
      </c>
      <c r="E188" t="inlineStr">
        <is>
          <t>UPPSALA</t>
        </is>
      </c>
      <c r="G188" t="n">
        <v>1.9</v>
      </c>
      <c r="H188" t="n">
        <v>0</v>
      </c>
      <c r="I188" t="n">
        <v>0</v>
      </c>
      <c r="J188" t="n">
        <v>0</v>
      </c>
      <c r="K188" t="n">
        <v>0</v>
      </c>
      <c r="L188" t="n">
        <v>0</v>
      </c>
      <c r="M188" t="n">
        <v>0</v>
      </c>
      <c r="N188" t="n">
        <v>0</v>
      </c>
      <c r="O188" t="n">
        <v>0</v>
      </c>
      <c r="P188" t="n">
        <v>0</v>
      </c>
      <c r="Q188" t="n">
        <v>0</v>
      </c>
      <c r="R188" s="2" t="inlineStr"/>
    </row>
    <row r="189" ht="15" customHeight="1">
      <c r="A189" t="inlineStr">
        <is>
          <t>A 69703-2018</t>
        </is>
      </c>
      <c r="B189" s="1" t="n">
        <v>43447</v>
      </c>
      <c r="C189" s="1" t="n">
        <v>45351</v>
      </c>
      <c r="D189" t="inlineStr">
        <is>
          <t>UPPSALA LÄN</t>
        </is>
      </c>
      <c r="E189" t="inlineStr">
        <is>
          <t>UPPSALA</t>
        </is>
      </c>
      <c r="F189" t="inlineStr">
        <is>
          <t>Bergvik skog öst AB</t>
        </is>
      </c>
      <c r="G189" t="n">
        <v>2.3</v>
      </c>
      <c r="H189" t="n">
        <v>0</v>
      </c>
      <c r="I189" t="n">
        <v>0</v>
      </c>
      <c r="J189" t="n">
        <v>0</v>
      </c>
      <c r="K189" t="n">
        <v>0</v>
      </c>
      <c r="L189" t="n">
        <v>0</v>
      </c>
      <c r="M189" t="n">
        <v>0</v>
      </c>
      <c r="N189" t="n">
        <v>0</v>
      </c>
      <c r="O189" t="n">
        <v>0</v>
      </c>
      <c r="P189" t="n">
        <v>0</v>
      </c>
      <c r="Q189" t="n">
        <v>0</v>
      </c>
      <c r="R189" s="2" t="inlineStr"/>
    </row>
    <row r="190" ht="15" customHeight="1">
      <c r="A190" t="inlineStr">
        <is>
          <t>A 71256-2018</t>
        </is>
      </c>
      <c r="B190" s="1" t="n">
        <v>43451</v>
      </c>
      <c r="C190" s="1" t="n">
        <v>45351</v>
      </c>
      <c r="D190" t="inlineStr">
        <is>
          <t>UPPSALA LÄN</t>
        </is>
      </c>
      <c r="E190" t="inlineStr">
        <is>
          <t>UPPSALA</t>
        </is>
      </c>
      <c r="G190" t="n">
        <v>3.4</v>
      </c>
      <c r="H190" t="n">
        <v>0</v>
      </c>
      <c r="I190" t="n">
        <v>0</v>
      </c>
      <c r="J190" t="n">
        <v>0</v>
      </c>
      <c r="K190" t="n">
        <v>0</v>
      </c>
      <c r="L190" t="n">
        <v>0</v>
      </c>
      <c r="M190" t="n">
        <v>0</v>
      </c>
      <c r="N190" t="n">
        <v>0</v>
      </c>
      <c r="O190" t="n">
        <v>0</v>
      </c>
      <c r="P190" t="n">
        <v>0</v>
      </c>
      <c r="Q190" t="n">
        <v>0</v>
      </c>
      <c r="R190" s="2" t="inlineStr"/>
    </row>
    <row r="191" ht="15" customHeight="1">
      <c r="A191" t="inlineStr">
        <is>
          <t>A 71279-2018</t>
        </is>
      </c>
      <c r="B191" s="1" t="n">
        <v>43451</v>
      </c>
      <c r="C191" s="1" t="n">
        <v>45351</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71413-2018</t>
        </is>
      </c>
      <c r="B192" s="1" t="n">
        <v>43451</v>
      </c>
      <c r="C192" s="1" t="n">
        <v>45351</v>
      </c>
      <c r="D192" t="inlineStr">
        <is>
          <t>UPPSALA LÄN</t>
        </is>
      </c>
      <c r="E192" t="inlineStr">
        <is>
          <t>UPPSALA</t>
        </is>
      </c>
      <c r="G192" t="n">
        <v>5.5</v>
      </c>
      <c r="H192" t="n">
        <v>0</v>
      </c>
      <c r="I192" t="n">
        <v>0</v>
      </c>
      <c r="J192" t="n">
        <v>0</v>
      </c>
      <c r="K192" t="n">
        <v>0</v>
      </c>
      <c r="L192" t="n">
        <v>0</v>
      </c>
      <c r="M192" t="n">
        <v>0</v>
      </c>
      <c r="N192" t="n">
        <v>0</v>
      </c>
      <c r="O192" t="n">
        <v>0</v>
      </c>
      <c r="P192" t="n">
        <v>0</v>
      </c>
      <c r="Q192" t="n">
        <v>0</v>
      </c>
      <c r="R192" s="2" t="inlineStr"/>
    </row>
    <row r="193" ht="15" customHeight="1">
      <c r="A193" t="inlineStr">
        <is>
          <t>A 70953-2018</t>
        </is>
      </c>
      <c r="B193" s="1" t="n">
        <v>43452</v>
      </c>
      <c r="C193" s="1" t="n">
        <v>45351</v>
      </c>
      <c r="D193" t="inlineStr">
        <is>
          <t>UPPSALA LÄN</t>
        </is>
      </c>
      <c r="E193" t="inlineStr">
        <is>
          <t>UPPSALA</t>
        </is>
      </c>
      <c r="G193" t="n">
        <v>1</v>
      </c>
      <c r="H193" t="n">
        <v>0</v>
      </c>
      <c r="I193" t="n">
        <v>0</v>
      </c>
      <c r="J193" t="n">
        <v>0</v>
      </c>
      <c r="K193" t="n">
        <v>0</v>
      </c>
      <c r="L193" t="n">
        <v>0</v>
      </c>
      <c r="M193" t="n">
        <v>0</v>
      </c>
      <c r="N193" t="n">
        <v>0</v>
      </c>
      <c r="O193" t="n">
        <v>0</v>
      </c>
      <c r="P193" t="n">
        <v>0</v>
      </c>
      <c r="Q193" t="n">
        <v>0</v>
      </c>
      <c r="R193" s="2" t="inlineStr"/>
    </row>
    <row r="194" ht="15" customHeight="1">
      <c r="A194" t="inlineStr">
        <is>
          <t>A 71556-2018</t>
        </is>
      </c>
      <c r="B194" s="1" t="n">
        <v>43452</v>
      </c>
      <c r="C194" s="1" t="n">
        <v>45351</v>
      </c>
      <c r="D194" t="inlineStr">
        <is>
          <t>UPPSALA LÄN</t>
        </is>
      </c>
      <c r="E194" t="inlineStr">
        <is>
          <t>UPPSALA</t>
        </is>
      </c>
      <c r="G194" t="n">
        <v>2.4</v>
      </c>
      <c r="H194" t="n">
        <v>0</v>
      </c>
      <c r="I194" t="n">
        <v>0</v>
      </c>
      <c r="J194" t="n">
        <v>0</v>
      </c>
      <c r="K194" t="n">
        <v>0</v>
      </c>
      <c r="L194" t="n">
        <v>0</v>
      </c>
      <c r="M194" t="n">
        <v>0</v>
      </c>
      <c r="N194" t="n">
        <v>0</v>
      </c>
      <c r="O194" t="n">
        <v>0</v>
      </c>
      <c r="P194" t="n">
        <v>0</v>
      </c>
      <c r="Q194" t="n">
        <v>0</v>
      </c>
      <c r="R194" s="2" t="inlineStr"/>
    </row>
    <row r="195" ht="15" customHeight="1">
      <c r="A195" t="inlineStr">
        <is>
          <t>A 72072-2018</t>
        </is>
      </c>
      <c r="B195" s="1" t="n">
        <v>43455</v>
      </c>
      <c r="C195" s="1" t="n">
        <v>45351</v>
      </c>
      <c r="D195" t="inlineStr">
        <is>
          <t>UPPSALA LÄN</t>
        </is>
      </c>
      <c r="E195" t="inlineStr">
        <is>
          <t>UPPSALA</t>
        </is>
      </c>
      <c r="G195" t="n">
        <v>29.4</v>
      </c>
      <c r="H195" t="n">
        <v>0</v>
      </c>
      <c r="I195" t="n">
        <v>0</v>
      </c>
      <c r="J195" t="n">
        <v>0</v>
      </c>
      <c r="K195" t="n">
        <v>0</v>
      </c>
      <c r="L195" t="n">
        <v>0</v>
      </c>
      <c r="M195" t="n">
        <v>0</v>
      </c>
      <c r="N195" t="n">
        <v>0</v>
      </c>
      <c r="O195" t="n">
        <v>0</v>
      </c>
      <c r="P195" t="n">
        <v>0</v>
      </c>
      <c r="Q195" t="n">
        <v>0</v>
      </c>
      <c r="R195" s="2" t="inlineStr"/>
    </row>
    <row r="196" ht="15" customHeight="1">
      <c r="A196" t="inlineStr">
        <is>
          <t>A 72001-2018</t>
        </is>
      </c>
      <c r="B196" s="1" t="n">
        <v>43455</v>
      </c>
      <c r="C196" s="1" t="n">
        <v>45351</v>
      </c>
      <c r="D196" t="inlineStr">
        <is>
          <t>UPPSALA LÄN</t>
        </is>
      </c>
      <c r="E196" t="inlineStr">
        <is>
          <t>UPPSALA</t>
        </is>
      </c>
      <c r="G196" t="n">
        <v>4.7</v>
      </c>
      <c r="H196" t="n">
        <v>0</v>
      </c>
      <c r="I196" t="n">
        <v>0</v>
      </c>
      <c r="J196" t="n">
        <v>0</v>
      </c>
      <c r="K196" t="n">
        <v>0</v>
      </c>
      <c r="L196" t="n">
        <v>0</v>
      </c>
      <c r="M196" t="n">
        <v>0</v>
      </c>
      <c r="N196" t="n">
        <v>0</v>
      </c>
      <c r="O196" t="n">
        <v>0</v>
      </c>
      <c r="P196" t="n">
        <v>0</v>
      </c>
      <c r="Q196" t="n">
        <v>0</v>
      </c>
      <c r="R196" s="2" t="inlineStr"/>
    </row>
    <row r="197" ht="15" customHeight="1">
      <c r="A197" t="inlineStr">
        <is>
          <t>A 72047-2018</t>
        </is>
      </c>
      <c r="B197" s="1" t="n">
        <v>43455</v>
      </c>
      <c r="C197" s="1" t="n">
        <v>45351</v>
      </c>
      <c r="D197" t="inlineStr">
        <is>
          <t>UPPSALA LÄN</t>
        </is>
      </c>
      <c r="E197" t="inlineStr">
        <is>
          <t>UPPSALA</t>
        </is>
      </c>
      <c r="G197" t="n">
        <v>55.2</v>
      </c>
      <c r="H197" t="n">
        <v>0</v>
      </c>
      <c r="I197" t="n">
        <v>0</v>
      </c>
      <c r="J197" t="n">
        <v>0</v>
      </c>
      <c r="K197" t="n">
        <v>0</v>
      </c>
      <c r="L197" t="n">
        <v>0</v>
      </c>
      <c r="M197" t="n">
        <v>0</v>
      </c>
      <c r="N197" t="n">
        <v>0</v>
      </c>
      <c r="O197" t="n">
        <v>0</v>
      </c>
      <c r="P197" t="n">
        <v>0</v>
      </c>
      <c r="Q197" t="n">
        <v>0</v>
      </c>
      <c r="R197" s="2" t="inlineStr"/>
    </row>
    <row r="198" ht="15" customHeight="1">
      <c r="A198" t="inlineStr">
        <is>
          <t>A 72075-2018</t>
        </is>
      </c>
      <c r="B198" s="1" t="n">
        <v>43455</v>
      </c>
      <c r="C198" s="1" t="n">
        <v>45351</v>
      </c>
      <c r="D198" t="inlineStr">
        <is>
          <t>UPPSALA LÄN</t>
        </is>
      </c>
      <c r="E198" t="inlineStr">
        <is>
          <t>UPPSALA</t>
        </is>
      </c>
      <c r="G198" t="n">
        <v>13.4</v>
      </c>
      <c r="H198" t="n">
        <v>0</v>
      </c>
      <c r="I198" t="n">
        <v>0</v>
      </c>
      <c r="J198" t="n">
        <v>0</v>
      </c>
      <c r="K198" t="n">
        <v>0</v>
      </c>
      <c r="L198" t="n">
        <v>0</v>
      </c>
      <c r="M198" t="n">
        <v>0</v>
      </c>
      <c r="N198" t="n">
        <v>0</v>
      </c>
      <c r="O198" t="n">
        <v>0</v>
      </c>
      <c r="P198" t="n">
        <v>0</v>
      </c>
      <c r="Q198" t="n">
        <v>0</v>
      </c>
      <c r="R198" s="2" t="inlineStr"/>
    </row>
    <row r="199" ht="15" customHeight="1">
      <c r="A199" t="inlineStr">
        <is>
          <t>A 72346-2018</t>
        </is>
      </c>
      <c r="B199" s="1" t="n">
        <v>43460</v>
      </c>
      <c r="C199" s="1" t="n">
        <v>45351</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72644-2018</t>
        </is>
      </c>
      <c r="B200" s="1" t="n">
        <v>43464</v>
      </c>
      <c r="C200" s="1" t="n">
        <v>45351</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505-2019</t>
        </is>
      </c>
      <c r="B201" s="1" t="n">
        <v>43468</v>
      </c>
      <c r="C201" s="1" t="n">
        <v>45351</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836-2019</t>
        </is>
      </c>
      <c r="B202" s="1" t="n">
        <v>43472</v>
      </c>
      <c r="C202" s="1" t="n">
        <v>45351</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944-2019</t>
        </is>
      </c>
      <c r="B203" s="1" t="n">
        <v>43472</v>
      </c>
      <c r="C203" s="1" t="n">
        <v>45351</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767-2019</t>
        </is>
      </c>
      <c r="B204" s="1" t="n">
        <v>43472</v>
      </c>
      <c r="C204" s="1" t="n">
        <v>45351</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793-2019</t>
        </is>
      </c>
      <c r="B205" s="1" t="n">
        <v>43472</v>
      </c>
      <c r="C205" s="1" t="n">
        <v>45351</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1178-2019</t>
        </is>
      </c>
      <c r="B206" s="1" t="n">
        <v>43473</v>
      </c>
      <c r="C206" s="1" t="n">
        <v>45351</v>
      </c>
      <c r="D206" t="inlineStr">
        <is>
          <t>UPPSALA LÄN</t>
        </is>
      </c>
      <c r="E206" t="inlineStr">
        <is>
          <t>UPPSALA</t>
        </is>
      </c>
      <c r="F206" t="inlineStr">
        <is>
          <t>Kommuner</t>
        </is>
      </c>
      <c r="G206" t="n">
        <v>17.6</v>
      </c>
      <c r="H206" t="n">
        <v>0</v>
      </c>
      <c r="I206" t="n">
        <v>0</v>
      </c>
      <c r="J206" t="n">
        <v>0</v>
      </c>
      <c r="K206" t="n">
        <v>0</v>
      </c>
      <c r="L206" t="n">
        <v>0</v>
      </c>
      <c r="M206" t="n">
        <v>0</v>
      </c>
      <c r="N206" t="n">
        <v>0</v>
      </c>
      <c r="O206" t="n">
        <v>0</v>
      </c>
      <c r="P206" t="n">
        <v>0</v>
      </c>
      <c r="Q206" t="n">
        <v>0</v>
      </c>
      <c r="R206" s="2" t="inlineStr"/>
    </row>
    <row r="207" ht="15" customHeight="1">
      <c r="A207" t="inlineStr">
        <is>
          <t>A 3035-2019</t>
        </is>
      </c>
      <c r="B207" s="1" t="n">
        <v>43473</v>
      </c>
      <c r="C207" s="1" t="n">
        <v>45351</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1314-2019</t>
        </is>
      </c>
      <c r="B208" s="1" t="n">
        <v>43473</v>
      </c>
      <c r="C208" s="1" t="n">
        <v>45351</v>
      </c>
      <c r="D208" t="inlineStr">
        <is>
          <t>UPPSALA LÄN</t>
        </is>
      </c>
      <c r="E208" t="inlineStr">
        <is>
          <t>UPPSALA</t>
        </is>
      </c>
      <c r="G208" t="n">
        <v>5.4</v>
      </c>
      <c r="H208" t="n">
        <v>0</v>
      </c>
      <c r="I208" t="n">
        <v>0</v>
      </c>
      <c r="J208" t="n">
        <v>0</v>
      </c>
      <c r="K208" t="n">
        <v>0</v>
      </c>
      <c r="L208" t="n">
        <v>0</v>
      </c>
      <c r="M208" t="n">
        <v>0</v>
      </c>
      <c r="N208" t="n">
        <v>0</v>
      </c>
      <c r="O208" t="n">
        <v>0</v>
      </c>
      <c r="P208" t="n">
        <v>0</v>
      </c>
      <c r="Q208" t="n">
        <v>0</v>
      </c>
      <c r="R208" s="2" t="inlineStr"/>
    </row>
    <row r="209" ht="15" customHeight="1">
      <c r="A209" t="inlineStr">
        <is>
          <t>A 1472-2019</t>
        </is>
      </c>
      <c r="B209" s="1" t="n">
        <v>43473</v>
      </c>
      <c r="C209" s="1" t="n">
        <v>45351</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1515-2019</t>
        </is>
      </c>
      <c r="B210" s="1" t="n">
        <v>43473</v>
      </c>
      <c r="C210" s="1" t="n">
        <v>45351</v>
      </c>
      <c r="D210" t="inlineStr">
        <is>
          <t>UPPSALA LÄN</t>
        </is>
      </c>
      <c r="E210" t="inlineStr">
        <is>
          <t>UPPSALA</t>
        </is>
      </c>
      <c r="G210" t="n">
        <v>27.9</v>
      </c>
      <c r="H210" t="n">
        <v>0</v>
      </c>
      <c r="I210" t="n">
        <v>0</v>
      </c>
      <c r="J210" t="n">
        <v>0</v>
      </c>
      <c r="K210" t="n">
        <v>0</v>
      </c>
      <c r="L210" t="n">
        <v>0</v>
      </c>
      <c r="M210" t="n">
        <v>0</v>
      </c>
      <c r="N210" t="n">
        <v>0</v>
      </c>
      <c r="O210" t="n">
        <v>0</v>
      </c>
      <c r="P210" t="n">
        <v>0</v>
      </c>
      <c r="Q210" t="n">
        <v>0</v>
      </c>
      <c r="R210" s="2" t="inlineStr"/>
    </row>
    <row r="211" ht="15" customHeight="1">
      <c r="A211" t="inlineStr">
        <is>
          <t>A 1486-2019</t>
        </is>
      </c>
      <c r="B211" s="1" t="n">
        <v>43473</v>
      </c>
      <c r="C211" s="1" t="n">
        <v>45351</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1526-2019</t>
        </is>
      </c>
      <c r="B212" s="1" t="n">
        <v>43473</v>
      </c>
      <c r="C212" s="1" t="n">
        <v>45351</v>
      </c>
      <c r="D212" t="inlineStr">
        <is>
          <t>UPPSALA LÄN</t>
        </is>
      </c>
      <c r="E212" t="inlineStr">
        <is>
          <t>UPPSALA</t>
        </is>
      </c>
      <c r="G212" t="n">
        <v>3.2</v>
      </c>
      <c r="H212" t="n">
        <v>0</v>
      </c>
      <c r="I212" t="n">
        <v>0</v>
      </c>
      <c r="J212" t="n">
        <v>0</v>
      </c>
      <c r="K212" t="n">
        <v>0</v>
      </c>
      <c r="L212" t="n">
        <v>0</v>
      </c>
      <c r="M212" t="n">
        <v>0</v>
      </c>
      <c r="N212" t="n">
        <v>0</v>
      </c>
      <c r="O212" t="n">
        <v>0</v>
      </c>
      <c r="P212" t="n">
        <v>0</v>
      </c>
      <c r="Q212" t="n">
        <v>0</v>
      </c>
      <c r="R212" s="2" t="inlineStr"/>
    </row>
    <row r="213" ht="15" customHeight="1">
      <c r="A213" t="inlineStr">
        <is>
          <t>A 1453-2019</t>
        </is>
      </c>
      <c r="B213" s="1" t="n">
        <v>43473</v>
      </c>
      <c r="C213" s="1" t="n">
        <v>45351</v>
      </c>
      <c r="D213" t="inlineStr">
        <is>
          <t>UPPSALA LÄN</t>
        </is>
      </c>
      <c r="E213" t="inlineStr">
        <is>
          <t>UPPSALA</t>
        </is>
      </c>
      <c r="G213" t="n">
        <v>5.8</v>
      </c>
      <c r="H213" t="n">
        <v>0</v>
      </c>
      <c r="I213" t="n">
        <v>0</v>
      </c>
      <c r="J213" t="n">
        <v>0</v>
      </c>
      <c r="K213" t="n">
        <v>0</v>
      </c>
      <c r="L213" t="n">
        <v>0</v>
      </c>
      <c r="M213" t="n">
        <v>0</v>
      </c>
      <c r="N213" t="n">
        <v>0</v>
      </c>
      <c r="O213" t="n">
        <v>0</v>
      </c>
      <c r="P213" t="n">
        <v>0</v>
      </c>
      <c r="Q213" t="n">
        <v>0</v>
      </c>
      <c r="R213" s="2" t="inlineStr"/>
    </row>
    <row r="214" ht="15" customHeight="1">
      <c r="A214" t="inlineStr">
        <is>
          <t>A 1876-2019</t>
        </is>
      </c>
      <c r="B214" s="1" t="n">
        <v>43474</v>
      </c>
      <c r="C214" s="1" t="n">
        <v>45351</v>
      </c>
      <c r="D214" t="inlineStr">
        <is>
          <t>UPPSALA LÄN</t>
        </is>
      </c>
      <c r="E214" t="inlineStr">
        <is>
          <t>UPPSALA</t>
        </is>
      </c>
      <c r="G214" t="n">
        <v>6.2</v>
      </c>
      <c r="H214" t="n">
        <v>0</v>
      </c>
      <c r="I214" t="n">
        <v>0</v>
      </c>
      <c r="J214" t="n">
        <v>0</v>
      </c>
      <c r="K214" t="n">
        <v>0</v>
      </c>
      <c r="L214" t="n">
        <v>0</v>
      </c>
      <c r="M214" t="n">
        <v>0</v>
      </c>
      <c r="N214" t="n">
        <v>0</v>
      </c>
      <c r="O214" t="n">
        <v>0</v>
      </c>
      <c r="P214" t="n">
        <v>0</v>
      </c>
      <c r="Q214" t="n">
        <v>0</v>
      </c>
      <c r="R214" s="2" t="inlineStr"/>
    </row>
    <row r="215" ht="15" customHeight="1">
      <c r="A215" t="inlineStr">
        <is>
          <t>A 1604-2019</t>
        </is>
      </c>
      <c r="B215" s="1" t="n">
        <v>43474</v>
      </c>
      <c r="C215" s="1" t="n">
        <v>45351</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2044-2019</t>
        </is>
      </c>
      <c r="B216" s="1" t="n">
        <v>43475</v>
      </c>
      <c r="C216" s="1" t="n">
        <v>45351</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1998-2019</t>
        </is>
      </c>
      <c r="B217" s="1" t="n">
        <v>43475</v>
      </c>
      <c r="C217" s="1" t="n">
        <v>45351</v>
      </c>
      <c r="D217" t="inlineStr">
        <is>
          <t>UPPSALA LÄN</t>
        </is>
      </c>
      <c r="E217" t="inlineStr">
        <is>
          <t>UPPSALA</t>
        </is>
      </c>
      <c r="G217" t="n">
        <v>1.4</v>
      </c>
      <c r="H217" t="n">
        <v>0</v>
      </c>
      <c r="I217" t="n">
        <v>0</v>
      </c>
      <c r="J217" t="n">
        <v>0</v>
      </c>
      <c r="K217" t="n">
        <v>0</v>
      </c>
      <c r="L217" t="n">
        <v>0</v>
      </c>
      <c r="M217" t="n">
        <v>0</v>
      </c>
      <c r="N217" t="n">
        <v>0</v>
      </c>
      <c r="O217" t="n">
        <v>0</v>
      </c>
      <c r="P217" t="n">
        <v>0</v>
      </c>
      <c r="Q217" t="n">
        <v>0</v>
      </c>
      <c r="R217" s="2" t="inlineStr"/>
    </row>
    <row r="218" ht="15" customHeight="1">
      <c r="A218" t="inlineStr">
        <is>
          <t>A 2179-2019</t>
        </is>
      </c>
      <c r="B218" s="1" t="n">
        <v>43475</v>
      </c>
      <c r="C218" s="1" t="n">
        <v>45351</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2593-2019</t>
        </is>
      </c>
      <c r="B219" s="1" t="n">
        <v>43476</v>
      </c>
      <c r="C219" s="1" t="n">
        <v>45351</v>
      </c>
      <c r="D219" t="inlineStr">
        <is>
          <t>UPPSALA LÄN</t>
        </is>
      </c>
      <c r="E219" t="inlineStr">
        <is>
          <t>UPPSALA</t>
        </is>
      </c>
      <c r="G219" t="n">
        <v>6.2</v>
      </c>
      <c r="H219" t="n">
        <v>0</v>
      </c>
      <c r="I219" t="n">
        <v>0</v>
      </c>
      <c r="J219" t="n">
        <v>0</v>
      </c>
      <c r="K219" t="n">
        <v>0</v>
      </c>
      <c r="L219" t="n">
        <v>0</v>
      </c>
      <c r="M219" t="n">
        <v>0</v>
      </c>
      <c r="N219" t="n">
        <v>0</v>
      </c>
      <c r="O219" t="n">
        <v>0</v>
      </c>
      <c r="P219" t="n">
        <v>0</v>
      </c>
      <c r="Q219" t="n">
        <v>0</v>
      </c>
      <c r="R219" s="2" t="inlineStr"/>
    </row>
    <row r="220" ht="15" customHeight="1">
      <c r="A220" t="inlineStr">
        <is>
          <t>A 2884-2019</t>
        </is>
      </c>
      <c r="B220" s="1" t="n">
        <v>43479</v>
      </c>
      <c r="C220" s="1" t="n">
        <v>45351</v>
      </c>
      <c r="D220" t="inlineStr">
        <is>
          <t>UPPSALA LÄN</t>
        </is>
      </c>
      <c r="E220" t="inlineStr">
        <is>
          <t>UPPSALA</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3112-2019</t>
        </is>
      </c>
      <c r="B221" s="1" t="n">
        <v>43479</v>
      </c>
      <c r="C221" s="1" t="n">
        <v>45351</v>
      </c>
      <c r="D221" t="inlineStr">
        <is>
          <t>UPPSALA LÄN</t>
        </is>
      </c>
      <c r="E221" t="inlineStr">
        <is>
          <t>UPPSALA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2673-2019</t>
        </is>
      </c>
      <c r="B222" s="1" t="n">
        <v>43479</v>
      </c>
      <c r="C222" s="1" t="n">
        <v>45351</v>
      </c>
      <c r="D222" t="inlineStr">
        <is>
          <t>UPPSALA LÄN</t>
        </is>
      </c>
      <c r="E222" t="inlineStr">
        <is>
          <t>UPPSALA</t>
        </is>
      </c>
      <c r="G222" t="n">
        <v>8.5</v>
      </c>
      <c r="H222" t="n">
        <v>0</v>
      </c>
      <c r="I222" t="n">
        <v>0</v>
      </c>
      <c r="J222" t="n">
        <v>0</v>
      </c>
      <c r="K222" t="n">
        <v>0</v>
      </c>
      <c r="L222" t="n">
        <v>0</v>
      </c>
      <c r="M222" t="n">
        <v>0</v>
      </c>
      <c r="N222" t="n">
        <v>0</v>
      </c>
      <c r="O222" t="n">
        <v>0</v>
      </c>
      <c r="P222" t="n">
        <v>0</v>
      </c>
      <c r="Q222" t="n">
        <v>0</v>
      </c>
      <c r="R222" s="2" t="inlineStr"/>
    </row>
    <row r="223" ht="15" customHeight="1">
      <c r="A223" t="inlineStr">
        <is>
          <t>A 2779-2019</t>
        </is>
      </c>
      <c r="B223" s="1" t="n">
        <v>43479</v>
      </c>
      <c r="C223" s="1" t="n">
        <v>45351</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2880-2019</t>
        </is>
      </c>
      <c r="B224" s="1" t="n">
        <v>43479</v>
      </c>
      <c r="C224" s="1" t="n">
        <v>45351</v>
      </c>
      <c r="D224" t="inlineStr">
        <is>
          <t>UPPSALA LÄN</t>
        </is>
      </c>
      <c r="E224" t="inlineStr">
        <is>
          <t>UPPSALA</t>
        </is>
      </c>
      <c r="F224" t="inlineStr">
        <is>
          <t>Kommuner</t>
        </is>
      </c>
      <c r="G224" t="n">
        <v>1</v>
      </c>
      <c r="H224" t="n">
        <v>0</v>
      </c>
      <c r="I224" t="n">
        <v>0</v>
      </c>
      <c r="J224" t="n">
        <v>0</v>
      </c>
      <c r="K224" t="n">
        <v>0</v>
      </c>
      <c r="L224" t="n">
        <v>0</v>
      </c>
      <c r="M224" t="n">
        <v>0</v>
      </c>
      <c r="N224" t="n">
        <v>0</v>
      </c>
      <c r="O224" t="n">
        <v>0</v>
      </c>
      <c r="P224" t="n">
        <v>0</v>
      </c>
      <c r="Q224" t="n">
        <v>0</v>
      </c>
      <c r="R224" s="2" t="inlineStr"/>
    </row>
    <row r="225" ht="15" customHeight="1">
      <c r="A225" t="inlineStr">
        <is>
          <t>A 3215-2019</t>
        </is>
      </c>
      <c r="B225" s="1" t="n">
        <v>43480</v>
      </c>
      <c r="C225" s="1" t="n">
        <v>45351</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3187-2019</t>
        </is>
      </c>
      <c r="B226" s="1" t="n">
        <v>43480</v>
      </c>
      <c r="C226" s="1" t="n">
        <v>45351</v>
      </c>
      <c r="D226" t="inlineStr">
        <is>
          <t>UPPSALA LÄN</t>
        </is>
      </c>
      <c r="E226" t="inlineStr">
        <is>
          <t>UPPSALA</t>
        </is>
      </c>
      <c r="G226" t="n">
        <v>1</v>
      </c>
      <c r="H226" t="n">
        <v>0</v>
      </c>
      <c r="I226" t="n">
        <v>0</v>
      </c>
      <c r="J226" t="n">
        <v>0</v>
      </c>
      <c r="K226" t="n">
        <v>0</v>
      </c>
      <c r="L226" t="n">
        <v>0</v>
      </c>
      <c r="M226" t="n">
        <v>0</v>
      </c>
      <c r="N226" t="n">
        <v>0</v>
      </c>
      <c r="O226" t="n">
        <v>0</v>
      </c>
      <c r="P226" t="n">
        <v>0</v>
      </c>
      <c r="Q226" t="n">
        <v>0</v>
      </c>
      <c r="R226" s="2" t="inlineStr"/>
    </row>
    <row r="227" ht="15" customHeight="1">
      <c r="A227" t="inlineStr">
        <is>
          <t>A 3417-2019</t>
        </is>
      </c>
      <c r="B227" s="1" t="n">
        <v>43481</v>
      </c>
      <c r="C227" s="1" t="n">
        <v>45351</v>
      </c>
      <c r="D227" t="inlineStr">
        <is>
          <t>UPPSALA LÄN</t>
        </is>
      </c>
      <c r="E227" t="inlineStr">
        <is>
          <t>UPPSALA</t>
        </is>
      </c>
      <c r="G227" t="n">
        <v>3.1</v>
      </c>
      <c r="H227" t="n">
        <v>0</v>
      </c>
      <c r="I227" t="n">
        <v>0</v>
      </c>
      <c r="J227" t="n">
        <v>0</v>
      </c>
      <c r="K227" t="n">
        <v>0</v>
      </c>
      <c r="L227" t="n">
        <v>0</v>
      </c>
      <c r="M227" t="n">
        <v>0</v>
      </c>
      <c r="N227" t="n">
        <v>0</v>
      </c>
      <c r="O227" t="n">
        <v>0</v>
      </c>
      <c r="P227" t="n">
        <v>0</v>
      </c>
      <c r="Q227" t="n">
        <v>0</v>
      </c>
      <c r="R227" s="2" t="inlineStr"/>
    </row>
    <row r="228" ht="15" customHeight="1">
      <c r="A228" t="inlineStr">
        <is>
          <t>A 3548-2019</t>
        </is>
      </c>
      <c r="B228" s="1" t="n">
        <v>43481</v>
      </c>
      <c r="C228" s="1" t="n">
        <v>45351</v>
      </c>
      <c r="D228" t="inlineStr">
        <is>
          <t>UPPSALA LÄN</t>
        </is>
      </c>
      <c r="E228" t="inlineStr">
        <is>
          <t>UPPSALA</t>
        </is>
      </c>
      <c r="G228" t="n">
        <v>12.2</v>
      </c>
      <c r="H228" t="n">
        <v>0</v>
      </c>
      <c r="I228" t="n">
        <v>0</v>
      </c>
      <c r="J228" t="n">
        <v>0</v>
      </c>
      <c r="K228" t="n">
        <v>0</v>
      </c>
      <c r="L228" t="n">
        <v>0</v>
      </c>
      <c r="M228" t="n">
        <v>0</v>
      </c>
      <c r="N228" t="n">
        <v>0</v>
      </c>
      <c r="O228" t="n">
        <v>0</v>
      </c>
      <c r="P228" t="n">
        <v>0</v>
      </c>
      <c r="Q228" t="n">
        <v>0</v>
      </c>
      <c r="R228" s="2" t="inlineStr"/>
    </row>
    <row r="229" ht="15" customHeight="1">
      <c r="A229" t="inlineStr">
        <is>
          <t>A 3761-2019</t>
        </is>
      </c>
      <c r="B229" s="1" t="n">
        <v>43481</v>
      </c>
      <c r="C229" s="1" t="n">
        <v>45351</v>
      </c>
      <c r="D229" t="inlineStr">
        <is>
          <t>UPPSALA LÄN</t>
        </is>
      </c>
      <c r="E229" t="inlineStr">
        <is>
          <t>UPPSALA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3752-2019</t>
        </is>
      </c>
      <c r="B230" s="1" t="n">
        <v>43481</v>
      </c>
      <c r="C230" s="1" t="n">
        <v>45351</v>
      </c>
      <c r="D230" t="inlineStr">
        <is>
          <t>UPPSALA LÄN</t>
        </is>
      </c>
      <c r="E230" t="inlineStr">
        <is>
          <t>UPPSALA</t>
        </is>
      </c>
      <c r="G230" t="n">
        <v>2.7</v>
      </c>
      <c r="H230" t="n">
        <v>0</v>
      </c>
      <c r="I230" t="n">
        <v>0</v>
      </c>
      <c r="J230" t="n">
        <v>0</v>
      </c>
      <c r="K230" t="n">
        <v>0</v>
      </c>
      <c r="L230" t="n">
        <v>0</v>
      </c>
      <c r="M230" t="n">
        <v>0</v>
      </c>
      <c r="N230" t="n">
        <v>0</v>
      </c>
      <c r="O230" t="n">
        <v>0</v>
      </c>
      <c r="P230" t="n">
        <v>0</v>
      </c>
      <c r="Q230" t="n">
        <v>0</v>
      </c>
      <c r="R230" s="2" t="inlineStr"/>
    </row>
    <row r="231" ht="15" customHeight="1">
      <c r="A231" t="inlineStr">
        <is>
          <t>A 3745-2019</t>
        </is>
      </c>
      <c r="B231" s="1" t="n">
        <v>43481</v>
      </c>
      <c r="C231" s="1" t="n">
        <v>45351</v>
      </c>
      <c r="D231" t="inlineStr">
        <is>
          <t>UPPSALA LÄN</t>
        </is>
      </c>
      <c r="E231" t="inlineStr">
        <is>
          <t>UPPSALA</t>
        </is>
      </c>
      <c r="G231" t="n">
        <v>10.9</v>
      </c>
      <c r="H231" t="n">
        <v>0</v>
      </c>
      <c r="I231" t="n">
        <v>0</v>
      </c>
      <c r="J231" t="n">
        <v>0</v>
      </c>
      <c r="K231" t="n">
        <v>0</v>
      </c>
      <c r="L231" t="n">
        <v>0</v>
      </c>
      <c r="M231" t="n">
        <v>0</v>
      </c>
      <c r="N231" t="n">
        <v>0</v>
      </c>
      <c r="O231" t="n">
        <v>0</v>
      </c>
      <c r="P231" t="n">
        <v>0</v>
      </c>
      <c r="Q231" t="n">
        <v>0</v>
      </c>
      <c r="R231" s="2" t="inlineStr"/>
    </row>
    <row r="232" ht="15" customHeight="1">
      <c r="A232" t="inlineStr">
        <is>
          <t>A 3896-2019</t>
        </is>
      </c>
      <c r="B232" s="1" t="n">
        <v>43482</v>
      </c>
      <c r="C232" s="1" t="n">
        <v>45351</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4074-2019</t>
        </is>
      </c>
      <c r="B233" s="1" t="n">
        <v>43482</v>
      </c>
      <c r="C233" s="1" t="n">
        <v>45351</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4070-2019</t>
        </is>
      </c>
      <c r="B234" s="1" t="n">
        <v>43482</v>
      </c>
      <c r="C234" s="1" t="n">
        <v>45351</v>
      </c>
      <c r="D234" t="inlineStr">
        <is>
          <t>UPPSALA LÄN</t>
        </is>
      </c>
      <c r="E234" t="inlineStr">
        <is>
          <t>UPPSALA</t>
        </is>
      </c>
      <c r="G234" t="n">
        <v>1</v>
      </c>
      <c r="H234" t="n">
        <v>0</v>
      </c>
      <c r="I234" t="n">
        <v>0</v>
      </c>
      <c r="J234" t="n">
        <v>0</v>
      </c>
      <c r="K234" t="n">
        <v>0</v>
      </c>
      <c r="L234" t="n">
        <v>0</v>
      </c>
      <c r="M234" t="n">
        <v>0</v>
      </c>
      <c r="N234" t="n">
        <v>0</v>
      </c>
      <c r="O234" t="n">
        <v>0</v>
      </c>
      <c r="P234" t="n">
        <v>0</v>
      </c>
      <c r="Q234" t="n">
        <v>0</v>
      </c>
      <c r="R234" s="2" t="inlineStr"/>
    </row>
    <row r="235" ht="15" customHeight="1">
      <c r="A235" t="inlineStr">
        <is>
          <t>A 3921-2019</t>
        </is>
      </c>
      <c r="B235" s="1" t="n">
        <v>43482</v>
      </c>
      <c r="C235" s="1" t="n">
        <v>45351</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4078-2019</t>
        </is>
      </c>
      <c r="B236" s="1" t="n">
        <v>43482</v>
      </c>
      <c r="C236" s="1" t="n">
        <v>45351</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3955-2019</t>
        </is>
      </c>
      <c r="B237" s="1" t="n">
        <v>43482</v>
      </c>
      <c r="C237" s="1" t="n">
        <v>45351</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3829-2019</t>
        </is>
      </c>
      <c r="B238" s="1" t="n">
        <v>43482</v>
      </c>
      <c r="C238" s="1" t="n">
        <v>45351</v>
      </c>
      <c r="D238" t="inlineStr">
        <is>
          <t>UPPSALA LÄN</t>
        </is>
      </c>
      <c r="E238" t="inlineStr">
        <is>
          <t>UPPSALA</t>
        </is>
      </c>
      <c r="G238" t="n">
        <v>2.5</v>
      </c>
      <c r="H238" t="n">
        <v>0</v>
      </c>
      <c r="I238" t="n">
        <v>0</v>
      </c>
      <c r="J238" t="n">
        <v>0</v>
      </c>
      <c r="K238" t="n">
        <v>0</v>
      </c>
      <c r="L238" t="n">
        <v>0</v>
      </c>
      <c r="M238" t="n">
        <v>0</v>
      </c>
      <c r="N238" t="n">
        <v>0</v>
      </c>
      <c r="O238" t="n">
        <v>0</v>
      </c>
      <c r="P238" t="n">
        <v>0</v>
      </c>
      <c r="Q238" t="n">
        <v>0</v>
      </c>
      <c r="R238" s="2" t="inlineStr"/>
    </row>
    <row r="239" ht="15" customHeight="1">
      <c r="A239" t="inlineStr">
        <is>
          <t>A 4423-2019</t>
        </is>
      </c>
      <c r="B239" s="1" t="n">
        <v>43485</v>
      </c>
      <c r="C239" s="1" t="n">
        <v>45351</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4908-2019</t>
        </is>
      </c>
      <c r="B240" s="1" t="n">
        <v>43486</v>
      </c>
      <c r="C240" s="1" t="n">
        <v>45351</v>
      </c>
      <c r="D240" t="inlineStr">
        <is>
          <t>UPPSALA LÄN</t>
        </is>
      </c>
      <c r="E240" t="inlineStr">
        <is>
          <t>UPPSALA</t>
        </is>
      </c>
      <c r="F240" t="inlineStr">
        <is>
          <t>Allmännings- och besparingsskogar</t>
        </is>
      </c>
      <c r="G240" t="n">
        <v>23.7</v>
      </c>
      <c r="H240" t="n">
        <v>0</v>
      </c>
      <c r="I240" t="n">
        <v>0</v>
      </c>
      <c r="J240" t="n">
        <v>0</v>
      </c>
      <c r="K240" t="n">
        <v>0</v>
      </c>
      <c r="L240" t="n">
        <v>0</v>
      </c>
      <c r="M240" t="n">
        <v>0</v>
      </c>
      <c r="N240" t="n">
        <v>0</v>
      </c>
      <c r="O240" t="n">
        <v>0</v>
      </c>
      <c r="P240" t="n">
        <v>0</v>
      </c>
      <c r="Q240" t="n">
        <v>0</v>
      </c>
      <c r="R240" s="2" t="inlineStr"/>
    </row>
    <row r="241" ht="15" customHeight="1">
      <c r="A241" t="inlineStr">
        <is>
          <t>A 4578-2019</t>
        </is>
      </c>
      <c r="B241" s="1" t="n">
        <v>43486</v>
      </c>
      <c r="C241" s="1" t="n">
        <v>45351</v>
      </c>
      <c r="D241" t="inlineStr">
        <is>
          <t>UPPSALA LÄN</t>
        </is>
      </c>
      <c r="E241" t="inlineStr">
        <is>
          <t>UPPSALA</t>
        </is>
      </c>
      <c r="G241" t="n">
        <v>3.2</v>
      </c>
      <c r="H241" t="n">
        <v>0</v>
      </c>
      <c r="I241" t="n">
        <v>0</v>
      </c>
      <c r="J241" t="n">
        <v>0</v>
      </c>
      <c r="K241" t="n">
        <v>0</v>
      </c>
      <c r="L241" t="n">
        <v>0</v>
      </c>
      <c r="M241" t="n">
        <v>0</v>
      </c>
      <c r="N241" t="n">
        <v>0</v>
      </c>
      <c r="O241" t="n">
        <v>0</v>
      </c>
      <c r="P241" t="n">
        <v>0</v>
      </c>
      <c r="Q241" t="n">
        <v>0</v>
      </c>
      <c r="R241" s="2" t="inlineStr"/>
    </row>
    <row r="242" ht="15" customHeight="1">
      <c r="A242" t="inlineStr">
        <is>
          <t>A 4759-2019</t>
        </is>
      </c>
      <c r="B242" s="1" t="n">
        <v>43486</v>
      </c>
      <c r="C242" s="1" t="n">
        <v>45351</v>
      </c>
      <c r="D242" t="inlineStr">
        <is>
          <t>UPPSALA LÄN</t>
        </is>
      </c>
      <c r="E242" t="inlineStr">
        <is>
          <t>UPPSALA</t>
        </is>
      </c>
      <c r="G242" t="n">
        <v>5.1</v>
      </c>
      <c r="H242" t="n">
        <v>0</v>
      </c>
      <c r="I242" t="n">
        <v>0</v>
      </c>
      <c r="J242" t="n">
        <v>0</v>
      </c>
      <c r="K242" t="n">
        <v>0</v>
      </c>
      <c r="L242" t="n">
        <v>0</v>
      </c>
      <c r="M242" t="n">
        <v>0</v>
      </c>
      <c r="N242" t="n">
        <v>0</v>
      </c>
      <c r="O242" t="n">
        <v>0</v>
      </c>
      <c r="P242" t="n">
        <v>0</v>
      </c>
      <c r="Q242" t="n">
        <v>0</v>
      </c>
      <c r="R242" s="2" t="inlineStr"/>
    </row>
    <row r="243" ht="15" customHeight="1">
      <c r="A243" t="inlineStr">
        <is>
          <t>A 5047-2019</t>
        </is>
      </c>
      <c r="B243" s="1" t="n">
        <v>43487</v>
      </c>
      <c r="C243" s="1" t="n">
        <v>45351</v>
      </c>
      <c r="D243" t="inlineStr">
        <is>
          <t>UPPSALA LÄN</t>
        </is>
      </c>
      <c r="E243" t="inlineStr">
        <is>
          <t>UPPSALA</t>
        </is>
      </c>
      <c r="G243" t="n">
        <v>3.9</v>
      </c>
      <c r="H243" t="n">
        <v>0</v>
      </c>
      <c r="I243" t="n">
        <v>0</v>
      </c>
      <c r="J243" t="n">
        <v>0</v>
      </c>
      <c r="K243" t="n">
        <v>0</v>
      </c>
      <c r="L243" t="n">
        <v>0</v>
      </c>
      <c r="M243" t="n">
        <v>0</v>
      </c>
      <c r="N243" t="n">
        <v>0</v>
      </c>
      <c r="O243" t="n">
        <v>0</v>
      </c>
      <c r="P243" t="n">
        <v>0</v>
      </c>
      <c r="Q243" t="n">
        <v>0</v>
      </c>
      <c r="R243" s="2" t="inlineStr"/>
    </row>
    <row r="244" ht="15" customHeight="1">
      <c r="A244" t="inlineStr">
        <is>
          <t>A 5055-2019</t>
        </is>
      </c>
      <c r="B244" s="1" t="n">
        <v>43487</v>
      </c>
      <c r="C244" s="1" t="n">
        <v>45351</v>
      </c>
      <c r="D244" t="inlineStr">
        <is>
          <t>UPPSALA LÄN</t>
        </is>
      </c>
      <c r="E244" t="inlineStr">
        <is>
          <t>UPPSALA</t>
        </is>
      </c>
      <c r="G244" t="n">
        <v>1.9</v>
      </c>
      <c r="H244" t="n">
        <v>0</v>
      </c>
      <c r="I244" t="n">
        <v>0</v>
      </c>
      <c r="J244" t="n">
        <v>0</v>
      </c>
      <c r="K244" t="n">
        <v>0</v>
      </c>
      <c r="L244" t="n">
        <v>0</v>
      </c>
      <c r="M244" t="n">
        <v>0</v>
      </c>
      <c r="N244" t="n">
        <v>0</v>
      </c>
      <c r="O244" t="n">
        <v>0</v>
      </c>
      <c r="P244" t="n">
        <v>0</v>
      </c>
      <c r="Q244" t="n">
        <v>0</v>
      </c>
      <c r="R244" s="2" t="inlineStr"/>
    </row>
    <row r="245" ht="15" customHeight="1">
      <c r="A245" t="inlineStr">
        <is>
          <t>A 5400-2019</t>
        </is>
      </c>
      <c r="B245" s="1" t="n">
        <v>43488</v>
      </c>
      <c r="C245" s="1" t="n">
        <v>45351</v>
      </c>
      <c r="D245" t="inlineStr">
        <is>
          <t>UPPSALA LÄN</t>
        </is>
      </c>
      <c r="E245" t="inlineStr">
        <is>
          <t>UPPSALA</t>
        </is>
      </c>
      <c r="F245" t="inlineStr">
        <is>
          <t>Allmännings- och besparingsskogar</t>
        </is>
      </c>
      <c r="G245" t="n">
        <v>2.8</v>
      </c>
      <c r="H245" t="n">
        <v>0</v>
      </c>
      <c r="I245" t="n">
        <v>0</v>
      </c>
      <c r="J245" t="n">
        <v>0</v>
      </c>
      <c r="K245" t="n">
        <v>0</v>
      </c>
      <c r="L245" t="n">
        <v>0</v>
      </c>
      <c r="M245" t="n">
        <v>0</v>
      </c>
      <c r="N245" t="n">
        <v>0</v>
      </c>
      <c r="O245" t="n">
        <v>0</v>
      </c>
      <c r="P245" t="n">
        <v>0</v>
      </c>
      <c r="Q245" t="n">
        <v>0</v>
      </c>
      <c r="R245" s="2" t="inlineStr"/>
    </row>
    <row r="246" ht="15" customHeight="1">
      <c r="A246" t="inlineStr">
        <is>
          <t>A 5399-2019</t>
        </is>
      </c>
      <c r="B246" s="1" t="n">
        <v>43488</v>
      </c>
      <c r="C246" s="1" t="n">
        <v>45351</v>
      </c>
      <c r="D246" t="inlineStr">
        <is>
          <t>UPPSALA LÄN</t>
        </is>
      </c>
      <c r="E246" t="inlineStr">
        <is>
          <t>UPPSALA</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5255-2019</t>
        </is>
      </c>
      <c r="B247" s="1" t="n">
        <v>43488</v>
      </c>
      <c r="C247" s="1" t="n">
        <v>45351</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5961-2019</t>
        </is>
      </c>
      <c r="B248" s="1" t="n">
        <v>43492</v>
      </c>
      <c r="C248" s="1" t="n">
        <v>45351</v>
      </c>
      <c r="D248" t="inlineStr">
        <is>
          <t>UPPSALA LÄN</t>
        </is>
      </c>
      <c r="E248" t="inlineStr">
        <is>
          <t>UPPSALA</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6300-2019</t>
        </is>
      </c>
      <c r="B249" s="1" t="n">
        <v>43493</v>
      </c>
      <c r="C249" s="1" t="n">
        <v>45351</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6314-2019</t>
        </is>
      </c>
      <c r="B250" s="1" t="n">
        <v>43493</v>
      </c>
      <c r="C250" s="1" t="n">
        <v>45351</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7220-2019</t>
        </is>
      </c>
      <c r="B251" s="1" t="n">
        <v>43496</v>
      </c>
      <c r="C251" s="1" t="n">
        <v>45351</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7136-2019</t>
        </is>
      </c>
      <c r="B252" s="1" t="n">
        <v>43496</v>
      </c>
      <c r="C252" s="1" t="n">
        <v>45351</v>
      </c>
      <c r="D252" t="inlineStr">
        <is>
          <t>UPPSALA LÄN</t>
        </is>
      </c>
      <c r="E252" t="inlineStr">
        <is>
          <t>UPPSALA</t>
        </is>
      </c>
      <c r="G252" t="n">
        <v>1.2</v>
      </c>
      <c r="H252" t="n">
        <v>0</v>
      </c>
      <c r="I252" t="n">
        <v>0</v>
      </c>
      <c r="J252" t="n">
        <v>0</v>
      </c>
      <c r="K252" t="n">
        <v>0</v>
      </c>
      <c r="L252" t="n">
        <v>0</v>
      </c>
      <c r="M252" t="n">
        <v>0</v>
      </c>
      <c r="N252" t="n">
        <v>0</v>
      </c>
      <c r="O252" t="n">
        <v>0</v>
      </c>
      <c r="P252" t="n">
        <v>0</v>
      </c>
      <c r="Q252" t="n">
        <v>0</v>
      </c>
      <c r="R252" s="2" t="inlineStr"/>
    </row>
    <row r="253" ht="15" customHeight="1">
      <c r="A253" t="inlineStr">
        <is>
          <t>A 7591-2019</t>
        </is>
      </c>
      <c r="B253" s="1" t="n">
        <v>43498</v>
      </c>
      <c r="C253" s="1" t="n">
        <v>45351</v>
      </c>
      <c r="D253" t="inlineStr">
        <is>
          <t>UPPSALA LÄN</t>
        </is>
      </c>
      <c r="E253" t="inlineStr">
        <is>
          <t>UPPSALA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7864-2019</t>
        </is>
      </c>
      <c r="B254" s="1" t="n">
        <v>43500</v>
      </c>
      <c r="C254" s="1" t="n">
        <v>45351</v>
      </c>
      <c r="D254" t="inlineStr">
        <is>
          <t>UPPSALA LÄN</t>
        </is>
      </c>
      <c r="E254" t="inlineStr">
        <is>
          <t>UPPSALA</t>
        </is>
      </c>
      <c r="G254" t="n">
        <v>0.4</v>
      </c>
      <c r="H254" t="n">
        <v>0</v>
      </c>
      <c r="I254" t="n">
        <v>0</v>
      </c>
      <c r="J254" t="n">
        <v>0</v>
      </c>
      <c r="K254" t="n">
        <v>0</v>
      </c>
      <c r="L254" t="n">
        <v>0</v>
      </c>
      <c r="M254" t="n">
        <v>0</v>
      </c>
      <c r="N254" t="n">
        <v>0</v>
      </c>
      <c r="O254" t="n">
        <v>0</v>
      </c>
      <c r="P254" t="n">
        <v>0</v>
      </c>
      <c r="Q254" t="n">
        <v>0</v>
      </c>
      <c r="R254" s="2" t="inlineStr"/>
    </row>
    <row r="255" ht="15" customHeight="1">
      <c r="A255" t="inlineStr">
        <is>
          <t>A 7942-2019</t>
        </is>
      </c>
      <c r="B255" s="1" t="n">
        <v>43500</v>
      </c>
      <c r="C255" s="1" t="n">
        <v>45351</v>
      </c>
      <c r="D255" t="inlineStr">
        <is>
          <t>UPPSALA LÄN</t>
        </is>
      </c>
      <c r="E255" t="inlineStr">
        <is>
          <t>UPPSALA</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7857-2019</t>
        </is>
      </c>
      <c r="B256" s="1" t="n">
        <v>43500</v>
      </c>
      <c r="C256" s="1" t="n">
        <v>45351</v>
      </c>
      <c r="D256" t="inlineStr">
        <is>
          <t>UPPSALA LÄN</t>
        </is>
      </c>
      <c r="E256" t="inlineStr">
        <is>
          <t>UPPSALA</t>
        </is>
      </c>
      <c r="G256" t="n">
        <v>3.6</v>
      </c>
      <c r="H256" t="n">
        <v>0</v>
      </c>
      <c r="I256" t="n">
        <v>0</v>
      </c>
      <c r="J256" t="n">
        <v>0</v>
      </c>
      <c r="K256" t="n">
        <v>0</v>
      </c>
      <c r="L256" t="n">
        <v>0</v>
      </c>
      <c r="M256" t="n">
        <v>0</v>
      </c>
      <c r="N256" t="n">
        <v>0</v>
      </c>
      <c r="O256" t="n">
        <v>0</v>
      </c>
      <c r="P256" t="n">
        <v>0</v>
      </c>
      <c r="Q256" t="n">
        <v>0</v>
      </c>
      <c r="R256" s="2" t="inlineStr"/>
    </row>
    <row r="257" ht="15" customHeight="1">
      <c r="A257" t="inlineStr">
        <is>
          <t>A 7964-2019</t>
        </is>
      </c>
      <c r="B257" s="1" t="n">
        <v>43500</v>
      </c>
      <c r="C257" s="1" t="n">
        <v>45351</v>
      </c>
      <c r="D257" t="inlineStr">
        <is>
          <t>UPPSALA LÄN</t>
        </is>
      </c>
      <c r="E257" t="inlineStr">
        <is>
          <t>UPPSALA</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7871-2019</t>
        </is>
      </c>
      <c r="B258" s="1" t="n">
        <v>43500</v>
      </c>
      <c r="C258" s="1" t="n">
        <v>45351</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8722-2019</t>
        </is>
      </c>
      <c r="B259" s="1" t="n">
        <v>43503</v>
      </c>
      <c r="C259" s="1" t="n">
        <v>45351</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8992-2019</t>
        </is>
      </c>
      <c r="B260" s="1" t="n">
        <v>43504</v>
      </c>
      <c r="C260" s="1" t="n">
        <v>45351</v>
      </c>
      <c r="D260" t="inlineStr">
        <is>
          <t>UPPSALA LÄN</t>
        </is>
      </c>
      <c r="E260" t="inlineStr">
        <is>
          <t>UPPSALA</t>
        </is>
      </c>
      <c r="G260" t="n">
        <v>2.1</v>
      </c>
      <c r="H260" t="n">
        <v>0</v>
      </c>
      <c r="I260" t="n">
        <v>0</v>
      </c>
      <c r="J260" t="n">
        <v>0</v>
      </c>
      <c r="K260" t="n">
        <v>0</v>
      </c>
      <c r="L260" t="n">
        <v>0</v>
      </c>
      <c r="M260" t="n">
        <v>0</v>
      </c>
      <c r="N260" t="n">
        <v>0</v>
      </c>
      <c r="O260" t="n">
        <v>0</v>
      </c>
      <c r="P260" t="n">
        <v>0</v>
      </c>
      <c r="Q260" t="n">
        <v>0</v>
      </c>
      <c r="R260" s="2" t="inlineStr"/>
    </row>
    <row r="261" ht="15" customHeight="1">
      <c r="A261" t="inlineStr">
        <is>
          <t>A 9472-2019</t>
        </is>
      </c>
      <c r="B261" s="1" t="n">
        <v>43507</v>
      </c>
      <c r="C261" s="1" t="n">
        <v>45351</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9287-2019</t>
        </is>
      </c>
      <c r="B262" s="1" t="n">
        <v>43507</v>
      </c>
      <c r="C262" s="1" t="n">
        <v>45351</v>
      </c>
      <c r="D262" t="inlineStr">
        <is>
          <t>UPPSALA LÄN</t>
        </is>
      </c>
      <c r="E262" t="inlineStr">
        <is>
          <t>UPPSALA</t>
        </is>
      </c>
      <c r="G262" t="n">
        <v>0.9</v>
      </c>
      <c r="H262" t="n">
        <v>0</v>
      </c>
      <c r="I262" t="n">
        <v>0</v>
      </c>
      <c r="J262" t="n">
        <v>0</v>
      </c>
      <c r="K262" t="n">
        <v>0</v>
      </c>
      <c r="L262" t="n">
        <v>0</v>
      </c>
      <c r="M262" t="n">
        <v>0</v>
      </c>
      <c r="N262" t="n">
        <v>0</v>
      </c>
      <c r="O262" t="n">
        <v>0</v>
      </c>
      <c r="P262" t="n">
        <v>0</v>
      </c>
      <c r="Q262" t="n">
        <v>0</v>
      </c>
      <c r="R262" s="2" t="inlineStr"/>
    </row>
    <row r="263" ht="15" customHeight="1">
      <c r="A263" t="inlineStr">
        <is>
          <t>A 9574-2019</t>
        </is>
      </c>
      <c r="B263" s="1" t="n">
        <v>43508</v>
      </c>
      <c r="C263" s="1" t="n">
        <v>45351</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9957-2019</t>
        </is>
      </c>
      <c r="B264" s="1" t="n">
        <v>43509</v>
      </c>
      <c r="C264" s="1" t="n">
        <v>45351</v>
      </c>
      <c r="D264" t="inlineStr">
        <is>
          <t>UPPSALA LÄN</t>
        </is>
      </c>
      <c r="E264" t="inlineStr">
        <is>
          <t>UPPSALA</t>
        </is>
      </c>
      <c r="G264" t="n">
        <v>4</v>
      </c>
      <c r="H264" t="n">
        <v>0</v>
      </c>
      <c r="I264" t="n">
        <v>0</v>
      </c>
      <c r="J264" t="n">
        <v>0</v>
      </c>
      <c r="K264" t="n">
        <v>0</v>
      </c>
      <c r="L264" t="n">
        <v>0</v>
      </c>
      <c r="M264" t="n">
        <v>0</v>
      </c>
      <c r="N264" t="n">
        <v>0</v>
      </c>
      <c r="O264" t="n">
        <v>0</v>
      </c>
      <c r="P264" t="n">
        <v>0</v>
      </c>
      <c r="Q264" t="n">
        <v>0</v>
      </c>
      <c r="R264" s="2" t="inlineStr"/>
    </row>
    <row r="265" ht="15" customHeight="1">
      <c r="A265" t="inlineStr">
        <is>
          <t>A 10335-2019</t>
        </is>
      </c>
      <c r="B265" s="1" t="n">
        <v>43511</v>
      </c>
      <c r="C265" s="1" t="n">
        <v>45351</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10255-2019</t>
        </is>
      </c>
      <c r="B266" s="1" t="n">
        <v>43511</v>
      </c>
      <c r="C266" s="1" t="n">
        <v>45351</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10419-2019</t>
        </is>
      </c>
      <c r="B267" s="1" t="n">
        <v>43511</v>
      </c>
      <c r="C267" s="1" t="n">
        <v>45351</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10344-2019</t>
        </is>
      </c>
      <c r="B268" s="1" t="n">
        <v>43511</v>
      </c>
      <c r="C268" s="1" t="n">
        <v>45351</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10434-2019</t>
        </is>
      </c>
      <c r="B269" s="1" t="n">
        <v>43511</v>
      </c>
      <c r="C269" s="1" t="n">
        <v>45351</v>
      </c>
      <c r="D269" t="inlineStr">
        <is>
          <t>UPPSALA LÄN</t>
        </is>
      </c>
      <c r="E269" t="inlineStr">
        <is>
          <t>UPPSALA</t>
        </is>
      </c>
      <c r="G269" t="n">
        <v>14.2</v>
      </c>
      <c r="H269" t="n">
        <v>0</v>
      </c>
      <c r="I269" t="n">
        <v>0</v>
      </c>
      <c r="J269" t="n">
        <v>0</v>
      </c>
      <c r="K269" t="n">
        <v>0</v>
      </c>
      <c r="L269" t="n">
        <v>0</v>
      </c>
      <c r="M269" t="n">
        <v>0</v>
      </c>
      <c r="N269" t="n">
        <v>0</v>
      </c>
      <c r="O269" t="n">
        <v>0</v>
      </c>
      <c r="P269" t="n">
        <v>0</v>
      </c>
      <c r="Q269" t="n">
        <v>0</v>
      </c>
      <c r="R269" s="2" t="inlineStr"/>
    </row>
    <row r="270" ht="15" customHeight="1">
      <c r="A270" t="inlineStr">
        <is>
          <t>A 11248-2019</t>
        </is>
      </c>
      <c r="B270" s="1" t="n">
        <v>43516</v>
      </c>
      <c r="C270" s="1" t="n">
        <v>45351</v>
      </c>
      <c r="D270" t="inlineStr">
        <is>
          <t>UPPSALA LÄN</t>
        </is>
      </c>
      <c r="E270" t="inlineStr">
        <is>
          <t>UPPSALA</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11522-2019</t>
        </is>
      </c>
      <c r="B271" s="1" t="n">
        <v>43517</v>
      </c>
      <c r="C271" s="1" t="n">
        <v>45351</v>
      </c>
      <c r="D271" t="inlineStr">
        <is>
          <t>UPPSALA LÄN</t>
        </is>
      </c>
      <c r="E271" t="inlineStr">
        <is>
          <t>UPPSALA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11498-2019</t>
        </is>
      </c>
      <c r="B272" s="1" t="n">
        <v>43517</v>
      </c>
      <c r="C272" s="1" t="n">
        <v>45351</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11520-2019</t>
        </is>
      </c>
      <c r="B273" s="1" t="n">
        <v>43517</v>
      </c>
      <c r="C273" s="1" t="n">
        <v>45351</v>
      </c>
      <c r="D273" t="inlineStr">
        <is>
          <t>UPPSALA LÄN</t>
        </is>
      </c>
      <c r="E273" t="inlineStr">
        <is>
          <t>UPPSALA</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11521-2019</t>
        </is>
      </c>
      <c r="B274" s="1" t="n">
        <v>43517</v>
      </c>
      <c r="C274" s="1" t="n">
        <v>45351</v>
      </c>
      <c r="D274" t="inlineStr">
        <is>
          <t>UPPSALA LÄN</t>
        </is>
      </c>
      <c r="E274" t="inlineStr">
        <is>
          <t>UPPSALA</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12481-2019</t>
        </is>
      </c>
      <c r="B275" s="1" t="n">
        <v>43523</v>
      </c>
      <c r="C275" s="1" t="n">
        <v>45351</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13302-2019</t>
        </is>
      </c>
      <c r="B276" s="1" t="n">
        <v>43528</v>
      </c>
      <c r="C276" s="1" t="n">
        <v>45351</v>
      </c>
      <c r="D276" t="inlineStr">
        <is>
          <t>UPPSALA LÄN</t>
        </is>
      </c>
      <c r="E276" t="inlineStr">
        <is>
          <t>UPPSALA</t>
        </is>
      </c>
      <c r="G276" t="n">
        <v>3</v>
      </c>
      <c r="H276" t="n">
        <v>0</v>
      </c>
      <c r="I276" t="n">
        <v>0</v>
      </c>
      <c r="J276" t="n">
        <v>0</v>
      </c>
      <c r="K276" t="n">
        <v>0</v>
      </c>
      <c r="L276" t="n">
        <v>0</v>
      </c>
      <c r="M276" t="n">
        <v>0</v>
      </c>
      <c r="N276" t="n">
        <v>0</v>
      </c>
      <c r="O276" t="n">
        <v>0</v>
      </c>
      <c r="P276" t="n">
        <v>0</v>
      </c>
      <c r="Q276" t="n">
        <v>0</v>
      </c>
      <c r="R276" s="2" t="inlineStr"/>
    </row>
    <row r="277" ht="15" customHeight="1">
      <c r="A277" t="inlineStr">
        <is>
          <t>A 13011-2019</t>
        </is>
      </c>
      <c r="B277" s="1" t="n">
        <v>43528</v>
      </c>
      <c r="C277" s="1" t="n">
        <v>45351</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13766-2019</t>
        </is>
      </c>
      <c r="B278" s="1" t="n">
        <v>43531</v>
      </c>
      <c r="C278" s="1" t="n">
        <v>45351</v>
      </c>
      <c r="D278" t="inlineStr">
        <is>
          <t>UPPSALA LÄN</t>
        </is>
      </c>
      <c r="E278" t="inlineStr">
        <is>
          <t>UPPSALA</t>
        </is>
      </c>
      <c r="G278" t="n">
        <v>6.7</v>
      </c>
      <c r="H278" t="n">
        <v>0</v>
      </c>
      <c r="I278" t="n">
        <v>0</v>
      </c>
      <c r="J278" t="n">
        <v>0</v>
      </c>
      <c r="K278" t="n">
        <v>0</v>
      </c>
      <c r="L278" t="n">
        <v>0</v>
      </c>
      <c r="M278" t="n">
        <v>0</v>
      </c>
      <c r="N278" t="n">
        <v>0</v>
      </c>
      <c r="O278" t="n">
        <v>0</v>
      </c>
      <c r="P278" t="n">
        <v>0</v>
      </c>
      <c r="Q278" t="n">
        <v>0</v>
      </c>
      <c r="R278" s="2" t="inlineStr"/>
    </row>
    <row r="279" ht="15" customHeight="1">
      <c r="A279" t="inlineStr">
        <is>
          <t>A 13927-2019</t>
        </is>
      </c>
      <c r="B279" s="1" t="n">
        <v>43531</v>
      </c>
      <c r="C279" s="1" t="n">
        <v>45351</v>
      </c>
      <c r="D279" t="inlineStr">
        <is>
          <t>UPPSALA LÄN</t>
        </is>
      </c>
      <c r="E279" t="inlineStr">
        <is>
          <t>UPPSALA</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13733-2019</t>
        </is>
      </c>
      <c r="B280" s="1" t="n">
        <v>43531</v>
      </c>
      <c r="C280" s="1" t="n">
        <v>45351</v>
      </c>
      <c r="D280" t="inlineStr">
        <is>
          <t>UPPSALA LÄN</t>
        </is>
      </c>
      <c r="E280" t="inlineStr">
        <is>
          <t>UPPSALA</t>
        </is>
      </c>
      <c r="G280" t="n">
        <v>5.2</v>
      </c>
      <c r="H280" t="n">
        <v>0</v>
      </c>
      <c r="I280" t="n">
        <v>0</v>
      </c>
      <c r="J280" t="n">
        <v>0</v>
      </c>
      <c r="K280" t="n">
        <v>0</v>
      </c>
      <c r="L280" t="n">
        <v>0</v>
      </c>
      <c r="M280" t="n">
        <v>0</v>
      </c>
      <c r="N280" t="n">
        <v>0</v>
      </c>
      <c r="O280" t="n">
        <v>0</v>
      </c>
      <c r="P280" t="n">
        <v>0</v>
      </c>
      <c r="Q280" t="n">
        <v>0</v>
      </c>
      <c r="R280" s="2" t="inlineStr"/>
    </row>
    <row r="281" ht="15" customHeight="1">
      <c r="A281" t="inlineStr">
        <is>
          <t>A 14059-2019</t>
        </is>
      </c>
      <c r="B281" s="1" t="n">
        <v>43532</v>
      </c>
      <c r="C281" s="1" t="n">
        <v>45351</v>
      </c>
      <c r="D281" t="inlineStr">
        <is>
          <t>UPPSALA LÄN</t>
        </is>
      </c>
      <c r="E281" t="inlineStr">
        <is>
          <t>UPPSALA</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14255-2019</t>
        </is>
      </c>
      <c r="B282" s="1" t="n">
        <v>43535</v>
      </c>
      <c r="C282" s="1" t="n">
        <v>45351</v>
      </c>
      <c r="D282" t="inlineStr">
        <is>
          <t>UPPSALA LÄN</t>
        </is>
      </c>
      <c r="E282" t="inlineStr">
        <is>
          <t>UPPSALA</t>
        </is>
      </c>
      <c r="G282" t="n">
        <v>5.5</v>
      </c>
      <c r="H282" t="n">
        <v>0</v>
      </c>
      <c r="I282" t="n">
        <v>0</v>
      </c>
      <c r="J282" t="n">
        <v>0</v>
      </c>
      <c r="K282" t="n">
        <v>0</v>
      </c>
      <c r="L282" t="n">
        <v>0</v>
      </c>
      <c r="M282" t="n">
        <v>0</v>
      </c>
      <c r="N282" t="n">
        <v>0</v>
      </c>
      <c r="O282" t="n">
        <v>0</v>
      </c>
      <c r="P282" t="n">
        <v>0</v>
      </c>
      <c r="Q282" t="n">
        <v>0</v>
      </c>
      <c r="R282" s="2" t="inlineStr"/>
    </row>
    <row r="283" ht="15" customHeight="1">
      <c r="A283" t="inlineStr">
        <is>
          <t>A 14407-2019</t>
        </is>
      </c>
      <c r="B283" s="1" t="n">
        <v>43536</v>
      </c>
      <c r="C283" s="1" t="n">
        <v>45351</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14963-2019</t>
        </is>
      </c>
      <c r="B284" s="1" t="n">
        <v>43538</v>
      </c>
      <c r="C284" s="1" t="n">
        <v>45351</v>
      </c>
      <c r="D284" t="inlineStr">
        <is>
          <t>UPPSALA LÄN</t>
        </is>
      </c>
      <c r="E284" t="inlineStr">
        <is>
          <t>UPPSALA</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14956-2019</t>
        </is>
      </c>
      <c r="B285" s="1" t="n">
        <v>43538</v>
      </c>
      <c r="C285" s="1" t="n">
        <v>45351</v>
      </c>
      <c r="D285" t="inlineStr">
        <is>
          <t>UPPSALA LÄN</t>
        </is>
      </c>
      <c r="E285" t="inlineStr">
        <is>
          <t>UPPSALA</t>
        </is>
      </c>
      <c r="F285" t="inlineStr">
        <is>
          <t>Holmen skog AB</t>
        </is>
      </c>
      <c r="G285" t="n">
        <v>2.4</v>
      </c>
      <c r="H285" t="n">
        <v>0</v>
      </c>
      <c r="I285" t="n">
        <v>0</v>
      </c>
      <c r="J285" t="n">
        <v>0</v>
      </c>
      <c r="K285" t="n">
        <v>0</v>
      </c>
      <c r="L285" t="n">
        <v>0</v>
      </c>
      <c r="M285" t="n">
        <v>0</v>
      </c>
      <c r="N285" t="n">
        <v>0</v>
      </c>
      <c r="O285" t="n">
        <v>0</v>
      </c>
      <c r="P285" t="n">
        <v>0</v>
      </c>
      <c r="Q285" t="n">
        <v>0</v>
      </c>
      <c r="R285" s="2" t="inlineStr"/>
    </row>
    <row r="286" ht="15" customHeight="1">
      <c r="A286" t="inlineStr">
        <is>
          <t>A 15995-2019</t>
        </is>
      </c>
      <c r="B286" s="1" t="n">
        <v>43544</v>
      </c>
      <c r="C286" s="1" t="n">
        <v>45351</v>
      </c>
      <c r="D286" t="inlineStr">
        <is>
          <t>UPPSALA LÄN</t>
        </is>
      </c>
      <c r="E286" t="inlineStr">
        <is>
          <t>UPPSALA</t>
        </is>
      </c>
      <c r="G286" t="n">
        <v>16.5</v>
      </c>
      <c r="H286" t="n">
        <v>0</v>
      </c>
      <c r="I286" t="n">
        <v>0</v>
      </c>
      <c r="J286" t="n">
        <v>0</v>
      </c>
      <c r="K286" t="n">
        <v>0</v>
      </c>
      <c r="L286" t="n">
        <v>0</v>
      </c>
      <c r="M286" t="n">
        <v>0</v>
      </c>
      <c r="N286" t="n">
        <v>0</v>
      </c>
      <c r="O286" t="n">
        <v>0</v>
      </c>
      <c r="P286" t="n">
        <v>0</v>
      </c>
      <c r="Q286" t="n">
        <v>0</v>
      </c>
      <c r="R286" s="2" t="inlineStr"/>
    </row>
    <row r="287" ht="15" customHeight="1">
      <c r="A287" t="inlineStr">
        <is>
          <t>A 16887-2019</t>
        </is>
      </c>
      <c r="B287" s="1" t="n">
        <v>43550</v>
      </c>
      <c r="C287" s="1" t="n">
        <v>45351</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17351-2019</t>
        </is>
      </c>
      <c r="B288" s="1" t="n">
        <v>43552</v>
      </c>
      <c r="C288" s="1" t="n">
        <v>45351</v>
      </c>
      <c r="D288" t="inlineStr">
        <is>
          <t>UPPSALA LÄN</t>
        </is>
      </c>
      <c r="E288" t="inlineStr">
        <is>
          <t>UPPSALA</t>
        </is>
      </c>
      <c r="G288" t="n">
        <v>2</v>
      </c>
      <c r="H288" t="n">
        <v>0</v>
      </c>
      <c r="I288" t="n">
        <v>0</v>
      </c>
      <c r="J288" t="n">
        <v>0</v>
      </c>
      <c r="K288" t="n">
        <v>0</v>
      </c>
      <c r="L288" t="n">
        <v>0</v>
      </c>
      <c r="M288" t="n">
        <v>0</v>
      </c>
      <c r="N288" t="n">
        <v>0</v>
      </c>
      <c r="O288" t="n">
        <v>0</v>
      </c>
      <c r="P288" t="n">
        <v>0</v>
      </c>
      <c r="Q288" t="n">
        <v>0</v>
      </c>
      <c r="R288" s="2" t="inlineStr"/>
    </row>
    <row r="289" ht="15" customHeight="1">
      <c r="A289" t="inlineStr">
        <is>
          <t>A 17534-2019</t>
        </is>
      </c>
      <c r="B289" s="1" t="n">
        <v>43553</v>
      </c>
      <c r="C289" s="1" t="n">
        <v>45351</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17438-2019</t>
        </is>
      </c>
      <c r="B290" s="1" t="n">
        <v>43553</v>
      </c>
      <c r="C290" s="1" t="n">
        <v>45351</v>
      </c>
      <c r="D290" t="inlineStr">
        <is>
          <t>UPPSALA LÄN</t>
        </is>
      </c>
      <c r="E290" t="inlineStr">
        <is>
          <t>UPPSALA</t>
        </is>
      </c>
      <c r="F290" t="inlineStr">
        <is>
          <t>Allmännings- och besparingsskogar</t>
        </is>
      </c>
      <c r="G290" t="n">
        <v>3.6</v>
      </c>
      <c r="H290" t="n">
        <v>0</v>
      </c>
      <c r="I290" t="n">
        <v>0</v>
      </c>
      <c r="J290" t="n">
        <v>0</v>
      </c>
      <c r="K290" t="n">
        <v>0</v>
      </c>
      <c r="L290" t="n">
        <v>0</v>
      </c>
      <c r="M290" t="n">
        <v>0</v>
      </c>
      <c r="N290" t="n">
        <v>0</v>
      </c>
      <c r="O290" t="n">
        <v>0</v>
      </c>
      <c r="P290" t="n">
        <v>0</v>
      </c>
      <c r="Q290" t="n">
        <v>0</v>
      </c>
      <c r="R290" s="2" t="inlineStr"/>
    </row>
    <row r="291" ht="15" customHeight="1">
      <c r="A291" t="inlineStr">
        <is>
          <t>A 17828-2019</t>
        </is>
      </c>
      <c r="B291" s="1" t="n">
        <v>43556</v>
      </c>
      <c r="C291" s="1" t="n">
        <v>45351</v>
      </c>
      <c r="D291" t="inlineStr">
        <is>
          <t>UPPSALA LÄN</t>
        </is>
      </c>
      <c r="E291" t="inlineStr">
        <is>
          <t>UPPSALA</t>
        </is>
      </c>
      <c r="G291" t="n">
        <v>2.8</v>
      </c>
      <c r="H291" t="n">
        <v>0</v>
      </c>
      <c r="I291" t="n">
        <v>0</v>
      </c>
      <c r="J291" t="n">
        <v>0</v>
      </c>
      <c r="K291" t="n">
        <v>0</v>
      </c>
      <c r="L291" t="n">
        <v>0</v>
      </c>
      <c r="M291" t="n">
        <v>0</v>
      </c>
      <c r="N291" t="n">
        <v>0</v>
      </c>
      <c r="O291" t="n">
        <v>0</v>
      </c>
      <c r="P291" t="n">
        <v>0</v>
      </c>
      <c r="Q291" t="n">
        <v>0</v>
      </c>
      <c r="R291" s="2" t="inlineStr"/>
    </row>
    <row r="292" ht="15" customHeight="1">
      <c r="A292" t="inlineStr">
        <is>
          <t>A 18446-2019</t>
        </is>
      </c>
      <c r="B292" s="1" t="n">
        <v>43559</v>
      </c>
      <c r="C292" s="1" t="n">
        <v>45351</v>
      </c>
      <c r="D292" t="inlineStr">
        <is>
          <t>UPPSALA LÄN</t>
        </is>
      </c>
      <c r="E292" t="inlineStr">
        <is>
          <t>UPPSALA</t>
        </is>
      </c>
      <c r="G292" t="n">
        <v>9.1</v>
      </c>
      <c r="H292" t="n">
        <v>0</v>
      </c>
      <c r="I292" t="n">
        <v>0</v>
      </c>
      <c r="J292" t="n">
        <v>0</v>
      </c>
      <c r="K292" t="n">
        <v>0</v>
      </c>
      <c r="L292" t="n">
        <v>0</v>
      </c>
      <c r="M292" t="n">
        <v>0</v>
      </c>
      <c r="N292" t="n">
        <v>0</v>
      </c>
      <c r="O292" t="n">
        <v>0</v>
      </c>
      <c r="P292" t="n">
        <v>0</v>
      </c>
      <c r="Q292" t="n">
        <v>0</v>
      </c>
      <c r="R292" s="2" t="inlineStr"/>
    </row>
    <row r="293" ht="15" customHeight="1">
      <c r="A293" t="inlineStr">
        <is>
          <t>A 18554-2019</t>
        </is>
      </c>
      <c r="B293" s="1" t="n">
        <v>43559</v>
      </c>
      <c r="C293" s="1" t="n">
        <v>45351</v>
      </c>
      <c r="D293" t="inlineStr">
        <is>
          <t>UPPSALA LÄN</t>
        </is>
      </c>
      <c r="E293" t="inlineStr">
        <is>
          <t>UPPSALA</t>
        </is>
      </c>
      <c r="G293" t="n">
        <v>5.6</v>
      </c>
      <c r="H293" t="n">
        <v>0</v>
      </c>
      <c r="I293" t="n">
        <v>0</v>
      </c>
      <c r="J293" t="n">
        <v>0</v>
      </c>
      <c r="K293" t="n">
        <v>0</v>
      </c>
      <c r="L293" t="n">
        <v>0</v>
      </c>
      <c r="M293" t="n">
        <v>0</v>
      </c>
      <c r="N293" t="n">
        <v>0</v>
      </c>
      <c r="O293" t="n">
        <v>0</v>
      </c>
      <c r="P293" t="n">
        <v>0</v>
      </c>
      <c r="Q293" t="n">
        <v>0</v>
      </c>
      <c r="R293" s="2" t="inlineStr"/>
    </row>
    <row r="294" ht="15" customHeight="1">
      <c r="A294" t="inlineStr">
        <is>
          <t>A 18810-2019</t>
        </is>
      </c>
      <c r="B294" s="1" t="n">
        <v>43560</v>
      </c>
      <c r="C294" s="1" t="n">
        <v>45351</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20011-2019</t>
        </is>
      </c>
      <c r="B295" s="1" t="n">
        <v>43570</v>
      </c>
      <c r="C295" s="1" t="n">
        <v>45351</v>
      </c>
      <c r="D295" t="inlineStr">
        <is>
          <t>UPPSALA LÄN</t>
        </is>
      </c>
      <c r="E295" t="inlineStr">
        <is>
          <t>UPPSALA</t>
        </is>
      </c>
      <c r="G295" t="n">
        <v>6.3</v>
      </c>
      <c r="H295" t="n">
        <v>0</v>
      </c>
      <c r="I295" t="n">
        <v>0</v>
      </c>
      <c r="J295" t="n">
        <v>0</v>
      </c>
      <c r="K295" t="n">
        <v>0</v>
      </c>
      <c r="L295" t="n">
        <v>0</v>
      </c>
      <c r="M295" t="n">
        <v>0</v>
      </c>
      <c r="N295" t="n">
        <v>0</v>
      </c>
      <c r="O295" t="n">
        <v>0</v>
      </c>
      <c r="P295" t="n">
        <v>0</v>
      </c>
      <c r="Q295" t="n">
        <v>0</v>
      </c>
      <c r="R295" s="2" t="inlineStr"/>
    </row>
    <row r="296" ht="15" customHeight="1">
      <c r="A296" t="inlineStr">
        <is>
          <t>A 21087-2019</t>
        </is>
      </c>
      <c r="B296" s="1" t="n">
        <v>43578</v>
      </c>
      <c r="C296" s="1" t="n">
        <v>45351</v>
      </c>
      <c r="D296" t="inlineStr">
        <is>
          <t>UPPSALA LÄN</t>
        </is>
      </c>
      <c r="E296" t="inlineStr">
        <is>
          <t>UPPSALA</t>
        </is>
      </c>
      <c r="G296" t="n">
        <v>1.8</v>
      </c>
      <c r="H296" t="n">
        <v>0</v>
      </c>
      <c r="I296" t="n">
        <v>0</v>
      </c>
      <c r="J296" t="n">
        <v>0</v>
      </c>
      <c r="K296" t="n">
        <v>0</v>
      </c>
      <c r="L296" t="n">
        <v>0</v>
      </c>
      <c r="M296" t="n">
        <v>0</v>
      </c>
      <c r="N296" t="n">
        <v>0</v>
      </c>
      <c r="O296" t="n">
        <v>0</v>
      </c>
      <c r="P296" t="n">
        <v>0</v>
      </c>
      <c r="Q296" t="n">
        <v>0</v>
      </c>
      <c r="R296" s="2" t="inlineStr"/>
    </row>
    <row r="297" ht="15" customHeight="1">
      <c r="A297" t="inlineStr">
        <is>
          <t>A 21082-2019</t>
        </is>
      </c>
      <c r="B297" s="1" t="n">
        <v>43578</v>
      </c>
      <c r="C297" s="1" t="n">
        <v>45351</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21862-2019</t>
        </is>
      </c>
      <c r="B298" s="1" t="n">
        <v>43583</v>
      </c>
      <c r="C298" s="1" t="n">
        <v>45351</v>
      </c>
      <c r="D298" t="inlineStr">
        <is>
          <t>UPPSALA LÄN</t>
        </is>
      </c>
      <c r="E298" t="inlineStr">
        <is>
          <t>UPPSALA</t>
        </is>
      </c>
      <c r="G298" t="n">
        <v>9.5</v>
      </c>
      <c r="H298" t="n">
        <v>0</v>
      </c>
      <c r="I298" t="n">
        <v>0</v>
      </c>
      <c r="J298" t="n">
        <v>0</v>
      </c>
      <c r="K298" t="n">
        <v>0</v>
      </c>
      <c r="L298" t="n">
        <v>0</v>
      </c>
      <c r="M298" t="n">
        <v>0</v>
      </c>
      <c r="N298" t="n">
        <v>0</v>
      </c>
      <c r="O298" t="n">
        <v>0</v>
      </c>
      <c r="P298" t="n">
        <v>0</v>
      </c>
      <c r="Q298" t="n">
        <v>0</v>
      </c>
      <c r="R298" s="2" t="inlineStr"/>
    </row>
    <row r="299" ht="15" customHeight="1">
      <c r="A299" t="inlineStr">
        <is>
          <t>A 22153-2019</t>
        </is>
      </c>
      <c r="B299" s="1" t="n">
        <v>43585</v>
      </c>
      <c r="C299" s="1" t="n">
        <v>45351</v>
      </c>
      <c r="D299" t="inlineStr">
        <is>
          <t>UPPSALA LÄN</t>
        </is>
      </c>
      <c r="E299" t="inlineStr">
        <is>
          <t>UPPSALA</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23042-2019</t>
        </is>
      </c>
      <c r="B300" s="1" t="n">
        <v>43591</v>
      </c>
      <c r="C300" s="1" t="n">
        <v>45351</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23262-2019</t>
        </is>
      </c>
      <c r="B301" s="1" t="n">
        <v>43592</v>
      </c>
      <c r="C301" s="1" t="n">
        <v>45351</v>
      </c>
      <c r="D301" t="inlineStr">
        <is>
          <t>UPPSALA LÄN</t>
        </is>
      </c>
      <c r="E301" t="inlineStr">
        <is>
          <t>UPPSALA</t>
        </is>
      </c>
      <c r="F301" t="inlineStr">
        <is>
          <t>Kyrkan</t>
        </is>
      </c>
      <c r="G301" t="n">
        <v>7.6</v>
      </c>
      <c r="H301" t="n">
        <v>0</v>
      </c>
      <c r="I301" t="n">
        <v>0</v>
      </c>
      <c r="J301" t="n">
        <v>0</v>
      </c>
      <c r="K301" t="n">
        <v>0</v>
      </c>
      <c r="L301" t="n">
        <v>0</v>
      </c>
      <c r="M301" t="n">
        <v>0</v>
      </c>
      <c r="N301" t="n">
        <v>0</v>
      </c>
      <c r="O301" t="n">
        <v>0</v>
      </c>
      <c r="P301" t="n">
        <v>0</v>
      </c>
      <c r="Q301" t="n">
        <v>0</v>
      </c>
      <c r="R301" s="2" t="inlineStr"/>
    </row>
    <row r="302" ht="15" customHeight="1">
      <c r="A302" t="inlineStr">
        <is>
          <t>A 24998-2019</t>
        </is>
      </c>
      <c r="B302" s="1" t="n">
        <v>43600</v>
      </c>
      <c r="C302" s="1" t="n">
        <v>45351</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25164-2019</t>
        </is>
      </c>
      <c r="B303" s="1" t="n">
        <v>43605</v>
      </c>
      <c r="C303" s="1" t="n">
        <v>45351</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25157-2019</t>
        </is>
      </c>
      <c r="B304" s="1" t="n">
        <v>43605</v>
      </c>
      <c r="C304" s="1" t="n">
        <v>45351</v>
      </c>
      <c r="D304" t="inlineStr">
        <is>
          <t>UPPSALA LÄN</t>
        </is>
      </c>
      <c r="E304" t="inlineStr">
        <is>
          <t>UPPSALA</t>
        </is>
      </c>
      <c r="G304" t="n">
        <v>3</v>
      </c>
      <c r="H304" t="n">
        <v>0</v>
      </c>
      <c r="I304" t="n">
        <v>0</v>
      </c>
      <c r="J304" t="n">
        <v>0</v>
      </c>
      <c r="K304" t="n">
        <v>0</v>
      </c>
      <c r="L304" t="n">
        <v>0</v>
      </c>
      <c r="M304" t="n">
        <v>0</v>
      </c>
      <c r="N304" t="n">
        <v>0</v>
      </c>
      <c r="O304" t="n">
        <v>0</v>
      </c>
      <c r="P304" t="n">
        <v>0</v>
      </c>
      <c r="Q304" t="n">
        <v>0</v>
      </c>
      <c r="R304" s="2" t="inlineStr"/>
    </row>
    <row r="305" ht="15" customHeight="1">
      <c r="A305" t="inlineStr">
        <is>
          <t>A 25667-2019</t>
        </is>
      </c>
      <c r="B305" s="1" t="n">
        <v>43607</v>
      </c>
      <c r="C305" s="1" t="n">
        <v>45351</v>
      </c>
      <c r="D305" t="inlineStr">
        <is>
          <t>UPPSALA LÄN</t>
        </is>
      </c>
      <c r="E305" t="inlineStr">
        <is>
          <t>UPPSALA</t>
        </is>
      </c>
      <c r="G305" t="n">
        <v>0.7</v>
      </c>
      <c r="H305" t="n">
        <v>0</v>
      </c>
      <c r="I305" t="n">
        <v>0</v>
      </c>
      <c r="J305" t="n">
        <v>0</v>
      </c>
      <c r="K305" t="n">
        <v>0</v>
      </c>
      <c r="L305" t="n">
        <v>0</v>
      </c>
      <c r="M305" t="n">
        <v>0</v>
      </c>
      <c r="N305" t="n">
        <v>0</v>
      </c>
      <c r="O305" t="n">
        <v>0</v>
      </c>
      <c r="P305" t="n">
        <v>0</v>
      </c>
      <c r="Q305" t="n">
        <v>0</v>
      </c>
      <c r="R305" s="2" t="inlineStr"/>
    </row>
    <row r="306" ht="15" customHeight="1">
      <c r="A306" t="inlineStr">
        <is>
          <t>A 29105-2019</t>
        </is>
      </c>
      <c r="B306" s="1" t="n">
        <v>43628</v>
      </c>
      <c r="C306" s="1" t="n">
        <v>45351</v>
      </c>
      <c r="D306" t="inlineStr">
        <is>
          <t>UPPSALA LÄN</t>
        </is>
      </c>
      <c r="E306" t="inlineStr">
        <is>
          <t>UPPSALA</t>
        </is>
      </c>
      <c r="G306" t="n">
        <v>2.1</v>
      </c>
      <c r="H306" t="n">
        <v>0</v>
      </c>
      <c r="I306" t="n">
        <v>0</v>
      </c>
      <c r="J306" t="n">
        <v>0</v>
      </c>
      <c r="K306" t="n">
        <v>0</v>
      </c>
      <c r="L306" t="n">
        <v>0</v>
      </c>
      <c r="M306" t="n">
        <v>0</v>
      </c>
      <c r="N306" t="n">
        <v>0</v>
      </c>
      <c r="O306" t="n">
        <v>0</v>
      </c>
      <c r="P306" t="n">
        <v>0</v>
      </c>
      <c r="Q306" t="n">
        <v>0</v>
      </c>
      <c r="R306" s="2" t="inlineStr"/>
    </row>
    <row r="307" ht="15" customHeight="1">
      <c r="A307" t="inlineStr">
        <is>
          <t>A 29183-2019</t>
        </is>
      </c>
      <c r="B307" s="1" t="n">
        <v>43628</v>
      </c>
      <c r="C307" s="1" t="n">
        <v>45351</v>
      </c>
      <c r="D307" t="inlineStr">
        <is>
          <t>UPPSALA LÄN</t>
        </is>
      </c>
      <c r="E307" t="inlineStr">
        <is>
          <t>UPPSALA</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29081-2019</t>
        </is>
      </c>
      <c r="B308" s="1" t="n">
        <v>43628</v>
      </c>
      <c r="C308" s="1" t="n">
        <v>45351</v>
      </c>
      <c r="D308" t="inlineStr">
        <is>
          <t>UPPSALA LÄN</t>
        </is>
      </c>
      <c r="E308" t="inlineStr">
        <is>
          <t>UPPSALA</t>
        </is>
      </c>
      <c r="G308" t="n">
        <v>8.4</v>
      </c>
      <c r="H308" t="n">
        <v>0</v>
      </c>
      <c r="I308" t="n">
        <v>0</v>
      </c>
      <c r="J308" t="n">
        <v>0</v>
      </c>
      <c r="K308" t="n">
        <v>0</v>
      </c>
      <c r="L308" t="n">
        <v>0</v>
      </c>
      <c r="M308" t="n">
        <v>0</v>
      </c>
      <c r="N308" t="n">
        <v>0</v>
      </c>
      <c r="O308" t="n">
        <v>0</v>
      </c>
      <c r="P308" t="n">
        <v>0</v>
      </c>
      <c r="Q308" t="n">
        <v>0</v>
      </c>
      <c r="R308" s="2" t="inlineStr"/>
    </row>
    <row r="309" ht="15" customHeight="1">
      <c r="A309" t="inlineStr">
        <is>
          <t>A 29719-2019</t>
        </is>
      </c>
      <c r="B309" s="1" t="n">
        <v>43630</v>
      </c>
      <c r="C309" s="1" t="n">
        <v>45351</v>
      </c>
      <c r="D309" t="inlineStr">
        <is>
          <t>UPPSALA LÄN</t>
        </is>
      </c>
      <c r="E309" t="inlineStr">
        <is>
          <t>UPPSALA</t>
        </is>
      </c>
      <c r="G309" t="n">
        <v>1.4</v>
      </c>
      <c r="H309" t="n">
        <v>0</v>
      </c>
      <c r="I309" t="n">
        <v>0</v>
      </c>
      <c r="J309" t="n">
        <v>0</v>
      </c>
      <c r="K309" t="n">
        <v>0</v>
      </c>
      <c r="L309" t="n">
        <v>0</v>
      </c>
      <c r="M309" t="n">
        <v>0</v>
      </c>
      <c r="N309" t="n">
        <v>0</v>
      </c>
      <c r="O309" t="n">
        <v>0</v>
      </c>
      <c r="P309" t="n">
        <v>0</v>
      </c>
      <c r="Q309" t="n">
        <v>0</v>
      </c>
      <c r="R309" s="2" t="inlineStr"/>
    </row>
    <row r="310" ht="15" customHeight="1">
      <c r="A310" t="inlineStr">
        <is>
          <t>A 29713-2019</t>
        </is>
      </c>
      <c r="B310" s="1" t="n">
        <v>43630</v>
      </c>
      <c r="C310" s="1" t="n">
        <v>45351</v>
      </c>
      <c r="D310" t="inlineStr">
        <is>
          <t>UPPSALA LÄN</t>
        </is>
      </c>
      <c r="E310" t="inlineStr">
        <is>
          <t>UPPSALA</t>
        </is>
      </c>
      <c r="G310" t="n">
        <v>1</v>
      </c>
      <c r="H310" t="n">
        <v>0</v>
      </c>
      <c r="I310" t="n">
        <v>0</v>
      </c>
      <c r="J310" t="n">
        <v>0</v>
      </c>
      <c r="K310" t="n">
        <v>0</v>
      </c>
      <c r="L310" t="n">
        <v>0</v>
      </c>
      <c r="M310" t="n">
        <v>0</v>
      </c>
      <c r="N310" t="n">
        <v>0</v>
      </c>
      <c r="O310" t="n">
        <v>0</v>
      </c>
      <c r="P310" t="n">
        <v>0</v>
      </c>
      <c r="Q310" t="n">
        <v>0</v>
      </c>
      <c r="R310" s="2" t="inlineStr"/>
    </row>
    <row r="311" ht="15" customHeight="1">
      <c r="A311" t="inlineStr">
        <is>
          <t>A 32558-2019</t>
        </is>
      </c>
      <c r="B311" s="1" t="n">
        <v>43647</v>
      </c>
      <c r="C311" s="1" t="n">
        <v>45351</v>
      </c>
      <c r="D311" t="inlineStr">
        <is>
          <t>UPPSALA LÄN</t>
        </is>
      </c>
      <c r="E311" t="inlineStr">
        <is>
          <t>UPPSALA</t>
        </is>
      </c>
      <c r="G311" t="n">
        <v>4.2</v>
      </c>
      <c r="H311" t="n">
        <v>0</v>
      </c>
      <c r="I311" t="n">
        <v>0</v>
      </c>
      <c r="J311" t="n">
        <v>0</v>
      </c>
      <c r="K311" t="n">
        <v>0</v>
      </c>
      <c r="L311" t="n">
        <v>0</v>
      </c>
      <c r="M311" t="n">
        <v>0</v>
      </c>
      <c r="N311" t="n">
        <v>0</v>
      </c>
      <c r="O311" t="n">
        <v>0</v>
      </c>
      <c r="P311" t="n">
        <v>0</v>
      </c>
      <c r="Q311" t="n">
        <v>0</v>
      </c>
      <c r="R311" s="2" t="inlineStr"/>
    </row>
    <row r="312" ht="15" customHeight="1">
      <c r="A312" t="inlineStr">
        <is>
          <t>A 34560-2019</t>
        </is>
      </c>
      <c r="B312" s="1" t="n">
        <v>43647</v>
      </c>
      <c r="C312" s="1" t="n">
        <v>45351</v>
      </c>
      <c r="D312" t="inlineStr">
        <is>
          <t>UPPSALA LÄN</t>
        </is>
      </c>
      <c r="E312" t="inlineStr">
        <is>
          <t>UPPSALA</t>
        </is>
      </c>
      <c r="G312" t="n">
        <v>8.6</v>
      </c>
      <c r="H312" t="n">
        <v>0</v>
      </c>
      <c r="I312" t="n">
        <v>0</v>
      </c>
      <c r="J312" t="n">
        <v>0</v>
      </c>
      <c r="K312" t="n">
        <v>0</v>
      </c>
      <c r="L312" t="n">
        <v>0</v>
      </c>
      <c r="M312" t="n">
        <v>0</v>
      </c>
      <c r="N312" t="n">
        <v>0</v>
      </c>
      <c r="O312" t="n">
        <v>0</v>
      </c>
      <c r="P312" t="n">
        <v>0</v>
      </c>
      <c r="Q312" t="n">
        <v>0</v>
      </c>
      <c r="R312" s="2" t="inlineStr"/>
    </row>
    <row r="313" ht="15" customHeight="1">
      <c r="A313" t="inlineStr">
        <is>
          <t>A 32830-2019</t>
        </is>
      </c>
      <c r="B313" s="1" t="n">
        <v>43648</v>
      </c>
      <c r="C313" s="1" t="n">
        <v>45351</v>
      </c>
      <c r="D313" t="inlineStr">
        <is>
          <t>UPPSALA LÄN</t>
        </is>
      </c>
      <c r="E313" t="inlineStr">
        <is>
          <t>UPPSALA</t>
        </is>
      </c>
      <c r="G313" t="n">
        <v>13.6</v>
      </c>
      <c r="H313" t="n">
        <v>0</v>
      </c>
      <c r="I313" t="n">
        <v>0</v>
      </c>
      <c r="J313" t="n">
        <v>0</v>
      </c>
      <c r="K313" t="n">
        <v>0</v>
      </c>
      <c r="L313" t="n">
        <v>0</v>
      </c>
      <c r="M313" t="n">
        <v>0</v>
      </c>
      <c r="N313" t="n">
        <v>0</v>
      </c>
      <c r="O313" t="n">
        <v>0</v>
      </c>
      <c r="P313" t="n">
        <v>0</v>
      </c>
      <c r="Q313" t="n">
        <v>0</v>
      </c>
      <c r="R313" s="2" t="inlineStr"/>
    </row>
    <row r="314" ht="15" customHeight="1">
      <c r="A314" t="inlineStr">
        <is>
          <t>A 33602-2019</t>
        </is>
      </c>
      <c r="B314" s="1" t="n">
        <v>43651</v>
      </c>
      <c r="C314" s="1" t="n">
        <v>45351</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33614-2019</t>
        </is>
      </c>
      <c r="B315" s="1" t="n">
        <v>43651</v>
      </c>
      <c r="C315" s="1" t="n">
        <v>45351</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33615-2019</t>
        </is>
      </c>
      <c r="B316" s="1" t="n">
        <v>43651</v>
      </c>
      <c r="C316" s="1" t="n">
        <v>45351</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33596-2019</t>
        </is>
      </c>
      <c r="B317" s="1" t="n">
        <v>43651</v>
      </c>
      <c r="C317" s="1" t="n">
        <v>45351</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34007-2019</t>
        </is>
      </c>
      <c r="B318" s="1" t="n">
        <v>43654</v>
      </c>
      <c r="C318" s="1" t="n">
        <v>45351</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34063-2019</t>
        </is>
      </c>
      <c r="B319" s="1" t="n">
        <v>43654</v>
      </c>
      <c r="C319" s="1" t="n">
        <v>45351</v>
      </c>
      <c r="D319" t="inlineStr">
        <is>
          <t>UPPSALA LÄN</t>
        </is>
      </c>
      <c r="E319" t="inlineStr">
        <is>
          <t>UPPSALA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34331-2019</t>
        </is>
      </c>
      <c r="B320" s="1" t="n">
        <v>43656</v>
      </c>
      <c r="C320" s="1" t="n">
        <v>45351</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36345-2019</t>
        </is>
      </c>
      <c r="B321" s="1" t="n">
        <v>43661</v>
      </c>
      <c r="C321" s="1" t="n">
        <v>45351</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36394-2019</t>
        </is>
      </c>
      <c r="B322" s="1" t="n">
        <v>43663</v>
      </c>
      <c r="C322" s="1" t="n">
        <v>45351</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37234-2019</t>
        </is>
      </c>
      <c r="B323" s="1" t="n">
        <v>43677</v>
      </c>
      <c r="C323" s="1" t="n">
        <v>45351</v>
      </c>
      <c r="D323" t="inlineStr">
        <is>
          <t>UPPSALA LÄN</t>
        </is>
      </c>
      <c r="E323" t="inlineStr">
        <is>
          <t>UPPSALA</t>
        </is>
      </c>
      <c r="G323" t="n">
        <v>3.2</v>
      </c>
      <c r="H323" t="n">
        <v>0</v>
      </c>
      <c r="I323" t="n">
        <v>0</v>
      </c>
      <c r="J323" t="n">
        <v>0</v>
      </c>
      <c r="K323" t="n">
        <v>0</v>
      </c>
      <c r="L323" t="n">
        <v>0</v>
      </c>
      <c r="M323" t="n">
        <v>0</v>
      </c>
      <c r="N323" t="n">
        <v>0</v>
      </c>
      <c r="O323" t="n">
        <v>0</v>
      </c>
      <c r="P323" t="n">
        <v>0</v>
      </c>
      <c r="Q323" t="n">
        <v>0</v>
      </c>
      <c r="R323" s="2" t="inlineStr"/>
    </row>
    <row r="324" ht="15" customHeight="1">
      <c r="A324" t="inlineStr">
        <is>
          <t>A 37711-2019</t>
        </is>
      </c>
      <c r="B324" s="1" t="n">
        <v>43682</v>
      </c>
      <c r="C324" s="1" t="n">
        <v>45351</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38684-2019</t>
        </is>
      </c>
      <c r="B325" s="1" t="n">
        <v>43686</v>
      </c>
      <c r="C325" s="1" t="n">
        <v>45351</v>
      </c>
      <c r="D325" t="inlineStr">
        <is>
          <t>UPPSALA LÄN</t>
        </is>
      </c>
      <c r="E325" t="inlineStr">
        <is>
          <t>UPPSALA</t>
        </is>
      </c>
      <c r="G325" t="n">
        <v>0.4</v>
      </c>
      <c r="H325" t="n">
        <v>0</v>
      </c>
      <c r="I325" t="n">
        <v>0</v>
      </c>
      <c r="J325" t="n">
        <v>0</v>
      </c>
      <c r="K325" t="n">
        <v>0</v>
      </c>
      <c r="L325" t="n">
        <v>0</v>
      </c>
      <c r="M325" t="n">
        <v>0</v>
      </c>
      <c r="N325" t="n">
        <v>0</v>
      </c>
      <c r="O325" t="n">
        <v>0</v>
      </c>
      <c r="P325" t="n">
        <v>0</v>
      </c>
      <c r="Q325" t="n">
        <v>0</v>
      </c>
      <c r="R325" s="2" t="inlineStr"/>
    </row>
    <row r="326" ht="15" customHeight="1">
      <c r="A326" t="inlineStr">
        <is>
          <t>A 40151-2019</t>
        </is>
      </c>
      <c r="B326" s="1" t="n">
        <v>43693</v>
      </c>
      <c r="C326" s="1" t="n">
        <v>45351</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41609-2019</t>
        </is>
      </c>
      <c r="B327" s="1" t="n">
        <v>43696</v>
      </c>
      <c r="C327" s="1" t="n">
        <v>45351</v>
      </c>
      <c r="D327" t="inlineStr">
        <is>
          <t>UPPSALA LÄN</t>
        </is>
      </c>
      <c r="E327" t="inlineStr">
        <is>
          <t>UPPSALA</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41653-2019</t>
        </is>
      </c>
      <c r="B328" s="1" t="n">
        <v>43696</v>
      </c>
      <c r="C328" s="1" t="n">
        <v>45351</v>
      </c>
      <c r="D328" t="inlineStr">
        <is>
          <t>UPPSALA LÄN</t>
        </is>
      </c>
      <c r="E328" t="inlineStr">
        <is>
          <t>UPPSALA</t>
        </is>
      </c>
      <c r="G328" t="n">
        <v>5.2</v>
      </c>
      <c r="H328" t="n">
        <v>0</v>
      </c>
      <c r="I328" t="n">
        <v>0</v>
      </c>
      <c r="J328" t="n">
        <v>0</v>
      </c>
      <c r="K328" t="n">
        <v>0</v>
      </c>
      <c r="L328" t="n">
        <v>0</v>
      </c>
      <c r="M328" t="n">
        <v>0</v>
      </c>
      <c r="N328" t="n">
        <v>0</v>
      </c>
      <c r="O328" t="n">
        <v>0</v>
      </c>
      <c r="P328" t="n">
        <v>0</v>
      </c>
      <c r="Q328" t="n">
        <v>0</v>
      </c>
      <c r="R328" s="2" t="inlineStr"/>
    </row>
    <row r="329" ht="15" customHeight="1">
      <c r="A329" t="inlineStr">
        <is>
          <t>A 41524-2019</t>
        </is>
      </c>
      <c r="B329" s="1" t="n">
        <v>43699</v>
      </c>
      <c r="C329" s="1" t="n">
        <v>45351</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41535-2019</t>
        </is>
      </c>
      <c r="B330" s="1" t="n">
        <v>43699</v>
      </c>
      <c r="C330" s="1" t="n">
        <v>45351</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41695-2019</t>
        </is>
      </c>
      <c r="B331" s="1" t="n">
        <v>43699</v>
      </c>
      <c r="C331" s="1" t="n">
        <v>45351</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42111-2019</t>
        </is>
      </c>
      <c r="B332" s="1" t="n">
        <v>43703</v>
      </c>
      <c r="C332" s="1" t="n">
        <v>45351</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42986-2019</t>
        </is>
      </c>
      <c r="B333" s="1" t="n">
        <v>43705</v>
      </c>
      <c r="C333" s="1" t="n">
        <v>45351</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43222-2019</t>
        </is>
      </c>
      <c r="B334" s="1" t="n">
        <v>43706</v>
      </c>
      <c r="C334" s="1" t="n">
        <v>45351</v>
      </c>
      <c r="D334" t="inlineStr">
        <is>
          <t>UPPSALA LÄN</t>
        </is>
      </c>
      <c r="E334" t="inlineStr">
        <is>
          <t>UPPSALA</t>
        </is>
      </c>
      <c r="F334" t="inlineStr">
        <is>
          <t>Bergvik skog öst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43410-2019</t>
        </is>
      </c>
      <c r="B335" s="1" t="n">
        <v>43706</v>
      </c>
      <c r="C335" s="1" t="n">
        <v>45351</v>
      </c>
      <c r="D335" t="inlineStr">
        <is>
          <t>UPPSALA LÄN</t>
        </is>
      </c>
      <c r="E335" t="inlineStr">
        <is>
          <t>UPPSALA</t>
        </is>
      </c>
      <c r="F335" t="inlineStr">
        <is>
          <t>Övriga statliga verk och myndigheter</t>
        </is>
      </c>
      <c r="G335" t="n">
        <v>8.6</v>
      </c>
      <c r="H335" t="n">
        <v>0</v>
      </c>
      <c r="I335" t="n">
        <v>0</v>
      </c>
      <c r="J335" t="n">
        <v>0</v>
      </c>
      <c r="K335" t="n">
        <v>0</v>
      </c>
      <c r="L335" t="n">
        <v>0</v>
      </c>
      <c r="M335" t="n">
        <v>0</v>
      </c>
      <c r="N335" t="n">
        <v>0</v>
      </c>
      <c r="O335" t="n">
        <v>0</v>
      </c>
      <c r="P335" t="n">
        <v>0</v>
      </c>
      <c r="Q335" t="n">
        <v>0</v>
      </c>
      <c r="R335" s="2" t="inlineStr"/>
    </row>
    <row r="336" ht="15" customHeight="1">
      <c r="A336" t="inlineStr">
        <is>
          <t>A 43715-2019</t>
        </is>
      </c>
      <c r="B336" s="1" t="n">
        <v>43706</v>
      </c>
      <c r="C336" s="1" t="n">
        <v>45351</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43224-2019</t>
        </is>
      </c>
      <c r="B337" s="1" t="n">
        <v>43706</v>
      </c>
      <c r="C337" s="1" t="n">
        <v>45351</v>
      </c>
      <c r="D337" t="inlineStr">
        <is>
          <t>UPPSALA LÄN</t>
        </is>
      </c>
      <c r="E337" t="inlineStr">
        <is>
          <t>UPPSALA</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43435-2019</t>
        </is>
      </c>
      <c r="B338" s="1" t="n">
        <v>43706</v>
      </c>
      <c r="C338" s="1" t="n">
        <v>45351</v>
      </c>
      <c r="D338" t="inlineStr">
        <is>
          <t>UPPSALA LÄN</t>
        </is>
      </c>
      <c r="E338" t="inlineStr">
        <is>
          <t>UPPSALA</t>
        </is>
      </c>
      <c r="G338" t="n">
        <v>5.4</v>
      </c>
      <c r="H338" t="n">
        <v>0</v>
      </c>
      <c r="I338" t="n">
        <v>0</v>
      </c>
      <c r="J338" t="n">
        <v>0</v>
      </c>
      <c r="K338" t="n">
        <v>0</v>
      </c>
      <c r="L338" t="n">
        <v>0</v>
      </c>
      <c r="M338" t="n">
        <v>0</v>
      </c>
      <c r="N338" t="n">
        <v>0</v>
      </c>
      <c r="O338" t="n">
        <v>0</v>
      </c>
      <c r="P338" t="n">
        <v>0</v>
      </c>
      <c r="Q338" t="n">
        <v>0</v>
      </c>
      <c r="R338" s="2" t="inlineStr"/>
    </row>
    <row r="339" ht="15" customHeight="1">
      <c r="A339" t="inlineStr">
        <is>
          <t>A 43722-2019</t>
        </is>
      </c>
      <c r="B339" s="1" t="n">
        <v>43706</v>
      </c>
      <c r="C339" s="1" t="n">
        <v>45351</v>
      </c>
      <c r="D339" t="inlineStr">
        <is>
          <t>UPPSALA LÄN</t>
        </is>
      </c>
      <c r="E339" t="inlineStr">
        <is>
          <t>UPPSALA</t>
        </is>
      </c>
      <c r="F339" t="inlineStr">
        <is>
          <t>Övriga statliga verk och myndigheter</t>
        </is>
      </c>
      <c r="G339" t="n">
        <v>0.6</v>
      </c>
      <c r="H339" t="n">
        <v>0</v>
      </c>
      <c r="I339" t="n">
        <v>0</v>
      </c>
      <c r="J339" t="n">
        <v>0</v>
      </c>
      <c r="K339" t="n">
        <v>0</v>
      </c>
      <c r="L339" t="n">
        <v>0</v>
      </c>
      <c r="M339" t="n">
        <v>0</v>
      </c>
      <c r="N339" t="n">
        <v>0</v>
      </c>
      <c r="O339" t="n">
        <v>0</v>
      </c>
      <c r="P339" t="n">
        <v>0</v>
      </c>
      <c r="Q339" t="n">
        <v>0</v>
      </c>
      <c r="R339" s="2" t="inlineStr"/>
    </row>
    <row r="340" ht="15" customHeight="1">
      <c r="A340" t="inlineStr">
        <is>
          <t>A 43704-2019</t>
        </is>
      </c>
      <c r="B340" s="1" t="n">
        <v>43707</v>
      </c>
      <c r="C340" s="1" t="n">
        <v>45351</v>
      </c>
      <c r="D340" t="inlineStr">
        <is>
          <t>UPPSALA LÄN</t>
        </is>
      </c>
      <c r="E340" t="inlineStr">
        <is>
          <t>UPPSALA</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43725-2019</t>
        </is>
      </c>
      <c r="B341" s="1" t="n">
        <v>43707</v>
      </c>
      <c r="C341" s="1" t="n">
        <v>45351</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44109-2019</t>
        </is>
      </c>
      <c r="B342" s="1" t="n">
        <v>43707</v>
      </c>
      <c r="C342" s="1" t="n">
        <v>45351</v>
      </c>
      <c r="D342" t="inlineStr">
        <is>
          <t>UPPSALA LÄN</t>
        </is>
      </c>
      <c r="E342" t="inlineStr">
        <is>
          <t>UPPSALA</t>
        </is>
      </c>
      <c r="F342" t="inlineStr">
        <is>
          <t>Allmännings- och besparingsskogar</t>
        </is>
      </c>
      <c r="G342" t="n">
        <v>81.3</v>
      </c>
      <c r="H342" t="n">
        <v>0</v>
      </c>
      <c r="I342" t="n">
        <v>0</v>
      </c>
      <c r="J342" t="n">
        <v>0</v>
      </c>
      <c r="K342" t="n">
        <v>0</v>
      </c>
      <c r="L342" t="n">
        <v>0</v>
      </c>
      <c r="M342" t="n">
        <v>0</v>
      </c>
      <c r="N342" t="n">
        <v>0</v>
      </c>
      <c r="O342" t="n">
        <v>0</v>
      </c>
      <c r="P342" t="n">
        <v>0</v>
      </c>
      <c r="Q342" t="n">
        <v>0</v>
      </c>
      <c r="R342" s="2" t="inlineStr"/>
    </row>
    <row r="343" ht="15" customHeight="1">
      <c r="A343" t="inlineStr">
        <is>
          <t>A 43713-2019</t>
        </is>
      </c>
      <c r="B343" s="1" t="n">
        <v>43707</v>
      </c>
      <c r="C343" s="1" t="n">
        <v>45351</v>
      </c>
      <c r="D343" t="inlineStr">
        <is>
          <t>UPPSALA LÄN</t>
        </is>
      </c>
      <c r="E343" t="inlineStr">
        <is>
          <t>UPPSALA</t>
        </is>
      </c>
      <c r="F343" t="inlineStr">
        <is>
          <t>Bergvik skog öst AB</t>
        </is>
      </c>
      <c r="G343" t="n">
        <v>7.9</v>
      </c>
      <c r="H343" t="n">
        <v>0</v>
      </c>
      <c r="I343" t="n">
        <v>0</v>
      </c>
      <c r="J343" t="n">
        <v>0</v>
      </c>
      <c r="K343" t="n">
        <v>0</v>
      </c>
      <c r="L343" t="n">
        <v>0</v>
      </c>
      <c r="M343" t="n">
        <v>0</v>
      </c>
      <c r="N343" t="n">
        <v>0</v>
      </c>
      <c r="O343" t="n">
        <v>0</v>
      </c>
      <c r="P343" t="n">
        <v>0</v>
      </c>
      <c r="Q343" t="n">
        <v>0</v>
      </c>
      <c r="R343" s="2" t="inlineStr"/>
    </row>
    <row r="344" ht="15" customHeight="1">
      <c r="A344" t="inlineStr">
        <is>
          <t>A 43853-2019</t>
        </is>
      </c>
      <c r="B344" s="1" t="n">
        <v>43707</v>
      </c>
      <c r="C344" s="1" t="n">
        <v>45351</v>
      </c>
      <c r="D344" t="inlineStr">
        <is>
          <t>UPPSALA LÄN</t>
        </is>
      </c>
      <c r="E344" t="inlineStr">
        <is>
          <t>UPPSALA</t>
        </is>
      </c>
      <c r="F344" t="inlineStr">
        <is>
          <t>Övriga statliga verk och myndigheter</t>
        </is>
      </c>
      <c r="G344" t="n">
        <v>1.8</v>
      </c>
      <c r="H344" t="n">
        <v>0</v>
      </c>
      <c r="I344" t="n">
        <v>0</v>
      </c>
      <c r="J344" t="n">
        <v>0</v>
      </c>
      <c r="K344" t="n">
        <v>0</v>
      </c>
      <c r="L344" t="n">
        <v>0</v>
      </c>
      <c r="M344" t="n">
        <v>0</v>
      </c>
      <c r="N344" t="n">
        <v>0</v>
      </c>
      <c r="O344" t="n">
        <v>0</v>
      </c>
      <c r="P344" t="n">
        <v>0</v>
      </c>
      <c r="Q344" t="n">
        <v>0</v>
      </c>
      <c r="R344" s="2" t="inlineStr"/>
    </row>
    <row r="345" ht="15" customHeight="1">
      <c r="A345" t="inlineStr">
        <is>
          <t>A 44141-2019</t>
        </is>
      </c>
      <c r="B345" s="1" t="n">
        <v>43710</v>
      </c>
      <c r="C345" s="1" t="n">
        <v>45351</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44701-2019</t>
        </is>
      </c>
      <c r="B346" s="1" t="n">
        <v>43712</v>
      </c>
      <c r="C346" s="1" t="n">
        <v>45351</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44687-2019</t>
        </is>
      </c>
      <c r="B347" s="1" t="n">
        <v>43712</v>
      </c>
      <c r="C347" s="1" t="n">
        <v>45351</v>
      </c>
      <c r="D347" t="inlineStr">
        <is>
          <t>UPPSALA LÄN</t>
        </is>
      </c>
      <c r="E347" t="inlineStr">
        <is>
          <t>UPPSALA</t>
        </is>
      </c>
      <c r="G347" t="n">
        <v>3.3</v>
      </c>
      <c r="H347" t="n">
        <v>0</v>
      </c>
      <c r="I347" t="n">
        <v>0</v>
      </c>
      <c r="J347" t="n">
        <v>0</v>
      </c>
      <c r="K347" t="n">
        <v>0</v>
      </c>
      <c r="L347" t="n">
        <v>0</v>
      </c>
      <c r="M347" t="n">
        <v>0</v>
      </c>
      <c r="N347" t="n">
        <v>0</v>
      </c>
      <c r="O347" t="n">
        <v>0</v>
      </c>
      <c r="P347" t="n">
        <v>0</v>
      </c>
      <c r="Q347" t="n">
        <v>0</v>
      </c>
      <c r="R347" s="2" t="inlineStr"/>
    </row>
    <row r="348" ht="15" customHeight="1">
      <c r="A348" t="inlineStr">
        <is>
          <t>A 45010-2019</t>
        </is>
      </c>
      <c r="B348" s="1" t="n">
        <v>43713</v>
      </c>
      <c r="C348" s="1" t="n">
        <v>45351</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45574-2019</t>
        </is>
      </c>
      <c r="B349" s="1" t="n">
        <v>43716</v>
      </c>
      <c r="C349" s="1" t="n">
        <v>45351</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46311-2019</t>
        </is>
      </c>
      <c r="B350" s="1" t="n">
        <v>43718</v>
      </c>
      <c r="C350" s="1" t="n">
        <v>45351</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46307-2019</t>
        </is>
      </c>
      <c r="B351" s="1" t="n">
        <v>43718</v>
      </c>
      <c r="C351" s="1" t="n">
        <v>45351</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46151-2019</t>
        </is>
      </c>
      <c r="B352" s="1" t="n">
        <v>43718</v>
      </c>
      <c r="C352" s="1" t="n">
        <v>45351</v>
      </c>
      <c r="D352" t="inlineStr">
        <is>
          <t>UPPSALA LÄN</t>
        </is>
      </c>
      <c r="E352" t="inlineStr">
        <is>
          <t>UPPSALA</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46157-2019</t>
        </is>
      </c>
      <c r="B353" s="1" t="n">
        <v>43718</v>
      </c>
      <c r="C353" s="1" t="n">
        <v>45351</v>
      </c>
      <c r="D353" t="inlineStr">
        <is>
          <t>UPPSALA LÄN</t>
        </is>
      </c>
      <c r="E353" t="inlineStr">
        <is>
          <t>UPPSALA</t>
        </is>
      </c>
      <c r="F353" t="inlineStr">
        <is>
          <t>Övriga Aktiebolag</t>
        </is>
      </c>
      <c r="G353" t="n">
        <v>4.5</v>
      </c>
      <c r="H353" t="n">
        <v>0</v>
      </c>
      <c r="I353" t="n">
        <v>0</v>
      </c>
      <c r="J353" t="n">
        <v>0</v>
      </c>
      <c r="K353" t="n">
        <v>0</v>
      </c>
      <c r="L353" t="n">
        <v>0</v>
      </c>
      <c r="M353" t="n">
        <v>0</v>
      </c>
      <c r="N353" t="n">
        <v>0</v>
      </c>
      <c r="O353" t="n">
        <v>0</v>
      </c>
      <c r="P353" t="n">
        <v>0</v>
      </c>
      <c r="Q353" t="n">
        <v>0</v>
      </c>
      <c r="R353" s="2" t="inlineStr"/>
    </row>
    <row r="354" ht="15" customHeight="1">
      <c r="A354" t="inlineStr">
        <is>
          <t>A 46310-2019</t>
        </is>
      </c>
      <c r="B354" s="1" t="n">
        <v>43718</v>
      </c>
      <c r="C354" s="1" t="n">
        <v>45351</v>
      </c>
      <c r="D354" t="inlineStr">
        <is>
          <t>UPPSALA LÄN</t>
        </is>
      </c>
      <c r="E354" t="inlineStr">
        <is>
          <t>UPPSALA</t>
        </is>
      </c>
      <c r="G354" t="n">
        <v>7</v>
      </c>
      <c r="H354" t="n">
        <v>0</v>
      </c>
      <c r="I354" t="n">
        <v>0</v>
      </c>
      <c r="J354" t="n">
        <v>0</v>
      </c>
      <c r="K354" t="n">
        <v>0</v>
      </c>
      <c r="L354" t="n">
        <v>0</v>
      </c>
      <c r="M354" t="n">
        <v>0</v>
      </c>
      <c r="N354" t="n">
        <v>0</v>
      </c>
      <c r="O354" t="n">
        <v>0</v>
      </c>
      <c r="P354" t="n">
        <v>0</v>
      </c>
      <c r="Q354" t="n">
        <v>0</v>
      </c>
      <c r="R354" s="2" t="inlineStr"/>
    </row>
    <row r="355" ht="15" customHeight="1">
      <c r="A355" t="inlineStr">
        <is>
          <t>A 46147-2019</t>
        </is>
      </c>
      <c r="B355" s="1" t="n">
        <v>43718</v>
      </c>
      <c r="C355" s="1" t="n">
        <v>45351</v>
      </c>
      <c r="D355" t="inlineStr">
        <is>
          <t>UPPSALA LÄN</t>
        </is>
      </c>
      <c r="E355" t="inlineStr">
        <is>
          <t>UPPSALA</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46877-2019</t>
        </is>
      </c>
      <c r="B356" s="1" t="n">
        <v>43720</v>
      </c>
      <c r="C356" s="1" t="n">
        <v>45351</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46896-2019</t>
        </is>
      </c>
      <c r="B357" s="1" t="n">
        <v>43720</v>
      </c>
      <c r="C357" s="1" t="n">
        <v>45351</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48485-2019</t>
        </is>
      </c>
      <c r="B358" s="1" t="n">
        <v>43727</v>
      </c>
      <c r="C358" s="1" t="n">
        <v>45351</v>
      </c>
      <c r="D358" t="inlineStr">
        <is>
          <t>UPPSALA LÄN</t>
        </is>
      </c>
      <c r="E358" t="inlineStr">
        <is>
          <t>UPPSALA</t>
        </is>
      </c>
      <c r="G358" t="n">
        <v>3</v>
      </c>
      <c r="H358" t="n">
        <v>0</v>
      </c>
      <c r="I358" t="n">
        <v>0</v>
      </c>
      <c r="J358" t="n">
        <v>0</v>
      </c>
      <c r="K358" t="n">
        <v>0</v>
      </c>
      <c r="L358" t="n">
        <v>0</v>
      </c>
      <c r="M358" t="n">
        <v>0</v>
      </c>
      <c r="N358" t="n">
        <v>0</v>
      </c>
      <c r="O358" t="n">
        <v>0</v>
      </c>
      <c r="P358" t="n">
        <v>0</v>
      </c>
      <c r="Q358" t="n">
        <v>0</v>
      </c>
      <c r="R358" s="2" t="inlineStr"/>
    </row>
    <row r="359" ht="15" customHeight="1">
      <c r="A359" t="inlineStr">
        <is>
          <t>A 49567-2019</t>
        </is>
      </c>
      <c r="B359" s="1" t="n">
        <v>43730</v>
      </c>
      <c r="C359" s="1" t="n">
        <v>45351</v>
      </c>
      <c r="D359" t="inlineStr">
        <is>
          <t>UPPSALA LÄN</t>
        </is>
      </c>
      <c r="E359" t="inlineStr">
        <is>
          <t>UPPSALA</t>
        </is>
      </c>
      <c r="G359" t="n">
        <v>6</v>
      </c>
      <c r="H359" t="n">
        <v>0</v>
      </c>
      <c r="I359" t="n">
        <v>0</v>
      </c>
      <c r="J359" t="n">
        <v>0</v>
      </c>
      <c r="K359" t="n">
        <v>0</v>
      </c>
      <c r="L359" t="n">
        <v>0</v>
      </c>
      <c r="M359" t="n">
        <v>0</v>
      </c>
      <c r="N359" t="n">
        <v>0</v>
      </c>
      <c r="O359" t="n">
        <v>0</v>
      </c>
      <c r="P359" t="n">
        <v>0</v>
      </c>
      <c r="Q359" t="n">
        <v>0</v>
      </c>
      <c r="R359" s="2" t="inlineStr"/>
    </row>
    <row r="360" ht="15" customHeight="1">
      <c r="A360" t="inlineStr">
        <is>
          <t>A 50180-2019</t>
        </is>
      </c>
      <c r="B360" s="1" t="n">
        <v>43733</v>
      </c>
      <c r="C360" s="1" t="n">
        <v>45351</v>
      </c>
      <c r="D360" t="inlineStr">
        <is>
          <t>UPPSALA LÄN</t>
        </is>
      </c>
      <c r="E360" t="inlineStr">
        <is>
          <t>UPPSALA</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50387-2019</t>
        </is>
      </c>
      <c r="B361" s="1" t="n">
        <v>43735</v>
      </c>
      <c r="C361" s="1" t="n">
        <v>45351</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50415-2019</t>
        </is>
      </c>
      <c r="B362" s="1" t="n">
        <v>43735</v>
      </c>
      <c r="C362" s="1" t="n">
        <v>45351</v>
      </c>
      <c r="D362" t="inlineStr">
        <is>
          <t>UPPSALA LÄN</t>
        </is>
      </c>
      <c r="E362" t="inlineStr">
        <is>
          <t>UPPSALA</t>
        </is>
      </c>
      <c r="F362" t="inlineStr">
        <is>
          <t>Kyrkan</t>
        </is>
      </c>
      <c r="G362" t="n">
        <v>13.6</v>
      </c>
      <c r="H362" t="n">
        <v>0</v>
      </c>
      <c r="I362" t="n">
        <v>0</v>
      </c>
      <c r="J362" t="n">
        <v>0</v>
      </c>
      <c r="K362" t="n">
        <v>0</v>
      </c>
      <c r="L362" t="n">
        <v>0</v>
      </c>
      <c r="M362" t="n">
        <v>0</v>
      </c>
      <c r="N362" t="n">
        <v>0</v>
      </c>
      <c r="O362" t="n">
        <v>0</v>
      </c>
      <c r="P362" t="n">
        <v>0</v>
      </c>
      <c r="Q362" t="n">
        <v>0</v>
      </c>
      <c r="R362" s="2" t="inlineStr"/>
    </row>
    <row r="363" ht="15" customHeight="1">
      <c r="A363" t="inlineStr">
        <is>
          <t>A 50616-2019</t>
        </is>
      </c>
      <c r="B363" s="1" t="n">
        <v>43736</v>
      </c>
      <c r="C363" s="1" t="n">
        <v>45351</v>
      </c>
      <c r="D363" t="inlineStr">
        <is>
          <t>UPPSALA LÄN</t>
        </is>
      </c>
      <c r="E363" t="inlineStr">
        <is>
          <t>UPPSALA</t>
        </is>
      </c>
      <c r="G363" t="n">
        <v>4.8</v>
      </c>
      <c r="H363" t="n">
        <v>0</v>
      </c>
      <c r="I363" t="n">
        <v>0</v>
      </c>
      <c r="J363" t="n">
        <v>0</v>
      </c>
      <c r="K363" t="n">
        <v>0</v>
      </c>
      <c r="L363" t="n">
        <v>0</v>
      </c>
      <c r="M363" t="n">
        <v>0</v>
      </c>
      <c r="N363" t="n">
        <v>0</v>
      </c>
      <c r="O363" t="n">
        <v>0</v>
      </c>
      <c r="P363" t="n">
        <v>0</v>
      </c>
      <c r="Q363" t="n">
        <v>0</v>
      </c>
      <c r="R363" s="2" t="inlineStr"/>
    </row>
    <row r="364" ht="15" customHeight="1">
      <c r="A364" t="inlineStr">
        <is>
          <t>A 52386-2019</t>
        </is>
      </c>
      <c r="B364" s="1" t="n">
        <v>43745</v>
      </c>
      <c r="C364" s="1" t="n">
        <v>45351</v>
      </c>
      <c r="D364" t="inlineStr">
        <is>
          <t>UPPSALA LÄN</t>
        </is>
      </c>
      <c r="E364" t="inlineStr">
        <is>
          <t>UPPSALA</t>
        </is>
      </c>
      <c r="G364" t="n">
        <v>15.7</v>
      </c>
      <c r="H364" t="n">
        <v>0</v>
      </c>
      <c r="I364" t="n">
        <v>0</v>
      </c>
      <c r="J364" t="n">
        <v>0</v>
      </c>
      <c r="K364" t="n">
        <v>0</v>
      </c>
      <c r="L364" t="n">
        <v>0</v>
      </c>
      <c r="M364" t="n">
        <v>0</v>
      </c>
      <c r="N364" t="n">
        <v>0</v>
      </c>
      <c r="O364" t="n">
        <v>0</v>
      </c>
      <c r="P364" t="n">
        <v>0</v>
      </c>
      <c r="Q364" t="n">
        <v>0</v>
      </c>
      <c r="R364" s="2" t="inlineStr"/>
    </row>
    <row r="365" ht="15" customHeight="1">
      <c r="A365" t="inlineStr">
        <is>
          <t>A 52419-2019</t>
        </is>
      </c>
      <c r="B365" s="1" t="n">
        <v>43745</v>
      </c>
      <c r="C365" s="1" t="n">
        <v>45351</v>
      </c>
      <c r="D365" t="inlineStr">
        <is>
          <t>UPPSALA LÄN</t>
        </is>
      </c>
      <c r="E365" t="inlineStr">
        <is>
          <t>UPPSALA</t>
        </is>
      </c>
      <c r="F365" t="inlineStr">
        <is>
          <t>Allmännings- och besparingsskogar</t>
        </is>
      </c>
      <c r="G365" t="n">
        <v>5.3</v>
      </c>
      <c r="H365" t="n">
        <v>0</v>
      </c>
      <c r="I365" t="n">
        <v>0</v>
      </c>
      <c r="J365" t="n">
        <v>0</v>
      </c>
      <c r="K365" t="n">
        <v>0</v>
      </c>
      <c r="L365" t="n">
        <v>0</v>
      </c>
      <c r="M365" t="n">
        <v>0</v>
      </c>
      <c r="N365" t="n">
        <v>0</v>
      </c>
      <c r="O365" t="n">
        <v>0</v>
      </c>
      <c r="P365" t="n">
        <v>0</v>
      </c>
      <c r="Q365" t="n">
        <v>0</v>
      </c>
      <c r="R365" s="2" t="inlineStr"/>
    </row>
    <row r="366" ht="15" customHeight="1">
      <c r="A366" t="inlineStr">
        <is>
          <t>A 52950-2019</t>
        </is>
      </c>
      <c r="B366" s="1" t="n">
        <v>43747</v>
      </c>
      <c r="C366" s="1" t="n">
        <v>45351</v>
      </c>
      <c r="D366" t="inlineStr">
        <is>
          <t>UPPSALA LÄN</t>
        </is>
      </c>
      <c r="E366" t="inlineStr">
        <is>
          <t>UPPSALA</t>
        </is>
      </c>
      <c r="G366" t="n">
        <v>0.2</v>
      </c>
      <c r="H366" t="n">
        <v>0</v>
      </c>
      <c r="I366" t="n">
        <v>0</v>
      </c>
      <c r="J366" t="n">
        <v>0</v>
      </c>
      <c r="K366" t="n">
        <v>0</v>
      </c>
      <c r="L366" t="n">
        <v>0</v>
      </c>
      <c r="M366" t="n">
        <v>0</v>
      </c>
      <c r="N366" t="n">
        <v>0</v>
      </c>
      <c r="O366" t="n">
        <v>0</v>
      </c>
      <c r="P366" t="n">
        <v>0</v>
      </c>
      <c r="Q366" t="n">
        <v>0</v>
      </c>
      <c r="R366" s="2" t="inlineStr"/>
    </row>
    <row r="367" ht="15" customHeight="1">
      <c r="A367" t="inlineStr">
        <is>
          <t>A 53303-2019</t>
        </is>
      </c>
      <c r="B367" s="1" t="n">
        <v>43747</v>
      </c>
      <c r="C367" s="1" t="n">
        <v>45351</v>
      </c>
      <c r="D367" t="inlineStr">
        <is>
          <t>UPPSALA LÄN</t>
        </is>
      </c>
      <c r="E367" t="inlineStr">
        <is>
          <t>UPPSALA</t>
        </is>
      </c>
      <c r="F367" t="inlineStr">
        <is>
          <t>Allmännings- och besparingsskogar</t>
        </is>
      </c>
      <c r="G367" t="n">
        <v>17.5</v>
      </c>
      <c r="H367" t="n">
        <v>0</v>
      </c>
      <c r="I367" t="n">
        <v>0</v>
      </c>
      <c r="J367" t="n">
        <v>0</v>
      </c>
      <c r="K367" t="n">
        <v>0</v>
      </c>
      <c r="L367" t="n">
        <v>0</v>
      </c>
      <c r="M367" t="n">
        <v>0</v>
      </c>
      <c r="N367" t="n">
        <v>0</v>
      </c>
      <c r="O367" t="n">
        <v>0</v>
      </c>
      <c r="P367" t="n">
        <v>0</v>
      </c>
      <c r="Q367" t="n">
        <v>0</v>
      </c>
      <c r="R367" s="2" t="inlineStr"/>
    </row>
    <row r="368" ht="15" customHeight="1">
      <c r="A368" t="inlineStr">
        <is>
          <t>A 53316-2019</t>
        </is>
      </c>
      <c r="B368" s="1" t="n">
        <v>43748</v>
      </c>
      <c r="C368" s="1" t="n">
        <v>45351</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54757-2019</t>
        </is>
      </c>
      <c r="B369" s="1" t="n">
        <v>43755</v>
      </c>
      <c r="C369" s="1" t="n">
        <v>45351</v>
      </c>
      <c r="D369" t="inlineStr">
        <is>
          <t>UPPSALA LÄN</t>
        </is>
      </c>
      <c r="E369" t="inlineStr">
        <is>
          <t>UPPSALA</t>
        </is>
      </c>
      <c r="F369" t="inlineStr">
        <is>
          <t>Övriga statliga verk och myndigheter</t>
        </is>
      </c>
      <c r="G369" t="n">
        <v>1.5</v>
      </c>
      <c r="H369" t="n">
        <v>0</v>
      </c>
      <c r="I369" t="n">
        <v>0</v>
      </c>
      <c r="J369" t="n">
        <v>0</v>
      </c>
      <c r="K369" t="n">
        <v>0</v>
      </c>
      <c r="L369" t="n">
        <v>0</v>
      </c>
      <c r="M369" t="n">
        <v>0</v>
      </c>
      <c r="N369" t="n">
        <v>0</v>
      </c>
      <c r="O369" t="n">
        <v>0</v>
      </c>
      <c r="P369" t="n">
        <v>0</v>
      </c>
      <c r="Q369" t="n">
        <v>0</v>
      </c>
      <c r="R369" s="2" t="inlineStr"/>
    </row>
    <row r="370" ht="15" customHeight="1">
      <c r="A370" t="inlineStr">
        <is>
          <t>A 56041-2019</t>
        </is>
      </c>
      <c r="B370" s="1" t="n">
        <v>43759</v>
      </c>
      <c r="C370" s="1" t="n">
        <v>45351</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56634-2019</t>
        </is>
      </c>
      <c r="B371" s="1" t="n">
        <v>43763</v>
      </c>
      <c r="C371" s="1" t="n">
        <v>45351</v>
      </c>
      <c r="D371" t="inlineStr">
        <is>
          <t>UPPSALA LÄN</t>
        </is>
      </c>
      <c r="E371" t="inlineStr">
        <is>
          <t>UPPSALA</t>
        </is>
      </c>
      <c r="F371" t="inlineStr">
        <is>
          <t>Övriga Aktiebolag</t>
        </is>
      </c>
      <c r="G371" t="n">
        <v>0.6</v>
      </c>
      <c r="H371" t="n">
        <v>0</v>
      </c>
      <c r="I371" t="n">
        <v>0</v>
      </c>
      <c r="J371" t="n">
        <v>0</v>
      </c>
      <c r="K371" t="n">
        <v>0</v>
      </c>
      <c r="L371" t="n">
        <v>0</v>
      </c>
      <c r="M371" t="n">
        <v>0</v>
      </c>
      <c r="N371" t="n">
        <v>0</v>
      </c>
      <c r="O371" t="n">
        <v>0</v>
      </c>
      <c r="P371" t="n">
        <v>0</v>
      </c>
      <c r="Q371" t="n">
        <v>0</v>
      </c>
      <c r="R371" s="2" t="inlineStr"/>
    </row>
    <row r="372" ht="15" customHeight="1">
      <c r="A372" t="inlineStr">
        <is>
          <t>A 58445-2019</t>
        </is>
      </c>
      <c r="B372" s="1" t="n">
        <v>43773</v>
      </c>
      <c r="C372" s="1" t="n">
        <v>45351</v>
      </c>
      <c r="D372" t="inlineStr">
        <is>
          <t>UPPSALA LÄN</t>
        </is>
      </c>
      <c r="E372" t="inlineStr">
        <is>
          <t>UPPSALA</t>
        </is>
      </c>
      <c r="G372" t="n">
        <v>5</v>
      </c>
      <c r="H372" t="n">
        <v>0</v>
      </c>
      <c r="I372" t="n">
        <v>0</v>
      </c>
      <c r="J372" t="n">
        <v>0</v>
      </c>
      <c r="K372" t="n">
        <v>0</v>
      </c>
      <c r="L372" t="n">
        <v>0</v>
      </c>
      <c r="M372" t="n">
        <v>0</v>
      </c>
      <c r="N372" t="n">
        <v>0</v>
      </c>
      <c r="O372" t="n">
        <v>0</v>
      </c>
      <c r="P372" t="n">
        <v>0</v>
      </c>
      <c r="Q372" t="n">
        <v>0</v>
      </c>
      <c r="R372" s="2" t="inlineStr"/>
    </row>
    <row r="373" ht="15" customHeight="1">
      <c r="A373" t="inlineStr">
        <is>
          <t>A 58527-2019</t>
        </is>
      </c>
      <c r="B373" s="1" t="n">
        <v>43773</v>
      </c>
      <c r="C373" s="1" t="n">
        <v>45351</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58903-2019</t>
        </is>
      </c>
      <c r="B374" s="1" t="n">
        <v>43773</v>
      </c>
      <c r="C374" s="1" t="n">
        <v>45351</v>
      </c>
      <c r="D374" t="inlineStr">
        <is>
          <t>UPPSALA LÄN</t>
        </is>
      </c>
      <c r="E374" t="inlineStr">
        <is>
          <t>UPPSALA</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60011-2019</t>
        </is>
      </c>
      <c r="B375" s="1" t="n">
        <v>43777</v>
      </c>
      <c r="C375" s="1" t="n">
        <v>45351</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60159-2019</t>
        </is>
      </c>
      <c r="B376" s="1" t="n">
        <v>43777</v>
      </c>
      <c r="C376" s="1" t="n">
        <v>45351</v>
      </c>
      <c r="D376" t="inlineStr">
        <is>
          <t>UPPSALA LÄN</t>
        </is>
      </c>
      <c r="E376" t="inlineStr">
        <is>
          <t>UPPSALA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60163-2019</t>
        </is>
      </c>
      <c r="B377" s="1" t="n">
        <v>43780</v>
      </c>
      <c r="C377" s="1" t="n">
        <v>45351</v>
      </c>
      <c r="D377" t="inlineStr">
        <is>
          <t>UPPSALA LÄN</t>
        </is>
      </c>
      <c r="E377" t="inlineStr">
        <is>
          <t>UPPSALA</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60579-2019</t>
        </is>
      </c>
      <c r="B378" s="1" t="n">
        <v>43780</v>
      </c>
      <c r="C378" s="1" t="n">
        <v>45351</v>
      </c>
      <c r="D378" t="inlineStr">
        <is>
          <t>UPPSALA LÄN</t>
        </is>
      </c>
      <c r="E378" t="inlineStr">
        <is>
          <t>UPPSALA</t>
        </is>
      </c>
      <c r="F378" t="inlineStr">
        <is>
          <t>Övriga Aktiebolag</t>
        </is>
      </c>
      <c r="G378" t="n">
        <v>3.8</v>
      </c>
      <c r="H378" t="n">
        <v>0</v>
      </c>
      <c r="I378" t="n">
        <v>0</v>
      </c>
      <c r="J378" t="n">
        <v>0</v>
      </c>
      <c r="K378" t="n">
        <v>0</v>
      </c>
      <c r="L378" t="n">
        <v>0</v>
      </c>
      <c r="M378" t="n">
        <v>0</v>
      </c>
      <c r="N378" t="n">
        <v>0</v>
      </c>
      <c r="O378" t="n">
        <v>0</v>
      </c>
      <c r="P378" t="n">
        <v>0</v>
      </c>
      <c r="Q378" t="n">
        <v>0</v>
      </c>
      <c r="R378" s="2" t="inlineStr"/>
    </row>
    <row r="379" ht="15" customHeight="1">
      <c r="A379" t="inlineStr">
        <is>
          <t>A 62308-2019</t>
        </is>
      </c>
      <c r="B379" s="1" t="n">
        <v>43782</v>
      </c>
      <c r="C379" s="1" t="n">
        <v>45351</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61667-2019</t>
        </is>
      </c>
      <c r="B380" s="1" t="n">
        <v>43784</v>
      </c>
      <c r="C380" s="1" t="n">
        <v>45351</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63145-2019</t>
        </is>
      </c>
      <c r="B381" s="1" t="n">
        <v>43791</v>
      </c>
      <c r="C381" s="1" t="n">
        <v>45351</v>
      </c>
      <c r="D381" t="inlineStr">
        <is>
          <t>UPPSALA LÄN</t>
        </is>
      </c>
      <c r="E381" t="inlineStr">
        <is>
          <t>UPPSALA</t>
        </is>
      </c>
      <c r="G381" t="n">
        <v>1.8</v>
      </c>
      <c r="H381" t="n">
        <v>0</v>
      </c>
      <c r="I381" t="n">
        <v>0</v>
      </c>
      <c r="J381" t="n">
        <v>0</v>
      </c>
      <c r="K381" t="n">
        <v>0</v>
      </c>
      <c r="L381" t="n">
        <v>0</v>
      </c>
      <c r="M381" t="n">
        <v>0</v>
      </c>
      <c r="N381" t="n">
        <v>0</v>
      </c>
      <c r="O381" t="n">
        <v>0</v>
      </c>
      <c r="P381" t="n">
        <v>0</v>
      </c>
      <c r="Q381" t="n">
        <v>0</v>
      </c>
      <c r="R381" s="2" t="inlineStr"/>
    </row>
    <row r="382" ht="15" customHeight="1">
      <c r="A382" t="inlineStr">
        <is>
          <t>A 63091-2019</t>
        </is>
      </c>
      <c r="B382" s="1" t="n">
        <v>43791</v>
      </c>
      <c r="C382" s="1" t="n">
        <v>45351</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63099-2019</t>
        </is>
      </c>
      <c r="B383" s="1" t="n">
        <v>43791</v>
      </c>
      <c r="C383" s="1" t="n">
        <v>45351</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63118-2019</t>
        </is>
      </c>
      <c r="B384" s="1" t="n">
        <v>43791</v>
      </c>
      <c r="C384" s="1" t="n">
        <v>45351</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63589-2019</t>
        </is>
      </c>
      <c r="B385" s="1" t="n">
        <v>43795</v>
      </c>
      <c r="C385" s="1" t="n">
        <v>45351</v>
      </c>
      <c r="D385" t="inlineStr">
        <is>
          <t>UPPSALA LÄN</t>
        </is>
      </c>
      <c r="E385" t="inlineStr">
        <is>
          <t>UPPSALA</t>
        </is>
      </c>
      <c r="G385" t="n">
        <v>3.8</v>
      </c>
      <c r="H385" t="n">
        <v>0</v>
      </c>
      <c r="I385" t="n">
        <v>0</v>
      </c>
      <c r="J385" t="n">
        <v>0</v>
      </c>
      <c r="K385" t="n">
        <v>0</v>
      </c>
      <c r="L385" t="n">
        <v>0</v>
      </c>
      <c r="M385" t="n">
        <v>0</v>
      </c>
      <c r="N385" t="n">
        <v>0</v>
      </c>
      <c r="O385" t="n">
        <v>0</v>
      </c>
      <c r="P385" t="n">
        <v>0</v>
      </c>
      <c r="Q385" t="n">
        <v>0</v>
      </c>
      <c r="R385" s="2" t="inlineStr"/>
    </row>
    <row r="386" ht="15" customHeight="1">
      <c r="A386" t="inlineStr">
        <is>
          <t>A 63757-2019</t>
        </is>
      </c>
      <c r="B386" s="1" t="n">
        <v>43795</v>
      </c>
      <c r="C386" s="1" t="n">
        <v>45351</v>
      </c>
      <c r="D386" t="inlineStr">
        <is>
          <t>UPPSALA LÄN</t>
        </is>
      </c>
      <c r="E386" t="inlineStr">
        <is>
          <t>UPPSALA</t>
        </is>
      </c>
      <c r="G386" t="n">
        <v>6.9</v>
      </c>
      <c r="H386" t="n">
        <v>0</v>
      </c>
      <c r="I386" t="n">
        <v>0</v>
      </c>
      <c r="J386" t="n">
        <v>0</v>
      </c>
      <c r="K386" t="n">
        <v>0</v>
      </c>
      <c r="L386" t="n">
        <v>0</v>
      </c>
      <c r="M386" t="n">
        <v>0</v>
      </c>
      <c r="N386" t="n">
        <v>0</v>
      </c>
      <c r="O386" t="n">
        <v>0</v>
      </c>
      <c r="P386" t="n">
        <v>0</v>
      </c>
      <c r="Q386" t="n">
        <v>0</v>
      </c>
      <c r="R386" s="2" t="inlineStr"/>
    </row>
    <row r="387" ht="15" customHeight="1">
      <c r="A387" t="inlineStr">
        <is>
          <t>A 63756-2019</t>
        </is>
      </c>
      <c r="B387" s="1" t="n">
        <v>43795</v>
      </c>
      <c r="C387" s="1" t="n">
        <v>45351</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64836-2019</t>
        </is>
      </c>
      <c r="B388" s="1" t="n">
        <v>43801</v>
      </c>
      <c r="C388" s="1" t="n">
        <v>45351</v>
      </c>
      <c r="D388" t="inlineStr">
        <is>
          <t>UPPSALA LÄN</t>
        </is>
      </c>
      <c r="E388" t="inlineStr">
        <is>
          <t>UPPSALA</t>
        </is>
      </c>
      <c r="G388" t="n">
        <v>0.5</v>
      </c>
      <c r="H388" t="n">
        <v>0</v>
      </c>
      <c r="I388" t="n">
        <v>0</v>
      </c>
      <c r="J388" t="n">
        <v>0</v>
      </c>
      <c r="K388" t="n">
        <v>0</v>
      </c>
      <c r="L388" t="n">
        <v>0</v>
      </c>
      <c r="M388" t="n">
        <v>0</v>
      </c>
      <c r="N388" t="n">
        <v>0</v>
      </c>
      <c r="O388" t="n">
        <v>0</v>
      </c>
      <c r="P388" t="n">
        <v>0</v>
      </c>
      <c r="Q388" t="n">
        <v>0</v>
      </c>
      <c r="R388" s="2" t="inlineStr"/>
    </row>
    <row r="389" ht="15" customHeight="1">
      <c r="A389" t="inlineStr">
        <is>
          <t>A 64834-2019</t>
        </is>
      </c>
      <c r="B389" s="1" t="n">
        <v>43801</v>
      </c>
      <c r="C389" s="1" t="n">
        <v>45351</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65527-2019</t>
        </is>
      </c>
      <c r="B390" s="1" t="n">
        <v>43803</v>
      </c>
      <c r="C390" s="1" t="n">
        <v>45351</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65668-2019</t>
        </is>
      </c>
      <c r="B391" s="1" t="n">
        <v>43804</v>
      </c>
      <c r="C391" s="1" t="n">
        <v>45351</v>
      </c>
      <c r="D391" t="inlineStr">
        <is>
          <t>UPPSALA LÄN</t>
        </is>
      </c>
      <c r="E391" t="inlineStr">
        <is>
          <t>UPPSALA</t>
        </is>
      </c>
      <c r="G391" t="n">
        <v>7.6</v>
      </c>
      <c r="H391" t="n">
        <v>0</v>
      </c>
      <c r="I391" t="n">
        <v>0</v>
      </c>
      <c r="J391" t="n">
        <v>0</v>
      </c>
      <c r="K391" t="n">
        <v>0</v>
      </c>
      <c r="L391" t="n">
        <v>0</v>
      </c>
      <c r="M391" t="n">
        <v>0</v>
      </c>
      <c r="N391" t="n">
        <v>0</v>
      </c>
      <c r="O391" t="n">
        <v>0</v>
      </c>
      <c r="P391" t="n">
        <v>0</v>
      </c>
      <c r="Q391" t="n">
        <v>0</v>
      </c>
      <c r="R391" s="2" t="inlineStr"/>
    </row>
    <row r="392" ht="15" customHeight="1">
      <c r="A392" t="inlineStr">
        <is>
          <t>A 66167-2019</t>
        </is>
      </c>
      <c r="B392" s="1" t="n">
        <v>43808</v>
      </c>
      <c r="C392" s="1" t="n">
        <v>45351</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66270-2019</t>
        </is>
      </c>
      <c r="B393" s="1" t="n">
        <v>43808</v>
      </c>
      <c r="C393" s="1" t="n">
        <v>45351</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67108-2019</t>
        </is>
      </c>
      <c r="B394" s="1" t="n">
        <v>43811</v>
      </c>
      <c r="C394" s="1" t="n">
        <v>45351</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67281-2019</t>
        </is>
      </c>
      <c r="B395" s="1" t="n">
        <v>43812</v>
      </c>
      <c r="C395" s="1" t="n">
        <v>45351</v>
      </c>
      <c r="D395" t="inlineStr">
        <is>
          <t>UPPSALA LÄN</t>
        </is>
      </c>
      <c r="E395" t="inlineStr">
        <is>
          <t>UPPSALA</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67508-2019</t>
        </is>
      </c>
      <c r="B396" s="1" t="n">
        <v>43814</v>
      </c>
      <c r="C396" s="1" t="n">
        <v>45351</v>
      </c>
      <c r="D396" t="inlineStr">
        <is>
          <t>UPPSALA LÄN</t>
        </is>
      </c>
      <c r="E396" t="inlineStr">
        <is>
          <t>UPPSALA</t>
        </is>
      </c>
      <c r="F396" t="inlineStr">
        <is>
          <t>Allmännings- och besparingsskogar</t>
        </is>
      </c>
      <c r="G396" t="n">
        <v>4.9</v>
      </c>
      <c r="H396" t="n">
        <v>0</v>
      </c>
      <c r="I396" t="n">
        <v>0</v>
      </c>
      <c r="J396" t="n">
        <v>0</v>
      </c>
      <c r="K396" t="n">
        <v>0</v>
      </c>
      <c r="L396" t="n">
        <v>0</v>
      </c>
      <c r="M396" t="n">
        <v>0</v>
      </c>
      <c r="N396" t="n">
        <v>0</v>
      </c>
      <c r="O396" t="n">
        <v>0</v>
      </c>
      <c r="P396" t="n">
        <v>0</v>
      </c>
      <c r="Q396" t="n">
        <v>0</v>
      </c>
      <c r="R396" s="2" t="inlineStr"/>
    </row>
    <row r="397" ht="15" customHeight="1">
      <c r="A397" t="inlineStr">
        <is>
          <t>A 67504-2019</t>
        </is>
      </c>
      <c r="B397" s="1" t="n">
        <v>43814</v>
      </c>
      <c r="C397" s="1" t="n">
        <v>45351</v>
      </c>
      <c r="D397" t="inlineStr">
        <is>
          <t>UPPSALA LÄN</t>
        </is>
      </c>
      <c r="E397" t="inlineStr">
        <is>
          <t>UPPSALA</t>
        </is>
      </c>
      <c r="F397" t="inlineStr">
        <is>
          <t>Allmännings- och besparingsskogar</t>
        </is>
      </c>
      <c r="G397" t="n">
        <v>21.9</v>
      </c>
      <c r="H397" t="n">
        <v>0</v>
      </c>
      <c r="I397" t="n">
        <v>0</v>
      </c>
      <c r="J397" t="n">
        <v>0</v>
      </c>
      <c r="K397" t="n">
        <v>0</v>
      </c>
      <c r="L397" t="n">
        <v>0</v>
      </c>
      <c r="M397" t="n">
        <v>0</v>
      </c>
      <c r="N397" t="n">
        <v>0</v>
      </c>
      <c r="O397" t="n">
        <v>0</v>
      </c>
      <c r="P397" t="n">
        <v>0</v>
      </c>
      <c r="Q397" t="n">
        <v>0</v>
      </c>
      <c r="R397" s="2" t="inlineStr"/>
    </row>
    <row r="398" ht="15" customHeight="1">
      <c r="A398" t="inlineStr">
        <is>
          <t>A 67720-2019</t>
        </is>
      </c>
      <c r="B398" s="1" t="n">
        <v>43815</v>
      </c>
      <c r="C398" s="1" t="n">
        <v>45351</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67592-2019</t>
        </is>
      </c>
      <c r="B399" s="1" t="n">
        <v>43815</v>
      </c>
      <c r="C399" s="1" t="n">
        <v>45351</v>
      </c>
      <c r="D399" t="inlineStr">
        <is>
          <t>UPPSALA LÄN</t>
        </is>
      </c>
      <c r="E399" t="inlineStr">
        <is>
          <t>UPPSALA</t>
        </is>
      </c>
      <c r="F399" t="inlineStr">
        <is>
          <t>Övriga statliga verk och myndigheter</t>
        </is>
      </c>
      <c r="G399" t="n">
        <v>0.8</v>
      </c>
      <c r="H399" t="n">
        <v>0</v>
      </c>
      <c r="I399" t="n">
        <v>0</v>
      </c>
      <c r="J399" t="n">
        <v>0</v>
      </c>
      <c r="K399" t="n">
        <v>0</v>
      </c>
      <c r="L399" t="n">
        <v>0</v>
      </c>
      <c r="M399" t="n">
        <v>0</v>
      </c>
      <c r="N399" t="n">
        <v>0</v>
      </c>
      <c r="O399" t="n">
        <v>0</v>
      </c>
      <c r="P399" t="n">
        <v>0</v>
      </c>
      <c r="Q399" t="n">
        <v>0</v>
      </c>
      <c r="R399" s="2" t="inlineStr"/>
    </row>
    <row r="400" ht="15" customHeight="1">
      <c r="A400" t="inlineStr">
        <is>
          <t>A 68264-2019</t>
        </is>
      </c>
      <c r="B400" s="1" t="n">
        <v>43817</v>
      </c>
      <c r="C400" s="1" t="n">
        <v>45351</v>
      </c>
      <c r="D400" t="inlineStr">
        <is>
          <t>UPPSALA LÄN</t>
        </is>
      </c>
      <c r="E400" t="inlineStr">
        <is>
          <t>UPPSALA</t>
        </is>
      </c>
      <c r="G400" t="n">
        <v>2.9</v>
      </c>
      <c r="H400" t="n">
        <v>0</v>
      </c>
      <c r="I400" t="n">
        <v>0</v>
      </c>
      <c r="J400" t="n">
        <v>0</v>
      </c>
      <c r="K400" t="n">
        <v>0</v>
      </c>
      <c r="L400" t="n">
        <v>0</v>
      </c>
      <c r="M400" t="n">
        <v>0</v>
      </c>
      <c r="N400" t="n">
        <v>0</v>
      </c>
      <c r="O400" t="n">
        <v>0</v>
      </c>
      <c r="P400" t="n">
        <v>0</v>
      </c>
      <c r="Q400" t="n">
        <v>0</v>
      </c>
      <c r="R400" s="2" t="inlineStr"/>
    </row>
    <row r="401" ht="15" customHeight="1">
      <c r="A401" t="inlineStr">
        <is>
          <t>A 68265-2019</t>
        </is>
      </c>
      <c r="B401" s="1" t="n">
        <v>43817</v>
      </c>
      <c r="C401" s="1" t="n">
        <v>45351</v>
      </c>
      <c r="D401" t="inlineStr">
        <is>
          <t>UPPSALA LÄN</t>
        </is>
      </c>
      <c r="E401" t="inlineStr">
        <is>
          <t>UPPSALA</t>
        </is>
      </c>
      <c r="G401" t="n">
        <v>2.4</v>
      </c>
      <c r="H401" t="n">
        <v>0</v>
      </c>
      <c r="I401" t="n">
        <v>0</v>
      </c>
      <c r="J401" t="n">
        <v>0</v>
      </c>
      <c r="K401" t="n">
        <v>0</v>
      </c>
      <c r="L401" t="n">
        <v>0</v>
      </c>
      <c r="M401" t="n">
        <v>0</v>
      </c>
      <c r="N401" t="n">
        <v>0</v>
      </c>
      <c r="O401" t="n">
        <v>0</v>
      </c>
      <c r="P401" t="n">
        <v>0</v>
      </c>
      <c r="Q401" t="n">
        <v>0</v>
      </c>
      <c r="R401" s="2" t="inlineStr"/>
    </row>
    <row r="402" ht="15" customHeight="1">
      <c r="A402" t="inlineStr">
        <is>
          <t>A 68317-2019</t>
        </is>
      </c>
      <c r="B402" s="1" t="n">
        <v>43818</v>
      </c>
      <c r="C402" s="1" t="n">
        <v>45351</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68316-2019</t>
        </is>
      </c>
      <c r="B403" s="1" t="n">
        <v>43818</v>
      </c>
      <c r="C403" s="1" t="n">
        <v>45351</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68908-2019</t>
        </is>
      </c>
      <c r="B404" s="1" t="n">
        <v>43822</v>
      </c>
      <c r="C404" s="1" t="n">
        <v>45351</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529-2020</t>
        </is>
      </c>
      <c r="B405" s="1" t="n">
        <v>43837</v>
      </c>
      <c r="C405" s="1" t="n">
        <v>45351</v>
      </c>
      <c r="D405" t="inlineStr">
        <is>
          <t>UPPSALA LÄN</t>
        </is>
      </c>
      <c r="E405" t="inlineStr">
        <is>
          <t>UPPSALA</t>
        </is>
      </c>
      <c r="G405" t="n">
        <v>1.6</v>
      </c>
      <c r="H405" t="n">
        <v>0</v>
      </c>
      <c r="I405" t="n">
        <v>0</v>
      </c>
      <c r="J405" t="n">
        <v>0</v>
      </c>
      <c r="K405" t="n">
        <v>0</v>
      </c>
      <c r="L405" t="n">
        <v>0</v>
      </c>
      <c r="M405" t="n">
        <v>0</v>
      </c>
      <c r="N405" t="n">
        <v>0</v>
      </c>
      <c r="O405" t="n">
        <v>0</v>
      </c>
      <c r="P405" t="n">
        <v>0</v>
      </c>
      <c r="Q405" t="n">
        <v>0</v>
      </c>
      <c r="R405" s="2" t="inlineStr"/>
    </row>
    <row r="406" ht="15" customHeight="1">
      <c r="A406" t="inlineStr">
        <is>
          <t>A 1891-2020</t>
        </is>
      </c>
      <c r="B406" s="1" t="n">
        <v>43837</v>
      </c>
      <c r="C406" s="1" t="n">
        <v>45351</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701-2020</t>
        </is>
      </c>
      <c r="B407" s="1" t="n">
        <v>43838</v>
      </c>
      <c r="C407" s="1" t="n">
        <v>45351</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1171-2020</t>
        </is>
      </c>
      <c r="B408" s="1" t="n">
        <v>43840</v>
      </c>
      <c r="C408" s="1" t="n">
        <v>45351</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1688-2020</t>
        </is>
      </c>
      <c r="B409" s="1" t="n">
        <v>43844</v>
      </c>
      <c r="C409" s="1" t="n">
        <v>45351</v>
      </c>
      <c r="D409" t="inlineStr">
        <is>
          <t>UPPSALA LÄN</t>
        </is>
      </c>
      <c r="E409" t="inlineStr">
        <is>
          <t>UPPSALA</t>
        </is>
      </c>
      <c r="G409" t="n">
        <v>1.5</v>
      </c>
      <c r="H409" t="n">
        <v>0</v>
      </c>
      <c r="I409" t="n">
        <v>0</v>
      </c>
      <c r="J409" t="n">
        <v>0</v>
      </c>
      <c r="K409" t="n">
        <v>0</v>
      </c>
      <c r="L409" t="n">
        <v>0</v>
      </c>
      <c r="M409" t="n">
        <v>0</v>
      </c>
      <c r="N409" t="n">
        <v>0</v>
      </c>
      <c r="O409" t="n">
        <v>0</v>
      </c>
      <c r="P409" t="n">
        <v>0</v>
      </c>
      <c r="Q409" t="n">
        <v>0</v>
      </c>
      <c r="R409" s="2" t="inlineStr"/>
    </row>
    <row r="410" ht="15" customHeight="1">
      <c r="A410" t="inlineStr">
        <is>
          <t>A 2162-2020</t>
        </is>
      </c>
      <c r="B410" s="1" t="n">
        <v>43846</v>
      </c>
      <c r="C410" s="1" t="n">
        <v>45351</v>
      </c>
      <c r="D410" t="inlineStr">
        <is>
          <t>UPPSALA LÄN</t>
        </is>
      </c>
      <c r="E410" t="inlineStr">
        <is>
          <t>UPPSALA</t>
        </is>
      </c>
      <c r="G410" t="n">
        <v>2.5</v>
      </c>
      <c r="H410" t="n">
        <v>0</v>
      </c>
      <c r="I410" t="n">
        <v>0</v>
      </c>
      <c r="J410" t="n">
        <v>0</v>
      </c>
      <c r="K410" t="n">
        <v>0</v>
      </c>
      <c r="L410" t="n">
        <v>0</v>
      </c>
      <c r="M410" t="n">
        <v>0</v>
      </c>
      <c r="N410" t="n">
        <v>0</v>
      </c>
      <c r="O410" t="n">
        <v>0</v>
      </c>
      <c r="P410" t="n">
        <v>0</v>
      </c>
      <c r="Q410" t="n">
        <v>0</v>
      </c>
      <c r="R410" s="2" t="inlineStr"/>
    </row>
    <row r="411" ht="15" customHeight="1">
      <c r="A411" t="inlineStr">
        <is>
          <t>A 2895-2020</t>
        </is>
      </c>
      <c r="B411" s="1" t="n">
        <v>43850</v>
      </c>
      <c r="C411" s="1" t="n">
        <v>45351</v>
      </c>
      <c r="D411" t="inlineStr">
        <is>
          <t>UPPSALA LÄN</t>
        </is>
      </c>
      <c r="E411" t="inlineStr">
        <is>
          <t>UPPSALA</t>
        </is>
      </c>
      <c r="G411" t="n">
        <v>3.8</v>
      </c>
      <c r="H411" t="n">
        <v>0</v>
      </c>
      <c r="I411" t="n">
        <v>0</v>
      </c>
      <c r="J411" t="n">
        <v>0</v>
      </c>
      <c r="K411" t="n">
        <v>0</v>
      </c>
      <c r="L411" t="n">
        <v>0</v>
      </c>
      <c r="M411" t="n">
        <v>0</v>
      </c>
      <c r="N411" t="n">
        <v>0</v>
      </c>
      <c r="O411" t="n">
        <v>0</v>
      </c>
      <c r="P411" t="n">
        <v>0</v>
      </c>
      <c r="Q411" t="n">
        <v>0</v>
      </c>
      <c r="R411" s="2" t="inlineStr"/>
    </row>
    <row r="412" ht="15" customHeight="1">
      <c r="A412" t="inlineStr">
        <is>
          <t>A 3693-2020</t>
        </is>
      </c>
      <c r="B412" s="1" t="n">
        <v>43853</v>
      </c>
      <c r="C412" s="1" t="n">
        <v>45351</v>
      </c>
      <c r="D412" t="inlineStr">
        <is>
          <t>UPPSALA LÄN</t>
        </is>
      </c>
      <c r="E412" t="inlineStr">
        <is>
          <t>UPPSALA</t>
        </is>
      </c>
      <c r="F412" t="inlineStr">
        <is>
          <t>Bergvik skog öst AB</t>
        </is>
      </c>
      <c r="G412" t="n">
        <v>2.3</v>
      </c>
      <c r="H412" t="n">
        <v>0</v>
      </c>
      <c r="I412" t="n">
        <v>0</v>
      </c>
      <c r="J412" t="n">
        <v>0</v>
      </c>
      <c r="K412" t="n">
        <v>0</v>
      </c>
      <c r="L412" t="n">
        <v>0</v>
      </c>
      <c r="M412" t="n">
        <v>0</v>
      </c>
      <c r="N412" t="n">
        <v>0</v>
      </c>
      <c r="O412" t="n">
        <v>0</v>
      </c>
      <c r="P412" t="n">
        <v>0</v>
      </c>
      <c r="Q412" t="n">
        <v>0</v>
      </c>
      <c r="R412" s="2" t="inlineStr"/>
    </row>
    <row r="413" ht="15" customHeight="1">
      <c r="A413" t="inlineStr">
        <is>
          <t>A 3516-2020</t>
        </is>
      </c>
      <c r="B413" s="1" t="n">
        <v>43853</v>
      </c>
      <c r="C413" s="1" t="n">
        <v>45351</v>
      </c>
      <c r="D413" t="inlineStr">
        <is>
          <t>UPPSALA LÄN</t>
        </is>
      </c>
      <c r="E413" t="inlineStr">
        <is>
          <t>UPPSALA</t>
        </is>
      </c>
      <c r="G413" t="n">
        <v>9.4</v>
      </c>
      <c r="H413" t="n">
        <v>0</v>
      </c>
      <c r="I413" t="n">
        <v>0</v>
      </c>
      <c r="J413" t="n">
        <v>0</v>
      </c>
      <c r="K413" t="n">
        <v>0</v>
      </c>
      <c r="L413" t="n">
        <v>0</v>
      </c>
      <c r="M413" t="n">
        <v>0</v>
      </c>
      <c r="N413" t="n">
        <v>0</v>
      </c>
      <c r="O413" t="n">
        <v>0</v>
      </c>
      <c r="P413" t="n">
        <v>0</v>
      </c>
      <c r="Q413" t="n">
        <v>0</v>
      </c>
      <c r="R413" s="2" t="inlineStr"/>
    </row>
    <row r="414" ht="15" customHeight="1">
      <c r="A414" t="inlineStr">
        <is>
          <t>A 6313-2020</t>
        </is>
      </c>
      <c r="B414" s="1" t="n">
        <v>43866</v>
      </c>
      <c r="C414" s="1" t="n">
        <v>45351</v>
      </c>
      <c r="D414" t="inlineStr">
        <is>
          <t>UPPSALA LÄN</t>
        </is>
      </c>
      <c r="E414" t="inlineStr">
        <is>
          <t>UPPSALA</t>
        </is>
      </c>
      <c r="F414" t="inlineStr">
        <is>
          <t>Övriga statliga verk och myndigheter</t>
        </is>
      </c>
      <c r="G414" t="n">
        <v>3.4</v>
      </c>
      <c r="H414" t="n">
        <v>0</v>
      </c>
      <c r="I414" t="n">
        <v>0</v>
      </c>
      <c r="J414" t="n">
        <v>0</v>
      </c>
      <c r="K414" t="n">
        <v>0</v>
      </c>
      <c r="L414" t="n">
        <v>0</v>
      </c>
      <c r="M414" t="n">
        <v>0</v>
      </c>
      <c r="N414" t="n">
        <v>0</v>
      </c>
      <c r="O414" t="n">
        <v>0</v>
      </c>
      <c r="P414" t="n">
        <v>0</v>
      </c>
      <c r="Q414" t="n">
        <v>0</v>
      </c>
      <c r="R414" s="2" t="inlineStr"/>
    </row>
    <row r="415" ht="15" customHeight="1">
      <c r="A415" t="inlineStr">
        <is>
          <t>A 6315-2020</t>
        </is>
      </c>
      <c r="B415" s="1" t="n">
        <v>43866</v>
      </c>
      <c r="C415" s="1" t="n">
        <v>45351</v>
      </c>
      <c r="D415" t="inlineStr">
        <is>
          <t>UPPSALA LÄN</t>
        </is>
      </c>
      <c r="E415" t="inlineStr">
        <is>
          <t>UPPSALA</t>
        </is>
      </c>
      <c r="F415" t="inlineStr">
        <is>
          <t>Övriga statliga verk och myndigheter</t>
        </is>
      </c>
      <c r="G415" t="n">
        <v>1.9</v>
      </c>
      <c r="H415" t="n">
        <v>0</v>
      </c>
      <c r="I415" t="n">
        <v>0</v>
      </c>
      <c r="J415" t="n">
        <v>0</v>
      </c>
      <c r="K415" t="n">
        <v>0</v>
      </c>
      <c r="L415" t="n">
        <v>0</v>
      </c>
      <c r="M415" t="n">
        <v>0</v>
      </c>
      <c r="N415" t="n">
        <v>0</v>
      </c>
      <c r="O415" t="n">
        <v>0</v>
      </c>
      <c r="P415" t="n">
        <v>0</v>
      </c>
      <c r="Q415" t="n">
        <v>0</v>
      </c>
      <c r="R415" s="2" t="inlineStr"/>
    </row>
    <row r="416" ht="15" customHeight="1">
      <c r="A416" t="inlineStr">
        <is>
          <t>A 6655-2020</t>
        </is>
      </c>
      <c r="B416" s="1" t="n">
        <v>43867</v>
      </c>
      <c r="C416" s="1" t="n">
        <v>45351</v>
      </c>
      <c r="D416" t="inlineStr">
        <is>
          <t>UPPSALA LÄN</t>
        </is>
      </c>
      <c r="E416" t="inlineStr">
        <is>
          <t>UPPSALA</t>
        </is>
      </c>
      <c r="G416" t="n">
        <v>7.3</v>
      </c>
      <c r="H416" t="n">
        <v>0</v>
      </c>
      <c r="I416" t="n">
        <v>0</v>
      </c>
      <c r="J416" t="n">
        <v>0</v>
      </c>
      <c r="K416" t="n">
        <v>0</v>
      </c>
      <c r="L416" t="n">
        <v>0</v>
      </c>
      <c r="M416" t="n">
        <v>0</v>
      </c>
      <c r="N416" t="n">
        <v>0</v>
      </c>
      <c r="O416" t="n">
        <v>0</v>
      </c>
      <c r="P416" t="n">
        <v>0</v>
      </c>
      <c r="Q416" t="n">
        <v>0</v>
      </c>
      <c r="R416" s="2" t="inlineStr"/>
    </row>
    <row r="417" ht="15" customHeight="1">
      <c r="A417" t="inlineStr">
        <is>
          <t>A 8261-2020</t>
        </is>
      </c>
      <c r="B417" s="1" t="n">
        <v>43874</v>
      </c>
      <c r="C417" s="1" t="n">
        <v>45351</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8646-2020</t>
        </is>
      </c>
      <c r="B418" s="1" t="n">
        <v>43878</v>
      </c>
      <c r="C418" s="1" t="n">
        <v>45351</v>
      </c>
      <c r="D418" t="inlineStr">
        <is>
          <t>UPPSALA LÄN</t>
        </is>
      </c>
      <c r="E418" t="inlineStr">
        <is>
          <t>UPPSALA</t>
        </is>
      </c>
      <c r="G418" t="n">
        <v>3.5</v>
      </c>
      <c r="H418" t="n">
        <v>0</v>
      </c>
      <c r="I418" t="n">
        <v>0</v>
      </c>
      <c r="J418" t="n">
        <v>0</v>
      </c>
      <c r="K418" t="n">
        <v>0</v>
      </c>
      <c r="L418" t="n">
        <v>0</v>
      </c>
      <c r="M418" t="n">
        <v>0</v>
      </c>
      <c r="N418" t="n">
        <v>0</v>
      </c>
      <c r="O418" t="n">
        <v>0</v>
      </c>
      <c r="P418" t="n">
        <v>0</v>
      </c>
      <c r="Q418" t="n">
        <v>0</v>
      </c>
      <c r="R418" s="2" t="inlineStr"/>
    </row>
    <row r="419" ht="15" customHeight="1">
      <c r="A419" t="inlineStr">
        <is>
          <t>A 8678-2020</t>
        </is>
      </c>
      <c r="B419" s="1" t="n">
        <v>43878</v>
      </c>
      <c r="C419" s="1" t="n">
        <v>45351</v>
      </c>
      <c r="D419" t="inlineStr">
        <is>
          <t>UPPSALA LÄN</t>
        </is>
      </c>
      <c r="E419" t="inlineStr">
        <is>
          <t>UPPSALA</t>
        </is>
      </c>
      <c r="G419" t="n">
        <v>1.8</v>
      </c>
      <c r="H419" t="n">
        <v>0</v>
      </c>
      <c r="I419" t="n">
        <v>0</v>
      </c>
      <c r="J419" t="n">
        <v>0</v>
      </c>
      <c r="K419" t="n">
        <v>0</v>
      </c>
      <c r="L419" t="n">
        <v>0</v>
      </c>
      <c r="M419" t="n">
        <v>0</v>
      </c>
      <c r="N419" t="n">
        <v>0</v>
      </c>
      <c r="O419" t="n">
        <v>0</v>
      </c>
      <c r="P419" t="n">
        <v>0</v>
      </c>
      <c r="Q419" t="n">
        <v>0</v>
      </c>
      <c r="R419" s="2" t="inlineStr"/>
    </row>
    <row r="420" ht="15" customHeight="1">
      <c r="A420" t="inlineStr">
        <is>
          <t>A 8902-2020</t>
        </is>
      </c>
      <c r="B420" s="1" t="n">
        <v>43878</v>
      </c>
      <c r="C420" s="1" t="n">
        <v>45351</v>
      </c>
      <c r="D420" t="inlineStr">
        <is>
          <t>UPPSALA LÄN</t>
        </is>
      </c>
      <c r="E420" t="inlineStr">
        <is>
          <t>UPPSALA</t>
        </is>
      </c>
      <c r="F420" t="inlineStr">
        <is>
          <t>Kyrkan</t>
        </is>
      </c>
      <c r="G420" t="n">
        <v>1</v>
      </c>
      <c r="H420" t="n">
        <v>0</v>
      </c>
      <c r="I420" t="n">
        <v>0</v>
      </c>
      <c r="J420" t="n">
        <v>0</v>
      </c>
      <c r="K420" t="n">
        <v>0</v>
      </c>
      <c r="L420" t="n">
        <v>0</v>
      </c>
      <c r="M420" t="n">
        <v>0</v>
      </c>
      <c r="N420" t="n">
        <v>0</v>
      </c>
      <c r="O420" t="n">
        <v>0</v>
      </c>
      <c r="P420" t="n">
        <v>0</v>
      </c>
      <c r="Q420" t="n">
        <v>0</v>
      </c>
      <c r="R420" s="2" t="inlineStr"/>
    </row>
    <row r="421" ht="15" customHeight="1">
      <c r="A421" t="inlineStr">
        <is>
          <t>A 9011-2020</t>
        </is>
      </c>
      <c r="B421" s="1" t="n">
        <v>43879</v>
      </c>
      <c r="C421" s="1" t="n">
        <v>45351</v>
      </c>
      <c r="D421" t="inlineStr">
        <is>
          <t>UPPSALA LÄN</t>
        </is>
      </c>
      <c r="E421" t="inlineStr">
        <is>
          <t>UPPSALA</t>
        </is>
      </c>
      <c r="F421" t="inlineStr">
        <is>
          <t>Övriga statliga verk och myndigheter</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9084-2020</t>
        </is>
      </c>
      <c r="B422" s="1" t="n">
        <v>43879</v>
      </c>
      <c r="C422" s="1" t="n">
        <v>45351</v>
      </c>
      <c r="D422" t="inlineStr">
        <is>
          <t>UPPSALA LÄN</t>
        </is>
      </c>
      <c r="E422" t="inlineStr">
        <is>
          <t>UPPSALA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9257-2020</t>
        </is>
      </c>
      <c r="B423" s="1" t="n">
        <v>43879</v>
      </c>
      <c r="C423" s="1" t="n">
        <v>45351</v>
      </c>
      <c r="D423" t="inlineStr">
        <is>
          <t>UPPSALA LÄN</t>
        </is>
      </c>
      <c r="E423" t="inlineStr">
        <is>
          <t>UPPSALA</t>
        </is>
      </c>
      <c r="F423" t="inlineStr">
        <is>
          <t>Bergvik skog öst AB</t>
        </is>
      </c>
      <c r="G423" t="n">
        <v>5.8</v>
      </c>
      <c r="H423" t="n">
        <v>0</v>
      </c>
      <c r="I423" t="n">
        <v>0</v>
      </c>
      <c r="J423" t="n">
        <v>0</v>
      </c>
      <c r="K423" t="n">
        <v>0</v>
      </c>
      <c r="L423" t="n">
        <v>0</v>
      </c>
      <c r="M423" t="n">
        <v>0</v>
      </c>
      <c r="N423" t="n">
        <v>0</v>
      </c>
      <c r="O423" t="n">
        <v>0</v>
      </c>
      <c r="P423" t="n">
        <v>0</v>
      </c>
      <c r="Q423" t="n">
        <v>0</v>
      </c>
      <c r="R423" s="2" t="inlineStr"/>
    </row>
    <row r="424" ht="15" customHeight="1">
      <c r="A424" t="inlineStr">
        <is>
          <t>A 9658-2020</t>
        </is>
      </c>
      <c r="B424" s="1" t="n">
        <v>43881</v>
      </c>
      <c r="C424" s="1" t="n">
        <v>45351</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10003-2020</t>
        </is>
      </c>
      <c r="B425" s="1" t="n">
        <v>43882</v>
      </c>
      <c r="C425" s="1" t="n">
        <v>45351</v>
      </c>
      <c r="D425" t="inlineStr">
        <is>
          <t>UPPSALA LÄN</t>
        </is>
      </c>
      <c r="E425" t="inlineStr">
        <is>
          <t>UPPSALA</t>
        </is>
      </c>
      <c r="F425" t="inlineStr">
        <is>
          <t>Kyrkan</t>
        </is>
      </c>
      <c r="G425" t="n">
        <v>5.2</v>
      </c>
      <c r="H425" t="n">
        <v>0</v>
      </c>
      <c r="I425" t="n">
        <v>0</v>
      </c>
      <c r="J425" t="n">
        <v>0</v>
      </c>
      <c r="K425" t="n">
        <v>0</v>
      </c>
      <c r="L425" t="n">
        <v>0</v>
      </c>
      <c r="M425" t="n">
        <v>0</v>
      </c>
      <c r="N425" t="n">
        <v>0</v>
      </c>
      <c r="O425" t="n">
        <v>0</v>
      </c>
      <c r="P425" t="n">
        <v>0</v>
      </c>
      <c r="Q425" t="n">
        <v>0</v>
      </c>
      <c r="R425" s="2" t="inlineStr"/>
    </row>
    <row r="426" ht="15" customHeight="1">
      <c r="A426" t="inlineStr">
        <is>
          <t>A 9949-2020</t>
        </is>
      </c>
      <c r="B426" s="1" t="n">
        <v>43882</v>
      </c>
      <c r="C426" s="1" t="n">
        <v>45351</v>
      </c>
      <c r="D426" t="inlineStr">
        <is>
          <t>UPPSALA LÄN</t>
        </is>
      </c>
      <c r="E426" t="inlineStr">
        <is>
          <t>UPPSALA</t>
        </is>
      </c>
      <c r="F426" t="inlineStr">
        <is>
          <t>Kyrkan</t>
        </is>
      </c>
      <c r="G426" t="n">
        <v>2.2</v>
      </c>
      <c r="H426" t="n">
        <v>0</v>
      </c>
      <c r="I426" t="n">
        <v>0</v>
      </c>
      <c r="J426" t="n">
        <v>0</v>
      </c>
      <c r="K426" t="n">
        <v>0</v>
      </c>
      <c r="L426" t="n">
        <v>0</v>
      </c>
      <c r="M426" t="n">
        <v>0</v>
      </c>
      <c r="N426" t="n">
        <v>0</v>
      </c>
      <c r="O426" t="n">
        <v>0</v>
      </c>
      <c r="P426" t="n">
        <v>0</v>
      </c>
      <c r="Q426" t="n">
        <v>0</v>
      </c>
      <c r="R426" s="2" t="inlineStr"/>
    </row>
    <row r="427" ht="15" customHeight="1">
      <c r="A427" t="inlineStr">
        <is>
          <t>A 10033-2020</t>
        </is>
      </c>
      <c r="B427" s="1" t="n">
        <v>43882</v>
      </c>
      <c r="C427" s="1" t="n">
        <v>45351</v>
      </c>
      <c r="D427" t="inlineStr">
        <is>
          <t>UPPSALA LÄN</t>
        </is>
      </c>
      <c r="E427" t="inlineStr">
        <is>
          <t>UPPSALA</t>
        </is>
      </c>
      <c r="G427" t="n">
        <v>4.6</v>
      </c>
      <c r="H427" t="n">
        <v>0</v>
      </c>
      <c r="I427" t="n">
        <v>0</v>
      </c>
      <c r="J427" t="n">
        <v>0</v>
      </c>
      <c r="K427" t="n">
        <v>0</v>
      </c>
      <c r="L427" t="n">
        <v>0</v>
      </c>
      <c r="M427" t="n">
        <v>0</v>
      </c>
      <c r="N427" t="n">
        <v>0</v>
      </c>
      <c r="O427" t="n">
        <v>0</v>
      </c>
      <c r="P427" t="n">
        <v>0</v>
      </c>
      <c r="Q427" t="n">
        <v>0</v>
      </c>
      <c r="R427" s="2" t="inlineStr"/>
    </row>
    <row r="428" ht="15" customHeight="1">
      <c r="A428" t="inlineStr">
        <is>
          <t>A 10478-2020</t>
        </is>
      </c>
      <c r="B428" s="1" t="n">
        <v>43886</v>
      </c>
      <c r="C428" s="1" t="n">
        <v>45351</v>
      </c>
      <c r="D428" t="inlineStr">
        <is>
          <t>UPPSALA LÄN</t>
        </is>
      </c>
      <c r="E428" t="inlineStr">
        <is>
          <t>UPPSALA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11540-2020</t>
        </is>
      </c>
      <c r="B429" s="1" t="n">
        <v>43887</v>
      </c>
      <c r="C429" s="1" t="n">
        <v>45351</v>
      </c>
      <c r="D429" t="inlineStr">
        <is>
          <t>UPPSALA LÄN</t>
        </is>
      </c>
      <c r="E429" t="inlineStr">
        <is>
          <t>UPPSALA</t>
        </is>
      </c>
      <c r="G429" t="n">
        <v>2.1</v>
      </c>
      <c r="H429" t="n">
        <v>0</v>
      </c>
      <c r="I429" t="n">
        <v>0</v>
      </c>
      <c r="J429" t="n">
        <v>0</v>
      </c>
      <c r="K429" t="n">
        <v>0</v>
      </c>
      <c r="L429" t="n">
        <v>0</v>
      </c>
      <c r="M429" t="n">
        <v>0</v>
      </c>
      <c r="N429" t="n">
        <v>0</v>
      </c>
      <c r="O429" t="n">
        <v>0</v>
      </c>
      <c r="P429" t="n">
        <v>0</v>
      </c>
      <c r="Q429" t="n">
        <v>0</v>
      </c>
      <c r="R429" s="2" t="inlineStr"/>
    </row>
    <row r="430" ht="15" customHeight="1">
      <c r="A430" t="inlineStr">
        <is>
          <t>A 11174-2020</t>
        </is>
      </c>
      <c r="B430" s="1" t="n">
        <v>43891</v>
      </c>
      <c r="C430" s="1" t="n">
        <v>45351</v>
      </c>
      <c r="D430" t="inlineStr">
        <is>
          <t>UPPSALA LÄN</t>
        </is>
      </c>
      <c r="E430" t="inlineStr">
        <is>
          <t>UPPSALA</t>
        </is>
      </c>
      <c r="F430" t="inlineStr">
        <is>
          <t>Övriga statliga verk och myndigheter</t>
        </is>
      </c>
      <c r="G430" t="n">
        <v>2.8</v>
      </c>
      <c r="H430" t="n">
        <v>0</v>
      </c>
      <c r="I430" t="n">
        <v>0</v>
      </c>
      <c r="J430" t="n">
        <v>0</v>
      </c>
      <c r="K430" t="n">
        <v>0</v>
      </c>
      <c r="L430" t="n">
        <v>0</v>
      </c>
      <c r="M430" t="n">
        <v>0</v>
      </c>
      <c r="N430" t="n">
        <v>0</v>
      </c>
      <c r="O430" t="n">
        <v>0</v>
      </c>
      <c r="P430" t="n">
        <v>0</v>
      </c>
      <c r="Q430" t="n">
        <v>0</v>
      </c>
      <c r="R430" s="2" t="inlineStr"/>
    </row>
    <row r="431" ht="15" customHeight="1">
      <c r="A431" t="inlineStr">
        <is>
          <t>A 12626-2020</t>
        </is>
      </c>
      <c r="B431" s="1" t="n">
        <v>43892</v>
      </c>
      <c r="C431" s="1" t="n">
        <v>45351</v>
      </c>
      <c r="D431" t="inlineStr">
        <is>
          <t>UPPSALA LÄN</t>
        </is>
      </c>
      <c r="E431" t="inlineStr">
        <is>
          <t>UPPSALA</t>
        </is>
      </c>
      <c r="G431" t="n">
        <v>11.4</v>
      </c>
      <c r="H431" t="n">
        <v>0</v>
      </c>
      <c r="I431" t="n">
        <v>0</v>
      </c>
      <c r="J431" t="n">
        <v>0</v>
      </c>
      <c r="K431" t="n">
        <v>0</v>
      </c>
      <c r="L431" t="n">
        <v>0</v>
      </c>
      <c r="M431" t="n">
        <v>0</v>
      </c>
      <c r="N431" t="n">
        <v>0</v>
      </c>
      <c r="O431" t="n">
        <v>0</v>
      </c>
      <c r="P431" t="n">
        <v>0</v>
      </c>
      <c r="Q431" t="n">
        <v>0</v>
      </c>
      <c r="R431" s="2" t="inlineStr"/>
    </row>
    <row r="432" ht="15" customHeight="1">
      <c r="A432" t="inlineStr">
        <is>
          <t>A 11336-2020</t>
        </is>
      </c>
      <c r="B432" s="1" t="n">
        <v>43892</v>
      </c>
      <c r="C432" s="1" t="n">
        <v>45351</v>
      </c>
      <c r="D432" t="inlineStr">
        <is>
          <t>UPPSALA LÄN</t>
        </is>
      </c>
      <c r="E432" t="inlineStr">
        <is>
          <t>UPPSALA</t>
        </is>
      </c>
      <c r="F432" t="inlineStr">
        <is>
          <t>Kyrkan</t>
        </is>
      </c>
      <c r="G432" t="n">
        <v>3.2</v>
      </c>
      <c r="H432" t="n">
        <v>0</v>
      </c>
      <c r="I432" t="n">
        <v>0</v>
      </c>
      <c r="J432" t="n">
        <v>0</v>
      </c>
      <c r="K432" t="n">
        <v>0</v>
      </c>
      <c r="L432" t="n">
        <v>0</v>
      </c>
      <c r="M432" t="n">
        <v>0</v>
      </c>
      <c r="N432" t="n">
        <v>0</v>
      </c>
      <c r="O432" t="n">
        <v>0</v>
      </c>
      <c r="P432" t="n">
        <v>0</v>
      </c>
      <c r="Q432" t="n">
        <v>0</v>
      </c>
      <c r="R432" s="2" t="inlineStr"/>
    </row>
    <row r="433" ht="15" customHeight="1">
      <c r="A433" t="inlineStr">
        <is>
          <t>A 11320-2020</t>
        </is>
      </c>
      <c r="B433" s="1" t="n">
        <v>43892</v>
      </c>
      <c r="C433" s="1" t="n">
        <v>45351</v>
      </c>
      <c r="D433" t="inlineStr">
        <is>
          <t>UPPSALA LÄN</t>
        </is>
      </c>
      <c r="E433" t="inlineStr">
        <is>
          <t>UPPSALA</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12028-2020</t>
        </is>
      </c>
      <c r="B434" s="1" t="n">
        <v>43894</v>
      </c>
      <c r="C434" s="1" t="n">
        <v>45351</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12055-2020</t>
        </is>
      </c>
      <c r="B435" s="1" t="n">
        <v>43894</v>
      </c>
      <c r="C435" s="1" t="n">
        <v>45351</v>
      </c>
      <c r="D435" t="inlineStr">
        <is>
          <t>UPPSALA LÄN</t>
        </is>
      </c>
      <c r="E435" t="inlineStr">
        <is>
          <t>UPPSALA</t>
        </is>
      </c>
      <c r="G435" t="n">
        <v>6.2</v>
      </c>
      <c r="H435" t="n">
        <v>0</v>
      </c>
      <c r="I435" t="n">
        <v>0</v>
      </c>
      <c r="J435" t="n">
        <v>0</v>
      </c>
      <c r="K435" t="n">
        <v>0</v>
      </c>
      <c r="L435" t="n">
        <v>0</v>
      </c>
      <c r="M435" t="n">
        <v>0</v>
      </c>
      <c r="N435" t="n">
        <v>0</v>
      </c>
      <c r="O435" t="n">
        <v>0</v>
      </c>
      <c r="P435" t="n">
        <v>0</v>
      </c>
      <c r="Q435" t="n">
        <v>0</v>
      </c>
      <c r="R435" s="2" t="inlineStr"/>
    </row>
    <row r="436" ht="15" customHeight="1">
      <c r="A436" t="inlineStr">
        <is>
          <t>A 12848-2020</t>
        </is>
      </c>
      <c r="B436" s="1" t="n">
        <v>43899</v>
      </c>
      <c r="C436" s="1" t="n">
        <v>45351</v>
      </c>
      <c r="D436" t="inlineStr">
        <is>
          <t>UPPSALA LÄN</t>
        </is>
      </c>
      <c r="E436" t="inlineStr">
        <is>
          <t>UPPSALA</t>
        </is>
      </c>
      <c r="G436" t="n">
        <v>10.3</v>
      </c>
      <c r="H436" t="n">
        <v>0</v>
      </c>
      <c r="I436" t="n">
        <v>0</v>
      </c>
      <c r="J436" t="n">
        <v>0</v>
      </c>
      <c r="K436" t="n">
        <v>0</v>
      </c>
      <c r="L436" t="n">
        <v>0</v>
      </c>
      <c r="M436" t="n">
        <v>0</v>
      </c>
      <c r="N436" t="n">
        <v>0</v>
      </c>
      <c r="O436" t="n">
        <v>0</v>
      </c>
      <c r="P436" t="n">
        <v>0</v>
      </c>
      <c r="Q436" t="n">
        <v>0</v>
      </c>
      <c r="R436" s="2" t="inlineStr"/>
    </row>
    <row r="437" ht="15" customHeight="1">
      <c r="A437" t="inlineStr">
        <is>
          <t>A 12781-2020</t>
        </is>
      </c>
      <c r="B437" s="1" t="n">
        <v>43899</v>
      </c>
      <c r="C437" s="1" t="n">
        <v>45351</v>
      </c>
      <c r="D437" t="inlineStr">
        <is>
          <t>UPPSALA LÄN</t>
        </is>
      </c>
      <c r="E437" t="inlineStr">
        <is>
          <t>UPPSALA</t>
        </is>
      </c>
      <c r="F437" t="inlineStr">
        <is>
          <t>Kyrkan</t>
        </is>
      </c>
      <c r="G437" t="n">
        <v>0.7</v>
      </c>
      <c r="H437" t="n">
        <v>0</v>
      </c>
      <c r="I437" t="n">
        <v>0</v>
      </c>
      <c r="J437" t="n">
        <v>0</v>
      </c>
      <c r="K437" t="n">
        <v>0</v>
      </c>
      <c r="L437" t="n">
        <v>0</v>
      </c>
      <c r="M437" t="n">
        <v>0</v>
      </c>
      <c r="N437" t="n">
        <v>0</v>
      </c>
      <c r="O437" t="n">
        <v>0</v>
      </c>
      <c r="P437" t="n">
        <v>0</v>
      </c>
      <c r="Q437" t="n">
        <v>0</v>
      </c>
      <c r="R437" s="2" t="inlineStr"/>
    </row>
    <row r="438" ht="15" customHeight="1">
      <c r="A438" t="inlineStr">
        <is>
          <t>A 13636-2020</t>
        </is>
      </c>
      <c r="B438" s="1" t="n">
        <v>43903</v>
      </c>
      <c r="C438" s="1" t="n">
        <v>45351</v>
      </c>
      <c r="D438" t="inlineStr">
        <is>
          <t>UPPSALA LÄN</t>
        </is>
      </c>
      <c r="E438" t="inlineStr">
        <is>
          <t>UPPSALA</t>
        </is>
      </c>
      <c r="G438" t="n">
        <v>2.7</v>
      </c>
      <c r="H438" t="n">
        <v>0</v>
      </c>
      <c r="I438" t="n">
        <v>0</v>
      </c>
      <c r="J438" t="n">
        <v>0</v>
      </c>
      <c r="K438" t="n">
        <v>0</v>
      </c>
      <c r="L438" t="n">
        <v>0</v>
      </c>
      <c r="M438" t="n">
        <v>0</v>
      </c>
      <c r="N438" t="n">
        <v>0</v>
      </c>
      <c r="O438" t="n">
        <v>0</v>
      </c>
      <c r="P438" t="n">
        <v>0</v>
      </c>
      <c r="Q438" t="n">
        <v>0</v>
      </c>
      <c r="R438" s="2" t="inlineStr"/>
    </row>
    <row r="439" ht="15" customHeight="1">
      <c r="A439" t="inlineStr">
        <is>
          <t>A 14469-2020</t>
        </is>
      </c>
      <c r="B439" s="1" t="n">
        <v>43908</v>
      </c>
      <c r="C439" s="1" t="n">
        <v>45351</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14423-2020</t>
        </is>
      </c>
      <c r="B440" s="1" t="n">
        <v>43908</v>
      </c>
      <c r="C440" s="1" t="n">
        <v>45351</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14472-2020</t>
        </is>
      </c>
      <c r="B441" s="1" t="n">
        <v>43908</v>
      </c>
      <c r="C441" s="1" t="n">
        <v>45351</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14427-2020</t>
        </is>
      </c>
      <c r="B442" s="1" t="n">
        <v>43908</v>
      </c>
      <c r="C442" s="1" t="n">
        <v>45351</v>
      </c>
      <c r="D442" t="inlineStr">
        <is>
          <t>UPPSALA LÄN</t>
        </is>
      </c>
      <c r="E442" t="inlineStr">
        <is>
          <t>UPPSALA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15344-2020</t>
        </is>
      </c>
      <c r="B443" s="1" t="n">
        <v>43913</v>
      </c>
      <c r="C443" s="1" t="n">
        <v>45351</v>
      </c>
      <c r="D443" t="inlineStr">
        <is>
          <t>UPPSALA LÄN</t>
        </is>
      </c>
      <c r="E443" t="inlineStr">
        <is>
          <t>UPPSALA</t>
        </is>
      </c>
      <c r="F443" t="inlineStr">
        <is>
          <t>Holmen skog AB</t>
        </is>
      </c>
      <c r="G443" t="n">
        <v>3.4</v>
      </c>
      <c r="H443" t="n">
        <v>0</v>
      </c>
      <c r="I443" t="n">
        <v>0</v>
      </c>
      <c r="J443" t="n">
        <v>0</v>
      </c>
      <c r="K443" t="n">
        <v>0</v>
      </c>
      <c r="L443" t="n">
        <v>0</v>
      </c>
      <c r="M443" t="n">
        <v>0</v>
      </c>
      <c r="N443" t="n">
        <v>0</v>
      </c>
      <c r="O443" t="n">
        <v>0</v>
      </c>
      <c r="P443" t="n">
        <v>0</v>
      </c>
      <c r="Q443" t="n">
        <v>0</v>
      </c>
      <c r="R443" s="2" t="inlineStr"/>
    </row>
    <row r="444" ht="15" customHeight="1">
      <c r="A444" t="inlineStr">
        <is>
          <t>A 18106-2020</t>
        </is>
      </c>
      <c r="B444" s="1" t="n">
        <v>43927</v>
      </c>
      <c r="C444" s="1" t="n">
        <v>45351</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18114-2020</t>
        </is>
      </c>
      <c r="B445" s="1" t="n">
        <v>43927</v>
      </c>
      <c r="C445" s="1" t="n">
        <v>45351</v>
      </c>
      <c r="D445" t="inlineStr">
        <is>
          <t>UPPSALA LÄN</t>
        </is>
      </c>
      <c r="E445" t="inlineStr">
        <is>
          <t>UPPSALA</t>
        </is>
      </c>
      <c r="G445" t="n">
        <v>1.6</v>
      </c>
      <c r="H445" t="n">
        <v>0</v>
      </c>
      <c r="I445" t="n">
        <v>0</v>
      </c>
      <c r="J445" t="n">
        <v>0</v>
      </c>
      <c r="K445" t="n">
        <v>0</v>
      </c>
      <c r="L445" t="n">
        <v>0</v>
      </c>
      <c r="M445" t="n">
        <v>0</v>
      </c>
      <c r="N445" t="n">
        <v>0</v>
      </c>
      <c r="O445" t="n">
        <v>0</v>
      </c>
      <c r="P445" t="n">
        <v>0</v>
      </c>
      <c r="Q445" t="n">
        <v>0</v>
      </c>
      <c r="R445" s="2" t="inlineStr"/>
    </row>
    <row r="446" ht="15" customHeight="1">
      <c r="A446" t="inlineStr">
        <is>
          <t>A 18469-2020</t>
        </is>
      </c>
      <c r="B446" s="1" t="n">
        <v>43929</v>
      </c>
      <c r="C446" s="1" t="n">
        <v>45351</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19210-2020</t>
        </is>
      </c>
      <c r="B447" s="1" t="n">
        <v>43937</v>
      </c>
      <c r="C447" s="1" t="n">
        <v>45351</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20218-2020</t>
        </is>
      </c>
      <c r="B448" s="1" t="n">
        <v>43944</v>
      </c>
      <c r="C448" s="1" t="n">
        <v>45351</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20506-2020</t>
        </is>
      </c>
      <c r="B449" s="1" t="n">
        <v>43948</v>
      </c>
      <c r="C449" s="1" t="n">
        <v>45351</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20490-2020</t>
        </is>
      </c>
      <c r="B450" s="1" t="n">
        <v>43948</v>
      </c>
      <c r="C450" s="1" t="n">
        <v>45351</v>
      </c>
      <c r="D450" t="inlineStr">
        <is>
          <t>UPPSALA LÄN</t>
        </is>
      </c>
      <c r="E450" t="inlineStr">
        <is>
          <t>UPPSALA</t>
        </is>
      </c>
      <c r="G450" t="n">
        <v>2.8</v>
      </c>
      <c r="H450" t="n">
        <v>0</v>
      </c>
      <c r="I450" t="n">
        <v>0</v>
      </c>
      <c r="J450" t="n">
        <v>0</v>
      </c>
      <c r="K450" t="n">
        <v>0</v>
      </c>
      <c r="L450" t="n">
        <v>0</v>
      </c>
      <c r="M450" t="n">
        <v>0</v>
      </c>
      <c r="N450" t="n">
        <v>0</v>
      </c>
      <c r="O450" t="n">
        <v>0</v>
      </c>
      <c r="P450" t="n">
        <v>0</v>
      </c>
      <c r="Q450" t="n">
        <v>0</v>
      </c>
      <c r="R450" s="2" t="inlineStr"/>
    </row>
    <row r="451" ht="15" customHeight="1">
      <c r="A451" t="inlineStr">
        <is>
          <t>A 20960-2020</t>
        </is>
      </c>
      <c r="B451" s="1" t="n">
        <v>43950</v>
      </c>
      <c r="C451" s="1" t="n">
        <v>45351</v>
      </c>
      <c r="D451" t="inlineStr">
        <is>
          <t>UPPSALA LÄN</t>
        </is>
      </c>
      <c r="E451" t="inlineStr">
        <is>
          <t>UPPSALA</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24300-2020</t>
        </is>
      </c>
      <c r="B452" s="1" t="n">
        <v>43973</v>
      </c>
      <c r="C452" s="1" t="n">
        <v>45351</v>
      </c>
      <c r="D452" t="inlineStr">
        <is>
          <t>UPPSALA LÄN</t>
        </is>
      </c>
      <c r="E452" t="inlineStr">
        <is>
          <t>UPPSALA</t>
        </is>
      </c>
      <c r="F452" t="inlineStr">
        <is>
          <t>Övriga Aktiebolag</t>
        </is>
      </c>
      <c r="G452" t="n">
        <v>0.3</v>
      </c>
      <c r="H452" t="n">
        <v>0</v>
      </c>
      <c r="I452" t="n">
        <v>0</v>
      </c>
      <c r="J452" t="n">
        <v>0</v>
      </c>
      <c r="K452" t="n">
        <v>0</v>
      </c>
      <c r="L452" t="n">
        <v>0</v>
      </c>
      <c r="M452" t="n">
        <v>0</v>
      </c>
      <c r="N452" t="n">
        <v>0</v>
      </c>
      <c r="O452" t="n">
        <v>0</v>
      </c>
      <c r="P452" t="n">
        <v>0</v>
      </c>
      <c r="Q452" t="n">
        <v>0</v>
      </c>
      <c r="R452" s="2" t="inlineStr"/>
    </row>
    <row r="453" ht="15" customHeight="1">
      <c r="A453" t="inlineStr">
        <is>
          <t>A 24287-2020</t>
        </is>
      </c>
      <c r="B453" s="1" t="n">
        <v>43976</v>
      </c>
      <c r="C453" s="1" t="n">
        <v>45351</v>
      </c>
      <c r="D453" t="inlineStr">
        <is>
          <t>UPPSALA LÄN</t>
        </is>
      </c>
      <c r="E453" t="inlineStr">
        <is>
          <t>UPPSALA</t>
        </is>
      </c>
      <c r="G453" t="n">
        <v>1</v>
      </c>
      <c r="H453" t="n">
        <v>0</v>
      </c>
      <c r="I453" t="n">
        <v>0</v>
      </c>
      <c r="J453" t="n">
        <v>0</v>
      </c>
      <c r="K453" t="n">
        <v>0</v>
      </c>
      <c r="L453" t="n">
        <v>0</v>
      </c>
      <c r="M453" t="n">
        <v>0</v>
      </c>
      <c r="N453" t="n">
        <v>0</v>
      </c>
      <c r="O453" t="n">
        <v>0</v>
      </c>
      <c r="P453" t="n">
        <v>0</v>
      </c>
      <c r="Q453" t="n">
        <v>0</v>
      </c>
      <c r="R453" s="2" t="inlineStr"/>
    </row>
    <row r="454" ht="15" customHeight="1">
      <c r="A454" t="inlineStr">
        <is>
          <t>A 25798-2020</t>
        </is>
      </c>
      <c r="B454" s="1" t="n">
        <v>43984</v>
      </c>
      <c r="C454" s="1" t="n">
        <v>45351</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26488-2020</t>
        </is>
      </c>
      <c r="B455" s="1" t="n">
        <v>43987</v>
      </c>
      <c r="C455" s="1" t="n">
        <v>45351</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26492-2020</t>
        </is>
      </c>
      <c r="B456" s="1" t="n">
        <v>43987</v>
      </c>
      <c r="C456" s="1" t="n">
        <v>45351</v>
      </c>
      <c r="D456" t="inlineStr">
        <is>
          <t>UPPSALA LÄN</t>
        </is>
      </c>
      <c r="E456" t="inlineStr">
        <is>
          <t>UPPSALA</t>
        </is>
      </c>
      <c r="G456" t="n">
        <v>9.5</v>
      </c>
      <c r="H456" t="n">
        <v>0</v>
      </c>
      <c r="I456" t="n">
        <v>0</v>
      </c>
      <c r="J456" t="n">
        <v>0</v>
      </c>
      <c r="K456" t="n">
        <v>0</v>
      </c>
      <c r="L456" t="n">
        <v>0</v>
      </c>
      <c r="M456" t="n">
        <v>0</v>
      </c>
      <c r="N456" t="n">
        <v>0</v>
      </c>
      <c r="O456" t="n">
        <v>0</v>
      </c>
      <c r="P456" t="n">
        <v>0</v>
      </c>
      <c r="Q456" t="n">
        <v>0</v>
      </c>
      <c r="R456" s="2" t="inlineStr"/>
    </row>
    <row r="457" ht="15" customHeight="1">
      <c r="A457" t="inlineStr">
        <is>
          <t>A 26856-2020</t>
        </is>
      </c>
      <c r="B457" s="1" t="n">
        <v>43990</v>
      </c>
      <c r="C457" s="1" t="n">
        <v>45351</v>
      </c>
      <c r="D457" t="inlineStr">
        <is>
          <t>UPPSALA LÄN</t>
        </is>
      </c>
      <c r="E457" t="inlineStr">
        <is>
          <t>UPPSALA</t>
        </is>
      </c>
      <c r="G457" t="n">
        <v>1.5</v>
      </c>
      <c r="H457" t="n">
        <v>0</v>
      </c>
      <c r="I457" t="n">
        <v>0</v>
      </c>
      <c r="J457" t="n">
        <v>0</v>
      </c>
      <c r="K457" t="n">
        <v>0</v>
      </c>
      <c r="L457" t="n">
        <v>0</v>
      </c>
      <c r="M457" t="n">
        <v>0</v>
      </c>
      <c r="N457" t="n">
        <v>0</v>
      </c>
      <c r="O457" t="n">
        <v>0</v>
      </c>
      <c r="P457" t="n">
        <v>0</v>
      </c>
      <c r="Q457" t="n">
        <v>0</v>
      </c>
      <c r="R457" s="2" t="inlineStr"/>
    </row>
    <row r="458" ht="15" customHeight="1">
      <c r="A458" t="inlineStr">
        <is>
          <t>A 28565-2020</t>
        </is>
      </c>
      <c r="B458" s="1" t="n">
        <v>43999</v>
      </c>
      <c r="C458" s="1" t="n">
        <v>45351</v>
      </c>
      <c r="D458" t="inlineStr">
        <is>
          <t>UPPSALA LÄN</t>
        </is>
      </c>
      <c r="E458" t="inlineStr">
        <is>
          <t>UPPSALA</t>
        </is>
      </c>
      <c r="G458" t="n">
        <v>2.7</v>
      </c>
      <c r="H458" t="n">
        <v>0</v>
      </c>
      <c r="I458" t="n">
        <v>0</v>
      </c>
      <c r="J458" t="n">
        <v>0</v>
      </c>
      <c r="K458" t="n">
        <v>0</v>
      </c>
      <c r="L458" t="n">
        <v>0</v>
      </c>
      <c r="M458" t="n">
        <v>0</v>
      </c>
      <c r="N458" t="n">
        <v>0</v>
      </c>
      <c r="O458" t="n">
        <v>0</v>
      </c>
      <c r="P458" t="n">
        <v>0</v>
      </c>
      <c r="Q458" t="n">
        <v>0</v>
      </c>
      <c r="R458" s="2" t="inlineStr"/>
    </row>
    <row r="459" ht="15" customHeight="1">
      <c r="A459" t="inlineStr">
        <is>
          <t>A 28514-2020</t>
        </is>
      </c>
      <c r="B459" s="1" t="n">
        <v>43999</v>
      </c>
      <c r="C459" s="1" t="n">
        <v>45351</v>
      </c>
      <c r="D459" t="inlineStr">
        <is>
          <t>UPPSALA LÄN</t>
        </is>
      </c>
      <c r="E459" t="inlineStr">
        <is>
          <t>UPPSALA</t>
        </is>
      </c>
      <c r="G459" t="n">
        <v>3.6</v>
      </c>
      <c r="H459" t="n">
        <v>0</v>
      </c>
      <c r="I459" t="n">
        <v>0</v>
      </c>
      <c r="J459" t="n">
        <v>0</v>
      </c>
      <c r="K459" t="n">
        <v>0</v>
      </c>
      <c r="L459" t="n">
        <v>0</v>
      </c>
      <c r="M459" t="n">
        <v>0</v>
      </c>
      <c r="N459" t="n">
        <v>0</v>
      </c>
      <c r="O459" t="n">
        <v>0</v>
      </c>
      <c r="P459" t="n">
        <v>0</v>
      </c>
      <c r="Q459" t="n">
        <v>0</v>
      </c>
      <c r="R459" s="2" t="inlineStr"/>
    </row>
    <row r="460" ht="15" customHeight="1">
      <c r="A460" t="inlineStr">
        <is>
          <t>A 28993-2020</t>
        </is>
      </c>
      <c r="B460" s="1" t="n">
        <v>44000</v>
      </c>
      <c r="C460" s="1" t="n">
        <v>45351</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29034-2020</t>
        </is>
      </c>
      <c r="B461" s="1" t="n">
        <v>44000</v>
      </c>
      <c r="C461" s="1" t="n">
        <v>45351</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30196-2020</t>
        </is>
      </c>
      <c r="B462" s="1" t="n">
        <v>44007</v>
      </c>
      <c r="C462" s="1" t="n">
        <v>45351</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30208-2020</t>
        </is>
      </c>
      <c r="B463" s="1" t="n">
        <v>44007</v>
      </c>
      <c r="C463" s="1" t="n">
        <v>45351</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31219-2020</t>
        </is>
      </c>
      <c r="B464" s="1" t="n">
        <v>44012</v>
      </c>
      <c r="C464" s="1" t="n">
        <v>45351</v>
      </c>
      <c r="D464" t="inlineStr">
        <is>
          <t>UPPSALA LÄN</t>
        </is>
      </c>
      <c r="E464" t="inlineStr">
        <is>
          <t>UPPSALA</t>
        </is>
      </c>
      <c r="F464" t="inlineStr">
        <is>
          <t>Bergvik skog öst AB</t>
        </is>
      </c>
      <c r="G464" t="n">
        <v>7.4</v>
      </c>
      <c r="H464" t="n">
        <v>0</v>
      </c>
      <c r="I464" t="n">
        <v>0</v>
      </c>
      <c r="J464" t="n">
        <v>0</v>
      </c>
      <c r="K464" t="n">
        <v>0</v>
      </c>
      <c r="L464" t="n">
        <v>0</v>
      </c>
      <c r="M464" t="n">
        <v>0</v>
      </c>
      <c r="N464" t="n">
        <v>0</v>
      </c>
      <c r="O464" t="n">
        <v>0</v>
      </c>
      <c r="P464" t="n">
        <v>0</v>
      </c>
      <c r="Q464" t="n">
        <v>0</v>
      </c>
      <c r="R464" s="2" t="inlineStr"/>
    </row>
    <row r="465" ht="15" customHeight="1">
      <c r="A465" t="inlineStr">
        <is>
          <t>A 31430-2020</t>
        </is>
      </c>
      <c r="B465" s="1" t="n">
        <v>44013</v>
      </c>
      <c r="C465" s="1" t="n">
        <v>45351</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31932-2020</t>
        </is>
      </c>
      <c r="B466" s="1" t="n">
        <v>44014</v>
      </c>
      <c r="C466" s="1" t="n">
        <v>45351</v>
      </c>
      <c r="D466" t="inlineStr">
        <is>
          <t>UPPSALA LÄN</t>
        </is>
      </c>
      <c r="E466" t="inlineStr">
        <is>
          <t>UPPSALA</t>
        </is>
      </c>
      <c r="G466" t="n">
        <v>5.6</v>
      </c>
      <c r="H466" t="n">
        <v>0</v>
      </c>
      <c r="I466" t="n">
        <v>0</v>
      </c>
      <c r="J466" t="n">
        <v>0</v>
      </c>
      <c r="K466" t="n">
        <v>0</v>
      </c>
      <c r="L466" t="n">
        <v>0</v>
      </c>
      <c r="M466" t="n">
        <v>0</v>
      </c>
      <c r="N466" t="n">
        <v>0</v>
      </c>
      <c r="O466" t="n">
        <v>0</v>
      </c>
      <c r="P466" t="n">
        <v>0</v>
      </c>
      <c r="Q466" t="n">
        <v>0</v>
      </c>
      <c r="R466" s="2" t="inlineStr"/>
    </row>
    <row r="467" ht="15" customHeight="1">
      <c r="A467" t="inlineStr">
        <is>
          <t>A 32235-2020</t>
        </is>
      </c>
      <c r="B467" s="1" t="n">
        <v>44015</v>
      </c>
      <c r="C467" s="1" t="n">
        <v>45351</v>
      </c>
      <c r="D467" t="inlineStr">
        <is>
          <t>UPPSALA LÄN</t>
        </is>
      </c>
      <c r="E467" t="inlineStr">
        <is>
          <t>UPPSALA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32340-2020</t>
        </is>
      </c>
      <c r="B468" s="1" t="n">
        <v>44016</v>
      </c>
      <c r="C468" s="1" t="n">
        <v>45351</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32608-2020</t>
        </is>
      </c>
      <c r="B469" s="1" t="n">
        <v>44019</v>
      </c>
      <c r="C469" s="1" t="n">
        <v>45351</v>
      </c>
      <c r="D469" t="inlineStr">
        <is>
          <t>UPPSALA LÄN</t>
        </is>
      </c>
      <c r="E469" t="inlineStr">
        <is>
          <t>UPPSALA</t>
        </is>
      </c>
      <c r="F469" t="inlineStr">
        <is>
          <t>Bergvik skog öst AB</t>
        </is>
      </c>
      <c r="G469" t="n">
        <v>5.7</v>
      </c>
      <c r="H469" t="n">
        <v>0</v>
      </c>
      <c r="I469" t="n">
        <v>0</v>
      </c>
      <c r="J469" t="n">
        <v>0</v>
      </c>
      <c r="K469" t="n">
        <v>0</v>
      </c>
      <c r="L469" t="n">
        <v>0</v>
      </c>
      <c r="M469" t="n">
        <v>0</v>
      </c>
      <c r="N469" t="n">
        <v>0</v>
      </c>
      <c r="O469" t="n">
        <v>0</v>
      </c>
      <c r="P469" t="n">
        <v>0</v>
      </c>
      <c r="Q469" t="n">
        <v>0</v>
      </c>
      <c r="R469" s="2" t="inlineStr"/>
    </row>
    <row r="470" ht="15" customHeight="1">
      <c r="A470" t="inlineStr">
        <is>
          <t>A 33658-2020</t>
        </is>
      </c>
      <c r="B470" s="1" t="n">
        <v>44026</v>
      </c>
      <c r="C470" s="1" t="n">
        <v>45351</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34205-2020</t>
        </is>
      </c>
      <c r="B471" s="1" t="n">
        <v>44029</v>
      </c>
      <c r="C471" s="1" t="n">
        <v>45351</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34565-2020</t>
        </is>
      </c>
      <c r="B472" s="1" t="n">
        <v>44033</v>
      </c>
      <c r="C472" s="1" t="n">
        <v>45351</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34753-2020</t>
        </is>
      </c>
      <c r="B473" s="1" t="n">
        <v>44035</v>
      </c>
      <c r="C473" s="1" t="n">
        <v>45351</v>
      </c>
      <c r="D473" t="inlineStr">
        <is>
          <t>UPPSALA LÄN</t>
        </is>
      </c>
      <c r="E473" t="inlineStr">
        <is>
          <t>UPPSALA</t>
        </is>
      </c>
      <c r="G473" t="n">
        <v>2.7</v>
      </c>
      <c r="H473" t="n">
        <v>0</v>
      </c>
      <c r="I473" t="n">
        <v>0</v>
      </c>
      <c r="J473" t="n">
        <v>0</v>
      </c>
      <c r="K473" t="n">
        <v>0</v>
      </c>
      <c r="L473" t="n">
        <v>0</v>
      </c>
      <c r="M473" t="n">
        <v>0</v>
      </c>
      <c r="N473" t="n">
        <v>0</v>
      </c>
      <c r="O473" t="n">
        <v>0</v>
      </c>
      <c r="P473" t="n">
        <v>0</v>
      </c>
      <c r="Q473" t="n">
        <v>0</v>
      </c>
      <c r="R473" s="2" t="inlineStr"/>
    </row>
    <row r="474" ht="15" customHeight="1">
      <c r="A474" t="inlineStr">
        <is>
          <t>A 34749-2020</t>
        </is>
      </c>
      <c r="B474" s="1" t="n">
        <v>44035</v>
      </c>
      <c r="C474" s="1" t="n">
        <v>45351</v>
      </c>
      <c r="D474" t="inlineStr">
        <is>
          <t>UPPSALA LÄN</t>
        </is>
      </c>
      <c r="E474" t="inlineStr">
        <is>
          <t>UPPSALA</t>
        </is>
      </c>
      <c r="G474" t="n">
        <v>5.5</v>
      </c>
      <c r="H474" t="n">
        <v>0</v>
      </c>
      <c r="I474" t="n">
        <v>0</v>
      </c>
      <c r="J474" t="n">
        <v>0</v>
      </c>
      <c r="K474" t="n">
        <v>0</v>
      </c>
      <c r="L474" t="n">
        <v>0</v>
      </c>
      <c r="M474" t="n">
        <v>0</v>
      </c>
      <c r="N474" t="n">
        <v>0</v>
      </c>
      <c r="O474" t="n">
        <v>0</v>
      </c>
      <c r="P474" t="n">
        <v>0</v>
      </c>
      <c r="Q474" t="n">
        <v>0</v>
      </c>
      <c r="R474" s="2" t="inlineStr"/>
    </row>
    <row r="475" ht="15" customHeight="1">
      <c r="A475" t="inlineStr">
        <is>
          <t>A 35281-2020</t>
        </is>
      </c>
      <c r="B475" s="1" t="n">
        <v>44041</v>
      </c>
      <c r="C475" s="1" t="n">
        <v>45351</v>
      </c>
      <c r="D475" t="inlineStr">
        <is>
          <t>UPPSALA LÄN</t>
        </is>
      </c>
      <c r="E475" t="inlineStr">
        <is>
          <t>UPPSALA</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36035-2020</t>
        </is>
      </c>
      <c r="B476" s="1" t="n">
        <v>44048</v>
      </c>
      <c r="C476" s="1" t="n">
        <v>45351</v>
      </c>
      <c r="D476" t="inlineStr">
        <is>
          <t>UPPSALA LÄN</t>
        </is>
      </c>
      <c r="E476" t="inlineStr">
        <is>
          <t>UPPSALA</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36202-2020</t>
        </is>
      </c>
      <c r="B477" s="1" t="n">
        <v>44048</v>
      </c>
      <c r="C477" s="1" t="n">
        <v>45351</v>
      </c>
      <c r="D477" t="inlineStr">
        <is>
          <t>UPPSALA LÄN</t>
        </is>
      </c>
      <c r="E477" t="inlineStr">
        <is>
          <t>UPPSALA</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36198-2020</t>
        </is>
      </c>
      <c r="B478" s="1" t="n">
        <v>44048</v>
      </c>
      <c r="C478" s="1" t="n">
        <v>45351</v>
      </c>
      <c r="D478" t="inlineStr">
        <is>
          <t>UPPSALA LÄN</t>
        </is>
      </c>
      <c r="E478" t="inlineStr">
        <is>
          <t>UPPSALA</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36350-2020</t>
        </is>
      </c>
      <c r="B479" s="1" t="n">
        <v>44049</v>
      </c>
      <c r="C479" s="1" t="n">
        <v>45351</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36512-2020</t>
        </is>
      </c>
      <c r="B480" s="1" t="n">
        <v>44050</v>
      </c>
      <c r="C480" s="1" t="n">
        <v>45351</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37276-2020</t>
        </is>
      </c>
      <c r="B481" s="1" t="n">
        <v>44055</v>
      </c>
      <c r="C481" s="1" t="n">
        <v>45351</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37669-2020</t>
        </is>
      </c>
      <c r="B482" s="1" t="n">
        <v>44056</v>
      </c>
      <c r="C482" s="1" t="n">
        <v>45351</v>
      </c>
      <c r="D482" t="inlineStr">
        <is>
          <t>UPPSALA LÄN</t>
        </is>
      </c>
      <c r="E482" t="inlineStr">
        <is>
          <t>UPPSALA</t>
        </is>
      </c>
      <c r="G482" t="n">
        <v>5.1</v>
      </c>
      <c r="H482" t="n">
        <v>0</v>
      </c>
      <c r="I482" t="n">
        <v>0</v>
      </c>
      <c r="J482" t="n">
        <v>0</v>
      </c>
      <c r="K482" t="n">
        <v>0</v>
      </c>
      <c r="L482" t="n">
        <v>0</v>
      </c>
      <c r="M482" t="n">
        <v>0</v>
      </c>
      <c r="N482" t="n">
        <v>0</v>
      </c>
      <c r="O482" t="n">
        <v>0</v>
      </c>
      <c r="P482" t="n">
        <v>0</v>
      </c>
      <c r="Q482" t="n">
        <v>0</v>
      </c>
      <c r="R482" s="2" t="inlineStr"/>
    </row>
    <row r="483" ht="15" customHeight="1">
      <c r="A483" t="inlineStr">
        <is>
          <t>A 39233-2020</t>
        </is>
      </c>
      <c r="B483" s="1" t="n">
        <v>44063</v>
      </c>
      <c r="C483" s="1" t="n">
        <v>45351</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39178-2020</t>
        </is>
      </c>
      <c r="B484" s="1" t="n">
        <v>44063</v>
      </c>
      <c r="C484" s="1" t="n">
        <v>45351</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39236-2020</t>
        </is>
      </c>
      <c r="B485" s="1" t="n">
        <v>44063</v>
      </c>
      <c r="C485" s="1" t="n">
        <v>45351</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39272-2020</t>
        </is>
      </c>
      <c r="B486" s="1" t="n">
        <v>44063</v>
      </c>
      <c r="C486" s="1" t="n">
        <v>45351</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40894-2020</t>
        </is>
      </c>
      <c r="B487" s="1" t="n">
        <v>44070</v>
      </c>
      <c r="C487" s="1" t="n">
        <v>45351</v>
      </c>
      <c r="D487" t="inlineStr">
        <is>
          <t>UPPSALA LÄN</t>
        </is>
      </c>
      <c r="E487" t="inlineStr">
        <is>
          <t>UPPSALA</t>
        </is>
      </c>
      <c r="G487" t="n">
        <v>7.1</v>
      </c>
      <c r="H487" t="n">
        <v>0</v>
      </c>
      <c r="I487" t="n">
        <v>0</v>
      </c>
      <c r="J487" t="n">
        <v>0</v>
      </c>
      <c r="K487" t="n">
        <v>0</v>
      </c>
      <c r="L487" t="n">
        <v>0</v>
      </c>
      <c r="M487" t="n">
        <v>0</v>
      </c>
      <c r="N487" t="n">
        <v>0</v>
      </c>
      <c r="O487" t="n">
        <v>0</v>
      </c>
      <c r="P487" t="n">
        <v>0</v>
      </c>
      <c r="Q487" t="n">
        <v>0</v>
      </c>
      <c r="R487" s="2" t="inlineStr"/>
    </row>
    <row r="488" ht="15" customHeight="1">
      <c r="A488" t="inlineStr">
        <is>
          <t>A 42341-2020</t>
        </is>
      </c>
      <c r="B488" s="1" t="n">
        <v>44076</v>
      </c>
      <c r="C488" s="1" t="n">
        <v>45351</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43192-2020</t>
        </is>
      </c>
      <c r="B489" s="1" t="n">
        <v>44081</v>
      </c>
      <c r="C489" s="1" t="n">
        <v>45351</v>
      </c>
      <c r="D489" t="inlineStr">
        <is>
          <t>UPPSALA LÄN</t>
        </is>
      </c>
      <c r="E489" t="inlineStr">
        <is>
          <t>UPPSALA</t>
        </is>
      </c>
      <c r="G489" t="n">
        <v>16.5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45351</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45351</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45351</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45351</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45351</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45351</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45351</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45351</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45351</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45351</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45351</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45351</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45351</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45351</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45351</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45351</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45351</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45351</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45351</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45351</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45351</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45351</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45351</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45351</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45351</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45351</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45351</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45351</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45351</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45351</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45351</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45351</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45351</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45351</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45351</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45351</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45351</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45351</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45351</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45351</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45351</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45351</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45351</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45351</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45351</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45351</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45351</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45351</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45351</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45351</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45351</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45351</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45351</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45351</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45351</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45351</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45351</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45351</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45351</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45351</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45351</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45351</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45351</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45351</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45351</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45351</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45351</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45351</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45351</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45351</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45351</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45351</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45351</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45351</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45351</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45351</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45351</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45351</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45351</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45351</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45351</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45351</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45351</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45351</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45351</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45351</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45351</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45351</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45351</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45351</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45351</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45351</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45351</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45351</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45351</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45351</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45351</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45351</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45351</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45351</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45351</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45351</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45351</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45351</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45351</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45351</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45351</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45351</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45351</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45351</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45351</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45351</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45351</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45351</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45351</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45351</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45351</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45351</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45351</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45351</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45351</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45351</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45351</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45351</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45351</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45351</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45351</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45351</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45351</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45351</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45351</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45351</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45351</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45351</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45351</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45351</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45351</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45351</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45351</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45351</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45351</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45351</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45351</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45351</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45351</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45351</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45351</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45351</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45351</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45351</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45351</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45351</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45351</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45351</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45351</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45351</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45351</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45351</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45351</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45351</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45351</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45351</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45351</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45351</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45351</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45351</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45351</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45351</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45351</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45351</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45351</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45351</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45351</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45351</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45351</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45351</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45351</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45351</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45351</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45351</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45351</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45351</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45351</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45351</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45351</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45351</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45351</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45351</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45351</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45351</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45351</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45351</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45351</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45351</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45351</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45351</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45351</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45351</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45351</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45351</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45351</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45351</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45351</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45351</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45351</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45351</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45351</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45351</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45351</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45351</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45351</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45351</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45351</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45351</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45351</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45351</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45351</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45351</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45351</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45351</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45351</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45351</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45351</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45351</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45351</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45351</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45351</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45351</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45351</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45351</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45351</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45351</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45351</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45351</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45351</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45351</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45351</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45351</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45351</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45351</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45351</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45351</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45351</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45351</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45351</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45351</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45351</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45351</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45351</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45351</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45351</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45351</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45351</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45351</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45351</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45351</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45351</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45351</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45351</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45351</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45351</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45351</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45351</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45351</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45351</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45351</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45351</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45351</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45351</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45351</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45351</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45351</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45351</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45351</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45351</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45351</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45351</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45351</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45351</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45351</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45351</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45351</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45351</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45351</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45351</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45351</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45351</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45351</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45351</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45351</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45351</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45351</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45351</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45351</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45351</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45351</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45351</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45351</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45351</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45351</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45351</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45351</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45351</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45351</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45351</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45351</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45351</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45351</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45351</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45351</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45351</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45351</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45351</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45351</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45351</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45351</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45351</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45351</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45351</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45351</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45351</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45351</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45351</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45351</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45351</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45351</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45351</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45351</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45351</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45351</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45351</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45351</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45351</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45351</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45351</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45351</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45351</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45351</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45351</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45351</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45351</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45351</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45351</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45351</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45351</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45351</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45351</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45351</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45351</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45351</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45351</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45351</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45351</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45351</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45351</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45351</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45351</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45351</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45351</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45351</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45351</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45351</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45351</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45351</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45351</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45351</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45351</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45351</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45351</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45351</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45351</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45351</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45351</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45351</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45351</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45351</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45351</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45351</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45351</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45351</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45351</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45351</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45351</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45351</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45351</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45351</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45351</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45351</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45351</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45351</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45351</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45351</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45351</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45351</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45351</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45351</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45351</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45351</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45351</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45351</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45351</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45351</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45351</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45351</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45351</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45351</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45351</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45351</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45351</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45351</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45351</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45351</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45351</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45351</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45351</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45351</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45351</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45351</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45351</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45351</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45351</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45351</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45351</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45351</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45351</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45351</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45351</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45351</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45351</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45351</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45351</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45351</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45351</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45351</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45351</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45351</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45351</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45351</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45351</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45351</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45351</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45351</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45351</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45351</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45351</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45351</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45351</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45351</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45351</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45351</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45351</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45351</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45351</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45351</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45351</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45351</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45351</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45351</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45351</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45351</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45351</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45351</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45351</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45351</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45351</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45351</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45351</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45351</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45351</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45351</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45351</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45351</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45351</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45351</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45351</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45351</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45351</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45351</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45351</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45351</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45351</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45351</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45351</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45351</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45351</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45351</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45351</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45351</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45351</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45351</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45351</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45351</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45351</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45351</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45351</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45351</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45351</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45351</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45351</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45351</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45351</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45351</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45351</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45351</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45351</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45351</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45351</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45351</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45351</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45351</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45351</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45351</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45351</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45351</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45351</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45351</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45351</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45351</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45351</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45351</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45351</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45351</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45351</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45351</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45351</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45351</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45351</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45351</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45351</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45351</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45351</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45351</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45351</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45351</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45351</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45351</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45351</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45351</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45351</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45351</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45351</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45351</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45351</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45351</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45351</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45351</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45351</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45351</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45351</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45351</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45351</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45351</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45351</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45351</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45351</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45351</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45351</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45351</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45351</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45351</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45351</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45351</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45351</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45351</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45351</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45351</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45351</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45351</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45351</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45351</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45351</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45351</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45351</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45351</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45351</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45351</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45351</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45351</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45351</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45351</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45351</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45351</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45351</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45351</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45351</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45351</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45351</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45351</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45351</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45351</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45351</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45351</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45351</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45351</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45351</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45351</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45351</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45351</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45351</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45351</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45351</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45351</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45351</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45351</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45351</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45351</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45351</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45351</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45351</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45351</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45351</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45351</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45351</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45351</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45351</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45351</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45351</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45351</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45351</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45351</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45351</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45351</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45351</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45351</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45351</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45351</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45351</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45351</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45351</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45351</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45351</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45351</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45351</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45351</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45351</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45351</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45351</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45351</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45351</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45351</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45351</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45351</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45351</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45351</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45351</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45351</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45351</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45351</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45351</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45351</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45351</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45351</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45351</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45351</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45351</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45351</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45351</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45351</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45351</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45351</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45351</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45351</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45351</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45351</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45351</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45351</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45351</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45351</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45351</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45351</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45351</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45351</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45351</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45351</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45351</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45351</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45351</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45351</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45351</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45351</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45351</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45351</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45351</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45351</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45351</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45351</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45351</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45351</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45351</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45351</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45351</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45351</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45351</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45351</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45351</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45351</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45351</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45351</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45351</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45351</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45351</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45351</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45351</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45351</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45351</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45351</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45351</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45351</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45351</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45351</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45351</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45351</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45351</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45351</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45351</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45351</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45351</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45351</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45351</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45351</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45351</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45351</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45351</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45351</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45351</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45351</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45351</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45351</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45351</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45351</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45351</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45351</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45351</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45351</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45351</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45351</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45351</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45351</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45351</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45351</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45351</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45351</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45351</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45351</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45351</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45351</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45351</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45351</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45351</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45351</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45351</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45351</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45351</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45351</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45351</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45351</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45351</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45351</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45351</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45351</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45351</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45351</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45351</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45351</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45351</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45351</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45351</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45351</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45351</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45351</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45351</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45351</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45351</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45351</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45351</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45351</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45351</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45351</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45351</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45351</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45351</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45351</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45351</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45351</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45351</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45351</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45351</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45351</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45351</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45351</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45351</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45351</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45351</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45351</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45351</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45351</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45351</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45351</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45351</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45351</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45351</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45351</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45351</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45351</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45351</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45351</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45351</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45351</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45351</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45351</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45351</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45351</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45351</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45351</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45351</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45351</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45351</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45351</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45351</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45351</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45351</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45351</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45351</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45351</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45351</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45351</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45351</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45351</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45351</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45351</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45351</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45351</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45351</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45351</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45351</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45351</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45351</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45351</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45351</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45351</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45351</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45351</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45351</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45351</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45351</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45351</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45351</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45351</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45351</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45351</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45351</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45351</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45351</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45351</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45351</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45351</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45351</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45351</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45351</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45351</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45351</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45351</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45351</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45351</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45351</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45351</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45351</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45351</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45351</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45351</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45351</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45351</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45351</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45351</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45351</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45351</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45351</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45351</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45351</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45351</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45351</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45351</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45351</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45351</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45351</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45351</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45351</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45351</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45351</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45351</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45351</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45351</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45351</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45351</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45351</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45351</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45351</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45351</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45351</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45351</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45351</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45351</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45351</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45351</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45351</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45351</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45351</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45351</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45351</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45351</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45351</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45351</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45351</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45351</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45351</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45351</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45351</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45351</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45351</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45351</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45351</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45351</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45351</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45351</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45351</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45351</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45351</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45351</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45351</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45351</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45351</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45351</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45351</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45351</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45351</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45351</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45351</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45351</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45351</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45351</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45351</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45351</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45351</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45351</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45351</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45351</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45351</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45351</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45351</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45351</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45351</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45351</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45351</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45351</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4503-2024</t>
        </is>
      </c>
      <c r="B1444" s="1" t="n">
        <v>45327</v>
      </c>
      <c r="C1444" s="1" t="n">
        <v>45351</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4412-2024</t>
        </is>
      </c>
      <c r="B1445" s="1" t="n">
        <v>45327</v>
      </c>
      <c r="C1445" s="1" t="n">
        <v>45351</v>
      </c>
      <c r="D1445" t="inlineStr">
        <is>
          <t>UPPSALA LÄN</t>
        </is>
      </c>
      <c r="E1445" t="inlineStr">
        <is>
          <t>UPPSALA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4425-2024</t>
        </is>
      </c>
      <c r="B1446" s="1" t="n">
        <v>45327</v>
      </c>
      <c r="C1446" s="1" t="n">
        <v>45351</v>
      </c>
      <c r="D1446" t="inlineStr">
        <is>
          <t>UPPSALA LÄN</t>
        </is>
      </c>
      <c r="E1446" t="inlineStr">
        <is>
          <t>UPPSALA</t>
        </is>
      </c>
      <c r="F1446" t="inlineStr">
        <is>
          <t>Allmännings- och besparingsskogar</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4461-2024</t>
        </is>
      </c>
      <c r="B1447" s="1" t="n">
        <v>45327</v>
      </c>
      <c r="C1447" s="1" t="n">
        <v>45351</v>
      </c>
      <c r="D1447" t="inlineStr">
        <is>
          <t>UPPSALA LÄN</t>
        </is>
      </c>
      <c r="E1447" t="inlineStr">
        <is>
          <t>UPPSALA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4509-2024</t>
        </is>
      </c>
      <c r="B1448" s="1" t="n">
        <v>45327</v>
      </c>
      <c r="C1448" s="1" t="n">
        <v>45351</v>
      </c>
      <c r="D1448" t="inlineStr">
        <is>
          <t>UPPSALA LÄN</t>
        </is>
      </c>
      <c r="E1448" t="inlineStr">
        <is>
          <t>UPPSALA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45351</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45351</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45351</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5848-2024</t>
        </is>
      </c>
      <c r="B1452" s="1" t="n">
        <v>45335</v>
      </c>
      <c r="C1452" s="1" t="n">
        <v>45351</v>
      </c>
      <c r="D1452" t="inlineStr">
        <is>
          <t>UPPSALA LÄN</t>
        </is>
      </c>
      <c r="E1452" t="inlineStr">
        <is>
          <t>UPPSALA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5876-2024</t>
        </is>
      </c>
      <c r="B1453" s="1" t="n">
        <v>45335</v>
      </c>
      <c r="C1453" s="1" t="n">
        <v>45351</v>
      </c>
      <c r="D1453" t="inlineStr">
        <is>
          <t>UPPSALA LÄN</t>
        </is>
      </c>
      <c r="E1453" t="inlineStr">
        <is>
          <t>UPPSALA</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5896-2024</t>
        </is>
      </c>
      <c r="B1454" s="1" t="n">
        <v>45335</v>
      </c>
      <c r="C1454" s="1" t="n">
        <v>45351</v>
      </c>
      <c r="D1454" t="inlineStr">
        <is>
          <t>UPPSALA LÄN</t>
        </is>
      </c>
      <c r="E1454" t="inlineStr">
        <is>
          <t>UPPSALA</t>
        </is>
      </c>
      <c r="F1454" t="inlineStr">
        <is>
          <t>Allmännings- och besparingsskogar</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5899-2024</t>
        </is>
      </c>
      <c r="B1455" s="1" t="n">
        <v>45335</v>
      </c>
      <c r="C1455" s="1" t="n">
        <v>45351</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5974-2024</t>
        </is>
      </c>
      <c r="B1456" s="1" t="n">
        <v>45336</v>
      </c>
      <c r="C1456" s="1" t="n">
        <v>45351</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5972-2024</t>
        </is>
      </c>
      <c r="B1457" s="1" t="n">
        <v>45336</v>
      </c>
      <c r="C1457" s="1" t="n">
        <v>45351</v>
      </c>
      <c r="D1457" t="inlineStr">
        <is>
          <t>UPPSALA LÄN</t>
        </is>
      </c>
      <c r="E1457" t="inlineStr">
        <is>
          <t>UPPSALA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5975-2024</t>
        </is>
      </c>
      <c r="B1458" s="1" t="n">
        <v>45336</v>
      </c>
      <c r="C1458" s="1" t="n">
        <v>45351</v>
      </c>
      <c r="D1458" t="inlineStr">
        <is>
          <t>UPPSALA LÄN</t>
        </is>
      </c>
      <c r="E1458" t="inlineStr">
        <is>
          <t>UPPSALA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6024-2024</t>
        </is>
      </c>
      <c r="B1459" s="1" t="n">
        <v>45336</v>
      </c>
      <c r="C1459" s="1" t="n">
        <v>45351</v>
      </c>
      <c r="D1459" t="inlineStr">
        <is>
          <t>UPPSALA LÄN</t>
        </is>
      </c>
      <c r="E1459" t="inlineStr">
        <is>
          <t>UPPSALA</t>
        </is>
      </c>
      <c r="F1459" t="inlineStr">
        <is>
          <t>Holmen skog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6044-2024</t>
        </is>
      </c>
      <c r="B1460" s="1" t="n">
        <v>45336</v>
      </c>
      <c r="C1460" s="1" t="n">
        <v>45351</v>
      </c>
      <c r="D1460" t="inlineStr">
        <is>
          <t>UPPSALA LÄN</t>
        </is>
      </c>
      <c r="E1460" t="inlineStr">
        <is>
          <t>UPPSALA</t>
        </is>
      </c>
      <c r="F1460" t="inlineStr">
        <is>
          <t>Holmen skog AB</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6098-2024</t>
        </is>
      </c>
      <c r="B1461" s="1" t="n">
        <v>45337</v>
      </c>
      <c r="C1461" s="1" t="n">
        <v>45351</v>
      </c>
      <c r="D1461" t="inlineStr">
        <is>
          <t>UPPSALA LÄN</t>
        </is>
      </c>
      <c r="E1461" t="inlineStr">
        <is>
          <t>UPPSALA</t>
        </is>
      </c>
      <c r="F1461" t="inlineStr">
        <is>
          <t>Övriga Aktiebolag</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6199-2024</t>
        </is>
      </c>
      <c r="B1462" s="1" t="n">
        <v>45337</v>
      </c>
      <c r="C1462" s="1" t="n">
        <v>45351</v>
      </c>
      <c r="D1462" t="inlineStr">
        <is>
          <t>UPPSALA LÄN</t>
        </is>
      </c>
      <c r="E1462" t="inlineStr">
        <is>
          <t>UPPSALA</t>
        </is>
      </c>
      <c r="F1462" t="inlineStr">
        <is>
          <t>Kyrkan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6211-2024</t>
        </is>
      </c>
      <c r="B1463" s="1" t="n">
        <v>45337</v>
      </c>
      <c r="C1463" s="1" t="n">
        <v>45351</v>
      </c>
      <c r="D1463" t="inlineStr">
        <is>
          <t>UPPSALA LÄN</t>
        </is>
      </c>
      <c r="E1463" t="inlineStr">
        <is>
          <t>UPPSALA</t>
        </is>
      </c>
      <c r="G1463" t="n">
        <v>14.8</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45351</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6503-2024</t>
        </is>
      </c>
      <c r="B1465" s="1" t="n">
        <v>45339</v>
      </c>
      <c r="C1465" s="1" t="n">
        <v>45351</v>
      </c>
      <c r="D1465" t="inlineStr">
        <is>
          <t>UPPSALA LÄN</t>
        </is>
      </c>
      <c r="E1465" t="inlineStr">
        <is>
          <t>UPPSALA</t>
        </is>
      </c>
      <c r="F1465" t="inlineStr">
        <is>
          <t>Bergvik skog öst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6501-2024</t>
        </is>
      </c>
      <c r="B1466" s="1" t="n">
        <v>45339</v>
      </c>
      <c r="C1466" s="1" t="n">
        <v>45351</v>
      </c>
      <c r="D1466" t="inlineStr">
        <is>
          <t>UPPSALA LÄN</t>
        </is>
      </c>
      <c r="E1466" t="inlineStr">
        <is>
          <t>UPPSALA</t>
        </is>
      </c>
      <c r="F1466" t="inlineStr">
        <is>
          <t>Bergvik skog öst AB</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6500-2024</t>
        </is>
      </c>
      <c r="B1467" s="1" t="n">
        <v>45339</v>
      </c>
      <c r="C1467" s="1" t="n">
        <v>45351</v>
      </c>
      <c r="D1467" t="inlineStr">
        <is>
          <t>UPPSALA LÄN</t>
        </is>
      </c>
      <c r="E1467" t="inlineStr">
        <is>
          <t>UPPSALA</t>
        </is>
      </c>
      <c r="F1467" t="inlineStr">
        <is>
          <t>Bergvik skog öst AB</t>
        </is>
      </c>
      <c r="G1467" t="n">
        <v>23.7</v>
      </c>
      <c r="H1467" t="n">
        <v>0</v>
      </c>
      <c r="I1467" t="n">
        <v>0</v>
      </c>
      <c r="J1467" t="n">
        <v>0</v>
      </c>
      <c r="K1467" t="n">
        <v>0</v>
      </c>
      <c r="L1467" t="n">
        <v>0</v>
      </c>
      <c r="M1467" t="n">
        <v>0</v>
      </c>
      <c r="N1467" t="n">
        <v>0</v>
      </c>
      <c r="O1467" t="n">
        <v>0</v>
      </c>
      <c r="P1467" t="n">
        <v>0</v>
      </c>
      <c r="Q1467" t="n">
        <v>0</v>
      </c>
      <c r="R1467" s="2" t="inlineStr"/>
    </row>
    <row r="1468" ht="15" customHeight="1">
      <c r="A1468" t="inlineStr">
        <is>
          <t>A 6504-2024</t>
        </is>
      </c>
      <c r="B1468" s="1" t="n">
        <v>45339</v>
      </c>
      <c r="C1468" s="1" t="n">
        <v>45351</v>
      </c>
      <c r="D1468" t="inlineStr">
        <is>
          <t>UPPSALA LÄN</t>
        </is>
      </c>
      <c r="E1468" t="inlineStr">
        <is>
          <t>UPPSALA</t>
        </is>
      </c>
      <c r="F1468" t="inlineStr">
        <is>
          <t>Bergvik skog öst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6505-2024</t>
        </is>
      </c>
      <c r="B1469" s="1" t="n">
        <v>45339</v>
      </c>
      <c r="C1469" s="1" t="n">
        <v>45351</v>
      </c>
      <c r="D1469" t="inlineStr">
        <is>
          <t>UPPSALA LÄN</t>
        </is>
      </c>
      <c r="E1469" t="inlineStr">
        <is>
          <t>UPPSALA</t>
        </is>
      </c>
      <c r="F1469" t="inlineStr">
        <is>
          <t>Bergvik skog öst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6507-2024</t>
        </is>
      </c>
      <c r="B1470" s="1" t="n">
        <v>45339</v>
      </c>
      <c r="C1470" s="1" t="n">
        <v>45351</v>
      </c>
      <c r="D1470" t="inlineStr">
        <is>
          <t>UPPSALA LÄN</t>
        </is>
      </c>
      <c r="E1470" t="inlineStr">
        <is>
          <t>UPPSALA</t>
        </is>
      </c>
      <c r="F1470" t="inlineStr">
        <is>
          <t>Bergvik skog öst AB</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6506-2024</t>
        </is>
      </c>
      <c r="B1471" s="1" t="n">
        <v>45339</v>
      </c>
      <c r="C1471" s="1" t="n">
        <v>45351</v>
      </c>
      <c r="D1471" t="inlineStr">
        <is>
          <t>UPPSALA LÄN</t>
        </is>
      </c>
      <c r="E1471" t="inlineStr">
        <is>
          <t>UPPSALA</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6630-2024</t>
        </is>
      </c>
      <c r="B1472" s="1" t="n">
        <v>45341</v>
      </c>
      <c r="C1472" s="1" t="n">
        <v>45351</v>
      </c>
      <c r="D1472" t="inlineStr">
        <is>
          <t>UPPSALA LÄN</t>
        </is>
      </c>
      <c r="E1472" t="inlineStr">
        <is>
          <t>UPPSALA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6628-2024</t>
        </is>
      </c>
      <c r="B1473" s="1" t="n">
        <v>45341</v>
      </c>
      <c r="C1473" s="1" t="n">
        <v>45351</v>
      </c>
      <c r="D1473" t="inlineStr">
        <is>
          <t>UPPSALA LÄN</t>
        </is>
      </c>
      <c r="E1473" t="inlineStr">
        <is>
          <t>UPPSALA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6650-2024</t>
        </is>
      </c>
      <c r="B1474" s="1" t="n">
        <v>45341</v>
      </c>
      <c r="C1474" s="1" t="n">
        <v>45351</v>
      </c>
      <c r="D1474" t="inlineStr">
        <is>
          <t>UPPSALA LÄN</t>
        </is>
      </c>
      <c r="E1474" t="inlineStr">
        <is>
          <t>UPPSALA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6677-2024</t>
        </is>
      </c>
      <c r="B1475" s="1" t="n">
        <v>45341</v>
      </c>
      <c r="C1475" s="1" t="n">
        <v>45351</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6678-2024</t>
        </is>
      </c>
      <c r="B1476" s="1" t="n">
        <v>45341</v>
      </c>
      <c r="C1476" s="1" t="n">
        <v>45351</v>
      </c>
      <c r="D1476" t="inlineStr">
        <is>
          <t>UPPSALA LÄN</t>
        </is>
      </c>
      <c r="E1476" t="inlineStr">
        <is>
          <t>UPPSALA</t>
        </is>
      </c>
      <c r="F1476" t="inlineStr">
        <is>
          <t>Bergvik skog öst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6676-2024</t>
        </is>
      </c>
      <c r="B1477" s="1" t="n">
        <v>45341</v>
      </c>
      <c r="C1477" s="1" t="n">
        <v>45351</v>
      </c>
      <c r="D1477" t="inlineStr">
        <is>
          <t>UPPSALA LÄN</t>
        </is>
      </c>
      <c r="E1477" t="inlineStr">
        <is>
          <t>UPPSALA</t>
        </is>
      </c>
      <c r="F1477" t="inlineStr">
        <is>
          <t>Bergvik skog öst AB</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6679-2024</t>
        </is>
      </c>
      <c r="B1478" s="1" t="n">
        <v>45341</v>
      </c>
      <c r="C1478" s="1" t="n">
        <v>45351</v>
      </c>
      <c r="D1478" t="inlineStr">
        <is>
          <t>UPPSALA LÄN</t>
        </is>
      </c>
      <c r="E1478" t="inlineStr">
        <is>
          <t>UPPSALA</t>
        </is>
      </c>
      <c r="F1478" t="inlineStr">
        <is>
          <t>Bergvik skog öst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6966-2024</t>
        </is>
      </c>
      <c r="B1479" s="1" t="n">
        <v>45343</v>
      </c>
      <c r="C1479" s="1" t="n">
        <v>45351</v>
      </c>
      <c r="D1479" t="inlineStr">
        <is>
          <t>UPPSALA LÄN</t>
        </is>
      </c>
      <c r="E1479" t="inlineStr">
        <is>
          <t>UPPSALA</t>
        </is>
      </c>
      <c r="F1479" t="inlineStr">
        <is>
          <t>Holmen skog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7175-2024</t>
        </is>
      </c>
      <c r="B1480" s="1" t="n">
        <v>45344</v>
      </c>
      <c r="C1480" s="1" t="n">
        <v>45351</v>
      </c>
      <c r="D1480" t="inlineStr">
        <is>
          <t>UPPSALA LÄN</t>
        </is>
      </c>
      <c r="E1480" t="inlineStr">
        <is>
          <t>UPPSALA</t>
        </is>
      </c>
      <c r="F1480" t="inlineStr">
        <is>
          <t>Kyrkan</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7158-2024</t>
        </is>
      </c>
      <c r="B1481" s="1" t="n">
        <v>45344</v>
      </c>
      <c r="C1481" s="1" t="n">
        <v>45351</v>
      </c>
      <c r="D1481" t="inlineStr">
        <is>
          <t>UPPSALA LÄN</t>
        </is>
      </c>
      <c r="E1481" t="inlineStr">
        <is>
          <t>UPPSALA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7253-2024</t>
        </is>
      </c>
      <c r="B1482" s="1" t="n">
        <v>45344</v>
      </c>
      <c r="C1482" s="1" t="n">
        <v>45351</v>
      </c>
      <c r="D1482" t="inlineStr">
        <is>
          <t>UPPSALA LÄN</t>
        </is>
      </c>
      <c r="E1482" t="inlineStr">
        <is>
          <t>UPPSALA</t>
        </is>
      </c>
      <c r="F1482" t="inlineStr">
        <is>
          <t>Kyrkan</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7274-2024</t>
        </is>
      </c>
      <c r="B1483" s="1" t="n">
        <v>45344</v>
      </c>
      <c r="C1483" s="1" t="n">
        <v>45351</v>
      </c>
      <c r="D1483" t="inlineStr">
        <is>
          <t>UPPSALA LÄN</t>
        </is>
      </c>
      <c r="E1483" t="inlineStr">
        <is>
          <t>UPPSALA</t>
        </is>
      </c>
      <c r="F1483" t="inlineStr">
        <is>
          <t>Bergvik skog öst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7278-2024</t>
        </is>
      </c>
      <c r="B1484" s="1" t="n">
        <v>45344</v>
      </c>
      <c r="C1484" s="1" t="n">
        <v>45351</v>
      </c>
      <c r="D1484" t="inlineStr">
        <is>
          <t>UPPSALA LÄN</t>
        </is>
      </c>
      <c r="E1484" t="inlineStr">
        <is>
          <t>UPPSALA</t>
        </is>
      </c>
      <c r="F1484" t="inlineStr">
        <is>
          <t>Bergvik skog öst AB</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7226-2024</t>
        </is>
      </c>
      <c r="B1485" s="1" t="n">
        <v>45344</v>
      </c>
      <c r="C1485" s="1" t="n">
        <v>45351</v>
      </c>
      <c r="D1485" t="inlineStr">
        <is>
          <t>UPPSALA LÄN</t>
        </is>
      </c>
      <c r="E1485" t="inlineStr">
        <is>
          <t>UPPSALA</t>
        </is>
      </c>
      <c r="F1485" t="inlineStr">
        <is>
          <t>Kyrkan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7276-2024</t>
        </is>
      </c>
      <c r="B1486" s="1" t="n">
        <v>45344</v>
      </c>
      <c r="C1486" s="1" t="n">
        <v>45351</v>
      </c>
      <c r="D1486" t="inlineStr">
        <is>
          <t>UPPSALA LÄN</t>
        </is>
      </c>
      <c r="E1486" t="inlineStr">
        <is>
          <t>UPPSALA</t>
        </is>
      </c>
      <c r="F1486" t="inlineStr">
        <is>
          <t>Bergvik skog öst AB</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7275-2024</t>
        </is>
      </c>
      <c r="B1487" s="1" t="n">
        <v>45344</v>
      </c>
      <c r="C1487" s="1" t="n">
        <v>45351</v>
      </c>
      <c r="D1487" t="inlineStr">
        <is>
          <t>UPPSALA LÄN</t>
        </is>
      </c>
      <c r="E1487" t="inlineStr">
        <is>
          <t>UPPSALA</t>
        </is>
      </c>
      <c r="F1487" t="inlineStr">
        <is>
          <t>Bergvik skog öst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7390-2024</t>
        </is>
      </c>
      <c r="B1488" s="1" t="n">
        <v>45345</v>
      </c>
      <c r="C1488" s="1" t="n">
        <v>45351</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7403-2024</t>
        </is>
      </c>
      <c r="B1489" s="1" t="n">
        <v>45345</v>
      </c>
      <c r="C1489" s="1" t="n">
        <v>45351</v>
      </c>
      <c r="D1489" t="inlineStr">
        <is>
          <t>UPPSALA LÄN</t>
        </is>
      </c>
      <c r="E1489" t="inlineStr">
        <is>
          <t>UPPSALA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7407-2024</t>
        </is>
      </c>
      <c r="B1490" s="1" t="n">
        <v>45345</v>
      </c>
      <c r="C1490" s="1" t="n">
        <v>45351</v>
      </c>
      <c r="D1490" t="inlineStr">
        <is>
          <t>UPPSALA LÄN</t>
        </is>
      </c>
      <c r="E1490" t="inlineStr">
        <is>
          <t>UPPSALA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7388-2024</t>
        </is>
      </c>
      <c r="B1491" s="1" t="n">
        <v>45345</v>
      </c>
      <c r="C1491" s="1" t="n">
        <v>45351</v>
      </c>
      <c r="D1491" t="inlineStr">
        <is>
          <t>UPPSALA LÄN</t>
        </is>
      </c>
      <c r="E1491" t="inlineStr">
        <is>
          <t>UPPSALA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7400-2024</t>
        </is>
      </c>
      <c r="B1492" s="1" t="n">
        <v>45345</v>
      </c>
      <c r="C1492" s="1" t="n">
        <v>45351</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7389-2024</t>
        </is>
      </c>
      <c r="B1493" s="1" t="n">
        <v>45345</v>
      </c>
      <c r="C1493" s="1" t="n">
        <v>45351</v>
      </c>
      <c r="D1493" t="inlineStr">
        <is>
          <t>UPPSALA LÄN</t>
        </is>
      </c>
      <c r="E1493" t="inlineStr">
        <is>
          <t>UPPSALA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7649-2024</t>
        </is>
      </c>
      <c r="B1494" s="1" t="n">
        <v>45348</v>
      </c>
      <c r="C1494" s="1" t="n">
        <v>45351</v>
      </c>
      <c r="D1494" t="inlineStr">
        <is>
          <t>UPPSALA LÄN</t>
        </is>
      </c>
      <c r="E1494" t="inlineStr">
        <is>
          <t>UPPSALA</t>
        </is>
      </c>
      <c r="F1494" t="inlineStr">
        <is>
          <t>Kyrkan</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7654-2024</t>
        </is>
      </c>
      <c r="B1495" s="1" t="n">
        <v>45348</v>
      </c>
      <c r="C1495" s="1" t="n">
        <v>45351</v>
      </c>
      <c r="D1495" t="inlineStr">
        <is>
          <t>UPPSALA LÄN</t>
        </is>
      </c>
      <c r="E1495" t="inlineStr">
        <is>
          <t>UPPSALA</t>
        </is>
      </c>
      <c r="F1495" t="inlineStr">
        <is>
          <t>Kyrkan</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7727-2024</t>
        </is>
      </c>
      <c r="B1496" s="1" t="n">
        <v>45349</v>
      </c>
      <c r="C1496" s="1" t="n">
        <v>45351</v>
      </c>
      <c r="D1496" t="inlineStr">
        <is>
          <t>UPPSALA LÄN</t>
        </is>
      </c>
      <c r="E1496" t="inlineStr">
        <is>
          <t>UPPSALA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7732-2024</t>
        </is>
      </c>
      <c r="B1497" s="1" t="n">
        <v>45349</v>
      </c>
      <c r="C1497" s="1" t="n">
        <v>45351</v>
      </c>
      <c r="D1497" t="inlineStr">
        <is>
          <t>UPPSALA LÄN</t>
        </is>
      </c>
      <c r="E1497" t="inlineStr">
        <is>
          <t>UPPSALA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7750-2024</t>
        </is>
      </c>
      <c r="B1498" s="1" t="n">
        <v>45349</v>
      </c>
      <c r="C1498" s="1" t="n">
        <v>45351</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c r="A1499" t="inlineStr">
        <is>
          <t>A 7974-2024</t>
        </is>
      </c>
      <c r="B1499" s="1" t="n">
        <v>45350</v>
      </c>
      <c r="C1499" s="1" t="n">
        <v>45351</v>
      </c>
      <c r="D1499" t="inlineStr">
        <is>
          <t>UPPSALA LÄN</t>
        </is>
      </c>
      <c r="E1499" t="inlineStr">
        <is>
          <t>UPPSALA</t>
        </is>
      </c>
      <c r="F1499" t="inlineStr">
        <is>
          <t>Övriga Aktiebolag</t>
        </is>
      </c>
      <c r="G1499" t="n">
        <v>11</v>
      </c>
      <c r="H1499" t="n">
        <v>0</v>
      </c>
      <c r="I1499" t="n">
        <v>0</v>
      </c>
      <c r="J1499" t="n">
        <v>0</v>
      </c>
      <c r="K1499" t="n">
        <v>0</v>
      </c>
      <c r="L1499" t="n">
        <v>0</v>
      </c>
      <c r="M1499" t="n">
        <v>0</v>
      </c>
      <c r="N1499" t="n">
        <v>0</v>
      </c>
      <c r="O1499" t="n">
        <v>0</v>
      </c>
      <c r="P1499" t="n">
        <v>0</v>
      </c>
      <c r="Q1499" t="n">
        <v>0</v>
      </c>
      <c r="R149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2024-02-29T12:55:46Z</dcterms:created>
  <dcterms:modified xmlns:dcterms="http://purl.org/dc/terms/" xmlns:xsi="http://www.w3.org/2001/XMLSchema-instance" xsi:type="dcterms:W3CDTF">2024-02-29T12:55:52Z</dcterms:modified>
</cp:coreProperties>
</file>