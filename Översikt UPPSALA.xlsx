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45783</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45783</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45783</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45783</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45783</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45783</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45783</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45783</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45783</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45783</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45783</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45783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45783</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45783</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45783</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45783</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45783</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45783</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45783</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45783</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45783</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45783</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45783</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45783</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45783</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45783</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45783</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45783</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45783</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45783</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45783</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45783</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45783</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45783</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45783</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45783</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45783</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45783</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45783</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45783</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45783</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45783</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45783</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45783</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45783</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45783</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45783</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45783</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45783</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45783</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45783</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45783</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45783</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45783</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45783</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45783</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45783</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45783</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45783</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45783</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45783</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45783</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45783</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45783</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45783</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45783</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45783</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45783</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45783</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45783</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45783</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45783</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45783</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45783</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45783</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45783</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45783</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45783</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45783</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45783</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45783</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45783</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45783</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45783</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45783</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45783</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45783</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45783</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45783</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45783</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45783</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45783</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45783</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45783</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45783</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45783</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45783</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45783</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45783</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45783</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45783</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45783</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45783</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45783</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45783</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45783</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45783</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45783</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45783</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45783</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45783</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45783</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45783</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45783</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45783</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45783</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45783</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45783</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45783</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45783</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45783</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45783</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45783</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45783</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45783</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45783</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45783</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45783</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45783</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45783</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45783</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45783</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45783</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45783</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45783</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45783</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45783</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45783</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45783</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45783</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45783</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45783</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45783</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45783</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45783</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45783</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45783</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45783</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45783</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45783</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45783</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45783</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45783</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45783</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45783</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45783</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45783</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45783</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45783</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45783</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45783</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45783</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45783</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45783</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45783</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45783</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45783</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45783</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45783</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45783</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45783</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45783</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45783</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45783</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45783</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45783</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45783</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45783</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45783</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45783</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45783</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45783</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45783</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45783</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45783</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45783</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45783</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45783</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45783</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45783</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45783</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45783</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18373-2025</t>
        </is>
      </c>
      <c r="B208" s="1" t="n">
        <v>45762</v>
      </c>
      <c r="C208" s="1" t="n">
        <v>45783</v>
      </c>
      <c r="D208" t="inlineStr">
        <is>
          <t>UPPSALA LÄN</t>
        </is>
      </c>
      <c r="E208" t="inlineStr">
        <is>
          <t>UPPSALA</t>
        </is>
      </c>
      <c r="G208" t="n">
        <v>9.5</v>
      </c>
      <c r="H208" t="n">
        <v>0</v>
      </c>
      <c r="I208" t="n">
        <v>0</v>
      </c>
      <c r="J208" t="n">
        <v>1</v>
      </c>
      <c r="K208" t="n">
        <v>0</v>
      </c>
      <c r="L208" t="n">
        <v>0</v>
      </c>
      <c r="M208" t="n">
        <v>0</v>
      </c>
      <c r="N208" t="n">
        <v>0</v>
      </c>
      <c r="O208" t="n">
        <v>1</v>
      </c>
      <c r="P208" t="n">
        <v>0</v>
      </c>
      <c r="Q208" t="n">
        <v>1</v>
      </c>
      <c r="R208" s="2" t="inlineStr">
        <is>
          <t>Ullticka</t>
        </is>
      </c>
      <c r="S208">
        <f>HYPERLINK("https://klasma.github.io/Logging_030380/artfynd/A 18373-2025 artfynd.xlsx", "A 18373-2025")</f>
        <v/>
      </c>
      <c r="T208">
        <f>HYPERLINK("https://klasma.github.io/Logging_030380/kartor/A 18373-2025 karta.png", "A 18373-2025")</f>
        <v/>
      </c>
      <c r="V208">
        <f>HYPERLINK("https://klasma.github.io/Logging_030380/klagomål/A 18373-2025 FSC-klagomål.docx", "A 18373-2025")</f>
        <v/>
      </c>
      <c r="W208">
        <f>HYPERLINK("https://klasma.github.io/Logging_030380/klagomålsmail/A 18373-2025 FSC-klagomål mail.docx", "A 18373-2025")</f>
        <v/>
      </c>
      <c r="X208">
        <f>HYPERLINK("https://klasma.github.io/Logging_030380/tillsyn/A 18373-2025 tillsynsbegäran.docx", "A 18373-2025")</f>
        <v/>
      </c>
      <c r="Y208">
        <f>HYPERLINK("https://klasma.github.io/Logging_030380/tillsynsmail/A 18373-2025 tillsynsbegäran mail.docx", "A 18373-2025")</f>
        <v/>
      </c>
    </row>
    <row r="209" ht="15" customHeight="1">
      <c r="A209" t="inlineStr">
        <is>
          <t>A 18405-2025</t>
        </is>
      </c>
      <c r="B209" s="1" t="n">
        <v>45762</v>
      </c>
      <c r="C209" s="1" t="n">
        <v>45783</v>
      </c>
      <c r="D209" t="inlineStr">
        <is>
          <t>UPPSALA LÄN</t>
        </is>
      </c>
      <c r="E209" t="inlineStr">
        <is>
          <t>UPPSALA</t>
        </is>
      </c>
      <c r="G209" t="n">
        <v>1.3</v>
      </c>
      <c r="H209" t="n">
        <v>0</v>
      </c>
      <c r="I209" t="n">
        <v>0</v>
      </c>
      <c r="J209" t="n">
        <v>1</v>
      </c>
      <c r="K209" t="n">
        <v>0</v>
      </c>
      <c r="L209" t="n">
        <v>0</v>
      </c>
      <c r="M209" t="n">
        <v>0</v>
      </c>
      <c r="N209" t="n">
        <v>0</v>
      </c>
      <c r="O209" t="n">
        <v>1</v>
      </c>
      <c r="P209" t="n">
        <v>0</v>
      </c>
      <c r="Q209" t="n">
        <v>1</v>
      </c>
      <c r="R209" s="2" t="inlineStr">
        <is>
          <t>Tallticka</t>
        </is>
      </c>
      <c r="S209">
        <f>HYPERLINK("https://klasma.github.io/Logging_030380/artfynd/A 18405-2025 artfynd.xlsx", "A 18405-2025")</f>
        <v/>
      </c>
      <c r="T209">
        <f>HYPERLINK("https://klasma.github.io/Logging_030380/kartor/A 18405-2025 karta.png", "A 18405-2025")</f>
        <v/>
      </c>
      <c r="V209">
        <f>HYPERLINK("https://klasma.github.io/Logging_030380/klagomål/A 18405-2025 FSC-klagomål.docx", "A 18405-2025")</f>
        <v/>
      </c>
      <c r="W209">
        <f>HYPERLINK("https://klasma.github.io/Logging_030380/klagomålsmail/A 18405-2025 FSC-klagomål mail.docx", "A 18405-2025")</f>
        <v/>
      </c>
      <c r="X209">
        <f>HYPERLINK("https://klasma.github.io/Logging_030380/tillsyn/A 18405-2025 tillsynsbegäran.docx", "A 18405-2025")</f>
        <v/>
      </c>
      <c r="Y209">
        <f>HYPERLINK("https://klasma.github.io/Logging_030380/tillsynsmail/A 18405-2025 tillsynsbegäran mail.docx", "A 18405-2025")</f>
        <v/>
      </c>
    </row>
    <row r="210" ht="15" customHeight="1">
      <c r="A210" t="inlineStr">
        <is>
          <t>A 18624-2025</t>
        </is>
      </c>
      <c r="B210" s="1" t="n">
        <v>45763</v>
      </c>
      <c r="C210" s="1" t="n">
        <v>45783</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17828-2019</t>
        </is>
      </c>
      <c r="B211" s="1" t="n">
        <v>43556</v>
      </c>
      <c r="C211" s="1" t="n">
        <v>45783</v>
      </c>
      <c r="D211" t="inlineStr">
        <is>
          <t>UPPSALA LÄN</t>
        </is>
      </c>
      <c r="E211" t="inlineStr">
        <is>
          <t>UPPSALA</t>
        </is>
      </c>
      <c r="G211" t="n">
        <v>2.8</v>
      </c>
      <c r="H211" t="n">
        <v>0</v>
      </c>
      <c r="I211" t="n">
        <v>0</v>
      </c>
      <c r="J211" t="n">
        <v>0</v>
      </c>
      <c r="K211" t="n">
        <v>0</v>
      </c>
      <c r="L211" t="n">
        <v>0</v>
      </c>
      <c r="M211" t="n">
        <v>0</v>
      </c>
      <c r="N211" t="n">
        <v>0</v>
      </c>
      <c r="O211" t="n">
        <v>0</v>
      </c>
      <c r="P211" t="n">
        <v>0</v>
      </c>
      <c r="Q211" t="n">
        <v>0</v>
      </c>
      <c r="R211" s="2" t="inlineStr"/>
    </row>
    <row r="212" ht="15" customHeight="1">
      <c r="A212" t="inlineStr">
        <is>
          <t>A 18446-2019</t>
        </is>
      </c>
      <c r="B212" s="1" t="n">
        <v>43559</v>
      </c>
      <c r="C212" s="1" t="n">
        <v>45783</v>
      </c>
      <c r="D212" t="inlineStr">
        <is>
          <t>UPPSALA LÄN</t>
        </is>
      </c>
      <c r="E212" t="inlineStr">
        <is>
          <t>UPPSALA</t>
        </is>
      </c>
      <c r="G212" t="n">
        <v>9.1</v>
      </c>
      <c r="H212" t="n">
        <v>0</v>
      </c>
      <c r="I212" t="n">
        <v>0</v>
      </c>
      <c r="J212" t="n">
        <v>0</v>
      </c>
      <c r="K212" t="n">
        <v>0</v>
      </c>
      <c r="L212" t="n">
        <v>0</v>
      </c>
      <c r="M212" t="n">
        <v>0</v>
      </c>
      <c r="N212" t="n">
        <v>0</v>
      </c>
      <c r="O212" t="n">
        <v>0</v>
      </c>
      <c r="P212" t="n">
        <v>0</v>
      </c>
      <c r="Q212" t="n">
        <v>0</v>
      </c>
      <c r="R212" s="2" t="inlineStr"/>
    </row>
    <row r="213" ht="15" customHeight="1">
      <c r="A213" t="inlineStr">
        <is>
          <t>A 18554-2019</t>
        </is>
      </c>
      <c r="B213" s="1" t="n">
        <v>43559</v>
      </c>
      <c r="C213" s="1" t="n">
        <v>45783</v>
      </c>
      <c r="D213" t="inlineStr">
        <is>
          <t>UPPSALA LÄN</t>
        </is>
      </c>
      <c r="E213" t="inlineStr">
        <is>
          <t>UPPSALA</t>
        </is>
      </c>
      <c r="G213" t="n">
        <v>5.6</v>
      </c>
      <c r="H213" t="n">
        <v>0</v>
      </c>
      <c r="I213" t="n">
        <v>0</v>
      </c>
      <c r="J213" t="n">
        <v>0</v>
      </c>
      <c r="K213" t="n">
        <v>0</v>
      </c>
      <c r="L213" t="n">
        <v>0</v>
      </c>
      <c r="M213" t="n">
        <v>0</v>
      </c>
      <c r="N213" t="n">
        <v>0</v>
      </c>
      <c r="O213" t="n">
        <v>0</v>
      </c>
      <c r="P213" t="n">
        <v>0</v>
      </c>
      <c r="Q213" t="n">
        <v>0</v>
      </c>
      <c r="R213" s="2" t="inlineStr"/>
    </row>
    <row r="214" ht="15" customHeight="1">
      <c r="A214" t="inlineStr">
        <is>
          <t>A 18810-2019</t>
        </is>
      </c>
      <c r="B214" s="1" t="n">
        <v>43560</v>
      </c>
      <c r="C214" s="1" t="n">
        <v>45783</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20011-2019</t>
        </is>
      </c>
      <c r="B215" s="1" t="n">
        <v>43570</v>
      </c>
      <c r="C215" s="1" t="n">
        <v>45783</v>
      </c>
      <c r="D215" t="inlineStr">
        <is>
          <t>UPPSALA LÄN</t>
        </is>
      </c>
      <c r="E215" t="inlineStr">
        <is>
          <t>UPPSALA</t>
        </is>
      </c>
      <c r="G215" t="n">
        <v>6.3</v>
      </c>
      <c r="H215" t="n">
        <v>0</v>
      </c>
      <c r="I215" t="n">
        <v>0</v>
      </c>
      <c r="J215" t="n">
        <v>0</v>
      </c>
      <c r="K215" t="n">
        <v>0</v>
      </c>
      <c r="L215" t="n">
        <v>0</v>
      </c>
      <c r="M215" t="n">
        <v>0</v>
      </c>
      <c r="N215" t="n">
        <v>0</v>
      </c>
      <c r="O215" t="n">
        <v>0</v>
      </c>
      <c r="P215" t="n">
        <v>0</v>
      </c>
      <c r="Q215" t="n">
        <v>0</v>
      </c>
      <c r="R215" s="2" t="inlineStr"/>
    </row>
    <row r="216" ht="15" customHeight="1">
      <c r="A216" t="inlineStr">
        <is>
          <t>A 21087-2019</t>
        </is>
      </c>
      <c r="B216" s="1" t="n">
        <v>43578</v>
      </c>
      <c r="C216" s="1" t="n">
        <v>45783</v>
      </c>
      <c r="D216" t="inlineStr">
        <is>
          <t>UPPSALA LÄN</t>
        </is>
      </c>
      <c r="E216" t="inlineStr">
        <is>
          <t>UPPSALA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21082-2019</t>
        </is>
      </c>
      <c r="B217" s="1" t="n">
        <v>43578</v>
      </c>
      <c r="C217" s="1" t="n">
        <v>45783</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22153-2019</t>
        </is>
      </c>
      <c r="B218" s="1" t="n">
        <v>43585</v>
      </c>
      <c r="C218" s="1" t="n">
        <v>45783</v>
      </c>
      <c r="D218" t="inlineStr">
        <is>
          <t>UPPSALA LÄN</t>
        </is>
      </c>
      <c r="E218" t="inlineStr">
        <is>
          <t>UPPSALA</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23042-2019</t>
        </is>
      </c>
      <c r="B219" s="1" t="n">
        <v>43591</v>
      </c>
      <c r="C219" s="1" t="n">
        <v>45783</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23262-2019</t>
        </is>
      </c>
      <c r="B220" s="1" t="n">
        <v>43592</v>
      </c>
      <c r="C220" s="1" t="n">
        <v>45783</v>
      </c>
      <c r="D220" t="inlineStr">
        <is>
          <t>UPPSALA LÄN</t>
        </is>
      </c>
      <c r="E220" t="inlineStr">
        <is>
          <t>UPPSALA</t>
        </is>
      </c>
      <c r="F220" t="inlineStr">
        <is>
          <t>Kyrkan</t>
        </is>
      </c>
      <c r="G220" t="n">
        <v>7.6</v>
      </c>
      <c r="H220" t="n">
        <v>0</v>
      </c>
      <c r="I220" t="n">
        <v>0</v>
      </c>
      <c r="J220" t="n">
        <v>0</v>
      </c>
      <c r="K220" t="n">
        <v>0</v>
      </c>
      <c r="L220" t="n">
        <v>0</v>
      </c>
      <c r="M220" t="n">
        <v>0</v>
      </c>
      <c r="N220" t="n">
        <v>0</v>
      </c>
      <c r="O220" t="n">
        <v>0</v>
      </c>
      <c r="P220" t="n">
        <v>0</v>
      </c>
      <c r="Q220" t="n">
        <v>0</v>
      </c>
      <c r="R220" s="2" t="inlineStr"/>
    </row>
    <row r="221" ht="15" customHeight="1">
      <c r="A221" t="inlineStr">
        <is>
          <t>A 24998-2019</t>
        </is>
      </c>
      <c r="B221" s="1" t="n">
        <v>43600</v>
      </c>
      <c r="C221" s="1" t="n">
        <v>45783</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25164-2019</t>
        </is>
      </c>
      <c r="B222" s="1" t="n">
        <v>43605</v>
      </c>
      <c r="C222" s="1" t="n">
        <v>45783</v>
      </c>
      <c r="D222" t="inlineStr">
        <is>
          <t>UPPSALA LÄN</t>
        </is>
      </c>
      <c r="E222" t="inlineStr">
        <is>
          <t>UPPSALA</t>
        </is>
      </c>
      <c r="G222" t="n">
        <v>1.6</v>
      </c>
      <c r="H222" t="n">
        <v>0</v>
      </c>
      <c r="I222" t="n">
        <v>0</v>
      </c>
      <c r="J222" t="n">
        <v>0</v>
      </c>
      <c r="K222" t="n">
        <v>0</v>
      </c>
      <c r="L222" t="n">
        <v>0</v>
      </c>
      <c r="M222" t="n">
        <v>0</v>
      </c>
      <c r="N222" t="n">
        <v>0</v>
      </c>
      <c r="O222" t="n">
        <v>0</v>
      </c>
      <c r="P222" t="n">
        <v>0</v>
      </c>
      <c r="Q222" t="n">
        <v>0</v>
      </c>
      <c r="R222" s="2" t="inlineStr"/>
    </row>
    <row r="223" ht="15" customHeight="1">
      <c r="A223" t="inlineStr">
        <is>
          <t>A 25157-2019</t>
        </is>
      </c>
      <c r="B223" s="1" t="n">
        <v>43605</v>
      </c>
      <c r="C223" s="1" t="n">
        <v>45783</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25667-2019</t>
        </is>
      </c>
      <c r="B224" s="1" t="n">
        <v>43607</v>
      </c>
      <c r="C224" s="1" t="n">
        <v>45783</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29105-2019</t>
        </is>
      </c>
      <c r="B225" s="1" t="n">
        <v>43628</v>
      </c>
      <c r="C225" s="1" t="n">
        <v>45783</v>
      </c>
      <c r="D225" t="inlineStr">
        <is>
          <t>UPPSALA LÄN</t>
        </is>
      </c>
      <c r="E225" t="inlineStr">
        <is>
          <t>UPPSALA</t>
        </is>
      </c>
      <c r="G225" t="n">
        <v>2.1</v>
      </c>
      <c r="H225" t="n">
        <v>0</v>
      </c>
      <c r="I225" t="n">
        <v>0</v>
      </c>
      <c r="J225" t="n">
        <v>0</v>
      </c>
      <c r="K225" t="n">
        <v>0</v>
      </c>
      <c r="L225" t="n">
        <v>0</v>
      </c>
      <c r="M225" t="n">
        <v>0</v>
      </c>
      <c r="N225" t="n">
        <v>0</v>
      </c>
      <c r="O225" t="n">
        <v>0</v>
      </c>
      <c r="P225" t="n">
        <v>0</v>
      </c>
      <c r="Q225" t="n">
        <v>0</v>
      </c>
      <c r="R225" s="2" t="inlineStr"/>
    </row>
    <row r="226" ht="15" customHeight="1">
      <c r="A226" t="inlineStr">
        <is>
          <t>A 29183-2019</t>
        </is>
      </c>
      <c r="B226" s="1" t="n">
        <v>43628</v>
      </c>
      <c r="C226" s="1" t="n">
        <v>45783</v>
      </c>
      <c r="D226" t="inlineStr">
        <is>
          <t>UPPSALA LÄN</t>
        </is>
      </c>
      <c r="E226" t="inlineStr">
        <is>
          <t>UPPSALA</t>
        </is>
      </c>
      <c r="F226" t="inlineStr">
        <is>
          <t>Allmännings- och besparingsskogar</t>
        </is>
      </c>
      <c r="G226" t="n">
        <v>6.3</v>
      </c>
      <c r="H226" t="n">
        <v>0</v>
      </c>
      <c r="I226" t="n">
        <v>0</v>
      </c>
      <c r="J226" t="n">
        <v>0</v>
      </c>
      <c r="K226" t="n">
        <v>0</v>
      </c>
      <c r="L226" t="n">
        <v>0</v>
      </c>
      <c r="M226" t="n">
        <v>0</v>
      </c>
      <c r="N226" t="n">
        <v>0</v>
      </c>
      <c r="O226" t="n">
        <v>0</v>
      </c>
      <c r="P226" t="n">
        <v>0</v>
      </c>
      <c r="Q226" t="n">
        <v>0</v>
      </c>
      <c r="R226" s="2" t="inlineStr"/>
    </row>
    <row r="227" ht="15" customHeight="1">
      <c r="A227" t="inlineStr">
        <is>
          <t>A 29081-2019</t>
        </is>
      </c>
      <c r="B227" s="1" t="n">
        <v>43628</v>
      </c>
      <c r="C227" s="1" t="n">
        <v>45783</v>
      </c>
      <c r="D227" t="inlineStr">
        <is>
          <t>UPPSALA LÄN</t>
        </is>
      </c>
      <c r="E227" t="inlineStr">
        <is>
          <t>UPPSALA</t>
        </is>
      </c>
      <c r="G227" t="n">
        <v>8.4</v>
      </c>
      <c r="H227" t="n">
        <v>0</v>
      </c>
      <c r="I227" t="n">
        <v>0</v>
      </c>
      <c r="J227" t="n">
        <v>0</v>
      </c>
      <c r="K227" t="n">
        <v>0</v>
      </c>
      <c r="L227" t="n">
        <v>0</v>
      </c>
      <c r="M227" t="n">
        <v>0</v>
      </c>
      <c r="N227" t="n">
        <v>0</v>
      </c>
      <c r="O227" t="n">
        <v>0</v>
      </c>
      <c r="P227" t="n">
        <v>0</v>
      </c>
      <c r="Q227" t="n">
        <v>0</v>
      </c>
      <c r="R227" s="2" t="inlineStr"/>
    </row>
    <row r="228" ht="15" customHeight="1">
      <c r="A228" t="inlineStr">
        <is>
          <t>A 29719-2019</t>
        </is>
      </c>
      <c r="B228" s="1" t="n">
        <v>43630</v>
      </c>
      <c r="C228" s="1" t="n">
        <v>45783</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29713-2019</t>
        </is>
      </c>
      <c r="B229" s="1" t="n">
        <v>43630</v>
      </c>
      <c r="C229" s="1" t="n">
        <v>45783</v>
      </c>
      <c r="D229" t="inlineStr">
        <is>
          <t>UPPSALA LÄN</t>
        </is>
      </c>
      <c r="E229" t="inlineStr">
        <is>
          <t>UPPSALA</t>
        </is>
      </c>
      <c r="G229" t="n">
        <v>1</v>
      </c>
      <c r="H229" t="n">
        <v>0</v>
      </c>
      <c r="I229" t="n">
        <v>0</v>
      </c>
      <c r="J229" t="n">
        <v>0</v>
      </c>
      <c r="K229" t="n">
        <v>0</v>
      </c>
      <c r="L229" t="n">
        <v>0</v>
      </c>
      <c r="M229" t="n">
        <v>0</v>
      </c>
      <c r="N229" t="n">
        <v>0</v>
      </c>
      <c r="O229" t="n">
        <v>0</v>
      </c>
      <c r="P229" t="n">
        <v>0</v>
      </c>
      <c r="Q229" t="n">
        <v>0</v>
      </c>
      <c r="R229" s="2" t="inlineStr"/>
    </row>
    <row r="230" ht="15" customHeight="1">
      <c r="A230" t="inlineStr">
        <is>
          <t>A 32558-2019</t>
        </is>
      </c>
      <c r="B230" s="1" t="n">
        <v>43647</v>
      </c>
      <c r="C230" s="1" t="n">
        <v>45783</v>
      </c>
      <c r="D230" t="inlineStr">
        <is>
          <t>UPPSALA LÄN</t>
        </is>
      </c>
      <c r="E230" t="inlineStr">
        <is>
          <t>UPPSALA</t>
        </is>
      </c>
      <c r="G230" t="n">
        <v>4.2</v>
      </c>
      <c r="H230" t="n">
        <v>0</v>
      </c>
      <c r="I230" t="n">
        <v>0</v>
      </c>
      <c r="J230" t="n">
        <v>0</v>
      </c>
      <c r="K230" t="n">
        <v>0</v>
      </c>
      <c r="L230" t="n">
        <v>0</v>
      </c>
      <c r="M230" t="n">
        <v>0</v>
      </c>
      <c r="N230" t="n">
        <v>0</v>
      </c>
      <c r="O230" t="n">
        <v>0</v>
      </c>
      <c r="P230" t="n">
        <v>0</v>
      </c>
      <c r="Q230" t="n">
        <v>0</v>
      </c>
      <c r="R230" s="2" t="inlineStr"/>
    </row>
    <row r="231" ht="15" customHeight="1">
      <c r="A231" t="inlineStr">
        <is>
          <t>A 34560-2019</t>
        </is>
      </c>
      <c r="B231" s="1" t="n">
        <v>43647</v>
      </c>
      <c r="C231" s="1" t="n">
        <v>45783</v>
      </c>
      <c r="D231" t="inlineStr">
        <is>
          <t>UPPSALA LÄN</t>
        </is>
      </c>
      <c r="E231" t="inlineStr">
        <is>
          <t>UPPSALA</t>
        </is>
      </c>
      <c r="G231" t="n">
        <v>8.6</v>
      </c>
      <c r="H231" t="n">
        <v>0</v>
      </c>
      <c r="I231" t="n">
        <v>0</v>
      </c>
      <c r="J231" t="n">
        <v>0</v>
      </c>
      <c r="K231" t="n">
        <v>0</v>
      </c>
      <c r="L231" t="n">
        <v>0</v>
      </c>
      <c r="M231" t="n">
        <v>0</v>
      </c>
      <c r="N231" t="n">
        <v>0</v>
      </c>
      <c r="O231" t="n">
        <v>0</v>
      </c>
      <c r="P231" t="n">
        <v>0</v>
      </c>
      <c r="Q231" t="n">
        <v>0</v>
      </c>
      <c r="R231" s="2" t="inlineStr"/>
    </row>
    <row r="232" ht="15" customHeight="1">
      <c r="A232" t="inlineStr">
        <is>
          <t>A 32830-2019</t>
        </is>
      </c>
      <c r="B232" s="1" t="n">
        <v>43648</v>
      </c>
      <c r="C232" s="1" t="n">
        <v>45783</v>
      </c>
      <c r="D232" t="inlineStr">
        <is>
          <t>UPPSALA LÄN</t>
        </is>
      </c>
      <c r="E232" t="inlineStr">
        <is>
          <t>UPPSALA</t>
        </is>
      </c>
      <c r="G232" t="n">
        <v>13.6</v>
      </c>
      <c r="H232" t="n">
        <v>0</v>
      </c>
      <c r="I232" t="n">
        <v>0</v>
      </c>
      <c r="J232" t="n">
        <v>0</v>
      </c>
      <c r="K232" t="n">
        <v>0</v>
      </c>
      <c r="L232" t="n">
        <v>0</v>
      </c>
      <c r="M232" t="n">
        <v>0</v>
      </c>
      <c r="N232" t="n">
        <v>0</v>
      </c>
      <c r="O232" t="n">
        <v>0</v>
      </c>
      <c r="P232" t="n">
        <v>0</v>
      </c>
      <c r="Q232" t="n">
        <v>0</v>
      </c>
      <c r="R232" s="2" t="inlineStr"/>
    </row>
    <row r="233" ht="15" customHeight="1">
      <c r="A233" t="inlineStr">
        <is>
          <t>A 33602-2019</t>
        </is>
      </c>
      <c r="B233" s="1" t="n">
        <v>43651</v>
      </c>
      <c r="C233" s="1" t="n">
        <v>45783</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33614-2019</t>
        </is>
      </c>
      <c r="B234" s="1" t="n">
        <v>43651</v>
      </c>
      <c r="C234" s="1" t="n">
        <v>45783</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33615-2019</t>
        </is>
      </c>
      <c r="B235" s="1" t="n">
        <v>43651</v>
      </c>
      <c r="C235" s="1" t="n">
        <v>45783</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33596-2019</t>
        </is>
      </c>
      <c r="B236" s="1" t="n">
        <v>43651</v>
      </c>
      <c r="C236" s="1" t="n">
        <v>45783</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34007-2019</t>
        </is>
      </c>
      <c r="B237" s="1" t="n">
        <v>43654</v>
      </c>
      <c r="C237" s="1" t="n">
        <v>45783</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34063-2019</t>
        </is>
      </c>
      <c r="B238" s="1" t="n">
        <v>43654</v>
      </c>
      <c r="C238" s="1" t="n">
        <v>45783</v>
      </c>
      <c r="D238" t="inlineStr">
        <is>
          <t>UPPSALA LÄN</t>
        </is>
      </c>
      <c r="E238" t="inlineStr">
        <is>
          <t>UPPSALA</t>
        </is>
      </c>
      <c r="G238" t="n">
        <v>1.5</v>
      </c>
      <c r="H238" t="n">
        <v>0</v>
      </c>
      <c r="I238" t="n">
        <v>0</v>
      </c>
      <c r="J238" t="n">
        <v>0</v>
      </c>
      <c r="K238" t="n">
        <v>0</v>
      </c>
      <c r="L238" t="n">
        <v>0</v>
      </c>
      <c r="M238" t="n">
        <v>0</v>
      </c>
      <c r="N238" t="n">
        <v>0</v>
      </c>
      <c r="O238" t="n">
        <v>0</v>
      </c>
      <c r="P238" t="n">
        <v>0</v>
      </c>
      <c r="Q238" t="n">
        <v>0</v>
      </c>
      <c r="R238" s="2" t="inlineStr"/>
    </row>
    <row r="239" ht="15" customHeight="1">
      <c r="A239" t="inlineStr">
        <is>
          <t>A 34331-2019</t>
        </is>
      </c>
      <c r="B239" s="1" t="n">
        <v>43656</v>
      </c>
      <c r="C239" s="1" t="n">
        <v>45783</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36345-2019</t>
        </is>
      </c>
      <c r="B240" s="1" t="n">
        <v>43661</v>
      </c>
      <c r="C240" s="1" t="n">
        <v>45783</v>
      </c>
      <c r="D240" t="inlineStr">
        <is>
          <t>UPPSALA LÄN</t>
        </is>
      </c>
      <c r="E240" t="inlineStr">
        <is>
          <t>UPPSALA</t>
        </is>
      </c>
      <c r="G240" t="n">
        <v>5.3</v>
      </c>
      <c r="H240" t="n">
        <v>0</v>
      </c>
      <c r="I240" t="n">
        <v>0</v>
      </c>
      <c r="J240" t="n">
        <v>0</v>
      </c>
      <c r="K240" t="n">
        <v>0</v>
      </c>
      <c r="L240" t="n">
        <v>0</v>
      </c>
      <c r="M240" t="n">
        <v>0</v>
      </c>
      <c r="N240" t="n">
        <v>0</v>
      </c>
      <c r="O240" t="n">
        <v>0</v>
      </c>
      <c r="P240" t="n">
        <v>0</v>
      </c>
      <c r="Q240" t="n">
        <v>0</v>
      </c>
      <c r="R240" s="2" t="inlineStr"/>
    </row>
    <row r="241" ht="15" customHeight="1">
      <c r="A241" t="inlineStr">
        <is>
          <t>A 36394-2019</t>
        </is>
      </c>
      <c r="B241" s="1" t="n">
        <v>43663</v>
      </c>
      <c r="C241" s="1" t="n">
        <v>45783</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37234-2019</t>
        </is>
      </c>
      <c r="B242" s="1" t="n">
        <v>43677</v>
      </c>
      <c r="C242" s="1" t="n">
        <v>45783</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37711-2019</t>
        </is>
      </c>
      <c r="B243" s="1" t="n">
        <v>43682</v>
      </c>
      <c r="C243" s="1" t="n">
        <v>45783</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38684-2019</t>
        </is>
      </c>
      <c r="B244" s="1" t="n">
        <v>43686</v>
      </c>
      <c r="C244" s="1" t="n">
        <v>45783</v>
      </c>
      <c r="D244" t="inlineStr">
        <is>
          <t>UPPSALA LÄN</t>
        </is>
      </c>
      <c r="E244" t="inlineStr">
        <is>
          <t>UPPSALA</t>
        </is>
      </c>
      <c r="G244" t="n">
        <v>0.4</v>
      </c>
      <c r="H244" t="n">
        <v>0</v>
      </c>
      <c r="I244" t="n">
        <v>0</v>
      </c>
      <c r="J244" t="n">
        <v>0</v>
      </c>
      <c r="K244" t="n">
        <v>0</v>
      </c>
      <c r="L244" t="n">
        <v>0</v>
      </c>
      <c r="M244" t="n">
        <v>0</v>
      </c>
      <c r="N244" t="n">
        <v>0</v>
      </c>
      <c r="O244" t="n">
        <v>0</v>
      </c>
      <c r="P244" t="n">
        <v>0</v>
      </c>
      <c r="Q244" t="n">
        <v>0</v>
      </c>
      <c r="R244" s="2" t="inlineStr"/>
    </row>
    <row r="245" ht="15" customHeight="1">
      <c r="A245" t="inlineStr">
        <is>
          <t>A 40151-2019</t>
        </is>
      </c>
      <c r="B245" s="1" t="n">
        <v>43693</v>
      </c>
      <c r="C245" s="1" t="n">
        <v>45783</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41609-2019</t>
        </is>
      </c>
      <c r="B246" s="1" t="n">
        <v>43696</v>
      </c>
      <c r="C246" s="1" t="n">
        <v>45783</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41653-2019</t>
        </is>
      </c>
      <c r="B247" s="1" t="n">
        <v>43696</v>
      </c>
      <c r="C247" s="1" t="n">
        <v>45783</v>
      </c>
      <c r="D247" t="inlineStr">
        <is>
          <t>UPPSALA LÄN</t>
        </is>
      </c>
      <c r="E247" t="inlineStr">
        <is>
          <t>UPPSALA</t>
        </is>
      </c>
      <c r="G247" t="n">
        <v>5.2</v>
      </c>
      <c r="H247" t="n">
        <v>0</v>
      </c>
      <c r="I247" t="n">
        <v>0</v>
      </c>
      <c r="J247" t="n">
        <v>0</v>
      </c>
      <c r="K247" t="n">
        <v>0</v>
      </c>
      <c r="L247" t="n">
        <v>0</v>
      </c>
      <c r="M247" t="n">
        <v>0</v>
      </c>
      <c r="N247" t="n">
        <v>0</v>
      </c>
      <c r="O247" t="n">
        <v>0</v>
      </c>
      <c r="P247" t="n">
        <v>0</v>
      </c>
      <c r="Q247" t="n">
        <v>0</v>
      </c>
      <c r="R247" s="2" t="inlineStr"/>
    </row>
    <row r="248" ht="15" customHeight="1">
      <c r="A248" t="inlineStr">
        <is>
          <t>A 41524-2019</t>
        </is>
      </c>
      <c r="B248" s="1" t="n">
        <v>43699</v>
      </c>
      <c r="C248" s="1" t="n">
        <v>45783</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41535-2019</t>
        </is>
      </c>
      <c r="B249" s="1" t="n">
        <v>43699</v>
      </c>
      <c r="C249" s="1" t="n">
        <v>45783</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41695-2019</t>
        </is>
      </c>
      <c r="B250" s="1" t="n">
        <v>43699</v>
      </c>
      <c r="C250" s="1" t="n">
        <v>45783</v>
      </c>
      <c r="D250" t="inlineStr">
        <is>
          <t>UPPSALA LÄN</t>
        </is>
      </c>
      <c r="E250" t="inlineStr">
        <is>
          <t>UPPSALA</t>
        </is>
      </c>
      <c r="G250" t="n">
        <v>3.1</v>
      </c>
      <c r="H250" t="n">
        <v>0</v>
      </c>
      <c r="I250" t="n">
        <v>0</v>
      </c>
      <c r="J250" t="n">
        <v>0</v>
      </c>
      <c r="K250" t="n">
        <v>0</v>
      </c>
      <c r="L250" t="n">
        <v>0</v>
      </c>
      <c r="M250" t="n">
        <v>0</v>
      </c>
      <c r="N250" t="n">
        <v>0</v>
      </c>
      <c r="O250" t="n">
        <v>0</v>
      </c>
      <c r="P250" t="n">
        <v>0</v>
      </c>
      <c r="Q250" t="n">
        <v>0</v>
      </c>
      <c r="R250" s="2" t="inlineStr"/>
    </row>
    <row r="251" ht="15" customHeight="1">
      <c r="A251" t="inlineStr">
        <is>
          <t>A 42111-2019</t>
        </is>
      </c>
      <c r="B251" s="1" t="n">
        <v>43703</v>
      </c>
      <c r="C251" s="1" t="n">
        <v>45783</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42986-2019</t>
        </is>
      </c>
      <c r="B252" s="1" t="n">
        <v>43705</v>
      </c>
      <c r="C252" s="1" t="n">
        <v>45783</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43222-2019</t>
        </is>
      </c>
      <c r="B253" s="1" t="n">
        <v>43706</v>
      </c>
      <c r="C253" s="1" t="n">
        <v>45783</v>
      </c>
      <c r="D253" t="inlineStr">
        <is>
          <t>UPPSALA LÄN</t>
        </is>
      </c>
      <c r="E253" t="inlineStr">
        <is>
          <t>UPPSALA</t>
        </is>
      </c>
      <c r="F253" t="inlineStr">
        <is>
          <t>Bergvik skog öst AB</t>
        </is>
      </c>
      <c r="G253" t="n">
        <v>3.6</v>
      </c>
      <c r="H253" t="n">
        <v>0</v>
      </c>
      <c r="I253" t="n">
        <v>0</v>
      </c>
      <c r="J253" t="n">
        <v>0</v>
      </c>
      <c r="K253" t="n">
        <v>0</v>
      </c>
      <c r="L253" t="n">
        <v>0</v>
      </c>
      <c r="M253" t="n">
        <v>0</v>
      </c>
      <c r="N253" t="n">
        <v>0</v>
      </c>
      <c r="O253" t="n">
        <v>0</v>
      </c>
      <c r="P253" t="n">
        <v>0</v>
      </c>
      <c r="Q253" t="n">
        <v>0</v>
      </c>
      <c r="R253" s="2" t="inlineStr"/>
    </row>
    <row r="254" ht="15" customHeight="1">
      <c r="A254" t="inlineStr">
        <is>
          <t>A 43410-2019</t>
        </is>
      </c>
      <c r="B254" s="1" t="n">
        <v>43706</v>
      </c>
      <c r="C254" s="1" t="n">
        <v>45783</v>
      </c>
      <c r="D254" t="inlineStr">
        <is>
          <t>UPPSALA LÄN</t>
        </is>
      </c>
      <c r="E254" t="inlineStr">
        <is>
          <t>UPPSALA</t>
        </is>
      </c>
      <c r="F254" t="inlineStr">
        <is>
          <t>Övriga statliga verk och myndigheter</t>
        </is>
      </c>
      <c r="G254" t="n">
        <v>8.6</v>
      </c>
      <c r="H254" t="n">
        <v>0</v>
      </c>
      <c r="I254" t="n">
        <v>0</v>
      </c>
      <c r="J254" t="n">
        <v>0</v>
      </c>
      <c r="K254" t="n">
        <v>0</v>
      </c>
      <c r="L254" t="n">
        <v>0</v>
      </c>
      <c r="M254" t="n">
        <v>0</v>
      </c>
      <c r="N254" t="n">
        <v>0</v>
      </c>
      <c r="O254" t="n">
        <v>0</v>
      </c>
      <c r="P254" t="n">
        <v>0</v>
      </c>
      <c r="Q254" t="n">
        <v>0</v>
      </c>
      <c r="R254" s="2" t="inlineStr"/>
    </row>
    <row r="255" ht="15" customHeight="1">
      <c r="A255" t="inlineStr">
        <is>
          <t>A 43715-2019</t>
        </is>
      </c>
      <c r="B255" s="1" t="n">
        <v>43706</v>
      </c>
      <c r="C255" s="1" t="n">
        <v>45783</v>
      </c>
      <c r="D255" t="inlineStr">
        <is>
          <t>UPPSALA LÄN</t>
        </is>
      </c>
      <c r="E255" t="inlineStr">
        <is>
          <t>UPPSALA</t>
        </is>
      </c>
      <c r="F255" t="inlineStr">
        <is>
          <t>Övriga statliga verk och myndigheter</t>
        </is>
      </c>
      <c r="G255" t="n">
        <v>0.8</v>
      </c>
      <c r="H255" t="n">
        <v>0</v>
      </c>
      <c r="I255" t="n">
        <v>0</v>
      </c>
      <c r="J255" t="n">
        <v>0</v>
      </c>
      <c r="K255" t="n">
        <v>0</v>
      </c>
      <c r="L255" t="n">
        <v>0</v>
      </c>
      <c r="M255" t="n">
        <v>0</v>
      </c>
      <c r="N255" t="n">
        <v>0</v>
      </c>
      <c r="O255" t="n">
        <v>0</v>
      </c>
      <c r="P255" t="n">
        <v>0</v>
      </c>
      <c r="Q255" t="n">
        <v>0</v>
      </c>
      <c r="R255" s="2" t="inlineStr"/>
    </row>
    <row r="256" ht="15" customHeight="1">
      <c r="A256" t="inlineStr">
        <is>
          <t>A 43224-2019</t>
        </is>
      </c>
      <c r="B256" s="1" t="n">
        <v>43706</v>
      </c>
      <c r="C256" s="1" t="n">
        <v>45783</v>
      </c>
      <c r="D256" t="inlineStr">
        <is>
          <t>UPPSALA LÄN</t>
        </is>
      </c>
      <c r="E256" t="inlineStr">
        <is>
          <t>UPPSALA</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43435-2019</t>
        </is>
      </c>
      <c r="B257" s="1" t="n">
        <v>43706</v>
      </c>
      <c r="C257" s="1" t="n">
        <v>45783</v>
      </c>
      <c r="D257" t="inlineStr">
        <is>
          <t>UPPSALA LÄN</t>
        </is>
      </c>
      <c r="E257" t="inlineStr">
        <is>
          <t>UPPSALA</t>
        </is>
      </c>
      <c r="G257" t="n">
        <v>5.4</v>
      </c>
      <c r="H257" t="n">
        <v>0</v>
      </c>
      <c r="I257" t="n">
        <v>0</v>
      </c>
      <c r="J257" t="n">
        <v>0</v>
      </c>
      <c r="K257" t="n">
        <v>0</v>
      </c>
      <c r="L257" t="n">
        <v>0</v>
      </c>
      <c r="M257" t="n">
        <v>0</v>
      </c>
      <c r="N257" t="n">
        <v>0</v>
      </c>
      <c r="O257" t="n">
        <v>0</v>
      </c>
      <c r="P257" t="n">
        <v>0</v>
      </c>
      <c r="Q257" t="n">
        <v>0</v>
      </c>
      <c r="R257" s="2" t="inlineStr"/>
    </row>
    <row r="258" ht="15" customHeight="1">
      <c r="A258" t="inlineStr">
        <is>
          <t>A 43722-2019</t>
        </is>
      </c>
      <c r="B258" s="1" t="n">
        <v>43706</v>
      </c>
      <c r="C258" s="1" t="n">
        <v>45783</v>
      </c>
      <c r="D258" t="inlineStr">
        <is>
          <t>UPPSALA LÄN</t>
        </is>
      </c>
      <c r="E258" t="inlineStr">
        <is>
          <t>UPPSALA</t>
        </is>
      </c>
      <c r="F258" t="inlineStr">
        <is>
          <t>Övriga statliga verk och myndigheter</t>
        </is>
      </c>
      <c r="G258" t="n">
        <v>0.6</v>
      </c>
      <c r="H258" t="n">
        <v>0</v>
      </c>
      <c r="I258" t="n">
        <v>0</v>
      </c>
      <c r="J258" t="n">
        <v>0</v>
      </c>
      <c r="K258" t="n">
        <v>0</v>
      </c>
      <c r="L258" t="n">
        <v>0</v>
      </c>
      <c r="M258" t="n">
        <v>0</v>
      </c>
      <c r="N258" t="n">
        <v>0</v>
      </c>
      <c r="O258" t="n">
        <v>0</v>
      </c>
      <c r="P258" t="n">
        <v>0</v>
      </c>
      <c r="Q258" t="n">
        <v>0</v>
      </c>
      <c r="R258" s="2" t="inlineStr"/>
    </row>
    <row r="259" ht="15" customHeight="1">
      <c r="A259" t="inlineStr">
        <is>
          <t>A 43704-2019</t>
        </is>
      </c>
      <c r="B259" s="1" t="n">
        <v>43707</v>
      </c>
      <c r="C259" s="1" t="n">
        <v>45783</v>
      </c>
      <c r="D259" t="inlineStr">
        <is>
          <t>UPPSALA LÄN</t>
        </is>
      </c>
      <c r="E259" t="inlineStr">
        <is>
          <t>UPPSALA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43725-2019</t>
        </is>
      </c>
      <c r="B260" s="1" t="n">
        <v>43707</v>
      </c>
      <c r="C260" s="1" t="n">
        <v>45783</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44109-2019</t>
        </is>
      </c>
      <c r="B261" s="1" t="n">
        <v>43707</v>
      </c>
      <c r="C261" s="1" t="n">
        <v>45783</v>
      </c>
      <c r="D261" t="inlineStr">
        <is>
          <t>UPPSALA LÄN</t>
        </is>
      </c>
      <c r="E261" t="inlineStr">
        <is>
          <t>UPPSALA</t>
        </is>
      </c>
      <c r="F261" t="inlineStr">
        <is>
          <t>Allmännings- och besparingsskogar</t>
        </is>
      </c>
      <c r="G261" t="n">
        <v>81.3</v>
      </c>
      <c r="H261" t="n">
        <v>0</v>
      </c>
      <c r="I261" t="n">
        <v>0</v>
      </c>
      <c r="J261" t="n">
        <v>0</v>
      </c>
      <c r="K261" t="n">
        <v>0</v>
      </c>
      <c r="L261" t="n">
        <v>0</v>
      </c>
      <c r="M261" t="n">
        <v>0</v>
      </c>
      <c r="N261" t="n">
        <v>0</v>
      </c>
      <c r="O261" t="n">
        <v>0</v>
      </c>
      <c r="P261" t="n">
        <v>0</v>
      </c>
      <c r="Q261" t="n">
        <v>0</v>
      </c>
      <c r="R261" s="2" t="inlineStr"/>
    </row>
    <row r="262" ht="15" customHeight="1">
      <c r="A262" t="inlineStr">
        <is>
          <t>A 43713-2019</t>
        </is>
      </c>
      <c r="B262" s="1" t="n">
        <v>43707</v>
      </c>
      <c r="C262" s="1" t="n">
        <v>45783</v>
      </c>
      <c r="D262" t="inlineStr">
        <is>
          <t>UPPSALA LÄN</t>
        </is>
      </c>
      <c r="E262" t="inlineStr">
        <is>
          <t>UPPSALA</t>
        </is>
      </c>
      <c r="F262" t="inlineStr">
        <is>
          <t>Bergvik skog öst AB</t>
        </is>
      </c>
      <c r="G262" t="n">
        <v>7.9</v>
      </c>
      <c r="H262" t="n">
        <v>0</v>
      </c>
      <c r="I262" t="n">
        <v>0</v>
      </c>
      <c r="J262" t="n">
        <v>0</v>
      </c>
      <c r="K262" t="n">
        <v>0</v>
      </c>
      <c r="L262" t="n">
        <v>0</v>
      </c>
      <c r="M262" t="n">
        <v>0</v>
      </c>
      <c r="N262" t="n">
        <v>0</v>
      </c>
      <c r="O262" t="n">
        <v>0</v>
      </c>
      <c r="P262" t="n">
        <v>0</v>
      </c>
      <c r="Q262" t="n">
        <v>0</v>
      </c>
      <c r="R262" s="2" t="inlineStr"/>
    </row>
    <row r="263" ht="15" customHeight="1">
      <c r="A263" t="inlineStr">
        <is>
          <t>A 43853-2019</t>
        </is>
      </c>
      <c r="B263" s="1" t="n">
        <v>43707</v>
      </c>
      <c r="C263" s="1" t="n">
        <v>45783</v>
      </c>
      <c r="D263" t="inlineStr">
        <is>
          <t>UPPSALA LÄN</t>
        </is>
      </c>
      <c r="E263" t="inlineStr">
        <is>
          <t>UPPSALA</t>
        </is>
      </c>
      <c r="F263" t="inlineStr">
        <is>
          <t>Övriga statliga verk och myndigheter</t>
        </is>
      </c>
      <c r="G263" t="n">
        <v>1.8</v>
      </c>
      <c r="H263" t="n">
        <v>0</v>
      </c>
      <c r="I263" t="n">
        <v>0</v>
      </c>
      <c r="J263" t="n">
        <v>0</v>
      </c>
      <c r="K263" t="n">
        <v>0</v>
      </c>
      <c r="L263" t="n">
        <v>0</v>
      </c>
      <c r="M263" t="n">
        <v>0</v>
      </c>
      <c r="N263" t="n">
        <v>0</v>
      </c>
      <c r="O263" t="n">
        <v>0</v>
      </c>
      <c r="P263" t="n">
        <v>0</v>
      </c>
      <c r="Q263" t="n">
        <v>0</v>
      </c>
      <c r="R263" s="2" t="inlineStr"/>
    </row>
    <row r="264" ht="15" customHeight="1">
      <c r="A264" t="inlineStr">
        <is>
          <t>A 44141-2019</t>
        </is>
      </c>
      <c r="B264" s="1" t="n">
        <v>43710</v>
      </c>
      <c r="C264" s="1" t="n">
        <v>45783</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44701-2019</t>
        </is>
      </c>
      <c r="B265" s="1" t="n">
        <v>43712</v>
      </c>
      <c r="C265" s="1" t="n">
        <v>45783</v>
      </c>
      <c r="D265" t="inlineStr">
        <is>
          <t>UPPSALA LÄN</t>
        </is>
      </c>
      <c r="E265" t="inlineStr">
        <is>
          <t>UPPSALA</t>
        </is>
      </c>
      <c r="G265" t="n">
        <v>3.4</v>
      </c>
      <c r="H265" t="n">
        <v>0</v>
      </c>
      <c r="I265" t="n">
        <v>0</v>
      </c>
      <c r="J265" t="n">
        <v>0</v>
      </c>
      <c r="K265" t="n">
        <v>0</v>
      </c>
      <c r="L265" t="n">
        <v>0</v>
      </c>
      <c r="M265" t="n">
        <v>0</v>
      </c>
      <c r="N265" t="n">
        <v>0</v>
      </c>
      <c r="O265" t="n">
        <v>0</v>
      </c>
      <c r="P265" t="n">
        <v>0</v>
      </c>
      <c r="Q265" t="n">
        <v>0</v>
      </c>
      <c r="R265" s="2" t="inlineStr"/>
    </row>
    <row r="266" ht="15" customHeight="1">
      <c r="A266" t="inlineStr">
        <is>
          <t>A 44687-2019</t>
        </is>
      </c>
      <c r="B266" s="1" t="n">
        <v>43712</v>
      </c>
      <c r="C266" s="1" t="n">
        <v>45783</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45010-2019</t>
        </is>
      </c>
      <c r="B267" s="1" t="n">
        <v>43713</v>
      </c>
      <c r="C267" s="1" t="n">
        <v>45783</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45574-2019</t>
        </is>
      </c>
      <c r="B268" s="1" t="n">
        <v>43716</v>
      </c>
      <c r="C268" s="1" t="n">
        <v>45783</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46311-2019</t>
        </is>
      </c>
      <c r="B269" s="1" t="n">
        <v>43718</v>
      </c>
      <c r="C269" s="1" t="n">
        <v>45783</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46307-2019</t>
        </is>
      </c>
      <c r="B270" s="1" t="n">
        <v>43718</v>
      </c>
      <c r="C270" s="1" t="n">
        <v>45783</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46151-2019</t>
        </is>
      </c>
      <c r="B271" s="1" t="n">
        <v>43718</v>
      </c>
      <c r="C271" s="1" t="n">
        <v>45783</v>
      </c>
      <c r="D271" t="inlineStr">
        <is>
          <t>UPPSALA LÄN</t>
        </is>
      </c>
      <c r="E271" t="inlineStr">
        <is>
          <t>UPPSALA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46157-2019</t>
        </is>
      </c>
      <c r="B272" s="1" t="n">
        <v>43718</v>
      </c>
      <c r="C272" s="1" t="n">
        <v>45783</v>
      </c>
      <c r="D272" t="inlineStr">
        <is>
          <t>UPPSALA LÄN</t>
        </is>
      </c>
      <c r="E272" t="inlineStr">
        <is>
          <t>UPPSALA</t>
        </is>
      </c>
      <c r="F272" t="inlineStr">
        <is>
          <t>Övriga Aktiebolag</t>
        </is>
      </c>
      <c r="G272" t="n">
        <v>4.5</v>
      </c>
      <c r="H272" t="n">
        <v>0</v>
      </c>
      <c r="I272" t="n">
        <v>0</v>
      </c>
      <c r="J272" t="n">
        <v>0</v>
      </c>
      <c r="K272" t="n">
        <v>0</v>
      </c>
      <c r="L272" t="n">
        <v>0</v>
      </c>
      <c r="M272" t="n">
        <v>0</v>
      </c>
      <c r="N272" t="n">
        <v>0</v>
      </c>
      <c r="O272" t="n">
        <v>0</v>
      </c>
      <c r="P272" t="n">
        <v>0</v>
      </c>
      <c r="Q272" t="n">
        <v>0</v>
      </c>
      <c r="R272" s="2" t="inlineStr"/>
    </row>
    <row r="273" ht="15" customHeight="1">
      <c r="A273" t="inlineStr">
        <is>
          <t>A 46310-2019</t>
        </is>
      </c>
      <c r="B273" s="1" t="n">
        <v>43718</v>
      </c>
      <c r="C273" s="1" t="n">
        <v>45783</v>
      </c>
      <c r="D273" t="inlineStr">
        <is>
          <t>UPPSALA LÄN</t>
        </is>
      </c>
      <c r="E273" t="inlineStr">
        <is>
          <t>UPPSALA</t>
        </is>
      </c>
      <c r="G273" t="n">
        <v>7</v>
      </c>
      <c r="H273" t="n">
        <v>0</v>
      </c>
      <c r="I273" t="n">
        <v>0</v>
      </c>
      <c r="J273" t="n">
        <v>0</v>
      </c>
      <c r="K273" t="n">
        <v>0</v>
      </c>
      <c r="L273" t="n">
        <v>0</v>
      </c>
      <c r="M273" t="n">
        <v>0</v>
      </c>
      <c r="N273" t="n">
        <v>0</v>
      </c>
      <c r="O273" t="n">
        <v>0</v>
      </c>
      <c r="P273" t="n">
        <v>0</v>
      </c>
      <c r="Q273" t="n">
        <v>0</v>
      </c>
      <c r="R273" s="2" t="inlineStr"/>
    </row>
    <row r="274" ht="15" customHeight="1">
      <c r="A274" t="inlineStr">
        <is>
          <t>A 46147-2019</t>
        </is>
      </c>
      <c r="B274" s="1" t="n">
        <v>43718</v>
      </c>
      <c r="C274" s="1" t="n">
        <v>45783</v>
      </c>
      <c r="D274" t="inlineStr">
        <is>
          <t>UPPSALA LÄN</t>
        </is>
      </c>
      <c r="E274" t="inlineStr">
        <is>
          <t>UPPSALA</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46877-2019</t>
        </is>
      </c>
      <c r="B275" s="1" t="n">
        <v>43720</v>
      </c>
      <c r="C275" s="1" t="n">
        <v>45783</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46896-2019</t>
        </is>
      </c>
      <c r="B276" s="1" t="n">
        <v>43720</v>
      </c>
      <c r="C276" s="1" t="n">
        <v>45783</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48485-2019</t>
        </is>
      </c>
      <c r="B277" s="1" t="n">
        <v>43727</v>
      </c>
      <c r="C277" s="1" t="n">
        <v>45783</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49567-2019</t>
        </is>
      </c>
      <c r="B278" s="1" t="n">
        <v>43730</v>
      </c>
      <c r="C278" s="1" t="n">
        <v>45783</v>
      </c>
      <c r="D278" t="inlineStr">
        <is>
          <t>UPPSALA LÄN</t>
        </is>
      </c>
      <c r="E278" t="inlineStr">
        <is>
          <t>UPPSALA</t>
        </is>
      </c>
      <c r="G278" t="n">
        <v>6</v>
      </c>
      <c r="H278" t="n">
        <v>0</v>
      </c>
      <c r="I278" t="n">
        <v>0</v>
      </c>
      <c r="J278" t="n">
        <v>0</v>
      </c>
      <c r="K278" t="n">
        <v>0</v>
      </c>
      <c r="L278" t="n">
        <v>0</v>
      </c>
      <c r="M278" t="n">
        <v>0</v>
      </c>
      <c r="N278" t="n">
        <v>0</v>
      </c>
      <c r="O278" t="n">
        <v>0</v>
      </c>
      <c r="P278" t="n">
        <v>0</v>
      </c>
      <c r="Q278" t="n">
        <v>0</v>
      </c>
      <c r="R278" s="2" t="inlineStr"/>
    </row>
    <row r="279" ht="15" customHeight="1">
      <c r="A279" t="inlineStr">
        <is>
          <t>A 50180-2019</t>
        </is>
      </c>
      <c r="B279" s="1" t="n">
        <v>43733</v>
      </c>
      <c r="C279" s="1" t="n">
        <v>45783</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50387-2019</t>
        </is>
      </c>
      <c r="B280" s="1" t="n">
        <v>43735</v>
      </c>
      <c r="C280" s="1" t="n">
        <v>45783</v>
      </c>
      <c r="D280" t="inlineStr">
        <is>
          <t>UPPSALA LÄN</t>
        </is>
      </c>
      <c r="E280" t="inlineStr">
        <is>
          <t>UPPSALA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50415-2019</t>
        </is>
      </c>
      <c r="B281" s="1" t="n">
        <v>43735</v>
      </c>
      <c r="C281" s="1" t="n">
        <v>45783</v>
      </c>
      <c r="D281" t="inlineStr">
        <is>
          <t>UPPSALA LÄN</t>
        </is>
      </c>
      <c r="E281" t="inlineStr">
        <is>
          <t>UPPSALA</t>
        </is>
      </c>
      <c r="F281" t="inlineStr">
        <is>
          <t>Kyrkan</t>
        </is>
      </c>
      <c r="G281" t="n">
        <v>13.6</v>
      </c>
      <c r="H281" t="n">
        <v>0</v>
      </c>
      <c r="I281" t="n">
        <v>0</v>
      </c>
      <c r="J281" t="n">
        <v>0</v>
      </c>
      <c r="K281" t="n">
        <v>0</v>
      </c>
      <c r="L281" t="n">
        <v>0</v>
      </c>
      <c r="M281" t="n">
        <v>0</v>
      </c>
      <c r="N281" t="n">
        <v>0</v>
      </c>
      <c r="O281" t="n">
        <v>0</v>
      </c>
      <c r="P281" t="n">
        <v>0</v>
      </c>
      <c r="Q281" t="n">
        <v>0</v>
      </c>
      <c r="R281" s="2" t="inlineStr"/>
    </row>
    <row r="282" ht="15" customHeight="1">
      <c r="A282" t="inlineStr">
        <is>
          <t>A 50616-2019</t>
        </is>
      </c>
      <c r="B282" s="1" t="n">
        <v>43736</v>
      </c>
      <c r="C282" s="1" t="n">
        <v>45783</v>
      </c>
      <c r="D282" t="inlineStr">
        <is>
          <t>UPPSALA LÄN</t>
        </is>
      </c>
      <c r="E282" t="inlineStr">
        <is>
          <t>UPPSALA</t>
        </is>
      </c>
      <c r="G282" t="n">
        <v>4.8</v>
      </c>
      <c r="H282" t="n">
        <v>0</v>
      </c>
      <c r="I282" t="n">
        <v>0</v>
      </c>
      <c r="J282" t="n">
        <v>0</v>
      </c>
      <c r="K282" t="n">
        <v>0</v>
      </c>
      <c r="L282" t="n">
        <v>0</v>
      </c>
      <c r="M282" t="n">
        <v>0</v>
      </c>
      <c r="N282" t="n">
        <v>0</v>
      </c>
      <c r="O282" t="n">
        <v>0</v>
      </c>
      <c r="P282" t="n">
        <v>0</v>
      </c>
      <c r="Q282" t="n">
        <v>0</v>
      </c>
      <c r="R282" s="2" t="inlineStr"/>
    </row>
    <row r="283" ht="15" customHeight="1">
      <c r="A283" t="inlineStr">
        <is>
          <t>A 52386-2019</t>
        </is>
      </c>
      <c r="B283" s="1" t="n">
        <v>43745</v>
      </c>
      <c r="C283" s="1" t="n">
        <v>45783</v>
      </c>
      <c r="D283" t="inlineStr">
        <is>
          <t>UPPSALA LÄN</t>
        </is>
      </c>
      <c r="E283" t="inlineStr">
        <is>
          <t>UPPSALA</t>
        </is>
      </c>
      <c r="G283" t="n">
        <v>15.7</v>
      </c>
      <c r="H283" t="n">
        <v>0</v>
      </c>
      <c r="I283" t="n">
        <v>0</v>
      </c>
      <c r="J283" t="n">
        <v>0</v>
      </c>
      <c r="K283" t="n">
        <v>0</v>
      </c>
      <c r="L283" t="n">
        <v>0</v>
      </c>
      <c r="M283" t="n">
        <v>0</v>
      </c>
      <c r="N283" t="n">
        <v>0</v>
      </c>
      <c r="O283" t="n">
        <v>0</v>
      </c>
      <c r="P283" t="n">
        <v>0</v>
      </c>
      <c r="Q283" t="n">
        <v>0</v>
      </c>
      <c r="R283" s="2" t="inlineStr"/>
    </row>
    <row r="284" ht="15" customHeight="1">
      <c r="A284" t="inlineStr">
        <is>
          <t>A 52419-2019</t>
        </is>
      </c>
      <c r="B284" s="1" t="n">
        <v>43745</v>
      </c>
      <c r="C284" s="1" t="n">
        <v>45783</v>
      </c>
      <c r="D284" t="inlineStr">
        <is>
          <t>UPPSALA LÄN</t>
        </is>
      </c>
      <c r="E284" t="inlineStr">
        <is>
          <t>UPPSALA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52950-2019</t>
        </is>
      </c>
      <c r="B285" s="1" t="n">
        <v>43747</v>
      </c>
      <c r="C285" s="1" t="n">
        <v>45783</v>
      </c>
      <c r="D285" t="inlineStr">
        <is>
          <t>UPPSALA LÄN</t>
        </is>
      </c>
      <c r="E285" t="inlineStr">
        <is>
          <t>UPPSALA</t>
        </is>
      </c>
      <c r="G285" t="n">
        <v>0.2</v>
      </c>
      <c r="H285" t="n">
        <v>0</v>
      </c>
      <c r="I285" t="n">
        <v>0</v>
      </c>
      <c r="J285" t="n">
        <v>0</v>
      </c>
      <c r="K285" t="n">
        <v>0</v>
      </c>
      <c r="L285" t="n">
        <v>0</v>
      </c>
      <c r="M285" t="n">
        <v>0</v>
      </c>
      <c r="N285" t="n">
        <v>0</v>
      </c>
      <c r="O285" t="n">
        <v>0</v>
      </c>
      <c r="P285" t="n">
        <v>0</v>
      </c>
      <c r="Q285" t="n">
        <v>0</v>
      </c>
      <c r="R285" s="2" t="inlineStr"/>
    </row>
    <row r="286" ht="15" customHeight="1">
      <c r="A286" t="inlineStr">
        <is>
          <t>A 53303-2019</t>
        </is>
      </c>
      <c r="B286" s="1" t="n">
        <v>43747</v>
      </c>
      <c r="C286" s="1" t="n">
        <v>45783</v>
      </c>
      <c r="D286" t="inlineStr">
        <is>
          <t>UPPSALA LÄN</t>
        </is>
      </c>
      <c r="E286" t="inlineStr">
        <is>
          <t>UPPSALA</t>
        </is>
      </c>
      <c r="F286" t="inlineStr">
        <is>
          <t>Allmännings- och besparingsskogar</t>
        </is>
      </c>
      <c r="G286" t="n">
        <v>17.5</v>
      </c>
      <c r="H286" t="n">
        <v>0</v>
      </c>
      <c r="I286" t="n">
        <v>0</v>
      </c>
      <c r="J286" t="n">
        <v>0</v>
      </c>
      <c r="K286" t="n">
        <v>0</v>
      </c>
      <c r="L286" t="n">
        <v>0</v>
      </c>
      <c r="M286" t="n">
        <v>0</v>
      </c>
      <c r="N286" t="n">
        <v>0</v>
      </c>
      <c r="O286" t="n">
        <v>0</v>
      </c>
      <c r="P286" t="n">
        <v>0</v>
      </c>
      <c r="Q286" t="n">
        <v>0</v>
      </c>
      <c r="R286" s="2" t="inlineStr"/>
    </row>
    <row r="287" ht="15" customHeight="1">
      <c r="A287" t="inlineStr">
        <is>
          <t>A 53316-2019</t>
        </is>
      </c>
      <c r="B287" s="1" t="n">
        <v>43748</v>
      </c>
      <c r="C287" s="1" t="n">
        <v>45783</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54757-2019</t>
        </is>
      </c>
      <c r="B288" s="1" t="n">
        <v>43755</v>
      </c>
      <c r="C288" s="1" t="n">
        <v>45783</v>
      </c>
      <c r="D288" t="inlineStr">
        <is>
          <t>UPPSALA LÄN</t>
        </is>
      </c>
      <c r="E288" t="inlineStr">
        <is>
          <t>UPPSALA</t>
        </is>
      </c>
      <c r="F288" t="inlineStr">
        <is>
          <t>Övriga statliga verk och myndigheter</t>
        </is>
      </c>
      <c r="G288" t="n">
        <v>1.5</v>
      </c>
      <c r="H288" t="n">
        <v>0</v>
      </c>
      <c r="I288" t="n">
        <v>0</v>
      </c>
      <c r="J288" t="n">
        <v>0</v>
      </c>
      <c r="K288" t="n">
        <v>0</v>
      </c>
      <c r="L288" t="n">
        <v>0</v>
      </c>
      <c r="M288" t="n">
        <v>0</v>
      </c>
      <c r="N288" t="n">
        <v>0</v>
      </c>
      <c r="O288" t="n">
        <v>0</v>
      </c>
      <c r="P288" t="n">
        <v>0</v>
      </c>
      <c r="Q288" t="n">
        <v>0</v>
      </c>
      <c r="R288" s="2" t="inlineStr"/>
    </row>
    <row r="289" ht="15" customHeight="1">
      <c r="A289" t="inlineStr">
        <is>
          <t>A 56041-2019</t>
        </is>
      </c>
      <c r="B289" s="1" t="n">
        <v>43759</v>
      </c>
      <c r="C289" s="1" t="n">
        <v>45783</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56634-2019</t>
        </is>
      </c>
      <c r="B290" s="1" t="n">
        <v>43763</v>
      </c>
      <c r="C290" s="1" t="n">
        <v>45783</v>
      </c>
      <c r="D290" t="inlineStr">
        <is>
          <t>UPPSALA LÄN</t>
        </is>
      </c>
      <c r="E290" t="inlineStr">
        <is>
          <t>UPPSALA</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58445-2019</t>
        </is>
      </c>
      <c r="B291" s="1" t="n">
        <v>43773</v>
      </c>
      <c r="C291" s="1" t="n">
        <v>45783</v>
      </c>
      <c r="D291" t="inlineStr">
        <is>
          <t>UPPSALA LÄN</t>
        </is>
      </c>
      <c r="E291" t="inlineStr">
        <is>
          <t>UPPSALA</t>
        </is>
      </c>
      <c r="G291" t="n">
        <v>5</v>
      </c>
      <c r="H291" t="n">
        <v>0</v>
      </c>
      <c r="I291" t="n">
        <v>0</v>
      </c>
      <c r="J291" t="n">
        <v>0</v>
      </c>
      <c r="K291" t="n">
        <v>0</v>
      </c>
      <c r="L291" t="n">
        <v>0</v>
      </c>
      <c r="M291" t="n">
        <v>0</v>
      </c>
      <c r="N291" t="n">
        <v>0</v>
      </c>
      <c r="O291" t="n">
        <v>0</v>
      </c>
      <c r="P291" t="n">
        <v>0</v>
      </c>
      <c r="Q291" t="n">
        <v>0</v>
      </c>
      <c r="R291" s="2" t="inlineStr"/>
    </row>
    <row r="292" ht="15" customHeight="1">
      <c r="A292" t="inlineStr">
        <is>
          <t>A 58527-2019</t>
        </is>
      </c>
      <c r="B292" s="1" t="n">
        <v>43773</v>
      </c>
      <c r="C292" s="1" t="n">
        <v>45783</v>
      </c>
      <c r="D292" t="inlineStr">
        <is>
          <t>UPPSALA LÄN</t>
        </is>
      </c>
      <c r="E292" t="inlineStr">
        <is>
          <t>UPPSALA</t>
        </is>
      </c>
      <c r="G292" t="n">
        <v>0.6</v>
      </c>
      <c r="H292" t="n">
        <v>0</v>
      </c>
      <c r="I292" t="n">
        <v>0</v>
      </c>
      <c r="J292" t="n">
        <v>0</v>
      </c>
      <c r="K292" t="n">
        <v>0</v>
      </c>
      <c r="L292" t="n">
        <v>0</v>
      </c>
      <c r="M292" t="n">
        <v>0</v>
      </c>
      <c r="N292" t="n">
        <v>0</v>
      </c>
      <c r="O292" t="n">
        <v>0</v>
      </c>
      <c r="P292" t="n">
        <v>0</v>
      </c>
      <c r="Q292" t="n">
        <v>0</v>
      </c>
      <c r="R292" s="2" t="inlineStr"/>
    </row>
    <row r="293" ht="15" customHeight="1">
      <c r="A293" t="inlineStr">
        <is>
          <t>A 58903-2019</t>
        </is>
      </c>
      <c r="B293" s="1" t="n">
        <v>43773</v>
      </c>
      <c r="C293" s="1" t="n">
        <v>45783</v>
      </c>
      <c r="D293" t="inlineStr">
        <is>
          <t>UPPSALA LÄN</t>
        </is>
      </c>
      <c r="E293" t="inlineStr">
        <is>
          <t>UPPSALA</t>
        </is>
      </c>
      <c r="F293" t="inlineStr">
        <is>
          <t>Övriga Aktiebolag</t>
        </is>
      </c>
      <c r="G293" t="n">
        <v>0.6</v>
      </c>
      <c r="H293" t="n">
        <v>0</v>
      </c>
      <c r="I293" t="n">
        <v>0</v>
      </c>
      <c r="J293" t="n">
        <v>0</v>
      </c>
      <c r="K293" t="n">
        <v>0</v>
      </c>
      <c r="L293" t="n">
        <v>0</v>
      </c>
      <c r="M293" t="n">
        <v>0</v>
      </c>
      <c r="N293" t="n">
        <v>0</v>
      </c>
      <c r="O293" t="n">
        <v>0</v>
      </c>
      <c r="P293" t="n">
        <v>0</v>
      </c>
      <c r="Q293" t="n">
        <v>0</v>
      </c>
      <c r="R293" s="2" t="inlineStr"/>
    </row>
    <row r="294" ht="15" customHeight="1">
      <c r="A294" t="inlineStr">
        <is>
          <t>A 60011-2019</t>
        </is>
      </c>
      <c r="B294" s="1" t="n">
        <v>43777</v>
      </c>
      <c r="C294" s="1" t="n">
        <v>45783</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60159-2019</t>
        </is>
      </c>
      <c r="B295" s="1" t="n">
        <v>43777</v>
      </c>
      <c r="C295" s="1" t="n">
        <v>45783</v>
      </c>
      <c r="D295" t="inlineStr">
        <is>
          <t>UPPSALA LÄN</t>
        </is>
      </c>
      <c r="E295" t="inlineStr">
        <is>
          <t>UPPSALA</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60163-2019</t>
        </is>
      </c>
      <c r="B296" s="1" t="n">
        <v>43780</v>
      </c>
      <c r="C296" s="1" t="n">
        <v>45783</v>
      </c>
      <c r="D296" t="inlineStr">
        <is>
          <t>UPPSALA LÄN</t>
        </is>
      </c>
      <c r="E296" t="inlineStr">
        <is>
          <t>UPPSALA</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60579-2019</t>
        </is>
      </c>
      <c r="B297" s="1" t="n">
        <v>43780</v>
      </c>
      <c r="C297" s="1" t="n">
        <v>45783</v>
      </c>
      <c r="D297" t="inlineStr">
        <is>
          <t>UPPSALA LÄN</t>
        </is>
      </c>
      <c r="E297" t="inlineStr">
        <is>
          <t>UPPSALA</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62308-2019</t>
        </is>
      </c>
      <c r="B298" s="1" t="n">
        <v>43782</v>
      </c>
      <c r="C298" s="1" t="n">
        <v>45783</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61667-2019</t>
        </is>
      </c>
      <c r="B299" s="1" t="n">
        <v>43784</v>
      </c>
      <c r="C299" s="1" t="n">
        <v>45783</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63145-2019</t>
        </is>
      </c>
      <c r="B300" s="1" t="n">
        <v>43791</v>
      </c>
      <c r="C300" s="1" t="n">
        <v>45783</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63091-2019</t>
        </is>
      </c>
      <c r="B301" s="1" t="n">
        <v>43791</v>
      </c>
      <c r="C301" s="1" t="n">
        <v>45783</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63099-2019</t>
        </is>
      </c>
      <c r="B302" s="1" t="n">
        <v>43791</v>
      </c>
      <c r="C302" s="1" t="n">
        <v>45783</v>
      </c>
      <c r="D302" t="inlineStr">
        <is>
          <t>UPPSALA LÄN</t>
        </is>
      </c>
      <c r="E302" t="inlineStr">
        <is>
          <t>UPPSALA</t>
        </is>
      </c>
      <c r="G302" t="n">
        <v>4.4</v>
      </c>
      <c r="H302" t="n">
        <v>0</v>
      </c>
      <c r="I302" t="n">
        <v>0</v>
      </c>
      <c r="J302" t="n">
        <v>0</v>
      </c>
      <c r="K302" t="n">
        <v>0</v>
      </c>
      <c r="L302" t="n">
        <v>0</v>
      </c>
      <c r="M302" t="n">
        <v>0</v>
      </c>
      <c r="N302" t="n">
        <v>0</v>
      </c>
      <c r="O302" t="n">
        <v>0</v>
      </c>
      <c r="P302" t="n">
        <v>0</v>
      </c>
      <c r="Q302" t="n">
        <v>0</v>
      </c>
      <c r="R302" s="2" t="inlineStr"/>
    </row>
    <row r="303" ht="15" customHeight="1">
      <c r="A303" t="inlineStr">
        <is>
          <t>A 63118-2019</t>
        </is>
      </c>
      <c r="B303" s="1" t="n">
        <v>43791</v>
      </c>
      <c r="C303" s="1" t="n">
        <v>45783</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63589-2019</t>
        </is>
      </c>
      <c r="B304" s="1" t="n">
        <v>43795</v>
      </c>
      <c r="C304" s="1" t="n">
        <v>45783</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63757-2019</t>
        </is>
      </c>
      <c r="B305" s="1" t="n">
        <v>43795</v>
      </c>
      <c r="C305" s="1" t="n">
        <v>45783</v>
      </c>
      <c r="D305" t="inlineStr">
        <is>
          <t>UPPSALA LÄN</t>
        </is>
      </c>
      <c r="E305" t="inlineStr">
        <is>
          <t>UPPSALA</t>
        </is>
      </c>
      <c r="G305" t="n">
        <v>6.9</v>
      </c>
      <c r="H305" t="n">
        <v>0</v>
      </c>
      <c r="I305" t="n">
        <v>0</v>
      </c>
      <c r="J305" t="n">
        <v>0</v>
      </c>
      <c r="K305" t="n">
        <v>0</v>
      </c>
      <c r="L305" t="n">
        <v>0</v>
      </c>
      <c r="M305" t="n">
        <v>0</v>
      </c>
      <c r="N305" t="n">
        <v>0</v>
      </c>
      <c r="O305" t="n">
        <v>0</v>
      </c>
      <c r="P305" t="n">
        <v>0</v>
      </c>
      <c r="Q305" t="n">
        <v>0</v>
      </c>
      <c r="R305" s="2" t="inlineStr"/>
    </row>
    <row r="306" ht="15" customHeight="1">
      <c r="A306" t="inlineStr">
        <is>
          <t>A 63756-2019</t>
        </is>
      </c>
      <c r="B306" s="1" t="n">
        <v>43795</v>
      </c>
      <c r="C306" s="1" t="n">
        <v>45783</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64836-2019</t>
        </is>
      </c>
      <c r="B307" s="1" t="n">
        <v>43801</v>
      </c>
      <c r="C307" s="1" t="n">
        <v>45783</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64834-2019</t>
        </is>
      </c>
      <c r="B308" s="1" t="n">
        <v>43801</v>
      </c>
      <c r="C308" s="1" t="n">
        <v>45783</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65527-2019</t>
        </is>
      </c>
      <c r="B309" s="1" t="n">
        <v>43803</v>
      </c>
      <c r="C309" s="1" t="n">
        <v>45783</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65668-2019</t>
        </is>
      </c>
      <c r="B310" s="1" t="n">
        <v>43804</v>
      </c>
      <c r="C310" s="1" t="n">
        <v>45783</v>
      </c>
      <c r="D310" t="inlineStr">
        <is>
          <t>UPPSALA LÄN</t>
        </is>
      </c>
      <c r="E310" t="inlineStr">
        <is>
          <t>UPPSALA</t>
        </is>
      </c>
      <c r="G310" t="n">
        <v>7.6</v>
      </c>
      <c r="H310" t="n">
        <v>0</v>
      </c>
      <c r="I310" t="n">
        <v>0</v>
      </c>
      <c r="J310" t="n">
        <v>0</v>
      </c>
      <c r="K310" t="n">
        <v>0</v>
      </c>
      <c r="L310" t="n">
        <v>0</v>
      </c>
      <c r="M310" t="n">
        <v>0</v>
      </c>
      <c r="N310" t="n">
        <v>0</v>
      </c>
      <c r="O310" t="n">
        <v>0</v>
      </c>
      <c r="P310" t="n">
        <v>0</v>
      </c>
      <c r="Q310" t="n">
        <v>0</v>
      </c>
      <c r="R310" s="2" t="inlineStr"/>
    </row>
    <row r="311" ht="15" customHeight="1">
      <c r="A311" t="inlineStr">
        <is>
          <t>A 66167-2019</t>
        </is>
      </c>
      <c r="B311" s="1" t="n">
        <v>43808</v>
      </c>
      <c r="C311" s="1" t="n">
        <v>45783</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66270-2019</t>
        </is>
      </c>
      <c r="B312" s="1" t="n">
        <v>43808</v>
      </c>
      <c r="C312" s="1" t="n">
        <v>45783</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67108-2019</t>
        </is>
      </c>
      <c r="B313" s="1" t="n">
        <v>43811</v>
      </c>
      <c r="C313" s="1" t="n">
        <v>45783</v>
      </c>
      <c r="D313" t="inlineStr">
        <is>
          <t>UPPSALA LÄN</t>
        </is>
      </c>
      <c r="E313" t="inlineStr">
        <is>
          <t>UPPSALA</t>
        </is>
      </c>
      <c r="G313" t="n">
        <v>2.7</v>
      </c>
      <c r="H313" t="n">
        <v>0</v>
      </c>
      <c r="I313" t="n">
        <v>0</v>
      </c>
      <c r="J313" t="n">
        <v>0</v>
      </c>
      <c r="K313" t="n">
        <v>0</v>
      </c>
      <c r="L313" t="n">
        <v>0</v>
      </c>
      <c r="M313" t="n">
        <v>0</v>
      </c>
      <c r="N313" t="n">
        <v>0</v>
      </c>
      <c r="O313" t="n">
        <v>0</v>
      </c>
      <c r="P313" t="n">
        <v>0</v>
      </c>
      <c r="Q313" t="n">
        <v>0</v>
      </c>
      <c r="R313" s="2" t="inlineStr"/>
    </row>
    <row r="314" ht="15" customHeight="1">
      <c r="A314" t="inlineStr">
        <is>
          <t>A 67281-2019</t>
        </is>
      </c>
      <c r="B314" s="1" t="n">
        <v>43812</v>
      </c>
      <c r="C314" s="1" t="n">
        <v>45783</v>
      </c>
      <c r="D314" t="inlineStr">
        <is>
          <t>UPPSALA LÄN</t>
        </is>
      </c>
      <c r="E314" t="inlineStr">
        <is>
          <t>UPPSALA</t>
        </is>
      </c>
      <c r="F314" t="inlineStr">
        <is>
          <t>Allmännings- och besparingsskogar</t>
        </is>
      </c>
      <c r="G314" t="n">
        <v>1.2</v>
      </c>
      <c r="H314" t="n">
        <v>0</v>
      </c>
      <c r="I314" t="n">
        <v>0</v>
      </c>
      <c r="J314" t="n">
        <v>0</v>
      </c>
      <c r="K314" t="n">
        <v>0</v>
      </c>
      <c r="L314" t="n">
        <v>0</v>
      </c>
      <c r="M314" t="n">
        <v>0</v>
      </c>
      <c r="N314" t="n">
        <v>0</v>
      </c>
      <c r="O314" t="n">
        <v>0</v>
      </c>
      <c r="P314" t="n">
        <v>0</v>
      </c>
      <c r="Q314" t="n">
        <v>0</v>
      </c>
      <c r="R314" s="2" t="inlineStr"/>
    </row>
    <row r="315" ht="15" customHeight="1">
      <c r="A315" t="inlineStr">
        <is>
          <t>A 67508-2019</t>
        </is>
      </c>
      <c r="B315" s="1" t="n">
        <v>43814</v>
      </c>
      <c r="C315" s="1" t="n">
        <v>45783</v>
      </c>
      <c r="D315" t="inlineStr">
        <is>
          <t>UPPSALA LÄN</t>
        </is>
      </c>
      <c r="E315" t="inlineStr">
        <is>
          <t>UPPSALA</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67504-2019</t>
        </is>
      </c>
      <c r="B316" s="1" t="n">
        <v>43814</v>
      </c>
      <c r="C316" s="1" t="n">
        <v>45783</v>
      </c>
      <c r="D316" t="inlineStr">
        <is>
          <t>UPPSALA LÄN</t>
        </is>
      </c>
      <c r="E316" t="inlineStr">
        <is>
          <t>UPPSALA</t>
        </is>
      </c>
      <c r="F316" t="inlineStr">
        <is>
          <t>Allmännings- och besparingsskogar</t>
        </is>
      </c>
      <c r="G316" t="n">
        <v>21.9</v>
      </c>
      <c r="H316" t="n">
        <v>0</v>
      </c>
      <c r="I316" t="n">
        <v>0</v>
      </c>
      <c r="J316" t="n">
        <v>0</v>
      </c>
      <c r="K316" t="n">
        <v>0</v>
      </c>
      <c r="L316" t="n">
        <v>0</v>
      </c>
      <c r="M316" t="n">
        <v>0</v>
      </c>
      <c r="N316" t="n">
        <v>0</v>
      </c>
      <c r="O316" t="n">
        <v>0</v>
      </c>
      <c r="P316" t="n">
        <v>0</v>
      </c>
      <c r="Q316" t="n">
        <v>0</v>
      </c>
      <c r="R316" s="2" t="inlineStr"/>
    </row>
    <row r="317" ht="15" customHeight="1">
      <c r="A317" t="inlineStr">
        <is>
          <t>A 67720-2019</t>
        </is>
      </c>
      <c r="B317" s="1" t="n">
        <v>43815</v>
      </c>
      <c r="C317" s="1" t="n">
        <v>45783</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67592-2019</t>
        </is>
      </c>
      <c r="B318" s="1" t="n">
        <v>43815</v>
      </c>
      <c r="C318" s="1" t="n">
        <v>45783</v>
      </c>
      <c r="D318" t="inlineStr">
        <is>
          <t>UPPSALA LÄN</t>
        </is>
      </c>
      <c r="E318" t="inlineStr">
        <is>
          <t>UPPSALA</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68264-2019</t>
        </is>
      </c>
      <c r="B319" s="1" t="n">
        <v>43817</v>
      </c>
      <c r="C319" s="1" t="n">
        <v>45783</v>
      </c>
      <c r="D319" t="inlineStr">
        <is>
          <t>UPPSALA LÄN</t>
        </is>
      </c>
      <c r="E319" t="inlineStr">
        <is>
          <t>UPPSALA</t>
        </is>
      </c>
      <c r="G319" t="n">
        <v>2.9</v>
      </c>
      <c r="H319" t="n">
        <v>0</v>
      </c>
      <c r="I319" t="n">
        <v>0</v>
      </c>
      <c r="J319" t="n">
        <v>0</v>
      </c>
      <c r="K319" t="n">
        <v>0</v>
      </c>
      <c r="L319" t="n">
        <v>0</v>
      </c>
      <c r="M319" t="n">
        <v>0</v>
      </c>
      <c r="N319" t="n">
        <v>0</v>
      </c>
      <c r="O319" t="n">
        <v>0</v>
      </c>
      <c r="P319" t="n">
        <v>0</v>
      </c>
      <c r="Q319" t="n">
        <v>0</v>
      </c>
      <c r="R319" s="2" t="inlineStr"/>
    </row>
    <row r="320" ht="15" customHeight="1">
      <c r="A320" t="inlineStr">
        <is>
          <t>A 68265-2019</t>
        </is>
      </c>
      <c r="B320" s="1" t="n">
        <v>43817</v>
      </c>
      <c r="C320" s="1" t="n">
        <v>45783</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68317-2019</t>
        </is>
      </c>
      <c r="B321" s="1" t="n">
        <v>43818</v>
      </c>
      <c r="C321" s="1" t="n">
        <v>45783</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68316-2019</t>
        </is>
      </c>
      <c r="B322" s="1" t="n">
        <v>43818</v>
      </c>
      <c r="C322" s="1" t="n">
        <v>45783</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68908-2019</t>
        </is>
      </c>
      <c r="B323" s="1" t="n">
        <v>43822</v>
      </c>
      <c r="C323" s="1" t="n">
        <v>45783</v>
      </c>
      <c r="D323" t="inlineStr">
        <is>
          <t>UPPSALA LÄN</t>
        </is>
      </c>
      <c r="E323" t="inlineStr">
        <is>
          <t>UPPSALA</t>
        </is>
      </c>
      <c r="G323" t="n">
        <v>4</v>
      </c>
      <c r="H323" t="n">
        <v>0</v>
      </c>
      <c r="I323" t="n">
        <v>0</v>
      </c>
      <c r="J323" t="n">
        <v>0</v>
      </c>
      <c r="K323" t="n">
        <v>0</v>
      </c>
      <c r="L323" t="n">
        <v>0</v>
      </c>
      <c r="M323" t="n">
        <v>0</v>
      </c>
      <c r="N323" t="n">
        <v>0</v>
      </c>
      <c r="O323" t="n">
        <v>0</v>
      </c>
      <c r="P323" t="n">
        <v>0</v>
      </c>
      <c r="Q323" t="n">
        <v>0</v>
      </c>
      <c r="R323" s="2" t="inlineStr"/>
    </row>
    <row r="324" ht="15" customHeight="1">
      <c r="A324" t="inlineStr">
        <is>
          <t>A 529-2020</t>
        </is>
      </c>
      <c r="B324" s="1" t="n">
        <v>43837</v>
      </c>
      <c r="C324" s="1" t="n">
        <v>45783</v>
      </c>
      <c r="D324" t="inlineStr">
        <is>
          <t>UPPSALA LÄN</t>
        </is>
      </c>
      <c r="E324" t="inlineStr">
        <is>
          <t>UPPSALA</t>
        </is>
      </c>
      <c r="G324" t="n">
        <v>1.6</v>
      </c>
      <c r="H324" t="n">
        <v>0</v>
      </c>
      <c r="I324" t="n">
        <v>0</v>
      </c>
      <c r="J324" t="n">
        <v>0</v>
      </c>
      <c r="K324" t="n">
        <v>0</v>
      </c>
      <c r="L324" t="n">
        <v>0</v>
      </c>
      <c r="M324" t="n">
        <v>0</v>
      </c>
      <c r="N324" t="n">
        <v>0</v>
      </c>
      <c r="O324" t="n">
        <v>0</v>
      </c>
      <c r="P324" t="n">
        <v>0</v>
      </c>
      <c r="Q324" t="n">
        <v>0</v>
      </c>
      <c r="R324" s="2" t="inlineStr"/>
    </row>
    <row r="325" ht="15" customHeight="1">
      <c r="A325" t="inlineStr">
        <is>
          <t>A 1891-2020</t>
        </is>
      </c>
      <c r="B325" s="1" t="n">
        <v>43837</v>
      </c>
      <c r="C325" s="1" t="n">
        <v>45783</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701-2020</t>
        </is>
      </c>
      <c r="B326" s="1" t="n">
        <v>43838</v>
      </c>
      <c r="C326" s="1" t="n">
        <v>45783</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1171-2020</t>
        </is>
      </c>
      <c r="B327" s="1" t="n">
        <v>43840</v>
      </c>
      <c r="C327" s="1" t="n">
        <v>45783</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1688-2020</t>
        </is>
      </c>
      <c r="B328" s="1" t="n">
        <v>43844</v>
      </c>
      <c r="C328" s="1" t="n">
        <v>45783</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2162-2020</t>
        </is>
      </c>
      <c r="B329" s="1" t="n">
        <v>43846</v>
      </c>
      <c r="C329" s="1" t="n">
        <v>45783</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2895-2020</t>
        </is>
      </c>
      <c r="B330" s="1" t="n">
        <v>43850</v>
      </c>
      <c r="C330" s="1" t="n">
        <v>45783</v>
      </c>
      <c r="D330" t="inlineStr">
        <is>
          <t>UPPSALA LÄN</t>
        </is>
      </c>
      <c r="E330" t="inlineStr">
        <is>
          <t>UPPSALA</t>
        </is>
      </c>
      <c r="G330" t="n">
        <v>3.8</v>
      </c>
      <c r="H330" t="n">
        <v>0</v>
      </c>
      <c r="I330" t="n">
        <v>0</v>
      </c>
      <c r="J330" t="n">
        <v>0</v>
      </c>
      <c r="K330" t="n">
        <v>0</v>
      </c>
      <c r="L330" t="n">
        <v>0</v>
      </c>
      <c r="M330" t="n">
        <v>0</v>
      </c>
      <c r="N330" t="n">
        <v>0</v>
      </c>
      <c r="O330" t="n">
        <v>0</v>
      </c>
      <c r="P330" t="n">
        <v>0</v>
      </c>
      <c r="Q330" t="n">
        <v>0</v>
      </c>
      <c r="R330" s="2" t="inlineStr"/>
    </row>
    <row r="331" ht="15" customHeight="1">
      <c r="A331" t="inlineStr">
        <is>
          <t>A 3693-2020</t>
        </is>
      </c>
      <c r="B331" s="1" t="n">
        <v>43853</v>
      </c>
      <c r="C331" s="1" t="n">
        <v>45783</v>
      </c>
      <c r="D331" t="inlineStr">
        <is>
          <t>UPPSALA LÄN</t>
        </is>
      </c>
      <c r="E331" t="inlineStr">
        <is>
          <t>UPPSALA</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3516-2020</t>
        </is>
      </c>
      <c r="B332" s="1" t="n">
        <v>43853</v>
      </c>
      <c r="C332" s="1" t="n">
        <v>45783</v>
      </c>
      <c r="D332" t="inlineStr">
        <is>
          <t>UPPSALA LÄN</t>
        </is>
      </c>
      <c r="E332" t="inlineStr">
        <is>
          <t>UPPSALA</t>
        </is>
      </c>
      <c r="G332" t="n">
        <v>9.4</v>
      </c>
      <c r="H332" t="n">
        <v>0</v>
      </c>
      <c r="I332" t="n">
        <v>0</v>
      </c>
      <c r="J332" t="n">
        <v>0</v>
      </c>
      <c r="K332" t="n">
        <v>0</v>
      </c>
      <c r="L332" t="n">
        <v>0</v>
      </c>
      <c r="M332" t="n">
        <v>0</v>
      </c>
      <c r="N332" t="n">
        <v>0</v>
      </c>
      <c r="O332" t="n">
        <v>0</v>
      </c>
      <c r="P332" t="n">
        <v>0</v>
      </c>
      <c r="Q332" t="n">
        <v>0</v>
      </c>
      <c r="R332" s="2" t="inlineStr"/>
    </row>
    <row r="333" ht="15" customHeight="1">
      <c r="A333" t="inlineStr">
        <is>
          <t>A 6313-2020</t>
        </is>
      </c>
      <c r="B333" s="1" t="n">
        <v>43866</v>
      </c>
      <c r="C333" s="1" t="n">
        <v>45783</v>
      </c>
      <c r="D333" t="inlineStr">
        <is>
          <t>UPPSALA LÄN</t>
        </is>
      </c>
      <c r="E333" t="inlineStr">
        <is>
          <t>UPPSALA</t>
        </is>
      </c>
      <c r="F333" t="inlineStr">
        <is>
          <t>Övriga statliga verk och myndigheter</t>
        </is>
      </c>
      <c r="G333" t="n">
        <v>3.4</v>
      </c>
      <c r="H333" t="n">
        <v>0</v>
      </c>
      <c r="I333" t="n">
        <v>0</v>
      </c>
      <c r="J333" t="n">
        <v>0</v>
      </c>
      <c r="K333" t="n">
        <v>0</v>
      </c>
      <c r="L333" t="n">
        <v>0</v>
      </c>
      <c r="M333" t="n">
        <v>0</v>
      </c>
      <c r="N333" t="n">
        <v>0</v>
      </c>
      <c r="O333" t="n">
        <v>0</v>
      </c>
      <c r="P333" t="n">
        <v>0</v>
      </c>
      <c r="Q333" t="n">
        <v>0</v>
      </c>
      <c r="R333" s="2" t="inlineStr"/>
    </row>
    <row r="334" ht="15" customHeight="1">
      <c r="A334" t="inlineStr">
        <is>
          <t>A 6315-2020</t>
        </is>
      </c>
      <c r="B334" s="1" t="n">
        <v>43866</v>
      </c>
      <c r="C334" s="1" t="n">
        <v>45783</v>
      </c>
      <c r="D334" t="inlineStr">
        <is>
          <t>UPPSALA LÄN</t>
        </is>
      </c>
      <c r="E334" t="inlineStr">
        <is>
          <t>UPPSALA</t>
        </is>
      </c>
      <c r="F334" t="inlineStr">
        <is>
          <t>Övriga statliga verk och myndigheter</t>
        </is>
      </c>
      <c r="G334" t="n">
        <v>1.9</v>
      </c>
      <c r="H334" t="n">
        <v>0</v>
      </c>
      <c r="I334" t="n">
        <v>0</v>
      </c>
      <c r="J334" t="n">
        <v>0</v>
      </c>
      <c r="K334" t="n">
        <v>0</v>
      </c>
      <c r="L334" t="n">
        <v>0</v>
      </c>
      <c r="M334" t="n">
        <v>0</v>
      </c>
      <c r="N334" t="n">
        <v>0</v>
      </c>
      <c r="O334" t="n">
        <v>0</v>
      </c>
      <c r="P334" t="n">
        <v>0</v>
      </c>
      <c r="Q334" t="n">
        <v>0</v>
      </c>
      <c r="R334" s="2" t="inlineStr"/>
    </row>
    <row r="335" ht="15" customHeight="1">
      <c r="A335" t="inlineStr">
        <is>
          <t>A 6655-2020</t>
        </is>
      </c>
      <c r="B335" s="1" t="n">
        <v>43867</v>
      </c>
      <c r="C335" s="1" t="n">
        <v>45783</v>
      </c>
      <c r="D335" t="inlineStr">
        <is>
          <t>UPPSALA LÄN</t>
        </is>
      </c>
      <c r="E335" t="inlineStr">
        <is>
          <t>UPPSALA</t>
        </is>
      </c>
      <c r="G335" t="n">
        <v>7.3</v>
      </c>
      <c r="H335" t="n">
        <v>0</v>
      </c>
      <c r="I335" t="n">
        <v>0</v>
      </c>
      <c r="J335" t="n">
        <v>0</v>
      </c>
      <c r="K335" t="n">
        <v>0</v>
      </c>
      <c r="L335" t="n">
        <v>0</v>
      </c>
      <c r="M335" t="n">
        <v>0</v>
      </c>
      <c r="N335" t="n">
        <v>0</v>
      </c>
      <c r="O335" t="n">
        <v>0</v>
      </c>
      <c r="P335" t="n">
        <v>0</v>
      </c>
      <c r="Q335" t="n">
        <v>0</v>
      </c>
      <c r="R335" s="2" t="inlineStr"/>
    </row>
    <row r="336" ht="15" customHeight="1">
      <c r="A336" t="inlineStr">
        <is>
          <t>A 8261-2020</t>
        </is>
      </c>
      <c r="B336" s="1" t="n">
        <v>43874</v>
      </c>
      <c r="C336" s="1" t="n">
        <v>45783</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8646-2020</t>
        </is>
      </c>
      <c r="B337" s="1" t="n">
        <v>43878</v>
      </c>
      <c r="C337" s="1" t="n">
        <v>45783</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8902-2020</t>
        </is>
      </c>
      <c r="B338" s="1" t="n">
        <v>43878</v>
      </c>
      <c r="C338" s="1" t="n">
        <v>45783</v>
      </c>
      <c r="D338" t="inlineStr">
        <is>
          <t>UPPSALA LÄN</t>
        </is>
      </c>
      <c r="E338" t="inlineStr">
        <is>
          <t>UPPSALA</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9011-2020</t>
        </is>
      </c>
      <c r="B339" s="1" t="n">
        <v>43879</v>
      </c>
      <c r="C339" s="1" t="n">
        <v>45783</v>
      </c>
      <c r="D339" t="inlineStr">
        <is>
          <t>UPPSALA LÄN</t>
        </is>
      </c>
      <c r="E339" t="inlineStr">
        <is>
          <t>UPPSALA</t>
        </is>
      </c>
      <c r="F339" t="inlineStr">
        <is>
          <t>Övriga statliga verk och myndigheter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9084-2020</t>
        </is>
      </c>
      <c r="B340" s="1" t="n">
        <v>43879</v>
      </c>
      <c r="C340" s="1" t="n">
        <v>45783</v>
      </c>
      <c r="D340" t="inlineStr">
        <is>
          <t>UPPSALA LÄN</t>
        </is>
      </c>
      <c r="E340" t="inlineStr">
        <is>
          <t>UPPSALA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9257-2020</t>
        </is>
      </c>
      <c r="B341" s="1" t="n">
        <v>43879</v>
      </c>
      <c r="C341" s="1" t="n">
        <v>45783</v>
      </c>
      <c r="D341" t="inlineStr">
        <is>
          <t>UPPSALA LÄN</t>
        </is>
      </c>
      <c r="E341" t="inlineStr">
        <is>
          <t>UPPSALA</t>
        </is>
      </c>
      <c r="F341" t="inlineStr">
        <is>
          <t>Bergvik skog öst AB</t>
        </is>
      </c>
      <c r="G341" t="n">
        <v>5.8</v>
      </c>
      <c r="H341" t="n">
        <v>0</v>
      </c>
      <c r="I341" t="n">
        <v>0</v>
      </c>
      <c r="J341" t="n">
        <v>0</v>
      </c>
      <c r="K341" t="n">
        <v>0</v>
      </c>
      <c r="L341" t="n">
        <v>0</v>
      </c>
      <c r="M341" t="n">
        <v>0</v>
      </c>
      <c r="N341" t="n">
        <v>0</v>
      </c>
      <c r="O341" t="n">
        <v>0</v>
      </c>
      <c r="P341" t="n">
        <v>0</v>
      </c>
      <c r="Q341" t="n">
        <v>0</v>
      </c>
      <c r="R341" s="2" t="inlineStr"/>
    </row>
    <row r="342" ht="15" customHeight="1">
      <c r="A342" t="inlineStr">
        <is>
          <t>A 9658-2020</t>
        </is>
      </c>
      <c r="B342" s="1" t="n">
        <v>43881</v>
      </c>
      <c r="C342" s="1" t="n">
        <v>45783</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10003-2020</t>
        </is>
      </c>
      <c r="B343" s="1" t="n">
        <v>43882</v>
      </c>
      <c r="C343" s="1" t="n">
        <v>45783</v>
      </c>
      <c r="D343" t="inlineStr">
        <is>
          <t>UPPSALA LÄN</t>
        </is>
      </c>
      <c r="E343" t="inlineStr">
        <is>
          <t>UPPSALA</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9949-2020</t>
        </is>
      </c>
      <c r="B344" s="1" t="n">
        <v>43882</v>
      </c>
      <c r="C344" s="1" t="n">
        <v>45783</v>
      </c>
      <c r="D344" t="inlineStr">
        <is>
          <t>UPPSALA LÄN</t>
        </is>
      </c>
      <c r="E344" t="inlineStr">
        <is>
          <t>UPPSALA</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10033-2020</t>
        </is>
      </c>
      <c r="B345" s="1" t="n">
        <v>43882</v>
      </c>
      <c r="C345" s="1" t="n">
        <v>45783</v>
      </c>
      <c r="D345" t="inlineStr">
        <is>
          <t>UPPSALA LÄN</t>
        </is>
      </c>
      <c r="E345" t="inlineStr">
        <is>
          <t>UPPSALA</t>
        </is>
      </c>
      <c r="G345" t="n">
        <v>4.6</v>
      </c>
      <c r="H345" t="n">
        <v>0</v>
      </c>
      <c r="I345" t="n">
        <v>0</v>
      </c>
      <c r="J345" t="n">
        <v>0</v>
      </c>
      <c r="K345" t="n">
        <v>0</v>
      </c>
      <c r="L345" t="n">
        <v>0</v>
      </c>
      <c r="M345" t="n">
        <v>0</v>
      </c>
      <c r="N345" t="n">
        <v>0</v>
      </c>
      <c r="O345" t="n">
        <v>0</v>
      </c>
      <c r="P345" t="n">
        <v>0</v>
      </c>
      <c r="Q345" t="n">
        <v>0</v>
      </c>
      <c r="R345" s="2" t="inlineStr"/>
    </row>
    <row r="346" ht="15" customHeight="1">
      <c r="A346" t="inlineStr">
        <is>
          <t>A 10478-2020</t>
        </is>
      </c>
      <c r="B346" s="1" t="n">
        <v>43886</v>
      </c>
      <c r="C346" s="1" t="n">
        <v>45783</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11540-2020</t>
        </is>
      </c>
      <c r="B347" s="1" t="n">
        <v>43887</v>
      </c>
      <c r="C347" s="1" t="n">
        <v>45783</v>
      </c>
      <c r="D347" t="inlineStr">
        <is>
          <t>UPPSALA LÄN</t>
        </is>
      </c>
      <c r="E347" t="inlineStr">
        <is>
          <t>UPPSALA</t>
        </is>
      </c>
      <c r="G347" t="n">
        <v>2.1</v>
      </c>
      <c r="H347" t="n">
        <v>0</v>
      </c>
      <c r="I347" t="n">
        <v>0</v>
      </c>
      <c r="J347" t="n">
        <v>0</v>
      </c>
      <c r="K347" t="n">
        <v>0</v>
      </c>
      <c r="L347" t="n">
        <v>0</v>
      </c>
      <c r="M347" t="n">
        <v>0</v>
      </c>
      <c r="N347" t="n">
        <v>0</v>
      </c>
      <c r="O347" t="n">
        <v>0</v>
      </c>
      <c r="P347" t="n">
        <v>0</v>
      </c>
      <c r="Q347" t="n">
        <v>0</v>
      </c>
      <c r="R347" s="2" t="inlineStr"/>
    </row>
    <row r="348" ht="15" customHeight="1">
      <c r="A348" t="inlineStr">
        <is>
          <t>A 11174-2020</t>
        </is>
      </c>
      <c r="B348" s="1" t="n">
        <v>43891</v>
      </c>
      <c r="C348" s="1" t="n">
        <v>45783</v>
      </c>
      <c r="D348" t="inlineStr">
        <is>
          <t>UPPSALA LÄN</t>
        </is>
      </c>
      <c r="E348" t="inlineStr">
        <is>
          <t>UPPSALA</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12626-2020</t>
        </is>
      </c>
      <c r="B349" s="1" t="n">
        <v>43892</v>
      </c>
      <c r="C349" s="1" t="n">
        <v>45783</v>
      </c>
      <c r="D349" t="inlineStr">
        <is>
          <t>UPPSALA LÄN</t>
        </is>
      </c>
      <c r="E349" t="inlineStr">
        <is>
          <t>UPPSALA</t>
        </is>
      </c>
      <c r="G349" t="n">
        <v>11.4</v>
      </c>
      <c r="H349" t="n">
        <v>0</v>
      </c>
      <c r="I349" t="n">
        <v>0</v>
      </c>
      <c r="J349" t="n">
        <v>0</v>
      </c>
      <c r="K349" t="n">
        <v>0</v>
      </c>
      <c r="L349" t="n">
        <v>0</v>
      </c>
      <c r="M349" t="n">
        <v>0</v>
      </c>
      <c r="N349" t="n">
        <v>0</v>
      </c>
      <c r="O349" t="n">
        <v>0</v>
      </c>
      <c r="P349" t="n">
        <v>0</v>
      </c>
      <c r="Q349" t="n">
        <v>0</v>
      </c>
      <c r="R349" s="2" t="inlineStr"/>
    </row>
    <row r="350" ht="15" customHeight="1">
      <c r="A350" t="inlineStr">
        <is>
          <t>A 11336-2020</t>
        </is>
      </c>
      <c r="B350" s="1" t="n">
        <v>43892</v>
      </c>
      <c r="C350" s="1" t="n">
        <v>45783</v>
      </c>
      <c r="D350" t="inlineStr">
        <is>
          <t>UPPSALA LÄN</t>
        </is>
      </c>
      <c r="E350" t="inlineStr">
        <is>
          <t>UPPSALA</t>
        </is>
      </c>
      <c r="F350" t="inlineStr">
        <is>
          <t>Kyrkan</t>
        </is>
      </c>
      <c r="G350" t="n">
        <v>3.2</v>
      </c>
      <c r="H350" t="n">
        <v>0</v>
      </c>
      <c r="I350" t="n">
        <v>0</v>
      </c>
      <c r="J350" t="n">
        <v>0</v>
      </c>
      <c r="K350" t="n">
        <v>0</v>
      </c>
      <c r="L350" t="n">
        <v>0</v>
      </c>
      <c r="M350" t="n">
        <v>0</v>
      </c>
      <c r="N350" t="n">
        <v>0</v>
      </c>
      <c r="O350" t="n">
        <v>0</v>
      </c>
      <c r="P350" t="n">
        <v>0</v>
      </c>
      <c r="Q350" t="n">
        <v>0</v>
      </c>
      <c r="R350" s="2" t="inlineStr"/>
    </row>
    <row r="351" ht="15" customHeight="1">
      <c r="A351" t="inlineStr">
        <is>
          <t>A 11320-2020</t>
        </is>
      </c>
      <c r="B351" s="1" t="n">
        <v>43892</v>
      </c>
      <c r="C351" s="1" t="n">
        <v>45783</v>
      </c>
      <c r="D351" t="inlineStr">
        <is>
          <t>UPPSALA LÄN</t>
        </is>
      </c>
      <c r="E351" t="inlineStr">
        <is>
          <t>UPPSALA</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12028-2020</t>
        </is>
      </c>
      <c r="B352" s="1" t="n">
        <v>43894</v>
      </c>
      <c r="C352" s="1" t="n">
        <v>45783</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12055-2020</t>
        </is>
      </c>
      <c r="B353" s="1" t="n">
        <v>43894</v>
      </c>
      <c r="C353" s="1" t="n">
        <v>45783</v>
      </c>
      <c r="D353" t="inlineStr">
        <is>
          <t>UPPSALA LÄN</t>
        </is>
      </c>
      <c r="E353" t="inlineStr">
        <is>
          <t>UPPSALA</t>
        </is>
      </c>
      <c r="G353" t="n">
        <v>6.2</v>
      </c>
      <c r="H353" t="n">
        <v>0</v>
      </c>
      <c r="I353" t="n">
        <v>0</v>
      </c>
      <c r="J353" t="n">
        <v>0</v>
      </c>
      <c r="K353" t="n">
        <v>0</v>
      </c>
      <c r="L353" t="n">
        <v>0</v>
      </c>
      <c r="M353" t="n">
        <v>0</v>
      </c>
      <c r="N353" t="n">
        <v>0</v>
      </c>
      <c r="O353" t="n">
        <v>0</v>
      </c>
      <c r="P353" t="n">
        <v>0</v>
      </c>
      <c r="Q353" t="n">
        <v>0</v>
      </c>
      <c r="R353" s="2" t="inlineStr"/>
    </row>
    <row r="354" ht="15" customHeight="1">
      <c r="A354" t="inlineStr">
        <is>
          <t>A 12848-2020</t>
        </is>
      </c>
      <c r="B354" s="1" t="n">
        <v>43899</v>
      </c>
      <c r="C354" s="1" t="n">
        <v>45783</v>
      </c>
      <c r="D354" t="inlineStr">
        <is>
          <t>UPPSALA LÄN</t>
        </is>
      </c>
      <c r="E354" t="inlineStr">
        <is>
          <t>UPPSALA</t>
        </is>
      </c>
      <c r="G354" t="n">
        <v>10.3</v>
      </c>
      <c r="H354" t="n">
        <v>0</v>
      </c>
      <c r="I354" t="n">
        <v>0</v>
      </c>
      <c r="J354" t="n">
        <v>0</v>
      </c>
      <c r="K354" t="n">
        <v>0</v>
      </c>
      <c r="L354" t="n">
        <v>0</v>
      </c>
      <c r="M354" t="n">
        <v>0</v>
      </c>
      <c r="N354" t="n">
        <v>0</v>
      </c>
      <c r="O354" t="n">
        <v>0</v>
      </c>
      <c r="P354" t="n">
        <v>0</v>
      </c>
      <c r="Q354" t="n">
        <v>0</v>
      </c>
      <c r="R354" s="2" t="inlineStr"/>
    </row>
    <row r="355" ht="15" customHeight="1">
      <c r="A355" t="inlineStr">
        <is>
          <t>A 12781-2020</t>
        </is>
      </c>
      <c r="B355" s="1" t="n">
        <v>43899</v>
      </c>
      <c r="C355" s="1" t="n">
        <v>45783</v>
      </c>
      <c r="D355" t="inlineStr">
        <is>
          <t>UPPSALA LÄN</t>
        </is>
      </c>
      <c r="E355" t="inlineStr">
        <is>
          <t>UPPSALA</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13636-2020</t>
        </is>
      </c>
      <c r="B356" s="1" t="n">
        <v>43903</v>
      </c>
      <c r="C356" s="1" t="n">
        <v>45783</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14469-2020</t>
        </is>
      </c>
      <c r="B357" s="1" t="n">
        <v>43908</v>
      </c>
      <c r="C357" s="1" t="n">
        <v>45783</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14423-2020</t>
        </is>
      </c>
      <c r="B358" s="1" t="n">
        <v>43908</v>
      </c>
      <c r="C358" s="1" t="n">
        <v>45783</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14472-2020</t>
        </is>
      </c>
      <c r="B359" s="1" t="n">
        <v>43908</v>
      </c>
      <c r="C359" s="1" t="n">
        <v>45783</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14427-2020</t>
        </is>
      </c>
      <c r="B360" s="1" t="n">
        <v>43908</v>
      </c>
      <c r="C360" s="1" t="n">
        <v>45783</v>
      </c>
      <c r="D360" t="inlineStr">
        <is>
          <t>UPPSALA LÄN</t>
        </is>
      </c>
      <c r="E360" t="inlineStr">
        <is>
          <t>UPPSALA</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15344-2020</t>
        </is>
      </c>
      <c r="B361" s="1" t="n">
        <v>43913</v>
      </c>
      <c r="C361" s="1" t="n">
        <v>45783</v>
      </c>
      <c r="D361" t="inlineStr">
        <is>
          <t>UPPSALA LÄN</t>
        </is>
      </c>
      <c r="E361" t="inlineStr">
        <is>
          <t>UPPSALA</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18106-2020</t>
        </is>
      </c>
      <c r="B362" s="1" t="n">
        <v>43927</v>
      </c>
      <c r="C362" s="1" t="n">
        <v>45783</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18114-2020</t>
        </is>
      </c>
      <c r="B363" s="1" t="n">
        <v>43927</v>
      </c>
      <c r="C363" s="1" t="n">
        <v>45783</v>
      </c>
      <c r="D363" t="inlineStr">
        <is>
          <t>UPPSALA LÄN</t>
        </is>
      </c>
      <c r="E363" t="inlineStr">
        <is>
          <t>UPPSALA</t>
        </is>
      </c>
      <c r="G363" t="n">
        <v>1.6</v>
      </c>
      <c r="H363" t="n">
        <v>0</v>
      </c>
      <c r="I363" t="n">
        <v>0</v>
      </c>
      <c r="J363" t="n">
        <v>0</v>
      </c>
      <c r="K363" t="n">
        <v>0</v>
      </c>
      <c r="L363" t="n">
        <v>0</v>
      </c>
      <c r="M363" t="n">
        <v>0</v>
      </c>
      <c r="N363" t="n">
        <v>0</v>
      </c>
      <c r="O363" t="n">
        <v>0</v>
      </c>
      <c r="P363" t="n">
        <v>0</v>
      </c>
      <c r="Q363" t="n">
        <v>0</v>
      </c>
      <c r="R363" s="2" t="inlineStr"/>
    </row>
    <row r="364" ht="15" customHeight="1">
      <c r="A364" t="inlineStr">
        <is>
          <t>A 18469-2020</t>
        </is>
      </c>
      <c r="B364" s="1" t="n">
        <v>43929</v>
      </c>
      <c r="C364" s="1" t="n">
        <v>45783</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19210-2020</t>
        </is>
      </c>
      <c r="B365" s="1" t="n">
        <v>43937</v>
      </c>
      <c r="C365" s="1" t="n">
        <v>45783</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20218-2020</t>
        </is>
      </c>
      <c r="B366" s="1" t="n">
        <v>43944</v>
      </c>
      <c r="C366" s="1" t="n">
        <v>45783</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20506-2020</t>
        </is>
      </c>
      <c r="B367" s="1" t="n">
        <v>43948</v>
      </c>
      <c r="C367" s="1" t="n">
        <v>45783</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20490-2020</t>
        </is>
      </c>
      <c r="B368" s="1" t="n">
        <v>43948</v>
      </c>
      <c r="C368" s="1" t="n">
        <v>45783</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20960-2020</t>
        </is>
      </c>
      <c r="B369" s="1" t="n">
        <v>43950</v>
      </c>
      <c r="C369" s="1" t="n">
        <v>45783</v>
      </c>
      <c r="D369" t="inlineStr">
        <is>
          <t>UPPSALA LÄN</t>
        </is>
      </c>
      <c r="E369" t="inlineStr">
        <is>
          <t>UPPSALA</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24300-2020</t>
        </is>
      </c>
      <c r="B370" s="1" t="n">
        <v>43973</v>
      </c>
      <c r="C370" s="1" t="n">
        <v>45783</v>
      </c>
      <c r="D370" t="inlineStr">
        <is>
          <t>UPPSALA LÄN</t>
        </is>
      </c>
      <c r="E370" t="inlineStr">
        <is>
          <t>UPPSALA</t>
        </is>
      </c>
      <c r="F370" t="inlineStr">
        <is>
          <t>Övriga Aktiebolag</t>
        </is>
      </c>
      <c r="G370" t="n">
        <v>0.3</v>
      </c>
      <c r="H370" t="n">
        <v>0</v>
      </c>
      <c r="I370" t="n">
        <v>0</v>
      </c>
      <c r="J370" t="n">
        <v>0</v>
      </c>
      <c r="K370" t="n">
        <v>0</v>
      </c>
      <c r="L370" t="n">
        <v>0</v>
      </c>
      <c r="M370" t="n">
        <v>0</v>
      </c>
      <c r="N370" t="n">
        <v>0</v>
      </c>
      <c r="O370" t="n">
        <v>0</v>
      </c>
      <c r="P370" t="n">
        <v>0</v>
      </c>
      <c r="Q370" t="n">
        <v>0</v>
      </c>
      <c r="R370" s="2" t="inlineStr"/>
    </row>
    <row r="371" ht="15" customHeight="1">
      <c r="A371" t="inlineStr">
        <is>
          <t>A 24287-2020</t>
        </is>
      </c>
      <c r="B371" s="1" t="n">
        <v>43976</v>
      </c>
      <c r="C371" s="1" t="n">
        <v>45783</v>
      </c>
      <c r="D371" t="inlineStr">
        <is>
          <t>UPPSALA LÄN</t>
        </is>
      </c>
      <c r="E371" t="inlineStr">
        <is>
          <t>UPPSALA</t>
        </is>
      </c>
      <c r="G371" t="n">
        <v>1</v>
      </c>
      <c r="H371" t="n">
        <v>0</v>
      </c>
      <c r="I371" t="n">
        <v>0</v>
      </c>
      <c r="J371" t="n">
        <v>0</v>
      </c>
      <c r="K371" t="n">
        <v>0</v>
      </c>
      <c r="L371" t="n">
        <v>0</v>
      </c>
      <c r="M371" t="n">
        <v>0</v>
      </c>
      <c r="N371" t="n">
        <v>0</v>
      </c>
      <c r="O371" t="n">
        <v>0</v>
      </c>
      <c r="P371" t="n">
        <v>0</v>
      </c>
      <c r="Q371" t="n">
        <v>0</v>
      </c>
      <c r="R371" s="2" t="inlineStr"/>
    </row>
    <row r="372" ht="15" customHeight="1">
      <c r="A372" t="inlineStr">
        <is>
          <t>A 25798-2020</t>
        </is>
      </c>
      <c r="B372" s="1" t="n">
        <v>43984</v>
      </c>
      <c r="C372" s="1" t="n">
        <v>45783</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26488-2020</t>
        </is>
      </c>
      <c r="B373" s="1" t="n">
        <v>43987</v>
      </c>
      <c r="C373" s="1" t="n">
        <v>45783</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26492-2020</t>
        </is>
      </c>
      <c r="B374" s="1" t="n">
        <v>43987</v>
      </c>
      <c r="C374" s="1" t="n">
        <v>45783</v>
      </c>
      <c r="D374" t="inlineStr">
        <is>
          <t>UPPSALA LÄN</t>
        </is>
      </c>
      <c r="E374" t="inlineStr">
        <is>
          <t>UPPSALA</t>
        </is>
      </c>
      <c r="G374" t="n">
        <v>9.5</v>
      </c>
      <c r="H374" t="n">
        <v>0</v>
      </c>
      <c r="I374" t="n">
        <v>0</v>
      </c>
      <c r="J374" t="n">
        <v>0</v>
      </c>
      <c r="K374" t="n">
        <v>0</v>
      </c>
      <c r="L374" t="n">
        <v>0</v>
      </c>
      <c r="M374" t="n">
        <v>0</v>
      </c>
      <c r="N374" t="n">
        <v>0</v>
      </c>
      <c r="O374" t="n">
        <v>0</v>
      </c>
      <c r="P374" t="n">
        <v>0</v>
      </c>
      <c r="Q374" t="n">
        <v>0</v>
      </c>
      <c r="R374" s="2" t="inlineStr"/>
    </row>
    <row r="375" ht="15" customHeight="1">
      <c r="A375" t="inlineStr">
        <is>
          <t>A 26856-2020</t>
        </is>
      </c>
      <c r="B375" s="1" t="n">
        <v>43990</v>
      </c>
      <c r="C375" s="1" t="n">
        <v>45783</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28565-2020</t>
        </is>
      </c>
      <c r="B376" s="1" t="n">
        <v>43999</v>
      </c>
      <c r="C376" s="1" t="n">
        <v>45783</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28514-2020</t>
        </is>
      </c>
      <c r="B377" s="1" t="n">
        <v>43999</v>
      </c>
      <c r="C377" s="1" t="n">
        <v>45783</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28993-2020</t>
        </is>
      </c>
      <c r="B378" s="1" t="n">
        <v>44000</v>
      </c>
      <c r="C378" s="1" t="n">
        <v>45783</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29034-2020</t>
        </is>
      </c>
      <c r="B379" s="1" t="n">
        <v>44000</v>
      </c>
      <c r="C379" s="1" t="n">
        <v>45783</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30196-2020</t>
        </is>
      </c>
      <c r="B380" s="1" t="n">
        <v>44007</v>
      </c>
      <c r="C380" s="1" t="n">
        <v>45783</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30208-2020</t>
        </is>
      </c>
      <c r="B381" s="1" t="n">
        <v>44007</v>
      </c>
      <c r="C381" s="1" t="n">
        <v>45783</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31219-2020</t>
        </is>
      </c>
      <c r="B382" s="1" t="n">
        <v>44012</v>
      </c>
      <c r="C382" s="1" t="n">
        <v>45783</v>
      </c>
      <c r="D382" t="inlineStr">
        <is>
          <t>UPPSALA LÄN</t>
        </is>
      </c>
      <c r="E382" t="inlineStr">
        <is>
          <t>UPPSALA</t>
        </is>
      </c>
      <c r="F382" t="inlineStr">
        <is>
          <t>Bergvik skog öst AB</t>
        </is>
      </c>
      <c r="G382" t="n">
        <v>7.4</v>
      </c>
      <c r="H382" t="n">
        <v>0</v>
      </c>
      <c r="I382" t="n">
        <v>0</v>
      </c>
      <c r="J382" t="n">
        <v>0</v>
      </c>
      <c r="K382" t="n">
        <v>0</v>
      </c>
      <c r="L382" t="n">
        <v>0</v>
      </c>
      <c r="M382" t="n">
        <v>0</v>
      </c>
      <c r="N382" t="n">
        <v>0</v>
      </c>
      <c r="O382" t="n">
        <v>0</v>
      </c>
      <c r="P382" t="n">
        <v>0</v>
      </c>
      <c r="Q382" t="n">
        <v>0</v>
      </c>
      <c r="R382" s="2" t="inlineStr"/>
    </row>
    <row r="383" ht="15" customHeight="1">
      <c r="A383" t="inlineStr">
        <is>
          <t>A 31430-2020</t>
        </is>
      </c>
      <c r="B383" s="1" t="n">
        <v>44013</v>
      </c>
      <c r="C383" s="1" t="n">
        <v>45783</v>
      </c>
      <c r="D383" t="inlineStr">
        <is>
          <t>UPPSALA LÄN</t>
        </is>
      </c>
      <c r="E383" t="inlineStr">
        <is>
          <t>UPPSALA</t>
        </is>
      </c>
      <c r="G383" t="n">
        <v>3.4</v>
      </c>
      <c r="H383" t="n">
        <v>0</v>
      </c>
      <c r="I383" t="n">
        <v>0</v>
      </c>
      <c r="J383" t="n">
        <v>0</v>
      </c>
      <c r="K383" t="n">
        <v>0</v>
      </c>
      <c r="L383" t="n">
        <v>0</v>
      </c>
      <c r="M383" t="n">
        <v>0</v>
      </c>
      <c r="N383" t="n">
        <v>0</v>
      </c>
      <c r="O383" t="n">
        <v>0</v>
      </c>
      <c r="P383" t="n">
        <v>0</v>
      </c>
      <c r="Q383" t="n">
        <v>0</v>
      </c>
      <c r="R383" s="2" t="inlineStr"/>
    </row>
    <row r="384" ht="15" customHeight="1">
      <c r="A384" t="inlineStr">
        <is>
          <t>A 31932-2020</t>
        </is>
      </c>
      <c r="B384" s="1" t="n">
        <v>44014</v>
      </c>
      <c r="C384" s="1" t="n">
        <v>45783</v>
      </c>
      <c r="D384" t="inlineStr">
        <is>
          <t>UPPSALA LÄN</t>
        </is>
      </c>
      <c r="E384" t="inlineStr">
        <is>
          <t>UPPSALA</t>
        </is>
      </c>
      <c r="G384" t="n">
        <v>5.6</v>
      </c>
      <c r="H384" t="n">
        <v>0</v>
      </c>
      <c r="I384" t="n">
        <v>0</v>
      </c>
      <c r="J384" t="n">
        <v>0</v>
      </c>
      <c r="K384" t="n">
        <v>0</v>
      </c>
      <c r="L384" t="n">
        <v>0</v>
      </c>
      <c r="M384" t="n">
        <v>0</v>
      </c>
      <c r="N384" t="n">
        <v>0</v>
      </c>
      <c r="O384" t="n">
        <v>0</v>
      </c>
      <c r="P384" t="n">
        <v>0</v>
      </c>
      <c r="Q384" t="n">
        <v>0</v>
      </c>
      <c r="R384" s="2" t="inlineStr"/>
    </row>
    <row r="385" ht="15" customHeight="1">
      <c r="A385" t="inlineStr">
        <is>
          <t>A 32235-2020</t>
        </is>
      </c>
      <c r="B385" s="1" t="n">
        <v>44015</v>
      </c>
      <c r="C385" s="1" t="n">
        <v>45783</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32340-2020</t>
        </is>
      </c>
      <c r="B386" s="1" t="n">
        <v>44016</v>
      </c>
      <c r="C386" s="1" t="n">
        <v>45783</v>
      </c>
      <c r="D386" t="inlineStr">
        <is>
          <t>UPPSALA LÄN</t>
        </is>
      </c>
      <c r="E386" t="inlineStr">
        <is>
          <t>UPPSALA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32608-2020</t>
        </is>
      </c>
      <c r="B387" s="1" t="n">
        <v>44019</v>
      </c>
      <c r="C387" s="1" t="n">
        <v>45783</v>
      </c>
      <c r="D387" t="inlineStr">
        <is>
          <t>UPPSALA LÄN</t>
        </is>
      </c>
      <c r="E387" t="inlineStr">
        <is>
          <t>UPPSALA</t>
        </is>
      </c>
      <c r="F387" t="inlineStr">
        <is>
          <t>Bergvik skog öst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33658-2020</t>
        </is>
      </c>
      <c r="B388" s="1" t="n">
        <v>44026</v>
      </c>
      <c r="C388" s="1" t="n">
        <v>45783</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34205-2020</t>
        </is>
      </c>
      <c r="B389" s="1" t="n">
        <v>44029</v>
      </c>
      <c r="C389" s="1" t="n">
        <v>45783</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34565-2020</t>
        </is>
      </c>
      <c r="B390" s="1" t="n">
        <v>44033</v>
      </c>
      <c r="C390" s="1" t="n">
        <v>45783</v>
      </c>
      <c r="D390" t="inlineStr">
        <is>
          <t>UPPSALA LÄN</t>
        </is>
      </c>
      <c r="E390" t="inlineStr">
        <is>
          <t>UPPSALA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34753-2020</t>
        </is>
      </c>
      <c r="B391" s="1" t="n">
        <v>44035</v>
      </c>
      <c r="C391" s="1" t="n">
        <v>45783</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34749-2020</t>
        </is>
      </c>
      <c r="B392" s="1" t="n">
        <v>44035</v>
      </c>
      <c r="C392" s="1" t="n">
        <v>45783</v>
      </c>
      <c r="D392" t="inlineStr">
        <is>
          <t>UPPSALA LÄN</t>
        </is>
      </c>
      <c r="E392" t="inlineStr">
        <is>
          <t>UPPSALA</t>
        </is>
      </c>
      <c r="G392" t="n">
        <v>5.5</v>
      </c>
      <c r="H392" t="n">
        <v>0</v>
      </c>
      <c r="I392" t="n">
        <v>0</v>
      </c>
      <c r="J392" t="n">
        <v>0</v>
      </c>
      <c r="K392" t="n">
        <v>0</v>
      </c>
      <c r="L392" t="n">
        <v>0</v>
      </c>
      <c r="M392" t="n">
        <v>0</v>
      </c>
      <c r="N392" t="n">
        <v>0</v>
      </c>
      <c r="O392" t="n">
        <v>0</v>
      </c>
      <c r="P392" t="n">
        <v>0</v>
      </c>
      <c r="Q392" t="n">
        <v>0</v>
      </c>
      <c r="R392" s="2" t="inlineStr"/>
    </row>
    <row r="393" ht="15" customHeight="1">
      <c r="A393" t="inlineStr">
        <is>
          <t>A 35281-2020</t>
        </is>
      </c>
      <c r="B393" s="1" t="n">
        <v>44041</v>
      </c>
      <c r="C393" s="1" t="n">
        <v>45783</v>
      </c>
      <c r="D393" t="inlineStr">
        <is>
          <t>UPPSALA LÄN</t>
        </is>
      </c>
      <c r="E393" t="inlineStr">
        <is>
          <t>UPPSALA</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36035-2020</t>
        </is>
      </c>
      <c r="B394" s="1" t="n">
        <v>44048</v>
      </c>
      <c r="C394" s="1" t="n">
        <v>45783</v>
      </c>
      <c r="D394" t="inlineStr">
        <is>
          <t>UPPSALA LÄN</t>
        </is>
      </c>
      <c r="E394" t="inlineStr">
        <is>
          <t>UPPSALA</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36202-2020</t>
        </is>
      </c>
      <c r="B395" s="1" t="n">
        <v>44048</v>
      </c>
      <c r="C395" s="1" t="n">
        <v>45783</v>
      </c>
      <c r="D395" t="inlineStr">
        <is>
          <t>UPPSALA LÄN</t>
        </is>
      </c>
      <c r="E395" t="inlineStr">
        <is>
          <t>UPPSALA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36198-2020</t>
        </is>
      </c>
      <c r="B396" s="1" t="n">
        <v>44048</v>
      </c>
      <c r="C396" s="1" t="n">
        <v>45783</v>
      </c>
      <c r="D396" t="inlineStr">
        <is>
          <t>UPPSALA LÄN</t>
        </is>
      </c>
      <c r="E396" t="inlineStr">
        <is>
          <t>UPPSALA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36350-2020</t>
        </is>
      </c>
      <c r="B397" s="1" t="n">
        <v>44049</v>
      </c>
      <c r="C397" s="1" t="n">
        <v>45783</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36512-2020</t>
        </is>
      </c>
      <c r="B398" s="1" t="n">
        <v>44050</v>
      </c>
      <c r="C398" s="1" t="n">
        <v>45783</v>
      </c>
      <c r="D398" t="inlineStr">
        <is>
          <t>UPPSALA LÄN</t>
        </is>
      </c>
      <c r="E398" t="inlineStr">
        <is>
          <t>UPPSALA</t>
        </is>
      </c>
      <c r="G398" t="n">
        <v>5.8</v>
      </c>
      <c r="H398" t="n">
        <v>0</v>
      </c>
      <c r="I398" t="n">
        <v>0</v>
      </c>
      <c r="J398" t="n">
        <v>0</v>
      </c>
      <c r="K398" t="n">
        <v>0</v>
      </c>
      <c r="L398" t="n">
        <v>0</v>
      </c>
      <c r="M398" t="n">
        <v>0</v>
      </c>
      <c r="N398" t="n">
        <v>0</v>
      </c>
      <c r="O398" t="n">
        <v>0</v>
      </c>
      <c r="P398" t="n">
        <v>0</v>
      </c>
      <c r="Q398" t="n">
        <v>0</v>
      </c>
      <c r="R398" s="2" t="inlineStr"/>
    </row>
    <row r="399" ht="15" customHeight="1">
      <c r="A399" t="inlineStr">
        <is>
          <t>A 37276-2020</t>
        </is>
      </c>
      <c r="B399" s="1" t="n">
        <v>44055</v>
      </c>
      <c r="C399" s="1" t="n">
        <v>45783</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37669-2020</t>
        </is>
      </c>
      <c r="B400" s="1" t="n">
        <v>44056</v>
      </c>
      <c r="C400" s="1" t="n">
        <v>45783</v>
      </c>
      <c r="D400" t="inlineStr">
        <is>
          <t>UPPSALA LÄN</t>
        </is>
      </c>
      <c r="E400" t="inlineStr">
        <is>
          <t>UPPSALA</t>
        </is>
      </c>
      <c r="G400" t="n">
        <v>5.1</v>
      </c>
      <c r="H400" t="n">
        <v>0</v>
      </c>
      <c r="I400" t="n">
        <v>0</v>
      </c>
      <c r="J400" t="n">
        <v>0</v>
      </c>
      <c r="K400" t="n">
        <v>0</v>
      </c>
      <c r="L400" t="n">
        <v>0</v>
      </c>
      <c r="M400" t="n">
        <v>0</v>
      </c>
      <c r="N400" t="n">
        <v>0</v>
      </c>
      <c r="O400" t="n">
        <v>0</v>
      </c>
      <c r="P400" t="n">
        <v>0</v>
      </c>
      <c r="Q400" t="n">
        <v>0</v>
      </c>
      <c r="R400" s="2" t="inlineStr"/>
    </row>
    <row r="401" ht="15" customHeight="1">
      <c r="A401" t="inlineStr">
        <is>
          <t>A 39233-2020</t>
        </is>
      </c>
      <c r="B401" s="1" t="n">
        <v>44063</v>
      </c>
      <c r="C401" s="1" t="n">
        <v>45783</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39178-2020</t>
        </is>
      </c>
      <c r="B402" s="1" t="n">
        <v>44063</v>
      </c>
      <c r="C402" s="1" t="n">
        <v>45783</v>
      </c>
      <c r="D402" t="inlineStr">
        <is>
          <t>UPPSALA LÄN</t>
        </is>
      </c>
      <c r="E402" t="inlineStr">
        <is>
          <t>UPPSALA</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45783</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39272-2020</t>
        </is>
      </c>
      <c r="B404" s="1" t="n">
        <v>44063</v>
      </c>
      <c r="C404" s="1" t="n">
        <v>45783</v>
      </c>
      <c r="D404" t="inlineStr">
        <is>
          <t>UPPSALA LÄN</t>
        </is>
      </c>
      <c r="E404" t="inlineStr">
        <is>
          <t>UPPSALA</t>
        </is>
      </c>
      <c r="G404" t="n">
        <v>2.3</v>
      </c>
      <c r="H404" t="n">
        <v>0</v>
      </c>
      <c r="I404" t="n">
        <v>0</v>
      </c>
      <c r="J404" t="n">
        <v>0</v>
      </c>
      <c r="K404" t="n">
        <v>0</v>
      </c>
      <c r="L404" t="n">
        <v>0</v>
      </c>
      <c r="M404" t="n">
        <v>0</v>
      </c>
      <c r="N404" t="n">
        <v>0</v>
      </c>
      <c r="O404" t="n">
        <v>0</v>
      </c>
      <c r="P404" t="n">
        <v>0</v>
      </c>
      <c r="Q404" t="n">
        <v>0</v>
      </c>
      <c r="R404" s="2" t="inlineStr"/>
    </row>
    <row r="405" ht="15" customHeight="1">
      <c r="A405" t="inlineStr">
        <is>
          <t>A 40894-2020</t>
        </is>
      </c>
      <c r="B405" s="1" t="n">
        <v>44070</v>
      </c>
      <c r="C405" s="1" t="n">
        <v>45783</v>
      </c>
      <c r="D405" t="inlineStr">
        <is>
          <t>UPPSALA LÄN</t>
        </is>
      </c>
      <c r="E405" t="inlineStr">
        <is>
          <t>UPPSALA</t>
        </is>
      </c>
      <c r="G405" t="n">
        <v>7.1</v>
      </c>
      <c r="H405" t="n">
        <v>0</v>
      </c>
      <c r="I405" t="n">
        <v>0</v>
      </c>
      <c r="J405" t="n">
        <v>0</v>
      </c>
      <c r="K405" t="n">
        <v>0</v>
      </c>
      <c r="L405" t="n">
        <v>0</v>
      </c>
      <c r="M405" t="n">
        <v>0</v>
      </c>
      <c r="N405" t="n">
        <v>0</v>
      </c>
      <c r="O405" t="n">
        <v>0</v>
      </c>
      <c r="P405" t="n">
        <v>0</v>
      </c>
      <c r="Q405" t="n">
        <v>0</v>
      </c>
      <c r="R405" s="2" t="inlineStr"/>
    </row>
    <row r="406" ht="15" customHeight="1">
      <c r="A406" t="inlineStr">
        <is>
          <t>A 42341-2020</t>
        </is>
      </c>
      <c r="B406" s="1" t="n">
        <v>44076</v>
      </c>
      <c r="C406" s="1" t="n">
        <v>45783</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43968-2020</t>
        </is>
      </c>
      <c r="B407" s="1" t="n">
        <v>44083</v>
      </c>
      <c r="C407" s="1" t="n">
        <v>45783</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45930-2020</t>
        </is>
      </c>
      <c r="B408" s="1" t="n">
        <v>44091</v>
      </c>
      <c r="C408" s="1" t="n">
        <v>45783</v>
      </c>
      <c r="D408" t="inlineStr">
        <is>
          <t>UPPSALA LÄN</t>
        </is>
      </c>
      <c r="E408" t="inlineStr">
        <is>
          <t>UPPSALA</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46633-2020</t>
        </is>
      </c>
      <c r="B409" s="1" t="n">
        <v>44095</v>
      </c>
      <c r="C409" s="1" t="n">
        <v>45783</v>
      </c>
      <c r="D409" t="inlineStr">
        <is>
          <t>UPPSALA LÄN</t>
        </is>
      </c>
      <c r="E409" t="inlineStr">
        <is>
          <t>UPPSALA</t>
        </is>
      </c>
      <c r="G409" t="n">
        <v>4.2</v>
      </c>
      <c r="H409" t="n">
        <v>0</v>
      </c>
      <c r="I409" t="n">
        <v>0</v>
      </c>
      <c r="J409" t="n">
        <v>0</v>
      </c>
      <c r="K409" t="n">
        <v>0</v>
      </c>
      <c r="L409" t="n">
        <v>0</v>
      </c>
      <c r="M409" t="n">
        <v>0</v>
      </c>
      <c r="N409" t="n">
        <v>0</v>
      </c>
      <c r="O409" t="n">
        <v>0</v>
      </c>
      <c r="P409" t="n">
        <v>0</v>
      </c>
      <c r="Q409" t="n">
        <v>0</v>
      </c>
      <c r="R409" s="2" t="inlineStr"/>
    </row>
    <row r="410" ht="15" customHeight="1">
      <c r="A410" t="inlineStr">
        <is>
          <t>A 46647-2020</t>
        </is>
      </c>
      <c r="B410" s="1" t="n">
        <v>44095</v>
      </c>
      <c r="C410" s="1" t="n">
        <v>45783</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48786-2020</t>
        </is>
      </c>
      <c r="B411" s="1" t="n">
        <v>44103</v>
      </c>
      <c r="C411" s="1" t="n">
        <v>45783</v>
      </c>
      <c r="D411" t="inlineStr">
        <is>
          <t>UPPSALA LÄN</t>
        </is>
      </c>
      <c r="E411" t="inlineStr">
        <is>
          <t>UPPSALA</t>
        </is>
      </c>
      <c r="G411" t="n">
        <v>0.4</v>
      </c>
      <c r="H411" t="n">
        <v>0</v>
      </c>
      <c r="I411" t="n">
        <v>0</v>
      </c>
      <c r="J411" t="n">
        <v>0</v>
      </c>
      <c r="K411" t="n">
        <v>0</v>
      </c>
      <c r="L411" t="n">
        <v>0</v>
      </c>
      <c r="M411" t="n">
        <v>0</v>
      </c>
      <c r="N411" t="n">
        <v>0</v>
      </c>
      <c r="O411" t="n">
        <v>0</v>
      </c>
      <c r="P411" t="n">
        <v>0</v>
      </c>
      <c r="Q411" t="n">
        <v>0</v>
      </c>
      <c r="R411" s="2" t="inlineStr"/>
    </row>
    <row r="412" ht="15" customHeight="1">
      <c r="A412" t="inlineStr">
        <is>
          <t>A 49363-2020</t>
        </is>
      </c>
      <c r="B412" s="1" t="n">
        <v>44105</v>
      </c>
      <c r="C412" s="1" t="n">
        <v>45783</v>
      </c>
      <c r="D412" t="inlineStr">
        <is>
          <t>UPPSALA LÄN</t>
        </is>
      </c>
      <c r="E412" t="inlineStr">
        <is>
          <t>UPPSALA</t>
        </is>
      </c>
      <c r="G412" t="n">
        <v>0.9</v>
      </c>
      <c r="H412" t="n">
        <v>0</v>
      </c>
      <c r="I412" t="n">
        <v>0</v>
      </c>
      <c r="J412" t="n">
        <v>0</v>
      </c>
      <c r="K412" t="n">
        <v>0</v>
      </c>
      <c r="L412" t="n">
        <v>0</v>
      </c>
      <c r="M412" t="n">
        <v>0</v>
      </c>
      <c r="N412" t="n">
        <v>0</v>
      </c>
      <c r="O412" t="n">
        <v>0</v>
      </c>
      <c r="P412" t="n">
        <v>0</v>
      </c>
      <c r="Q412" t="n">
        <v>0</v>
      </c>
      <c r="R412" s="2" t="inlineStr"/>
    </row>
    <row r="413" ht="15" customHeight="1">
      <c r="A413" t="inlineStr">
        <is>
          <t>A 49409-2020</t>
        </is>
      </c>
      <c r="B413" s="1" t="n">
        <v>44105</v>
      </c>
      <c r="C413" s="1" t="n">
        <v>45783</v>
      </c>
      <c r="D413" t="inlineStr">
        <is>
          <t>UPPSALA LÄN</t>
        </is>
      </c>
      <c r="E413" t="inlineStr">
        <is>
          <t>UPPSALA</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49404-2020</t>
        </is>
      </c>
      <c r="B414" s="1" t="n">
        <v>44105</v>
      </c>
      <c r="C414" s="1" t="n">
        <v>45783</v>
      </c>
      <c r="D414" t="inlineStr">
        <is>
          <t>UPPSALA LÄN</t>
        </is>
      </c>
      <c r="E414" t="inlineStr">
        <is>
          <t>UPPSALA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49821-2020</t>
        </is>
      </c>
      <c r="B415" s="1" t="n">
        <v>44106</v>
      </c>
      <c r="C415" s="1" t="n">
        <v>45783</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49931-2020</t>
        </is>
      </c>
      <c r="B416" s="1" t="n">
        <v>44109</v>
      </c>
      <c r="C416" s="1" t="n">
        <v>45783</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52717-2020</t>
        </is>
      </c>
      <c r="B417" s="1" t="n">
        <v>44119</v>
      </c>
      <c r="C417" s="1" t="n">
        <v>45783</v>
      </c>
      <c r="D417" t="inlineStr">
        <is>
          <t>UPPSALA LÄN</t>
        </is>
      </c>
      <c r="E417" t="inlineStr">
        <is>
          <t>UPPSALA</t>
        </is>
      </c>
      <c r="G417" t="n">
        <v>2.8</v>
      </c>
      <c r="H417" t="n">
        <v>0</v>
      </c>
      <c r="I417" t="n">
        <v>0</v>
      </c>
      <c r="J417" t="n">
        <v>0</v>
      </c>
      <c r="K417" t="n">
        <v>0</v>
      </c>
      <c r="L417" t="n">
        <v>0</v>
      </c>
      <c r="M417" t="n">
        <v>0</v>
      </c>
      <c r="N417" t="n">
        <v>0</v>
      </c>
      <c r="O417" t="n">
        <v>0</v>
      </c>
      <c r="P417" t="n">
        <v>0</v>
      </c>
      <c r="Q417" t="n">
        <v>0</v>
      </c>
      <c r="R417" s="2" t="inlineStr"/>
    </row>
    <row r="418" ht="15" customHeight="1">
      <c r="A418" t="inlineStr">
        <is>
          <t>A 53346-2020</t>
        </is>
      </c>
      <c r="B418" s="1" t="n">
        <v>44123</v>
      </c>
      <c r="C418" s="1" t="n">
        <v>45783</v>
      </c>
      <c r="D418" t="inlineStr">
        <is>
          <t>UPPSALA LÄN</t>
        </is>
      </c>
      <c r="E418" t="inlineStr">
        <is>
          <t>UPPSALA</t>
        </is>
      </c>
      <c r="G418" t="n">
        <v>1.4</v>
      </c>
      <c r="H418" t="n">
        <v>0</v>
      </c>
      <c r="I418" t="n">
        <v>0</v>
      </c>
      <c r="J418" t="n">
        <v>0</v>
      </c>
      <c r="K418" t="n">
        <v>0</v>
      </c>
      <c r="L418" t="n">
        <v>0</v>
      </c>
      <c r="M418" t="n">
        <v>0</v>
      </c>
      <c r="N418" t="n">
        <v>0</v>
      </c>
      <c r="O418" t="n">
        <v>0</v>
      </c>
      <c r="P418" t="n">
        <v>0</v>
      </c>
      <c r="Q418" t="n">
        <v>0</v>
      </c>
      <c r="R418" s="2" t="inlineStr"/>
    </row>
    <row r="419" ht="15" customHeight="1">
      <c r="A419" t="inlineStr">
        <is>
          <t>A 53379-2020</t>
        </is>
      </c>
      <c r="B419" s="1" t="n">
        <v>44123</v>
      </c>
      <c r="C419" s="1" t="n">
        <v>45783</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54742-2020</t>
        </is>
      </c>
      <c r="B420" s="1" t="n">
        <v>44126</v>
      </c>
      <c r="C420" s="1" t="n">
        <v>45783</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55220-2020</t>
        </is>
      </c>
      <c r="B421" s="1" t="n">
        <v>44130</v>
      </c>
      <c r="C421" s="1" t="n">
        <v>45783</v>
      </c>
      <c r="D421" t="inlineStr">
        <is>
          <t>UPPSALA LÄN</t>
        </is>
      </c>
      <c r="E421" t="inlineStr">
        <is>
          <t>UPPSALA</t>
        </is>
      </c>
      <c r="G421" t="n">
        <v>2.8</v>
      </c>
      <c r="H421" t="n">
        <v>0</v>
      </c>
      <c r="I421" t="n">
        <v>0</v>
      </c>
      <c r="J421" t="n">
        <v>0</v>
      </c>
      <c r="K421" t="n">
        <v>0</v>
      </c>
      <c r="L421" t="n">
        <v>0</v>
      </c>
      <c r="M421" t="n">
        <v>0</v>
      </c>
      <c r="N421" t="n">
        <v>0</v>
      </c>
      <c r="O421" t="n">
        <v>0</v>
      </c>
      <c r="P421" t="n">
        <v>0</v>
      </c>
      <c r="Q421" t="n">
        <v>0</v>
      </c>
      <c r="R421" s="2" t="inlineStr"/>
    </row>
    <row r="422" ht="15" customHeight="1">
      <c r="A422" t="inlineStr">
        <is>
          <t>A 55953-2020</t>
        </is>
      </c>
      <c r="B422" s="1" t="n">
        <v>44131</v>
      </c>
      <c r="C422" s="1" t="n">
        <v>45783</v>
      </c>
      <c r="D422" t="inlineStr">
        <is>
          <t>UPPSALA LÄN</t>
        </is>
      </c>
      <c r="E422" t="inlineStr">
        <is>
          <t>UPPSALA</t>
        </is>
      </c>
      <c r="F422" t="inlineStr">
        <is>
          <t>Allmännings- och besparingsskogar</t>
        </is>
      </c>
      <c r="G422" t="n">
        <v>74.40000000000001</v>
      </c>
      <c r="H422" t="n">
        <v>0</v>
      </c>
      <c r="I422" t="n">
        <v>0</v>
      </c>
      <c r="J422" t="n">
        <v>0</v>
      </c>
      <c r="K422" t="n">
        <v>0</v>
      </c>
      <c r="L422" t="n">
        <v>0</v>
      </c>
      <c r="M422" t="n">
        <v>0</v>
      </c>
      <c r="N422" t="n">
        <v>0</v>
      </c>
      <c r="O422" t="n">
        <v>0</v>
      </c>
      <c r="P422" t="n">
        <v>0</v>
      </c>
      <c r="Q422" t="n">
        <v>0</v>
      </c>
      <c r="R422" s="2" t="inlineStr"/>
    </row>
    <row r="423" ht="15" customHeight="1">
      <c r="A423" t="inlineStr">
        <is>
          <t>A 56097-2020</t>
        </is>
      </c>
      <c r="B423" s="1" t="n">
        <v>44131</v>
      </c>
      <c r="C423" s="1" t="n">
        <v>45783</v>
      </c>
      <c r="D423" t="inlineStr">
        <is>
          <t>UPPSALA LÄN</t>
        </is>
      </c>
      <c r="E423" t="inlineStr">
        <is>
          <t>UPPSALA</t>
        </is>
      </c>
      <c r="F423" t="inlineStr">
        <is>
          <t>Allmännings- och besparingsskogar</t>
        </is>
      </c>
      <c r="G423" t="n">
        <v>10.6</v>
      </c>
      <c r="H423" t="n">
        <v>0</v>
      </c>
      <c r="I423" t="n">
        <v>0</v>
      </c>
      <c r="J423" t="n">
        <v>0</v>
      </c>
      <c r="K423" t="n">
        <v>0</v>
      </c>
      <c r="L423" t="n">
        <v>0</v>
      </c>
      <c r="M423" t="n">
        <v>0</v>
      </c>
      <c r="N423" t="n">
        <v>0</v>
      </c>
      <c r="O423" t="n">
        <v>0</v>
      </c>
      <c r="P423" t="n">
        <v>0</v>
      </c>
      <c r="Q423" t="n">
        <v>0</v>
      </c>
      <c r="R423" s="2" t="inlineStr"/>
    </row>
    <row r="424" ht="15" customHeight="1">
      <c r="A424" t="inlineStr">
        <is>
          <t>A 56466-2020</t>
        </is>
      </c>
      <c r="B424" s="1" t="n">
        <v>44134</v>
      </c>
      <c r="C424" s="1" t="n">
        <v>45783</v>
      </c>
      <c r="D424" t="inlineStr">
        <is>
          <t>UPPSALA LÄN</t>
        </is>
      </c>
      <c r="E424" t="inlineStr">
        <is>
          <t>UPPSALA</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57041-2020</t>
        </is>
      </c>
      <c r="B425" s="1" t="n">
        <v>44137</v>
      </c>
      <c r="C425" s="1" t="n">
        <v>45783</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57271-2020</t>
        </is>
      </c>
      <c r="B426" s="1" t="n">
        <v>44139</v>
      </c>
      <c r="C426" s="1" t="n">
        <v>45783</v>
      </c>
      <c r="D426" t="inlineStr">
        <is>
          <t>UPPSALA LÄN</t>
        </is>
      </c>
      <c r="E426" t="inlineStr">
        <is>
          <t>UPPSALA</t>
        </is>
      </c>
      <c r="G426" t="n">
        <v>3.8</v>
      </c>
      <c r="H426" t="n">
        <v>0</v>
      </c>
      <c r="I426" t="n">
        <v>0</v>
      </c>
      <c r="J426" t="n">
        <v>0</v>
      </c>
      <c r="K426" t="n">
        <v>0</v>
      </c>
      <c r="L426" t="n">
        <v>0</v>
      </c>
      <c r="M426" t="n">
        <v>0</v>
      </c>
      <c r="N426" t="n">
        <v>0</v>
      </c>
      <c r="O426" t="n">
        <v>0</v>
      </c>
      <c r="P426" t="n">
        <v>0</v>
      </c>
      <c r="Q426" t="n">
        <v>0</v>
      </c>
      <c r="R426" s="2" t="inlineStr"/>
    </row>
    <row r="427" ht="15" customHeight="1">
      <c r="A427" t="inlineStr">
        <is>
          <t>A 57451-2020</t>
        </is>
      </c>
      <c r="B427" s="1" t="n">
        <v>44139</v>
      </c>
      <c r="C427" s="1" t="n">
        <v>45783</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57466-2020</t>
        </is>
      </c>
      <c r="B428" s="1" t="n">
        <v>44139</v>
      </c>
      <c r="C428" s="1" t="n">
        <v>45783</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58070-2020</t>
        </is>
      </c>
      <c r="B429" s="1" t="n">
        <v>44140</v>
      </c>
      <c r="C429" s="1" t="n">
        <v>45783</v>
      </c>
      <c r="D429" t="inlineStr">
        <is>
          <t>UPPSALA LÄN</t>
        </is>
      </c>
      <c r="E429" t="inlineStr">
        <is>
          <t>UPPSALA</t>
        </is>
      </c>
      <c r="G429" t="n">
        <v>4</v>
      </c>
      <c r="H429" t="n">
        <v>0</v>
      </c>
      <c r="I429" t="n">
        <v>0</v>
      </c>
      <c r="J429" t="n">
        <v>0</v>
      </c>
      <c r="K429" t="n">
        <v>0</v>
      </c>
      <c r="L429" t="n">
        <v>0</v>
      </c>
      <c r="M429" t="n">
        <v>0</v>
      </c>
      <c r="N429" t="n">
        <v>0</v>
      </c>
      <c r="O429" t="n">
        <v>0</v>
      </c>
      <c r="P429" t="n">
        <v>0</v>
      </c>
      <c r="Q429" t="n">
        <v>0</v>
      </c>
      <c r="R429" s="2" t="inlineStr"/>
    </row>
    <row r="430" ht="15" customHeight="1">
      <c r="A430" t="inlineStr">
        <is>
          <t>A 58058-2020</t>
        </is>
      </c>
      <c r="B430" s="1" t="n">
        <v>44144</v>
      </c>
      <c r="C430" s="1" t="n">
        <v>45783</v>
      </c>
      <c r="D430" t="inlineStr">
        <is>
          <t>UPPSALA LÄN</t>
        </is>
      </c>
      <c r="E430" t="inlineStr">
        <is>
          <t>UPPSALA</t>
        </is>
      </c>
      <c r="G430" t="n">
        <v>4.4</v>
      </c>
      <c r="H430" t="n">
        <v>0</v>
      </c>
      <c r="I430" t="n">
        <v>0</v>
      </c>
      <c r="J430" t="n">
        <v>0</v>
      </c>
      <c r="K430" t="n">
        <v>0</v>
      </c>
      <c r="L430" t="n">
        <v>0</v>
      </c>
      <c r="M430" t="n">
        <v>0</v>
      </c>
      <c r="N430" t="n">
        <v>0</v>
      </c>
      <c r="O430" t="n">
        <v>0</v>
      </c>
      <c r="P430" t="n">
        <v>0</v>
      </c>
      <c r="Q430" t="n">
        <v>0</v>
      </c>
      <c r="R430" s="2" t="inlineStr"/>
    </row>
    <row r="431" ht="15" customHeight="1">
      <c r="A431" t="inlineStr">
        <is>
          <t>A 58056-2020</t>
        </is>
      </c>
      <c r="B431" s="1" t="n">
        <v>44144</v>
      </c>
      <c r="C431" s="1" t="n">
        <v>45783</v>
      </c>
      <c r="D431" t="inlineStr">
        <is>
          <t>UPPSALA LÄN</t>
        </is>
      </c>
      <c r="E431" t="inlineStr">
        <is>
          <t>UPPSALA</t>
        </is>
      </c>
      <c r="G431" t="n">
        <v>5.5</v>
      </c>
      <c r="H431" t="n">
        <v>0</v>
      </c>
      <c r="I431" t="n">
        <v>0</v>
      </c>
      <c r="J431" t="n">
        <v>0</v>
      </c>
      <c r="K431" t="n">
        <v>0</v>
      </c>
      <c r="L431" t="n">
        <v>0</v>
      </c>
      <c r="M431" t="n">
        <v>0</v>
      </c>
      <c r="N431" t="n">
        <v>0</v>
      </c>
      <c r="O431" t="n">
        <v>0</v>
      </c>
      <c r="P431" t="n">
        <v>0</v>
      </c>
      <c r="Q431" t="n">
        <v>0</v>
      </c>
      <c r="R431" s="2" t="inlineStr"/>
    </row>
    <row r="432" ht="15" customHeight="1">
      <c r="A432" t="inlineStr">
        <is>
          <t>A 58288-2020</t>
        </is>
      </c>
      <c r="B432" s="1" t="n">
        <v>44144</v>
      </c>
      <c r="C432" s="1" t="n">
        <v>45783</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58928-2020</t>
        </is>
      </c>
      <c r="B433" s="1" t="n">
        <v>44146</v>
      </c>
      <c r="C433" s="1" t="n">
        <v>45783</v>
      </c>
      <c r="D433" t="inlineStr">
        <is>
          <t>UPPSALA LÄN</t>
        </is>
      </c>
      <c r="E433" t="inlineStr">
        <is>
          <t>UPPSALA</t>
        </is>
      </c>
      <c r="G433" t="n">
        <v>10.6</v>
      </c>
      <c r="H433" t="n">
        <v>0</v>
      </c>
      <c r="I433" t="n">
        <v>0</v>
      </c>
      <c r="J433" t="n">
        <v>0</v>
      </c>
      <c r="K433" t="n">
        <v>0</v>
      </c>
      <c r="L433" t="n">
        <v>0</v>
      </c>
      <c r="M433" t="n">
        <v>0</v>
      </c>
      <c r="N433" t="n">
        <v>0</v>
      </c>
      <c r="O433" t="n">
        <v>0</v>
      </c>
      <c r="P433" t="n">
        <v>0</v>
      </c>
      <c r="Q433" t="n">
        <v>0</v>
      </c>
      <c r="R433" s="2" t="inlineStr"/>
    </row>
    <row r="434" ht="15" customHeight="1">
      <c r="A434" t="inlineStr">
        <is>
          <t>A 59952-2020</t>
        </is>
      </c>
      <c r="B434" s="1" t="n">
        <v>44151</v>
      </c>
      <c r="C434" s="1" t="n">
        <v>45783</v>
      </c>
      <c r="D434" t="inlineStr">
        <is>
          <t>UPPSALA LÄN</t>
        </is>
      </c>
      <c r="E434" t="inlineStr">
        <is>
          <t>UPPSALA</t>
        </is>
      </c>
      <c r="G434" t="n">
        <v>25.8</v>
      </c>
      <c r="H434" t="n">
        <v>0</v>
      </c>
      <c r="I434" t="n">
        <v>0</v>
      </c>
      <c r="J434" t="n">
        <v>0</v>
      </c>
      <c r="K434" t="n">
        <v>0</v>
      </c>
      <c r="L434" t="n">
        <v>0</v>
      </c>
      <c r="M434" t="n">
        <v>0</v>
      </c>
      <c r="N434" t="n">
        <v>0</v>
      </c>
      <c r="O434" t="n">
        <v>0</v>
      </c>
      <c r="P434" t="n">
        <v>0</v>
      </c>
      <c r="Q434" t="n">
        <v>0</v>
      </c>
      <c r="R434" s="2" t="inlineStr"/>
    </row>
    <row r="435" ht="15" customHeight="1">
      <c r="A435" t="inlineStr">
        <is>
          <t>A 60702-2020</t>
        </is>
      </c>
      <c r="B435" s="1" t="n">
        <v>44153</v>
      </c>
      <c r="C435" s="1" t="n">
        <v>45783</v>
      </c>
      <c r="D435" t="inlineStr">
        <is>
          <t>UPPSALA LÄN</t>
        </is>
      </c>
      <c r="E435" t="inlineStr">
        <is>
          <t>UPPSALA</t>
        </is>
      </c>
      <c r="F435" t="inlineStr">
        <is>
          <t>Övriga statliga verk och myndigheter</t>
        </is>
      </c>
      <c r="G435" t="n">
        <v>1.4</v>
      </c>
      <c r="H435" t="n">
        <v>0</v>
      </c>
      <c r="I435" t="n">
        <v>0</v>
      </c>
      <c r="J435" t="n">
        <v>0</v>
      </c>
      <c r="K435" t="n">
        <v>0</v>
      </c>
      <c r="L435" t="n">
        <v>0</v>
      </c>
      <c r="M435" t="n">
        <v>0</v>
      </c>
      <c r="N435" t="n">
        <v>0</v>
      </c>
      <c r="O435" t="n">
        <v>0</v>
      </c>
      <c r="P435" t="n">
        <v>0</v>
      </c>
      <c r="Q435" t="n">
        <v>0</v>
      </c>
      <c r="R435" s="2" t="inlineStr"/>
    </row>
    <row r="436" ht="15" customHeight="1">
      <c r="A436" t="inlineStr">
        <is>
          <t>A 61265-2020</t>
        </is>
      </c>
      <c r="B436" s="1" t="n">
        <v>44155</v>
      </c>
      <c r="C436" s="1" t="n">
        <v>45783</v>
      </c>
      <c r="D436" t="inlineStr">
        <is>
          <t>UPPSALA LÄN</t>
        </is>
      </c>
      <c r="E436" t="inlineStr">
        <is>
          <t>UPPSALA</t>
        </is>
      </c>
      <c r="G436" t="n">
        <v>4.7</v>
      </c>
      <c r="H436" t="n">
        <v>0</v>
      </c>
      <c r="I436" t="n">
        <v>0</v>
      </c>
      <c r="J436" t="n">
        <v>0</v>
      </c>
      <c r="K436" t="n">
        <v>0</v>
      </c>
      <c r="L436" t="n">
        <v>0</v>
      </c>
      <c r="M436" t="n">
        <v>0</v>
      </c>
      <c r="N436" t="n">
        <v>0</v>
      </c>
      <c r="O436" t="n">
        <v>0</v>
      </c>
      <c r="P436" t="n">
        <v>0</v>
      </c>
      <c r="Q436" t="n">
        <v>0</v>
      </c>
      <c r="R436" s="2" t="inlineStr"/>
    </row>
    <row r="437" ht="15" customHeight="1">
      <c r="A437" t="inlineStr">
        <is>
          <t>A 61271-2020</t>
        </is>
      </c>
      <c r="B437" s="1" t="n">
        <v>44155</v>
      </c>
      <c r="C437" s="1" t="n">
        <v>45783</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62094-2020</t>
        </is>
      </c>
      <c r="B438" s="1" t="n">
        <v>44159</v>
      </c>
      <c r="C438" s="1" t="n">
        <v>45783</v>
      </c>
      <c r="D438" t="inlineStr">
        <is>
          <t>UPPSALA LÄN</t>
        </is>
      </c>
      <c r="E438" t="inlineStr">
        <is>
          <t>UPPSALA</t>
        </is>
      </c>
      <c r="F438" t="inlineStr">
        <is>
          <t>Bergvik skog öst AB</t>
        </is>
      </c>
      <c r="G438" t="n">
        <v>3.4</v>
      </c>
      <c r="H438" t="n">
        <v>0</v>
      </c>
      <c r="I438" t="n">
        <v>0</v>
      </c>
      <c r="J438" t="n">
        <v>0</v>
      </c>
      <c r="K438" t="n">
        <v>0</v>
      </c>
      <c r="L438" t="n">
        <v>0</v>
      </c>
      <c r="M438" t="n">
        <v>0</v>
      </c>
      <c r="N438" t="n">
        <v>0</v>
      </c>
      <c r="O438" t="n">
        <v>0</v>
      </c>
      <c r="P438" t="n">
        <v>0</v>
      </c>
      <c r="Q438" t="n">
        <v>0</v>
      </c>
      <c r="R438" s="2" t="inlineStr"/>
    </row>
    <row r="439" ht="15" customHeight="1">
      <c r="A439" t="inlineStr">
        <is>
          <t>A 62352-2020</t>
        </is>
      </c>
      <c r="B439" s="1" t="n">
        <v>44159</v>
      </c>
      <c r="C439" s="1" t="n">
        <v>45783</v>
      </c>
      <c r="D439" t="inlineStr">
        <is>
          <t>UPPSALA LÄN</t>
        </is>
      </c>
      <c r="E439" t="inlineStr">
        <is>
          <t>UPPSALA</t>
        </is>
      </c>
      <c r="F439" t="inlineStr">
        <is>
          <t>Allmännings- och besparingsskogar</t>
        </is>
      </c>
      <c r="G439" t="n">
        <v>12.9</v>
      </c>
      <c r="H439" t="n">
        <v>0</v>
      </c>
      <c r="I439" t="n">
        <v>0</v>
      </c>
      <c r="J439" t="n">
        <v>0</v>
      </c>
      <c r="K439" t="n">
        <v>0</v>
      </c>
      <c r="L439" t="n">
        <v>0</v>
      </c>
      <c r="M439" t="n">
        <v>0</v>
      </c>
      <c r="N439" t="n">
        <v>0</v>
      </c>
      <c r="O439" t="n">
        <v>0</v>
      </c>
      <c r="P439" t="n">
        <v>0</v>
      </c>
      <c r="Q439" t="n">
        <v>0</v>
      </c>
      <c r="R439" s="2" t="inlineStr"/>
    </row>
    <row r="440" ht="15" customHeight="1">
      <c r="A440" t="inlineStr">
        <is>
          <t>A 62504-2020</t>
        </is>
      </c>
      <c r="B440" s="1" t="n">
        <v>44160</v>
      </c>
      <c r="C440" s="1" t="n">
        <v>45783</v>
      </c>
      <c r="D440" t="inlineStr">
        <is>
          <t>UPPSALA LÄN</t>
        </is>
      </c>
      <c r="E440" t="inlineStr">
        <is>
          <t>UPPSALA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62729-2020</t>
        </is>
      </c>
      <c r="B441" s="1" t="n">
        <v>44161</v>
      </c>
      <c r="C441" s="1" t="n">
        <v>45783</v>
      </c>
      <c r="D441" t="inlineStr">
        <is>
          <t>UPPSALA LÄN</t>
        </is>
      </c>
      <c r="E441" t="inlineStr">
        <is>
          <t>UPPSALA</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62655-2020</t>
        </is>
      </c>
      <c r="B442" s="1" t="n">
        <v>44161</v>
      </c>
      <c r="C442" s="1" t="n">
        <v>45783</v>
      </c>
      <c r="D442" t="inlineStr">
        <is>
          <t>UPPSALA LÄN</t>
        </is>
      </c>
      <c r="E442" t="inlineStr">
        <is>
          <t>UPPSALA</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63145-2020</t>
        </is>
      </c>
      <c r="B443" s="1" t="n">
        <v>44162</v>
      </c>
      <c r="C443" s="1" t="n">
        <v>45783</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63529-2020</t>
        </is>
      </c>
      <c r="B444" s="1" t="n">
        <v>44165</v>
      </c>
      <c r="C444" s="1" t="n">
        <v>45783</v>
      </c>
      <c r="D444" t="inlineStr">
        <is>
          <t>UPPSALA LÄN</t>
        </is>
      </c>
      <c r="E444" t="inlineStr">
        <is>
          <t>UPPSALA</t>
        </is>
      </c>
      <c r="F444" t="inlineStr">
        <is>
          <t>Övriga statliga verk och myndigheter</t>
        </is>
      </c>
      <c r="G444" t="n">
        <v>2.4</v>
      </c>
      <c r="H444" t="n">
        <v>0</v>
      </c>
      <c r="I444" t="n">
        <v>0</v>
      </c>
      <c r="J444" t="n">
        <v>0</v>
      </c>
      <c r="K444" t="n">
        <v>0</v>
      </c>
      <c r="L444" t="n">
        <v>0</v>
      </c>
      <c r="M444" t="n">
        <v>0</v>
      </c>
      <c r="N444" t="n">
        <v>0</v>
      </c>
      <c r="O444" t="n">
        <v>0</v>
      </c>
      <c r="P444" t="n">
        <v>0</v>
      </c>
      <c r="Q444" t="n">
        <v>0</v>
      </c>
      <c r="R444" s="2" t="inlineStr"/>
    </row>
    <row r="445" ht="15" customHeight="1">
      <c r="A445" t="inlineStr">
        <is>
          <t>A 63749-2020</t>
        </is>
      </c>
      <c r="B445" s="1" t="n">
        <v>44166</v>
      </c>
      <c r="C445" s="1" t="n">
        <v>45783</v>
      </c>
      <c r="D445" t="inlineStr">
        <is>
          <t>UPPSALA LÄN</t>
        </is>
      </c>
      <c r="E445" t="inlineStr">
        <is>
          <t>UPPSALA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64128-2020</t>
        </is>
      </c>
      <c r="B446" s="1" t="n">
        <v>44167</v>
      </c>
      <c r="C446" s="1" t="n">
        <v>45783</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64353-2020</t>
        </is>
      </c>
      <c r="B447" s="1" t="n">
        <v>44168</v>
      </c>
      <c r="C447" s="1" t="n">
        <v>45783</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64333-2020</t>
        </is>
      </c>
      <c r="B448" s="1" t="n">
        <v>44168</v>
      </c>
      <c r="C448" s="1" t="n">
        <v>45783</v>
      </c>
      <c r="D448" t="inlineStr">
        <is>
          <t>UPPSALA LÄN</t>
        </is>
      </c>
      <c r="E448" t="inlineStr">
        <is>
          <t>UPPSALA</t>
        </is>
      </c>
      <c r="G448" t="n">
        <v>7.1</v>
      </c>
      <c r="H448" t="n">
        <v>0</v>
      </c>
      <c r="I448" t="n">
        <v>0</v>
      </c>
      <c r="J448" t="n">
        <v>0</v>
      </c>
      <c r="K448" t="n">
        <v>0</v>
      </c>
      <c r="L448" t="n">
        <v>0</v>
      </c>
      <c r="M448" t="n">
        <v>0</v>
      </c>
      <c r="N448" t="n">
        <v>0</v>
      </c>
      <c r="O448" t="n">
        <v>0</v>
      </c>
      <c r="P448" t="n">
        <v>0</v>
      </c>
      <c r="Q448" t="n">
        <v>0</v>
      </c>
      <c r="R448" s="2" t="inlineStr"/>
    </row>
    <row r="449" ht="15" customHeight="1">
      <c r="A449" t="inlineStr">
        <is>
          <t>A 66984-2020</t>
        </is>
      </c>
      <c r="B449" s="1" t="n">
        <v>44180</v>
      </c>
      <c r="C449" s="1" t="n">
        <v>45783</v>
      </c>
      <c r="D449" t="inlineStr">
        <is>
          <t>UPPSALA LÄN</t>
        </is>
      </c>
      <c r="E449" t="inlineStr">
        <is>
          <t>UPPSALA</t>
        </is>
      </c>
      <c r="F449" t="inlineStr">
        <is>
          <t>Övriga statliga verk och myndigheter</t>
        </is>
      </c>
      <c r="G449" t="n">
        <v>2.1</v>
      </c>
      <c r="H449" t="n">
        <v>0</v>
      </c>
      <c r="I449" t="n">
        <v>0</v>
      </c>
      <c r="J449" t="n">
        <v>0</v>
      </c>
      <c r="K449" t="n">
        <v>0</v>
      </c>
      <c r="L449" t="n">
        <v>0</v>
      </c>
      <c r="M449" t="n">
        <v>0</v>
      </c>
      <c r="N449" t="n">
        <v>0</v>
      </c>
      <c r="O449" t="n">
        <v>0</v>
      </c>
      <c r="P449" t="n">
        <v>0</v>
      </c>
      <c r="Q449" t="n">
        <v>0</v>
      </c>
      <c r="R449" s="2" t="inlineStr"/>
    </row>
    <row r="450" ht="15" customHeight="1">
      <c r="A450" t="inlineStr">
        <is>
          <t>A 265-2021</t>
        </is>
      </c>
      <c r="B450" s="1" t="n">
        <v>44200</v>
      </c>
      <c r="C450" s="1" t="n">
        <v>45783</v>
      </c>
      <c r="D450" t="inlineStr">
        <is>
          <t>UPPSALA LÄN</t>
        </is>
      </c>
      <c r="E450" t="inlineStr">
        <is>
          <t>UPPSALA</t>
        </is>
      </c>
      <c r="G450" t="n">
        <v>3.1</v>
      </c>
      <c r="H450" t="n">
        <v>0</v>
      </c>
      <c r="I450" t="n">
        <v>0</v>
      </c>
      <c r="J450" t="n">
        <v>0</v>
      </c>
      <c r="K450" t="n">
        <v>0</v>
      </c>
      <c r="L450" t="n">
        <v>0</v>
      </c>
      <c r="M450" t="n">
        <v>0</v>
      </c>
      <c r="N450" t="n">
        <v>0</v>
      </c>
      <c r="O450" t="n">
        <v>0</v>
      </c>
      <c r="P450" t="n">
        <v>0</v>
      </c>
      <c r="Q450" t="n">
        <v>0</v>
      </c>
      <c r="R450" s="2" t="inlineStr"/>
    </row>
    <row r="451" ht="15" customHeight="1">
      <c r="A451" t="inlineStr">
        <is>
          <t>A 1020-2021</t>
        </is>
      </c>
      <c r="B451" s="1" t="n">
        <v>44207</v>
      </c>
      <c r="C451" s="1" t="n">
        <v>45783</v>
      </c>
      <c r="D451" t="inlineStr">
        <is>
          <t>UPPSALA LÄN</t>
        </is>
      </c>
      <c r="E451" t="inlineStr">
        <is>
          <t>UPPSALA</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1573-2021</t>
        </is>
      </c>
      <c r="B452" s="1" t="n">
        <v>44209</v>
      </c>
      <c r="C452" s="1" t="n">
        <v>45783</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1617-2021</t>
        </is>
      </c>
      <c r="B453" s="1" t="n">
        <v>44209</v>
      </c>
      <c r="C453" s="1" t="n">
        <v>45783</v>
      </c>
      <c r="D453" t="inlineStr">
        <is>
          <t>UPPSALA LÄN</t>
        </is>
      </c>
      <c r="E453" t="inlineStr">
        <is>
          <t>UPPSALA</t>
        </is>
      </c>
      <c r="G453" t="n">
        <v>2.5</v>
      </c>
      <c r="H453" t="n">
        <v>0</v>
      </c>
      <c r="I453" t="n">
        <v>0</v>
      </c>
      <c r="J453" t="n">
        <v>0</v>
      </c>
      <c r="K453" t="n">
        <v>0</v>
      </c>
      <c r="L453" t="n">
        <v>0</v>
      </c>
      <c r="M453" t="n">
        <v>0</v>
      </c>
      <c r="N453" t="n">
        <v>0</v>
      </c>
      <c r="O453" t="n">
        <v>0</v>
      </c>
      <c r="P453" t="n">
        <v>0</v>
      </c>
      <c r="Q453" t="n">
        <v>0</v>
      </c>
      <c r="R453" s="2" t="inlineStr"/>
    </row>
    <row r="454" ht="15" customHeight="1">
      <c r="A454" t="inlineStr">
        <is>
          <t>A 1855-2021</t>
        </is>
      </c>
      <c r="B454" s="1" t="n">
        <v>44210</v>
      </c>
      <c r="C454" s="1" t="n">
        <v>45783</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2169-2021</t>
        </is>
      </c>
      <c r="B455" s="1" t="n">
        <v>44211</v>
      </c>
      <c r="C455" s="1" t="n">
        <v>45783</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3864-2021</t>
        </is>
      </c>
      <c r="B456" s="1" t="n">
        <v>44216</v>
      </c>
      <c r="C456" s="1" t="n">
        <v>45783</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3874-2021</t>
        </is>
      </c>
      <c r="B457" s="1" t="n">
        <v>44216</v>
      </c>
      <c r="C457" s="1" t="n">
        <v>45783</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3955-2021</t>
        </is>
      </c>
      <c r="B458" s="1" t="n">
        <v>44222</v>
      </c>
      <c r="C458" s="1" t="n">
        <v>45783</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4875-2021</t>
        </is>
      </c>
      <c r="B459" s="1" t="n">
        <v>44223</v>
      </c>
      <c r="C459" s="1" t="n">
        <v>45783</v>
      </c>
      <c r="D459" t="inlineStr">
        <is>
          <t>UPPSALA LÄN</t>
        </is>
      </c>
      <c r="E459" t="inlineStr">
        <is>
          <t>UPPSALA</t>
        </is>
      </c>
      <c r="G459" t="n">
        <v>0.4</v>
      </c>
      <c r="H459" t="n">
        <v>0</v>
      </c>
      <c r="I459" t="n">
        <v>0</v>
      </c>
      <c r="J459" t="n">
        <v>0</v>
      </c>
      <c r="K459" t="n">
        <v>0</v>
      </c>
      <c r="L459" t="n">
        <v>0</v>
      </c>
      <c r="M459" t="n">
        <v>0</v>
      </c>
      <c r="N459" t="n">
        <v>0</v>
      </c>
      <c r="O459" t="n">
        <v>0</v>
      </c>
      <c r="P459" t="n">
        <v>0</v>
      </c>
      <c r="Q459" t="n">
        <v>0</v>
      </c>
      <c r="R459" s="2" t="inlineStr"/>
    </row>
    <row r="460" ht="15" customHeight="1">
      <c r="A460" t="inlineStr">
        <is>
          <t>A 5663-2021</t>
        </is>
      </c>
      <c r="B460" s="1" t="n">
        <v>44230</v>
      </c>
      <c r="C460" s="1" t="n">
        <v>45783</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8114-2021</t>
        </is>
      </c>
      <c r="B461" s="1" t="n">
        <v>44243</v>
      </c>
      <c r="C461" s="1" t="n">
        <v>45783</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8494-2021</t>
        </is>
      </c>
      <c r="B462" s="1" t="n">
        <v>44245</v>
      </c>
      <c r="C462" s="1" t="n">
        <v>45783</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9700-2021</t>
        </is>
      </c>
      <c r="B463" s="1" t="n">
        <v>44252</v>
      </c>
      <c r="C463" s="1" t="n">
        <v>45783</v>
      </c>
      <c r="D463" t="inlineStr">
        <is>
          <t>UPPSALA LÄN</t>
        </is>
      </c>
      <c r="E463" t="inlineStr">
        <is>
          <t>UPPSALA</t>
        </is>
      </c>
      <c r="G463" t="n">
        <v>3.3</v>
      </c>
      <c r="H463" t="n">
        <v>0</v>
      </c>
      <c r="I463" t="n">
        <v>0</v>
      </c>
      <c r="J463" t="n">
        <v>0</v>
      </c>
      <c r="K463" t="n">
        <v>0</v>
      </c>
      <c r="L463" t="n">
        <v>0</v>
      </c>
      <c r="M463" t="n">
        <v>0</v>
      </c>
      <c r="N463" t="n">
        <v>0</v>
      </c>
      <c r="O463" t="n">
        <v>0</v>
      </c>
      <c r="P463" t="n">
        <v>0</v>
      </c>
      <c r="Q463" t="n">
        <v>0</v>
      </c>
      <c r="R463" s="2" t="inlineStr"/>
    </row>
    <row r="464" ht="15" customHeight="1">
      <c r="A464" t="inlineStr">
        <is>
          <t>A 9712-2021</t>
        </is>
      </c>
      <c r="B464" s="1" t="n">
        <v>44252</v>
      </c>
      <c r="C464" s="1" t="n">
        <v>45783</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12225-2021</t>
        </is>
      </c>
      <c r="B465" s="1" t="n">
        <v>44266</v>
      </c>
      <c r="C465" s="1" t="n">
        <v>45783</v>
      </c>
      <c r="D465" t="inlineStr">
        <is>
          <t>UPPSALA LÄN</t>
        </is>
      </c>
      <c r="E465" t="inlineStr">
        <is>
          <t>UPPSALA</t>
        </is>
      </c>
      <c r="F465" t="inlineStr">
        <is>
          <t>Bergvik skog öst AB</t>
        </is>
      </c>
      <c r="G465" t="n">
        <v>4.8</v>
      </c>
      <c r="H465" t="n">
        <v>0</v>
      </c>
      <c r="I465" t="n">
        <v>0</v>
      </c>
      <c r="J465" t="n">
        <v>0</v>
      </c>
      <c r="K465" t="n">
        <v>0</v>
      </c>
      <c r="L465" t="n">
        <v>0</v>
      </c>
      <c r="M465" t="n">
        <v>0</v>
      </c>
      <c r="N465" t="n">
        <v>0</v>
      </c>
      <c r="O465" t="n">
        <v>0</v>
      </c>
      <c r="P465" t="n">
        <v>0</v>
      </c>
      <c r="Q465" t="n">
        <v>0</v>
      </c>
      <c r="R465" s="2" t="inlineStr"/>
    </row>
    <row r="466" ht="15" customHeight="1">
      <c r="A466" t="inlineStr">
        <is>
          <t>A 12152-2021</t>
        </is>
      </c>
      <c r="B466" s="1" t="n">
        <v>44266</v>
      </c>
      <c r="C466" s="1" t="n">
        <v>45783</v>
      </c>
      <c r="D466" t="inlineStr">
        <is>
          <t>UPPSALA LÄN</t>
        </is>
      </c>
      <c r="E466" t="inlineStr">
        <is>
          <t>UPPSALA</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12172-2021</t>
        </is>
      </c>
      <c r="B467" s="1" t="n">
        <v>44266</v>
      </c>
      <c r="C467" s="1" t="n">
        <v>45783</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12194-2021</t>
        </is>
      </c>
      <c r="B468" s="1" t="n">
        <v>44266</v>
      </c>
      <c r="C468" s="1" t="n">
        <v>45783</v>
      </c>
      <c r="D468" t="inlineStr">
        <is>
          <t>UPPSALA LÄN</t>
        </is>
      </c>
      <c r="E468" t="inlineStr">
        <is>
          <t>UPPSALA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12313-2021</t>
        </is>
      </c>
      <c r="B469" s="1" t="n">
        <v>44266</v>
      </c>
      <c r="C469" s="1" t="n">
        <v>45783</v>
      </c>
      <c r="D469" t="inlineStr">
        <is>
          <t>UPPSALA LÄN</t>
        </is>
      </c>
      <c r="E469" t="inlineStr">
        <is>
          <t>UPPSALA</t>
        </is>
      </c>
      <c r="G469" t="n">
        <v>23.6</v>
      </c>
      <c r="H469" t="n">
        <v>0</v>
      </c>
      <c r="I469" t="n">
        <v>0</v>
      </c>
      <c r="J469" t="n">
        <v>0</v>
      </c>
      <c r="K469" t="n">
        <v>0</v>
      </c>
      <c r="L469" t="n">
        <v>0</v>
      </c>
      <c r="M469" t="n">
        <v>0</v>
      </c>
      <c r="N469" t="n">
        <v>0</v>
      </c>
      <c r="O469" t="n">
        <v>0</v>
      </c>
      <c r="P469" t="n">
        <v>0</v>
      </c>
      <c r="Q469" t="n">
        <v>0</v>
      </c>
      <c r="R469" s="2" t="inlineStr"/>
    </row>
    <row r="470" ht="15" customHeight="1">
      <c r="A470" t="inlineStr">
        <is>
          <t>A 13010-2021</t>
        </is>
      </c>
      <c r="B470" s="1" t="n">
        <v>44271</v>
      </c>
      <c r="C470" s="1" t="n">
        <v>45783</v>
      </c>
      <c r="D470" t="inlineStr">
        <is>
          <t>UPPSALA LÄN</t>
        </is>
      </c>
      <c r="E470" t="inlineStr">
        <is>
          <t>UPPSALA</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13420-2021</t>
        </is>
      </c>
      <c r="B471" s="1" t="n">
        <v>44273</v>
      </c>
      <c r="C471" s="1" t="n">
        <v>45783</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14026-2021</t>
        </is>
      </c>
      <c r="B472" s="1" t="n">
        <v>44277</v>
      </c>
      <c r="C472" s="1" t="n">
        <v>45783</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14022-2021</t>
        </is>
      </c>
      <c r="B473" s="1" t="n">
        <v>44277</v>
      </c>
      <c r="C473" s="1" t="n">
        <v>45783</v>
      </c>
      <c r="D473" t="inlineStr">
        <is>
          <t>UPPSALA LÄN</t>
        </is>
      </c>
      <c r="E473" t="inlineStr">
        <is>
          <t>UPPSALA</t>
        </is>
      </c>
      <c r="G473" t="n">
        <v>11.1</v>
      </c>
      <c r="H473" t="n">
        <v>0</v>
      </c>
      <c r="I473" t="n">
        <v>0</v>
      </c>
      <c r="J473" t="n">
        <v>0</v>
      </c>
      <c r="K473" t="n">
        <v>0</v>
      </c>
      <c r="L473" t="n">
        <v>0</v>
      </c>
      <c r="M473" t="n">
        <v>0</v>
      </c>
      <c r="N473" t="n">
        <v>0</v>
      </c>
      <c r="O473" t="n">
        <v>0</v>
      </c>
      <c r="P473" t="n">
        <v>0</v>
      </c>
      <c r="Q473" t="n">
        <v>0</v>
      </c>
      <c r="R473" s="2" t="inlineStr"/>
    </row>
    <row r="474" ht="15" customHeight="1">
      <c r="A474" t="inlineStr">
        <is>
          <t>A 14341-2021</t>
        </is>
      </c>
      <c r="B474" s="1" t="n">
        <v>44279</v>
      </c>
      <c r="C474" s="1" t="n">
        <v>45783</v>
      </c>
      <c r="D474" t="inlineStr">
        <is>
          <t>UPPSALA LÄN</t>
        </is>
      </c>
      <c r="E474" t="inlineStr">
        <is>
          <t>UPPSALA</t>
        </is>
      </c>
      <c r="G474" t="n">
        <v>8.9</v>
      </c>
      <c r="H474" t="n">
        <v>0</v>
      </c>
      <c r="I474" t="n">
        <v>0</v>
      </c>
      <c r="J474" t="n">
        <v>0</v>
      </c>
      <c r="K474" t="n">
        <v>0</v>
      </c>
      <c r="L474" t="n">
        <v>0</v>
      </c>
      <c r="M474" t="n">
        <v>0</v>
      </c>
      <c r="N474" t="n">
        <v>0</v>
      </c>
      <c r="O474" t="n">
        <v>0</v>
      </c>
      <c r="P474" t="n">
        <v>0</v>
      </c>
      <c r="Q474" t="n">
        <v>0</v>
      </c>
      <c r="R474" s="2" t="inlineStr"/>
    </row>
    <row r="475" ht="15" customHeight="1">
      <c r="A475" t="inlineStr">
        <is>
          <t>A 14941-2021</t>
        </is>
      </c>
      <c r="B475" s="1" t="n">
        <v>44281</v>
      </c>
      <c r="C475" s="1" t="n">
        <v>45783</v>
      </c>
      <c r="D475" t="inlineStr">
        <is>
          <t>UPPSALA LÄN</t>
        </is>
      </c>
      <c r="E475" t="inlineStr">
        <is>
          <t>UPPSALA</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15816-2021</t>
        </is>
      </c>
      <c r="B476" s="1" t="n">
        <v>44286</v>
      </c>
      <c r="C476" s="1" t="n">
        <v>45783</v>
      </c>
      <c r="D476" t="inlineStr">
        <is>
          <t>UPPSALA LÄN</t>
        </is>
      </c>
      <c r="E476" t="inlineStr">
        <is>
          <t>UPPSALA</t>
        </is>
      </c>
      <c r="G476" t="n">
        <v>2.9</v>
      </c>
      <c r="H476" t="n">
        <v>0</v>
      </c>
      <c r="I476" t="n">
        <v>0</v>
      </c>
      <c r="J476" t="n">
        <v>0</v>
      </c>
      <c r="K476" t="n">
        <v>0</v>
      </c>
      <c r="L476" t="n">
        <v>0</v>
      </c>
      <c r="M476" t="n">
        <v>0</v>
      </c>
      <c r="N476" t="n">
        <v>0</v>
      </c>
      <c r="O476" t="n">
        <v>0</v>
      </c>
      <c r="P476" t="n">
        <v>0</v>
      </c>
      <c r="Q476" t="n">
        <v>0</v>
      </c>
      <c r="R476" s="2" t="inlineStr"/>
    </row>
    <row r="477" ht="15" customHeight="1">
      <c r="A477" t="inlineStr">
        <is>
          <t>A 15820-2021</t>
        </is>
      </c>
      <c r="B477" s="1" t="n">
        <v>44286</v>
      </c>
      <c r="C477" s="1" t="n">
        <v>45783</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16592-2021</t>
        </is>
      </c>
      <c r="B478" s="1" t="n">
        <v>44294</v>
      </c>
      <c r="C478" s="1" t="n">
        <v>45783</v>
      </c>
      <c r="D478" t="inlineStr">
        <is>
          <t>UPPSALA LÄN</t>
        </is>
      </c>
      <c r="E478" t="inlineStr">
        <is>
          <t>UPPSALA</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16615-2021</t>
        </is>
      </c>
      <c r="B479" s="1" t="n">
        <v>44294</v>
      </c>
      <c r="C479" s="1" t="n">
        <v>45783</v>
      </c>
      <c r="D479" t="inlineStr">
        <is>
          <t>UPPSALA LÄN</t>
        </is>
      </c>
      <c r="E479" t="inlineStr">
        <is>
          <t>UPPSALA</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16684-2021</t>
        </is>
      </c>
      <c r="B480" s="1" t="n">
        <v>44294</v>
      </c>
      <c r="C480" s="1" t="n">
        <v>45783</v>
      </c>
      <c r="D480" t="inlineStr">
        <is>
          <t>UPPSALA LÄN</t>
        </is>
      </c>
      <c r="E480" t="inlineStr">
        <is>
          <t>UPPSALA</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17262-2021</t>
        </is>
      </c>
      <c r="B481" s="1" t="n">
        <v>44297</v>
      </c>
      <c r="C481" s="1" t="n">
        <v>45783</v>
      </c>
      <c r="D481" t="inlineStr">
        <is>
          <t>UPPSALA LÄN</t>
        </is>
      </c>
      <c r="E481" t="inlineStr">
        <is>
          <t>UPPSALA</t>
        </is>
      </c>
      <c r="F481" t="inlineStr">
        <is>
          <t>Allmännings- och besparingsskogar</t>
        </is>
      </c>
      <c r="G481" t="n">
        <v>1</v>
      </c>
      <c r="H481" t="n">
        <v>0</v>
      </c>
      <c r="I481" t="n">
        <v>0</v>
      </c>
      <c r="J481" t="n">
        <v>0</v>
      </c>
      <c r="K481" t="n">
        <v>0</v>
      </c>
      <c r="L481" t="n">
        <v>0</v>
      </c>
      <c r="M481" t="n">
        <v>0</v>
      </c>
      <c r="N481" t="n">
        <v>0</v>
      </c>
      <c r="O481" t="n">
        <v>0</v>
      </c>
      <c r="P481" t="n">
        <v>0</v>
      </c>
      <c r="Q481" t="n">
        <v>0</v>
      </c>
      <c r="R481" s="2" t="inlineStr"/>
    </row>
    <row r="482" ht="15" customHeight="1">
      <c r="A482" t="inlineStr">
        <is>
          <t>A 17250-2021</t>
        </is>
      </c>
      <c r="B482" s="1" t="n">
        <v>44297</v>
      </c>
      <c r="C482" s="1" t="n">
        <v>45783</v>
      </c>
      <c r="D482" t="inlineStr">
        <is>
          <t>UPPSALA LÄN</t>
        </is>
      </c>
      <c r="E482" t="inlineStr">
        <is>
          <t>UPPSALA</t>
        </is>
      </c>
      <c r="G482" t="n">
        <v>3.6</v>
      </c>
      <c r="H482" t="n">
        <v>0</v>
      </c>
      <c r="I482" t="n">
        <v>0</v>
      </c>
      <c r="J482" t="n">
        <v>0</v>
      </c>
      <c r="K482" t="n">
        <v>0</v>
      </c>
      <c r="L482" t="n">
        <v>0</v>
      </c>
      <c r="M482" t="n">
        <v>0</v>
      </c>
      <c r="N482" t="n">
        <v>0</v>
      </c>
      <c r="O482" t="n">
        <v>0</v>
      </c>
      <c r="P482" t="n">
        <v>0</v>
      </c>
      <c r="Q482" t="n">
        <v>0</v>
      </c>
      <c r="R482" s="2" t="inlineStr"/>
    </row>
    <row r="483" ht="15" customHeight="1">
      <c r="A483" t="inlineStr">
        <is>
          <t>A 17536-2021</t>
        </is>
      </c>
      <c r="B483" s="1" t="n">
        <v>44299</v>
      </c>
      <c r="C483" s="1" t="n">
        <v>45783</v>
      </c>
      <c r="D483" t="inlineStr">
        <is>
          <t>UPPSALA LÄN</t>
        </is>
      </c>
      <c r="E483" t="inlineStr">
        <is>
          <t>UPPSALA</t>
        </is>
      </c>
      <c r="F483" t="inlineStr">
        <is>
          <t>Holmen skog AB</t>
        </is>
      </c>
      <c r="G483" t="n">
        <v>7.6</v>
      </c>
      <c r="H483" t="n">
        <v>0</v>
      </c>
      <c r="I483" t="n">
        <v>0</v>
      </c>
      <c r="J483" t="n">
        <v>0</v>
      </c>
      <c r="K483" t="n">
        <v>0</v>
      </c>
      <c r="L483" t="n">
        <v>0</v>
      </c>
      <c r="M483" t="n">
        <v>0</v>
      </c>
      <c r="N483" t="n">
        <v>0</v>
      </c>
      <c r="O483" t="n">
        <v>0</v>
      </c>
      <c r="P483" t="n">
        <v>0</v>
      </c>
      <c r="Q483" t="n">
        <v>0</v>
      </c>
      <c r="R483" s="2" t="inlineStr"/>
    </row>
    <row r="484" ht="15" customHeight="1">
      <c r="A484" t="inlineStr">
        <is>
          <t>A 18906-2021</t>
        </is>
      </c>
      <c r="B484" s="1" t="n">
        <v>44308</v>
      </c>
      <c r="C484" s="1" t="n">
        <v>45783</v>
      </c>
      <c r="D484" t="inlineStr">
        <is>
          <t>UPPSALA LÄN</t>
        </is>
      </c>
      <c r="E484" t="inlineStr">
        <is>
          <t>UPPSALA</t>
        </is>
      </c>
      <c r="G484" t="n">
        <v>1.8</v>
      </c>
      <c r="H484" t="n">
        <v>0</v>
      </c>
      <c r="I484" t="n">
        <v>0</v>
      </c>
      <c r="J484" t="n">
        <v>0</v>
      </c>
      <c r="K484" t="n">
        <v>0</v>
      </c>
      <c r="L484" t="n">
        <v>0</v>
      </c>
      <c r="M484" t="n">
        <v>0</v>
      </c>
      <c r="N484" t="n">
        <v>0</v>
      </c>
      <c r="O484" t="n">
        <v>0</v>
      </c>
      <c r="P484" t="n">
        <v>0</v>
      </c>
      <c r="Q484" t="n">
        <v>0</v>
      </c>
      <c r="R484" s="2" t="inlineStr"/>
    </row>
    <row r="485" ht="15" customHeight="1">
      <c r="A485" t="inlineStr">
        <is>
          <t>A 19927-2021</t>
        </is>
      </c>
      <c r="B485" s="1" t="n">
        <v>44313</v>
      </c>
      <c r="C485" s="1" t="n">
        <v>45783</v>
      </c>
      <c r="D485" t="inlineStr">
        <is>
          <t>UPPSALA LÄN</t>
        </is>
      </c>
      <c r="E485" t="inlineStr">
        <is>
          <t>UPPSALA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19947-2021</t>
        </is>
      </c>
      <c r="B486" s="1" t="n">
        <v>44313</v>
      </c>
      <c r="C486" s="1" t="n">
        <v>45783</v>
      </c>
      <c r="D486" t="inlineStr">
        <is>
          <t>UPPSALA LÄN</t>
        </is>
      </c>
      <c r="E486" t="inlineStr">
        <is>
          <t>UPPSALA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20276-2021</t>
        </is>
      </c>
      <c r="B487" s="1" t="n">
        <v>44314</v>
      </c>
      <c r="C487" s="1" t="n">
        <v>45783</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20271-2021</t>
        </is>
      </c>
      <c r="B488" s="1" t="n">
        <v>44314</v>
      </c>
      <c r="C488" s="1" t="n">
        <v>45783</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20609-2021</t>
        </is>
      </c>
      <c r="B489" s="1" t="n">
        <v>44316</v>
      </c>
      <c r="C489" s="1" t="n">
        <v>45783</v>
      </c>
      <c r="D489" t="inlineStr">
        <is>
          <t>UPPSALA LÄN</t>
        </is>
      </c>
      <c r="E489" t="inlineStr">
        <is>
          <t>UPPSALA</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22070-2021</t>
        </is>
      </c>
      <c r="B490" s="1" t="n">
        <v>44323</v>
      </c>
      <c r="C490" s="1" t="n">
        <v>45783</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22946-2021</t>
        </is>
      </c>
      <c r="B491" s="1" t="n">
        <v>44328</v>
      </c>
      <c r="C491" s="1" t="n">
        <v>45783</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23877-2021</t>
        </is>
      </c>
      <c r="B492" s="1" t="n">
        <v>44335</v>
      </c>
      <c r="C492" s="1" t="n">
        <v>45783</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25613-2021</t>
        </is>
      </c>
      <c r="B493" s="1" t="n">
        <v>44343</v>
      </c>
      <c r="C493" s="1" t="n">
        <v>45783</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26785-2021</t>
        </is>
      </c>
      <c r="B494" s="1" t="n">
        <v>44349</v>
      </c>
      <c r="C494" s="1" t="n">
        <v>45783</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27365-2021</t>
        </is>
      </c>
      <c r="B495" s="1" t="n">
        <v>44351</v>
      </c>
      <c r="C495" s="1" t="n">
        <v>45783</v>
      </c>
      <c r="D495" t="inlineStr">
        <is>
          <t>UPPSALA LÄN</t>
        </is>
      </c>
      <c r="E495" t="inlineStr">
        <is>
          <t>UPPSALA</t>
        </is>
      </c>
      <c r="F495" t="inlineStr">
        <is>
          <t>Allmännings- och besparingsskogar</t>
        </is>
      </c>
      <c r="G495" t="n">
        <v>20.5</v>
      </c>
      <c r="H495" t="n">
        <v>0</v>
      </c>
      <c r="I495" t="n">
        <v>0</v>
      </c>
      <c r="J495" t="n">
        <v>0</v>
      </c>
      <c r="K495" t="n">
        <v>0</v>
      </c>
      <c r="L495" t="n">
        <v>0</v>
      </c>
      <c r="M495" t="n">
        <v>0</v>
      </c>
      <c r="N495" t="n">
        <v>0</v>
      </c>
      <c r="O495" t="n">
        <v>0</v>
      </c>
      <c r="P495" t="n">
        <v>0</v>
      </c>
      <c r="Q495" t="n">
        <v>0</v>
      </c>
      <c r="R495" s="2" t="inlineStr"/>
    </row>
    <row r="496" ht="15" customHeight="1">
      <c r="A496" t="inlineStr">
        <is>
          <t>A 28694-2021</t>
        </is>
      </c>
      <c r="B496" s="1" t="n">
        <v>44357</v>
      </c>
      <c r="C496" s="1" t="n">
        <v>45783</v>
      </c>
      <c r="D496" t="inlineStr">
        <is>
          <t>UPPSALA LÄN</t>
        </is>
      </c>
      <c r="E496" t="inlineStr">
        <is>
          <t>UPPSALA</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29145-2021</t>
        </is>
      </c>
      <c r="B497" s="1" t="n">
        <v>44358</v>
      </c>
      <c r="C497" s="1" t="n">
        <v>45783</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30655-2021</t>
        </is>
      </c>
      <c r="B498" s="1" t="n">
        <v>44365</v>
      </c>
      <c r="C498" s="1" t="n">
        <v>45783</v>
      </c>
      <c r="D498" t="inlineStr">
        <is>
          <t>UPPSALA LÄN</t>
        </is>
      </c>
      <c r="E498" t="inlineStr">
        <is>
          <t>UPPSALA</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30656-2021</t>
        </is>
      </c>
      <c r="B499" s="1" t="n">
        <v>44365</v>
      </c>
      <c r="C499" s="1" t="n">
        <v>45783</v>
      </c>
      <c r="D499" t="inlineStr">
        <is>
          <t>UPPSALA LÄN</t>
        </is>
      </c>
      <c r="E499" t="inlineStr">
        <is>
          <t>UPPSALA</t>
        </is>
      </c>
      <c r="G499" t="n">
        <v>6.7</v>
      </c>
      <c r="H499" t="n">
        <v>0</v>
      </c>
      <c r="I499" t="n">
        <v>0</v>
      </c>
      <c r="J499" t="n">
        <v>0</v>
      </c>
      <c r="K499" t="n">
        <v>0</v>
      </c>
      <c r="L499" t="n">
        <v>0</v>
      </c>
      <c r="M499" t="n">
        <v>0</v>
      </c>
      <c r="N499" t="n">
        <v>0</v>
      </c>
      <c r="O499" t="n">
        <v>0</v>
      </c>
      <c r="P499" t="n">
        <v>0</v>
      </c>
      <c r="Q499" t="n">
        <v>0</v>
      </c>
      <c r="R499" s="2" t="inlineStr"/>
    </row>
    <row r="500" ht="15" customHeight="1">
      <c r="A500" t="inlineStr">
        <is>
          <t>A 31646-2021</t>
        </is>
      </c>
      <c r="B500" s="1" t="n">
        <v>44369</v>
      </c>
      <c r="C500" s="1" t="n">
        <v>45783</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31662-2021</t>
        </is>
      </c>
      <c r="B501" s="1" t="n">
        <v>44369</v>
      </c>
      <c r="C501" s="1" t="n">
        <v>45783</v>
      </c>
      <c r="D501" t="inlineStr">
        <is>
          <t>UPPSALA LÄN</t>
        </is>
      </c>
      <c r="E501" t="inlineStr">
        <is>
          <t>UPPSALA</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31829-2021</t>
        </is>
      </c>
      <c r="B502" s="1" t="n">
        <v>44370</v>
      </c>
      <c r="C502" s="1" t="n">
        <v>45783</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32276-2021</t>
        </is>
      </c>
      <c r="B503" s="1" t="n">
        <v>44371</v>
      </c>
      <c r="C503" s="1" t="n">
        <v>45783</v>
      </c>
      <c r="D503" t="inlineStr">
        <is>
          <t>UPPSALA LÄN</t>
        </is>
      </c>
      <c r="E503" t="inlineStr">
        <is>
          <t>UPPSALA</t>
        </is>
      </c>
      <c r="G503" t="n">
        <v>3.7</v>
      </c>
      <c r="H503" t="n">
        <v>0</v>
      </c>
      <c r="I503" t="n">
        <v>0</v>
      </c>
      <c r="J503" t="n">
        <v>0</v>
      </c>
      <c r="K503" t="n">
        <v>0</v>
      </c>
      <c r="L503" t="n">
        <v>0</v>
      </c>
      <c r="M503" t="n">
        <v>0</v>
      </c>
      <c r="N503" t="n">
        <v>0</v>
      </c>
      <c r="O503" t="n">
        <v>0</v>
      </c>
      <c r="P503" t="n">
        <v>0</v>
      </c>
      <c r="Q503" t="n">
        <v>0</v>
      </c>
      <c r="R503" s="2" t="inlineStr"/>
    </row>
    <row r="504" ht="15" customHeight="1">
      <c r="A504" t="inlineStr">
        <is>
          <t>A 32428-2021</t>
        </is>
      </c>
      <c r="B504" s="1" t="n">
        <v>44371</v>
      </c>
      <c r="C504" s="1" t="n">
        <v>45783</v>
      </c>
      <c r="D504" t="inlineStr">
        <is>
          <t>UPPSALA LÄN</t>
        </is>
      </c>
      <c r="E504" t="inlineStr">
        <is>
          <t>UPPSALA</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32955-2021</t>
        </is>
      </c>
      <c r="B505" s="1" t="n">
        <v>44376</v>
      </c>
      <c r="C505" s="1" t="n">
        <v>45783</v>
      </c>
      <c r="D505" t="inlineStr">
        <is>
          <t>UPPSALA LÄN</t>
        </is>
      </c>
      <c r="E505" t="inlineStr">
        <is>
          <t>UPPSALA</t>
        </is>
      </c>
      <c r="F505" t="inlineStr">
        <is>
          <t>Bergvik skog öst AB</t>
        </is>
      </c>
      <c r="G505" t="n">
        <v>10</v>
      </c>
      <c r="H505" t="n">
        <v>0</v>
      </c>
      <c r="I505" t="n">
        <v>0</v>
      </c>
      <c r="J505" t="n">
        <v>0</v>
      </c>
      <c r="K505" t="n">
        <v>0</v>
      </c>
      <c r="L505" t="n">
        <v>0</v>
      </c>
      <c r="M505" t="n">
        <v>0</v>
      </c>
      <c r="N505" t="n">
        <v>0</v>
      </c>
      <c r="O505" t="n">
        <v>0</v>
      </c>
      <c r="P505" t="n">
        <v>0</v>
      </c>
      <c r="Q505" t="n">
        <v>0</v>
      </c>
      <c r="R505" s="2" t="inlineStr"/>
    </row>
    <row r="506" ht="15" customHeight="1">
      <c r="A506" t="inlineStr">
        <is>
          <t>A 33797-2021</t>
        </is>
      </c>
      <c r="B506" s="1" t="n">
        <v>44378</v>
      </c>
      <c r="C506" s="1" t="n">
        <v>45783</v>
      </c>
      <c r="D506" t="inlineStr">
        <is>
          <t>UPPSALA LÄN</t>
        </is>
      </c>
      <c r="E506" t="inlineStr">
        <is>
          <t>UPPSALA</t>
        </is>
      </c>
      <c r="G506" t="n">
        <v>1</v>
      </c>
      <c r="H506" t="n">
        <v>0</v>
      </c>
      <c r="I506" t="n">
        <v>0</v>
      </c>
      <c r="J506" t="n">
        <v>0</v>
      </c>
      <c r="K506" t="n">
        <v>0</v>
      </c>
      <c r="L506" t="n">
        <v>0</v>
      </c>
      <c r="M506" t="n">
        <v>0</v>
      </c>
      <c r="N506" t="n">
        <v>0</v>
      </c>
      <c r="O506" t="n">
        <v>0</v>
      </c>
      <c r="P506" t="n">
        <v>0</v>
      </c>
      <c r="Q506" t="n">
        <v>0</v>
      </c>
      <c r="R506" s="2" t="inlineStr"/>
    </row>
    <row r="507" ht="15" customHeight="1">
      <c r="A507" t="inlineStr">
        <is>
          <t>A 33920-2021</t>
        </is>
      </c>
      <c r="B507" s="1" t="n">
        <v>44378</v>
      </c>
      <c r="C507" s="1" t="n">
        <v>45783</v>
      </c>
      <c r="D507" t="inlineStr">
        <is>
          <t>UPPSALA LÄN</t>
        </is>
      </c>
      <c r="E507" t="inlineStr">
        <is>
          <t>UPPSALA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34039-2021</t>
        </is>
      </c>
      <c r="B508" s="1" t="n">
        <v>44379</v>
      </c>
      <c r="C508" s="1" t="n">
        <v>45783</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34043-2021</t>
        </is>
      </c>
      <c r="B509" s="1" t="n">
        <v>44379</v>
      </c>
      <c r="C509" s="1" t="n">
        <v>45783</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34265-2021</t>
        </is>
      </c>
      <c r="B510" s="1" t="n">
        <v>44379</v>
      </c>
      <c r="C510" s="1" t="n">
        <v>45783</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34249-2021</t>
        </is>
      </c>
      <c r="B511" s="1" t="n">
        <v>44379</v>
      </c>
      <c r="C511" s="1" t="n">
        <v>45783</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34243-2021</t>
        </is>
      </c>
      <c r="B512" s="1" t="n">
        <v>44379</v>
      </c>
      <c r="C512" s="1" t="n">
        <v>45783</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34263-2021</t>
        </is>
      </c>
      <c r="B513" s="1" t="n">
        <v>44379</v>
      </c>
      <c r="C513" s="1" t="n">
        <v>45783</v>
      </c>
      <c r="D513" t="inlineStr">
        <is>
          <t>UPPSALA LÄN</t>
        </is>
      </c>
      <c r="E513" t="inlineStr">
        <is>
          <t>UPPSALA</t>
        </is>
      </c>
      <c r="G513" t="n">
        <v>5.8</v>
      </c>
      <c r="H513" t="n">
        <v>0</v>
      </c>
      <c r="I513" t="n">
        <v>0</v>
      </c>
      <c r="J513" t="n">
        <v>0</v>
      </c>
      <c r="K513" t="n">
        <v>0</v>
      </c>
      <c r="L513" t="n">
        <v>0</v>
      </c>
      <c r="M513" t="n">
        <v>0</v>
      </c>
      <c r="N513" t="n">
        <v>0</v>
      </c>
      <c r="O513" t="n">
        <v>0</v>
      </c>
      <c r="P513" t="n">
        <v>0</v>
      </c>
      <c r="Q513" t="n">
        <v>0</v>
      </c>
      <c r="R513" s="2" t="inlineStr"/>
    </row>
    <row r="514" ht="15" customHeight="1">
      <c r="A514" t="inlineStr">
        <is>
          <t>A 34838-2021</t>
        </is>
      </c>
      <c r="B514" s="1" t="n">
        <v>44383</v>
      </c>
      <c r="C514" s="1" t="n">
        <v>45783</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34825-2021</t>
        </is>
      </c>
      <c r="B515" s="1" t="n">
        <v>44383</v>
      </c>
      <c r="C515" s="1" t="n">
        <v>45783</v>
      </c>
      <c r="D515" t="inlineStr">
        <is>
          <t>UPPSALA LÄN</t>
        </is>
      </c>
      <c r="E515" t="inlineStr">
        <is>
          <t>UPPSALA</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35630-2021</t>
        </is>
      </c>
      <c r="B516" s="1" t="n">
        <v>44386</v>
      </c>
      <c r="C516" s="1" t="n">
        <v>45783</v>
      </c>
      <c r="D516" t="inlineStr">
        <is>
          <t>UPPSALA LÄN</t>
        </is>
      </c>
      <c r="E516" t="inlineStr">
        <is>
          <t>UPPSALA</t>
        </is>
      </c>
      <c r="G516" t="n">
        <v>6</v>
      </c>
      <c r="H516" t="n">
        <v>0</v>
      </c>
      <c r="I516" t="n">
        <v>0</v>
      </c>
      <c r="J516" t="n">
        <v>0</v>
      </c>
      <c r="K516" t="n">
        <v>0</v>
      </c>
      <c r="L516" t="n">
        <v>0</v>
      </c>
      <c r="M516" t="n">
        <v>0</v>
      </c>
      <c r="N516" t="n">
        <v>0</v>
      </c>
      <c r="O516" t="n">
        <v>0</v>
      </c>
      <c r="P516" t="n">
        <v>0</v>
      </c>
      <c r="Q516" t="n">
        <v>0</v>
      </c>
      <c r="R516" s="2" t="inlineStr"/>
    </row>
    <row r="517" ht="15" customHeight="1">
      <c r="A517" t="inlineStr">
        <is>
          <t>A 36304-2021</t>
        </is>
      </c>
      <c r="B517" s="1" t="n">
        <v>44390</v>
      </c>
      <c r="C517" s="1" t="n">
        <v>45783</v>
      </c>
      <c r="D517" t="inlineStr">
        <is>
          <t>UPPSALA LÄN</t>
        </is>
      </c>
      <c r="E517" t="inlineStr">
        <is>
          <t>UPPSALA</t>
        </is>
      </c>
      <c r="G517" t="n">
        <v>7.4</v>
      </c>
      <c r="H517" t="n">
        <v>0</v>
      </c>
      <c r="I517" t="n">
        <v>0</v>
      </c>
      <c r="J517" t="n">
        <v>0</v>
      </c>
      <c r="K517" t="n">
        <v>0</v>
      </c>
      <c r="L517" t="n">
        <v>0</v>
      </c>
      <c r="M517" t="n">
        <v>0</v>
      </c>
      <c r="N517" t="n">
        <v>0</v>
      </c>
      <c r="O517" t="n">
        <v>0</v>
      </c>
      <c r="P517" t="n">
        <v>0</v>
      </c>
      <c r="Q517" t="n">
        <v>0</v>
      </c>
      <c r="R517" s="2" t="inlineStr"/>
    </row>
    <row r="518" ht="15" customHeight="1">
      <c r="A518" t="inlineStr">
        <is>
          <t>A 36721-2021</t>
        </is>
      </c>
      <c r="B518" s="1" t="n">
        <v>44392</v>
      </c>
      <c r="C518" s="1" t="n">
        <v>45783</v>
      </c>
      <c r="D518" t="inlineStr">
        <is>
          <t>UPPSALA LÄN</t>
        </is>
      </c>
      <c r="E518" t="inlineStr">
        <is>
          <t>UPPSALA</t>
        </is>
      </c>
      <c r="F518" t="inlineStr">
        <is>
          <t>Bergvik skog öst AB</t>
        </is>
      </c>
      <c r="G518" t="n">
        <v>5.8</v>
      </c>
      <c r="H518" t="n">
        <v>0</v>
      </c>
      <c r="I518" t="n">
        <v>0</v>
      </c>
      <c r="J518" t="n">
        <v>0</v>
      </c>
      <c r="K518" t="n">
        <v>0</v>
      </c>
      <c r="L518" t="n">
        <v>0</v>
      </c>
      <c r="M518" t="n">
        <v>0</v>
      </c>
      <c r="N518" t="n">
        <v>0</v>
      </c>
      <c r="O518" t="n">
        <v>0</v>
      </c>
      <c r="P518" t="n">
        <v>0</v>
      </c>
      <c r="Q518" t="n">
        <v>0</v>
      </c>
      <c r="R518" s="2" t="inlineStr"/>
    </row>
    <row r="519" ht="15" customHeight="1">
      <c r="A519" t="inlineStr">
        <is>
          <t>A 36998-2021</t>
        </is>
      </c>
      <c r="B519" s="1" t="n">
        <v>44393</v>
      </c>
      <c r="C519" s="1" t="n">
        <v>45783</v>
      </c>
      <c r="D519" t="inlineStr">
        <is>
          <t>UPPSALA LÄN</t>
        </is>
      </c>
      <c r="E519" t="inlineStr">
        <is>
          <t>UPPSALA</t>
        </is>
      </c>
      <c r="F519" t="inlineStr">
        <is>
          <t>Bergvik skog öst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37162-2021</t>
        </is>
      </c>
      <c r="B520" s="1" t="n">
        <v>44395</v>
      </c>
      <c r="C520" s="1" t="n">
        <v>45783</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37763-2021</t>
        </is>
      </c>
      <c r="B521" s="1" t="n">
        <v>44400</v>
      </c>
      <c r="C521" s="1" t="n">
        <v>45783</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37819-2021</t>
        </is>
      </c>
      <c r="B522" s="1" t="n">
        <v>44403</v>
      </c>
      <c r="C522" s="1" t="n">
        <v>45783</v>
      </c>
      <c r="D522" t="inlineStr">
        <is>
          <t>UPPSALA LÄN</t>
        </is>
      </c>
      <c r="E522" t="inlineStr">
        <is>
          <t>UPPSALA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37820-2021</t>
        </is>
      </c>
      <c r="B523" s="1" t="n">
        <v>44403</v>
      </c>
      <c r="C523" s="1" t="n">
        <v>45783</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45783</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38463-2021</t>
        </is>
      </c>
      <c r="B525" s="1" t="n">
        <v>44407</v>
      </c>
      <c r="C525" s="1" t="n">
        <v>45783</v>
      </c>
      <c r="D525" t="inlineStr">
        <is>
          <t>UPPSALA LÄN</t>
        </is>
      </c>
      <c r="E525" t="inlineStr">
        <is>
          <t>UPPSALA</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40500-2021</t>
        </is>
      </c>
      <c r="B526" s="1" t="n">
        <v>44420</v>
      </c>
      <c r="C526" s="1" t="n">
        <v>45783</v>
      </c>
      <c r="D526" t="inlineStr">
        <is>
          <t>UPPSALA LÄN</t>
        </is>
      </c>
      <c r="E526" t="inlineStr">
        <is>
          <t>UPPSALA</t>
        </is>
      </c>
      <c r="G526" t="n">
        <v>3.5</v>
      </c>
      <c r="H526" t="n">
        <v>0</v>
      </c>
      <c r="I526" t="n">
        <v>0</v>
      </c>
      <c r="J526" t="n">
        <v>0</v>
      </c>
      <c r="K526" t="n">
        <v>0</v>
      </c>
      <c r="L526" t="n">
        <v>0</v>
      </c>
      <c r="M526" t="n">
        <v>0</v>
      </c>
      <c r="N526" t="n">
        <v>0</v>
      </c>
      <c r="O526" t="n">
        <v>0</v>
      </c>
      <c r="P526" t="n">
        <v>0</v>
      </c>
      <c r="Q526" t="n">
        <v>0</v>
      </c>
      <c r="R526" s="2" t="inlineStr"/>
    </row>
    <row r="527" ht="15" customHeight="1">
      <c r="A527" t="inlineStr">
        <is>
          <t>A 40507-2021</t>
        </is>
      </c>
      <c r="B527" s="1" t="n">
        <v>44420</v>
      </c>
      <c r="C527" s="1" t="n">
        <v>45783</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42124-2021</t>
        </is>
      </c>
      <c r="B528" s="1" t="n">
        <v>44426</v>
      </c>
      <c r="C528" s="1" t="n">
        <v>45783</v>
      </c>
      <c r="D528" t="inlineStr">
        <is>
          <t>UPPSALA LÄN</t>
        </is>
      </c>
      <c r="E528" t="inlineStr">
        <is>
          <t>UPPSALA</t>
        </is>
      </c>
      <c r="G528" t="n">
        <v>6.3</v>
      </c>
      <c r="H528" t="n">
        <v>0</v>
      </c>
      <c r="I528" t="n">
        <v>0</v>
      </c>
      <c r="J528" t="n">
        <v>0</v>
      </c>
      <c r="K528" t="n">
        <v>0</v>
      </c>
      <c r="L528" t="n">
        <v>0</v>
      </c>
      <c r="M528" t="n">
        <v>0</v>
      </c>
      <c r="N528" t="n">
        <v>0</v>
      </c>
      <c r="O528" t="n">
        <v>0</v>
      </c>
      <c r="P528" t="n">
        <v>0</v>
      </c>
      <c r="Q528" t="n">
        <v>0</v>
      </c>
      <c r="R528" s="2" t="inlineStr"/>
    </row>
    <row r="529" ht="15" customHeight="1">
      <c r="A529" t="inlineStr">
        <is>
          <t>A 42294-2021</t>
        </is>
      </c>
      <c r="B529" s="1" t="n">
        <v>44427</v>
      </c>
      <c r="C529" s="1" t="n">
        <v>45783</v>
      </c>
      <c r="D529" t="inlineStr">
        <is>
          <t>UPPSALA LÄN</t>
        </is>
      </c>
      <c r="E529" t="inlineStr">
        <is>
          <t>UPPSALA</t>
        </is>
      </c>
      <c r="G529" t="n">
        <v>1.6</v>
      </c>
      <c r="H529" t="n">
        <v>0</v>
      </c>
      <c r="I529" t="n">
        <v>0</v>
      </c>
      <c r="J529" t="n">
        <v>0</v>
      </c>
      <c r="K529" t="n">
        <v>0</v>
      </c>
      <c r="L529" t="n">
        <v>0</v>
      </c>
      <c r="M529" t="n">
        <v>0</v>
      </c>
      <c r="N529" t="n">
        <v>0</v>
      </c>
      <c r="O529" t="n">
        <v>0</v>
      </c>
      <c r="P529" t="n">
        <v>0</v>
      </c>
      <c r="Q529" t="n">
        <v>0</v>
      </c>
      <c r="R529" s="2" t="inlineStr"/>
    </row>
    <row r="530" ht="15" customHeight="1">
      <c r="A530" t="inlineStr">
        <is>
          <t>A 44315-2021</t>
        </is>
      </c>
      <c r="B530" s="1" t="n">
        <v>44435</v>
      </c>
      <c r="C530" s="1" t="n">
        <v>45783</v>
      </c>
      <c r="D530" t="inlineStr">
        <is>
          <t>UPPSALA LÄN</t>
        </is>
      </c>
      <c r="E530" t="inlineStr">
        <is>
          <t>UPPSALA</t>
        </is>
      </c>
      <c r="G530" t="n">
        <v>5.2</v>
      </c>
      <c r="H530" t="n">
        <v>0</v>
      </c>
      <c r="I530" t="n">
        <v>0</v>
      </c>
      <c r="J530" t="n">
        <v>0</v>
      </c>
      <c r="K530" t="n">
        <v>0</v>
      </c>
      <c r="L530" t="n">
        <v>0</v>
      </c>
      <c r="M530" t="n">
        <v>0</v>
      </c>
      <c r="N530" t="n">
        <v>0</v>
      </c>
      <c r="O530" t="n">
        <v>0</v>
      </c>
      <c r="P530" t="n">
        <v>0</v>
      </c>
      <c r="Q530" t="n">
        <v>0</v>
      </c>
      <c r="R530" s="2" t="inlineStr"/>
    </row>
    <row r="531" ht="15" customHeight="1">
      <c r="A531" t="inlineStr">
        <is>
          <t>A 44781-2021</t>
        </is>
      </c>
      <c r="B531" s="1" t="n">
        <v>44438</v>
      </c>
      <c r="C531" s="1" t="n">
        <v>45783</v>
      </c>
      <c r="D531" t="inlineStr">
        <is>
          <t>UPPSALA LÄN</t>
        </is>
      </c>
      <c r="E531" t="inlineStr">
        <is>
          <t>UPPSALA</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46097-2021</t>
        </is>
      </c>
      <c r="B532" s="1" t="n">
        <v>44442</v>
      </c>
      <c r="C532" s="1" t="n">
        <v>45783</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46099-2021</t>
        </is>
      </c>
      <c r="B533" s="1" t="n">
        <v>44442</v>
      </c>
      <c r="C533" s="1" t="n">
        <v>45783</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46553-2021</t>
        </is>
      </c>
      <c r="B534" s="1" t="n">
        <v>44445</v>
      </c>
      <c r="C534" s="1" t="n">
        <v>45783</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46920-2021</t>
        </is>
      </c>
      <c r="B535" s="1" t="n">
        <v>44446</v>
      </c>
      <c r="C535" s="1" t="n">
        <v>45783</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46916-2021</t>
        </is>
      </c>
      <c r="B536" s="1" t="n">
        <v>44446</v>
      </c>
      <c r="C536" s="1" t="n">
        <v>45783</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47367-2021</t>
        </is>
      </c>
      <c r="B537" s="1" t="n">
        <v>44447</v>
      </c>
      <c r="C537" s="1" t="n">
        <v>45783</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48918-2021</t>
        </is>
      </c>
      <c r="B538" s="1" t="n">
        <v>44453</v>
      </c>
      <c r="C538" s="1" t="n">
        <v>45783</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49274-2021</t>
        </is>
      </c>
      <c r="B539" s="1" t="n">
        <v>44454</v>
      </c>
      <c r="C539" s="1" t="n">
        <v>45783</v>
      </c>
      <c r="D539" t="inlineStr">
        <is>
          <t>UPPSALA LÄN</t>
        </is>
      </c>
      <c r="E539" t="inlineStr">
        <is>
          <t>UPPSALA</t>
        </is>
      </c>
      <c r="G539" t="n">
        <v>8.5</v>
      </c>
      <c r="H539" t="n">
        <v>0</v>
      </c>
      <c r="I539" t="n">
        <v>0</v>
      </c>
      <c r="J539" t="n">
        <v>0</v>
      </c>
      <c r="K539" t="n">
        <v>0</v>
      </c>
      <c r="L539" t="n">
        <v>0</v>
      </c>
      <c r="M539" t="n">
        <v>0</v>
      </c>
      <c r="N539" t="n">
        <v>0</v>
      </c>
      <c r="O539" t="n">
        <v>0</v>
      </c>
      <c r="P539" t="n">
        <v>0</v>
      </c>
      <c r="Q539" t="n">
        <v>0</v>
      </c>
      <c r="R539" s="2" t="inlineStr"/>
    </row>
    <row r="540" ht="15" customHeight="1">
      <c r="A540" t="inlineStr">
        <is>
          <t>A 51050-2021</t>
        </is>
      </c>
      <c r="B540" s="1" t="n">
        <v>44459</v>
      </c>
      <c r="C540" s="1" t="n">
        <v>45783</v>
      </c>
      <c r="D540" t="inlineStr">
        <is>
          <t>UPPSALA LÄN</t>
        </is>
      </c>
      <c r="E540" t="inlineStr">
        <is>
          <t>UPPSALA</t>
        </is>
      </c>
      <c r="F540" t="inlineStr">
        <is>
          <t>Övriga Aktiebolag</t>
        </is>
      </c>
      <c r="G540" t="n">
        <v>7.5</v>
      </c>
      <c r="H540" t="n">
        <v>0</v>
      </c>
      <c r="I540" t="n">
        <v>0</v>
      </c>
      <c r="J540" t="n">
        <v>0</v>
      </c>
      <c r="K540" t="n">
        <v>0</v>
      </c>
      <c r="L540" t="n">
        <v>0</v>
      </c>
      <c r="M540" t="n">
        <v>0</v>
      </c>
      <c r="N540" t="n">
        <v>0</v>
      </c>
      <c r="O540" t="n">
        <v>0</v>
      </c>
      <c r="P540" t="n">
        <v>0</v>
      </c>
      <c r="Q540" t="n">
        <v>0</v>
      </c>
      <c r="R540" s="2" t="inlineStr"/>
    </row>
    <row r="541" ht="15" customHeight="1">
      <c r="A541" t="inlineStr">
        <is>
          <t>A 51821-2021</t>
        </is>
      </c>
      <c r="B541" s="1" t="n">
        <v>44461</v>
      </c>
      <c r="C541" s="1" t="n">
        <v>45783</v>
      </c>
      <c r="D541" t="inlineStr">
        <is>
          <t>UPPSALA LÄN</t>
        </is>
      </c>
      <c r="E541" t="inlineStr">
        <is>
          <t>UPPSALA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51396-2021</t>
        </is>
      </c>
      <c r="B542" s="1" t="n">
        <v>44461</v>
      </c>
      <c r="C542" s="1" t="n">
        <v>45783</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52083-2021</t>
        </is>
      </c>
      <c r="B543" s="1" t="n">
        <v>44463</v>
      </c>
      <c r="C543" s="1" t="n">
        <v>45783</v>
      </c>
      <c r="D543" t="inlineStr">
        <is>
          <t>UPPSALA LÄN</t>
        </is>
      </c>
      <c r="E543" t="inlineStr">
        <is>
          <t>UPPSALA</t>
        </is>
      </c>
      <c r="G543" t="n">
        <v>3.6</v>
      </c>
      <c r="H543" t="n">
        <v>0</v>
      </c>
      <c r="I543" t="n">
        <v>0</v>
      </c>
      <c r="J543" t="n">
        <v>0</v>
      </c>
      <c r="K543" t="n">
        <v>0</v>
      </c>
      <c r="L543" t="n">
        <v>0</v>
      </c>
      <c r="M543" t="n">
        <v>0</v>
      </c>
      <c r="N543" t="n">
        <v>0</v>
      </c>
      <c r="O543" t="n">
        <v>0</v>
      </c>
      <c r="P543" t="n">
        <v>0</v>
      </c>
      <c r="Q543" t="n">
        <v>0</v>
      </c>
      <c r="R543" s="2" t="inlineStr"/>
    </row>
    <row r="544" ht="15" customHeight="1">
      <c r="A544" t="inlineStr">
        <is>
          <t>A 54168-2021</t>
        </is>
      </c>
      <c r="B544" s="1" t="n">
        <v>44470</v>
      </c>
      <c r="C544" s="1" t="n">
        <v>45783</v>
      </c>
      <c r="D544" t="inlineStr">
        <is>
          <t>UPPSALA LÄN</t>
        </is>
      </c>
      <c r="E544" t="inlineStr">
        <is>
          <t>UPPSALA</t>
        </is>
      </c>
      <c r="G544" t="n">
        <v>7.5</v>
      </c>
      <c r="H544" t="n">
        <v>0</v>
      </c>
      <c r="I544" t="n">
        <v>0</v>
      </c>
      <c r="J544" t="n">
        <v>0</v>
      </c>
      <c r="K544" t="n">
        <v>0</v>
      </c>
      <c r="L544" t="n">
        <v>0</v>
      </c>
      <c r="M544" t="n">
        <v>0</v>
      </c>
      <c r="N544" t="n">
        <v>0</v>
      </c>
      <c r="O544" t="n">
        <v>0</v>
      </c>
      <c r="P544" t="n">
        <v>0</v>
      </c>
      <c r="Q544" t="n">
        <v>0</v>
      </c>
      <c r="R544" s="2" t="inlineStr"/>
    </row>
    <row r="545" ht="15" customHeight="1">
      <c r="A545" t="inlineStr">
        <is>
          <t>A 55823-2021</t>
        </is>
      </c>
      <c r="B545" s="1" t="n">
        <v>44476</v>
      </c>
      <c r="C545" s="1" t="n">
        <v>45783</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56042-2021</t>
        </is>
      </c>
      <c r="B546" s="1" t="n">
        <v>44477</v>
      </c>
      <c r="C546" s="1" t="n">
        <v>45783</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56049-2021</t>
        </is>
      </c>
      <c r="B547" s="1" t="n">
        <v>44477</v>
      </c>
      <c r="C547" s="1" t="n">
        <v>45783</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56463-2021</t>
        </is>
      </c>
      <c r="B548" s="1" t="n">
        <v>44479</v>
      </c>
      <c r="C548" s="1" t="n">
        <v>45783</v>
      </c>
      <c r="D548" t="inlineStr">
        <is>
          <t>UPPSALA LÄN</t>
        </is>
      </c>
      <c r="E548" t="inlineStr">
        <is>
          <t>UPPSALA</t>
        </is>
      </c>
      <c r="G548" t="n">
        <v>6.4</v>
      </c>
      <c r="H548" t="n">
        <v>0</v>
      </c>
      <c r="I548" t="n">
        <v>0</v>
      </c>
      <c r="J548" t="n">
        <v>0</v>
      </c>
      <c r="K548" t="n">
        <v>0</v>
      </c>
      <c r="L548" t="n">
        <v>0</v>
      </c>
      <c r="M548" t="n">
        <v>0</v>
      </c>
      <c r="N548" t="n">
        <v>0</v>
      </c>
      <c r="O548" t="n">
        <v>0</v>
      </c>
      <c r="P548" t="n">
        <v>0</v>
      </c>
      <c r="Q548" t="n">
        <v>0</v>
      </c>
      <c r="R548" s="2" t="inlineStr"/>
    </row>
    <row r="549" ht="15" customHeight="1">
      <c r="A549" t="inlineStr">
        <is>
          <t>A 56769-2021</t>
        </is>
      </c>
      <c r="B549" s="1" t="n">
        <v>44481</v>
      </c>
      <c r="C549" s="1" t="n">
        <v>45783</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57647-2021</t>
        </is>
      </c>
      <c r="B550" s="1" t="n">
        <v>44484</v>
      </c>
      <c r="C550" s="1" t="n">
        <v>45783</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57890-2021</t>
        </is>
      </c>
      <c r="B551" s="1" t="n">
        <v>44486</v>
      </c>
      <c r="C551" s="1" t="n">
        <v>45783</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58767-2021</t>
        </is>
      </c>
      <c r="B552" s="1" t="n">
        <v>44489</v>
      </c>
      <c r="C552" s="1" t="n">
        <v>45783</v>
      </c>
      <c r="D552" t="inlineStr">
        <is>
          <t>UPPSALA LÄN</t>
        </is>
      </c>
      <c r="E552" t="inlineStr">
        <is>
          <t>UPPSALA</t>
        </is>
      </c>
      <c r="G552" t="n">
        <v>4.8</v>
      </c>
      <c r="H552" t="n">
        <v>0</v>
      </c>
      <c r="I552" t="n">
        <v>0</v>
      </c>
      <c r="J552" t="n">
        <v>0</v>
      </c>
      <c r="K552" t="n">
        <v>0</v>
      </c>
      <c r="L552" t="n">
        <v>0</v>
      </c>
      <c r="M552" t="n">
        <v>0</v>
      </c>
      <c r="N552" t="n">
        <v>0</v>
      </c>
      <c r="O552" t="n">
        <v>0</v>
      </c>
      <c r="P552" t="n">
        <v>0</v>
      </c>
      <c r="Q552" t="n">
        <v>0</v>
      </c>
      <c r="R552" s="2" t="inlineStr"/>
    </row>
    <row r="553" ht="15" customHeight="1">
      <c r="A553" t="inlineStr">
        <is>
          <t>A 58897-2021</t>
        </is>
      </c>
      <c r="B553" s="1" t="n">
        <v>44489</v>
      </c>
      <c r="C553" s="1" t="n">
        <v>45783</v>
      </c>
      <c r="D553" t="inlineStr">
        <is>
          <t>UPPSALA LÄN</t>
        </is>
      </c>
      <c r="E553" t="inlineStr">
        <is>
          <t>UPPSALA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59241-2021</t>
        </is>
      </c>
      <c r="B554" s="1" t="n">
        <v>44490</v>
      </c>
      <c r="C554" s="1" t="n">
        <v>45783</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59484-2021</t>
        </is>
      </c>
      <c r="B555" s="1" t="n">
        <v>44491</v>
      </c>
      <c r="C555" s="1" t="n">
        <v>45783</v>
      </c>
      <c r="D555" t="inlineStr">
        <is>
          <t>UPPSALA LÄN</t>
        </is>
      </c>
      <c r="E555" t="inlineStr">
        <is>
          <t>UPPSALA</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59500-2021</t>
        </is>
      </c>
      <c r="B556" s="1" t="n">
        <v>44491</v>
      </c>
      <c r="C556" s="1" t="n">
        <v>45783</v>
      </c>
      <c r="D556" t="inlineStr">
        <is>
          <t>UPPSALA LÄN</t>
        </is>
      </c>
      <c r="E556" t="inlineStr">
        <is>
          <t>UPPSALA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59479-2021</t>
        </is>
      </c>
      <c r="B557" s="1" t="n">
        <v>44491</v>
      </c>
      <c r="C557" s="1" t="n">
        <v>45783</v>
      </c>
      <c r="D557" t="inlineStr">
        <is>
          <t>UPPSALA LÄN</t>
        </is>
      </c>
      <c r="E557" t="inlineStr">
        <is>
          <t>UPPSALA</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59881-2021</t>
        </is>
      </c>
      <c r="B558" s="1" t="n">
        <v>44494</v>
      </c>
      <c r="C558" s="1" t="n">
        <v>45783</v>
      </c>
      <c r="D558" t="inlineStr">
        <is>
          <t>UPPSALA LÄN</t>
        </is>
      </c>
      <c r="E558" t="inlineStr">
        <is>
          <t>UPPSALA</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60032-2021</t>
        </is>
      </c>
      <c r="B559" s="1" t="n">
        <v>44495</v>
      </c>
      <c r="C559" s="1" t="n">
        <v>45783</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61008-2021</t>
        </is>
      </c>
      <c r="B560" s="1" t="n">
        <v>44497</v>
      </c>
      <c r="C560" s="1" t="n">
        <v>45783</v>
      </c>
      <c r="D560" t="inlineStr">
        <is>
          <t>UPPSALA LÄN</t>
        </is>
      </c>
      <c r="E560" t="inlineStr">
        <is>
          <t>UPPSALA</t>
        </is>
      </c>
      <c r="G560" t="n">
        <v>6.3</v>
      </c>
      <c r="H560" t="n">
        <v>0</v>
      </c>
      <c r="I560" t="n">
        <v>0</v>
      </c>
      <c r="J560" t="n">
        <v>0</v>
      </c>
      <c r="K560" t="n">
        <v>0</v>
      </c>
      <c r="L560" t="n">
        <v>0</v>
      </c>
      <c r="M560" t="n">
        <v>0</v>
      </c>
      <c r="N560" t="n">
        <v>0</v>
      </c>
      <c r="O560" t="n">
        <v>0</v>
      </c>
      <c r="P560" t="n">
        <v>0</v>
      </c>
      <c r="Q560" t="n">
        <v>0</v>
      </c>
      <c r="R560" s="2" t="inlineStr"/>
    </row>
    <row r="561" ht="15" customHeight="1">
      <c r="A561" t="inlineStr">
        <is>
          <t>A 60917-2021</t>
        </is>
      </c>
      <c r="B561" s="1" t="n">
        <v>44497</v>
      </c>
      <c r="C561" s="1" t="n">
        <v>45783</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60925-2021</t>
        </is>
      </c>
      <c r="B562" s="1" t="n">
        <v>44497</v>
      </c>
      <c r="C562" s="1" t="n">
        <v>45783</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61805-2021</t>
        </is>
      </c>
      <c r="B563" s="1" t="n">
        <v>44501</v>
      </c>
      <c r="C563" s="1" t="n">
        <v>45783</v>
      </c>
      <c r="D563" t="inlineStr">
        <is>
          <t>UPPSALA LÄN</t>
        </is>
      </c>
      <c r="E563" t="inlineStr">
        <is>
          <t>UPPSALA</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62471-2021</t>
        </is>
      </c>
      <c r="B564" s="1" t="n">
        <v>44503</v>
      </c>
      <c r="C564" s="1" t="n">
        <v>45783</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62865-2021</t>
        </is>
      </c>
      <c r="B565" s="1" t="n">
        <v>44504</v>
      </c>
      <c r="C565" s="1" t="n">
        <v>45783</v>
      </c>
      <c r="D565" t="inlineStr">
        <is>
          <t>UPPSALA LÄN</t>
        </is>
      </c>
      <c r="E565" t="inlineStr">
        <is>
          <t>UPPSALA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63011-2021</t>
        </is>
      </c>
      <c r="B566" s="1" t="n">
        <v>44504</v>
      </c>
      <c r="C566" s="1" t="n">
        <v>45783</v>
      </c>
      <c r="D566" t="inlineStr">
        <is>
          <t>UPPSALA LÄN</t>
        </is>
      </c>
      <c r="E566" t="inlineStr">
        <is>
          <t>UPPSALA</t>
        </is>
      </c>
      <c r="G566" t="n">
        <v>11.2</v>
      </c>
      <c r="H566" t="n">
        <v>0</v>
      </c>
      <c r="I566" t="n">
        <v>0</v>
      </c>
      <c r="J566" t="n">
        <v>0</v>
      </c>
      <c r="K566" t="n">
        <v>0</v>
      </c>
      <c r="L566" t="n">
        <v>0</v>
      </c>
      <c r="M566" t="n">
        <v>0</v>
      </c>
      <c r="N566" t="n">
        <v>0</v>
      </c>
      <c r="O566" t="n">
        <v>0</v>
      </c>
      <c r="P566" t="n">
        <v>0</v>
      </c>
      <c r="Q566" t="n">
        <v>0</v>
      </c>
      <c r="R566" s="2" t="inlineStr"/>
    </row>
    <row r="567" ht="15" customHeight="1">
      <c r="A567" t="inlineStr">
        <is>
          <t>A 63307-2021</t>
        </is>
      </c>
      <c r="B567" s="1" t="n">
        <v>44508</v>
      </c>
      <c r="C567" s="1" t="n">
        <v>45783</v>
      </c>
      <c r="D567" t="inlineStr">
        <is>
          <t>UPPSALA LÄN</t>
        </is>
      </c>
      <c r="E567" t="inlineStr">
        <is>
          <t>UPPSALA</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64016-2021</t>
        </is>
      </c>
      <c r="B568" s="1" t="n">
        <v>44510</v>
      </c>
      <c r="C568" s="1" t="n">
        <v>45783</v>
      </c>
      <c r="D568" t="inlineStr">
        <is>
          <t>UPPSALA LÄN</t>
        </is>
      </c>
      <c r="E568" t="inlineStr">
        <is>
          <t>UPPSALA</t>
        </is>
      </c>
      <c r="G568" t="n">
        <v>2.1</v>
      </c>
      <c r="H568" t="n">
        <v>0</v>
      </c>
      <c r="I568" t="n">
        <v>0</v>
      </c>
      <c r="J568" t="n">
        <v>0</v>
      </c>
      <c r="K568" t="n">
        <v>0</v>
      </c>
      <c r="L568" t="n">
        <v>0</v>
      </c>
      <c r="M568" t="n">
        <v>0</v>
      </c>
      <c r="N568" t="n">
        <v>0</v>
      </c>
      <c r="O568" t="n">
        <v>0</v>
      </c>
      <c r="P568" t="n">
        <v>0</v>
      </c>
      <c r="Q568" t="n">
        <v>0</v>
      </c>
      <c r="R568" s="2" t="inlineStr"/>
    </row>
    <row r="569" ht="15" customHeight="1">
      <c r="A569" t="inlineStr">
        <is>
          <t>A 64857-2021</t>
        </is>
      </c>
      <c r="B569" s="1" t="n">
        <v>44512</v>
      </c>
      <c r="C569" s="1" t="n">
        <v>45783</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64856-2021</t>
        </is>
      </c>
      <c r="B570" s="1" t="n">
        <v>44512</v>
      </c>
      <c r="C570" s="1" t="n">
        <v>45783</v>
      </c>
      <c r="D570" t="inlineStr">
        <is>
          <t>UPPSALA LÄN</t>
        </is>
      </c>
      <c r="E570" t="inlineStr">
        <is>
          <t>UPPSALA</t>
        </is>
      </c>
      <c r="G570" t="n">
        <v>4.1</v>
      </c>
      <c r="H570" t="n">
        <v>0</v>
      </c>
      <c r="I570" t="n">
        <v>0</v>
      </c>
      <c r="J570" t="n">
        <v>0</v>
      </c>
      <c r="K570" t="n">
        <v>0</v>
      </c>
      <c r="L570" t="n">
        <v>0</v>
      </c>
      <c r="M570" t="n">
        <v>0</v>
      </c>
      <c r="N570" t="n">
        <v>0</v>
      </c>
      <c r="O570" t="n">
        <v>0</v>
      </c>
      <c r="P570" t="n">
        <v>0</v>
      </c>
      <c r="Q570" t="n">
        <v>0</v>
      </c>
      <c r="R570" s="2" t="inlineStr"/>
    </row>
    <row r="571" ht="15" customHeight="1">
      <c r="A571" t="inlineStr">
        <is>
          <t>A 64858-2021</t>
        </is>
      </c>
      <c r="B571" s="1" t="n">
        <v>44512</v>
      </c>
      <c r="C571" s="1" t="n">
        <v>45783</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64855-2021</t>
        </is>
      </c>
      <c r="B572" s="1" t="n">
        <v>44512</v>
      </c>
      <c r="C572" s="1" t="n">
        <v>45783</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65132-2021</t>
        </is>
      </c>
      <c r="B573" s="1" t="n">
        <v>44515</v>
      </c>
      <c r="C573" s="1" t="n">
        <v>45783</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65659-2021</t>
        </is>
      </c>
      <c r="B574" s="1" t="n">
        <v>44516</v>
      </c>
      <c r="C574" s="1" t="n">
        <v>45783</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65695-2021</t>
        </is>
      </c>
      <c r="B575" s="1" t="n">
        <v>44516</v>
      </c>
      <c r="C575" s="1" t="n">
        <v>45783</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65809-2021</t>
        </is>
      </c>
      <c r="B576" s="1" t="n">
        <v>44517</v>
      </c>
      <c r="C576" s="1" t="n">
        <v>45783</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65811-2021</t>
        </is>
      </c>
      <c r="B577" s="1" t="n">
        <v>44517</v>
      </c>
      <c r="C577" s="1" t="n">
        <v>45783</v>
      </c>
      <c r="D577" t="inlineStr">
        <is>
          <t>UPPSALA LÄN</t>
        </is>
      </c>
      <c r="E577" t="inlineStr">
        <is>
          <t>UPPSALA</t>
        </is>
      </c>
      <c r="G577" t="n">
        <v>0.3</v>
      </c>
      <c r="H577" t="n">
        <v>0</v>
      </c>
      <c r="I577" t="n">
        <v>0</v>
      </c>
      <c r="J577" t="n">
        <v>0</v>
      </c>
      <c r="K577" t="n">
        <v>0</v>
      </c>
      <c r="L577" t="n">
        <v>0</v>
      </c>
      <c r="M577" t="n">
        <v>0</v>
      </c>
      <c r="N577" t="n">
        <v>0</v>
      </c>
      <c r="O577" t="n">
        <v>0</v>
      </c>
      <c r="P577" t="n">
        <v>0</v>
      </c>
      <c r="Q577" t="n">
        <v>0</v>
      </c>
      <c r="R577" s="2" t="inlineStr"/>
    </row>
    <row r="578" ht="15" customHeight="1">
      <c r="A578" t="inlineStr">
        <is>
          <t>A 65964-2021</t>
        </is>
      </c>
      <c r="B578" s="1" t="n">
        <v>44517</v>
      </c>
      <c r="C578" s="1" t="n">
        <v>45783</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66239-2021</t>
        </is>
      </c>
      <c r="B579" s="1" t="n">
        <v>44518</v>
      </c>
      <c r="C579" s="1" t="n">
        <v>45783</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66690-2021</t>
        </is>
      </c>
      <c r="B580" s="1" t="n">
        <v>44519</v>
      </c>
      <c r="C580" s="1" t="n">
        <v>45783</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66686-2021</t>
        </is>
      </c>
      <c r="B581" s="1" t="n">
        <v>44519</v>
      </c>
      <c r="C581" s="1" t="n">
        <v>45783</v>
      </c>
      <c r="D581" t="inlineStr">
        <is>
          <t>UPPSALA LÄN</t>
        </is>
      </c>
      <c r="E581" t="inlineStr">
        <is>
          <t>UPPSALA</t>
        </is>
      </c>
      <c r="G581" t="n">
        <v>6.4</v>
      </c>
      <c r="H581" t="n">
        <v>0</v>
      </c>
      <c r="I581" t="n">
        <v>0</v>
      </c>
      <c r="J581" t="n">
        <v>0</v>
      </c>
      <c r="K581" t="n">
        <v>0</v>
      </c>
      <c r="L581" t="n">
        <v>0</v>
      </c>
      <c r="M581" t="n">
        <v>0</v>
      </c>
      <c r="N581" t="n">
        <v>0</v>
      </c>
      <c r="O581" t="n">
        <v>0</v>
      </c>
      <c r="P581" t="n">
        <v>0</v>
      </c>
      <c r="Q581" t="n">
        <v>0</v>
      </c>
      <c r="R581" s="2" t="inlineStr"/>
    </row>
    <row r="582" ht="15" customHeight="1">
      <c r="A582" t="inlineStr">
        <is>
          <t>A 66794-2021</t>
        </is>
      </c>
      <c r="B582" s="1" t="n">
        <v>44522</v>
      </c>
      <c r="C582" s="1" t="n">
        <v>45783</v>
      </c>
      <c r="D582" t="inlineStr">
        <is>
          <t>UPPSALA LÄN</t>
        </is>
      </c>
      <c r="E582" t="inlineStr">
        <is>
          <t>UPPSALA</t>
        </is>
      </c>
      <c r="G582" t="n">
        <v>4.9</v>
      </c>
      <c r="H582" t="n">
        <v>0</v>
      </c>
      <c r="I582" t="n">
        <v>0</v>
      </c>
      <c r="J582" t="n">
        <v>0</v>
      </c>
      <c r="K582" t="n">
        <v>0</v>
      </c>
      <c r="L582" t="n">
        <v>0</v>
      </c>
      <c r="M582" t="n">
        <v>0</v>
      </c>
      <c r="N582" t="n">
        <v>0</v>
      </c>
      <c r="O582" t="n">
        <v>0</v>
      </c>
      <c r="P582" t="n">
        <v>0</v>
      </c>
      <c r="Q582" t="n">
        <v>0</v>
      </c>
      <c r="R582" s="2" t="inlineStr"/>
    </row>
    <row r="583" ht="15" customHeight="1">
      <c r="A583" t="inlineStr">
        <is>
          <t>A 66927-2021</t>
        </is>
      </c>
      <c r="B583" s="1" t="n">
        <v>44522</v>
      </c>
      <c r="C583" s="1" t="n">
        <v>45783</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66983-2021</t>
        </is>
      </c>
      <c r="B584" s="1" t="n">
        <v>44522</v>
      </c>
      <c r="C584" s="1" t="n">
        <v>45783</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67991-2021</t>
        </is>
      </c>
      <c r="B585" s="1" t="n">
        <v>44525</v>
      </c>
      <c r="C585" s="1" t="n">
        <v>45783</v>
      </c>
      <c r="D585" t="inlineStr">
        <is>
          <t>UPPSALA LÄN</t>
        </is>
      </c>
      <c r="E585" t="inlineStr">
        <is>
          <t>UPPSALA</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68696-2021</t>
        </is>
      </c>
      <c r="B586" s="1" t="n">
        <v>44526</v>
      </c>
      <c r="C586" s="1" t="n">
        <v>45783</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68139-2021</t>
        </is>
      </c>
      <c r="B587" s="1" t="n">
        <v>44526</v>
      </c>
      <c r="C587" s="1" t="n">
        <v>45783</v>
      </c>
      <c r="D587" t="inlineStr">
        <is>
          <t>UPPSALA LÄN</t>
        </is>
      </c>
      <c r="E587" t="inlineStr">
        <is>
          <t>UPPSALA</t>
        </is>
      </c>
      <c r="F587" t="inlineStr">
        <is>
          <t>Bergvik skog öst AB</t>
        </is>
      </c>
      <c r="G587" t="n">
        <v>3.4</v>
      </c>
      <c r="H587" t="n">
        <v>0</v>
      </c>
      <c r="I587" t="n">
        <v>0</v>
      </c>
      <c r="J587" t="n">
        <v>0</v>
      </c>
      <c r="K587" t="n">
        <v>0</v>
      </c>
      <c r="L587" t="n">
        <v>0</v>
      </c>
      <c r="M587" t="n">
        <v>0</v>
      </c>
      <c r="N587" t="n">
        <v>0</v>
      </c>
      <c r="O587" t="n">
        <v>0</v>
      </c>
      <c r="P587" t="n">
        <v>0</v>
      </c>
      <c r="Q587" t="n">
        <v>0</v>
      </c>
      <c r="R587" s="2" t="inlineStr"/>
    </row>
    <row r="588" ht="15" customHeight="1">
      <c r="A588" t="inlineStr">
        <is>
          <t>A 68296-2021</t>
        </is>
      </c>
      <c r="B588" s="1" t="n">
        <v>44526</v>
      </c>
      <c r="C588" s="1" t="n">
        <v>45783</v>
      </c>
      <c r="D588" t="inlineStr">
        <is>
          <t>UPPSALA LÄN</t>
        </is>
      </c>
      <c r="E588" t="inlineStr">
        <is>
          <t>UPPSALA</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69067-2021</t>
        </is>
      </c>
      <c r="B589" s="1" t="n">
        <v>44530</v>
      </c>
      <c r="C589" s="1" t="n">
        <v>45783</v>
      </c>
      <c r="D589" t="inlineStr">
        <is>
          <t>UPPSALA LÄN</t>
        </is>
      </c>
      <c r="E589" t="inlineStr">
        <is>
          <t>UPPSALA</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69432-2021</t>
        </is>
      </c>
      <c r="B590" s="1" t="n">
        <v>44531</v>
      </c>
      <c r="C590" s="1" t="n">
        <v>45783</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69214-2021</t>
        </is>
      </c>
      <c r="B591" s="1" t="n">
        <v>44531</v>
      </c>
      <c r="C591" s="1" t="n">
        <v>45783</v>
      </c>
      <c r="D591" t="inlineStr">
        <is>
          <t>UPPSALA LÄN</t>
        </is>
      </c>
      <c r="E591" t="inlineStr">
        <is>
          <t>UPPSALA</t>
        </is>
      </c>
      <c r="F591" t="inlineStr">
        <is>
          <t>Bergvik skog öst AB</t>
        </is>
      </c>
      <c r="G591" t="n">
        <v>3.4</v>
      </c>
      <c r="H591" t="n">
        <v>0</v>
      </c>
      <c r="I591" t="n">
        <v>0</v>
      </c>
      <c r="J591" t="n">
        <v>0</v>
      </c>
      <c r="K591" t="n">
        <v>0</v>
      </c>
      <c r="L591" t="n">
        <v>0</v>
      </c>
      <c r="M591" t="n">
        <v>0</v>
      </c>
      <c r="N591" t="n">
        <v>0</v>
      </c>
      <c r="O591" t="n">
        <v>0</v>
      </c>
      <c r="P591" t="n">
        <v>0</v>
      </c>
      <c r="Q591" t="n">
        <v>0</v>
      </c>
      <c r="R591" s="2" t="inlineStr"/>
    </row>
    <row r="592" ht="15" customHeight="1">
      <c r="A592" t="inlineStr">
        <is>
          <t>A 69397-2021</t>
        </is>
      </c>
      <c r="B592" s="1" t="n">
        <v>44531</v>
      </c>
      <c r="C592" s="1" t="n">
        <v>45783</v>
      </c>
      <c r="D592" t="inlineStr">
        <is>
          <t>UPPSALA LÄN</t>
        </is>
      </c>
      <c r="E592" t="inlineStr">
        <is>
          <t>UPPSALA</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69436-2021</t>
        </is>
      </c>
      <c r="B593" s="1" t="n">
        <v>44531</v>
      </c>
      <c r="C593" s="1" t="n">
        <v>45783</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69439-2021</t>
        </is>
      </c>
      <c r="B594" s="1" t="n">
        <v>44531</v>
      </c>
      <c r="C594" s="1" t="n">
        <v>45783</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69595-2021</t>
        </is>
      </c>
      <c r="B595" s="1" t="n">
        <v>44532</v>
      </c>
      <c r="C595" s="1" t="n">
        <v>45783</v>
      </c>
      <c r="D595" t="inlineStr">
        <is>
          <t>UPPSALA LÄN</t>
        </is>
      </c>
      <c r="E595" t="inlineStr">
        <is>
          <t>UPPSALA</t>
        </is>
      </c>
      <c r="G595" t="n">
        <v>3.9</v>
      </c>
      <c r="H595" t="n">
        <v>0</v>
      </c>
      <c r="I595" t="n">
        <v>0</v>
      </c>
      <c r="J595" t="n">
        <v>0</v>
      </c>
      <c r="K595" t="n">
        <v>0</v>
      </c>
      <c r="L595" t="n">
        <v>0</v>
      </c>
      <c r="M595" t="n">
        <v>0</v>
      </c>
      <c r="N595" t="n">
        <v>0</v>
      </c>
      <c r="O595" t="n">
        <v>0</v>
      </c>
      <c r="P595" t="n">
        <v>0</v>
      </c>
      <c r="Q595" t="n">
        <v>0</v>
      </c>
      <c r="R595" s="2" t="inlineStr"/>
    </row>
    <row r="596" ht="15" customHeight="1">
      <c r="A596" t="inlineStr">
        <is>
          <t>A 69698-2021</t>
        </is>
      </c>
      <c r="B596" s="1" t="n">
        <v>44532</v>
      </c>
      <c r="C596" s="1" t="n">
        <v>45783</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69691-2021</t>
        </is>
      </c>
      <c r="B597" s="1" t="n">
        <v>44532</v>
      </c>
      <c r="C597" s="1" t="n">
        <v>45783</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70032-2021</t>
        </is>
      </c>
      <c r="B598" s="1" t="n">
        <v>44533</v>
      </c>
      <c r="C598" s="1" t="n">
        <v>45783</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70031-2021</t>
        </is>
      </c>
      <c r="B599" s="1" t="n">
        <v>44533</v>
      </c>
      <c r="C599" s="1" t="n">
        <v>45783</v>
      </c>
      <c r="D599" t="inlineStr">
        <is>
          <t>UPPSALA LÄN</t>
        </is>
      </c>
      <c r="E599" t="inlineStr">
        <is>
          <t>UPPSALA</t>
        </is>
      </c>
      <c r="G599" t="n">
        <v>1.4</v>
      </c>
      <c r="H599" t="n">
        <v>0</v>
      </c>
      <c r="I599" t="n">
        <v>0</v>
      </c>
      <c r="J599" t="n">
        <v>0</v>
      </c>
      <c r="K599" t="n">
        <v>0</v>
      </c>
      <c r="L599" t="n">
        <v>0</v>
      </c>
      <c r="M599" t="n">
        <v>0</v>
      </c>
      <c r="N599" t="n">
        <v>0</v>
      </c>
      <c r="O599" t="n">
        <v>0</v>
      </c>
      <c r="P599" t="n">
        <v>0</v>
      </c>
      <c r="Q599" t="n">
        <v>0</v>
      </c>
      <c r="R599" s="2" t="inlineStr"/>
    </row>
    <row r="600" ht="15" customHeight="1">
      <c r="A600" t="inlineStr">
        <is>
          <t>A 70359-2021</t>
        </is>
      </c>
      <c r="B600" s="1" t="n">
        <v>44535</v>
      </c>
      <c r="C600" s="1" t="n">
        <v>45783</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70228-2021</t>
        </is>
      </c>
      <c r="B601" s="1" t="n">
        <v>44535</v>
      </c>
      <c r="C601" s="1" t="n">
        <v>45783</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70996-2021</t>
        </is>
      </c>
      <c r="B602" s="1" t="n">
        <v>44538</v>
      </c>
      <c r="C602" s="1" t="n">
        <v>45783</v>
      </c>
      <c r="D602" t="inlineStr">
        <is>
          <t>UPPSALA LÄN</t>
        </is>
      </c>
      <c r="E602" t="inlineStr">
        <is>
          <t>UPPSALA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71563-2021</t>
        </is>
      </c>
      <c r="B603" s="1" t="n">
        <v>44540</v>
      </c>
      <c r="C603" s="1" t="n">
        <v>45783</v>
      </c>
      <c r="D603" t="inlineStr">
        <is>
          <t>UPPSALA LÄN</t>
        </is>
      </c>
      <c r="E603" t="inlineStr">
        <is>
          <t>UPPSALA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71675-2021</t>
        </is>
      </c>
      <c r="B604" s="1" t="n">
        <v>44543</v>
      </c>
      <c r="C604" s="1" t="n">
        <v>45783</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71643-2021</t>
        </is>
      </c>
      <c r="B605" s="1" t="n">
        <v>44543</v>
      </c>
      <c r="C605" s="1" t="n">
        <v>45783</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71671-2021</t>
        </is>
      </c>
      <c r="B606" s="1" t="n">
        <v>44543</v>
      </c>
      <c r="C606" s="1" t="n">
        <v>45783</v>
      </c>
      <c r="D606" t="inlineStr">
        <is>
          <t>UPPSALA LÄN</t>
        </is>
      </c>
      <c r="E606" t="inlineStr">
        <is>
          <t>UPPSALA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72225-2021</t>
        </is>
      </c>
      <c r="B607" s="1" t="n">
        <v>44544</v>
      </c>
      <c r="C607" s="1" t="n">
        <v>45783</v>
      </c>
      <c r="D607" t="inlineStr">
        <is>
          <t>UPPSALA LÄN</t>
        </is>
      </c>
      <c r="E607" t="inlineStr">
        <is>
          <t>UPPSALA</t>
        </is>
      </c>
      <c r="G607" t="n">
        <v>6.2</v>
      </c>
      <c r="H607" t="n">
        <v>0</v>
      </c>
      <c r="I607" t="n">
        <v>0</v>
      </c>
      <c r="J607" t="n">
        <v>0</v>
      </c>
      <c r="K607" t="n">
        <v>0</v>
      </c>
      <c r="L607" t="n">
        <v>0</v>
      </c>
      <c r="M607" t="n">
        <v>0</v>
      </c>
      <c r="N607" t="n">
        <v>0</v>
      </c>
      <c r="O607" t="n">
        <v>0</v>
      </c>
      <c r="P607" t="n">
        <v>0</v>
      </c>
      <c r="Q607" t="n">
        <v>0</v>
      </c>
      <c r="R607" s="2" t="inlineStr"/>
    </row>
    <row r="608" ht="15" customHeight="1">
      <c r="A608" t="inlineStr">
        <is>
          <t>A 72224-2021</t>
        </is>
      </c>
      <c r="B608" s="1" t="n">
        <v>44544</v>
      </c>
      <c r="C608" s="1" t="n">
        <v>45783</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72973-2021</t>
        </is>
      </c>
      <c r="B609" s="1" t="n">
        <v>44548</v>
      </c>
      <c r="C609" s="1" t="n">
        <v>45783</v>
      </c>
      <c r="D609" t="inlineStr">
        <is>
          <t>UPPSALA LÄN</t>
        </is>
      </c>
      <c r="E609" t="inlineStr">
        <is>
          <t>UPPSALA</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73326-2021</t>
        </is>
      </c>
      <c r="B610" s="1" t="n">
        <v>44548</v>
      </c>
      <c r="C610" s="1" t="n">
        <v>45783</v>
      </c>
      <c r="D610" t="inlineStr">
        <is>
          <t>UPPSALA LÄN</t>
        </is>
      </c>
      <c r="E610" t="inlineStr">
        <is>
          <t>UPPSALA</t>
        </is>
      </c>
      <c r="G610" t="n">
        <v>4</v>
      </c>
      <c r="H610" t="n">
        <v>0</v>
      </c>
      <c r="I610" t="n">
        <v>0</v>
      </c>
      <c r="J610" t="n">
        <v>0</v>
      </c>
      <c r="K610" t="n">
        <v>0</v>
      </c>
      <c r="L610" t="n">
        <v>0</v>
      </c>
      <c r="M610" t="n">
        <v>0</v>
      </c>
      <c r="N610" t="n">
        <v>0</v>
      </c>
      <c r="O610" t="n">
        <v>0</v>
      </c>
      <c r="P610" t="n">
        <v>0</v>
      </c>
      <c r="Q610" t="n">
        <v>0</v>
      </c>
      <c r="R610" s="2" t="inlineStr"/>
    </row>
    <row r="611" ht="15" customHeight="1">
      <c r="A611" t="inlineStr">
        <is>
          <t>A 73044-2021</t>
        </is>
      </c>
      <c r="B611" s="1" t="n">
        <v>44550</v>
      </c>
      <c r="C611" s="1" t="n">
        <v>45783</v>
      </c>
      <c r="D611" t="inlineStr">
        <is>
          <t>UPPSALA LÄN</t>
        </is>
      </c>
      <c r="E611" t="inlineStr">
        <is>
          <t>UPPSALA</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73468-2021</t>
        </is>
      </c>
      <c r="B612" s="1" t="n">
        <v>44551</v>
      </c>
      <c r="C612" s="1" t="n">
        <v>45783</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73518-2021</t>
        </is>
      </c>
      <c r="B613" s="1" t="n">
        <v>44551</v>
      </c>
      <c r="C613" s="1" t="n">
        <v>45783</v>
      </c>
      <c r="D613" t="inlineStr">
        <is>
          <t>UPPSALA LÄN</t>
        </is>
      </c>
      <c r="E613" t="inlineStr">
        <is>
          <t>UPPSALA</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73531-2021</t>
        </is>
      </c>
      <c r="B614" s="1" t="n">
        <v>44551</v>
      </c>
      <c r="C614" s="1" t="n">
        <v>45783</v>
      </c>
      <c r="D614" t="inlineStr">
        <is>
          <t>UPPSALA LÄN</t>
        </is>
      </c>
      <c r="E614" t="inlineStr">
        <is>
          <t>UPPSALA</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74019-2021</t>
        </is>
      </c>
      <c r="B615" s="1" t="n">
        <v>44553</v>
      </c>
      <c r="C615" s="1" t="n">
        <v>45783</v>
      </c>
      <c r="D615" t="inlineStr">
        <is>
          <t>UPPSALA LÄN</t>
        </is>
      </c>
      <c r="E615" t="inlineStr">
        <is>
          <t>UPPSALA</t>
        </is>
      </c>
      <c r="G615" t="n">
        <v>3</v>
      </c>
      <c r="H615" t="n">
        <v>0</v>
      </c>
      <c r="I615" t="n">
        <v>0</v>
      </c>
      <c r="J615" t="n">
        <v>0</v>
      </c>
      <c r="K615" t="n">
        <v>0</v>
      </c>
      <c r="L615" t="n">
        <v>0</v>
      </c>
      <c r="M615" t="n">
        <v>0</v>
      </c>
      <c r="N615" t="n">
        <v>0</v>
      </c>
      <c r="O615" t="n">
        <v>0</v>
      </c>
      <c r="P615" t="n">
        <v>0</v>
      </c>
      <c r="Q615" t="n">
        <v>0</v>
      </c>
      <c r="R615" s="2" t="inlineStr"/>
    </row>
    <row r="616" ht="15" customHeight="1">
      <c r="A616" t="inlineStr">
        <is>
          <t>A 74023-2021</t>
        </is>
      </c>
      <c r="B616" s="1" t="n">
        <v>44553</v>
      </c>
      <c r="C616" s="1" t="n">
        <v>45783</v>
      </c>
      <c r="D616" t="inlineStr">
        <is>
          <t>UPPSALA LÄN</t>
        </is>
      </c>
      <c r="E616" t="inlineStr">
        <is>
          <t>UPPSALA</t>
        </is>
      </c>
      <c r="G616" t="n">
        <v>5.4</v>
      </c>
      <c r="H616" t="n">
        <v>0</v>
      </c>
      <c r="I616" t="n">
        <v>0</v>
      </c>
      <c r="J616" t="n">
        <v>0</v>
      </c>
      <c r="K616" t="n">
        <v>0</v>
      </c>
      <c r="L616" t="n">
        <v>0</v>
      </c>
      <c r="M616" t="n">
        <v>0</v>
      </c>
      <c r="N616" t="n">
        <v>0</v>
      </c>
      <c r="O616" t="n">
        <v>0</v>
      </c>
      <c r="P616" t="n">
        <v>0</v>
      </c>
      <c r="Q616" t="n">
        <v>0</v>
      </c>
      <c r="R616" s="2" t="inlineStr"/>
    </row>
    <row r="617" ht="15" customHeight="1">
      <c r="A617" t="inlineStr">
        <is>
          <t>A 74493-2021</t>
        </is>
      </c>
      <c r="B617" s="1" t="n">
        <v>44560</v>
      </c>
      <c r="C617" s="1" t="n">
        <v>45783</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74495-2021</t>
        </is>
      </c>
      <c r="B618" s="1" t="n">
        <v>44560</v>
      </c>
      <c r="C618" s="1" t="n">
        <v>45783</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612-2022</t>
        </is>
      </c>
      <c r="B619" s="1" t="n">
        <v>44567</v>
      </c>
      <c r="C619" s="1" t="n">
        <v>45783</v>
      </c>
      <c r="D619" t="inlineStr">
        <is>
          <t>UPPSALA LÄN</t>
        </is>
      </c>
      <c r="E619" t="inlineStr">
        <is>
          <t>UPPSALA</t>
        </is>
      </c>
      <c r="F619" t="inlineStr">
        <is>
          <t>Holmen skog AB</t>
        </is>
      </c>
      <c r="G619" t="n">
        <v>6.6</v>
      </c>
      <c r="H619" t="n">
        <v>0</v>
      </c>
      <c r="I619" t="n">
        <v>0</v>
      </c>
      <c r="J619" t="n">
        <v>0</v>
      </c>
      <c r="K619" t="n">
        <v>0</v>
      </c>
      <c r="L619" t="n">
        <v>0</v>
      </c>
      <c r="M619" t="n">
        <v>0</v>
      </c>
      <c r="N619" t="n">
        <v>0</v>
      </c>
      <c r="O619" t="n">
        <v>0</v>
      </c>
      <c r="P619" t="n">
        <v>0</v>
      </c>
      <c r="Q619" t="n">
        <v>0</v>
      </c>
      <c r="R619" s="2" t="inlineStr"/>
    </row>
    <row r="620" ht="15" customHeight="1">
      <c r="A620" t="inlineStr">
        <is>
          <t>A 733-2022</t>
        </is>
      </c>
      <c r="B620" s="1" t="n">
        <v>44568</v>
      </c>
      <c r="C620" s="1" t="n">
        <v>45783</v>
      </c>
      <c r="D620" t="inlineStr">
        <is>
          <t>UPPSALA LÄN</t>
        </is>
      </c>
      <c r="E620" t="inlineStr">
        <is>
          <t>UPPSALA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752-2022</t>
        </is>
      </c>
      <c r="B621" s="1" t="n">
        <v>44569</v>
      </c>
      <c r="C621" s="1" t="n">
        <v>45783</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750-2022</t>
        </is>
      </c>
      <c r="B622" s="1" t="n">
        <v>44569</v>
      </c>
      <c r="C622" s="1" t="n">
        <v>45783</v>
      </c>
      <c r="D622" t="inlineStr">
        <is>
          <t>UPPSALA LÄN</t>
        </is>
      </c>
      <c r="E622" t="inlineStr">
        <is>
          <t>UPPSALA</t>
        </is>
      </c>
      <c r="F622" t="inlineStr">
        <is>
          <t>Holmen skog AB</t>
        </is>
      </c>
      <c r="G622" t="n">
        <v>6</v>
      </c>
      <c r="H622" t="n">
        <v>0</v>
      </c>
      <c r="I622" t="n">
        <v>0</v>
      </c>
      <c r="J622" t="n">
        <v>0</v>
      </c>
      <c r="K622" t="n">
        <v>0</v>
      </c>
      <c r="L622" t="n">
        <v>0</v>
      </c>
      <c r="M622" t="n">
        <v>0</v>
      </c>
      <c r="N622" t="n">
        <v>0</v>
      </c>
      <c r="O622" t="n">
        <v>0</v>
      </c>
      <c r="P622" t="n">
        <v>0</v>
      </c>
      <c r="Q622" t="n">
        <v>0</v>
      </c>
      <c r="R622" s="2" t="inlineStr"/>
    </row>
    <row r="623" ht="15" customHeight="1">
      <c r="A623" t="inlineStr">
        <is>
          <t>A 759-2022</t>
        </is>
      </c>
      <c r="B623" s="1" t="n">
        <v>44569</v>
      </c>
      <c r="C623" s="1" t="n">
        <v>45783</v>
      </c>
      <c r="D623" t="inlineStr">
        <is>
          <t>UPPSALA LÄN</t>
        </is>
      </c>
      <c r="E623" t="inlineStr">
        <is>
          <t>UPPSALA</t>
        </is>
      </c>
      <c r="F623" t="inlineStr">
        <is>
          <t>Holmen skog AB</t>
        </is>
      </c>
      <c r="G623" t="n">
        <v>3.6</v>
      </c>
      <c r="H623" t="n">
        <v>0</v>
      </c>
      <c r="I623" t="n">
        <v>0</v>
      </c>
      <c r="J623" t="n">
        <v>0</v>
      </c>
      <c r="K623" t="n">
        <v>0</v>
      </c>
      <c r="L623" t="n">
        <v>0</v>
      </c>
      <c r="M623" t="n">
        <v>0</v>
      </c>
      <c r="N623" t="n">
        <v>0</v>
      </c>
      <c r="O623" t="n">
        <v>0</v>
      </c>
      <c r="P623" t="n">
        <v>0</v>
      </c>
      <c r="Q623" t="n">
        <v>0</v>
      </c>
      <c r="R623" s="2" t="inlineStr"/>
    </row>
    <row r="624" ht="15" customHeight="1">
      <c r="A624" t="inlineStr">
        <is>
          <t>A 758-2022</t>
        </is>
      </c>
      <c r="B624" s="1" t="n">
        <v>44569</v>
      </c>
      <c r="C624" s="1" t="n">
        <v>45783</v>
      </c>
      <c r="D624" t="inlineStr">
        <is>
          <t>UPPSALA LÄN</t>
        </is>
      </c>
      <c r="E624" t="inlineStr">
        <is>
          <t>UPPSALA</t>
        </is>
      </c>
      <c r="F624" t="inlineStr">
        <is>
          <t>Holmen skog AB</t>
        </is>
      </c>
      <c r="G624" t="n">
        <v>5.2</v>
      </c>
      <c r="H624" t="n">
        <v>0</v>
      </c>
      <c r="I624" t="n">
        <v>0</v>
      </c>
      <c r="J624" t="n">
        <v>0</v>
      </c>
      <c r="K624" t="n">
        <v>0</v>
      </c>
      <c r="L624" t="n">
        <v>0</v>
      </c>
      <c r="M624" t="n">
        <v>0</v>
      </c>
      <c r="N624" t="n">
        <v>0</v>
      </c>
      <c r="O624" t="n">
        <v>0</v>
      </c>
      <c r="P624" t="n">
        <v>0</v>
      </c>
      <c r="Q624" t="n">
        <v>0</v>
      </c>
      <c r="R624" s="2" t="inlineStr"/>
    </row>
    <row r="625" ht="15" customHeight="1">
      <c r="A625" t="inlineStr">
        <is>
          <t>A 917-2022</t>
        </is>
      </c>
      <c r="B625" s="1" t="n">
        <v>44571</v>
      </c>
      <c r="C625" s="1" t="n">
        <v>45783</v>
      </c>
      <c r="D625" t="inlineStr">
        <is>
          <t>UPPSALA LÄN</t>
        </is>
      </c>
      <c r="E625" t="inlineStr">
        <is>
          <t>UPPSALA</t>
        </is>
      </c>
      <c r="F625" t="inlineStr">
        <is>
          <t>Bergvik skog öst AB</t>
        </is>
      </c>
      <c r="G625" t="n">
        <v>4.1</v>
      </c>
      <c r="H625" t="n">
        <v>0</v>
      </c>
      <c r="I625" t="n">
        <v>0</v>
      </c>
      <c r="J625" t="n">
        <v>0</v>
      </c>
      <c r="K625" t="n">
        <v>0</v>
      </c>
      <c r="L625" t="n">
        <v>0</v>
      </c>
      <c r="M625" t="n">
        <v>0</v>
      </c>
      <c r="N625" t="n">
        <v>0</v>
      </c>
      <c r="O625" t="n">
        <v>0</v>
      </c>
      <c r="P625" t="n">
        <v>0</v>
      </c>
      <c r="Q625" t="n">
        <v>0</v>
      </c>
      <c r="R625" s="2" t="inlineStr"/>
    </row>
    <row r="626" ht="15" customHeight="1">
      <c r="A626" t="inlineStr">
        <is>
          <t>A 874-2022</t>
        </is>
      </c>
      <c r="B626" s="1" t="n">
        <v>44571</v>
      </c>
      <c r="C626" s="1" t="n">
        <v>45783</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1037-2022</t>
        </is>
      </c>
      <c r="B627" s="1" t="n">
        <v>44571</v>
      </c>
      <c r="C627" s="1" t="n">
        <v>45783</v>
      </c>
      <c r="D627" t="inlineStr">
        <is>
          <t>UPPSALA LÄN</t>
        </is>
      </c>
      <c r="E627" t="inlineStr">
        <is>
          <t>UPPSALA</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1148-2022</t>
        </is>
      </c>
      <c r="B628" s="1" t="n">
        <v>44572</v>
      </c>
      <c r="C628" s="1" t="n">
        <v>45783</v>
      </c>
      <c r="D628" t="inlineStr">
        <is>
          <t>UPPSALA LÄN</t>
        </is>
      </c>
      <c r="E628" t="inlineStr">
        <is>
          <t>UPPSALA</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1298-2022</t>
        </is>
      </c>
      <c r="B629" s="1" t="n">
        <v>44572</v>
      </c>
      <c r="C629" s="1" t="n">
        <v>45783</v>
      </c>
      <c r="D629" t="inlineStr">
        <is>
          <t>UPPSALA LÄN</t>
        </is>
      </c>
      <c r="E629" t="inlineStr">
        <is>
          <t>UPPSALA</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1731-2022</t>
        </is>
      </c>
      <c r="B630" s="1" t="n">
        <v>44574</v>
      </c>
      <c r="C630" s="1" t="n">
        <v>45783</v>
      </c>
      <c r="D630" t="inlineStr">
        <is>
          <t>UPPSALA LÄN</t>
        </is>
      </c>
      <c r="E630" t="inlineStr">
        <is>
          <t>UPPSALA</t>
        </is>
      </c>
      <c r="G630" t="n">
        <v>10.1</v>
      </c>
      <c r="H630" t="n">
        <v>0</v>
      </c>
      <c r="I630" t="n">
        <v>0</v>
      </c>
      <c r="J630" t="n">
        <v>0</v>
      </c>
      <c r="K630" t="n">
        <v>0</v>
      </c>
      <c r="L630" t="n">
        <v>0</v>
      </c>
      <c r="M630" t="n">
        <v>0</v>
      </c>
      <c r="N630" t="n">
        <v>0</v>
      </c>
      <c r="O630" t="n">
        <v>0</v>
      </c>
      <c r="P630" t="n">
        <v>0</v>
      </c>
      <c r="Q630" t="n">
        <v>0</v>
      </c>
      <c r="R630" s="2" t="inlineStr"/>
    </row>
    <row r="631" ht="15" customHeight="1">
      <c r="A631" t="inlineStr">
        <is>
          <t>A 1963-2022</t>
        </is>
      </c>
      <c r="B631" s="1" t="n">
        <v>44575</v>
      </c>
      <c r="C631" s="1" t="n">
        <v>45783</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1975-2022</t>
        </is>
      </c>
      <c r="B632" s="1" t="n">
        <v>44575</v>
      </c>
      <c r="C632" s="1" t="n">
        <v>45783</v>
      </c>
      <c r="D632" t="inlineStr">
        <is>
          <t>UPPSALA LÄN</t>
        </is>
      </c>
      <c r="E632" t="inlineStr">
        <is>
          <t>UPPSALA</t>
        </is>
      </c>
      <c r="G632" t="n">
        <v>3.9</v>
      </c>
      <c r="H632" t="n">
        <v>0</v>
      </c>
      <c r="I632" t="n">
        <v>0</v>
      </c>
      <c r="J632" t="n">
        <v>0</v>
      </c>
      <c r="K632" t="n">
        <v>0</v>
      </c>
      <c r="L632" t="n">
        <v>0</v>
      </c>
      <c r="M632" t="n">
        <v>0</v>
      </c>
      <c r="N632" t="n">
        <v>0</v>
      </c>
      <c r="O632" t="n">
        <v>0</v>
      </c>
      <c r="P632" t="n">
        <v>0</v>
      </c>
      <c r="Q632" t="n">
        <v>0</v>
      </c>
      <c r="R632" s="2" t="inlineStr"/>
    </row>
    <row r="633" ht="15" customHeight="1">
      <c r="A633" t="inlineStr">
        <is>
          <t>A 1936-2022</t>
        </is>
      </c>
      <c r="B633" s="1" t="n">
        <v>44575</v>
      </c>
      <c r="C633" s="1" t="n">
        <v>45783</v>
      </c>
      <c r="D633" t="inlineStr">
        <is>
          <t>UPPSALA LÄN</t>
        </is>
      </c>
      <c r="E633" t="inlineStr">
        <is>
          <t>UPPSALA</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1978-2022</t>
        </is>
      </c>
      <c r="B634" s="1" t="n">
        <v>44575</v>
      </c>
      <c r="C634" s="1" t="n">
        <v>45783</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2017-2022</t>
        </is>
      </c>
      <c r="B635" s="1" t="n">
        <v>44575</v>
      </c>
      <c r="C635" s="1" t="n">
        <v>45783</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2228-2022</t>
        </is>
      </c>
      <c r="B636" s="1" t="n">
        <v>44578</v>
      </c>
      <c r="C636" s="1" t="n">
        <v>45783</v>
      </c>
      <c r="D636" t="inlineStr">
        <is>
          <t>UPPSALA LÄN</t>
        </is>
      </c>
      <c r="E636" t="inlineStr">
        <is>
          <t>UPPSALA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2927-2022</t>
        </is>
      </c>
      <c r="B637" s="1" t="n">
        <v>44581</v>
      </c>
      <c r="C637" s="1" t="n">
        <v>45783</v>
      </c>
      <c r="D637" t="inlineStr">
        <is>
          <t>UPPSALA LÄN</t>
        </is>
      </c>
      <c r="E637" t="inlineStr">
        <is>
          <t>UPPSALA</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3259-2022</t>
        </is>
      </c>
      <c r="B638" s="1" t="n">
        <v>44583</v>
      </c>
      <c r="C638" s="1" t="n">
        <v>45783</v>
      </c>
      <c r="D638" t="inlineStr">
        <is>
          <t>UPPSALA LÄN</t>
        </is>
      </c>
      <c r="E638" t="inlineStr">
        <is>
          <t>UPPSALA</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3261-2022</t>
        </is>
      </c>
      <c r="B639" s="1" t="n">
        <v>44583</v>
      </c>
      <c r="C639" s="1" t="n">
        <v>45783</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3252-2022</t>
        </is>
      </c>
      <c r="B640" s="1" t="n">
        <v>44583</v>
      </c>
      <c r="C640" s="1" t="n">
        <v>45783</v>
      </c>
      <c r="D640" t="inlineStr">
        <is>
          <t>UPPSALA LÄN</t>
        </is>
      </c>
      <c r="E640" t="inlineStr">
        <is>
          <t>UPPSALA</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3258-2022</t>
        </is>
      </c>
      <c r="B641" s="1" t="n">
        <v>44583</v>
      </c>
      <c r="C641" s="1" t="n">
        <v>45783</v>
      </c>
      <c r="D641" t="inlineStr">
        <is>
          <t>UPPSALA LÄN</t>
        </is>
      </c>
      <c r="E641" t="inlineStr">
        <is>
          <t>UPPSALA</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3262-2022</t>
        </is>
      </c>
      <c r="B642" s="1" t="n">
        <v>44583</v>
      </c>
      <c r="C642" s="1" t="n">
        <v>45783</v>
      </c>
      <c r="D642" t="inlineStr">
        <is>
          <t>UPPSALA LÄN</t>
        </is>
      </c>
      <c r="E642" t="inlineStr">
        <is>
          <t>UPPSALA</t>
        </is>
      </c>
      <c r="F642" t="inlineStr">
        <is>
          <t>Holmen skog AB</t>
        </is>
      </c>
      <c r="G642" t="n">
        <v>5.4</v>
      </c>
      <c r="H642" t="n">
        <v>0</v>
      </c>
      <c r="I642" t="n">
        <v>0</v>
      </c>
      <c r="J642" t="n">
        <v>0</v>
      </c>
      <c r="K642" t="n">
        <v>0</v>
      </c>
      <c r="L642" t="n">
        <v>0</v>
      </c>
      <c r="M642" t="n">
        <v>0</v>
      </c>
      <c r="N642" t="n">
        <v>0</v>
      </c>
      <c r="O642" t="n">
        <v>0</v>
      </c>
      <c r="P642" t="n">
        <v>0</v>
      </c>
      <c r="Q642" t="n">
        <v>0</v>
      </c>
      <c r="R642" s="2" t="inlineStr"/>
    </row>
    <row r="643" ht="15" customHeight="1">
      <c r="A643" t="inlineStr">
        <is>
          <t>A 3255-2022</t>
        </is>
      </c>
      <c r="B643" s="1" t="n">
        <v>44583</v>
      </c>
      <c r="C643" s="1" t="n">
        <v>45783</v>
      </c>
      <c r="D643" t="inlineStr">
        <is>
          <t>UPPSALA LÄN</t>
        </is>
      </c>
      <c r="E643" t="inlineStr">
        <is>
          <t>UPPSALA</t>
        </is>
      </c>
      <c r="F643" t="inlineStr">
        <is>
          <t>Holmen skog AB</t>
        </is>
      </c>
      <c r="G643" t="n">
        <v>5.6</v>
      </c>
      <c r="H643" t="n">
        <v>0</v>
      </c>
      <c r="I643" t="n">
        <v>0</v>
      </c>
      <c r="J643" t="n">
        <v>0</v>
      </c>
      <c r="K643" t="n">
        <v>0</v>
      </c>
      <c r="L643" t="n">
        <v>0</v>
      </c>
      <c r="M643" t="n">
        <v>0</v>
      </c>
      <c r="N643" t="n">
        <v>0</v>
      </c>
      <c r="O643" t="n">
        <v>0</v>
      </c>
      <c r="P643" t="n">
        <v>0</v>
      </c>
      <c r="Q643" t="n">
        <v>0</v>
      </c>
      <c r="R643" s="2" t="inlineStr"/>
    </row>
    <row r="644" ht="15" customHeight="1">
      <c r="A644" t="inlineStr">
        <is>
          <t>A 3260-2022</t>
        </is>
      </c>
      <c r="B644" s="1" t="n">
        <v>44583</v>
      </c>
      <c r="C644" s="1" t="n">
        <v>45783</v>
      </c>
      <c r="D644" t="inlineStr">
        <is>
          <t>UPPSALA LÄN</t>
        </is>
      </c>
      <c r="E644" t="inlineStr">
        <is>
          <t>UPPSALA</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3284-2022</t>
        </is>
      </c>
      <c r="B645" s="1" t="n">
        <v>44584</v>
      </c>
      <c r="C645" s="1" t="n">
        <v>45783</v>
      </c>
      <c r="D645" t="inlineStr">
        <is>
          <t>UPPSALA LÄN</t>
        </is>
      </c>
      <c r="E645" t="inlineStr">
        <is>
          <t>UPPSALA</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3287-2022</t>
        </is>
      </c>
      <c r="B646" s="1" t="n">
        <v>44584</v>
      </c>
      <c r="C646" s="1" t="n">
        <v>45783</v>
      </c>
      <c r="D646" t="inlineStr">
        <is>
          <t>UPPSALA LÄN</t>
        </is>
      </c>
      <c r="E646" t="inlineStr">
        <is>
          <t>UPPSALA</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4059-2022</t>
        </is>
      </c>
      <c r="B647" s="1" t="n">
        <v>44588</v>
      </c>
      <c r="C647" s="1" t="n">
        <v>45783</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4312-2022</t>
        </is>
      </c>
      <c r="B648" s="1" t="n">
        <v>44588</v>
      </c>
      <c r="C648" s="1" t="n">
        <v>45783</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4444-2022</t>
        </is>
      </c>
      <c r="B649" s="1" t="n">
        <v>44589</v>
      </c>
      <c r="C649" s="1" t="n">
        <v>45783</v>
      </c>
      <c r="D649" t="inlineStr">
        <is>
          <t>UPPSALA LÄN</t>
        </is>
      </c>
      <c r="E649" t="inlineStr">
        <is>
          <t>UPPSALA</t>
        </is>
      </c>
      <c r="G649" t="n">
        <v>3.2</v>
      </c>
      <c r="H649" t="n">
        <v>0</v>
      </c>
      <c r="I649" t="n">
        <v>0</v>
      </c>
      <c r="J649" t="n">
        <v>0</v>
      </c>
      <c r="K649" t="n">
        <v>0</v>
      </c>
      <c r="L649" t="n">
        <v>0</v>
      </c>
      <c r="M649" t="n">
        <v>0</v>
      </c>
      <c r="N649" t="n">
        <v>0</v>
      </c>
      <c r="O649" t="n">
        <v>0</v>
      </c>
      <c r="P649" t="n">
        <v>0</v>
      </c>
      <c r="Q649" t="n">
        <v>0</v>
      </c>
      <c r="R649" s="2" t="inlineStr"/>
    </row>
    <row r="650" ht="15" customHeight="1">
      <c r="A650" t="inlineStr">
        <is>
          <t>A 4929-2022</t>
        </is>
      </c>
      <c r="B650" s="1" t="n">
        <v>44593</v>
      </c>
      <c r="C650" s="1" t="n">
        <v>45783</v>
      </c>
      <c r="D650" t="inlineStr">
        <is>
          <t>UPPSALA LÄN</t>
        </is>
      </c>
      <c r="E650" t="inlineStr">
        <is>
          <t>UPPSALA</t>
        </is>
      </c>
      <c r="G650" t="n">
        <v>2.4</v>
      </c>
      <c r="H650" t="n">
        <v>0</v>
      </c>
      <c r="I650" t="n">
        <v>0</v>
      </c>
      <c r="J650" t="n">
        <v>0</v>
      </c>
      <c r="K650" t="n">
        <v>0</v>
      </c>
      <c r="L650" t="n">
        <v>0</v>
      </c>
      <c r="M650" t="n">
        <v>0</v>
      </c>
      <c r="N650" t="n">
        <v>0</v>
      </c>
      <c r="O650" t="n">
        <v>0</v>
      </c>
      <c r="P650" t="n">
        <v>0</v>
      </c>
      <c r="Q650" t="n">
        <v>0</v>
      </c>
      <c r="R650" s="2" t="inlineStr"/>
    </row>
    <row r="651" ht="15" customHeight="1">
      <c r="A651" t="inlineStr">
        <is>
          <t>A 5027-2022</t>
        </is>
      </c>
      <c r="B651" s="1" t="n">
        <v>44593</v>
      </c>
      <c r="C651" s="1" t="n">
        <v>45783</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5081-2022</t>
        </is>
      </c>
      <c r="B652" s="1" t="n">
        <v>44593</v>
      </c>
      <c r="C652" s="1" t="n">
        <v>45783</v>
      </c>
      <c r="D652" t="inlineStr">
        <is>
          <t>UPPSALA LÄN</t>
        </is>
      </c>
      <c r="E652" t="inlineStr">
        <is>
          <t>UPPSALA</t>
        </is>
      </c>
      <c r="G652" t="n">
        <v>3</v>
      </c>
      <c r="H652" t="n">
        <v>0</v>
      </c>
      <c r="I652" t="n">
        <v>0</v>
      </c>
      <c r="J652" t="n">
        <v>0</v>
      </c>
      <c r="K652" t="n">
        <v>0</v>
      </c>
      <c r="L652" t="n">
        <v>0</v>
      </c>
      <c r="M652" t="n">
        <v>0</v>
      </c>
      <c r="N652" t="n">
        <v>0</v>
      </c>
      <c r="O652" t="n">
        <v>0</v>
      </c>
      <c r="P652" t="n">
        <v>0</v>
      </c>
      <c r="Q652" t="n">
        <v>0</v>
      </c>
      <c r="R652" s="2" t="inlineStr"/>
    </row>
    <row r="653" ht="15" customHeight="1">
      <c r="A653" t="inlineStr">
        <is>
          <t>A 5007-2022</t>
        </is>
      </c>
      <c r="B653" s="1" t="n">
        <v>44593</v>
      </c>
      <c r="C653" s="1" t="n">
        <v>45783</v>
      </c>
      <c r="D653" t="inlineStr">
        <is>
          <t>UPPSALA LÄN</t>
        </is>
      </c>
      <c r="E653" t="inlineStr">
        <is>
          <t>UPPSALA</t>
        </is>
      </c>
      <c r="F653" t="inlineStr">
        <is>
          <t>BillerudKorsnäs AB</t>
        </is>
      </c>
      <c r="G653" t="n">
        <v>3.6</v>
      </c>
      <c r="H653" t="n">
        <v>0</v>
      </c>
      <c r="I653" t="n">
        <v>0</v>
      </c>
      <c r="J653" t="n">
        <v>0</v>
      </c>
      <c r="K653" t="n">
        <v>0</v>
      </c>
      <c r="L653" t="n">
        <v>0</v>
      </c>
      <c r="M653" t="n">
        <v>0</v>
      </c>
      <c r="N653" t="n">
        <v>0</v>
      </c>
      <c r="O653" t="n">
        <v>0</v>
      </c>
      <c r="P653" t="n">
        <v>0</v>
      </c>
      <c r="Q653" t="n">
        <v>0</v>
      </c>
      <c r="R653" s="2" t="inlineStr"/>
    </row>
    <row r="654" ht="15" customHeight="1">
      <c r="A654" t="inlineStr">
        <is>
          <t>A 5006-2022</t>
        </is>
      </c>
      <c r="B654" s="1" t="n">
        <v>44593</v>
      </c>
      <c r="C654" s="1" t="n">
        <v>45783</v>
      </c>
      <c r="D654" t="inlineStr">
        <is>
          <t>UPPSALA LÄN</t>
        </is>
      </c>
      <c r="E654" t="inlineStr">
        <is>
          <t>UPPSALA</t>
        </is>
      </c>
      <c r="F654" t="inlineStr">
        <is>
          <t>BillerudKorsnäs AB</t>
        </is>
      </c>
      <c r="G654" t="n">
        <v>1.4</v>
      </c>
      <c r="H654" t="n">
        <v>0</v>
      </c>
      <c r="I654" t="n">
        <v>0</v>
      </c>
      <c r="J654" t="n">
        <v>0</v>
      </c>
      <c r="K654" t="n">
        <v>0</v>
      </c>
      <c r="L654" t="n">
        <v>0</v>
      </c>
      <c r="M654" t="n">
        <v>0</v>
      </c>
      <c r="N654" t="n">
        <v>0</v>
      </c>
      <c r="O654" t="n">
        <v>0</v>
      </c>
      <c r="P654" t="n">
        <v>0</v>
      </c>
      <c r="Q654" t="n">
        <v>0</v>
      </c>
      <c r="R654" s="2" t="inlineStr"/>
    </row>
    <row r="655" ht="15" customHeight="1">
      <c r="A655" t="inlineStr">
        <is>
          <t>A 5028-2022</t>
        </is>
      </c>
      <c r="B655" s="1" t="n">
        <v>44593</v>
      </c>
      <c r="C655" s="1" t="n">
        <v>45783</v>
      </c>
      <c r="D655" t="inlineStr">
        <is>
          <t>UPPSALA LÄN</t>
        </is>
      </c>
      <c r="E655" t="inlineStr">
        <is>
          <t>UPPSALA</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5309-2022</t>
        </is>
      </c>
      <c r="B656" s="1" t="n">
        <v>44594</v>
      </c>
      <c r="C656" s="1" t="n">
        <v>45783</v>
      </c>
      <c r="D656" t="inlineStr">
        <is>
          <t>UPPSALA LÄN</t>
        </is>
      </c>
      <c r="E656" t="inlineStr">
        <is>
          <t>UPPSALA</t>
        </is>
      </c>
      <c r="G656" t="n">
        <v>4.8</v>
      </c>
      <c r="H656" t="n">
        <v>0</v>
      </c>
      <c r="I656" t="n">
        <v>0</v>
      </c>
      <c r="J656" t="n">
        <v>0</v>
      </c>
      <c r="K656" t="n">
        <v>0</v>
      </c>
      <c r="L656" t="n">
        <v>0</v>
      </c>
      <c r="M656" t="n">
        <v>0</v>
      </c>
      <c r="N656" t="n">
        <v>0</v>
      </c>
      <c r="O656" t="n">
        <v>0</v>
      </c>
      <c r="P656" t="n">
        <v>0</v>
      </c>
      <c r="Q656" t="n">
        <v>0</v>
      </c>
      <c r="R656" s="2" t="inlineStr"/>
    </row>
    <row r="657" ht="15" customHeight="1">
      <c r="A657" t="inlineStr">
        <is>
          <t>A 5189-2022</t>
        </is>
      </c>
      <c r="B657" s="1" t="n">
        <v>44594</v>
      </c>
      <c r="C657" s="1" t="n">
        <v>45783</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45783</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5989-2022</t>
        </is>
      </c>
      <c r="B659" s="1" t="n">
        <v>44599</v>
      </c>
      <c r="C659" s="1" t="n">
        <v>45783</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6009-2022</t>
        </is>
      </c>
      <c r="B660" s="1" t="n">
        <v>44599</v>
      </c>
      <c r="C660" s="1" t="n">
        <v>45783</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5996-2022</t>
        </is>
      </c>
      <c r="B661" s="1" t="n">
        <v>44599</v>
      </c>
      <c r="C661" s="1" t="n">
        <v>45783</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6339-2022</t>
        </is>
      </c>
      <c r="B662" s="1" t="n">
        <v>44600</v>
      </c>
      <c r="C662" s="1" t="n">
        <v>45783</v>
      </c>
      <c r="D662" t="inlineStr">
        <is>
          <t>UPPSALA LÄN</t>
        </is>
      </c>
      <c r="E662" t="inlineStr">
        <is>
          <t>UPPSALA</t>
        </is>
      </c>
      <c r="G662" t="n">
        <v>18.7</v>
      </c>
      <c r="H662" t="n">
        <v>0</v>
      </c>
      <c r="I662" t="n">
        <v>0</v>
      </c>
      <c r="J662" t="n">
        <v>0</v>
      </c>
      <c r="K662" t="n">
        <v>0</v>
      </c>
      <c r="L662" t="n">
        <v>0</v>
      </c>
      <c r="M662" t="n">
        <v>0</v>
      </c>
      <c r="N662" t="n">
        <v>0</v>
      </c>
      <c r="O662" t="n">
        <v>0</v>
      </c>
      <c r="P662" t="n">
        <v>0</v>
      </c>
      <c r="Q662" t="n">
        <v>0</v>
      </c>
      <c r="R662" s="2" t="inlineStr"/>
    </row>
    <row r="663" ht="15" customHeight="1">
      <c r="A663" t="inlineStr">
        <is>
          <t>A 6408-2022</t>
        </is>
      </c>
      <c r="B663" s="1" t="n">
        <v>44600</v>
      </c>
      <c r="C663" s="1" t="n">
        <v>45783</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6717-2022</t>
        </is>
      </c>
      <c r="B664" s="1" t="n">
        <v>44602</v>
      </c>
      <c r="C664" s="1" t="n">
        <v>45783</v>
      </c>
      <c r="D664" t="inlineStr">
        <is>
          <t>UPPSALA LÄN</t>
        </is>
      </c>
      <c r="E664" t="inlineStr">
        <is>
          <t>UPPSALA</t>
        </is>
      </c>
      <c r="F664" t="inlineStr">
        <is>
          <t>Övriga Aktiebolag</t>
        </is>
      </c>
      <c r="G664" t="n">
        <v>6.7</v>
      </c>
      <c r="H664" t="n">
        <v>0</v>
      </c>
      <c r="I664" t="n">
        <v>0</v>
      </c>
      <c r="J664" t="n">
        <v>0</v>
      </c>
      <c r="K664" t="n">
        <v>0</v>
      </c>
      <c r="L664" t="n">
        <v>0</v>
      </c>
      <c r="M664" t="n">
        <v>0</v>
      </c>
      <c r="N664" t="n">
        <v>0</v>
      </c>
      <c r="O664" t="n">
        <v>0</v>
      </c>
      <c r="P664" t="n">
        <v>0</v>
      </c>
      <c r="Q664" t="n">
        <v>0</v>
      </c>
      <c r="R664" s="2" t="inlineStr"/>
    </row>
    <row r="665" ht="15" customHeight="1">
      <c r="A665" t="inlineStr">
        <is>
          <t>A 6853-2022</t>
        </is>
      </c>
      <c r="B665" s="1" t="n">
        <v>44602</v>
      </c>
      <c r="C665" s="1" t="n">
        <v>45783</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6863-2022</t>
        </is>
      </c>
      <c r="B666" s="1" t="n">
        <v>44602</v>
      </c>
      <c r="C666" s="1" t="n">
        <v>45783</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6850-2022</t>
        </is>
      </c>
      <c r="B667" s="1" t="n">
        <v>44602</v>
      </c>
      <c r="C667" s="1" t="n">
        <v>45783</v>
      </c>
      <c r="D667" t="inlineStr">
        <is>
          <t>UPPSALA LÄN</t>
        </is>
      </c>
      <c r="E667" t="inlineStr">
        <is>
          <t>UPPSALA</t>
        </is>
      </c>
      <c r="G667" t="n">
        <v>3.7</v>
      </c>
      <c r="H667" t="n">
        <v>0</v>
      </c>
      <c r="I667" t="n">
        <v>0</v>
      </c>
      <c r="J667" t="n">
        <v>0</v>
      </c>
      <c r="K667" t="n">
        <v>0</v>
      </c>
      <c r="L667" t="n">
        <v>0</v>
      </c>
      <c r="M667" t="n">
        <v>0</v>
      </c>
      <c r="N667" t="n">
        <v>0</v>
      </c>
      <c r="O667" t="n">
        <v>0</v>
      </c>
      <c r="P667" t="n">
        <v>0</v>
      </c>
      <c r="Q667" t="n">
        <v>0</v>
      </c>
      <c r="R667" s="2" t="inlineStr"/>
    </row>
    <row r="668" ht="15" customHeight="1">
      <c r="A668" t="inlineStr">
        <is>
          <t>A 6851-2022</t>
        </is>
      </c>
      <c r="B668" s="1" t="n">
        <v>44602</v>
      </c>
      <c r="C668" s="1" t="n">
        <v>45783</v>
      </c>
      <c r="D668" t="inlineStr">
        <is>
          <t>UPPSALA LÄN</t>
        </is>
      </c>
      <c r="E668" t="inlineStr">
        <is>
          <t>UPPSALA</t>
        </is>
      </c>
      <c r="G668" t="n">
        <v>1.1</v>
      </c>
      <c r="H668" t="n">
        <v>0</v>
      </c>
      <c r="I668" t="n">
        <v>0</v>
      </c>
      <c r="J668" t="n">
        <v>0</v>
      </c>
      <c r="K668" t="n">
        <v>0</v>
      </c>
      <c r="L668" t="n">
        <v>0</v>
      </c>
      <c r="M668" t="n">
        <v>0</v>
      </c>
      <c r="N668" t="n">
        <v>0</v>
      </c>
      <c r="O668" t="n">
        <v>0</v>
      </c>
      <c r="P668" t="n">
        <v>0</v>
      </c>
      <c r="Q668" t="n">
        <v>0</v>
      </c>
      <c r="R668" s="2" t="inlineStr"/>
    </row>
    <row r="669" ht="15" customHeight="1">
      <c r="A669" t="inlineStr">
        <is>
          <t>A 6855-2022</t>
        </is>
      </c>
      <c r="B669" s="1" t="n">
        <v>44602</v>
      </c>
      <c r="C669" s="1" t="n">
        <v>45783</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6860-2022</t>
        </is>
      </c>
      <c r="B670" s="1" t="n">
        <v>44602</v>
      </c>
      <c r="C670" s="1" t="n">
        <v>45783</v>
      </c>
      <c r="D670" t="inlineStr">
        <is>
          <t>UPPSALA LÄN</t>
        </is>
      </c>
      <c r="E670" t="inlineStr">
        <is>
          <t>UPPSALA</t>
        </is>
      </c>
      <c r="G670" t="n">
        <v>14.8</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45783</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7040-2022</t>
        </is>
      </c>
      <c r="B672" s="1" t="n">
        <v>44603</v>
      </c>
      <c r="C672" s="1" t="n">
        <v>45783</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7124-2022</t>
        </is>
      </c>
      <c r="B673" s="1" t="n">
        <v>44603</v>
      </c>
      <c r="C673" s="1" t="n">
        <v>45783</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7409-2022</t>
        </is>
      </c>
      <c r="B674" s="1" t="n">
        <v>44606</v>
      </c>
      <c r="C674" s="1" t="n">
        <v>45783</v>
      </c>
      <c r="D674" t="inlineStr">
        <is>
          <t>UPPSALA LÄN</t>
        </is>
      </c>
      <c r="E674" t="inlineStr">
        <is>
          <t>UPPSALA</t>
        </is>
      </c>
      <c r="G674" t="n">
        <v>4.3</v>
      </c>
      <c r="H674" t="n">
        <v>0</v>
      </c>
      <c r="I674" t="n">
        <v>0</v>
      </c>
      <c r="J674" t="n">
        <v>0</v>
      </c>
      <c r="K674" t="n">
        <v>0</v>
      </c>
      <c r="L674" t="n">
        <v>0</v>
      </c>
      <c r="M674" t="n">
        <v>0</v>
      </c>
      <c r="N674" t="n">
        <v>0</v>
      </c>
      <c r="O674" t="n">
        <v>0</v>
      </c>
      <c r="P674" t="n">
        <v>0</v>
      </c>
      <c r="Q674" t="n">
        <v>0</v>
      </c>
      <c r="R674" s="2" t="inlineStr"/>
    </row>
    <row r="675" ht="15" customHeight="1">
      <c r="A675" t="inlineStr">
        <is>
          <t>A 7899-2022</t>
        </is>
      </c>
      <c r="B675" s="1" t="n">
        <v>44608</v>
      </c>
      <c r="C675" s="1" t="n">
        <v>45783</v>
      </c>
      <c r="D675" t="inlineStr">
        <is>
          <t>UPPSALA LÄN</t>
        </is>
      </c>
      <c r="E675" t="inlineStr">
        <is>
          <t>UPPSALA</t>
        </is>
      </c>
      <c r="F675" t="inlineStr">
        <is>
          <t>Övriga Aktiebolag</t>
        </is>
      </c>
      <c r="G675" t="n">
        <v>7.1</v>
      </c>
      <c r="H675" t="n">
        <v>0</v>
      </c>
      <c r="I675" t="n">
        <v>0</v>
      </c>
      <c r="J675" t="n">
        <v>0</v>
      </c>
      <c r="K675" t="n">
        <v>0</v>
      </c>
      <c r="L675" t="n">
        <v>0</v>
      </c>
      <c r="M675" t="n">
        <v>0</v>
      </c>
      <c r="N675" t="n">
        <v>0</v>
      </c>
      <c r="O675" t="n">
        <v>0</v>
      </c>
      <c r="P675" t="n">
        <v>0</v>
      </c>
      <c r="Q675" t="n">
        <v>0</v>
      </c>
      <c r="R675" s="2" t="inlineStr"/>
    </row>
    <row r="676" ht="15" customHeight="1">
      <c r="A676" t="inlineStr">
        <is>
          <t>A 8090-2022</t>
        </is>
      </c>
      <c r="B676" s="1" t="n">
        <v>44608</v>
      </c>
      <c r="C676" s="1" t="n">
        <v>45783</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7996-2022</t>
        </is>
      </c>
      <c r="B677" s="1" t="n">
        <v>44609</v>
      </c>
      <c r="C677" s="1" t="n">
        <v>45783</v>
      </c>
      <c r="D677" t="inlineStr">
        <is>
          <t>UPPSALA LÄN</t>
        </is>
      </c>
      <c r="E677" t="inlineStr">
        <is>
          <t>UPPSALA</t>
        </is>
      </c>
      <c r="F677" t="inlineStr">
        <is>
          <t>Övriga Aktiebolag</t>
        </is>
      </c>
      <c r="G677" t="n">
        <v>2.9</v>
      </c>
      <c r="H677" t="n">
        <v>0</v>
      </c>
      <c r="I677" t="n">
        <v>0</v>
      </c>
      <c r="J677" t="n">
        <v>0</v>
      </c>
      <c r="K677" t="n">
        <v>0</v>
      </c>
      <c r="L677" t="n">
        <v>0</v>
      </c>
      <c r="M677" t="n">
        <v>0</v>
      </c>
      <c r="N677" t="n">
        <v>0</v>
      </c>
      <c r="O677" t="n">
        <v>0</v>
      </c>
      <c r="P677" t="n">
        <v>0</v>
      </c>
      <c r="Q677" t="n">
        <v>0</v>
      </c>
      <c r="R677" s="2" t="inlineStr"/>
    </row>
    <row r="678" ht="15" customHeight="1">
      <c r="A678" t="inlineStr">
        <is>
          <t>A 8007-2022</t>
        </is>
      </c>
      <c r="B678" s="1" t="n">
        <v>44609</v>
      </c>
      <c r="C678" s="1" t="n">
        <v>45783</v>
      </c>
      <c r="D678" t="inlineStr">
        <is>
          <t>UPPSALA LÄN</t>
        </is>
      </c>
      <c r="E678" t="inlineStr">
        <is>
          <t>UPPSALA</t>
        </is>
      </c>
      <c r="F678" t="inlineStr">
        <is>
          <t>Övriga Aktiebolag</t>
        </is>
      </c>
      <c r="G678" t="n">
        <v>2.3</v>
      </c>
      <c r="H678" t="n">
        <v>0</v>
      </c>
      <c r="I678" t="n">
        <v>0</v>
      </c>
      <c r="J678" t="n">
        <v>0</v>
      </c>
      <c r="K678" t="n">
        <v>0</v>
      </c>
      <c r="L678" t="n">
        <v>0</v>
      </c>
      <c r="M678" t="n">
        <v>0</v>
      </c>
      <c r="N678" t="n">
        <v>0</v>
      </c>
      <c r="O678" t="n">
        <v>0</v>
      </c>
      <c r="P678" t="n">
        <v>0</v>
      </c>
      <c r="Q678" t="n">
        <v>0</v>
      </c>
      <c r="R678" s="2" t="inlineStr"/>
    </row>
    <row r="679" ht="15" customHeight="1">
      <c r="A679" t="inlineStr">
        <is>
          <t>A 8132-2022</t>
        </is>
      </c>
      <c r="B679" s="1" t="n">
        <v>44609</v>
      </c>
      <c r="C679" s="1" t="n">
        <v>45783</v>
      </c>
      <c r="D679" t="inlineStr">
        <is>
          <t>UPPSALA LÄN</t>
        </is>
      </c>
      <c r="E679" t="inlineStr">
        <is>
          <t>UPPSALA</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8139-2022</t>
        </is>
      </c>
      <c r="B680" s="1" t="n">
        <v>44609</v>
      </c>
      <c r="C680" s="1" t="n">
        <v>45783</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8404-2022</t>
        </is>
      </c>
      <c r="B681" s="1" t="n">
        <v>44610</v>
      </c>
      <c r="C681" s="1" t="n">
        <v>45783</v>
      </c>
      <c r="D681" t="inlineStr">
        <is>
          <t>UPPSALA LÄN</t>
        </is>
      </c>
      <c r="E681" t="inlineStr">
        <is>
          <t>UPPSALA</t>
        </is>
      </c>
      <c r="F681" t="inlineStr">
        <is>
          <t>Allmännings- och besparingsskogar</t>
        </is>
      </c>
      <c r="G681" t="n">
        <v>5.4</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45783</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45783</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8451-2022</t>
        </is>
      </c>
      <c r="B684" s="1" t="n">
        <v>44612</v>
      </c>
      <c r="C684" s="1" t="n">
        <v>45783</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8877-2022</t>
        </is>
      </c>
      <c r="B685" s="1" t="n">
        <v>44614</v>
      </c>
      <c r="C685" s="1" t="n">
        <v>45783</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8933-2022</t>
        </is>
      </c>
      <c r="B686" s="1" t="n">
        <v>44614</v>
      </c>
      <c r="C686" s="1" t="n">
        <v>45783</v>
      </c>
      <c r="D686" t="inlineStr">
        <is>
          <t>UPPSALA LÄN</t>
        </is>
      </c>
      <c r="E686" t="inlineStr">
        <is>
          <t>UPPSALA</t>
        </is>
      </c>
      <c r="F686" t="inlineStr">
        <is>
          <t>Holmen skog AB</t>
        </is>
      </c>
      <c r="G686" t="n">
        <v>3.6</v>
      </c>
      <c r="H686" t="n">
        <v>0</v>
      </c>
      <c r="I686" t="n">
        <v>0</v>
      </c>
      <c r="J686" t="n">
        <v>0</v>
      </c>
      <c r="K686" t="n">
        <v>0</v>
      </c>
      <c r="L686" t="n">
        <v>0</v>
      </c>
      <c r="M686" t="n">
        <v>0</v>
      </c>
      <c r="N686" t="n">
        <v>0</v>
      </c>
      <c r="O686" t="n">
        <v>0</v>
      </c>
      <c r="P686" t="n">
        <v>0</v>
      </c>
      <c r="Q686" t="n">
        <v>0</v>
      </c>
      <c r="R686" s="2" t="inlineStr"/>
    </row>
    <row r="687" ht="15" customHeight="1">
      <c r="A687" t="inlineStr">
        <is>
          <t>A 9206-2022</t>
        </is>
      </c>
      <c r="B687" s="1" t="n">
        <v>44616</v>
      </c>
      <c r="C687" s="1" t="n">
        <v>45783</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9242-2022</t>
        </is>
      </c>
      <c r="B688" s="1" t="n">
        <v>44616</v>
      </c>
      <c r="C688" s="1" t="n">
        <v>45783</v>
      </c>
      <c r="D688" t="inlineStr">
        <is>
          <t>UPPSALA LÄN</t>
        </is>
      </c>
      <c r="E688" t="inlineStr">
        <is>
          <t>UPPSALA</t>
        </is>
      </c>
      <c r="F688" t="inlineStr">
        <is>
          <t>Övriga Aktiebolag</t>
        </is>
      </c>
      <c r="G688" t="n">
        <v>5.9</v>
      </c>
      <c r="H688" t="n">
        <v>0</v>
      </c>
      <c r="I688" t="n">
        <v>0</v>
      </c>
      <c r="J688" t="n">
        <v>0</v>
      </c>
      <c r="K688" t="n">
        <v>0</v>
      </c>
      <c r="L688" t="n">
        <v>0</v>
      </c>
      <c r="M688" t="n">
        <v>0</v>
      </c>
      <c r="N688" t="n">
        <v>0</v>
      </c>
      <c r="O688" t="n">
        <v>0</v>
      </c>
      <c r="P688" t="n">
        <v>0</v>
      </c>
      <c r="Q688" t="n">
        <v>0</v>
      </c>
      <c r="R688" s="2" t="inlineStr"/>
    </row>
    <row r="689" ht="15" customHeight="1">
      <c r="A689" t="inlineStr">
        <is>
          <t>A 9592-2022</t>
        </is>
      </c>
      <c r="B689" s="1" t="n">
        <v>44617</v>
      </c>
      <c r="C689" s="1" t="n">
        <v>45783</v>
      </c>
      <c r="D689" t="inlineStr">
        <is>
          <t>UPPSALA LÄN</t>
        </is>
      </c>
      <c r="E689" t="inlineStr">
        <is>
          <t>UPPSALA</t>
        </is>
      </c>
      <c r="G689" t="n">
        <v>7.5</v>
      </c>
      <c r="H689" t="n">
        <v>0</v>
      </c>
      <c r="I689" t="n">
        <v>0</v>
      </c>
      <c r="J689" t="n">
        <v>0</v>
      </c>
      <c r="K689" t="n">
        <v>0</v>
      </c>
      <c r="L689" t="n">
        <v>0</v>
      </c>
      <c r="M689" t="n">
        <v>0</v>
      </c>
      <c r="N689" t="n">
        <v>0</v>
      </c>
      <c r="O689" t="n">
        <v>0</v>
      </c>
      <c r="P689" t="n">
        <v>0</v>
      </c>
      <c r="Q689" t="n">
        <v>0</v>
      </c>
      <c r="R689" s="2" t="inlineStr"/>
    </row>
    <row r="690" ht="15" customHeight="1">
      <c r="A690" t="inlineStr">
        <is>
          <t>A 10411-2022</t>
        </is>
      </c>
      <c r="B690" s="1" t="n">
        <v>44623</v>
      </c>
      <c r="C690" s="1" t="n">
        <v>45783</v>
      </c>
      <c r="D690" t="inlineStr">
        <is>
          <t>UPPSALA LÄN</t>
        </is>
      </c>
      <c r="E690" t="inlineStr">
        <is>
          <t>UPPSALA</t>
        </is>
      </c>
      <c r="F690" t="inlineStr">
        <is>
          <t>Övriga Aktiebolag</t>
        </is>
      </c>
      <c r="G690" t="n">
        <v>4.2</v>
      </c>
      <c r="H690" t="n">
        <v>0</v>
      </c>
      <c r="I690" t="n">
        <v>0</v>
      </c>
      <c r="J690" t="n">
        <v>0</v>
      </c>
      <c r="K690" t="n">
        <v>0</v>
      </c>
      <c r="L690" t="n">
        <v>0</v>
      </c>
      <c r="M690" t="n">
        <v>0</v>
      </c>
      <c r="N690" t="n">
        <v>0</v>
      </c>
      <c r="O690" t="n">
        <v>0</v>
      </c>
      <c r="P690" t="n">
        <v>0</v>
      </c>
      <c r="Q690" t="n">
        <v>0</v>
      </c>
      <c r="R690" s="2" t="inlineStr"/>
    </row>
    <row r="691" ht="15" customHeight="1">
      <c r="A691" t="inlineStr">
        <is>
          <t>A 10383-2022</t>
        </is>
      </c>
      <c r="B691" s="1" t="n">
        <v>44623</v>
      </c>
      <c r="C691" s="1" t="n">
        <v>45783</v>
      </c>
      <c r="D691" t="inlineStr">
        <is>
          <t>UPPSALA LÄN</t>
        </is>
      </c>
      <c r="E691" t="inlineStr">
        <is>
          <t>UPPSALA</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10456-2022</t>
        </is>
      </c>
      <c r="B692" s="1" t="n">
        <v>44623</v>
      </c>
      <c r="C692" s="1" t="n">
        <v>45783</v>
      </c>
      <c r="D692" t="inlineStr">
        <is>
          <t>UPPSALA LÄN</t>
        </is>
      </c>
      <c r="E692" t="inlineStr">
        <is>
          <t>UPPSALA</t>
        </is>
      </c>
      <c r="F692" t="inlineStr">
        <is>
          <t>Övriga Aktiebolag</t>
        </is>
      </c>
      <c r="G692" t="n">
        <v>12.6</v>
      </c>
      <c r="H692" t="n">
        <v>0</v>
      </c>
      <c r="I692" t="n">
        <v>0</v>
      </c>
      <c r="J692" t="n">
        <v>0</v>
      </c>
      <c r="K692" t="n">
        <v>0</v>
      </c>
      <c r="L692" t="n">
        <v>0</v>
      </c>
      <c r="M692" t="n">
        <v>0</v>
      </c>
      <c r="N692" t="n">
        <v>0</v>
      </c>
      <c r="O692" t="n">
        <v>0</v>
      </c>
      <c r="P692" t="n">
        <v>0</v>
      </c>
      <c r="Q692" t="n">
        <v>0</v>
      </c>
      <c r="R692" s="2" t="inlineStr"/>
    </row>
    <row r="693" ht="15" customHeight="1">
      <c r="A693" t="inlineStr">
        <is>
          <t>A 10464-2022</t>
        </is>
      </c>
      <c r="B693" s="1" t="n">
        <v>44623</v>
      </c>
      <c r="C693" s="1" t="n">
        <v>45783</v>
      </c>
      <c r="D693" t="inlineStr">
        <is>
          <t>UPPSALA LÄN</t>
        </is>
      </c>
      <c r="E693" t="inlineStr">
        <is>
          <t>UPPSALA</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10565-2022</t>
        </is>
      </c>
      <c r="B694" s="1" t="n">
        <v>44624</v>
      </c>
      <c r="C694" s="1" t="n">
        <v>45783</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10674-2022</t>
        </is>
      </c>
      <c r="B695" s="1" t="n">
        <v>44624</v>
      </c>
      <c r="C695" s="1" t="n">
        <v>45783</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11162-2022</t>
        </is>
      </c>
      <c r="B696" s="1" t="n">
        <v>44629</v>
      </c>
      <c r="C696" s="1" t="n">
        <v>45783</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11224-2022</t>
        </is>
      </c>
      <c r="B697" s="1" t="n">
        <v>44629</v>
      </c>
      <c r="C697" s="1" t="n">
        <v>45783</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11787-2022</t>
        </is>
      </c>
      <c r="B698" s="1" t="n">
        <v>44634</v>
      </c>
      <c r="C698" s="1" t="n">
        <v>45783</v>
      </c>
      <c r="D698" t="inlineStr">
        <is>
          <t>UPPSALA LÄN</t>
        </is>
      </c>
      <c r="E698" t="inlineStr">
        <is>
          <t>UPPSALA</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11693-2022</t>
        </is>
      </c>
      <c r="B699" s="1" t="n">
        <v>44634</v>
      </c>
      <c r="C699" s="1" t="n">
        <v>45783</v>
      </c>
      <c r="D699" t="inlineStr">
        <is>
          <t>UPPSALA LÄN</t>
        </is>
      </c>
      <c r="E699" t="inlineStr">
        <is>
          <t>UPPSALA</t>
        </is>
      </c>
      <c r="G699" t="n">
        <v>4</v>
      </c>
      <c r="H699" t="n">
        <v>0</v>
      </c>
      <c r="I699" t="n">
        <v>0</v>
      </c>
      <c r="J699" t="n">
        <v>0</v>
      </c>
      <c r="K699" t="n">
        <v>0</v>
      </c>
      <c r="L699" t="n">
        <v>0</v>
      </c>
      <c r="M699" t="n">
        <v>0</v>
      </c>
      <c r="N699" t="n">
        <v>0</v>
      </c>
      <c r="O699" t="n">
        <v>0</v>
      </c>
      <c r="P699" t="n">
        <v>0</v>
      </c>
      <c r="Q699" t="n">
        <v>0</v>
      </c>
      <c r="R699" s="2" t="inlineStr"/>
    </row>
    <row r="700" ht="15" customHeight="1">
      <c r="A700" t="inlineStr">
        <is>
          <t>A 12221-2022</t>
        </is>
      </c>
      <c r="B700" s="1" t="n">
        <v>44637</v>
      </c>
      <c r="C700" s="1" t="n">
        <v>45783</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12293-2022</t>
        </is>
      </c>
      <c r="B701" s="1" t="n">
        <v>44637</v>
      </c>
      <c r="C701" s="1" t="n">
        <v>45783</v>
      </c>
      <c r="D701" t="inlineStr">
        <is>
          <t>UPPSALA LÄN</t>
        </is>
      </c>
      <c r="E701" t="inlineStr">
        <is>
          <t>UPPSALA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13009-2022</t>
        </is>
      </c>
      <c r="B702" s="1" t="n">
        <v>44643</v>
      </c>
      <c r="C702" s="1" t="n">
        <v>45783</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13134-2022</t>
        </is>
      </c>
      <c r="B703" s="1" t="n">
        <v>44644</v>
      </c>
      <c r="C703" s="1" t="n">
        <v>45783</v>
      </c>
      <c r="D703" t="inlineStr">
        <is>
          <t>UPPSALA LÄN</t>
        </is>
      </c>
      <c r="E703" t="inlineStr">
        <is>
          <t>UPPSALA</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13128-2022</t>
        </is>
      </c>
      <c r="B704" s="1" t="n">
        <v>44644</v>
      </c>
      <c r="C704" s="1" t="n">
        <v>45783</v>
      </c>
      <c r="D704" t="inlineStr">
        <is>
          <t>UPPSALA LÄN</t>
        </is>
      </c>
      <c r="E704" t="inlineStr">
        <is>
          <t>UPPSALA</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13386-2022</t>
        </is>
      </c>
      <c r="B705" s="1" t="n">
        <v>44645</v>
      </c>
      <c r="C705" s="1" t="n">
        <v>45783</v>
      </c>
      <c r="D705" t="inlineStr">
        <is>
          <t>UPPSALA LÄN</t>
        </is>
      </c>
      <c r="E705" t="inlineStr">
        <is>
          <t>UPPSALA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13343-2022</t>
        </is>
      </c>
      <c r="B706" s="1" t="n">
        <v>44645</v>
      </c>
      <c r="C706" s="1" t="n">
        <v>45783</v>
      </c>
      <c r="D706" t="inlineStr">
        <is>
          <t>UPPSALA LÄN</t>
        </is>
      </c>
      <c r="E706" t="inlineStr">
        <is>
          <t>UPPSALA</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45783</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13901-2022</t>
        </is>
      </c>
      <c r="B708" s="1" t="n">
        <v>44649</v>
      </c>
      <c r="C708" s="1" t="n">
        <v>45783</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14337-2022</t>
        </is>
      </c>
      <c r="B709" s="1" t="n">
        <v>44652</v>
      </c>
      <c r="C709" s="1" t="n">
        <v>45783</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14355-2022</t>
        </is>
      </c>
      <c r="B710" s="1" t="n">
        <v>44652</v>
      </c>
      <c r="C710" s="1" t="n">
        <v>45783</v>
      </c>
      <c r="D710" t="inlineStr">
        <is>
          <t>UPPSALA LÄN</t>
        </is>
      </c>
      <c r="E710" t="inlineStr">
        <is>
          <t>UPPSALA</t>
        </is>
      </c>
      <c r="F710" t="inlineStr">
        <is>
          <t>Bergvik skog öst AB</t>
        </is>
      </c>
      <c r="G710" t="n">
        <v>7.8</v>
      </c>
      <c r="H710" t="n">
        <v>0</v>
      </c>
      <c r="I710" t="n">
        <v>0</v>
      </c>
      <c r="J710" t="n">
        <v>0</v>
      </c>
      <c r="K710" t="n">
        <v>0</v>
      </c>
      <c r="L710" t="n">
        <v>0</v>
      </c>
      <c r="M710" t="n">
        <v>0</v>
      </c>
      <c r="N710" t="n">
        <v>0</v>
      </c>
      <c r="O710" t="n">
        <v>0</v>
      </c>
      <c r="P710" t="n">
        <v>0</v>
      </c>
      <c r="Q710" t="n">
        <v>0</v>
      </c>
      <c r="R710" s="2" t="inlineStr"/>
    </row>
    <row r="711" ht="15" customHeight="1">
      <c r="A711" t="inlineStr">
        <is>
          <t>A 14340-2022</t>
        </is>
      </c>
      <c r="B711" s="1" t="n">
        <v>44652</v>
      </c>
      <c r="C711" s="1" t="n">
        <v>45783</v>
      </c>
      <c r="D711" t="inlineStr">
        <is>
          <t>UPPSALA LÄN</t>
        </is>
      </c>
      <c r="E711" t="inlineStr">
        <is>
          <t>UPPSALA</t>
        </is>
      </c>
      <c r="F711" t="inlineStr">
        <is>
          <t>Bergvik skog öst AB</t>
        </is>
      </c>
      <c r="G711" t="n">
        <v>4</v>
      </c>
      <c r="H711" t="n">
        <v>0</v>
      </c>
      <c r="I711" t="n">
        <v>0</v>
      </c>
      <c r="J711" t="n">
        <v>0</v>
      </c>
      <c r="K711" t="n">
        <v>0</v>
      </c>
      <c r="L711" t="n">
        <v>0</v>
      </c>
      <c r="M711" t="n">
        <v>0</v>
      </c>
      <c r="N711" t="n">
        <v>0</v>
      </c>
      <c r="O711" t="n">
        <v>0</v>
      </c>
      <c r="P711" t="n">
        <v>0</v>
      </c>
      <c r="Q711" t="n">
        <v>0</v>
      </c>
      <c r="R711" s="2" t="inlineStr"/>
    </row>
    <row r="712" ht="15" customHeight="1">
      <c r="A712" t="inlineStr">
        <is>
          <t>A 14622-2022</t>
        </is>
      </c>
      <c r="B712" s="1" t="n">
        <v>44655</v>
      </c>
      <c r="C712" s="1" t="n">
        <v>45783</v>
      </c>
      <c r="D712" t="inlineStr">
        <is>
          <t>UPPSALA LÄN</t>
        </is>
      </c>
      <c r="E712" t="inlineStr">
        <is>
          <t>UPPSALA</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15436-2022</t>
        </is>
      </c>
      <c r="B713" s="1" t="n">
        <v>44659</v>
      </c>
      <c r="C713" s="1" t="n">
        <v>45783</v>
      </c>
      <c r="D713" t="inlineStr">
        <is>
          <t>UPPSALA LÄN</t>
        </is>
      </c>
      <c r="E713" t="inlineStr">
        <is>
          <t>UPPSALA</t>
        </is>
      </c>
      <c r="G713" t="n">
        <v>14.4</v>
      </c>
      <c r="H713" t="n">
        <v>0</v>
      </c>
      <c r="I713" t="n">
        <v>0</v>
      </c>
      <c r="J713" t="n">
        <v>0</v>
      </c>
      <c r="K713" t="n">
        <v>0</v>
      </c>
      <c r="L713" t="n">
        <v>0</v>
      </c>
      <c r="M713" t="n">
        <v>0</v>
      </c>
      <c r="N713" t="n">
        <v>0</v>
      </c>
      <c r="O713" t="n">
        <v>0</v>
      </c>
      <c r="P713" t="n">
        <v>0</v>
      </c>
      <c r="Q713" t="n">
        <v>0</v>
      </c>
      <c r="R713" s="2" t="inlineStr"/>
    </row>
    <row r="714" ht="15" customHeight="1">
      <c r="A714" t="inlineStr">
        <is>
          <t>A 15377-2022</t>
        </is>
      </c>
      <c r="B714" s="1" t="n">
        <v>44659</v>
      </c>
      <c r="C714" s="1" t="n">
        <v>45783</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15310-2022</t>
        </is>
      </c>
      <c r="B715" s="1" t="n">
        <v>44659</v>
      </c>
      <c r="C715" s="1" t="n">
        <v>45783</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15583-2022</t>
        </is>
      </c>
      <c r="B716" s="1" t="n">
        <v>44662</v>
      </c>
      <c r="C716" s="1" t="n">
        <v>45783</v>
      </c>
      <c r="D716" t="inlineStr">
        <is>
          <t>UPPSALA LÄN</t>
        </is>
      </c>
      <c r="E716" t="inlineStr">
        <is>
          <t>UPPSALA</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15735-2022</t>
        </is>
      </c>
      <c r="B717" s="1" t="n">
        <v>44663</v>
      </c>
      <c r="C717" s="1" t="n">
        <v>45783</v>
      </c>
      <c r="D717" t="inlineStr">
        <is>
          <t>UPPSALA LÄN</t>
        </is>
      </c>
      <c r="E717" t="inlineStr">
        <is>
          <t>UPPSALA</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45783</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16804-2022</t>
        </is>
      </c>
      <c r="B719" s="1" t="n">
        <v>44673</v>
      </c>
      <c r="C719" s="1" t="n">
        <v>45783</v>
      </c>
      <c r="D719" t="inlineStr">
        <is>
          <t>UPPSALA LÄN</t>
        </is>
      </c>
      <c r="E719" t="inlineStr">
        <is>
          <t>UPPSALA</t>
        </is>
      </c>
      <c r="F719" t="inlineStr">
        <is>
          <t>Bergvik skog öst AB</t>
        </is>
      </c>
      <c r="G719" t="n">
        <v>3.5</v>
      </c>
      <c r="H719" t="n">
        <v>0</v>
      </c>
      <c r="I719" t="n">
        <v>0</v>
      </c>
      <c r="J719" t="n">
        <v>0</v>
      </c>
      <c r="K719" t="n">
        <v>0</v>
      </c>
      <c r="L719" t="n">
        <v>0</v>
      </c>
      <c r="M719" t="n">
        <v>0</v>
      </c>
      <c r="N719" t="n">
        <v>0</v>
      </c>
      <c r="O719" t="n">
        <v>0</v>
      </c>
      <c r="P719" t="n">
        <v>0</v>
      </c>
      <c r="Q719" t="n">
        <v>0</v>
      </c>
      <c r="R719" s="2" t="inlineStr"/>
    </row>
    <row r="720" ht="15" customHeight="1">
      <c r="A720" t="inlineStr">
        <is>
          <t>A 16828-2022</t>
        </is>
      </c>
      <c r="B720" s="1" t="n">
        <v>44673</v>
      </c>
      <c r="C720" s="1" t="n">
        <v>45783</v>
      </c>
      <c r="D720" t="inlineStr">
        <is>
          <t>UPPSALA LÄN</t>
        </is>
      </c>
      <c r="E720" t="inlineStr">
        <is>
          <t>UPPSALA</t>
        </is>
      </c>
      <c r="F720" t="inlineStr">
        <is>
          <t>Bergvik skog öst AB</t>
        </is>
      </c>
      <c r="G720" t="n">
        <v>4.1</v>
      </c>
      <c r="H720" t="n">
        <v>0</v>
      </c>
      <c r="I720" t="n">
        <v>0</v>
      </c>
      <c r="J720" t="n">
        <v>0</v>
      </c>
      <c r="K720" t="n">
        <v>0</v>
      </c>
      <c r="L720" t="n">
        <v>0</v>
      </c>
      <c r="M720" t="n">
        <v>0</v>
      </c>
      <c r="N720" t="n">
        <v>0</v>
      </c>
      <c r="O720" t="n">
        <v>0</v>
      </c>
      <c r="P720" t="n">
        <v>0</v>
      </c>
      <c r="Q720" t="n">
        <v>0</v>
      </c>
      <c r="R720" s="2" t="inlineStr"/>
    </row>
    <row r="721" ht="15" customHeight="1">
      <c r="A721" t="inlineStr">
        <is>
          <t>A 16827-2022</t>
        </is>
      </c>
      <c r="B721" s="1" t="n">
        <v>44673</v>
      </c>
      <c r="C721" s="1" t="n">
        <v>45783</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16831-2022</t>
        </is>
      </c>
      <c r="B722" s="1" t="n">
        <v>44673</v>
      </c>
      <c r="C722" s="1" t="n">
        <v>45783</v>
      </c>
      <c r="D722" t="inlineStr">
        <is>
          <t>UPPSALA LÄN</t>
        </is>
      </c>
      <c r="E722" t="inlineStr">
        <is>
          <t>UPPSALA</t>
        </is>
      </c>
      <c r="F722" t="inlineStr">
        <is>
          <t>Bergvik skog öst AB</t>
        </is>
      </c>
      <c r="G722" t="n">
        <v>5.8</v>
      </c>
      <c r="H722" t="n">
        <v>0</v>
      </c>
      <c r="I722" t="n">
        <v>0</v>
      </c>
      <c r="J722" t="n">
        <v>0</v>
      </c>
      <c r="K722" t="n">
        <v>0</v>
      </c>
      <c r="L722" t="n">
        <v>0</v>
      </c>
      <c r="M722" t="n">
        <v>0</v>
      </c>
      <c r="N722" t="n">
        <v>0</v>
      </c>
      <c r="O722" t="n">
        <v>0</v>
      </c>
      <c r="P722" t="n">
        <v>0</v>
      </c>
      <c r="Q722" t="n">
        <v>0</v>
      </c>
      <c r="R722" s="2" t="inlineStr"/>
    </row>
    <row r="723" ht="15" customHeight="1">
      <c r="A723" t="inlineStr">
        <is>
          <t>A 16826-2022</t>
        </is>
      </c>
      <c r="B723" s="1" t="n">
        <v>44673</v>
      </c>
      <c r="C723" s="1" t="n">
        <v>45783</v>
      </c>
      <c r="D723" t="inlineStr">
        <is>
          <t>UPPSALA LÄN</t>
        </is>
      </c>
      <c r="E723" t="inlineStr">
        <is>
          <t>UPPSALA</t>
        </is>
      </c>
      <c r="F723" t="inlineStr">
        <is>
          <t>Bergvik skog öst AB</t>
        </is>
      </c>
      <c r="G723" t="n">
        <v>7.1</v>
      </c>
      <c r="H723" t="n">
        <v>0</v>
      </c>
      <c r="I723" t="n">
        <v>0</v>
      </c>
      <c r="J723" t="n">
        <v>0</v>
      </c>
      <c r="K723" t="n">
        <v>0</v>
      </c>
      <c r="L723" t="n">
        <v>0</v>
      </c>
      <c r="M723" t="n">
        <v>0</v>
      </c>
      <c r="N723" t="n">
        <v>0</v>
      </c>
      <c r="O723" t="n">
        <v>0</v>
      </c>
      <c r="P723" t="n">
        <v>0</v>
      </c>
      <c r="Q723" t="n">
        <v>0</v>
      </c>
      <c r="R723" s="2" t="inlineStr"/>
    </row>
    <row r="724" ht="15" customHeight="1">
      <c r="A724" t="inlineStr">
        <is>
          <t>A 16942-2022</t>
        </is>
      </c>
      <c r="B724" s="1" t="n">
        <v>44676</v>
      </c>
      <c r="C724" s="1" t="n">
        <v>45783</v>
      </c>
      <c r="D724" t="inlineStr">
        <is>
          <t>UPPSALA LÄN</t>
        </is>
      </c>
      <c r="E724" t="inlineStr">
        <is>
          <t>UPPSALA</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16892-2022</t>
        </is>
      </c>
      <c r="B725" s="1" t="n">
        <v>44676</v>
      </c>
      <c r="C725" s="1" t="n">
        <v>45783</v>
      </c>
      <c r="D725" t="inlineStr">
        <is>
          <t>UPPSALA LÄN</t>
        </is>
      </c>
      <c r="E725" t="inlineStr">
        <is>
          <t>UPPSALA</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16978-2022</t>
        </is>
      </c>
      <c r="B726" s="1" t="n">
        <v>44676</v>
      </c>
      <c r="C726" s="1" t="n">
        <v>45783</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16898-2022</t>
        </is>
      </c>
      <c r="B727" s="1" t="n">
        <v>44676</v>
      </c>
      <c r="C727" s="1" t="n">
        <v>45783</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17232-2022</t>
        </is>
      </c>
      <c r="B728" s="1" t="n">
        <v>44678</v>
      </c>
      <c r="C728" s="1" t="n">
        <v>45783</v>
      </c>
      <c r="D728" t="inlineStr">
        <is>
          <t>UPPSALA LÄN</t>
        </is>
      </c>
      <c r="E728" t="inlineStr">
        <is>
          <t>UPPSALA</t>
        </is>
      </c>
      <c r="F728" t="inlineStr">
        <is>
          <t>Övriga Aktiebolag</t>
        </is>
      </c>
      <c r="G728" t="n">
        <v>7.4</v>
      </c>
      <c r="H728" t="n">
        <v>0</v>
      </c>
      <c r="I728" t="n">
        <v>0</v>
      </c>
      <c r="J728" t="n">
        <v>0</v>
      </c>
      <c r="K728" t="n">
        <v>0</v>
      </c>
      <c r="L728" t="n">
        <v>0</v>
      </c>
      <c r="M728" t="n">
        <v>0</v>
      </c>
      <c r="N728" t="n">
        <v>0</v>
      </c>
      <c r="O728" t="n">
        <v>0</v>
      </c>
      <c r="P728" t="n">
        <v>0</v>
      </c>
      <c r="Q728" t="n">
        <v>0</v>
      </c>
      <c r="R728" s="2" t="inlineStr"/>
    </row>
    <row r="729" ht="15" customHeight="1">
      <c r="A729" t="inlineStr">
        <is>
          <t>A 17562-2022</t>
        </is>
      </c>
      <c r="B729" s="1" t="n">
        <v>44679</v>
      </c>
      <c r="C729" s="1" t="n">
        <v>45783</v>
      </c>
      <c r="D729" t="inlineStr">
        <is>
          <t>UPPSALA LÄN</t>
        </is>
      </c>
      <c r="E729" t="inlineStr">
        <is>
          <t>UPPSALA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17558-2022</t>
        </is>
      </c>
      <c r="B730" s="1" t="n">
        <v>44679</v>
      </c>
      <c r="C730" s="1" t="n">
        <v>45783</v>
      </c>
      <c r="D730" t="inlineStr">
        <is>
          <t>UPPSALA LÄN</t>
        </is>
      </c>
      <c r="E730" t="inlineStr">
        <is>
          <t>UPPSALA</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17981-2022</t>
        </is>
      </c>
      <c r="B731" s="1" t="n">
        <v>44683</v>
      </c>
      <c r="C731" s="1" t="n">
        <v>45783</v>
      </c>
      <c r="D731" t="inlineStr">
        <is>
          <t>UPPSALA LÄN</t>
        </is>
      </c>
      <c r="E731" t="inlineStr">
        <is>
          <t>UPPSALA</t>
        </is>
      </c>
      <c r="F731" t="inlineStr">
        <is>
          <t>Bergvik skog öst AB</t>
        </is>
      </c>
      <c r="G731" t="n">
        <v>6.7</v>
      </c>
      <c r="H731" t="n">
        <v>0</v>
      </c>
      <c r="I731" t="n">
        <v>0</v>
      </c>
      <c r="J731" t="n">
        <v>0</v>
      </c>
      <c r="K731" t="n">
        <v>0</v>
      </c>
      <c r="L731" t="n">
        <v>0</v>
      </c>
      <c r="M731" t="n">
        <v>0</v>
      </c>
      <c r="N731" t="n">
        <v>0</v>
      </c>
      <c r="O731" t="n">
        <v>0</v>
      </c>
      <c r="P731" t="n">
        <v>0</v>
      </c>
      <c r="Q731" t="n">
        <v>0</v>
      </c>
      <c r="R731" s="2" t="inlineStr"/>
    </row>
    <row r="732" ht="15" customHeight="1">
      <c r="A732" t="inlineStr">
        <is>
          <t>A 18330-2022</t>
        </is>
      </c>
      <c r="B732" s="1" t="n">
        <v>44685</v>
      </c>
      <c r="C732" s="1" t="n">
        <v>45783</v>
      </c>
      <c r="D732" t="inlineStr">
        <is>
          <t>UPPSALA LÄN</t>
        </is>
      </c>
      <c r="E732" t="inlineStr">
        <is>
          <t>UPPSALA</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18521-2022</t>
        </is>
      </c>
      <c r="B733" s="1" t="n">
        <v>44686</v>
      </c>
      <c r="C733" s="1" t="n">
        <v>45783</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18583-2022</t>
        </is>
      </c>
      <c r="B734" s="1" t="n">
        <v>44687</v>
      </c>
      <c r="C734" s="1" t="n">
        <v>45783</v>
      </c>
      <c r="D734" t="inlineStr">
        <is>
          <t>UPPSALA LÄN</t>
        </is>
      </c>
      <c r="E734" t="inlineStr">
        <is>
          <t>UPPSALA</t>
        </is>
      </c>
      <c r="F734" t="inlineStr">
        <is>
          <t>Övriga Aktiebolag</t>
        </is>
      </c>
      <c r="G734" t="n">
        <v>6.4</v>
      </c>
      <c r="H734" t="n">
        <v>0</v>
      </c>
      <c r="I734" t="n">
        <v>0</v>
      </c>
      <c r="J734" t="n">
        <v>0</v>
      </c>
      <c r="K734" t="n">
        <v>0</v>
      </c>
      <c r="L734" t="n">
        <v>0</v>
      </c>
      <c r="M734" t="n">
        <v>0</v>
      </c>
      <c r="N734" t="n">
        <v>0</v>
      </c>
      <c r="O734" t="n">
        <v>0</v>
      </c>
      <c r="P734" t="n">
        <v>0</v>
      </c>
      <c r="Q734" t="n">
        <v>0</v>
      </c>
      <c r="R734" s="2" t="inlineStr"/>
    </row>
    <row r="735" ht="15" customHeight="1">
      <c r="A735" t="inlineStr">
        <is>
          <t>A 18960-2022</t>
        </is>
      </c>
      <c r="B735" s="1" t="n">
        <v>44690</v>
      </c>
      <c r="C735" s="1" t="n">
        <v>45783</v>
      </c>
      <c r="D735" t="inlineStr">
        <is>
          <t>UPPSALA LÄN</t>
        </is>
      </c>
      <c r="E735" t="inlineStr">
        <is>
          <t>UPPSALA</t>
        </is>
      </c>
      <c r="F735" t="inlineStr">
        <is>
          <t>Bergvik skog öst AB</t>
        </is>
      </c>
      <c r="G735" t="n">
        <v>2.7</v>
      </c>
      <c r="H735" t="n">
        <v>0</v>
      </c>
      <c r="I735" t="n">
        <v>0</v>
      </c>
      <c r="J735" t="n">
        <v>0</v>
      </c>
      <c r="K735" t="n">
        <v>0</v>
      </c>
      <c r="L735" t="n">
        <v>0</v>
      </c>
      <c r="M735" t="n">
        <v>0</v>
      </c>
      <c r="N735" t="n">
        <v>0</v>
      </c>
      <c r="O735" t="n">
        <v>0</v>
      </c>
      <c r="P735" t="n">
        <v>0</v>
      </c>
      <c r="Q735" t="n">
        <v>0</v>
      </c>
      <c r="R735" s="2" t="inlineStr"/>
    </row>
    <row r="736" ht="15" customHeight="1">
      <c r="A736" t="inlineStr">
        <is>
          <t>A 19034-2022</t>
        </is>
      </c>
      <c r="B736" s="1" t="n">
        <v>44691</v>
      </c>
      <c r="C736" s="1" t="n">
        <v>45783</v>
      </c>
      <c r="D736" t="inlineStr">
        <is>
          <t>UPPSALA LÄN</t>
        </is>
      </c>
      <c r="E736" t="inlineStr">
        <is>
          <t>UPPSALA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19240-2022</t>
        </is>
      </c>
      <c r="B737" s="1" t="n">
        <v>44692</v>
      </c>
      <c r="C737" s="1" t="n">
        <v>45783</v>
      </c>
      <c r="D737" t="inlineStr">
        <is>
          <t>UPPSALA LÄN</t>
        </is>
      </c>
      <c r="E737" t="inlineStr">
        <is>
          <t>UPPSALA</t>
        </is>
      </c>
      <c r="F737" t="inlineStr">
        <is>
          <t>Bergvik skog öst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19375-2022</t>
        </is>
      </c>
      <c r="B738" s="1" t="n">
        <v>44692</v>
      </c>
      <c r="C738" s="1" t="n">
        <v>45783</v>
      </c>
      <c r="D738" t="inlineStr">
        <is>
          <t>UPPSALA LÄN</t>
        </is>
      </c>
      <c r="E738" t="inlineStr">
        <is>
          <t>UPPSALA</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19380-2022</t>
        </is>
      </c>
      <c r="B739" s="1" t="n">
        <v>44692</v>
      </c>
      <c r="C739" s="1" t="n">
        <v>45783</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19382-2022</t>
        </is>
      </c>
      <c r="B740" s="1" t="n">
        <v>44692</v>
      </c>
      <c r="C740" s="1" t="n">
        <v>45783</v>
      </c>
      <c r="D740" t="inlineStr">
        <is>
          <t>UPPSALA LÄN</t>
        </is>
      </c>
      <c r="E740" t="inlineStr">
        <is>
          <t>UPPSALA</t>
        </is>
      </c>
      <c r="G740" t="n">
        <v>4.3</v>
      </c>
      <c r="H740" t="n">
        <v>0</v>
      </c>
      <c r="I740" t="n">
        <v>0</v>
      </c>
      <c r="J740" t="n">
        <v>0</v>
      </c>
      <c r="K740" t="n">
        <v>0</v>
      </c>
      <c r="L740" t="n">
        <v>0</v>
      </c>
      <c r="M740" t="n">
        <v>0</v>
      </c>
      <c r="N740" t="n">
        <v>0</v>
      </c>
      <c r="O740" t="n">
        <v>0</v>
      </c>
      <c r="P740" t="n">
        <v>0</v>
      </c>
      <c r="Q740" t="n">
        <v>0</v>
      </c>
      <c r="R740" s="2" t="inlineStr"/>
    </row>
    <row r="741" ht="15" customHeight="1">
      <c r="A741" t="inlineStr">
        <is>
          <t>A 20265-2022</t>
        </is>
      </c>
      <c r="B741" s="1" t="n">
        <v>44698</v>
      </c>
      <c r="C741" s="1" t="n">
        <v>45783</v>
      </c>
      <c r="D741" t="inlineStr">
        <is>
          <t>UPPSALA LÄN</t>
        </is>
      </c>
      <c r="E741" t="inlineStr">
        <is>
          <t>UPPSALA</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20497-2022</t>
        </is>
      </c>
      <c r="B742" s="1" t="n">
        <v>44699</v>
      </c>
      <c r="C742" s="1" t="n">
        <v>45783</v>
      </c>
      <c r="D742" t="inlineStr">
        <is>
          <t>UPPSALA LÄN</t>
        </is>
      </c>
      <c r="E742" t="inlineStr">
        <is>
          <t>UPPSALA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20770-2022</t>
        </is>
      </c>
      <c r="B743" s="1" t="n">
        <v>44700</v>
      </c>
      <c r="C743" s="1" t="n">
        <v>45783</v>
      </c>
      <c r="D743" t="inlineStr">
        <is>
          <t>UPPSALA LÄN</t>
        </is>
      </c>
      <c r="E743" t="inlineStr">
        <is>
          <t>UPPSALA</t>
        </is>
      </c>
      <c r="G743" t="n">
        <v>3.7</v>
      </c>
      <c r="H743" t="n">
        <v>0</v>
      </c>
      <c r="I743" t="n">
        <v>0</v>
      </c>
      <c r="J743" t="n">
        <v>0</v>
      </c>
      <c r="K743" t="n">
        <v>0</v>
      </c>
      <c r="L743" t="n">
        <v>0</v>
      </c>
      <c r="M743" t="n">
        <v>0</v>
      </c>
      <c r="N743" t="n">
        <v>0</v>
      </c>
      <c r="O743" t="n">
        <v>0</v>
      </c>
      <c r="P743" t="n">
        <v>0</v>
      </c>
      <c r="Q743" t="n">
        <v>0</v>
      </c>
      <c r="R743" s="2" t="inlineStr"/>
    </row>
    <row r="744" ht="15" customHeight="1">
      <c r="A744" t="inlineStr">
        <is>
          <t>A 20764-2022</t>
        </is>
      </c>
      <c r="B744" s="1" t="n">
        <v>44700</v>
      </c>
      <c r="C744" s="1" t="n">
        <v>45783</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20938-2022</t>
        </is>
      </c>
      <c r="B745" s="1" t="n">
        <v>44701</v>
      </c>
      <c r="C745" s="1" t="n">
        <v>45783</v>
      </c>
      <c r="D745" t="inlineStr">
        <is>
          <t>UPPSALA LÄN</t>
        </is>
      </c>
      <c r="E745" t="inlineStr">
        <is>
          <t>UPPSALA</t>
        </is>
      </c>
      <c r="F745" t="inlineStr">
        <is>
          <t>Bergvik skog öst AB</t>
        </is>
      </c>
      <c r="G745" t="n">
        <v>7.2</v>
      </c>
      <c r="H745" t="n">
        <v>0</v>
      </c>
      <c r="I745" t="n">
        <v>0</v>
      </c>
      <c r="J745" t="n">
        <v>0</v>
      </c>
      <c r="K745" t="n">
        <v>0</v>
      </c>
      <c r="L745" t="n">
        <v>0</v>
      </c>
      <c r="M745" t="n">
        <v>0</v>
      </c>
      <c r="N745" t="n">
        <v>0</v>
      </c>
      <c r="O745" t="n">
        <v>0</v>
      </c>
      <c r="P745" t="n">
        <v>0</v>
      </c>
      <c r="Q745" t="n">
        <v>0</v>
      </c>
      <c r="R745" s="2" t="inlineStr"/>
    </row>
    <row r="746" ht="15" customHeight="1">
      <c r="A746" t="inlineStr">
        <is>
          <t>A 20936-2022</t>
        </is>
      </c>
      <c r="B746" s="1" t="n">
        <v>44701</v>
      </c>
      <c r="C746" s="1" t="n">
        <v>45783</v>
      </c>
      <c r="D746" t="inlineStr">
        <is>
          <t>UPPSALA LÄN</t>
        </is>
      </c>
      <c r="E746" t="inlineStr">
        <is>
          <t>UPPSALA</t>
        </is>
      </c>
      <c r="G746" t="n">
        <v>4.8</v>
      </c>
      <c r="H746" t="n">
        <v>0</v>
      </c>
      <c r="I746" t="n">
        <v>0</v>
      </c>
      <c r="J746" t="n">
        <v>0</v>
      </c>
      <c r="K746" t="n">
        <v>0</v>
      </c>
      <c r="L746" t="n">
        <v>0</v>
      </c>
      <c r="M746" t="n">
        <v>0</v>
      </c>
      <c r="N746" t="n">
        <v>0</v>
      </c>
      <c r="O746" t="n">
        <v>0</v>
      </c>
      <c r="P746" t="n">
        <v>0</v>
      </c>
      <c r="Q746" t="n">
        <v>0</v>
      </c>
      <c r="R746" s="2" t="inlineStr"/>
    </row>
    <row r="747" ht="15" customHeight="1">
      <c r="A747" t="inlineStr">
        <is>
          <t>A 20980-2022</t>
        </is>
      </c>
      <c r="B747" s="1" t="n">
        <v>44702</v>
      </c>
      <c r="C747" s="1" t="n">
        <v>45783</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21181-2022</t>
        </is>
      </c>
      <c r="B748" s="1" t="n">
        <v>44704</v>
      </c>
      <c r="C748" s="1" t="n">
        <v>45783</v>
      </c>
      <c r="D748" t="inlineStr">
        <is>
          <t>UPPSALA LÄN</t>
        </is>
      </c>
      <c r="E748" t="inlineStr">
        <is>
          <t>UPPSALA</t>
        </is>
      </c>
      <c r="F748" t="inlineStr">
        <is>
          <t>Bergvik skog öst AB</t>
        </is>
      </c>
      <c r="G748" t="n">
        <v>2.8</v>
      </c>
      <c r="H748" t="n">
        <v>0</v>
      </c>
      <c r="I748" t="n">
        <v>0</v>
      </c>
      <c r="J748" t="n">
        <v>0</v>
      </c>
      <c r="K748" t="n">
        <v>0</v>
      </c>
      <c r="L748" t="n">
        <v>0</v>
      </c>
      <c r="M748" t="n">
        <v>0</v>
      </c>
      <c r="N748" t="n">
        <v>0</v>
      </c>
      <c r="O748" t="n">
        <v>0</v>
      </c>
      <c r="P748" t="n">
        <v>0</v>
      </c>
      <c r="Q748" t="n">
        <v>0</v>
      </c>
      <c r="R748" s="2" t="inlineStr"/>
    </row>
    <row r="749" ht="15" customHeight="1">
      <c r="A749" t="inlineStr">
        <is>
          <t>A 21228-2022</t>
        </is>
      </c>
      <c r="B749" s="1" t="n">
        <v>44704</v>
      </c>
      <c r="C749" s="1" t="n">
        <v>45783</v>
      </c>
      <c r="D749" t="inlineStr">
        <is>
          <t>UPPSALA LÄN</t>
        </is>
      </c>
      <c r="E749" t="inlineStr">
        <is>
          <t>UPPSALA</t>
        </is>
      </c>
      <c r="G749" t="n">
        <v>0.2</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v>
      </c>
      <c r="C750" s="1" t="n">
        <v>45783</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v>
      </c>
      <c r="C751" s="1" t="n">
        <v>45783</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21394-2022</t>
        </is>
      </c>
      <c r="B752" s="1" t="n">
        <v>44705</v>
      </c>
      <c r="C752" s="1" t="n">
        <v>45783</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22021-2022</t>
        </is>
      </c>
      <c r="B753" s="1" t="n">
        <v>44711</v>
      </c>
      <c r="C753" s="1" t="n">
        <v>45783</v>
      </c>
      <c r="D753" t="inlineStr">
        <is>
          <t>UPPSALA LÄN</t>
        </is>
      </c>
      <c r="E753" t="inlineStr">
        <is>
          <t>UPPSALA</t>
        </is>
      </c>
      <c r="F753" t="inlineStr">
        <is>
          <t>Allmännings- och besparingsskogar</t>
        </is>
      </c>
      <c r="G753" t="n">
        <v>2.1</v>
      </c>
      <c r="H753" t="n">
        <v>0</v>
      </c>
      <c r="I753" t="n">
        <v>0</v>
      </c>
      <c r="J753" t="n">
        <v>0</v>
      </c>
      <c r="K753" t="n">
        <v>0</v>
      </c>
      <c r="L753" t="n">
        <v>0</v>
      </c>
      <c r="M753" t="n">
        <v>0</v>
      </c>
      <c r="N753" t="n">
        <v>0</v>
      </c>
      <c r="O753" t="n">
        <v>0</v>
      </c>
      <c r="P753" t="n">
        <v>0</v>
      </c>
      <c r="Q753" t="n">
        <v>0</v>
      </c>
      <c r="R753" s="2" t="inlineStr"/>
    </row>
    <row r="754" ht="15" customHeight="1">
      <c r="A754" t="inlineStr">
        <is>
          <t>A 22390-2022</t>
        </is>
      </c>
      <c r="B754" s="1" t="n">
        <v>44713</v>
      </c>
      <c r="C754" s="1" t="n">
        <v>45783</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22429-2022</t>
        </is>
      </c>
      <c r="B755" s="1" t="n">
        <v>44713</v>
      </c>
      <c r="C755" s="1" t="n">
        <v>45783</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22645-2022</t>
        </is>
      </c>
      <c r="B756" s="1" t="n">
        <v>44714</v>
      </c>
      <c r="C756" s="1" t="n">
        <v>45783</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23324-2022</t>
        </is>
      </c>
      <c r="B757" s="1" t="n">
        <v>44720</v>
      </c>
      <c r="C757" s="1" t="n">
        <v>45783</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23289-2022</t>
        </is>
      </c>
      <c r="B758" s="1" t="n">
        <v>44720</v>
      </c>
      <c r="C758" s="1" t="n">
        <v>45783</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23761-2022</t>
        </is>
      </c>
      <c r="B759" s="1" t="n">
        <v>44722</v>
      </c>
      <c r="C759" s="1" t="n">
        <v>45783</v>
      </c>
      <c r="D759" t="inlineStr">
        <is>
          <t>UPPSALA LÄN</t>
        </is>
      </c>
      <c r="E759" t="inlineStr">
        <is>
          <t>UPPSALA</t>
        </is>
      </c>
      <c r="F759" t="inlineStr">
        <is>
          <t>Bergvik skog öst AB</t>
        </is>
      </c>
      <c r="G759" t="n">
        <v>7.3</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v>
      </c>
      <c r="C760" s="1" t="n">
        <v>45783</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23717-2022</t>
        </is>
      </c>
      <c r="B761" s="1" t="n">
        <v>44722</v>
      </c>
      <c r="C761" s="1" t="n">
        <v>45783</v>
      </c>
      <c r="D761" t="inlineStr">
        <is>
          <t>UPPSALA LÄN</t>
        </is>
      </c>
      <c r="E761" t="inlineStr">
        <is>
          <t>UPPSALA</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23730-2022</t>
        </is>
      </c>
      <c r="B762" s="1" t="n">
        <v>44722</v>
      </c>
      <c r="C762" s="1" t="n">
        <v>45783</v>
      </c>
      <c r="D762" t="inlineStr">
        <is>
          <t>UPPSALA LÄN</t>
        </is>
      </c>
      <c r="E762" t="inlineStr">
        <is>
          <t>UPPSALA</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24420-2022</t>
        </is>
      </c>
      <c r="B763" s="1" t="n">
        <v>44726</v>
      </c>
      <c r="C763" s="1" t="n">
        <v>45783</v>
      </c>
      <c r="D763" t="inlineStr">
        <is>
          <t>UPPSALA LÄN</t>
        </is>
      </c>
      <c r="E763" t="inlineStr">
        <is>
          <t>UPPSALA</t>
        </is>
      </c>
      <c r="F763" t="inlineStr">
        <is>
          <t>Bergvik skog öst AB</t>
        </is>
      </c>
      <c r="G763" t="n">
        <v>2.9</v>
      </c>
      <c r="H763" t="n">
        <v>0</v>
      </c>
      <c r="I763" t="n">
        <v>0</v>
      </c>
      <c r="J763" t="n">
        <v>0</v>
      </c>
      <c r="K763" t="n">
        <v>0</v>
      </c>
      <c r="L763" t="n">
        <v>0</v>
      </c>
      <c r="M763" t="n">
        <v>0</v>
      </c>
      <c r="N763" t="n">
        <v>0</v>
      </c>
      <c r="O763" t="n">
        <v>0</v>
      </c>
      <c r="P763" t="n">
        <v>0</v>
      </c>
      <c r="Q763" t="n">
        <v>0</v>
      </c>
      <c r="R763" s="2" t="inlineStr"/>
    </row>
    <row r="764" ht="15" customHeight="1">
      <c r="A764" t="inlineStr">
        <is>
          <t>A 24401-2022</t>
        </is>
      </c>
      <c r="B764" s="1" t="n">
        <v>44726</v>
      </c>
      <c r="C764" s="1" t="n">
        <v>45783</v>
      </c>
      <c r="D764" t="inlineStr">
        <is>
          <t>UPPSALA LÄN</t>
        </is>
      </c>
      <c r="E764" t="inlineStr">
        <is>
          <t>UPPSALA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24409-2022</t>
        </is>
      </c>
      <c r="B765" s="1" t="n">
        <v>44726</v>
      </c>
      <c r="C765" s="1" t="n">
        <v>45783</v>
      </c>
      <c r="D765" t="inlineStr">
        <is>
          <t>UPPSALA LÄN</t>
        </is>
      </c>
      <c r="E765" t="inlineStr">
        <is>
          <t>UPPSALA</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25178-2022</t>
        </is>
      </c>
      <c r="B766" s="1" t="n">
        <v>44729</v>
      </c>
      <c r="C766" s="1" t="n">
        <v>45783</v>
      </c>
      <c r="D766" t="inlineStr">
        <is>
          <t>UPPSALA LÄN</t>
        </is>
      </c>
      <c r="E766" t="inlineStr">
        <is>
          <t>UPPSALA</t>
        </is>
      </c>
      <c r="F766" t="inlineStr">
        <is>
          <t>Holmen skog AB</t>
        </is>
      </c>
      <c r="G766" t="n">
        <v>4.6</v>
      </c>
      <c r="H766" t="n">
        <v>0</v>
      </c>
      <c r="I766" t="n">
        <v>0</v>
      </c>
      <c r="J766" t="n">
        <v>0</v>
      </c>
      <c r="K766" t="n">
        <v>0</v>
      </c>
      <c r="L766" t="n">
        <v>0</v>
      </c>
      <c r="M766" t="n">
        <v>0</v>
      </c>
      <c r="N766" t="n">
        <v>0</v>
      </c>
      <c r="O766" t="n">
        <v>0</v>
      </c>
      <c r="P766" t="n">
        <v>0</v>
      </c>
      <c r="Q766" t="n">
        <v>0</v>
      </c>
      <c r="R766" s="2" t="inlineStr"/>
    </row>
    <row r="767" ht="15" customHeight="1">
      <c r="A767" t="inlineStr">
        <is>
          <t>A 25120-2022</t>
        </is>
      </c>
      <c r="B767" s="1" t="n">
        <v>44729</v>
      </c>
      <c r="C767" s="1" t="n">
        <v>45783</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25759-2022</t>
        </is>
      </c>
      <c r="B768" s="1" t="n">
        <v>44733</v>
      </c>
      <c r="C768" s="1" t="n">
        <v>45783</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25809-2022</t>
        </is>
      </c>
      <c r="B769" s="1" t="n">
        <v>44733</v>
      </c>
      <c r="C769" s="1" t="n">
        <v>45783</v>
      </c>
      <c r="D769" t="inlineStr">
        <is>
          <t>UPPSALA LÄN</t>
        </is>
      </c>
      <c r="E769" t="inlineStr">
        <is>
          <t>UPPSALA</t>
        </is>
      </c>
      <c r="F769" t="inlineStr">
        <is>
          <t>Bergvik skog öst AB</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v>
      </c>
      <c r="C770" s="1" t="n">
        <v>45783</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25776-2022</t>
        </is>
      </c>
      <c r="B771" s="1" t="n">
        <v>44733</v>
      </c>
      <c r="C771" s="1" t="n">
        <v>45783</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26609-2022</t>
        </is>
      </c>
      <c r="B772" s="1" t="n">
        <v>44739</v>
      </c>
      <c r="C772" s="1" t="n">
        <v>45783</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26958-2022</t>
        </is>
      </c>
      <c r="B773" s="1" t="n">
        <v>44740</v>
      </c>
      <c r="C773" s="1" t="n">
        <v>45783</v>
      </c>
      <c r="D773" t="inlineStr">
        <is>
          <t>UPPSALA LÄN</t>
        </is>
      </c>
      <c r="E773" t="inlineStr">
        <is>
          <t>UPPSALA</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26972-2022</t>
        </is>
      </c>
      <c r="B774" s="1" t="n">
        <v>44740</v>
      </c>
      <c r="C774" s="1" t="n">
        <v>45783</v>
      </c>
      <c r="D774" t="inlineStr">
        <is>
          <t>UPPSALA LÄN</t>
        </is>
      </c>
      <c r="E774" t="inlineStr">
        <is>
          <t>UPPSALA</t>
        </is>
      </c>
      <c r="F774" t="inlineStr">
        <is>
          <t>Bergvik skog öst AB</t>
        </is>
      </c>
      <c r="G774" t="n">
        <v>1.2</v>
      </c>
      <c r="H774" t="n">
        <v>0</v>
      </c>
      <c r="I774" t="n">
        <v>0</v>
      </c>
      <c r="J774" t="n">
        <v>0</v>
      </c>
      <c r="K774" t="n">
        <v>0</v>
      </c>
      <c r="L774" t="n">
        <v>0</v>
      </c>
      <c r="M774" t="n">
        <v>0</v>
      </c>
      <c r="N774" t="n">
        <v>0</v>
      </c>
      <c r="O774" t="n">
        <v>0</v>
      </c>
      <c r="P774" t="n">
        <v>0</v>
      </c>
      <c r="Q774" t="n">
        <v>0</v>
      </c>
      <c r="R774" s="2" t="inlineStr"/>
    </row>
    <row r="775" ht="15" customHeight="1">
      <c r="A775" t="inlineStr">
        <is>
          <t>A 27372-2022</t>
        </is>
      </c>
      <c r="B775" s="1" t="n">
        <v>44742</v>
      </c>
      <c r="C775" s="1" t="n">
        <v>45783</v>
      </c>
      <c r="D775" t="inlineStr">
        <is>
          <t>UPPSALA LÄN</t>
        </is>
      </c>
      <c r="E775" t="inlineStr">
        <is>
          <t>UPPSALA</t>
        </is>
      </c>
      <c r="G775" t="n">
        <v>1.6</v>
      </c>
      <c r="H775" t="n">
        <v>0</v>
      </c>
      <c r="I775" t="n">
        <v>0</v>
      </c>
      <c r="J775" t="n">
        <v>0</v>
      </c>
      <c r="K775" t="n">
        <v>0</v>
      </c>
      <c r="L775" t="n">
        <v>0</v>
      </c>
      <c r="M775" t="n">
        <v>0</v>
      </c>
      <c r="N775" t="n">
        <v>0</v>
      </c>
      <c r="O775" t="n">
        <v>0</v>
      </c>
      <c r="P775" t="n">
        <v>0</v>
      </c>
      <c r="Q775" t="n">
        <v>0</v>
      </c>
      <c r="R775" s="2" t="inlineStr"/>
    </row>
    <row r="776" ht="15" customHeight="1">
      <c r="A776" t="inlineStr">
        <is>
          <t>A 27369-2022</t>
        </is>
      </c>
      <c r="B776" s="1" t="n">
        <v>44742</v>
      </c>
      <c r="C776" s="1" t="n">
        <v>45783</v>
      </c>
      <c r="D776" t="inlineStr">
        <is>
          <t>UPPSALA LÄN</t>
        </is>
      </c>
      <c r="E776" t="inlineStr">
        <is>
          <t>UPPSALA</t>
        </is>
      </c>
      <c r="G776" t="n">
        <v>4.5</v>
      </c>
      <c r="H776" t="n">
        <v>0</v>
      </c>
      <c r="I776" t="n">
        <v>0</v>
      </c>
      <c r="J776" t="n">
        <v>0</v>
      </c>
      <c r="K776" t="n">
        <v>0</v>
      </c>
      <c r="L776" t="n">
        <v>0</v>
      </c>
      <c r="M776" t="n">
        <v>0</v>
      </c>
      <c r="N776" t="n">
        <v>0</v>
      </c>
      <c r="O776" t="n">
        <v>0</v>
      </c>
      <c r="P776" t="n">
        <v>0</v>
      </c>
      <c r="Q776" t="n">
        <v>0</v>
      </c>
      <c r="R776" s="2" t="inlineStr"/>
    </row>
    <row r="777" ht="15" customHeight="1">
      <c r="A777" t="inlineStr">
        <is>
          <t>A 27390-2022</t>
        </is>
      </c>
      <c r="B777" s="1" t="n">
        <v>44742</v>
      </c>
      <c r="C777" s="1" t="n">
        <v>45783</v>
      </c>
      <c r="D777" t="inlineStr">
        <is>
          <t>UPPSALA LÄN</t>
        </is>
      </c>
      <c r="E777" t="inlineStr">
        <is>
          <t>UPPSALA</t>
        </is>
      </c>
      <c r="G777" t="n">
        <v>3.3</v>
      </c>
      <c r="H777" t="n">
        <v>0</v>
      </c>
      <c r="I777" t="n">
        <v>0</v>
      </c>
      <c r="J777" t="n">
        <v>0</v>
      </c>
      <c r="K777" t="n">
        <v>0</v>
      </c>
      <c r="L777" t="n">
        <v>0</v>
      </c>
      <c r="M777" t="n">
        <v>0</v>
      </c>
      <c r="N777" t="n">
        <v>0</v>
      </c>
      <c r="O777" t="n">
        <v>0</v>
      </c>
      <c r="P777" t="n">
        <v>0</v>
      </c>
      <c r="Q777" t="n">
        <v>0</v>
      </c>
      <c r="R777" s="2" t="inlineStr"/>
    </row>
    <row r="778" ht="15" customHeight="1">
      <c r="A778" t="inlineStr">
        <is>
          <t>A 27397-2022</t>
        </is>
      </c>
      <c r="B778" s="1" t="n">
        <v>44742</v>
      </c>
      <c r="C778" s="1" t="n">
        <v>45783</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27546-2022</t>
        </is>
      </c>
      <c r="B779" s="1" t="n">
        <v>44742</v>
      </c>
      <c r="C779" s="1" t="n">
        <v>45783</v>
      </c>
      <c r="D779" t="inlineStr">
        <is>
          <t>UPPSALA LÄN</t>
        </is>
      </c>
      <c r="E779" t="inlineStr">
        <is>
          <t>UPPSALA</t>
        </is>
      </c>
      <c r="G779" t="n">
        <v>3.4</v>
      </c>
      <c r="H779" t="n">
        <v>0</v>
      </c>
      <c r="I779" t="n">
        <v>0</v>
      </c>
      <c r="J779" t="n">
        <v>0</v>
      </c>
      <c r="K779" t="n">
        <v>0</v>
      </c>
      <c r="L779" t="n">
        <v>0</v>
      </c>
      <c r="M779" t="n">
        <v>0</v>
      </c>
      <c r="N779" t="n">
        <v>0</v>
      </c>
      <c r="O779" t="n">
        <v>0</v>
      </c>
      <c r="P779" t="n">
        <v>0</v>
      </c>
      <c r="Q779" t="n">
        <v>0</v>
      </c>
      <c r="R779" s="2" t="inlineStr"/>
    </row>
    <row r="780" ht="15" customHeight="1">
      <c r="A780" t="inlineStr">
        <is>
          <t>A 27543-2022</t>
        </is>
      </c>
      <c r="B780" s="1" t="n">
        <v>44742</v>
      </c>
      <c r="C780" s="1" t="n">
        <v>45783</v>
      </c>
      <c r="D780" t="inlineStr">
        <is>
          <t>UPPSALA LÄN</t>
        </is>
      </c>
      <c r="E780" t="inlineStr">
        <is>
          <t>UPPSALA</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27763-2022</t>
        </is>
      </c>
      <c r="B781" s="1" t="n">
        <v>44743</v>
      </c>
      <c r="C781" s="1" t="n">
        <v>45783</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27762-2022</t>
        </is>
      </c>
      <c r="B782" s="1" t="n">
        <v>44743</v>
      </c>
      <c r="C782" s="1" t="n">
        <v>45783</v>
      </c>
      <c r="D782" t="inlineStr">
        <is>
          <t>UPPSALA LÄN</t>
        </is>
      </c>
      <c r="E782" t="inlineStr">
        <is>
          <t>UPPSALA</t>
        </is>
      </c>
      <c r="G782" t="n">
        <v>3.5</v>
      </c>
      <c r="H782" t="n">
        <v>0</v>
      </c>
      <c r="I782" t="n">
        <v>0</v>
      </c>
      <c r="J782" t="n">
        <v>0</v>
      </c>
      <c r="K782" t="n">
        <v>0</v>
      </c>
      <c r="L782" t="n">
        <v>0</v>
      </c>
      <c r="M782" t="n">
        <v>0</v>
      </c>
      <c r="N782" t="n">
        <v>0</v>
      </c>
      <c r="O782" t="n">
        <v>0</v>
      </c>
      <c r="P782" t="n">
        <v>0</v>
      </c>
      <c r="Q782" t="n">
        <v>0</v>
      </c>
      <c r="R782" s="2" t="inlineStr"/>
    </row>
    <row r="783" ht="15" customHeight="1">
      <c r="A783" t="inlineStr">
        <is>
          <t>A 29277-2022</t>
        </is>
      </c>
      <c r="B783" s="1" t="n">
        <v>44750</v>
      </c>
      <c r="C783" s="1" t="n">
        <v>45783</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v>
      </c>
      <c r="C784" s="1" t="n">
        <v>45783</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29986-2022</t>
        </is>
      </c>
      <c r="B785" s="1" t="n">
        <v>44756</v>
      </c>
      <c r="C785" s="1" t="n">
        <v>45783</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29991-2022</t>
        </is>
      </c>
      <c r="B786" s="1" t="n">
        <v>44756</v>
      </c>
      <c r="C786" s="1" t="n">
        <v>45783</v>
      </c>
      <c r="D786" t="inlineStr">
        <is>
          <t>UPPSALA LÄN</t>
        </is>
      </c>
      <c r="E786" t="inlineStr">
        <is>
          <t>UPPSALA</t>
        </is>
      </c>
      <c r="F786" t="inlineStr">
        <is>
          <t>Bergvik skog öst AB</t>
        </is>
      </c>
      <c r="G786" t="n">
        <v>4.1</v>
      </c>
      <c r="H786" t="n">
        <v>0</v>
      </c>
      <c r="I786" t="n">
        <v>0</v>
      </c>
      <c r="J786" t="n">
        <v>0</v>
      </c>
      <c r="K786" t="n">
        <v>0</v>
      </c>
      <c r="L786" t="n">
        <v>0</v>
      </c>
      <c r="M786" t="n">
        <v>0</v>
      </c>
      <c r="N786" t="n">
        <v>0</v>
      </c>
      <c r="O786" t="n">
        <v>0</v>
      </c>
      <c r="P786" t="n">
        <v>0</v>
      </c>
      <c r="Q786" t="n">
        <v>0</v>
      </c>
      <c r="R786" s="2" t="inlineStr"/>
    </row>
    <row r="787" ht="15" customHeight="1">
      <c r="A787" t="inlineStr">
        <is>
          <t>A 30052-2022</t>
        </is>
      </c>
      <c r="B787" s="1" t="n">
        <v>44757</v>
      </c>
      <c r="C787" s="1" t="n">
        <v>45783</v>
      </c>
      <c r="D787" t="inlineStr">
        <is>
          <t>UPPSALA LÄN</t>
        </is>
      </c>
      <c r="E787" t="inlineStr">
        <is>
          <t>UPPSALA</t>
        </is>
      </c>
      <c r="F787" t="inlineStr">
        <is>
          <t>Bergvik skog öst AB</t>
        </is>
      </c>
      <c r="G787" t="n">
        <v>9.6</v>
      </c>
      <c r="H787" t="n">
        <v>0</v>
      </c>
      <c r="I787" t="n">
        <v>0</v>
      </c>
      <c r="J787" t="n">
        <v>0</v>
      </c>
      <c r="K787" t="n">
        <v>0</v>
      </c>
      <c r="L787" t="n">
        <v>0</v>
      </c>
      <c r="M787" t="n">
        <v>0</v>
      </c>
      <c r="N787" t="n">
        <v>0</v>
      </c>
      <c r="O787" t="n">
        <v>0</v>
      </c>
      <c r="P787" t="n">
        <v>0</v>
      </c>
      <c r="Q787" t="n">
        <v>0</v>
      </c>
      <c r="R787" s="2" t="inlineStr"/>
    </row>
    <row r="788" ht="15" customHeight="1">
      <c r="A788" t="inlineStr">
        <is>
          <t>A 30580-2022</t>
        </is>
      </c>
      <c r="B788" s="1" t="n">
        <v>44762</v>
      </c>
      <c r="C788" s="1" t="n">
        <v>45783</v>
      </c>
      <c r="D788" t="inlineStr">
        <is>
          <t>UPPSALA LÄN</t>
        </is>
      </c>
      <c r="E788" t="inlineStr">
        <is>
          <t>UPPSALA</t>
        </is>
      </c>
      <c r="F788" t="inlineStr">
        <is>
          <t>Bergvik skog öst AB</t>
        </is>
      </c>
      <c r="G788" t="n">
        <v>3.6</v>
      </c>
      <c r="H788" t="n">
        <v>0</v>
      </c>
      <c r="I788" t="n">
        <v>0</v>
      </c>
      <c r="J788" t="n">
        <v>0</v>
      </c>
      <c r="K788" t="n">
        <v>0</v>
      </c>
      <c r="L788" t="n">
        <v>0</v>
      </c>
      <c r="M788" t="n">
        <v>0</v>
      </c>
      <c r="N788" t="n">
        <v>0</v>
      </c>
      <c r="O788" t="n">
        <v>0</v>
      </c>
      <c r="P788" t="n">
        <v>0</v>
      </c>
      <c r="Q788" t="n">
        <v>0</v>
      </c>
      <c r="R788" s="2" t="inlineStr"/>
    </row>
    <row r="789" ht="15" customHeight="1">
      <c r="A789" t="inlineStr">
        <is>
          <t>A 30783-2022</t>
        </is>
      </c>
      <c r="B789" s="1" t="n">
        <v>44764</v>
      </c>
      <c r="C789" s="1" t="n">
        <v>45783</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30775-2022</t>
        </is>
      </c>
      <c r="B790" s="1" t="n">
        <v>44764</v>
      </c>
      <c r="C790" s="1" t="n">
        <v>45783</v>
      </c>
      <c r="D790" t="inlineStr">
        <is>
          <t>UPPSALA LÄN</t>
        </is>
      </c>
      <c r="E790" t="inlineStr">
        <is>
          <t>UPPSALA</t>
        </is>
      </c>
      <c r="F790" t="inlineStr">
        <is>
          <t>Bergvik skog öst AB</t>
        </is>
      </c>
      <c r="G790" t="n">
        <v>4.5</v>
      </c>
      <c r="H790" t="n">
        <v>0</v>
      </c>
      <c r="I790" t="n">
        <v>0</v>
      </c>
      <c r="J790" t="n">
        <v>0</v>
      </c>
      <c r="K790" t="n">
        <v>0</v>
      </c>
      <c r="L790" t="n">
        <v>0</v>
      </c>
      <c r="M790" t="n">
        <v>0</v>
      </c>
      <c r="N790" t="n">
        <v>0</v>
      </c>
      <c r="O790" t="n">
        <v>0</v>
      </c>
      <c r="P790" t="n">
        <v>0</v>
      </c>
      <c r="Q790" t="n">
        <v>0</v>
      </c>
      <c r="R790" s="2" t="inlineStr"/>
    </row>
    <row r="791" ht="15" customHeight="1">
      <c r="A791" t="inlineStr">
        <is>
          <t>A 31113-2022</t>
        </is>
      </c>
      <c r="B791" s="1" t="n">
        <v>44769</v>
      </c>
      <c r="C791" s="1" t="n">
        <v>45783</v>
      </c>
      <c r="D791" t="inlineStr">
        <is>
          <t>UPPSALA LÄN</t>
        </is>
      </c>
      <c r="E791" t="inlineStr">
        <is>
          <t>UPPSALA</t>
        </is>
      </c>
      <c r="F791" t="inlineStr">
        <is>
          <t>Bergvik skog öst AB</t>
        </is>
      </c>
      <c r="G791" t="n">
        <v>4.7</v>
      </c>
      <c r="H791" t="n">
        <v>0</v>
      </c>
      <c r="I791" t="n">
        <v>0</v>
      </c>
      <c r="J791" t="n">
        <v>0</v>
      </c>
      <c r="K791" t="n">
        <v>0</v>
      </c>
      <c r="L791" t="n">
        <v>0</v>
      </c>
      <c r="M791" t="n">
        <v>0</v>
      </c>
      <c r="N791" t="n">
        <v>0</v>
      </c>
      <c r="O791" t="n">
        <v>0</v>
      </c>
      <c r="P791" t="n">
        <v>0</v>
      </c>
      <c r="Q791" t="n">
        <v>0</v>
      </c>
      <c r="R791" s="2" t="inlineStr"/>
    </row>
    <row r="792" ht="15" customHeight="1">
      <c r="A792" t="inlineStr">
        <is>
          <t>A 31263-2022</t>
        </is>
      </c>
      <c r="B792" s="1" t="n">
        <v>44771</v>
      </c>
      <c r="C792" s="1" t="n">
        <v>45783</v>
      </c>
      <c r="D792" t="inlineStr">
        <is>
          <t>UPPSALA LÄN</t>
        </is>
      </c>
      <c r="E792" t="inlineStr">
        <is>
          <t>UPPSALA</t>
        </is>
      </c>
      <c r="F792" t="inlineStr">
        <is>
          <t>Bergvik skog öst AB</t>
        </is>
      </c>
      <c r="G792" t="n">
        <v>2.5</v>
      </c>
      <c r="H792" t="n">
        <v>0</v>
      </c>
      <c r="I792" t="n">
        <v>0</v>
      </c>
      <c r="J792" t="n">
        <v>0</v>
      </c>
      <c r="K792" t="n">
        <v>0</v>
      </c>
      <c r="L792" t="n">
        <v>0</v>
      </c>
      <c r="M792" t="n">
        <v>0</v>
      </c>
      <c r="N792" t="n">
        <v>0</v>
      </c>
      <c r="O792" t="n">
        <v>0</v>
      </c>
      <c r="P792" t="n">
        <v>0</v>
      </c>
      <c r="Q792" t="n">
        <v>0</v>
      </c>
      <c r="R792" s="2" t="inlineStr"/>
    </row>
    <row r="793" ht="15" customHeight="1">
      <c r="A793" t="inlineStr">
        <is>
          <t>A 31261-2022</t>
        </is>
      </c>
      <c r="B793" s="1" t="n">
        <v>44771</v>
      </c>
      <c r="C793" s="1" t="n">
        <v>45783</v>
      </c>
      <c r="D793" t="inlineStr">
        <is>
          <t>UPPSALA LÄN</t>
        </is>
      </c>
      <c r="E793" t="inlineStr">
        <is>
          <t>UPPSALA</t>
        </is>
      </c>
      <c r="F793" t="inlineStr">
        <is>
          <t>Bergvik skog öst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31249-2022</t>
        </is>
      </c>
      <c r="B794" s="1" t="n">
        <v>44771</v>
      </c>
      <c r="C794" s="1" t="n">
        <v>45783</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31253-2022</t>
        </is>
      </c>
      <c r="B795" s="1" t="n">
        <v>44771</v>
      </c>
      <c r="C795" s="1" t="n">
        <v>45783</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32954-2022</t>
        </is>
      </c>
      <c r="B796" s="1" t="n">
        <v>44784</v>
      </c>
      <c r="C796" s="1" t="n">
        <v>45783</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33332-2022</t>
        </is>
      </c>
      <c r="B797" s="1" t="n">
        <v>44788</v>
      </c>
      <c r="C797" s="1" t="n">
        <v>45783</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33283-2022</t>
        </is>
      </c>
      <c r="B798" s="1" t="n">
        <v>44788</v>
      </c>
      <c r="C798" s="1" t="n">
        <v>45783</v>
      </c>
      <c r="D798" t="inlineStr">
        <is>
          <t>UPPSALA LÄN</t>
        </is>
      </c>
      <c r="E798" t="inlineStr">
        <is>
          <t>UPPSALA</t>
        </is>
      </c>
      <c r="G798" t="n">
        <v>20.2</v>
      </c>
      <c r="H798" t="n">
        <v>0</v>
      </c>
      <c r="I798" t="n">
        <v>0</v>
      </c>
      <c r="J798" t="n">
        <v>0</v>
      </c>
      <c r="K798" t="n">
        <v>0</v>
      </c>
      <c r="L798" t="n">
        <v>0</v>
      </c>
      <c r="M798" t="n">
        <v>0</v>
      </c>
      <c r="N798" t="n">
        <v>0</v>
      </c>
      <c r="O798" t="n">
        <v>0</v>
      </c>
      <c r="P798" t="n">
        <v>0</v>
      </c>
      <c r="Q798" t="n">
        <v>0</v>
      </c>
      <c r="R798" s="2" t="inlineStr"/>
    </row>
    <row r="799" ht="15" customHeight="1">
      <c r="A799" t="inlineStr">
        <is>
          <t>A 34061-2022</t>
        </is>
      </c>
      <c r="B799" s="1" t="n">
        <v>44791</v>
      </c>
      <c r="C799" s="1" t="n">
        <v>45783</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34770-2022</t>
        </is>
      </c>
      <c r="B800" s="1" t="n">
        <v>44795</v>
      </c>
      <c r="C800" s="1" t="n">
        <v>45783</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35212-2022</t>
        </is>
      </c>
      <c r="B801" s="1" t="n">
        <v>44797</v>
      </c>
      <c r="C801" s="1" t="n">
        <v>45783</v>
      </c>
      <c r="D801" t="inlineStr">
        <is>
          <t>UPPSALA LÄN</t>
        </is>
      </c>
      <c r="E801" t="inlineStr">
        <is>
          <t>UPPSALA</t>
        </is>
      </c>
      <c r="G801" t="n">
        <v>2.6</v>
      </c>
      <c r="H801" t="n">
        <v>0</v>
      </c>
      <c r="I801" t="n">
        <v>0</v>
      </c>
      <c r="J801" t="n">
        <v>0</v>
      </c>
      <c r="K801" t="n">
        <v>0</v>
      </c>
      <c r="L801" t="n">
        <v>0</v>
      </c>
      <c r="M801" t="n">
        <v>0</v>
      </c>
      <c r="N801" t="n">
        <v>0</v>
      </c>
      <c r="O801" t="n">
        <v>0</v>
      </c>
      <c r="P801" t="n">
        <v>0</v>
      </c>
      <c r="Q801" t="n">
        <v>0</v>
      </c>
      <c r="R801" s="2" t="inlineStr"/>
    </row>
    <row r="802" ht="15" customHeight="1">
      <c r="A802" t="inlineStr">
        <is>
          <t>A 35411-2022</t>
        </is>
      </c>
      <c r="B802" s="1" t="n">
        <v>44798</v>
      </c>
      <c r="C802" s="1" t="n">
        <v>45783</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35539-2022</t>
        </is>
      </c>
      <c r="B803" s="1" t="n">
        <v>44799</v>
      </c>
      <c r="C803" s="1" t="n">
        <v>45783</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35544-2022</t>
        </is>
      </c>
      <c r="B804" s="1" t="n">
        <v>44799</v>
      </c>
      <c r="C804" s="1" t="n">
        <v>45783</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35542-2022</t>
        </is>
      </c>
      <c r="B805" s="1" t="n">
        <v>44799</v>
      </c>
      <c r="C805" s="1" t="n">
        <v>45783</v>
      </c>
      <c r="D805" t="inlineStr">
        <is>
          <t>UPPSALA LÄN</t>
        </is>
      </c>
      <c r="E805" t="inlineStr">
        <is>
          <t>UPPSALA</t>
        </is>
      </c>
      <c r="G805" t="n">
        <v>3.2</v>
      </c>
      <c r="H805" t="n">
        <v>0</v>
      </c>
      <c r="I805" t="n">
        <v>0</v>
      </c>
      <c r="J805" t="n">
        <v>0</v>
      </c>
      <c r="K805" t="n">
        <v>0</v>
      </c>
      <c r="L805" t="n">
        <v>0</v>
      </c>
      <c r="M805" t="n">
        <v>0</v>
      </c>
      <c r="N805" t="n">
        <v>0</v>
      </c>
      <c r="O805" t="n">
        <v>0</v>
      </c>
      <c r="P805" t="n">
        <v>0</v>
      </c>
      <c r="Q805" t="n">
        <v>0</v>
      </c>
      <c r="R805" s="2" t="inlineStr"/>
    </row>
    <row r="806" ht="15" customHeight="1">
      <c r="A806" t="inlineStr">
        <is>
          <t>A 37187-2022</t>
        </is>
      </c>
      <c r="B806" s="1" t="n">
        <v>44806</v>
      </c>
      <c r="C806" s="1" t="n">
        <v>45783</v>
      </c>
      <c r="D806" t="inlineStr">
        <is>
          <t>UPPSALA LÄN</t>
        </is>
      </c>
      <c r="E806" t="inlineStr">
        <is>
          <t>UPPSALA</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37316-2022</t>
        </is>
      </c>
      <c r="B807" s="1" t="n">
        <v>44806</v>
      </c>
      <c r="C807" s="1" t="n">
        <v>45783</v>
      </c>
      <c r="D807" t="inlineStr">
        <is>
          <t>UPPSALA LÄN</t>
        </is>
      </c>
      <c r="E807" t="inlineStr">
        <is>
          <t>UPPSALA</t>
        </is>
      </c>
      <c r="G807" t="n">
        <v>10.6</v>
      </c>
      <c r="H807" t="n">
        <v>0</v>
      </c>
      <c r="I807" t="n">
        <v>0</v>
      </c>
      <c r="J807" t="n">
        <v>0</v>
      </c>
      <c r="K807" t="n">
        <v>0</v>
      </c>
      <c r="L807" t="n">
        <v>0</v>
      </c>
      <c r="M807" t="n">
        <v>0</v>
      </c>
      <c r="N807" t="n">
        <v>0</v>
      </c>
      <c r="O807" t="n">
        <v>0</v>
      </c>
      <c r="P807" t="n">
        <v>0</v>
      </c>
      <c r="Q807" t="n">
        <v>0</v>
      </c>
      <c r="R807" s="2" t="inlineStr"/>
    </row>
    <row r="808" ht="15" customHeight="1">
      <c r="A808" t="inlineStr">
        <is>
          <t>A 37188-2022</t>
        </is>
      </c>
      <c r="B808" s="1" t="n">
        <v>44806</v>
      </c>
      <c r="C808" s="1" t="n">
        <v>45783</v>
      </c>
      <c r="D808" t="inlineStr">
        <is>
          <t>UPPSALA LÄN</t>
        </is>
      </c>
      <c r="E808" t="inlineStr">
        <is>
          <t>UPPSALA</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37588-2022</t>
        </is>
      </c>
      <c r="B809" s="1" t="n">
        <v>44810</v>
      </c>
      <c r="C809" s="1" t="n">
        <v>45783</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37761-2022</t>
        </is>
      </c>
      <c r="B810" s="1" t="n">
        <v>44810</v>
      </c>
      <c r="C810" s="1" t="n">
        <v>45783</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37670-2022</t>
        </is>
      </c>
      <c r="B811" s="1" t="n">
        <v>44810</v>
      </c>
      <c r="C811" s="1" t="n">
        <v>45783</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38078-2022</t>
        </is>
      </c>
      <c r="B812" s="1" t="n">
        <v>44811</v>
      </c>
      <c r="C812" s="1" t="n">
        <v>45783</v>
      </c>
      <c r="D812" t="inlineStr">
        <is>
          <t>UPPSALA LÄN</t>
        </is>
      </c>
      <c r="E812" t="inlineStr">
        <is>
          <t>UPPSALA</t>
        </is>
      </c>
      <c r="G812" t="n">
        <v>1.6</v>
      </c>
      <c r="H812" t="n">
        <v>0</v>
      </c>
      <c r="I812" t="n">
        <v>0</v>
      </c>
      <c r="J812" t="n">
        <v>0</v>
      </c>
      <c r="K812" t="n">
        <v>0</v>
      </c>
      <c r="L812" t="n">
        <v>0</v>
      </c>
      <c r="M812" t="n">
        <v>0</v>
      </c>
      <c r="N812" t="n">
        <v>0</v>
      </c>
      <c r="O812" t="n">
        <v>0</v>
      </c>
      <c r="P812" t="n">
        <v>0</v>
      </c>
      <c r="Q812" t="n">
        <v>0</v>
      </c>
      <c r="R812" s="2" t="inlineStr"/>
    </row>
    <row r="813" ht="15" customHeight="1">
      <c r="A813" t="inlineStr">
        <is>
          <t>A 38524-2022</t>
        </is>
      </c>
      <c r="B813" s="1" t="n">
        <v>44813</v>
      </c>
      <c r="C813" s="1" t="n">
        <v>45783</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45783</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38892-2022</t>
        </is>
      </c>
      <c r="B815" s="1" t="n">
        <v>44816</v>
      </c>
      <c r="C815" s="1" t="n">
        <v>45783</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38909-2022</t>
        </is>
      </c>
      <c r="B816" s="1" t="n">
        <v>44816</v>
      </c>
      <c r="C816" s="1" t="n">
        <v>45783</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39148-2022</t>
        </is>
      </c>
      <c r="B817" s="1" t="n">
        <v>44816</v>
      </c>
      <c r="C817" s="1" t="n">
        <v>45783</v>
      </c>
      <c r="D817" t="inlineStr">
        <is>
          <t>UPPSALA LÄN</t>
        </is>
      </c>
      <c r="E817" t="inlineStr">
        <is>
          <t>UPPSALA</t>
        </is>
      </c>
      <c r="F817" t="inlineStr">
        <is>
          <t>Övriga statliga verk och myndigheter</t>
        </is>
      </c>
      <c r="G817" t="n">
        <v>1.7</v>
      </c>
      <c r="H817" t="n">
        <v>0</v>
      </c>
      <c r="I817" t="n">
        <v>0</v>
      </c>
      <c r="J817" t="n">
        <v>0</v>
      </c>
      <c r="K817" t="n">
        <v>0</v>
      </c>
      <c r="L817" t="n">
        <v>0</v>
      </c>
      <c r="M817" t="n">
        <v>0</v>
      </c>
      <c r="N817" t="n">
        <v>0</v>
      </c>
      <c r="O817" t="n">
        <v>0</v>
      </c>
      <c r="P817" t="n">
        <v>0</v>
      </c>
      <c r="Q817" t="n">
        <v>0</v>
      </c>
      <c r="R817" s="2" t="inlineStr"/>
    </row>
    <row r="818" ht="15" customHeight="1">
      <c r="A818" t="inlineStr">
        <is>
          <t>A 39144-2022</t>
        </is>
      </c>
      <c r="B818" s="1" t="n">
        <v>44816</v>
      </c>
      <c r="C818" s="1" t="n">
        <v>45783</v>
      </c>
      <c r="D818" t="inlineStr">
        <is>
          <t>UPPSALA LÄN</t>
        </is>
      </c>
      <c r="E818" t="inlineStr">
        <is>
          <t>UPPSALA</t>
        </is>
      </c>
      <c r="G818" t="n">
        <v>8.4</v>
      </c>
      <c r="H818" t="n">
        <v>0</v>
      </c>
      <c r="I818" t="n">
        <v>0</v>
      </c>
      <c r="J818" t="n">
        <v>0</v>
      </c>
      <c r="K818" t="n">
        <v>0</v>
      </c>
      <c r="L818" t="n">
        <v>0</v>
      </c>
      <c r="M818" t="n">
        <v>0</v>
      </c>
      <c r="N818" t="n">
        <v>0</v>
      </c>
      <c r="O818" t="n">
        <v>0</v>
      </c>
      <c r="P818" t="n">
        <v>0</v>
      </c>
      <c r="Q818" t="n">
        <v>0</v>
      </c>
      <c r="R818" s="2" t="inlineStr"/>
    </row>
    <row r="819" ht="15" customHeight="1">
      <c r="A819" t="inlineStr">
        <is>
          <t>A 39454-2022</t>
        </is>
      </c>
      <c r="B819" s="1" t="n">
        <v>44817</v>
      </c>
      <c r="C819" s="1" t="n">
        <v>45783</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39608-2022</t>
        </is>
      </c>
      <c r="B820" s="1" t="n">
        <v>44817</v>
      </c>
      <c r="C820" s="1" t="n">
        <v>45783</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39599-2022</t>
        </is>
      </c>
      <c r="B821" s="1" t="n">
        <v>44817</v>
      </c>
      <c r="C821" s="1" t="n">
        <v>45783</v>
      </c>
      <c r="D821" t="inlineStr">
        <is>
          <t>UPPSALA LÄN</t>
        </is>
      </c>
      <c r="E821" t="inlineStr">
        <is>
          <t>UPPSALA</t>
        </is>
      </c>
      <c r="G821" t="n">
        <v>4.8</v>
      </c>
      <c r="H821" t="n">
        <v>0</v>
      </c>
      <c r="I821" t="n">
        <v>0</v>
      </c>
      <c r="J821" t="n">
        <v>0</v>
      </c>
      <c r="K821" t="n">
        <v>0</v>
      </c>
      <c r="L821" t="n">
        <v>0</v>
      </c>
      <c r="M821" t="n">
        <v>0</v>
      </c>
      <c r="N821" t="n">
        <v>0</v>
      </c>
      <c r="O821" t="n">
        <v>0</v>
      </c>
      <c r="P821" t="n">
        <v>0</v>
      </c>
      <c r="Q821" t="n">
        <v>0</v>
      </c>
      <c r="R821" s="2" t="inlineStr"/>
    </row>
    <row r="822" ht="15" customHeight="1">
      <c r="A822" t="inlineStr">
        <is>
          <t>A 39795-2022</t>
        </is>
      </c>
      <c r="B822" s="1" t="n">
        <v>44819</v>
      </c>
      <c r="C822" s="1" t="n">
        <v>45783</v>
      </c>
      <c r="D822" t="inlineStr">
        <is>
          <t>UPPSALA LÄN</t>
        </is>
      </c>
      <c r="E822" t="inlineStr">
        <is>
          <t>UPPSALA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39915-2022</t>
        </is>
      </c>
      <c r="B823" s="1" t="n">
        <v>44819</v>
      </c>
      <c r="C823" s="1" t="n">
        <v>45783</v>
      </c>
      <c r="D823" t="inlineStr">
        <is>
          <t>UPPSALA LÄN</t>
        </is>
      </c>
      <c r="E823" t="inlineStr">
        <is>
          <t>UPPSALA</t>
        </is>
      </c>
      <c r="F823" t="inlineStr">
        <is>
          <t>Allmännings- och besparingsskogar</t>
        </is>
      </c>
      <c r="G823" t="n">
        <v>20.1</v>
      </c>
      <c r="H823" t="n">
        <v>0</v>
      </c>
      <c r="I823" t="n">
        <v>0</v>
      </c>
      <c r="J823" t="n">
        <v>0</v>
      </c>
      <c r="K823" t="n">
        <v>0</v>
      </c>
      <c r="L823" t="n">
        <v>0</v>
      </c>
      <c r="M823" t="n">
        <v>0</v>
      </c>
      <c r="N823" t="n">
        <v>0</v>
      </c>
      <c r="O823" t="n">
        <v>0</v>
      </c>
      <c r="P823" t="n">
        <v>0</v>
      </c>
      <c r="Q823" t="n">
        <v>0</v>
      </c>
      <c r="R823" s="2" t="inlineStr"/>
    </row>
    <row r="824" ht="15" customHeight="1">
      <c r="A824" t="inlineStr">
        <is>
          <t>A 39865-2022</t>
        </is>
      </c>
      <c r="B824" s="1" t="n">
        <v>44819</v>
      </c>
      <c r="C824" s="1" t="n">
        <v>45783</v>
      </c>
      <c r="D824" t="inlineStr">
        <is>
          <t>UPPSALA LÄN</t>
        </is>
      </c>
      <c r="E824" t="inlineStr">
        <is>
          <t>UPPSALA</t>
        </is>
      </c>
      <c r="G824" t="n">
        <v>2.5</v>
      </c>
      <c r="H824" t="n">
        <v>0</v>
      </c>
      <c r="I824" t="n">
        <v>0</v>
      </c>
      <c r="J824" t="n">
        <v>0</v>
      </c>
      <c r="K824" t="n">
        <v>0</v>
      </c>
      <c r="L824" t="n">
        <v>0</v>
      </c>
      <c r="M824" t="n">
        <v>0</v>
      </c>
      <c r="N824" t="n">
        <v>0</v>
      </c>
      <c r="O824" t="n">
        <v>0</v>
      </c>
      <c r="P824" t="n">
        <v>0</v>
      </c>
      <c r="Q824" t="n">
        <v>0</v>
      </c>
      <c r="R824" s="2" t="inlineStr"/>
    </row>
    <row r="825" ht="15" customHeight="1">
      <c r="A825" t="inlineStr">
        <is>
          <t>A 40100-2022</t>
        </is>
      </c>
      <c r="B825" s="1" t="n">
        <v>44820</v>
      </c>
      <c r="C825" s="1" t="n">
        <v>45783</v>
      </c>
      <c r="D825" t="inlineStr">
        <is>
          <t>UPPSALA LÄN</t>
        </is>
      </c>
      <c r="E825" t="inlineStr">
        <is>
          <t>UPPSALA</t>
        </is>
      </c>
      <c r="F825" t="inlineStr">
        <is>
          <t>Övriga Aktiebolag</t>
        </is>
      </c>
      <c r="G825" t="n">
        <v>1.1</v>
      </c>
      <c r="H825" t="n">
        <v>0</v>
      </c>
      <c r="I825" t="n">
        <v>0</v>
      </c>
      <c r="J825" t="n">
        <v>0</v>
      </c>
      <c r="K825" t="n">
        <v>0</v>
      </c>
      <c r="L825" t="n">
        <v>0</v>
      </c>
      <c r="M825" t="n">
        <v>0</v>
      </c>
      <c r="N825" t="n">
        <v>0</v>
      </c>
      <c r="O825" t="n">
        <v>0</v>
      </c>
      <c r="P825" t="n">
        <v>0</v>
      </c>
      <c r="Q825" t="n">
        <v>0</v>
      </c>
      <c r="R825" s="2" t="inlineStr"/>
    </row>
    <row r="826" ht="15" customHeight="1">
      <c r="A826" t="inlineStr">
        <is>
          <t>A 42622-2022</t>
        </is>
      </c>
      <c r="B826" s="1" t="n">
        <v>44831</v>
      </c>
      <c r="C826" s="1" t="n">
        <v>45783</v>
      </c>
      <c r="D826" t="inlineStr">
        <is>
          <t>UPPSALA LÄN</t>
        </is>
      </c>
      <c r="E826" t="inlineStr">
        <is>
          <t>UPPSALA</t>
        </is>
      </c>
      <c r="G826" t="n">
        <v>2.4</v>
      </c>
      <c r="H826" t="n">
        <v>0</v>
      </c>
      <c r="I826" t="n">
        <v>0</v>
      </c>
      <c r="J826" t="n">
        <v>0</v>
      </c>
      <c r="K826" t="n">
        <v>0</v>
      </c>
      <c r="L826" t="n">
        <v>0</v>
      </c>
      <c r="M826" t="n">
        <v>0</v>
      </c>
      <c r="N826" t="n">
        <v>0</v>
      </c>
      <c r="O826" t="n">
        <v>0</v>
      </c>
      <c r="P826" t="n">
        <v>0</v>
      </c>
      <c r="Q826" t="n">
        <v>0</v>
      </c>
      <c r="R826" s="2" t="inlineStr"/>
    </row>
    <row r="827" ht="15" customHeight="1">
      <c r="A827" t="inlineStr">
        <is>
          <t>A 42772-2022</t>
        </is>
      </c>
      <c r="B827" s="1" t="n">
        <v>44832</v>
      </c>
      <c r="C827" s="1" t="n">
        <v>45783</v>
      </c>
      <c r="D827" t="inlineStr">
        <is>
          <t>UPPSALA LÄN</t>
        </is>
      </c>
      <c r="E827" t="inlineStr">
        <is>
          <t>UPPSALA</t>
        </is>
      </c>
      <c r="G827" t="n">
        <v>17.7</v>
      </c>
      <c r="H827" t="n">
        <v>0</v>
      </c>
      <c r="I827" t="n">
        <v>0</v>
      </c>
      <c r="J827" t="n">
        <v>0</v>
      </c>
      <c r="K827" t="n">
        <v>0</v>
      </c>
      <c r="L827" t="n">
        <v>0</v>
      </c>
      <c r="M827" t="n">
        <v>0</v>
      </c>
      <c r="N827" t="n">
        <v>0</v>
      </c>
      <c r="O827" t="n">
        <v>0</v>
      </c>
      <c r="P827" t="n">
        <v>0</v>
      </c>
      <c r="Q827" t="n">
        <v>0</v>
      </c>
      <c r="R827" s="2" t="inlineStr"/>
    </row>
    <row r="828" ht="15" customHeight="1">
      <c r="A828" t="inlineStr">
        <is>
          <t>A 43032-2022</t>
        </is>
      </c>
      <c r="B828" s="1" t="n">
        <v>44832</v>
      </c>
      <c r="C828" s="1" t="n">
        <v>45783</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43850-2022</t>
        </is>
      </c>
      <c r="B829" s="1" t="n">
        <v>44838</v>
      </c>
      <c r="C829" s="1" t="n">
        <v>45783</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44265-2022</t>
        </is>
      </c>
      <c r="B830" s="1" t="n">
        <v>44839</v>
      </c>
      <c r="C830" s="1" t="n">
        <v>45783</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44817-2022</t>
        </is>
      </c>
      <c r="B831" s="1" t="n">
        <v>44841</v>
      </c>
      <c r="C831" s="1" t="n">
        <v>45783</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45195-2022</t>
        </is>
      </c>
      <c r="B832" s="1" t="n">
        <v>44844</v>
      </c>
      <c r="C832" s="1" t="n">
        <v>45783</v>
      </c>
      <c r="D832" t="inlineStr">
        <is>
          <t>UPPSALA LÄN</t>
        </is>
      </c>
      <c r="E832" t="inlineStr">
        <is>
          <t>UPPSALA</t>
        </is>
      </c>
      <c r="G832" t="n">
        <v>3.3</v>
      </c>
      <c r="H832" t="n">
        <v>0</v>
      </c>
      <c r="I832" t="n">
        <v>0</v>
      </c>
      <c r="J832" t="n">
        <v>0</v>
      </c>
      <c r="K832" t="n">
        <v>0</v>
      </c>
      <c r="L832" t="n">
        <v>0</v>
      </c>
      <c r="M832" t="n">
        <v>0</v>
      </c>
      <c r="N832" t="n">
        <v>0</v>
      </c>
      <c r="O832" t="n">
        <v>0</v>
      </c>
      <c r="P832" t="n">
        <v>0</v>
      </c>
      <c r="Q832" t="n">
        <v>0</v>
      </c>
      <c r="R832" s="2" t="inlineStr"/>
    </row>
    <row r="833" ht="15" customHeight="1">
      <c r="A833" t="inlineStr">
        <is>
          <t>A 45780-2022</t>
        </is>
      </c>
      <c r="B833" s="1" t="n">
        <v>44846</v>
      </c>
      <c r="C833" s="1" t="n">
        <v>45783</v>
      </c>
      <c r="D833" t="inlineStr">
        <is>
          <t>UPPSALA LÄN</t>
        </is>
      </c>
      <c r="E833" t="inlineStr">
        <is>
          <t>UPPSALA</t>
        </is>
      </c>
      <c r="G833" t="n">
        <v>5.8</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45783</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46077-2022</t>
        </is>
      </c>
      <c r="B835" s="1" t="n">
        <v>44847</v>
      </c>
      <c r="C835" s="1" t="n">
        <v>45783</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46069-2022</t>
        </is>
      </c>
      <c r="B836" s="1" t="n">
        <v>44847</v>
      </c>
      <c r="C836" s="1" t="n">
        <v>45783</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46079-2022</t>
        </is>
      </c>
      <c r="B837" s="1" t="n">
        <v>44847</v>
      </c>
      <c r="C837" s="1" t="n">
        <v>45783</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46293-2022</t>
        </is>
      </c>
      <c r="B838" s="1" t="n">
        <v>44847</v>
      </c>
      <c r="C838" s="1" t="n">
        <v>45783</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46805-2022</t>
        </is>
      </c>
      <c r="B839" s="1" t="n">
        <v>44847</v>
      </c>
      <c r="C839" s="1" t="n">
        <v>45783</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46807-2022</t>
        </is>
      </c>
      <c r="B840" s="1" t="n">
        <v>44848</v>
      </c>
      <c r="C840" s="1" t="n">
        <v>45783</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46635-2022</t>
        </is>
      </c>
      <c r="B841" s="1" t="n">
        <v>44849</v>
      </c>
      <c r="C841" s="1" t="n">
        <v>45783</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47413-2022</t>
        </is>
      </c>
      <c r="B842" s="1" t="n">
        <v>44853</v>
      </c>
      <c r="C842" s="1" t="n">
        <v>45783</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48686-2022</t>
        </is>
      </c>
      <c r="B843" s="1" t="n">
        <v>44859</v>
      </c>
      <c r="C843" s="1" t="n">
        <v>45783</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48588-2022</t>
        </is>
      </c>
      <c r="B844" s="1" t="n">
        <v>44859</v>
      </c>
      <c r="C844" s="1" t="n">
        <v>45783</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48692-2022</t>
        </is>
      </c>
      <c r="B845" s="1" t="n">
        <v>44859</v>
      </c>
      <c r="C845" s="1" t="n">
        <v>45783</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48688-2022</t>
        </is>
      </c>
      <c r="B846" s="1" t="n">
        <v>44859</v>
      </c>
      <c r="C846" s="1" t="n">
        <v>45783</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50006-2022</t>
        </is>
      </c>
      <c r="B847" s="1" t="n">
        <v>44865</v>
      </c>
      <c r="C847" s="1" t="n">
        <v>45783</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50092-2022</t>
        </is>
      </c>
      <c r="B848" s="1" t="n">
        <v>44865</v>
      </c>
      <c r="C848" s="1" t="n">
        <v>45783</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50954-2022</t>
        </is>
      </c>
      <c r="B849" s="1" t="n">
        <v>44866</v>
      </c>
      <c r="C849" s="1" t="n">
        <v>45783</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51661-2022</t>
        </is>
      </c>
      <c r="B850" s="1" t="n">
        <v>44872</v>
      </c>
      <c r="C850" s="1" t="n">
        <v>45783</v>
      </c>
      <c r="D850" t="inlineStr">
        <is>
          <t>UPPSALA LÄN</t>
        </is>
      </c>
      <c r="E850" t="inlineStr">
        <is>
          <t>UPPSALA</t>
        </is>
      </c>
      <c r="G850" t="n">
        <v>8.9</v>
      </c>
      <c r="H850" t="n">
        <v>0</v>
      </c>
      <c r="I850" t="n">
        <v>0</v>
      </c>
      <c r="J850" t="n">
        <v>0</v>
      </c>
      <c r="K850" t="n">
        <v>0</v>
      </c>
      <c r="L850" t="n">
        <v>0</v>
      </c>
      <c r="M850" t="n">
        <v>0</v>
      </c>
      <c r="N850" t="n">
        <v>0</v>
      </c>
      <c r="O850" t="n">
        <v>0</v>
      </c>
      <c r="P850" t="n">
        <v>0</v>
      </c>
      <c r="Q850" t="n">
        <v>0</v>
      </c>
      <c r="R850" s="2" t="inlineStr"/>
    </row>
    <row r="851" ht="15" customHeight="1">
      <c r="A851" t="inlineStr">
        <is>
          <t>A 51899-2022</t>
        </is>
      </c>
      <c r="B851" s="1" t="n">
        <v>44872</v>
      </c>
      <c r="C851" s="1" t="n">
        <v>45783</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54715-2022</t>
        </is>
      </c>
      <c r="B852" s="1" t="n">
        <v>44883</v>
      </c>
      <c r="C852" s="1" t="n">
        <v>45783</v>
      </c>
      <c r="D852" t="inlineStr">
        <is>
          <t>UPPSALA LÄN</t>
        </is>
      </c>
      <c r="E852" t="inlineStr">
        <is>
          <t>UPPSALA</t>
        </is>
      </c>
      <c r="F852" t="inlineStr">
        <is>
          <t>Övriga Aktiebolag</t>
        </is>
      </c>
      <c r="G852" t="n">
        <v>9.5</v>
      </c>
      <c r="H852" t="n">
        <v>0</v>
      </c>
      <c r="I852" t="n">
        <v>0</v>
      </c>
      <c r="J852" t="n">
        <v>0</v>
      </c>
      <c r="K852" t="n">
        <v>0</v>
      </c>
      <c r="L852" t="n">
        <v>0</v>
      </c>
      <c r="M852" t="n">
        <v>0</v>
      </c>
      <c r="N852" t="n">
        <v>0</v>
      </c>
      <c r="O852" t="n">
        <v>0</v>
      </c>
      <c r="P852" t="n">
        <v>0</v>
      </c>
      <c r="Q852" t="n">
        <v>0</v>
      </c>
      <c r="R852" s="2" t="inlineStr"/>
    </row>
    <row r="853" ht="15" customHeight="1">
      <c r="A853" t="inlineStr">
        <is>
          <t>A 54732-2022</t>
        </is>
      </c>
      <c r="B853" s="1" t="n">
        <v>44883</v>
      </c>
      <c r="C853" s="1" t="n">
        <v>45783</v>
      </c>
      <c r="D853" t="inlineStr">
        <is>
          <t>UPPSALA LÄN</t>
        </is>
      </c>
      <c r="E853" t="inlineStr">
        <is>
          <t>UPPSALA</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54813-2022</t>
        </is>
      </c>
      <c r="B854" s="1" t="n">
        <v>44883</v>
      </c>
      <c r="C854" s="1" t="n">
        <v>45783</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55021-2022</t>
        </is>
      </c>
      <c r="B855" s="1" t="n">
        <v>44886</v>
      </c>
      <c r="C855" s="1" t="n">
        <v>45783</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55040-2022</t>
        </is>
      </c>
      <c r="B856" s="1" t="n">
        <v>44886</v>
      </c>
      <c r="C856" s="1" t="n">
        <v>45783</v>
      </c>
      <c r="D856" t="inlineStr">
        <is>
          <t>UPPSALA LÄN</t>
        </is>
      </c>
      <c r="E856" t="inlineStr">
        <is>
          <t>UPPSALA</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55073-2022</t>
        </is>
      </c>
      <c r="B857" s="1" t="n">
        <v>44886</v>
      </c>
      <c r="C857" s="1" t="n">
        <v>45783</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v>
      </c>
      <c r="C858" s="1" t="n">
        <v>45783</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55401-2022</t>
        </is>
      </c>
      <c r="B859" s="1" t="n">
        <v>44887</v>
      </c>
      <c r="C859" s="1" t="n">
        <v>45783</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55862-2022</t>
        </is>
      </c>
      <c r="B860" s="1" t="n">
        <v>44888</v>
      </c>
      <c r="C860" s="1" t="n">
        <v>45783</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56679-2022</t>
        </is>
      </c>
      <c r="B861" s="1" t="n">
        <v>44893</v>
      </c>
      <c r="C861" s="1" t="n">
        <v>45783</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56889-2022</t>
        </is>
      </c>
      <c r="B862" s="1" t="n">
        <v>44894</v>
      </c>
      <c r="C862" s="1" t="n">
        <v>45783</v>
      </c>
      <c r="D862" t="inlineStr">
        <is>
          <t>UPPSALA LÄN</t>
        </is>
      </c>
      <c r="E862" t="inlineStr">
        <is>
          <t>UPPSALA</t>
        </is>
      </c>
      <c r="F862" t="inlineStr">
        <is>
          <t>Övriga Aktiebolag</t>
        </is>
      </c>
      <c r="G862" t="n">
        <v>21.6</v>
      </c>
      <c r="H862" t="n">
        <v>0</v>
      </c>
      <c r="I862" t="n">
        <v>0</v>
      </c>
      <c r="J862" t="n">
        <v>0</v>
      </c>
      <c r="K862" t="n">
        <v>0</v>
      </c>
      <c r="L862" t="n">
        <v>0</v>
      </c>
      <c r="M862" t="n">
        <v>0</v>
      </c>
      <c r="N862" t="n">
        <v>0</v>
      </c>
      <c r="O862" t="n">
        <v>0</v>
      </c>
      <c r="P862" t="n">
        <v>0</v>
      </c>
      <c r="Q862" t="n">
        <v>0</v>
      </c>
      <c r="R862" s="2" t="inlineStr"/>
    </row>
    <row r="863" ht="15" customHeight="1">
      <c r="A863" t="inlineStr">
        <is>
          <t>A 56795-2022</t>
        </is>
      </c>
      <c r="B863" s="1" t="n">
        <v>44894</v>
      </c>
      <c r="C863" s="1" t="n">
        <v>45783</v>
      </c>
      <c r="D863" t="inlineStr">
        <is>
          <t>UPPSALA LÄN</t>
        </is>
      </c>
      <c r="E863" t="inlineStr">
        <is>
          <t>UPPSALA</t>
        </is>
      </c>
      <c r="F863" t="inlineStr">
        <is>
          <t>Holmen skog AB</t>
        </is>
      </c>
      <c r="G863" t="n">
        <v>4.1</v>
      </c>
      <c r="H863" t="n">
        <v>0</v>
      </c>
      <c r="I863" t="n">
        <v>0</v>
      </c>
      <c r="J863" t="n">
        <v>0</v>
      </c>
      <c r="K863" t="n">
        <v>0</v>
      </c>
      <c r="L863" t="n">
        <v>0</v>
      </c>
      <c r="M863" t="n">
        <v>0</v>
      </c>
      <c r="N863" t="n">
        <v>0</v>
      </c>
      <c r="O863" t="n">
        <v>0</v>
      </c>
      <c r="P863" t="n">
        <v>0</v>
      </c>
      <c r="Q863" t="n">
        <v>0</v>
      </c>
      <c r="R863" s="2" t="inlineStr"/>
    </row>
    <row r="864" ht="15" customHeight="1">
      <c r="A864" t="inlineStr">
        <is>
          <t>A 56779-2022</t>
        </is>
      </c>
      <c r="B864" s="1" t="n">
        <v>44894</v>
      </c>
      <c r="C864" s="1" t="n">
        <v>45783</v>
      </c>
      <c r="D864" t="inlineStr">
        <is>
          <t>UPPSALA LÄN</t>
        </is>
      </c>
      <c r="E864" t="inlineStr">
        <is>
          <t>UPPSALA</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57495-2022</t>
        </is>
      </c>
      <c r="B865" s="1" t="n">
        <v>44896</v>
      </c>
      <c r="C865" s="1" t="n">
        <v>45783</v>
      </c>
      <c r="D865" t="inlineStr">
        <is>
          <t>UPPSALA LÄN</t>
        </is>
      </c>
      <c r="E865" t="inlineStr">
        <is>
          <t>UPPSALA</t>
        </is>
      </c>
      <c r="G865" t="n">
        <v>7</v>
      </c>
      <c r="H865" t="n">
        <v>0</v>
      </c>
      <c r="I865" t="n">
        <v>0</v>
      </c>
      <c r="J865" t="n">
        <v>0</v>
      </c>
      <c r="K865" t="n">
        <v>0</v>
      </c>
      <c r="L865" t="n">
        <v>0</v>
      </c>
      <c r="M865" t="n">
        <v>0</v>
      </c>
      <c r="N865" t="n">
        <v>0</v>
      </c>
      <c r="O865" t="n">
        <v>0</v>
      </c>
      <c r="P865" t="n">
        <v>0</v>
      </c>
      <c r="Q865" t="n">
        <v>0</v>
      </c>
      <c r="R865" s="2" t="inlineStr"/>
    </row>
    <row r="866" ht="15" customHeight="1">
      <c r="A866" t="inlineStr">
        <is>
          <t>A 57714-2022</t>
        </is>
      </c>
      <c r="B866" s="1" t="n">
        <v>44897</v>
      </c>
      <c r="C866" s="1" t="n">
        <v>45783</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57809-2022</t>
        </is>
      </c>
      <c r="B867" s="1" t="n">
        <v>44897</v>
      </c>
      <c r="C867" s="1" t="n">
        <v>45783</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58023-2022</t>
        </is>
      </c>
      <c r="B868" s="1" t="n">
        <v>44900</v>
      </c>
      <c r="C868" s="1" t="n">
        <v>45783</v>
      </c>
      <c r="D868" t="inlineStr">
        <is>
          <t>UPPSALA LÄN</t>
        </is>
      </c>
      <c r="E868" t="inlineStr">
        <is>
          <t>UPPSALA</t>
        </is>
      </c>
      <c r="G868" t="n">
        <v>0.7</v>
      </c>
      <c r="H868" t="n">
        <v>0</v>
      </c>
      <c r="I868" t="n">
        <v>0</v>
      </c>
      <c r="J868" t="n">
        <v>0</v>
      </c>
      <c r="K868" t="n">
        <v>0</v>
      </c>
      <c r="L868" t="n">
        <v>0</v>
      </c>
      <c r="M868" t="n">
        <v>0</v>
      </c>
      <c r="N868" t="n">
        <v>0</v>
      </c>
      <c r="O868" t="n">
        <v>0</v>
      </c>
      <c r="P868" t="n">
        <v>0</v>
      </c>
      <c r="Q868" t="n">
        <v>0</v>
      </c>
      <c r="R868" s="2" t="inlineStr"/>
    </row>
    <row r="869" ht="15" customHeight="1">
      <c r="A869" t="inlineStr">
        <is>
          <t>A 58096-2022</t>
        </is>
      </c>
      <c r="B869" s="1" t="n">
        <v>44900</v>
      </c>
      <c r="C869" s="1" t="n">
        <v>45783</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58243-2022</t>
        </is>
      </c>
      <c r="B870" s="1" t="n">
        <v>44901</v>
      </c>
      <c r="C870" s="1" t="n">
        <v>45783</v>
      </c>
      <c r="D870" t="inlineStr">
        <is>
          <t>UPPSALA LÄN</t>
        </is>
      </c>
      <c r="E870" t="inlineStr">
        <is>
          <t>UPPSALA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59133-2022</t>
        </is>
      </c>
      <c r="B871" s="1" t="n">
        <v>44904</v>
      </c>
      <c r="C871" s="1" t="n">
        <v>45783</v>
      </c>
      <c r="D871" t="inlineStr">
        <is>
          <t>UPPSALA LÄN</t>
        </is>
      </c>
      <c r="E871" t="inlineStr">
        <is>
          <t>UPPSALA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59730-2022</t>
        </is>
      </c>
      <c r="B872" s="1" t="n">
        <v>44908</v>
      </c>
      <c r="C872" s="1" t="n">
        <v>45783</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59719-2022</t>
        </is>
      </c>
      <c r="B873" s="1" t="n">
        <v>44908</v>
      </c>
      <c r="C873" s="1" t="n">
        <v>45783</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59727-2022</t>
        </is>
      </c>
      <c r="B874" s="1" t="n">
        <v>44908</v>
      </c>
      <c r="C874" s="1" t="n">
        <v>45783</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60056-2022</t>
        </is>
      </c>
      <c r="B875" s="1" t="n">
        <v>44909</v>
      </c>
      <c r="C875" s="1" t="n">
        <v>45783</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60047-2022</t>
        </is>
      </c>
      <c r="B876" s="1" t="n">
        <v>44909</v>
      </c>
      <c r="C876" s="1" t="n">
        <v>45783</v>
      </c>
      <c r="D876" t="inlineStr">
        <is>
          <t>UPPSALA LÄN</t>
        </is>
      </c>
      <c r="E876" t="inlineStr">
        <is>
          <t>UPPSALA</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v>
      </c>
      <c r="C877" s="1" t="n">
        <v>45783</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60701-2022</t>
        </is>
      </c>
      <c r="B878" s="1" t="n">
        <v>44912</v>
      </c>
      <c r="C878" s="1" t="n">
        <v>45783</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60984-2022</t>
        </is>
      </c>
      <c r="B879" s="1" t="n">
        <v>44914</v>
      </c>
      <c r="C879" s="1" t="n">
        <v>45783</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60986-2022</t>
        </is>
      </c>
      <c r="B880" s="1" t="n">
        <v>44914</v>
      </c>
      <c r="C880" s="1" t="n">
        <v>45783</v>
      </c>
      <c r="D880" t="inlineStr">
        <is>
          <t>UPPSALA LÄN</t>
        </is>
      </c>
      <c r="E880" t="inlineStr">
        <is>
          <t>UPPSALA</t>
        </is>
      </c>
      <c r="G880" t="n">
        <v>1.6</v>
      </c>
      <c r="H880" t="n">
        <v>0</v>
      </c>
      <c r="I880" t="n">
        <v>0</v>
      </c>
      <c r="J880" t="n">
        <v>0</v>
      </c>
      <c r="K880" t="n">
        <v>0</v>
      </c>
      <c r="L880" t="n">
        <v>0</v>
      </c>
      <c r="M880" t="n">
        <v>0</v>
      </c>
      <c r="N880" t="n">
        <v>0</v>
      </c>
      <c r="O880" t="n">
        <v>0</v>
      </c>
      <c r="P880" t="n">
        <v>0</v>
      </c>
      <c r="Q880" t="n">
        <v>0</v>
      </c>
      <c r="R880" s="2" t="inlineStr"/>
    </row>
    <row r="881" ht="15" customHeight="1">
      <c r="A881" t="inlineStr">
        <is>
          <t>A 60988-2022</t>
        </is>
      </c>
      <c r="B881" s="1" t="n">
        <v>44914</v>
      </c>
      <c r="C881" s="1" t="n">
        <v>45783</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61526-2022</t>
        </is>
      </c>
      <c r="B882" s="1" t="n">
        <v>44916</v>
      </c>
      <c r="C882" s="1" t="n">
        <v>45783</v>
      </c>
      <c r="D882" t="inlineStr">
        <is>
          <t>UPPSALA LÄN</t>
        </is>
      </c>
      <c r="E882" t="inlineStr">
        <is>
          <t>UPPSALA</t>
        </is>
      </c>
      <c r="F882" t="inlineStr">
        <is>
          <t>Kyrkan</t>
        </is>
      </c>
      <c r="G882" t="n">
        <v>1.2</v>
      </c>
      <c r="H882" t="n">
        <v>0</v>
      </c>
      <c r="I882" t="n">
        <v>0</v>
      </c>
      <c r="J882" t="n">
        <v>0</v>
      </c>
      <c r="K882" t="n">
        <v>0</v>
      </c>
      <c r="L882" t="n">
        <v>0</v>
      </c>
      <c r="M882" t="n">
        <v>0</v>
      </c>
      <c r="N882" t="n">
        <v>0</v>
      </c>
      <c r="O882" t="n">
        <v>0</v>
      </c>
      <c r="P882" t="n">
        <v>0</v>
      </c>
      <c r="Q882" t="n">
        <v>0</v>
      </c>
      <c r="R882" s="2" t="inlineStr"/>
    </row>
    <row r="883" ht="15" customHeight="1">
      <c r="A883" t="inlineStr">
        <is>
          <t>A 61578-2022</t>
        </is>
      </c>
      <c r="B883" s="1" t="n">
        <v>44916</v>
      </c>
      <c r="C883" s="1" t="n">
        <v>45783</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62311-2022</t>
        </is>
      </c>
      <c r="B884" s="1" t="n">
        <v>44916</v>
      </c>
      <c r="C884" s="1" t="n">
        <v>45783</v>
      </c>
      <c r="D884" t="inlineStr">
        <is>
          <t>UPPSALA LÄN</t>
        </is>
      </c>
      <c r="E884" t="inlineStr">
        <is>
          <t>UPPSALA</t>
        </is>
      </c>
      <c r="G884" t="n">
        <v>7.6</v>
      </c>
      <c r="H884" t="n">
        <v>0</v>
      </c>
      <c r="I884" t="n">
        <v>0</v>
      </c>
      <c r="J884" t="n">
        <v>0</v>
      </c>
      <c r="K884" t="n">
        <v>0</v>
      </c>
      <c r="L884" t="n">
        <v>0</v>
      </c>
      <c r="M884" t="n">
        <v>0</v>
      </c>
      <c r="N884" t="n">
        <v>0</v>
      </c>
      <c r="O884" t="n">
        <v>0</v>
      </c>
      <c r="P884" t="n">
        <v>0</v>
      </c>
      <c r="Q884" t="n">
        <v>0</v>
      </c>
      <c r="R884" s="2" t="inlineStr"/>
    </row>
    <row r="885" ht="15" customHeight="1">
      <c r="A885" t="inlineStr">
        <is>
          <t>A 111-2023</t>
        </is>
      </c>
      <c r="B885" s="1" t="n">
        <v>44928</v>
      </c>
      <c r="C885" s="1" t="n">
        <v>45783</v>
      </c>
      <c r="D885" t="inlineStr">
        <is>
          <t>UPPSALA LÄN</t>
        </is>
      </c>
      <c r="E885" t="inlineStr">
        <is>
          <t>UPPSALA</t>
        </is>
      </c>
      <c r="F885" t="inlineStr">
        <is>
          <t>Kommuner</t>
        </is>
      </c>
      <c r="G885" t="n">
        <v>4.8</v>
      </c>
      <c r="H885" t="n">
        <v>0</v>
      </c>
      <c r="I885" t="n">
        <v>0</v>
      </c>
      <c r="J885" t="n">
        <v>0</v>
      </c>
      <c r="K885" t="n">
        <v>0</v>
      </c>
      <c r="L885" t="n">
        <v>0</v>
      </c>
      <c r="M885" t="n">
        <v>0</v>
      </c>
      <c r="N885" t="n">
        <v>0</v>
      </c>
      <c r="O885" t="n">
        <v>0</v>
      </c>
      <c r="P885" t="n">
        <v>0</v>
      </c>
      <c r="Q885" t="n">
        <v>0</v>
      </c>
      <c r="R885" s="2" t="inlineStr"/>
    </row>
    <row r="886" ht="15" customHeight="1">
      <c r="A886" t="inlineStr">
        <is>
          <t>A 179-2023</t>
        </is>
      </c>
      <c r="B886" s="1" t="n">
        <v>44928</v>
      </c>
      <c r="C886" s="1" t="n">
        <v>45783</v>
      </c>
      <c r="D886" t="inlineStr">
        <is>
          <t>UPPSALA LÄN</t>
        </is>
      </c>
      <c r="E886" t="inlineStr">
        <is>
          <t>UPPSALA</t>
        </is>
      </c>
      <c r="F886" t="inlineStr">
        <is>
          <t>Kommuner</t>
        </is>
      </c>
      <c r="G886" t="n">
        <v>1.4</v>
      </c>
      <c r="H886" t="n">
        <v>0</v>
      </c>
      <c r="I886" t="n">
        <v>0</v>
      </c>
      <c r="J886" t="n">
        <v>0</v>
      </c>
      <c r="K886" t="n">
        <v>0</v>
      </c>
      <c r="L886" t="n">
        <v>0</v>
      </c>
      <c r="M886" t="n">
        <v>0</v>
      </c>
      <c r="N886" t="n">
        <v>0</v>
      </c>
      <c r="O886" t="n">
        <v>0</v>
      </c>
      <c r="P886" t="n">
        <v>0</v>
      </c>
      <c r="Q886" t="n">
        <v>0</v>
      </c>
      <c r="R886" s="2" t="inlineStr"/>
    </row>
    <row r="887" ht="15" customHeight="1">
      <c r="A887" t="inlineStr">
        <is>
          <t>A 367-2023</t>
        </is>
      </c>
      <c r="B887" s="1" t="n">
        <v>44929</v>
      </c>
      <c r="C887" s="1" t="n">
        <v>45783</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554-2023</t>
        </is>
      </c>
      <c r="B888" s="1" t="n">
        <v>44930</v>
      </c>
      <c r="C888" s="1" t="n">
        <v>45783</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686-2023</t>
        </is>
      </c>
      <c r="B889" s="1" t="n">
        <v>44930</v>
      </c>
      <c r="C889" s="1" t="n">
        <v>45783</v>
      </c>
      <c r="D889" t="inlineStr">
        <is>
          <t>UPPSALA LÄN</t>
        </is>
      </c>
      <c r="E889" t="inlineStr">
        <is>
          <t>UPPSALA</t>
        </is>
      </c>
      <c r="F889" t="inlineStr">
        <is>
          <t>Bergvik skog öst AB</t>
        </is>
      </c>
      <c r="G889" t="n">
        <v>4.6</v>
      </c>
      <c r="H889" t="n">
        <v>0</v>
      </c>
      <c r="I889" t="n">
        <v>0</v>
      </c>
      <c r="J889" t="n">
        <v>0</v>
      </c>
      <c r="K889" t="n">
        <v>0</v>
      </c>
      <c r="L889" t="n">
        <v>0</v>
      </c>
      <c r="M889" t="n">
        <v>0</v>
      </c>
      <c r="N889" t="n">
        <v>0</v>
      </c>
      <c r="O889" t="n">
        <v>0</v>
      </c>
      <c r="P889" t="n">
        <v>0</v>
      </c>
      <c r="Q889" t="n">
        <v>0</v>
      </c>
      <c r="R889" s="2" t="inlineStr"/>
    </row>
    <row r="890" ht="15" customHeight="1">
      <c r="A890" t="inlineStr">
        <is>
          <t>A 1032-2023</t>
        </is>
      </c>
      <c r="B890" s="1" t="n">
        <v>44935</v>
      </c>
      <c r="C890" s="1" t="n">
        <v>45783</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1357-2023</t>
        </is>
      </c>
      <c r="B891" s="1" t="n">
        <v>44936</v>
      </c>
      <c r="C891" s="1" t="n">
        <v>45783</v>
      </c>
      <c r="D891" t="inlineStr">
        <is>
          <t>UPPSALA LÄN</t>
        </is>
      </c>
      <c r="E891" t="inlineStr">
        <is>
          <t>UPPSALA</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2186-2023</t>
        </is>
      </c>
      <c r="B892" s="1" t="n">
        <v>44942</v>
      </c>
      <c r="C892" s="1" t="n">
        <v>45783</v>
      </c>
      <c r="D892" t="inlineStr">
        <is>
          <t>UPPSALA LÄN</t>
        </is>
      </c>
      <c r="E892" t="inlineStr">
        <is>
          <t>UPPSALA</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2622-2023</t>
        </is>
      </c>
      <c r="B893" s="1" t="n">
        <v>44944</v>
      </c>
      <c r="C893" s="1" t="n">
        <v>45783</v>
      </c>
      <c r="D893" t="inlineStr">
        <is>
          <t>UPPSALA LÄN</t>
        </is>
      </c>
      <c r="E893" t="inlineStr">
        <is>
          <t>UPPSALA</t>
        </is>
      </c>
      <c r="F893" t="inlineStr">
        <is>
          <t>Kommuner</t>
        </is>
      </c>
      <c r="G893" t="n">
        <v>1.3</v>
      </c>
      <c r="H893" t="n">
        <v>0</v>
      </c>
      <c r="I893" t="n">
        <v>0</v>
      </c>
      <c r="J893" t="n">
        <v>0</v>
      </c>
      <c r="K893" t="n">
        <v>0</v>
      </c>
      <c r="L893" t="n">
        <v>0</v>
      </c>
      <c r="M893" t="n">
        <v>0</v>
      </c>
      <c r="N893" t="n">
        <v>0</v>
      </c>
      <c r="O893" t="n">
        <v>0</v>
      </c>
      <c r="P893" t="n">
        <v>0</v>
      </c>
      <c r="Q893" t="n">
        <v>0</v>
      </c>
      <c r="R893" s="2" t="inlineStr"/>
    </row>
    <row r="894" ht="15" customHeight="1">
      <c r="A894" t="inlineStr">
        <is>
          <t>A 2624-2023</t>
        </is>
      </c>
      <c r="B894" s="1" t="n">
        <v>44944</v>
      </c>
      <c r="C894" s="1" t="n">
        <v>45783</v>
      </c>
      <c r="D894" t="inlineStr">
        <is>
          <t>UPPSALA LÄN</t>
        </is>
      </c>
      <c r="E894" t="inlineStr">
        <is>
          <t>UPPSALA</t>
        </is>
      </c>
      <c r="F894" t="inlineStr">
        <is>
          <t>Kommuner</t>
        </is>
      </c>
      <c r="G894" t="n">
        <v>2.9</v>
      </c>
      <c r="H894" t="n">
        <v>0</v>
      </c>
      <c r="I894" t="n">
        <v>0</v>
      </c>
      <c r="J894" t="n">
        <v>0</v>
      </c>
      <c r="K894" t="n">
        <v>0</v>
      </c>
      <c r="L894" t="n">
        <v>0</v>
      </c>
      <c r="M894" t="n">
        <v>0</v>
      </c>
      <c r="N894" t="n">
        <v>0</v>
      </c>
      <c r="O894" t="n">
        <v>0</v>
      </c>
      <c r="P894" t="n">
        <v>0</v>
      </c>
      <c r="Q894" t="n">
        <v>0</v>
      </c>
      <c r="R894" s="2" t="inlineStr"/>
    </row>
    <row r="895" ht="15" customHeight="1">
      <c r="A895" t="inlineStr">
        <is>
          <t>A 5362-2023</t>
        </is>
      </c>
      <c r="B895" s="1" t="n">
        <v>44944</v>
      </c>
      <c r="C895" s="1" t="n">
        <v>45783</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3214-2023</t>
        </is>
      </c>
      <c r="B896" s="1" t="n">
        <v>44944</v>
      </c>
      <c r="C896" s="1" t="n">
        <v>45783</v>
      </c>
      <c r="D896" t="inlineStr">
        <is>
          <t>UPPSALA LÄN</t>
        </is>
      </c>
      <c r="E896" t="inlineStr">
        <is>
          <t>UPPSALA</t>
        </is>
      </c>
      <c r="G896" t="n">
        <v>4.1</v>
      </c>
      <c r="H896" t="n">
        <v>0</v>
      </c>
      <c r="I896" t="n">
        <v>0</v>
      </c>
      <c r="J896" t="n">
        <v>0</v>
      </c>
      <c r="K896" t="n">
        <v>0</v>
      </c>
      <c r="L896" t="n">
        <v>0</v>
      </c>
      <c r="M896" t="n">
        <v>0</v>
      </c>
      <c r="N896" t="n">
        <v>0</v>
      </c>
      <c r="O896" t="n">
        <v>0</v>
      </c>
      <c r="P896" t="n">
        <v>0</v>
      </c>
      <c r="Q896" t="n">
        <v>0</v>
      </c>
      <c r="R896" s="2" t="inlineStr"/>
    </row>
    <row r="897" ht="15" customHeight="1">
      <c r="A897" t="inlineStr">
        <is>
          <t>A 5374-2023</t>
        </is>
      </c>
      <c r="B897" s="1" t="n">
        <v>44944</v>
      </c>
      <c r="C897" s="1" t="n">
        <v>45783</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2942-2023</t>
        </is>
      </c>
      <c r="B898" s="1" t="n">
        <v>44945</v>
      </c>
      <c r="C898" s="1" t="n">
        <v>45783</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3040-2023</t>
        </is>
      </c>
      <c r="B899" s="1" t="n">
        <v>44946</v>
      </c>
      <c r="C899" s="1" t="n">
        <v>45783</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3089-2023</t>
        </is>
      </c>
      <c r="B900" s="1" t="n">
        <v>44946</v>
      </c>
      <c r="C900" s="1" t="n">
        <v>45783</v>
      </c>
      <c r="D900" t="inlineStr">
        <is>
          <t>UPPSALA LÄN</t>
        </is>
      </c>
      <c r="E900" t="inlineStr">
        <is>
          <t>UPPSALA</t>
        </is>
      </c>
      <c r="G900" t="n">
        <v>3.7</v>
      </c>
      <c r="H900" t="n">
        <v>0</v>
      </c>
      <c r="I900" t="n">
        <v>0</v>
      </c>
      <c r="J900" t="n">
        <v>0</v>
      </c>
      <c r="K900" t="n">
        <v>0</v>
      </c>
      <c r="L900" t="n">
        <v>0</v>
      </c>
      <c r="M900" t="n">
        <v>0</v>
      </c>
      <c r="N900" t="n">
        <v>0</v>
      </c>
      <c r="O900" t="n">
        <v>0</v>
      </c>
      <c r="P900" t="n">
        <v>0</v>
      </c>
      <c r="Q900" t="n">
        <v>0</v>
      </c>
      <c r="R900" s="2" t="inlineStr"/>
    </row>
    <row r="901" ht="15" customHeight="1">
      <c r="A901" t="inlineStr">
        <is>
          <t>A 3086-2023</t>
        </is>
      </c>
      <c r="B901" s="1" t="n">
        <v>44946</v>
      </c>
      <c r="C901" s="1" t="n">
        <v>45783</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3092-2023</t>
        </is>
      </c>
      <c r="B902" s="1" t="n">
        <v>44946</v>
      </c>
      <c r="C902" s="1" t="n">
        <v>45783</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3343-2023</t>
        </is>
      </c>
      <c r="B903" s="1" t="n">
        <v>44949</v>
      </c>
      <c r="C903" s="1" t="n">
        <v>45783</v>
      </c>
      <c r="D903" t="inlineStr">
        <is>
          <t>UPPSALA LÄN</t>
        </is>
      </c>
      <c r="E903" t="inlineStr">
        <is>
          <t>UPPSALA</t>
        </is>
      </c>
      <c r="F903" t="inlineStr">
        <is>
          <t>Allmännings- och besparingsskogar</t>
        </is>
      </c>
      <c r="G903" t="n">
        <v>2.3</v>
      </c>
      <c r="H903" t="n">
        <v>0</v>
      </c>
      <c r="I903" t="n">
        <v>0</v>
      </c>
      <c r="J903" t="n">
        <v>0</v>
      </c>
      <c r="K903" t="n">
        <v>0</v>
      </c>
      <c r="L903" t="n">
        <v>0</v>
      </c>
      <c r="M903" t="n">
        <v>0</v>
      </c>
      <c r="N903" t="n">
        <v>0</v>
      </c>
      <c r="O903" t="n">
        <v>0</v>
      </c>
      <c r="P903" t="n">
        <v>0</v>
      </c>
      <c r="Q903" t="n">
        <v>0</v>
      </c>
      <c r="R903" s="2" t="inlineStr"/>
    </row>
    <row r="904" ht="15" customHeight="1">
      <c r="A904" t="inlineStr">
        <is>
          <t>A 3353-2023</t>
        </is>
      </c>
      <c r="B904" s="1" t="n">
        <v>44949</v>
      </c>
      <c r="C904" s="1" t="n">
        <v>45783</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3661-2023</t>
        </is>
      </c>
      <c r="B905" s="1" t="n">
        <v>44950</v>
      </c>
      <c r="C905" s="1" t="n">
        <v>45783</v>
      </c>
      <c r="D905" t="inlineStr">
        <is>
          <t>UPPSALA LÄN</t>
        </is>
      </c>
      <c r="E905" t="inlineStr">
        <is>
          <t>UPPSALA</t>
        </is>
      </c>
      <c r="F905" t="inlineStr">
        <is>
          <t>Allmännings- och besparingsskogar</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3940-2023</t>
        </is>
      </c>
      <c r="B906" s="1" t="n">
        <v>44952</v>
      </c>
      <c r="C906" s="1" t="n">
        <v>45783</v>
      </c>
      <c r="D906" t="inlineStr">
        <is>
          <t>UPPSALA LÄN</t>
        </is>
      </c>
      <c r="E906" t="inlineStr">
        <is>
          <t>UPPSALA</t>
        </is>
      </c>
      <c r="F906" t="inlineStr">
        <is>
          <t>Bergvik skog öst AB</t>
        </is>
      </c>
      <c r="G906" t="n">
        <v>20.6</v>
      </c>
      <c r="H906" t="n">
        <v>0</v>
      </c>
      <c r="I906" t="n">
        <v>0</v>
      </c>
      <c r="J906" t="n">
        <v>0</v>
      </c>
      <c r="K906" t="n">
        <v>0</v>
      </c>
      <c r="L906" t="n">
        <v>0</v>
      </c>
      <c r="M906" t="n">
        <v>0</v>
      </c>
      <c r="N906" t="n">
        <v>0</v>
      </c>
      <c r="O906" t="n">
        <v>0</v>
      </c>
      <c r="P906" t="n">
        <v>0</v>
      </c>
      <c r="Q906" t="n">
        <v>0</v>
      </c>
      <c r="R906" s="2" t="inlineStr"/>
    </row>
    <row r="907" ht="15" customHeight="1">
      <c r="A907" t="inlineStr">
        <is>
          <t>A 3939-2023</t>
        </is>
      </c>
      <c r="B907" s="1" t="n">
        <v>44952</v>
      </c>
      <c r="C907" s="1" t="n">
        <v>45783</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5254-2023</t>
        </is>
      </c>
      <c r="B908" s="1" t="n">
        <v>44959</v>
      </c>
      <c r="C908" s="1" t="n">
        <v>45783</v>
      </c>
      <c r="D908" t="inlineStr">
        <is>
          <t>UPPSALA LÄN</t>
        </is>
      </c>
      <c r="E908" t="inlineStr">
        <is>
          <t>UPPSALA</t>
        </is>
      </c>
      <c r="G908" t="n">
        <v>2.6</v>
      </c>
      <c r="H908" t="n">
        <v>0</v>
      </c>
      <c r="I908" t="n">
        <v>0</v>
      </c>
      <c r="J908" t="n">
        <v>0</v>
      </c>
      <c r="K908" t="n">
        <v>0</v>
      </c>
      <c r="L908" t="n">
        <v>0</v>
      </c>
      <c r="M908" t="n">
        <v>0</v>
      </c>
      <c r="N908" t="n">
        <v>0</v>
      </c>
      <c r="O908" t="n">
        <v>0</v>
      </c>
      <c r="P908" t="n">
        <v>0</v>
      </c>
      <c r="Q908" t="n">
        <v>0</v>
      </c>
      <c r="R908" s="2" t="inlineStr"/>
    </row>
    <row r="909" ht="15" customHeight="1">
      <c r="A909" t="inlineStr">
        <is>
          <t>A 5258-2023</t>
        </is>
      </c>
      <c r="B909" s="1" t="n">
        <v>44959</v>
      </c>
      <c r="C909" s="1" t="n">
        <v>45783</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5247-2023</t>
        </is>
      </c>
      <c r="B910" s="1" t="n">
        <v>44959</v>
      </c>
      <c r="C910" s="1" t="n">
        <v>45783</v>
      </c>
      <c r="D910" t="inlineStr">
        <is>
          <t>UPPSALA LÄN</t>
        </is>
      </c>
      <c r="E910" t="inlineStr">
        <is>
          <t>UPPSALA</t>
        </is>
      </c>
      <c r="G910" t="n">
        <v>11.1</v>
      </c>
      <c r="H910" t="n">
        <v>0</v>
      </c>
      <c r="I910" t="n">
        <v>0</v>
      </c>
      <c r="J910" t="n">
        <v>0</v>
      </c>
      <c r="K910" t="n">
        <v>0</v>
      </c>
      <c r="L910" t="n">
        <v>0</v>
      </c>
      <c r="M910" t="n">
        <v>0</v>
      </c>
      <c r="N910" t="n">
        <v>0</v>
      </c>
      <c r="O910" t="n">
        <v>0</v>
      </c>
      <c r="P910" t="n">
        <v>0</v>
      </c>
      <c r="Q910" t="n">
        <v>0</v>
      </c>
      <c r="R910" s="2" t="inlineStr"/>
    </row>
    <row r="911" ht="15" customHeight="1">
      <c r="A911" t="inlineStr">
        <is>
          <t>A 5678-2023</t>
        </is>
      </c>
      <c r="B911" s="1" t="n">
        <v>44960</v>
      </c>
      <c r="C911" s="1" t="n">
        <v>45783</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5682-2023</t>
        </is>
      </c>
      <c r="B912" s="1" t="n">
        <v>44960</v>
      </c>
      <c r="C912" s="1" t="n">
        <v>45783</v>
      </c>
      <c r="D912" t="inlineStr">
        <is>
          <t>UPPSALA LÄN</t>
        </is>
      </c>
      <c r="E912" t="inlineStr">
        <is>
          <t>UPPSALA</t>
        </is>
      </c>
      <c r="F912" t="inlineStr">
        <is>
          <t>Allmännings- och besparingsskogar</t>
        </is>
      </c>
      <c r="G912" t="n">
        <v>14.2</v>
      </c>
      <c r="H912" t="n">
        <v>0</v>
      </c>
      <c r="I912" t="n">
        <v>0</v>
      </c>
      <c r="J912" t="n">
        <v>0</v>
      </c>
      <c r="K912" t="n">
        <v>0</v>
      </c>
      <c r="L912" t="n">
        <v>0</v>
      </c>
      <c r="M912" t="n">
        <v>0</v>
      </c>
      <c r="N912" t="n">
        <v>0</v>
      </c>
      <c r="O912" t="n">
        <v>0</v>
      </c>
      <c r="P912" t="n">
        <v>0</v>
      </c>
      <c r="Q912" t="n">
        <v>0</v>
      </c>
      <c r="R912" s="2" t="inlineStr"/>
    </row>
    <row r="913" ht="15" customHeight="1">
      <c r="A913" t="inlineStr">
        <is>
          <t>A 5663-2023</t>
        </is>
      </c>
      <c r="B913" s="1" t="n">
        <v>44960</v>
      </c>
      <c r="C913" s="1" t="n">
        <v>45783</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5669-2023</t>
        </is>
      </c>
      <c r="B914" s="1" t="n">
        <v>44960</v>
      </c>
      <c r="C914" s="1" t="n">
        <v>45783</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5675-2023</t>
        </is>
      </c>
      <c r="B915" s="1" t="n">
        <v>44960</v>
      </c>
      <c r="C915" s="1" t="n">
        <v>45783</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6213-2023</t>
        </is>
      </c>
      <c r="B916" s="1" t="n">
        <v>44964</v>
      </c>
      <c r="C916" s="1" t="n">
        <v>45783</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6155-2023</t>
        </is>
      </c>
      <c r="B917" s="1" t="n">
        <v>44964</v>
      </c>
      <c r="C917" s="1" t="n">
        <v>45783</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6215-2023</t>
        </is>
      </c>
      <c r="B918" s="1" t="n">
        <v>44964</v>
      </c>
      <c r="C918" s="1" t="n">
        <v>45783</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6422-2023</t>
        </is>
      </c>
      <c r="B919" s="1" t="n">
        <v>44965</v>
      </c>
      <c r="C919" s="1" t="n">
        <v>45783</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6423-2023</t>
        </is>
      </c>
      <c r="B920" s="1" t="n">
        <v>44965</v>
      </c>
      <c r="C920" s="1" t="n">
        <v>45783</v>
      </c>
      <c r="D920" t="inlineStr">
        <is>
          <t>UPPSALA LÄN</t>
        </is>
      </c>
      <c r="E920" t="inlineStr">
        <is>
          <t>UPPSALA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6602-2023</t>
        </is>
      </c>
      <c r="B921" s="1" t="n">
        <v>44966</v>
      </c>
      <c r="C921" s="1" t="n">
        <v>45783</v>
      </c>
      <c r="D921" t="inlineStr">
        <is>
          <t>UPPSALA LÄN</t>
        </is>
      </c>
      <c r="E921" t="inlineStr">
        <is>
          <t>UPPSALA</t>
        </is>
      </c>
      <c r="F921" t="inlineStr">
        <is>
          <t>Allmännings- och besparingsskogar</t>
        </is>
      </c>
      <c r="G921" t="n">
        <v>20.2</v>
      </c>
      <c r="H921" t="n">
        <v>0</v>
      </c>
      <c r="I921" t="n">
        <v>0</v>
      </c>
      <c r="J921" t="n">
        <v>0</v>
      </c>
      <c r="K921" t="n">
        <v>0</v>
      </c>
      <c r="L921" t="n">
        <v>0</v>
      </c>
      <c r="M921" t="n">
        <v>0</v>
      </c>
      <c r="N921" t="n">
        <v>0</v>
      </c>
      <c r="O921" t="n">
        <v>0</v>
      </c>
      <c r="P921" t="n">
        <v>0</v>
      </c>
      <c r="Q921" t="n">
        <v>0</v>
      </c>
      <c r="R921" s="2" t="inlineStr"/>
    </row>
    <row r="922" ht="15" customHeight="1">
      <c r="A922" t="inlineStr">
        <is>
          <t>A 6749-2023</t>
        </is>
      </c>
      <c r="B922" s="1" t="n">
        <v>44966</v>
      </c>
      <c r="C922" s="1" t="n">
        <v>45783</v>
      </c>
      <c r="D922" t="inlineStr">
        <is>
          <t>UPPSALA LÄN</t>
        </is>
      </c>
      <c r="E922" t="inlineStr">
        <is>
          <t>UPPSALA</t>
        </is>
      </c>
      <c r="F922" t="inlineStr">
        <is>
          <t>Allmännings- och besparingsskogar</t>
        </is>
      </c>
      <c r="G922" t="n">
        <v>13.5</v>
      </c>
      <c r="H922" t="n">
        <v>0</v>
      </c>
      <c r="I922" t="n">
        <v>0</v>
      </c>
      <c r="J922" t="n">
        <v>0</v>
      </c>
      <c r="K922" t="n">
        <v>0</v>
      </c>
      <c r="L922" t="n">
        <v>0</v>
      </c>
      <c r="M922" t="n">
        <v>0</v>
      </c>
      <c r="N922" t="n">
        <v>0</v>
      </c>
      <c r="O922" t="n">
        <v>0</v>
      </c>
      <c r="P922" t="n">
        <v>0</v>
      </c>
      <c r="Q922" t="n">
        <v>0</v>
      </c>
      <c r="R922" s="2" t="inlineStr"/>
    </row>
    <row r="923" ht="15" customHeight="1">
      <c r="A923" t="inlineStr">
        <is>
          <t>A 6930-2023</t>
        </is>
      </c>
      <c r="B923" s="1" t="n">
        <v>44967</v>
      </c>
      <c r="C923" s="1" t="n">
        <v>45783</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7000-2023</t>
        </is>
      </c>
      <c r="B924" s="1" t="n">
        <v>44967</v>
      </c>
      <c r="C924" s="1" t="n">
        <v>45783</v>
      </c>
      <c r="D924" t="inlineStr">
        <is>
          <t>UPPSALA LÄN</t>
        </is>
      </c>
      <c r="E924" t="inlineStr">
        <is>
          <t>UPPSALA</t>
        </is>
      </c>
      <c r="G924" t="n">
        <v>7.1</v>
      </c>
      <c r="H924" t="n">
        <v>0</v>
      </c>
      <c r="I924" t="n">
        <v>0</v>
      </c>
      <c r="J924" t="n">
        <v>0</v>
      </c>
      <c r="K924" t="n">
        <v>0</v>
      </c>
      <c r="L924" t="n">
        <v>0</v>
      </c>
      <c r="M924" t="n">
        <v>0</v>
      </c>
      <c r="N924" t="n">
        <v>0</v>
      </c>
      <c r="O924" t="n">
        <v>0</v>
      </c>
      <c r="P924" t="n">
        <v>0</v>
      </c>
      <c r="Q924" t="n">
        <v>0</v>
      </c>
      <c r="R924" s="2" t="inlineStr"/>
    </row>
    <row r="925" ht="15" customHeight="1">
      <c r="A925" t="inlineStr">
        <is>
          <t>A 6999-2023</t>
        </is>
      </c>
      <c r="B925" s="1" t="n">
        <v>44967</v>
      </c>
      <c r="C925" s="1" t="n">
        <v>45783</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6997-2023</t>
        </is>
      </c>
      <c r="B926" s="1" t="n">
        <v>44967</v>
      </c>
      <c r="C926" s="1" t="n">
        <v>45783</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7001-2023</t>
        </is>
      </c>
      <c r="B927" s="1" t="n">
        <v>44967</v>
      </c>
      <c r="C927" s="1" t="n">
        <v>45783</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7002-2023</t>
        </is>
      </c>
      <c r="B928" s="1" t="n">
        <v>44967</v>
      </c>
      <c r="C928" s="1" t="n">
        <v>45783</v>
      </c>
      <c r="D928" t="inlineStr">
        <is>
          <t>UPPSALA LÄN</t>
        </is>
      </c>
      <c r="E928" t="inlineStr">
        <is>
          <t>UPPSALA</t>
        </is>
      </c>
      <c r="G928" t="n">
        <v>5</v>
      </c>
      <c r="H928" t="n">
        <v>0</v>
      </c>
      <c r="I928" t="n">
        <v>0</v>
      </c>
      <c r="J928" t="n">
        <v>0</v>
      </c>
      <c r="K928" t="n">
        <v>0</v>
      </c>
      <c r="L928" t="n">
        <v>0</v>
      </c>
      <c r="M928" t="n">
        <v>0</v>
      </c>
      <c r="N928" t="n">
        <v>0</v>
      </c>
      <c r="O928" t="n">
        <v>0</v>
      </c>
      <c r="P928" t="n">
        <v>0</v>
      </c>
      <c r="Q928" t="n">
        <v>0</v>
      </c>
      <c r="R928" s="2" t="inlineStr"/>
    </row>
    <row r="929" ht="15" customHeight="1">
      <c r="A929" t="inlineStr">
        <is>
          <t>A 7611-2023</t>
        </is>
      </c>
      <c r="B929" s="1" t="n">
        <v>44967</v>
      </c>
      <c r="C929" s="1" t="n">
        <v>45783</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7607-2023</t>
        </is>
      </c>
      <c r="B930" s="1" t="n">
        <v>44967</v>
      </c>
      <c r="C930" s="1" t="n">
        <v>45783</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7058-2023</t>
        </is>
      </c>
      <c r="B931" s="1" t="n">
        <v>44969</v>
      </c>
      <c r="C931" s="1" t="n">
        <v>45783</v>
      </c>
      <c r="D931" t="inlineStr">
        <is>
          <t>UPPSALA LÄN</t>
        </is>
      </c>
      <c r="E931" t="inlineStr">
        <is>
          <t>UPPSALA</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7084-2023</t>
        </is>
      </c>
      <c r="B932" s="1" t="n">
        <v>44970</v>
      </c>
      <c r="C932" s="1" t="n">
        <v>45783</v>
      </c>
      <c r="D932" t="inlineStr">
        <is>
          <t>UPPSALA LÄN</t>
        </is>
      </c>
      <c r="E932" t="inlineStr">
        <is>
          <t>UPPSALA</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8384-2023</t>
        </is>
      </c>
      <c r="B933" s="1" t="n">
        <v>44971</v>
      </c>
      <c r="C933" s="1" t="n">
        <v>45783</v>
      </c>
      <c r="D933" t="inlineStr">
        <is>
          <t>UPPSALA LÄN</t>
        </is>
      </c>
      <c r="E933" t="inlineStr">
        <is>
          <t>UPPSALA</t>
        </is>
      </c>
      <c r="G933" t="n">
        <v>4</v>
      </c>
      <c r="H933" t="n">
        <v>0</v>
      </c>
      <c r="I933" t="n">
        <v>0</v>
      </c>
      <c r="J933" t="n">
        <v>0</v>
      </c>
      <c r="K933" t="n">
        <v>0</v>
      </c>
      <c r="L933" t="n">
        <v>0</v>
      </c>
      <c r="M933" t="n">
        <v>0</v>
      </c>
      <c r="N933" t="n">
        <v>0</v>
      </c>
      <c r="O933" t="n">
        <v>0</v>
      </c>
      <c r="P933" t="n">
        <v>0</v>
      </c>
      <c r="Q933" t="n">
        <v>0</v>
      </c>
      <c r="R933" s="2" t="inlineStr"/>
    </row>
    <row r="934" ht="15" customHeight="1">
      <c r="A934" t="inlineStr">
        <is>
          <t>A 8286-2023</t>
        </is>
      </c>
      <c r="B934" s="1" t="n">
        <v>44971</v>
      </c>
      <c r="C934" s="1" t="n">
        <v>45783</v>
      </c>
      <c r="D934" t="inlineStr">
        <is>
          <t>UPPSALA LÄN</t>
        </is>
      </c>
      <c r="E934" t="inlineStr">
        <is>
          <t>UPPSALA</t>
        </is>
      </c>
      <c r="G934" t="n">
        <v>9</v>
      </c>
      <c r="H934" t="n">
        <v>0</v>
      </c>
      <c r="I934" t="n">
        <v>0</v>
      </c>
      <c r="J934" t="n">
        <v>0</v>
      </c>
      <c r="K934" t="n">
        <v>0</v>
      </c>
      <c r="L934" t="n">
        <v>0</v>
      </c>
      <c r="M934" t="n">
        <v>0</v>
      </c>
      <c r="N934" t="n">
        <v>0</v>
      </c>
      <c r="O934" t="n">
        <v>0</v>
      </c>
      <c r="P934" t="n">
        <v>0</v>
      </c>
      <c r="Q934" t="n">
        <v>0</v>
      </c>
      <c r="R934" s="2" t="inlineStr"/>
    </row>
    <row r="935" ht="15" customHeight="1">
      <c r="A935" t="inlineStr">
        <is>
          <t>A 7577-2023</t>
        </is>
      </c>
      <c r="B935" s="1" t="n">
        <v>44972</v>
      </c>
      <c r="C935" s="1" t="n">
        <v>45783</v>
      </c>
      <c r="D935" t="inlineStr">
        <is>
          <t>UPPSALA LÄN</t>
        </is>
      </c>
      <c r="E935" t="inlineStr">
        <is>
          <t>UPPSALA</t>
        </is>
      </c>
      <c r="G935" t="n">
        <v>5.5</v>
      </c>
      <c r="H935" t="n">
        <v>0</v>
      </c>
      <c r="I935" t="n">
        <v>0</v>
      </c>
      <c r="J935" t="n">
        <v>0</v>
      </c>
      <c r="K935" t="n">
        <v>0</v>
      </c>
      <c r="L935" t="n">
        <v>0</v>
      </c>
      <c r="M935" t="n">
        <v>0</v>
      </c>
      <c r="N935" t="n">
        <v>0</v>
      </c>
      <c r="O935" t="n">
        <v>0</v>
      </c>
      <c r="P935" t="n">
        <v>0</v>
      </c>
      <c r="Q935" t="n">
        <v>0</v>
      </c>
      <c r="R935" s="2" t="inlineStr"/>
    </row>
    <row r="936" ht="15" customHeight="1">
      <c r="A936" t="inlineStr">
        <is>
          <t>A 7663-2023</t>
        </is>
      </c>
      <c r="B936" s="1" t="n">
        <v>44972</v>
      </c>
      <c r="C936" s="1" t="n">
        <v>45783</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7894-2023</t>
        </is>
      </c>
      <c r="B937" s="1" t="n">
        <v>44973</v>
      </c>
      <c r="C937" s="1" t="n">
        <v>45783</v>
      </c>
      <c r="D937" t="inlineStr">
        <is>
          <t>UPPSALA LÄN</t>
        </is>
      </c>
      <c r="E937" t="inlineStr">
        <is>
          <t>UPPSALA</t>
        </is>
      </c>
      <c r="G937" t="n">
        <v>4.4</v>
      </c>
      <c r="H937" t="n">
        <v>0</v>
      </c>
      <c r="I937" t="n">
        <v>0</v>
      </c>
      <c r="J937" t="n">
        <v>0</v>
      </c>
      <c r="K937" t="n">
        <v>0</v>
      </c>
      <c r="L937" t="n">
        <v>0</v>
      </c>
      <c r="M937" t="n">
        <v>0</v>
      </c>
      <c r="N937" t="n">
        <v>0</v>
      </c>
      <c r="O937" t="n">
        <v>0</v>
      </c>
      <c r="P937" t="n">
        <v>0</v>
      </c>
      <c r="Q937" t="n">
        <v>0</v>
      </c>
      <c r="R937" s="2" t="inlineStr"/>
    </row>
    <row r="938" ht="15" customHeight="1">
      <c r="A938" t="inlineStr">
        <is>
          <t>A 8162-2023</t>
        </is>
      </c>
      <c r="B938" s="1" t="n">
        <v>44974</v>
      </c>
      <c r="C938" s="1" t="n">
        <v>45783</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8473-2023</t>
        </is>
      </c>
      <c r="B939" s="1" t="n">
        <v>44977</v>
      </c>
      <c r="C939" s="1" t="n">
        <v>45783</v>
      </c>
      <c r="D939" t="inlineStr">
        <is>
          <t>UPPSALA LÄN</t>
        </is>
      </c>
      <c r="E939" t="inlineStr">
        <is>
          <t>UPPSALA</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45783</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9398-2023</t>
        </is>
      </c>
      <c r="B941" s="1" t="n">
        <v>44977</v>
      </c>
      <c r="C941" s="1" t="n">
        <v>45783</v>
      </c>
      <c r="D941" t="inlineStr">
        <is>
          <t>UPPSALA LÄN</t>
        </is>
      </c>
      <c r="E941" t="inlineStr">
        <is>
          <t>UPPSALA</t>
        </is>
      </c>
      <c r="G941" t="n">
        <v>5.1</v>
      </c>
      <c r="H941" t="n">
        <v>0</v>
      </c>
      <c r="I941" t="n">
        <v>0</v>
      </c>
      <c r="J941" t="n">
        <v>0</v>
      </c>
      <c r="K941" t="n">
        <v>0</v>
      </c>
      <c r="L941" t="n">
        <v>0</v>
      </c>
      <c r="M941" t="n">
        <v>0</v>
      </c>
      <c r="N941" t="n">
        <v>0</v>
      </c>
      <c r="O941" t="n">
        <v>0</v>
      </c>
      <c r="P941" t="n">
        <v>0</v>
      </c>
      <c r="Q941" t="n">
        <v>0</v>
      </c>
      <c r="R941" s="2" t="inlineStr"/>
    </row>
    <row r="942" ht="15" customHeight="1">
      <c r="A942" t="inlineStr">
        <is>
          <t>A 9295-2023</t>
        </is>
      </c>
      <c r="B942" s="1" t="n">
        <v>44980</v>
      </c>
      <c r="C942" s="1" t="n">
        <v>45783</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9261-2023</t>
        </is>
      </c>
      <c r="B943" s="1" t="n">
        <v>44980</v>
      </c>
      <c r="C943" s="1" t="n">
        <v>45783</v>
      </c>
      <c r="D943" t="inlineStr">
        <is>
          <t>UPPSALA LÄN</t>
        </is>
      </c>
      <c r="E943" t="inlineStr">
        <is>
          <t>UPPSALA</t>
        </is>
      </c>
      <c r="G943" t="n">
        <v>5.3</v>
      </c>
      <c r="H943" t="n">
        <v>0</v>
      </c>
      <c r="I943" t="n">
        <v>0</v>
      </c>
      <c r="J943" t="n">
        <v>0</v>
      </c>
      <c r="K943" t="n">
        <v>0</v>
      </c>
      <c r="L943" t="n">
        <v>0</v>
      </c>
      <c r="M943" t="n">
        <v>0</v>
      </c>
      <c r="N943" t="n">
        <v>0</v>
      </c>
      <c r="O943" t="n">
        <v>0</v>
      </c>
      <c r="P943" t="n">
        <v>0</v>
      </c>
      <c r="Q943" t="n">
        <v>0</v>
      </c>
      <c r="R943" s="2" t="inlineStr"/>
    </row>
    <row r="944" ht="15" customHeight="1">
      <c r="A944" t="inlineStr">
        <is>
          <t>A 9291-2023</t>
        </is>
      </c>
      <c r="B944" s="1" t="n">
        <v>44980</v>
      </c>
      <c r="C944" s="1" t="n">
        <v>45783</v>
      </c>
      <c r="D944" t="inlineStr">
        <is>
          <t>UPPSALA LÄN</t>
        </is>
      </c>
      <c r="E944" t="inlineStr">
        <is>
          <t>UPPSALA</t>
        </is>
      </c>
      <c r="G944" t="n">
        <v>12.9</v>
      </c>
      <c r="H944" t="n">
        <v>0</v>
      </c>
      <c r="I944" t="n">
        <v>0</v>
      </c>
      <c r="J944" t="n">
        <v>0</v>
      </c>
      <c r="K944" t="n">
        <v>0</v>
      </c>
      <c r="L944" t="n">
        <v>0</v>
      </c>
      <c r="M944" t="n">
        <v>0</v>
      </c>
      <c r="N944" t="n">
        <v>0</v>
      </c>
      <c r="O944" t="n">
        <v>0</v>
      </c>
      <c r="P944" t="n">
        <v>0</v>
      </c>
      <c r="Q944" t="n">
        <v>0</v>
      </c>
      <c r="R944" s="2" t="inlineStr"/>
    </row>
    <row r="945" ht="15" customHeight="1">
      <c r="A945" t="inlineStr">
        <is>
          <t>A 9313-2023</t>
        </is>
      </c>
      <c r="B945" s="1" t="n">
        <v>44980</v>
      </c>
      <c r="C945" s="1" t="n">
        <v>45783</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9817-2023</t>
        </is>
      </c>
      <c r="B946" s="1" t="n">
        <v>44984</v>
      </c>
      <c r="C946" s="1" t="n">
        <v>45783</v>
      </c>
      <c r="D946" t="inlineStr">
        <is>
          <t>UPPSALA LÄN</t>
        </is>
      </c>
      <c r="E946" t="inlineStr">
        <is>
          <t>UPPSALA</t>
        </is>
      </c>
      <c r="F946" t="inlineStr">
        <is>
          <t>Kyrkan</t>
        </is>
      </c>
      <c r="G946" t="n">
        <v>5.3</v>
      </c>
      <c r="H946" t="n">
        <v>0</v>
      </c>
      <c r="I946" t="n">
        <v>0</v>
      </c>
      <c r="J946" t="n">
        <v>0</v>
      </c>
      <c r="K946" t="n">
        <v>0</v>
      </c>
      <c r="L946" t="n">
        <v>0</v>
      </c>
      <c r="M946" t="n">
        <v>0</v>
      </c>
      <c r="N946" t="n">
        <v>0</v>
      </c>
      <c r="O946" t="n">
        <v>0</v>
      </c>
      <c r="P946" t="n">
        <v>0</v>
      </c>
      <c r="Q946" t="n">
        <v>0</v>
      </c>
      <c r="R946" s="2" t="inlineStr"/>
    </row>
    <row r="947" ht="15" customHeight="1">
      <c r="A947" t="inlineStr">
        <is>
          <t>A 9814-2023</t>
        </is>
      </c>
      <c r="B947" s="1" t="n">
        <v>44984</v>
      </c>
      <c r="C947" s="1" t="n">
        <v>45783</v>
      </c>
      <c r="D947" t="inlineStr">
        <is>
          <t>UPPSALA LÄN</t>
        </is>
      </c>
      <c r="E947" t="inlineStr">
        <is>
          <t>UPPSALA</t>
        </is>
      </c>
      <c r="F947" t="inlineStr">
        <is>
          <t>Kyrkan</t>
        </is>
      </c>
      <c r="G947" t="n">
        <v>5</v>
      </c>
      <c r="H947" t="n">
        <v>0</v>
      </c>
      <c r="I947" t="n">
        <v>0</v>
      </c>
      <c r="J947" t="n">
        <v>0</v>
      </c>
      <c r="K947" t="n">
        <v>0</v>
      </c>
      <c r="L947" t="n">
        <v>0</v>
      </c>
      <c r="M947" t="n">
        <v>0</v>
      </c>
      <c r="N947" t="n">
        <v>0</v>
      </c>
      <c r="O947" t="n">
        <v>0</v>
      </c>
      <c r="P947" t="n">
        <v>0</v>
      </c>
      <c r="Q947" t="n">
        <v>0</v>
      </c>
      <c r="R947" s="2" t="inlineStr"/>
    </row>
    <row r="948" ht="15" customHeight="1">
      <c r="A948" t="inlineStr">
        <is>
          <t>A 9811-2023</t>
        </is>
      </c>
      <c r="B948" s="1" t="n">
        <v>44984</v>
      </c>
      <c r="C948" s="1" t="n">
        <v>45783</v>
      </c>
      <c r="D948" t="inlineStr">
        <is>
          <t>UPPSALA LÄN</t>
        </is>
      </c>
      <c r="E948" t="inlineStr">
        <is>
          <t>UPPSALA</t>
        </is>
      </c>
      <c r="G948" t="n">
        <v>5.5</v>
      </c>
      <c r="H948" t="n">
        <v>0</v>
      </c>
      <c r="I948" t="n">
        <v>0</v>
      </c>
      <c r="J948" t="n">
        <v>0</v>
      </c>
      <c r="K948" t="n">
        <v>0</v>
      </c>
      <c r="L948" t="n">
        <v>0</v>
      </c>
      <c r="M948" t="n">
        <v>0</v>
      </c>
      <c r="N948" t="n">
        <v>0</v>
      </c>
      <c r="O948" t="n">
        <v>0</v>
      </c>
      <c r="P948" t="n">
        <v>0</v>
      </c>
      <c r="Q948" t="n">
        <v>0</v>
      </c>
      <c r="R948" s="2" t="inlineStr"/>
    </row>
    <row r="949" ht="15" customHeight="1">
      <c r="A949" t="inlineStr">
        <is>
          <t>A 9820-2023</t>
        </is>
      </c>
      <c r="B949" s="1" t="n">
        <v>44984</v>
      </c>
      <c r="C949" s="1" t="n">
        <v>45783</v>
      </c>
      <c r="D949" t="inlineStr">
        <is>
          <t>UPPSALA LÄN</t>
        </is>
      </c>
      <c r="E949" t="inlineStr">
        <is>
          <t>UPPSALA</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10005-2023</t>
        </is>
      </c>
      <c r="B950" s="1" t="n">
        <v>44985</v>
      </c>
      <c r="C950" s="1" t="n">
        <v>45783</v>
      </c>
      <c r="D950" t="inlineStr">
        <is>
          <t>UPPSALA LÄN</t>
        </is>
      </c>
      <c r="E950" t="inlineStr">
        <is>
          <t>UPPSALA</t>
        </is>
      </c>
      <c r="G950" t="n">
        <v>2.6</v>
      </c>
      <c r="H950" t="n">
        <v>0</v>
      </c>
      <c r="I950" t="n">
        <v>0</v>
      </c>
      <c r="J950" t="n">
        <v>0</v>
      </c>
      <c r="K950" t="n">
        <v>0</v>
      </c>
      <c r="L950" t="n">
        <v>0</v>
      </c>
      <c r="M950" t="n">
        <v>0</v>
      </c>
      <c r="N950" t="n">
        <v>0</v>
      </c>
      <c r="O950" t="n">
        <v>0</v>
      </c>
      <c r="P950" t="n">
        <v>0</v>
      </c>
      <c r="Q950" t="n">
        <v>0</v>
      </c>
      <c r="R950" s="2" t="inlineStr"/>
    </row>
    <row r="951" ht="15" customHeight="1">
      <c r="A951" t="inlineStr">
        <is>
          <t>A 10669-2023</t>
        </is>
      </c>
      <c r="B951" s="1" t="n">
        <v>44988</v>
      </c>
      <c r="C951" s="1" t="n">
        <v>45783</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11484-2023</t>
        </is>
      </c>
      <c r="B952" s="1" t="n">
        <v>44991</v>
      </c>
      <c r="C952" s="1" t="n">
        <v>45783</v>
      </c>
      <c r="D952" t="inlineStr">
        <is>
          <t>UPPSALA LÄN</t>
        </is>
      </c>
      <c r="E952" t="inlineStr">
        <is>
          <t>UPPSALA</t>
        </is>
      </c>
      <c r="G952" t="n">
        <v>10.3</v>
      </c>
      <c r="H952" t="n">
        <v>0</v>
      </c>
      <c r="I952" t="n">
        <v>0</v>
      </c>
      <c r="J952" t="n">
        <v>0</v>
      </c>
      <c r="K952" t="n">
        <v>0</v>
      </c>
      <c r="L952" t="n">
        <v>0</v>
      </c>
      <c r="M952" t="n">
        <v>0</v>
      </c>
      <c r="N952" t="n">
        <v>0</v>
      </c>
      <c r="O952" t="n">
        <v>0</v>
      </c>
      <c r="P952" t="n">
        <v>0</v>
      </c>
      <c r="Q952" t="n">
        <v>0</v>
      </c>
      <c r="R952" s="2" t="inlineStr"/>
    </row>
    <row r="953" ht="15" customHeight="1">
      <c r="A953" t="inlineStr">
        <is>
          <t>A 11739-2023</t>
        </is>
      </c>
      <c r="B953" s="1" t="n">
        <v>44993</v>
      </c>
      <c r="C953" s="1" t="n">
        <v>45783</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11744-2023</t>
        </is>
      </c>
      <c r="B954" s="1" t="n">
        <v>44993</v>
      </c>
      <c r="C954" s="1" t="n">
        <v>45783</v>
      </c>
      <c r="D954" t="inlineStr">
        <is>
          <t>UPPSALA LÄN</t>
        </is>
      </c>
      <c r="E954" t="inlineStr">
        <is>
          <t>UPPSALA</t>
        </is>
      </c>
      <c r="G954" t="n">
        <v>1.4</v>
      </c>
      <c r="H954" t="n">
        <v>0</v>
      </c>
      <c r="I954" t="n">
        <v>0</v>
      </c>
      <c r="J954" t="n">
        <v>0</v>
      </c>
      <c r="K954" t="n">
        <v>0</v>
      </c>
      <c r="L954" t="n">
        <v>0</v>
      </c>
      <c r="M954" t="n">
        <v>0</v>
      </c>
      <c r="N954" t="n">
        <v>0</v>
      </c>
      <c r="O954" t="n">
        <v>0</v>
      </c>
      <c r="P954" t="n">
        <v>0</v>
      </c>
      <c r="Q954" t="n">
        <v>0</v>
      </c>
      <c r="R954" s="2" t="inlineStr"/>
    </row>
    <row r="955" ht="15" customHeight="1">
      <c r="A955" t="inlineStr">
        <is>
          <t>A 11568-2023</t>
        </is>
      </c>
      <c r="B955" s="1" t="n">
        <v>44994</v>
      </c>
      <c r="C955" s="1" t="n">
        <v>45783</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12158-2023</t>
        </is>
      </c>
      <c r="B956" s="1" t="n">
        <v>44998</v>
      </c>
      <c r="C956" s="1" t="n">
        <v>45783</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12604-2023</t>
        </is>
      </c>
      <c r="B957" s="1" t="n">
        <v>45000</v>
      </c>
      <c r="C957" s="1" t="n">
        <v>45783</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12603-2023</t>
        </is>
      </c>
      <c r="B958" s="1" t="n">
        <v>45000</v>
      </c>
      <c r="C958" s="1" t="n">
        <v>45783</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12602-2023</t>
        </is>
      </c>
      <c r="B959" s="1" t="n">
        <v>45000</v>
      </c>
      <c r="C959" s="1" t="n">
        <v>45783</v>
      </c>
      <c r="D959" t="inlineStr">
        <is>
          <t>UPPSALA LÄN</t>
        </is>
      </c>
      <c r="E959" t="inlineStr">
        <is>
          <t>UPPSALA</t>
        </is>
      </c>
      <c r="G959" t="n">
        <v>2.5</v>
      </c>
      <c r="H959" t="n">
        <v>0</v>
      </c>
      <c r="I959" t="n">
        <v>0</v>
      </c>
      <c r="J959" t="n">
        <v>0</v>
      </c>
      <c r="K959" t="n">
        <v>0</v>
      </c>
      <c r="L959" t="n">
        <v>0</v>
      </c>
      <c r="M959" t="n">
        <v>0</v>
      </c>
      <c r="N959" t="n">
        <v>0</v>
      </c>
      <c r="O959" t="n">
        <v>0</v>
      </c>
      <c r="P959" t="n">
        <v>0</v>
      </c>
      <c r="Q959" t="n">
        <v>0</v>
      </c>
      <c r="R959" s="2" t="inlineStr"/>
    </row>
    <row r="960" ht="15" customHeight="1">
      <c r="A960" t="inlineStr">
        <is>
          <t>A 12703-2023</t>
        </is>
      </c>
      <c r="B960" s="1" t="n">
        <v>45000</v>
      </c>
      <c r="C960" s="1" t="n">
        <v>45783</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12606-2023</t>
        </is>
      </c>
      <c r="B961" s="1" t="n">
        <v>45000</v>
      </c>
      <c r="C961" s="1" t="n">
        <v>45783</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13526-2023</t>
        </is>
      </c>
      <c r="B962" s="1" t="n">
        <v>45006</v>
      </c>
      <c r="C962" s="1" t="n">
        <v>45783</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14253-2023</t>
        </is>
      </c>
      <c r="B963" s="1" t="n">
        <v>45009</v>
      </c>
      <c r="C963" s="1" t="n">
        <v>45783</v>
      </c>
      <c r="D963" t="inlineStr">
        <is>
          <t>UPPSALA LÄN</t>
        </is>
      </c>
      <c r="E963" t="inlineStr">
        <is>
          <t>UPPSALA</t>
        </is>
      </c>
      <c r="F963" t="inlineStr">
        <is>
          <t>Allmännings- och besparingsskogar</t>
        </is>
      </c>
      <c r="G963" t="n">
        <v>14</v>
      </c>
      <c r="H963" t="n">
        <v>0</v>
      </c>
      <c r="I963" t="n">
        <v>0</v>
      </c>
      <c r="J963" t="n">
        <v>0</v>
      </c>
      <c r="K963" t="n">
        <v>0</v>
      </c>
      <c r="L963" t="n">
        <v>0</v>
      </c>
      <c r="M963" t="n">
        <v>0</v>
      </c>
      <c r="N963" t="n">
        <v>0</v>
      </c>
      <c r="O963" t="n">
        <v>0</v>
      </c>
      <c r="P963" t="n">
        <v>0</v>
      </c>
      <c r="Q963" t="n">
        <v>0</v>
      </c>
      <c r="R963" s="2" t="inlineStr"/>
    </row>
    <row r="964" ht="15" customHeight="1">
      <c r="A964" t="inlineStr">
        <is>
          <t>A 14784-2023</t>
        </is>
      </c>
      <c r="B964" s="1" t="n">
        <v>45014</v>
      </c>
      <c r="C964" s="1" t="n">
        <v>45783</v>
      </c>
      <c r="D964" t="inlineStr">
        <is>
          <t>UPPSALA LÄN</t>
        </is>
      </c>
      <c r="E964" t="inlineStr">
        <is>
          <t>UPPSALA</t>
        </is>
      </c>
      <c r="G964" t="n">
        <v>4.7</v>
      </c>
      <c r="H964" t="n">
        <v>0</v>
      </c>
      <c r="I964" t="n">
        <v>0</v>
      </c>
      <c r="J964" t="n">
        <v>0</v>
      </c>
      <c r="K964" t="n">
        <v>0</v>
      </c>
      <c r="L964" t="n">
        <v>0</v>
      </c>
      <c r="M964" t="n">
        <v>0</v>
      </c>
      <c r="N964" t="n">
        <v>0</v>
      </c>
      <c r="O964" t="n">
        <v>0</v>
      </c>
      <c r="P964" t="n">
        <v>0</v>
      </c>
      <c r="Q964" t="n">
        <v>0</v>
      </c>
      <c r="R964" s="2" t="inlineStr"/>
    </row>
    <row r="965" ht="15" customHeight="1">
      <c r="A965" t="inlineStr">
        <is>
          <t>A 14988-2023</t>
        </is>
      </c>
      <c r="B965" s="1" t="n">
        <v>45015</v>
      </c>
      <c r="C965" s="1" t="n">
        <v>45783</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15547-2023</t>
        </is>
      </c>
      <c r="B966" s="1" t="n">
        <v>45020</v>
      </c>
      <c r="C966" s="1" t="n">
        <v>45783</v>
      </c>
      <c r="D966" t="inlineStr">
        <is>
          <t>UPPSALA LÄN</t>
        </is>
      </c>
      <c r="E966" t="inlineStr">
        <is>
          <t>UPPSALA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15551-2023</t>
        </is>
      </c>
      <c r="B967" s="1" t="n">
        <v>45020</v>
      </c>
      <c r="C967" s="1" t="n">
        <v>45783</v>
      </c>
      <c r="D967" t="inlineStr">
        <is>
          <t>UPPSALA LÄN</t>
        </is>
      </c>
      <c r="E967" t="inlineStr">
        <is>
          <t>UPPSALA</t>
        </is>
      </c>
      <c r="G967" t="n">
        <v>3.3</v>
      </c>
      <c r="H967" t="n">
        <v>0</v>
      </c>
      <c r="I967" t="n">
        <v>0</v>
      </c>
      <c r="J967" t="n">
        <v>0</v>
      </c>
      <c r="K967" t="n">
        <v>0</v>
      </c>
      <c r="L967" t="n">
        <v>0</v>
      </c>
      <c r="M967" t="n">
        <v>0</v>
      </c>
      <c r="N967" t="n">
        <v>0</v>
      </c>
      <c r="O967" t="n">
        <v>0</v>
      </c>
      <c r="P967" t="n">
        <v>0</v>
      </c>
      <c r="Q967" t="n">
        <v>0</v>
      </c>
      <c r="R967" s="2" t="inlineStr"/>
    </row>
    <row r="968" ht="15" customHeight="1">
      <c r="A968" t="inlineStr">
        <is>
          <t>A 15629-2023</t>
        </is>
      </c>
      <c r="B968" s="1" t="n">
        <v>45021</v>
      </c>
      <c r="C968" s="1" t="n">
        <v>45783</v>
      </c>
      <c r="D968" t="inlineStr">
        <is>
          <t>UPPSALA LÄN</t>
        </is>
      </c>
      <c r="E968" t="inlineStr">
        <is>
          <t>UPPSALA</t>
        </is>
      </c>
      <c r="F968" t="inlineStr">
        <is>
          <t>Övriga Aktiebolag</t>
        </is>
      </c>
      <c r="G968" t="n">
        <v>7</v>
      </c>
      <c r="H968" t="n">
        <v>0</v>
      </c>
      <c r="I968" t="n">
        <v>0</v>
      </c>
      <c r="J968" t="n">
        <v>0</v>
      </c>
      <c r="K968" t="n">
        <v>0</v>
      </c>
      <c r="L968" t="n">
        <v>0</v>
      </c>
      <c r="M968" t="n">
        <v>0</v>
      </c>
      <c r="N968" t="n">
        <v>0</v>
      </c>
      <c r="O968" t="n">
        <v>0</v>
      </c>
      <c r="P968" t="n">
        <v>0</v>
      </c>
      <c r="Q968" t="n">
        <v>0</v>
      </c>
      <c r="R968" s="2" t="inlineStr"/>
    </row>
    <row r="969" ht="15" customHeight="1">
      <c r="A969" t="inlineStr">
        <is>
          <t>A 16346-2023</t>
        </is>
      </c>
      <c r="B969" s="1" t="n">
        <v>45028</v>
      </c>
      <c r="C969" s="1" t="n">
        <v>45783</v>
      </c>
      <c r="D969" t="inlineStr">
        <is>
          <t>UPPSALA LÄN</t>
        </is>
      </c>
      <c r="E969" t="inlineStr">
        <is>
          <t>UPPSALA</t>
        </is>
      </c>
      <c r="F969" t="inlineStr">
        <is>
          <t>Övriga Aktiebolag</t>
        </is>
      </c>
      <c r="G969" t="n">
        <v>5.7</v>
      </c>
      <c r="H969" t="n">
        <v>0</v>
      </c>
      <c r="I969" t="n">
        <v>0</v>
      </c>
      <c r="J969" t="n">
        <v>0</v>
      </c>
      <c r="K969" t="n">
        <v>0</v>
      </c>
      <c r="L969" t="n">
        <v>0</v>
      </c>
      <c r="M969" t="n">
        <v>0</v>
      </c>
      <c r="N969" t="n">
        <v>0</v>
      </c>
      <c r="O969" t="n">
        <v>0</v>
      </c>
      <c r="P969" t="n">
        <v>0</v>
      </c>
      <c r="Q969" t="n">
        <v>0</v>
      </c>
      <c r="R969" s="2" t="inlineStr"/>
    </row>
    <row r="970" ht="15" customHeight="1">
      <c r="A970" t="inlineStr">
        <is>
          <t>A 16811-2023</t>
        </is>
      </c>
      <c r="B970" s="1" t="n">
        <v>45033</v>
      </c>
      <c r="C970" s="1" t="n">
        <v>45783</v>
      </c>
      <c r="D970" t="inlineStr">
        <is>
          <t>UPPSALA LÄN</t>
        </is>
      </c>
      <c r="E970" t="inlineStr">
        <is>
          <t>UPPSALA</t>
        </is>
      </c>
      <c r="G970" t="n">
        <v>10.1</v>
      </c>
      <c r="H970" t="n">
        <v>0</v>
      </c>
      <c r="I970" t="n">
        <v>0</v>
      </c>
      <c r="J970" t="n">
        <v>0</v>
      </c>
      <c r="K970" t="n">
        <v>0</v>
      </c>
      <c r="L970" t="n">
        <v>0</v>
      </c>
      <c r="M970" t="n">
        <v>0</v>
      </c>
      <c r="N970" t="n">
        <v>0</v>
      </c>
      <c r="O970" t="n">
        <v>0</v>
      </c>
      <c r="P970" t="n">
        <v>0</v>
      </c>
      <c r="Q970" t="n">
        <v>0</v>
      </c>
      <c r="R970" s="2" t="inlineStr"/>
    </row>
    <row r="971" ht="15" customHeight="1">
      <c r="A971" t="inlineStr">
        <is>
          <t>A 17229-2023</t>
        </is>
      </c>
      <c r="B971" s="1" t="n">
        <v>45035</v>
      </c>
      <c r="C971" s="1" t="n">
        <v>45783</v>
      </c>
      <c r="D971" t="inlineStr">
        <is>
          <t>UPPSALA LÄN</t>
        </is>
      </c>
      <c r="E971" t="inlineStr">
        <is>
          <t>UPPSALA</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17280-2023</t>
        </is>
      </c>
      <c r="B972" s="1" t="n">
        <v>45035</v>
      </c>
      <c r="C972" s="1" t="n">
        <v>45783</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17481-2023</t>
        </is>
      </c>
      <c r="B973" s="1" t="n">
        <v>45036</v>
      </c>
      <c r="C973" s="1" t="n">
        <v>45783</v>
      </c>
      <c r="D973" t="inlineStr">
        <is>
          <t>UPPSALA LÄN</t>
        </is>
      </c>
      <c r="E973" t="inlineStr">
        <is>
          <t>UPPSALA</t>
        </is>
      </c>
      <c r="G973" t="n">
        <v>1.9</v>
      </c>
      <c r="H973" t="n">
        <v>0</v>
      </c>
      <c r="I973" t="n">
        <v>0</v>
      </c>
      <c r="J973" t="n">
        <v>0</v>
      </c>
      <c r="K973" t="n">
        <v>0</v>
      </c>
      <c r="L973" t="n">
        <v>0</v>
      </c>
      <c r="M973" t="n">
        <v>0</v>
      </c>
      <c r="N973" t="n">
        <v>0</v>
      </c>
      <c r="O973" t="n">
        <v>0</v>
      </c>
      <c r="P973" t="n">
        <v>0</v>
      </c>
      <c r="Q973" t="n">
        <v>0</v>
      </c>
      <c r="R973" s="2" t="inlineStr"/>
    </row>
    <row r="974" ht="15" customHeight="1">
      <c r="A974" t="inlineStr">
        <is>
          <t>A 17788-2023</t>
        </is>
      </c>
      <c r="B974" s="1" t="n">
        <v>45037</v>
      </c>
      <c r="C974" s="1" t="n">
        <v>45783</v>
      </c>
      <c r="D974" t="inlineStr">
        <is>
          <t>UPPSALA LÄN</t>
        </is>
      </c>
      <c r="E974" t="inlineStr">
        <is>
          <t>UPPSALA</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17938-2023</t>
        </is>
      </c>
      <c r="B975" s="1" t="n">
        <v>45040</v>
      </c>
      <c r="C975" s="1" t="n">
        <v>45783</v>
      </c>
      <c r="D975" t="inlineStr">
        <is>
          <t>UPPSALA LÄN</t>
        </is>
      </c>
      <c r="E975" t="inlineStr">
        <is>
          <t>UPPSALA</t>
        </is>
      </c>
      <c r="G975" t="n">
        <v>2.9</v>
      </c>
      <c r="H975" t="n">
        <v>0</v>
      </c>
      <c r="I975" t="n">
        <v>0</v>
      </c>
      <c r="J975" t="n">
        <v>0</v>
      </c>
      <c r="K975" t="n">
        <v>0</v>
      </c>
      <c r="L975" t="n">
        <v>0</v>
      </c>
      <c r="M975" t="n">
        <v>0</v>
      </c>
      <c r="N975" t="n">
        <v>0</v>
      </c>
      <c r="O975" t="n">
        <v>0</v>
      </c>
      <c r="P975" t="n">
        <v>0</v>
      </c>
      <c r="Q975" t="n">
        <v>0</v>
      </c>
      <c r="R975" s="2" t="inlineStr"/>
    </row>
    <row r="976" ht="15" customHeight="1">
      <c r="A976" t="inlineStr">
        <is>
          <t>A 18277-2023</t>
        </is>
      </c>
      <c r="B976" s="1" t="n">
        <v>45041</v>
      </c>
      <c r="C976" s="1" t="n">
        <v>45783</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18275-2023</t>
        </is>
      </c>
      <c r="B977" s="1" t="n">
        <v>45041</v>
      </c>
      <c r="C977" s="1" t="n">
        <v>45783</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18278-2023</t>
        </is>
      </c>
      <c r="B978" s="1" t="n">
        <v>45041</v>
      </c>
      <c r="C978" s="1" t="n">
        <v>45783</v>
      </c>
      <c r="D978" t="inlineStr">
        <is>
          <t>UPPSALA LÄN</t>
        </is>
      </c>
      <c r="E978" t="inlineStr">
        <is>
          <t>UPPSALA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18276-2023</t>
        </is>
      </c>
      <c r="B979" s="1" t="n">
        <v>45041</v>
      </c>
      <c r="C979" s="1" t="n">
        <v>45783</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18443-2023</t>
        </is>
      </c>
      <c r="B980" s="1" t="n">
        <v>45042</v>
      </c>
      <c r="C980" s="1" t="n">
        <v>45783</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18496-2023</t>
        </is>
      </c>
      <c r="B981" s="1" t="n">
        <v>45042</v>
      </c>
      <c r="C981" s="1" t="n">
        <v>45783</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18507-2023</t>
        </is>
      </c>
      <c r="B982" s="1" t="n">
        <v>45042</v>
      </c>
      <c r="C982" s="1" t="n">
        <v>45783</v>
      </c>
      <c r="D982" t="inlineStr">
        <is>
          <t>UPPSALA LÄN</t>
        </is>
      </c>
      <c r="E982" t="inlineStr">
        <is>
          <t>UPPSALA</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18472-2023</t>
        </is>
      </c>
      <c r="B983" s="1" t="n">
        <v>45042</v>
      </c>
      <c r="C983" s="1" t="n">
        <v>45783</v>
      </c>
      <c r="D983" t="inlineStr">
        <is>
          <t>UPPSALA LÄN</t>
        </is>
      </c>
      <c r="E983" t="inlineStr">
        <is>
          <t>UPPSALA</t>
        </is>
      </c>
      <c r="F983" t="inlineStr">
        <is>
          <t>Övriga Aktiebolag</t>
        </is>
      </c>
      <c r="G983" t="n">
        <v>3</v>
      </c>
      <c r="H983" t="n">
        <v>0</v>
      </c>
      <c r="I983" t="n">
        <v>0</v>
      </c>
      <c r="J983" t="n">
        <v>0</v>
      </c>
      <c r="K983" t="n">
        <v>0</v>
      </c>
      <c r="L983" t="n">
        <v>0</v>
      </c>
      <c r="M983" t="n">
        <v>0</v>
      </c>
      <c r="N983" t="n">
        <v>0</v>
      </c>
      <c r="O983" t="n">
        <v>0</v>
      </c>
      <c r="P983" t="n">
        <v>0</v>
      </c>
      <c r="Q983" t="n">
        <v>0</v>
      </c>
      <c r="R983" s="2" t="inlineStr"/>
    </row>
    <row r="984" ht="15" customHeight="1">
      <c r="A984" t="inlineStr">
        <is>
          <t>A 18710-2023</t>
        </is>
      </c>
      <c r="B984" s="1" t="n">
        <v>45043</v>
      </c>
      <c r="C984" s="1" t="n">
        <v>45783</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19017-2023</t>
        </is>
      </c>
      <c r="B985" s="1" t="n">
        <v>45047</v>
      </c>
      <c r="C985" s="1" t="n">
        <v>45783</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19135-2023</t>
        </is>
      </c>
      <c r="B986" s="1" t="n">
        <v>45048</v>
      </c>
      <c r="C986" s="1" t="n">
        <v>45783</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19139-2023</t>
        </is>
      </c>
      <c r="B987" s="1" t="n">
        <v>45048</v>
      </c>
      <c r="C987" s="1" t="n">
        <v>45783</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19279-2023</t>
        </is>
      </c>
      <c r="B988" s="1" t="n">
        <v>45049</v>
      </c>
      <c r="C988" s="1" t="n">
        <v>45783</v>
      </c>
      <c r="D988" t="inlineStr">
        <is>
          <t>UPPSALA LÄN</t>
        </is>
      </c>
      <c r="E988" t="inlineStr">
        <is>
          <t>UPPSALA</t>
        </is>
      </c>
      <c r="G988" t="n">
        <v>5.8</v>
      </c>
      <c r="H988" t="n">
        <v>0</v>
      </c>
      <c r="I988" t="n">
        <v>0</v>
      </c>
      <c r="J988" t="n">
        <v>0</v>
      </c>
      <c r="K988" t="n">
        <v>0</v>
      </c>
      <c r="L988" t="n">
        <v>0</v>
      </c>
      <c r="M988" t="n">
        <v>0</v>
      </c>
      <c r="N988" t="n">
        <v>0</v>
      </c>
      <c r="O988" t="n">
        <v>0</v>
      </c>
      <c r="P988" t="n">
        <v>0</v>
      </c>
      <c r="Q988" t="n">
        <v>0</v>
      </c>
      <c r="R988" s="2" t="inlineStr"/>
    </row>
    <row r="989" ht="15" customHeight="1">
      <c r="A989" t="inlineStr">
        <is>
          <t>A 19269-2023</t>
        </is>
      </c>
      <c r="B989" s="1" t="n">
        <v>45049</v>
      </c>
      <c r="C989" s="1" t="n">
        <v>45783</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19314-2023</t>
        </is>
      </c>
      <c r="B990" s="1" t="n">
        <v>45049</v>
      </c>
      <c r="C990" s="1" t="n">
        <v>45783</v>
      </c>
      <c r="D990" t="inlineStr">
        <is>
          <t>UPPSALA LÄN</t>
        </is>
      </c>
      <c r="E990" t="inlineStr">
        <is>
          <t>UPPSALA</t>
        </is>
      </c>
      <c r="G990" t="n">
        <v>9</v>
      </c>
      <c r="H990" t="n">
        <v>0</v>
      </c>
      <c r="I990" t="n">
        <v>0</v>
      </c>
      <c r="J990" t="n">
        <v>0</v>
      </c>
      <c r="K990" t="n">
        <v>0</v>
      </c>
      <c r="L990" t="n">
        <v>0</v>
      </c>
      <c r="M990" t="n">
        <v>0</v>
      </c>
      <c r="N990" t="n">
        <v>0</v>
      </c>
      <c r="O990" t="n">
        <v>0</v>
      </c>
      <c r="P990" t="n">
        <v>0</v>
      </c>
      <c r="Q990" t="n">
        <v>0</v>
      </c>
      <c r="R990" s="2" t="inlineStr"/>
    </row>
    <row r="991" ht="15" customHeight="1">
      <c r="A991" t="inlineStr">
        <is>
          <t>A 19320-2023</t>
        </is>
      </c>
      <c r="B991" s="1" t="n">
        <v>45049</v>
      </c>
      <c r="C991" s="1" t="n">
        <v>45783</v>
      </c>
      <c r="D991" t="inlineStr">
        <is>
          <t>UPPSALA LÄN</t>
        </is>
      </c>
      <c r="E991" t="inlineStr">
        <is>
          <t>UPPSALA</t>
        </is>
      </c>
      <c r="G991" t="n">
        <v>17.5</v>
      </c>
      <c r="H991" t="n">
        <v>0</v>
      </c>
      <c r="I991" t="n">
        <v>0</v>
      </c>
      <c r="J991" t="n">
        <v>0</v>
      </c>
      <c r="K991" t="n">
        <v>0</v>
      </c>
      <c r="L991" t="n">
        <v>0</v>
      </c>
      <c r="M991" t="n">
        <v>0</v>
      </c>
      <c r="N991" t="n">
        <v>0</v>
      </c>
      <c r="O991" t="n">
        <v>0</v>
      </c>
      <c r="P991" t="n">
        <v>0</v>
      </c>
      <c r="Q991" t="n">
        <v>0</v>
      </c>
      <c r="R991" s="2" t="inlineStr"/>
    </row>
    <row r="992" ht="15" customHeight="1">
      <c r="A992" t="inlineStr">
        <is>
          <t>A 19339-2023</t>
        </is>
      </c>
      <c r="B992" s="1" t="n">
        <v>45049</v>
      </c>
      <c r="C992" s="1" t="n">
        <v>45783</v>
      </c>
      <c r="D992" t="inlineStr">
        <is>
          <t>UPPSALA LÄN</t>
        </is>
      </c>
      <c r="E992" t="inlineStr">
        <is>
          <t>UPPSALA</t>
        </is>
      </c>
      <c r="G992" t="n">
        <v>6.9</v>
      </c>
      <c r="H992" t="n">
        <v>0</v>
      </c>
      <c r="I992" t="n">
        <v>0</v>
      </c>
      <c r="J992" t="n">
        <v>0</v>
      </c>
      <c r="K992" t="n">
        <v>0</v>
      </c>
      <c r="L992" t="n">
        <v>0</v>
      </c>
      <c r="M992" t="n">
        <v>0</v>
      </c>
      <c r="N992" t="n">
        <v>0</v>
      </c>
      <c r="O992" t="n">
        <v>0</v>
      </c>
      <c r="P992" t="n">
        <v>0</v>
      </c>
      <c r="Q992" t="n">
        <v>0</v>
      </c>
      <c r="R992" s="2" t="inlineStr"/>
    </row>
    <row r="993" ht="15" customHeight="1">
      <c r="A993" t="inlineStr">
        <is>
          <t>A 19380-2023</t>
        </is>
      </c>
      <c r="B993" s="1" t="n">
        <v>45049</v>
      </c>
      <c r="C993" s="1" t="n">
        <v>45783</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19411-2023</t>
        </is>
      </c>
      <c r="B994" s="1" t="n">
        <v>45049</v>
      </c>
      <c r="C994" s="1" t="n">
        <v>45783</v>
      </c>
      <c r="D994" t="inlineStr">
        <is>
          <t>UPPSALA LÄN</t>
        </is>
      </c>
      <c r="E994" t="inlineStr">
        <is>
          <t>UPPSALA</t>
        </is>
      </c>
      <c r="G994" t="n">
        <v>12.6</v>
      </c>
      <c r="H994" t="n">
        <v>0</v>
      </c>
      <c r="I994" t="n">
        <v>0</v>
      </c>
      <c r="J994" t="n">
        <v>0</v>
      </c>
      <c r="K994" t="n">
        <v>0</v>
      </c>
      <c r="L994" t="n">
        <v>0</v>
      </c>
      <c r="M994" t="n">
        <v>0</v>
      </c>
      <c r="N994" t="n">
        <v>0</v>
      </c>
      <c r="O994" t="n">
        <v>0</v>
      </c>
      <c r="P994" t="n">
        <v>0</v>
      </c>
      <c r="Q994" t="n">
        <v>0</v>
      </c>
      <c r="R994" s="2" t="inlineStr"/>
    </row>
    <row r="995" ht="15" customHeight="1">
      <c r="A995" t="inlineStr">
        <is>
          <t>A 19272-2023</t>
        </is>
      </c>
      <c r="B995" s="1" t="n">
        <v>45049</v>
      </c>
      <c r="C995" s="1" t="n">
        <v>45783</v>
      </c>
      <c r="D995" t="inlineStr">
        <is>
          <t>UPPSALA LÄN</t>
        </is>
      </c>
      <c r="E995" t="inlineStr">
        <is>
          <t>UPPSALA</t>
        </is>
      </c>
      <c r="G995" t="n">
        <v>4.9</v>
      </c>
      <c r="H995" t="n">
        <v>0</v>
      </c>
      <c r="I995" t="n">
        <v>0</v>
      </c>
      <c r="J995" t="n">
        <v>0</v>
      </c>
      <c r="K995" t="n">
        <v>0</v>
      </c>
      <c r="L995" t="n">
        <v>0</v>
      </c>
      <c r="M995" t="n">
        <v>0</v>
      </c>
      <c r="N995" t="n">
        <v>0</v>
      </c>
      <c r="O995" t="n">
        <v>0</v>
      </c>
      <c r="P995" t="n">
        <v>0</v>
      </c>
      <c r="Q995" t="n">
        <v>0</v>
      </c>
      <c r="R995" s="2" t="inlineStr"/>
    </row>
    <row r="996" ht="15" customHeight="1">
      <c r="A996" t="inlineStr">
        <is>
          <t>A 19276-2023</t>
        </is>
      </c>
      <c r="B996" s="1" t="n">
        <v>45049</v>
      </c>
      <c r="C996" s="1" t="n">
        <v>45783</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19317-2023</t>
        </is>
      </c>
      <c r="B997" s="1" t="n">
        <v>45049</v>
      </c>
      <c r="C997" s="1" t="n">
        <v>45783</v>
      </c>
      <c r="D997" t="inlineStr">
        <is>
          <t>UPPSALA LÄN</t>
        </is>
      </c>
      <c r="E997" t="inlineStr">
        <is>
          <t>UPPSALA</t>
        </is>
      </c>
      <c r="G997" t="n">
        <v>15.4</v>
      </c>
      <c r="H997" t="n">
        <v>0</v>
      </c>
      <c r="I997" t="n">
        <v>0</v>
      </c>
      <c r="J997" t="n">
        <v>0</v>
      </c>
      <c r="K997" t="n">
        <v>0</v>
      </c>
      <c r="L997" t="n">
        <v>0</v>
      </c>
      <c r="M997" t="n">
        <v>0</v>
      </c>
      <c r="N997" t="n">
        <v>0</v>
      </c>
      <c r="O997" t="n">
        <v>0</v>
      </c>
      <c r="P997" t="n">
        <v>0</v>
      </c>
      <c r="Q997" t="n">
        <v>0</v>
      </c>
      <c r="R997" s="2" t="inlineStr"/>
    </row>
    <row r="998" ht="15" customHeight="1">
      <c r="A998" t="inlineStr">
        <is>
          <t>A 19409-2023</t>
        </is>
      </c>
      <c r="B998" s="1" t="n">
        <v>45049</v>
      </c>
      <c r="C998" s="1" t="n">
        <v>45783</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19455-2023</t>
        </is>
      </c>
      <c r="B999" s="1" t="n">
        <v>45050</v>
      </c>
      <c r="C999" s="1" t="n">
        <v>45783</v>
      </c>
      <c r="D999" t="inlineStr">
        <is>
          <t>UPPSALA LÄN</t>
        </is>
      </c>
      <c r="E999" t="inlineStr">
        <is>
          <t>UPPSALA</t>
        </is>
      </c>
      <c r="G999" t="n">
        <v>3.7</v>
      </c>
      <c r="H999" t="n">
        <v>0</v>
      </c>
      <c r="I999" t="n">
        <v>0</v>
      </c>
      <c r="J999" t="n">
        <v>0</v>
      </c>
      <c r="K999" t="n">
        <v>0</v>
      </c>
      <c r="L999" t="n">
        <v>0</v>
      </c>
      <c r="M999" t="n">
        <v>0</v>
      </c>
      <c r="N999" t="n">
        <v>0</v>
      </c>
      <c r="O999" t="n">
        <v>0</v>
      </c>
      <c r="P999" t="n">
        <v>0</v>
      </c>
      <c r="Q999" t="n">
        <v>0</v>
      </c>
      <c r="R999" s="2" t="inlineStr"/>
    </row>
    <row r="1000" ht="15" customHeight="1">
      <c r="A1000" t="inlineStr">
        <is>
          <t>A 19515-2023</t>
        </is>
      </c>
      <c r="B1000" s="1" t="n">
        <v>45050</v>
      </c>
      <c r="C1000" s="1" t="n">
        <v>45783</v>
      </c>
      <c r="D1000" t="inlineStr">
        <is>
          <t>UPPSALA LÄN</t>
        </is>
      </c>
      <c r="E1000" t="inlineStr">
        <is>
          <t>UPPSALA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19447-2023</t>
        </is>
      </c>
      <c r="B1001" s="1" t="n">
        <v>45050</v>
      </c>
      <c r="C1001" s="1" t="n">
        <v>45783</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19513-2023</t>
        </is>
      </c>
      <c r="B1002" s="1" t="n">
        <v>45050</v>
      </c>
      <c r="C1002" s="1" t="n">
        <v>45783</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19516-2023</t>
        </is>
      </c>
      <c r="B1003" s="1" t="n">
        <v>45050</v>
      </c>
      <c r="C1003" s="1" t="n">
        <v>45783</v>
      </c>
      <c r="D1003" t="inlineStr">
        <is>
          <t>UPPSALA LÄN</t>
        </is>
      </c>
      <c r="E1003" t="inlineStr">
        <is>
          <t>UPPSALA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19920-2023</t>
        </is>
      </c>
      <c r="B1004" s="1" t="n">
        <v>45054</v>
      </c>
      <c r="C1004" s="1" t="n">
        <v>45783</v>
      </c>
      <c r="D1004" t="inlineStr">
        <is>
          <t>UPPSALA LÄN</t>
        </is>
      </c>
      <c r="E1004" t="inlineStr">
        <is>
          <t>UPPSALA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20087-2023</t>
        </is>
      </c>
      <c r="B1005" s="1" t="n">
        <v>45055</v>
      </c>
      <c r="C1005" s="1" t="n">
        <v>45783</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20102-2023</t>
        </is>
      </c>
      <c r="B1006" s="1" t="n">
        <v>45055</v>
      </c>
      <c r="C1006" s="1" t="n">
        <v>45783</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20105-2023</t>
        </is>
      </c>
      <c r="B1007" s="1" t="n">
        <v>45055</v>
      </c>
      <c r="C1007" s="1" t="n">
        <v>45783</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20206-2023</t>
        </is>
      </c>
      <c r="B1008" s="1" t="n">
        <v>45055</v>
      </c>
      <c r="C1008" s="1" t="n">
        <v>45783</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20438-2023</t>
        </is>
      </c>
      <c r="B1009" s="1" t="n">
        <v>45056</v>
      </c>
      <c r="C1009" s="1" t="n">
        <v>45783</v>
      </c>
      <c r="D1009" t="inlineStr">
        <is>
          <t>UPPSALA LÄN</t>
        </is>
      </c>
      <c r="E1009" t="inlineStr">
        <is>
          <t>UPPSALA</t>
        </is>
      </c>
      <c r="F1009" t="inlineStr">
        <is>
          <t>Holmen skog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20440-2023</t>
        </is>
      </c>
      <c r="B1010" s="1" t="n">
        <v>45056</v>
      </c>
      <c r="C1010" s="1" t="n">
        <v>45783</v>
      </c>
      <c r="D1010" t="inlineStr">
        <is>
          <t>UPPSALA LÄN</t>
        </is>
      </c>
      <c r="E1010" t="inlineStr">
        <is>
          <t>UPPSALA</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20437-2023</t>
        </is>
      </c>
      <c r="B1011" s="1" t="n">
        <v>45056</v>
      </c>
      <c r="C1011" s="1" t="n">
        <v>45783</v>
      </c>
      <c r="D1011" t="inlineStr">
        <is>
          <t>UPPSALA LÄN</t>
        </is>
      </c>
      <c r="E1011" t="inlineStr">
        <is>
          <t>UPPSALA</t>
        </is>
      </c>
      <c r="F1011" t="inlineStr">
        <is>
          <t>Holmen skog AB</t>
        </is>
      </c>
      <c r="G1011" t="n">
        <v>20.1</v>
      </c>
      <c r="H1011" t="n">
        <v>0</v>
      </c>
      <c r="I1011" t="n">
        <v>0</v>
      </c>
      <c r="J1011" t="n">
        <v>0</v>
      </c>
      <c r="K1011" t="n">
        <v>0</v>
      </c>
      <c r="L1011" t="n">
        <v>0</v>
      </c>
      <c r="M1011" t="n">
        <v>0</v>
      </c>
      <c r="N1011" t="n">
        <v>0</v>
      </c>
      <c r="O1011" t="n">
        <v>0</v>
      </c>
      <c r="P1011" t="n">
        <v>0</v>
      </c>
      <c r="Q1011" t="n">
        <v>0</v>
      </c>
      <c r="R1011" s="2" t="inlineStr"/>
    </row>
    <row r="1012" ht="15" customHeight="1">
      <c r="A1012" t="inlineStr">
        <is>
          <t>A 20550-2023</t>
        </is>
      </c>
      <c r="B1012" s="1" t="n">
        <v>45057</v>
      </c>
      <c r="C1012" s="1" t="n">
        <v>45783</v>
      </c>
      <c r="D1012" t="inlineStr">
        <is>
          <t>UPPSALA LÄN</t>
        </is>
      </c>
      <c r="E1012" t="inlineStr">
        <is>
          <t>UPPSALA</t>
        </is>
      </c>
      <c r="F1012" t="inlineStr">
        <is>
          <t>Övriga Aktiebolag</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20670-2023</t>
        </is>
      </c>
      <c r="B1013" s="1" t="n">
        <v>45058</v>
      </c>
      <c r="C1013" s="1" t="n">
        <v>45783</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20692-2023</t>
        </is>
      </c>
      <c r="B1014" s="1" t="n">
        <v>45058</v>
      </c>
      <c r="C1014" s="1" t="n">
        <v>45783</v>
      </c>
      <c r="D1014" t="inlineStr">
        <is>
          <t>UPPSALA LÄN</t>
        </is>
      </c>
      <c r="E1014" t="inlineStr">
        <is>
          <t>UPPSALA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20667-2023</t>
        </is>
      </c>
      <c r="B1015" s="1" t="n">
        <v>45058</v>
      </c>
      <c r="C1015" s="1" t="n">
        <v>45783</v>
      </c>
      <c r="D1015" t="inlineStr">
        <is>
          <t>UPPSALA LÄN</t>
        </is>
      </c>
      <c r="E1015" t="inlineStr">
        <is>
          <t>UPPSALA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20708-2023</t>
        </is>
      </c>
      <c r="B1016" s="1" t="n">
        <v>45058</v>
      </c>
      <c r="C1016" s="1" t="n">
        <v>45783</v>
      </c>
      <c r="D1016" t="inlineStr">
        <is>
          <t>UPPSALA LÄN</t>
        </is>
      </c>
      <c r="E1016" t="inlineStr">
        <is>
          <t>UPPSALA</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20669-2023</t>
        </is>
      </c>
      <c r="B1017" s="1" t="n">
        <v>45058</v>
      </c>
      <c r="C1017" s="1" t="n">
        <v>45783</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20786-2023</t>
        </is>
      </c>
      <c r="B1018" s="1" t="n">
        <v>45058</v>
      </c>
      <c r="C1018" s="1" t="n">
        <v>45783</v>
      </c>
      <c r="D1018" t="inlineStr">
        <is>
          <t>UPPSALA LÄN</t>
        </is>
      </c>
      <c r="E1018" t="inlineStr">
        <is>
          <t>UPPSALA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20900-2023</t>
        </is>
      </c>
      <c r="B1019" s="1" t="n">
        <v>45060</v>
      </c>
      <c r="C1019" s="1" t="n">
        <v>45783</v>
      </c>
      <c r="D1019" t="inlineStr">
        <is>
          <t>UPPSALA LÄN</t>
        </is>
      </c>
      <c r="E1019" t="inlineStr">
        <is>
          <t>UPPSALA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21052-2023</t>
        </is>
      </c>
      <c r="B1020" s="1" t="n">
        <v>45061</v>
      </c>
      <c r="C1020" s="1" t="n">
        <v>45783</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21416-2023</t>
        </is>
      </c>
      <c r="B1021" s="1" t="n">
        <v>45063</v>
      </c>
      <c r="C1021" s="1" t="n">
        <v>45783</v>
      </c>
      <c r="D1021" t="inlineStr">
        <is>
          <t>UPPSALA LÄN</t>
        </is>
      </c>
      <c r="E1021" t="inlineStr">
        <is>
          <t>UPPSALA</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21424-2023</t>
        </is>
      </c>
      <c r="B1022" s="1" t="n">
        <v>45063</v>
      </c>
      <c r="C1022" s="1" t="n">
        <v>45783</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21727-2023</t>
        </is>
      </c>
      <c r="B1023" s="1" t="n">
        <v>45065</v>
      </c>
      <c r="C1023" s="1" t="n">
        <v>45783</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21935-2023</t>
        </is>
      </c>
      <c r="B1024" s="1" t="n">
        <v>45068</v>
      </c>
      <c r="C1024" s="1" t="n">
        <v>45783</v>
      </c>
      <c r="D1024" t="inlineStr">
        <is>
          <t>UPPSALA LÄN</t>
        </is>
      </c>
      <c r="E1024" t="inlineStr">
        <is>
          <t>UPPSALA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22450-2023</t>
        </is>
      </c>
      <c r="B1025" s="1" t="n">
        <v>45070</v>
      </c>
      <c r="C1025" s="1" t="n">
        <v>45783</v>
      </c>
      <c r="D1025" t="inlineStr">
        <is>
          <t>UPPSALA LÄN</t>
        </is>
      </c>
      <c r="E1025" t="inlineStr">
        <is>
          <t>UPPSALA</t>
        </is>
      </c>
      <c r="F1025" t="inlineStr">
        <is>
          <t>Allmännings- och besparingsskogar</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23159-2023</t>
        </is>
      </c>
      <c r="B1026" s="1" t="n">
        <v>45075</v>
      </c>
      <c r="C1026" s="1" t="n">
        <v>45783</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23157-2023</t>
        </is>
      </c>
      <c r="B1027" s="1" t="n">
        <v>45075</v>
      </c>
      <c r="C1027" s="1" t="n">
        <v>45783</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23929-2023</t>
        </is>
      </c>
      <c r="B1028" s="1" t="n">
        <v>45078</v>
      </c>
      <c r="C1028" s="1" t="n">
        <v>45783</v>
      </c>
      <c r="D1028" t="inlineStr">
        <is>
          <t>UPPSALA LÄN</t>
        </is>
      </c>
      <c r="E1028" t="inlineStr">
        <is>
          <t>UPPSALA</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24012-2023</t>
        </is>
      </c>
      <c r="B1029" s="1" t="n">
        <v>45078</v>
      </c>
      <c r="C1029" s="1" t="n">
        <v>45783</v>
      </c>
      <c r="D1029" t="inlineStr">
        <is>
          <t>UPPSALA LÄN</t>
        </is>
      </c>
      <c r="E1029" t="inlineStr">
        <is>
          <t>UPPSALA</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24016-2023</t>
        </is>
      </c>
      <c r="B1030" s="1" t="n">
        <v>45078</v>
      </c>
      <c r="C1030" s="1" t="n">
        <v>45783</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24009-2023</t>
        </is>
      </c>
      <c r="B1031" s="1" t="n">
        <v>45078</v>
      </c>
      <c r="C1031" s="1" t="n">
        <v>45783</v>
      </c>
      <c r="D1031" t="inlineStr">
        <is>
          <t>UPPSALA LÄN</t>
        </is>
      </c>
      <c r="E1031" t="inlineStr">
        <is>
          <t>UPPSALA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24174-2023</t>
        </is>
      </c>
      <c r="B1032" s="1" t="n">
        <v>45079</v>
      </c>
      <c r="C1032" s="1" t="n">
        <v>45783</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24670-2023</t>
        </is>
      </c>
      <c r="B1033" s="1" t="n">
        <v>45084</v>
      </c>
      <c r="C1033" s="1" t="n">
        <v>45783</v>
      </c>
      <c r="D1033" t="inlineStr">
        <is>
          <t>UPPSALA LÄN</t>
        </is>
      </c>
      <c r="E1033" t="inlineStr">
        <is>
          <t>UPPSALA</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25264-2023</t>
        </is>
      </c>
      <c r="B1034" s="1" t="n">
        <v>45086</v>
      </c>
      <c r="C1034" s="1" t="n">
        <v>45783</v>
      </c>
      <c r="D1034" t="inlineStr">
        <is>
          <t>UPPSALA LÄN</t>
        </is>
      </c>
      <c r="E1034" t="inlineStr">
        <is>
          <t>UPPSALA</t>
        </is>
      </c>
      <c r="F1034" t="inlineStr">
        <is>
          <t>Holmen skog AB</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25280-2023</t>
        </is>
      </c>
      <c r="B1035" s="1" t="n">
        <v>45086</v>
      </c>
      <c r="C1035" s="1" t="n">
        <v>45783</v>
      </c>
      <c r="D1035" t="inlineStr">
        <is>
          <t>UPPSALA LÄN</t>
        </is>
      </c>
      <c r="E1035" t="inlineStr">
        <is>
          <t>UPPSALA</t>
        </is>
      </c>
      <c r="F1035" t="inlineStr">
        <is>
          <t>Holmen skog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25380-2023</t>
        </is>
      </c>
      <c r="B1036" s="1" t="n">
        <v>45089</v>
      </c>
      <c r="C1036" s="1" t="n">
        <v>45783</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25381-2023</t>
        </is>
      </c>
      <c r="B1037" s="1" t="n">
        <v>45089</v>
      </c>
      <c r="C1037" s="1" t="n">
        <v>45783</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25446-2023</t>
        </is>
      </c>
      <c r="B1038" s="1" t="n">
        <v>45089</v>
      </c>
      <c r="C1038" s="1" t="n">
        <v>45783</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25462-2023</t>
        </is>
      </c>
      <c r="B1039" s="1" t="n">
        <v>45089</v>
      </c>
      <c r="C1039" s="1" t="n">
        <v>45783</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25939-2023</t>
        </is>
      </c>
      <c r="B1040" s="1" t="n">
        <v>45090</v>
      </c>
      <c r="C1040" s="1" t="n">
        <v>45783</v>
      </c>
      <c r="D1040" t="inlineStr">
        <is>
          <t>UPPSALA LÄN</t>
        </is>
      </c>
      <c r="E1040" t="inlineStr">
        <is>
          <t>UPPSALA</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26208-2023</t>
        </is>
      </c>
      <c r="B1041" s="1" t="n">
        <v>45091</v>
      </c>
      <c r="C1041" s="1" t="n">
        <v>45783</v>
      </c>
      <c r="D1041" t="inlineStr">
        <is>
          <t>UPPSALA LÄN</t>
        </is>
      </c>
      <c r="E1041" t="inlineStr">
        <is>
          <t>UPPSALA</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26298-2023</t>
        </is>
      </c>
      <c r="B1042" s="1" t="n">
        <v>45091</v>
      </c>
      <c r="C1042" s="1" t="n">
        <v>45783</v>
      </c>
      <c r="D1042" t="inlineStr">
        <is>
          <t>UPPSALA LÄN</t>
        </is>
      </c>
      <c r="E1042" t="inlineStr">
        <is>
          <t>UPPSALA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26323-2023</t>
        </is>
      </c>
      <c r="B1043" s="1" t="n">
        <v>45091</v>
      </c>
      <c r="C1043" s="1" t="n">
        <v>45783</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26081-2023</t>
        </is>
      </c>
      <c r="B1044" s="1" t="n">
        <v>45091</v>
      </c>
      <c r="C1044" s="1" t="n">
        <v>45783</v>
      </c>
      <c r="D1044" t="inlineStr">
        <is>
          <t>UPPSALA LÄN</t>
        </is>
      </c>
      <c r="E1044" t="inlineStr">
        <is>
          <t>UPPSALA</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26143-2023</t>
        </is>
      </c>
      <c r="B1045" s="1" t="n">
        <v>45091</v>
      </c>
      <c r="C1045" s="1" t="n">
        <v>45783</v>
      </c>
      <c r="D1045" t="inlineStr">
        <is>
          <t>UPPSALA LÄN</t>
        </is>
      </c>
      <c r="E1045" t="inlineStr">
        <is>
          <t>UPPSALA</t>
        </is>
      </c>
      <c r="F1045" t="inlineStr">
        <is>
          <t>Holmen skog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26134-2023</t>
        </is>
      </c>
      <c r="B1046" s="1" t="n">
        <v>45091</v>
      </c>
      <c r="C1046" s="1" t="n">
        <v>45783</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26759-2023</t>
        </is>
      </c>
      <c r="B1047" s="1" t="n">
        <v>45093</v>
      </c>
      <c r="C1047" s="1" t="n">
        <v>45783</v>
      </c>
      <c r="D1047" t="inlineStr">
        <is>
          <t>UPPSALA LÄN</t>
        </is>
      </c>
      <c r="E1047" t="inlineStr">
        <is>
          <t>UPPSALA</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26762-2023</t>
        </is>
      </c>
      <c r="B1048" s="1" t="n">
        <v>45093</v>
      </c>
      <c r="C1048" s="1" t="n">
        <v>45783</v>
      </c>
      <c r="D1048" t="inlineStr">
        <is>
          <t>UPPSALA LÄN</t>
        </is>
      </c>
      <c r="E1048" t="inlineStr">
        <is>
          <t>UPPSALA</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27128-2023</t>
        </is>
      </c>
      <c r="B1049" s="1" t="n">
        <v>45096</v>
      </c>
      <c r="C1049" s="1" t="n">
        <v>45783</v>
      </c>
      <c r="D1049" t="inlineStr">
        <is>
          <t>UPPSALA LÄN</t>
        </is>
      </c>
      <c r="E1049" t="inlineStr">
        <is>
          <t>UPPSALA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27068-2023</t>
        </is>
      </c>
      <c r="B1050" s="1" t="n">
        <v>45096</v>
      </c>
      <c r="C1050" s="1" t="n">
        <v>45783</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27119-2023</t>
        </is>
      </c>
      <c r="B1051" s="1" t="n">
        <v>45096</v>
      </c>
      <c r="C1051" s="1" t="n">
        <v>45783</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27123-2023</t>
        </is>
      </c>
      <c r="B1052" s="1" t="n">
        <v>45096</v>
      </c>
      <c r="C1052" s="1" t="n">
        <v>45783</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27126-2023</t>
        </is>
      </c>
      <c r="B1053" s="1" t="n">
        <v>45096</v>
      </c>
      <c r="C1053" s="1" t="n">
        <v>45783</v>
      </c>
      <c r="D1053" t="inlineStr">
        <is>
          <t>UPPSALA LÄN</t>
        </is>
      </c>
      <c r="E1053" t="inlineStr">
        <is>
          <t>UPPSALA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27104-2023</t>
        </is>
      </c>
      <c r="B1054" s="1" t="n">
        <v>45096</v>
      </c>
      <c r="C1054" s="1" t="n">
        <v>45783</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27121-2023</t>
        </is>
      </c>
      <c r="B1055" s="1" t="n">
        <v>45096</v>
      </c>
      <c r="C1055" s="1" t="n">
        <v>45783</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27125-2023</t>
        </is>
      </c>
      <c r="B1056" s="1" t="n">
        <v>45096</v>
      </c>
      <c r="C1056" s="1" t="n">
        <v>45783</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27254-2023</t>
        </is>
      </c>
      <c r="B1057" s="1" t="n">
        <v>45096</v>
      </c>
      <c r="C1057" s="1" t="n">
        <v>45783</v>
      </c>
      <c r="D1057" t="inlineStr">
        <is>
          <t>UPPSALA LÄN</t>
        </is>
      </c>
      <c r="E1057" t="inlineStr">
        <is>
          <t>UPPSALA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27467-2023</t>
        </is>
      </c>
      <c r="B1058" s="1" t="n">
        <v>45097</v>
      </c>
      <c r="C1058" s="1" t="n">
        <v>45783</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27617-2023</t>
        </is>
      </c>
      <c r="B1059" s="1" t="n">
        <v>45097</v>
      </c>
      <c r="C1059" s="1" t="n">
        <v>45783</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27622-2023</t>
        </is>
      </c>
      <c r="B1060" s="1" t="n">
        <v>45097</v>
      </c>
      <c r="C1060" s="1" t="n">
        <v>45783</v>
      </c>
      <c r="D1060" t="inlineStr">
        <is>
          <t>UPPSALA LÄN</t>
        </is>
      </c>
      <c r="E1060" t="inlineStr">
        <is>
          <t>UPPSALA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27599-2023</t>
        </is>
      </c>
      <c r="B1061" s="1" t="n">
        <v>45097</v>
      </c>
      <c r="C1061" s="1" t="n">
        <v>45783</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27620-2023</t>
        </is>
      </c>
      <c r="B1062" s="1" t="n">
        <v>45097</v>
      </c>
      <c r="C1062" s="1" t="n">
        <v>45783</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27912-2023</t>
        </is>
      </c>
      <c r="B1063" s="1" t="n">
        <v>45098</v>
      </c>
      <c r="C1063" s="1" t="n">
        <v>45783</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27903-2023</t>
        </is>
      </c>
      <c r="B1064" s="1" t="n">
        <v>45098</v>
      </c>
      <c r="C1064" s="1" t="n">
        <v>45783</v>
      </c>
      <c r="D1064" t="inlineStr">
        <is>
          <t>UPPSALA LÄN</t>
        </is>
      </c>
      <c r="E1064" t="inlineStr">
        <is>
          <t>UPPSALA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27930-2023</t>
        </is>
      </c>
      <c r="B1065" s="1" t="n">
        <v>45098</v>
      </c>
      <c r="C1065" s="1" t="n">
        <v>45783</v>
      </c>
      <c r="D1065" t="inlineStr">
        <is>
          <t>UPPSALA LÄN</t>
        </is>
      </c>
      <c r="E1065" t="inlineStr">
        <is>
          <t>UPPSALA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28186-2023</t>
        </is>
      </c>
      <c r="B1066" s="1" t="n">
        <v>45099</v>
      </c>
      <c r="C1066" s="1" t="n">
        <v>45783</v>
      </c>
      <c r="D1066" t="inlineStr">
        <is>
          <t>UPPSALA LÄN</t>
        </is>
      </c>
      <c r="E1066" t="inlineStr">
        <is>
          <t>UPPSALA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28577-2023</t>
        </is>
      </c>
      <c r="B1067" s="1" t="n">
        <v>45103</v>
      </c>
      <c r="C1067" s="1" t="n">
        <v>45783</v>
      </c>
      <c r="D1067" t="inlineStr">
        <is>
          <t>UPPSALA LÄN</t>
        </is>
      </c>
      <c r="E1067" t="inlineStr">
        <is>
          <t>UPPSALA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28701-2023</t>
        </is>
      </c>
      <c r="B1068" s="1" t="n">
        <v>45103</v>
      </c>
      <c r="C1068" s="1" t="n">
        <v>45783</v>
      </c>
      <c r="D1068" t="inlineStr">
        <is>
          <t>UPPSALA LÄN</t>
        </is>
      </c>
      <c r="E1068" t="inlineStr">
        <is>
          <t>UPPSALA</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29019-2023</t>
        </is>
      </c>
      <c r="B1069" s="1" t="n">
        <v>45104</v>
      </c>
      <c r="C1069" s="1" t="n">
        <v>45783</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31599-2023</t>
        </is>
      </c>
      <c r="B1070" s="1" t="n">
        <v>45105</v>
      </c>
      <c r="C1070" s="1" t="n">
        <v>45783</v>
      </c>
      <c r="D1070" t="inlineStr">
        <is>
          <t>UPPSALA LÄN</t>
        </is>
      </c>
      <c r="E1070" t="inlineStr">
        <is>
          <t>UPPSALA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29282-2023</t>
        </is>
      </c>
      <c r="B1071" s="1" t="n">
        <v>45105</v>
      </c>
      <c r="C1071" s="1" t="n">
        <v>45783</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31630-2023</t>
        </is>
      </c>
      <c r="B1072" s="1" t="n">
        <v>45105</v>
      </c>
      <c r="C1072" s="1" t="n">
        <v>45783</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29579-2023</t>
        </is>
      </c>
      <c r="B1073" s="1" t="n">
        <v>45106</v>
      </c>
      <c r="C1073" s="1" t="n">
        <v>45783</v>
      </c>
      <c r="D1073" t="inlineStr">
        <is>
          <t>UPPSALA LÄN</t>
        </is>
      </c>
      <c r="E1073" t="inlineStr">
        <is>
          <t>UPPSALA</t>
        </is>
      </c>
      <c r="F1073" t="inlineStr">
        <is>
          <t>Kyrkan</t>
        </is>
      </c>
      <c r="G1073" t="n">
        <v>2.7</v>
      </c>
      <c r="H1073" t="n">
        <v>0</v>
      </c>
      <c r="I1073" t="n">
        <v>0</v>
      </c>
      <c r="J1073" t="n">
        <v>0</v>
      </c>
      <c r="K1073" t="n">
        <v>0</v>
      </c>
      <c r="L1073" t="n">
        <v>0</v>
      </c>
      <c r="M1073" t="n">
        <v>0</v>
      </c>
      <c r="N1073" t="n">
        <v>0</v>
      </c>
      <c r="O1073" t="n">
        <v>0</v>
      </c>
      <c r="P1073" t="n">
        <v>0</v>
      </c>
      <c r="Q1073" t="n">
        <v>0</v>
      </c>
      <c r="R1073" s="2" t="inlineStr"/>
      <c r="U1073">
        <f>HYPERLINK("https://klasma.github.io/Logging_0380/knärot/A 29579-2023 karta knärot.png", "A 29579-2023")</f>
        <v/>
      </c>
      <c r="V1073">
        <f>HYPERLINK("https://klasma.github.io/Logging_0380/klagomål/A 29579-2023 FSC-klagomål.docx", "A 29579-2023")</f>
        <v/>
      </c>
      <c r="W1073">
        <f>HYPERLINK("https://klasma.github.io/Logging_0380/klagomålsmail/A 29579-2023 FSC-klagomål mail.docx", "A 29579-2023")</f>
        <v/>
      </c>
      <c r="X1073">
        <f>HYPERLINK("https://klasma.github.io/Logging_0380/tillsyn/A 29579-2023 tillsynsbegäran.docx", "A 29579-2023")</f>
        <v/>
      </c>
      <c r="Y1073">
        <f>HYPERLINK("https://klasma.github.io/Logging_0380/tillsynsmail/A 29579-2023 tillsynsbegäran mail.docx", "A 29579-2023")</f>
        <v/>
      </c>
    </row>
    <row r="1074" ht="15" customHeight="1">
      <c r="A1074" t="inlineStr">
        <is>
          <t>A 29815-2023</t>
        </is>
      </c>
      <c r="B1074" s="1" t="n">
        <v>45107</v>
      </c>
      <c r="C1074" s="1" t="n">
        <v>45783</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29901-2023</t>
        </is>
      </c>
      <c r="B1075" s="1" t="n">
        <v>45107</v>
      </c>
      <c r="C1075" s="1" t="n">
        <v>45783</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29868-2023</t>
        </is>
      </c>
      <c r="B1076" s="1" t="n">
        <v>45107</v>
      </c>
      <c r="C1076" s="1" t="n">
        <v>45783</v>
      </c>
      <c r="D1076" t="inlineStr">
        <is>
          <t>UPPSALA LÄN</t>
        </is>
      </c>
      <c r="E1076" t="inlineStr">
        <is>
          <t>UPPSALA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29799-2023</t>
        </is>
      </c>
      <c r="B1077" s="1" t="n">
        <v>45107</v>
      </c>
      <c r="C1077" s="1" t="n">
        <v>45783</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29808-2023</t>
        </is>
      </c>
      <c r="B1078" s="1" t="n">
        <v>45107</v>
      </c>
      <c r="C1078" s="1" t="n">
        <v>45783</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29926-2023</t>
        </is>
      </c>
      <c r="B1079" s="1" t="n">
        <v>45107</v>
      </c>
      <c r="C1079" s="1" t="n">
        <v>45783</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29927-2023</t>
        </is>
      </c>
      <c r="B1080" s="1" t="n">
        <v>45107</v>
      </c>
      <c r="C1080" s="1" t="n">
        <v>45783</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32428-2023</t>
        </is>
      </c>
      <c r="B1081" s="1" t="n">
        <v>45110</v>
      </c>
      <c r="C1081" s="1" t="n">
        <v>45783</v>
      </c>
      <c r="D1081" t="inlineStr">
        <is>
          <t>UPPSALA LÄN</t>
        </is>
      </c>
      <c r="E1081" t="inlineStr">
        <is>
          <t>UPPSALA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30629-2023</t>
        </is>
      </c>
      <c r="B1082" s="1" t="n">
        <v>45112</v>
      </c>
      <c r="C1082" s="1" t="n">
        <v>45783</v>
      </c>
      <c r="D1082" t="inlineStr">
        <is>
          <t>UPPSALA LÄN</t>
        </is>
      </c>
      <c r="E1082" t="inlineStr">
        <is>
          <t>UPPSALA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32689-2023</t>
        </is>
      </c>
      <c r="B1083" s="1" t="n">
        <v>45112</v>
      </c>
      <c r="C1083" s="1" t="n">
        <v>45783</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31157-2023</t>
        </is>
      </c>
      <c r="B1084" s="1" t="n">
        <v>45113</v>
      </c>
      <c r="C1084" s="1" t="n">
        <v>45783</v>
      </c>
      <c r="D1084" t="inlineStr">
        <is>
          <t>UPPSALA LÄN</t>
        </is>
      </c>
      <c r="E1084" t="inlineStr">
        <is>
          <t>UPPSALA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31161-2023</t>
        </is>
      </c>
      <c r="B1085" s="1" t="n">
        <v>45113</v>
      </c>
      <c r="C1085" s="1" t="n">
        <v>45783</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33689-2023</t>
        </is>
      </c>
      <c r="B1086" s="1" t="n">
        <v>45119</v>
      </c>
      <c r="C1086" s="1" t="n">
        <v>45783</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32413-2023</t>
        </is>
      </c>
      <c r="B1087" s="1" t="n">
        <v>45120</v>
      </c>
      <c r="C1087" s="1" t="n">
        <v>45783</v>
      </c>
      <c r="D1087" t="inlineStr">
        <is>
          <t>UPPSALA LÄN</t>
        </is>
      </c>
      <c r="E1087" t="inlineStr">
        <is>
          <t>UPPSALA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32640-2023</t>
        </is>
      </c>
      <c r="B1088" s="1" t="n">
        <v>45121</v>
      </c>
      <c r="C1088" s="1" t="n">
        <v>45783</v>
      </c>
      <c r="D1088" t="inlineStr">
        <is>
          <t>UPPSALA LÄN</t>
        </is>
      </c>
      <c r="E1088" t="inlineStr">
        <is>
          <t>UPPSALA</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32674-2023</t>
        </is>
      </c>
      <c r="B1089" s="1" t="n">
        <v>45121</v>
      </c>
      <c r="C1089" s="1" t="n">
        <v>45783</v>
      </c>
      <c r="D1089" t="inlineStr">
        <is>
          <t>UPPSALA LÄN</t>
        </is>
      </c>
      <c r="E1089" t="inlineStr">
        <is>
          <t>UPPSALA</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32688-2023</t>
        </is>
      </c>
      <c r="B1090" s="1" t="n">
        <v>45121</v>
      </c>
      <c r="C1090" s="1" t="n">
        <v>45783</v>
      </c>
      <c r="D1090" t="inlineStr">
        <is>
          <t>UPPSALA LÄN</t>
        </is>
      </c>
      <c r="E1090" t="inlineStr">
        <is>
          <t>UPPSALA</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33191-2023</t>
        </is>
      </c>
      <c r="B1091" s="1" t="n">
        <v>45127</v>
      </c>
      <c r="C1091" s="1" t="n">
        <v>45783</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33189-2023</t>
        </is>
      </c>
      <c r="B1092" s="1" t="n">
        <v>45127</v>
      </c>
      <c r="C1092" s="1" t="n">
        <v>45783</v>
      </c>
      <c r="D1092" t="inlineStr">
        <is>
          <t>UPPSALA LÄN</t>
        </is>
      </c>
      <c r="E1092" t="inlineStr">
        <is>
          <t>UPPSALA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34282-2023</t>
        </is>
      </c>
      <c r="B1093" s="1" t="n">
        <v>45128</v>
      </c>
      <c r="C1093" s="1" t="n">
        <v>45783</v>
      </c>
      <c r="D1093" t="inlineStr">
        <is>
          <t>UPPSALA LÄN</t>
        </is>
      </c>
      <c r="E1093" t="inlineStr">
        <is>
          <t>UPPSALA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33562-2023</t>
        </is>
      </c>
      <c r="B1094" s="1" t="n">
        <v>45131</v>
      </c>
      <c r="C1094" s="1" t="n">
        <v>45783</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33700-2023</t>
        </is>
      </c>
      <c r="B1095" s="1" t="n">
        <v>45132</v>
      </c>
      <c r="C1095" s="1" t="n">
        <v>45783</v>
      </c>
      <c r="D1095" t="inlineStr">
        <is>
          <t>UPPSALA LÄN</t>
        </is>
      </c>
      <c r="E1095" t="inlineStr">
        <is>
          <t>UPPSALA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34509-2023</t>
        </is>
      </c>
      <c r="B1096" s="1" t="n">
        <v>45133</v>
      </c>
      <c r="C1096" s="1" t="n">
        <v>45783</v>
      </c>
      <c r="D1096" t="inlineStr">
        <is>
          <t>UPPSALA LÄN</t>
        </is>
      </c>
      <c r="E1096" t="inlineStr">
        <is>
          <t>UPPSALA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33941-2023</t>
        </is>
      </c>
      <c r="B1097" s="1" t="n">
        <v>45134</v>
      </c>
      <c r="C1097" s="1" t="n">
        <v>45783</v>
      </c>
      <c r="D1097" t="inlineStr">
        <is>
          <t>UPPSALA LÄN</t>
        </is>
      </c>
      <c r="E1097" t="inlineStr">
        <is>
          <t>UPPSALA</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33982-2023</t>
        </is>
      </c>
      <c r="B1098" s="1" t="n">
        <v>45134</v>
      </c>
      <c r="C1098" s="1" t="n">
        <v>45783</v>
      </c>
      <c r="D1098" t="inlineStr">
        <is>
          <t>UPPSALA LÄN</t>
        </is>
      </c>
      <c r="E1098" t="inlineStr">
        <is>
          <t>UPPSALA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35142-2023</t>
        </is>
      </c>
      <c r="B1099" s="1" t="n">
        <v>45145</v>
      </c>
      <c r="C1099" s="1" t="n">
        <v>45783</v>
      </c>
      <c r="D1099" t="inlineStr">
        <is>
          <t>UPPSALA LÄN</t>
        </is>
      </c>
      <c r="E1099" t="inlineStr">
        <is>
          <t>UPPSALA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35471-2023</t>
        </is>
      </c>
      <c r="B1100" s="1" t="n">
        <v>45146</v>
      </c>
      <c r="C1100" s="1" t="n">
        <v>45783</v>
      </c>
      <c r="D1100" t="inlineStr">
        <is>
          <t>UPPSALA LÄN</t>
        </is>
      </c>
      <c r="E1100" t="inlineStr">
        <is>
          <t>UPPSALA</t>
        </is>
      </c>
      <c r="F1100" t="inlineStr">
        <is>
          <t>Sveaskog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35472-2023</t>
        </is>
      </c>
      <c r="B1101" s="1" t="n">
        <v>45146</v>
      </c>
      <c r="C1101" s="1" t="n">
        <v>45783</v>
      </c>
      <c r="D1101" t="inlineStr">
        <is>
          <t>UPPSALA LÄN</t>
        </is>
      </c>
      <c r="E1101" t="inlineStr">
        <is>
          <t>UPPSALA</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35473-2023</t>
        </is>
      </c>
      <c r="B1102" s="1" t="n">
        <v>45146</v>
      </c>
      <c r="C1102" s="1" t="n">
        <v>45783</v>
      </c>
      <c r="D1102" t="inlineStr">
        <is>
          <t>UPPSALA LÄN</t>
        </is>
      </c>
      <c r="E1102" t="inlineStr">
        <is>
          <t>UPPSALA</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35549-2023</t>
        </is>
      </c>
      <c r="B1103" s="1" t="n">
        <v>45147</v>
      </c>
      <c r="C1103" s="1" t="n">
        <v>45783</v>
      </c>
      <c r="D1103" t="inlineStr">
        <is>
          <t>UPPSALA LÄN</t>
        </is>
      </c>
      <c r="E1103" t="inlineStr">
        <is>
          <t>UPPSALA</t>
        </is>
      </c>
      <c r="F1103" t="inlineStr">
        <is>
          <t>Allmännings- och besparingsskogar</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35902-2023</t>
        </is>
      </c>
      <c r="B1104" s="1" t="n">
        <v>45148</v>
      </c>
      <c r="C1104" s="1" t="n">
        <v>45783</v>
      </c>
      <c r="D1104" t="inlineStr">
        <is>
          <t>UPPSALA LÄN</t>
        </is>
      </c>
      <c r="E1104" t="inlineStr">
        <is>
          <t>UPPSALA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35906-2023</t>
        </is>
      </c>
      <c r="B1105" s="1" t="n">
        <v>45148</v>
      </c>
      <c r="C1105" s="1" t="n">
        <v>45783</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35914-2023</t>
        </is>
      </c>
      <c r="B1106" s="1" t="n">
        <v>45148</v>
      </c>
      <c r="C1106" s="1" t="n">
        <v>45783</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35922-2023</t>
        </is>
      </c>
      <c r="B1107" s="1" t="n">
        <v>45148</v>
      </c>
      <c r="C1107" s="1" t="n">
        <v>45783</v>
      </c>
      <c r="D1107" t="inlineStr">
        <is>
          <t>UPPSALA LÄN</t>
        </is>
      </c>
      <c r="E1107" t="inlineStr">
        <is>
          <t>UPPSALA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35916-2023</t>
        </is>
      </c>
      <c r="B1108" s="1" t="n">
        <v>45148</v>
      </c>
      <c r="C1108" s="1" t="n">
        <v>45783</v>
      </c>
      <c r="D1108" t="inlineStr">
        <is>
          <t>UPPSALA LÄN</t>
        </is>
      </c>
      <c r="E1108" t="inlineStr">
        <is>
          <t>UPPSALA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36028-2023</t>
        </is>
      </c>
      <c r="B1109" s="1" t="n">
        <v>45149</v>
      </c>
      <c r="C1109" s="1" t="n">
        <v>45783</v>
      </c>
      <c r="D1109" t="inlineStr">
        <is>
          <t>UPPSALA LÄN</t>
        </is>
      </c>
      <c r="E1109" t="inlineStr">
        <is>
          <t>UPPSALA</t>
        </is>
      </c>
      <c r="F1109" t="inlineStr">
        <is>
          <t>Allmännings- och besparingsskogar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36123-2023</t>
        </is>
      </c>
      <c r="B1110" s="1" t="n">
        <v>45149</v>
      </c>
      <c r="C1110" s="1" t="n">
        <v>45783</v>
      </c>
      <c r="D1110" t="inlineStr">
        <is>
          <t>UPPSALA LÄN</t>
        </is>
      </c>
      <c r="E1110" t="inlineStr">
        <is>
          <t>UPPSALA</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36159-2023</t>
        </is>
      </c>
      <c r="B1111" s="1" t="n">
        <v>45149</v>
      </c>
      <c r="C1111" s="1" t="n">
        <v>45783</v>
      </c>
      <c r="D1111" t="inlineStr">
        <is>
          <t>UPPSALA LÄN</t>
        </is>
      </c>
      <c r="E1111" t="inlineStr">
        <is>
          <t>UPPSALA</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36388-2023</t>
        </is>
      </c>
      <c r="B1112" s="1" t="n">
        <v>45152</v>
      </c>
      <c r="C1112" s="1" t="n">
        <v>45783</v>
      </c>
      <c r="D1112" t="inlineStr">
        <is>
          <t>UPPSALA LÄN</t>
        </is>
      </c>
      <c r="E1112" t="inlineStr">
        <is>
          <t>UPPSALA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36392-2023</t>
        </is>
      </c>
      <c r="B1113" s="1" t="n">
        <v>45152</v>
      </c>
      <c r="C1113" s="1" t="n">
        <v>45783</v>
      </c>
      <c r="D1113" t="inlineStr">
        <is>
          <t>UPPSALA LÄN</t>
        </is>
      </c>
      <c r="E1113" t="inlineStr">
        <is>
          <t>UPPSALA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36479-2023</t>
        </is>
      </c>
      <c r="B1114" s="1" t="n">
        <v>45152</v>
      </c>
      <c r="C1114" s="1" t="n">
        <v>45783</v>
      </c>
      <c r="D1114" t="inlineStr">
        <is>
          <t>UPPSALA LÄN</t>
        </is>
      </c>
      <c r="E1114" t="inlineStr">
        <is>
          <t>UPPSALA</t>
        </is>
      </c>
      <c r="F1114" t="inlineStr">
        <is>
          <t>Allmännings- och besparingsskogar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36478-2023</t>
        </is>
      </c>
      <c r="B1115" s="1" t="n">
        <v>45152</v>
      </c>
      <c r="C1115" s="1" t="n">
        <v>45783</v>
      </c>
      <c r="D1115" t="inlineStr">
        <is>
          <t>UPPSALA LÄN</t>
        </is>
      </c>
      <c r="E1115" t="inlineStr">
        <is>
          <t>UPPSALA</t>
        </is>
      </c>
      <c r="F1115" t="inlineStr">
        <is>
          <t>Allmännings- och besparingsskogar</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36438-2023</t>
        </is>
      </c>
      <c r="B1116" s="1" t="n">
        <v>45152</v>
      </c>
      <c r="C1116" s="1" t="n">
        <v>45783</v>
      </c>
      <c r="D1116" t="inlineStr">
        <is>
          <t>UPPSALA LÄN</t>
        </is>
      </c>
      <c r="E1116" t="inlineStr">
        <is>
          <t>UPPSALA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36738-2023</t>
        </is>
      </c>
      <c r="B1117" s="1" t="n">
        <v>45153</v>
      </c>
      <c r="C1117" s="1" t="n">
        <v>45783</v>
      </c>
      <c r="D1117" t="inlineStr">
        <is>
          <t>UPPSALA LÄN</t>
        </is>
      </c>
      <c r="E1117" t="inlineStr">
        <is>
          <t>UPPSALA</t>
        </is>
      </c>
      <c r="F1117" t="inlineStr">
        <is>
          <t>Allmännings- och besparingsskogar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36739-2023</t>
        </is>
      </c>
      <c r="B1118" s="1" t="n">
        <v>45153</v>
      </c>
      <c r="C1118" s="1" t="n">
        <v>45783</v>
      </c>
      <c r="D1118" t="inlineStr">
        <is>
          <t>UPPSALA LÄN</t>
        </is>
      </c>
      <c r="E1118" t="inlineStr">
        <is>
          <t>UPPSALA</t>
        </is>
      </c>
      <c r="F1118" t="inlineStr">
        <is>
          <t>Allmännings- och besparingsskogar</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36781-2023</t>
        </is>
      </c>
      <c r="B1119" s="1" t="n">
        <v>45154</v>
      </c>
      <c r="C1119" s="1" t="n">
        <v>45783</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36782-2023</t>
        </is>
      </c>
      <c r="B1120" s="1" t="n">
        <v>45154</v>
      </c>
      <c r="C1120" s="1" t="n">
        <v>45783</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36860-2023</t>
        </is>
      </c>
      <c r="B1121" s="1" t="n">
        <v>45154</v>
      </c>
      <c r="C1121" s="1" t="n">
        <v>45783</v>
      </c>
      <c r="D1121" t="inlineStr">
        <is>
          <t>UPPSALA LÄN</t>
        </is>
      </c>
      <c r="E1121" t="inlineStr">
        <is>
          <t>UPPSALA</t>
        </is>
      </c>
      <c r="F1121" t="inlineStr">
        <is>
          <t>Allmännings- och besparingsskogar</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37626-2023</t>
        </is>
      </c>
      <c r="B1122" s="1" t="n">
        <v>45159</v>
      </c>
      <c r="C1122" s="1" t="n">
        <v>45783</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37618-2023</t>
        </is>
      </c>
      <c r="B1123" s="1" t="n">
        <v>45159</v>
      </c>
      <c r="C1123" s="1" t="n">
        <v>45783</v>
      </c>
      <c r="D1123" t="inlineStr">
        <is>
          <t>UPPSALA LÄN</t>
        </is>
      </c>
      <c r="E1123" t="inlineStr">
        <is>
          <t>UPPSALA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38016-2023</t>
        </is>
      </c>
      <c r="B1124" s="1" t="n">
        <v>45160</v>
      </c>
      <c r="C1124" s="1" t="n">
        <v>45783</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38190-2023</t>
        </is>
      </c>
      <c r="B1125" s="1" t="n">
        <v>45161</v>
      </c>
      <c r="C1125" s="1" t="n">
        <v>45783</v>
      </c>
      <c r="D1125" t="inlineStr">
        <is>
          <t>UPPSALA LÄN</t>
        </is>
      </c>
      <c r="E1125" t="inlineStr">
        <is>
          <t>UPPSALA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38493-2023</t>
        </is>
      </c>
      <c r="B1126" s="1" t="n">
        <v>45162</v>
      </c>
      <c r="C1126" s="1" t="n">
        <v>45783</v>
      </c>
      <c r="D1126" t="inlineStr">
        <is>
          <t>UPPSALA LÄN</t>
        </is>
      </c>
      <c r="E1126" t="inlineStr">
        <is>
          <t>UPPSALA</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38644-2023</t>
        </is>
      </c>
      <c r="B1127" s="1" t="n">
        <v>45162</v>
      </c>
      <c r="C1127" s="1" t="n">
        <v>45783</v>
      </c>
      <c r="D1127" t="inlineStr">
        <is>
          <t>UPPSALA LÄN</t>
        </is>
      </c>
      <c r="E1127" t="inlineStr">
        <is>
          <t>UPPSALA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38645-2023</t>
        </is>
      </c>
      <c r="B1128" s="1" t="n">
        <v>45162</v>
      </c>
      <c r="C1128" s="1" t="n">
        <v>45783</v>
      </c>
      <c r="D1128" t="inlineStr">
        <is>
          <t>UPPSALA LÄN</t>
        </is>
      </c>
      <c r="E1128" t="inlineStr">
        <is>
          <t>UPPSALA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38664-2023</t>
        </is>
      </c>
      <c r="B1129" s="1" t="n">
        <v>45162</v>
      </c>
      <c r="C1129" s="1" t="n">
        <v>45783</v>
      </c>
      <c r="D1129" t="inlineStr">
        <is>
          <t>UPPSALA LÄN</t>
        </is>
      </c>
      <c r="E1129" t="inlineStr">
        <is>
          <t>UPPSALA</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38663-2023</t>
        </is>
      </c>
      <c r="B1130" s="1" t="n">
        <v>45162</v>
      </c>
      <c r="C1130" s="1" t="n">
        <v>45783</v>
      </c>
      <c r="D1130" t="inlineStr">
        <is>
          <t>UPPSALA LÄN</t>
        </is>
      </c>
      <c r="E1130" t="inlineStr">
        <is>
          <t>UPPSALA</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38665-2023</t>
        </is>
      </c>
      <c r="B1131" s="1" t="n">
        <v>45162</v>
      </c>
      <c r="C1131" s="1" t="n">
        <v>45783</v>
      </c>
      <c r="D1131" t="inlineStr">
        <is>
          <t>UPPSALA LÄN</t>
        </is>
      </c>
      <c r="E1131" t="inlineStr">
        <is>
          <t>UPPSALA</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38661-2023</t>
        </is>
      </c>
      <c r="B1132" s="1" t="n">
        <v>45162</v>
      </c>
      <c r="C1132" s="1" t="n">
        <v>45783</v>
      </c>
      <c r="D1132" t="inlineStr">
        <is>
          <t>UPPSALA LÄN</t>
        </is>
      </c>
      <c r="E1132" t="inlineStr">
        <is>
          <t>UPPSALA</t>
        </is>
      </c>
      <c r="F1132" t="inlineStr">
        <is>
          <t>Bergvik skog öst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38643-2023</t>
        </is>
      </c>
      <c r="B1133" s="1" t="n">
        <v>45162</v>
      </c>
      <c r="C1133" s="1" t="n">
        <v>45783</v>
      </c>
      <c r="D1133" t="inlineStr">
        <is>
          <t>UPPSALA LÄN</t>
        </is>
      </c>
      <c r="E1133" t="inlineStr">
        <is>
          <t>UPPSALA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38934-2023</t>
        </is>
      </c>
      <c r="B1134" s="1" t="n">
        <v>45163</v>
      </c>
      <c r="C1134" s="1" t="n">
        <v>45783</v>
      </c>
      <c r="D1134" t="inlineStr">
        <is>
          <t>UPPSALA LÄN</t>
        </is>
      </c>
      <c r="E1134" t="inlineStr">
        <is>
          <t>UPPSALA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39108-2023</t>
        </is>
      </c>
      <c r="B1135" s="1" t="n">
        <v>45164</v>
      </c>
      <c r="C1135" s="1" t="n">
        <v>45783</v>
      </c>
      <c r="D1135" t="inlineStr">
        <is>
          <t>UPPSALA LÄN</t>
        </is>
      </c>
      <c r="E1135" t="inlineStr">
        <is>
          <t>UPPSALA</t>
        </is>
      </c>
      <c r="F1135" t="inlineStr">
        <is>
          <t>Bergvik skog öst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39107-2023</t>
        </is>
      </c>
      <c r="B1136" s="1" t="n">
        <v>45164</v>
      </c>
      <c r="C1136" s="1" t="n">
        <v>45783</v>
      </c>
      <c r="D1136" t="inlineStr">
        <is>
          <t>UPPSALA LÄN</t>
        </is>
      </c>
      <c r="E1136" t="inlineStr">
        <is>
          <t>UPPSALA</t>
        </is>
      </c>
      <c r="F1136" t="inlineStr">
        <is>
          <t>Bergvik skog öst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39548-2023</t>
        </is>
      </c>
      <c r="B1137" s="1" t="n">
        <v>45167</v>
      </c>
      <c r="C1137" s="1" t="n">
        <v>45783</v>
      </c>
      <c r="D1137" t="inlineStr">
        <is>
          <t>UPPSALA LÄN</t>
        </is>
      </c>
      <c r="E1137" t="inlineStr">
        <is>
          <t>UPPSALA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39592-2023</t>
        </is>
      </c>
      <c r="B1138" s="1" t="n">
        <v>45167</v>
      </c>
      <c r="C1138" s="1" t="n">
        <v>45783</v>
      </c>
      <c r="D1138" t="inlineStr">
        <is>
          <t>UPPSALA LÄN</t>
        </is>
      </c>
      <c r="E1138" t="inlineStr">
        <is>
          <t>UPPSALA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39739-2023</t>
        </is>
      </c>
      <c r="B1139" s="1" t="n">
        <v>45167</v>
      </c>
      <c r="C1139" s="1" t="n">
        <v>45783</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39926-2023</t>
        </is>
      </c>
      <c r="B1140" s="1" t="n">
        <v>45168</v>
      </c>
      <c r="C1140" s="1" t="n">
        <v>45783</v>
      </c>
      <c r="D1140" t="inlineStr">
        <is>
          <t>UPPSALA LÄN</t>
        </is>
      </c>
      <c r="E1140" t="inlineStr">
        <is>
          <t>UPPSALA</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39918-2023</t>
        </is>
      </c>
      <c r="B1141" s="1" t="n">
        <v>45168</v>
      </c>
      <c r="C1141" s="1" t="n">
        <v>45783</v>
      </c>
      <c r="D1141" t="inlineStr">
        <is>
          <t>UPPSALA LÄN</t>
        </is>
      </c>
      <c r="E1141" t="inlineStr">
        <is>
          <t>UPPSALA</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40369-2023</t>
        </is>
      </c>
      <c r="B1142" s="1" t="n">
        <v>45169</v>
      </c>
      <c r="C1142" s="1" t="n">
        <v>45783</v>
      </c>
      <c r="D1142" t="inlineStr">
        <is>
          <t>UPPSALA LÄN</t>
        </is>
      </c>
      <c r="E1142" t="inlineStr">
        <is>
          <t>UPPSALA</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40312-2023</t>
        </is>
      </c>
      <c r="B1143" s="1" t="n">
        <v>45169</v>
      </c>
      <c r="C1143" s="1" t="n">
        <v>45783</v>
      </c>
      <c r="D1143" t="inlineStr">
        <is>
          <t>UPPSALA LÄN</t>
        </is>
      </c>
      <c r="E1143" t="inlineStr">
        <is>
          <t>UPPSALA</t>
        </is>
      </c>
      <c r="F1143" t="inlineStr">
        <is>
          <t>Kommuner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40124-2023</t>
        </is>
      </c>
      <c r="B1144" s="1" t="n">
        <v>45169</v>
      </c>
      <c r="C1144" s="1" t="n">
        <v>45783</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40325-2023</t>
        </is>
      </c>
      <c r="B1145" s="1" t="n">
        <v>45169</v>
      </c>
      <c r="C1145" s="1" t="n">
        <v>45783</v>
      </c>
      <c r="D1145" t="inlineStr">
        <is>
          <t>UPPSALA LÄN</t>
        </is>
      </c>
      <c r="E1145" t="inlineStr">
        <is>
          <t>UPPSALA</t>
        </is>
      </c>
      <c r="F1145" t="inlineStr">
        <is>
          <t>Kommuner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40872-2023</t>
        </is>
      </c>
      <c r="B1146" s="1" t="n">
        <v>45173</v>
      </c>
      <c r="C1146" s="1" t="n">
        <v>45783</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41002-2023</t>
        </is>
      </c>
      <c r="B1147" s="1" t="n">
        <v>45173</v>
      </c>
      <c r="C1147" s="1" t="n">
        <v>45783</v>
      </c>
      <c r="D1147" t="inlineStr">
        <is>
          <t>UPPSALA LÄN</t>
        </is>
      </c>
      <c r="E1147" t="inlineStr">
        <is>
          <t>UPPSALA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41349-2023</t>
        </is>
      </c>
      <c r="B1148" s="1" t="n">
        <v>45174</v>
      </c>
      <c r="C1148" s="1" t="n">
        <v>45783</v>
      </c>
      <c r="D1148" t="inlineStr">
        <is>
          <t>UPPSALA LÄN</t>
        </is>
      </c>
      <c r="E1148" t="inlineStr">
        <is>
          <t>UPPSALA</t>
        </is>
      </c>
      <c r="F1148" t="inlineStr">
        <is>
          <t>Allmännings- och besparingsskogar</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41346-2023</t>
        </is>
      </c>
      <c r="B1149" s="1" t="n">
        <v>45174</v>
      </c>
      <c r="C1149" s="1" t="n">
        <v>45783</v>
      </c>
      <c r="D1149" t="inlineStr">
        <is>
          <t>UPPSALA LÄN</t>
        </is>
      </c>
      <c r="E1149" t="inlineStr">
        <is>
          <t>UPPSALA</t>
        </is>
      </c>
      <c r="F1149" t="inlineStr">
        <is>
          <t>Allmännings- och besparingsskogar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41506-2023</t>
        </is>
      </c>
      <c r="B1150" s="1" t="n">
        <v>45175</v>
      </c>
      <c r="C1150" s="1" t="n">
        <v>45783</v>
      </c>
      <c r="D1150" t="inlineStr">
        <is>
          <t>UPPSALA LÄN</t>
        </is>
      </c>
      <c r="E1150" t="inlineStr">
        <is>
          <t>UPPSALA</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41541-2023</t>
        </is>
      </c>
      <c r="B1151" s="1" t="n">
        <v>45175</v>
      </c>
      <c r="C1151" s="1" t="n">
        <v>45783</v>
      </c>
      <c r="D1151" t="inlineStr">
        <is>
          <t>UPPSALA LÄN</t>
        </is>
      </c>
      <c r="E1151" t="inlineStr">
        <is>
          <t>UPPSALA</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41545-2023</t>
        </is>
      </c>
      <c r="B1152" s="1" t="n">
        <v>45175</v>
      </c>
      <c r="C1152" s="1" t="n">
        <v>45783</v>
      </c>
      <c r="D1152" t="inlineStr">
        <is>
          <t>UPPSALA LÄN</t>
        </is>
      </c>
      <c r="E1152" t="inlineStr">
        <is>
          <t>UPPSALA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41422-2023</t>
        </is>
      </c>
      <c r="B1153" s="1" t="n">
        <v>45175</v>
      </c>
      <c r="C1153" s="1" t="n">
        <v>45783</v>
      </c>
      <c r="D1153" t="inlineStr">
        <is>
          <t>UPPSALA LÄN</t>
        </is>
      </c>
      <c r="E1153" t="inlineStr">
        <is>
          <t>UPPSALA</t>
        </is>
      </c>
      <c r="F1153" t="inlineStr">
        <is>
          <t>Kyrkan</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41538-2023</t>
        </is>
      </c>
      <c r="B1154" s="1" t="n">
        <v>45175</v>
      </c>
      <c r="C1154" s="1" t="n">
        <v>45783</v>
      </c>
      <c r="D1154" t="inlineStr">
        <is>
          <t>UPPSALA LÄN</t>
        </is>
      </c>
      <c r="E1154" t="inlineStr">
        <is>
          <t>UPPSALA</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42283-2023</t>
        </is>
      </c>
      <c r="B1155" s="1" t="n">
        <v>45175</v>
      </c>
      <c r="C1155" s="1" t="n">
        <v>45783</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41669-2023</t>
        </is>
      </c>
      <c r="B1156" s="1" t="n">
        <v>45176</v>
      </c>
      <c r="C1156" s="1" t="n">
        <v>45783</v>
      </c>
      <c r="D1156" t="inlineStr">
        <is>
          <t>UPPSALA LÄN</t>
        </is>
      </c>
      <c r="E1156" t="inlineStr">
        <is>
          <t>UPPSALA</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41802-2023</t>
        </is>
      </c>
      <c r="B1157" s="1" t="n">
        <v>45176</v>
      </c>
      <c r="C1157" s="1" t="n">
        <v>45783</v>
      </c>
      <c r="D1157" t="inlineStr">
        <is>
          <t>UPPSALA LÄN</t>
        </is>
      </c>
      <c r="E1157" t="inlineStr">
        <is>
          <t>UPPSALA</t>
        </is>
      </c>
      <c r="G1157" t="n">
        <v>23.9</v>
      </c>
      <c r="H1157" t="n">
        <v>0</v>
      </c>
      <c r="I1157" t="n">
        <v>0</v>
      </c>
      <c r="J1157" t="n">
        <v>0</v>
      </c>
      <c r="K1157" t="n">
        <v>0</v>
      </c>
      <c r="L1157" t="n">
        <v>0</v>
      </c>
      <c r="M1157" t="n">
        <v>0</v>
      </c>
      <c r="N1157" t="n">
        <v>0</v>
      </c>
      <c r="O1157" t="n">
        <v>0</v>
      </c>
      <c r="P1157" t="n">
        <v>0</v>
      </c>
      <c r="Q1157" t="n">
        <v>0</v>
      </c>
      <c r="R1157" s="2" t="inlineStr"/>
    </row>
    <row r="1158" ht="15" customHeight="1">
      <c r="A1158" t="inlineStr">
        <is>
          <t>A 41816-2023</t>
        </is>
      </c>
      <c r="B1158" s="1" t="n">
        <v>45176</v>
      </c>
      <c r="C1158" s="1" t="n">
        <v>45783</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41950-2023</t>
        </is>
      </c>
      <c r="B1159" s="1" t="n">
        <v>45177</v>
      </c>
      <c r="C1159" s="1" t="n">
        <v>45783</v>
      </c>
      <c r="D1159" t="inlineStr">
        <is>
          <t>UPPSALA LÄN</t>
        </is>
      </c>
      <c r="E1159" t="inlineStr">
        <is>
          <t>UPPSALA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42134-2023</t>
        </is>
      </c>
      <c r="B1160" s="1" t="n">
        <v>45177</v>
      </c>
      <c r="C1160" s="1" t="n">
        <v>45783</v>
      </c>
      <c r="D1160" t="inlineStr">
        <is>
          <t>UPPSALA LÄN</t>
        </is>
      </c>
      <c r="E1160" t="inlineStr">
        <is>
          <t>UPPSALA</t>
        </is>
      </c>
      <c r="F1160" t="inlineStr">
        <is>
          <t>Allmännings- och besparingsskogar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42063-2023</t>
        </is>
      </c>
      <c r="B1161" s="1" t="n">
        <v>45177</v>
      </c>
      <c r="C1161" s="1" t="n">
        <v>45783</v>
      </c>
      <c r="D1161" t="inlineStr">
        <is>
          <t>UPPSALA LÄN</t>
        </is>
      </c>
      <c r="E1161" t="inlineStr">
        <is>
          <t>UPPSALA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42131-2023</t>
        </is>
      </c>
      <c r="B1162" s="1" t="n">
        <v>45177</v>
      </c>
      <c r="C1162" s="1" t="n">
        <v>45783</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42273-2023</t>
        </is>
      </c>
      <c r="B1163" s="1" t="n">
        <v>45180</v>
      </c>
      <c r="C1163" s="1" t="n">
        <v>45783</v>
      </c>
      <c r="D1163" t="inlineStr">
        <is>
          <t>UPPSALA LÄN</t>
        </is>
      </c>
      <c r="E1163" t="inlineStr">
        <is>
          <t>UPPSALA</t>
        </is>
      </c>
      <c r="F1163" t="inlineStr">
        <is>
          <t>Bergvik skog öst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42436-2023</t>
        </is>
      </c>
      <c r="B1164" s="1" t="n">
        <v>45180</v>
      </c>
      <c r="C1164" s="1" t="n">
        <v>45783</v>
      </c>
      <c r="D1164" t="inlineStr">
        <is>
          <t>UPPSALA LÄN</t>
        </is>
      </c>
      <c r="E1164" t="inlineStr">
        <is>
          <t>UPPSALA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42282-2023</t>
        </is>
      </c>
      <c r="B1165" s="1" t="n">
        <v>45180</v>
      </c>
      <c r="C1165" s="1" t="n">
        <v>45783</v>
      </c>
      <c r="D1165" t="inlineStr">
        <is>
          <t>UPPSALA LÄN</t>
        </is>
      </c>
      <c r="E1165" t="inlineStr">
        <is>
          <t>UPPSALA</t>
        </is>
      </c>
      <c r="F1165" t="inlineStr">
        <is>
          <t>Bergvik skog öst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42274-2023</t>
        </is>
      </c>
      <c r="B1166" s="1" t="n">
        <v>45180</v>
      </c>
      <c r="C1166" s="1" t="n">
        <v>45783</v>
      </c>
      <c r="D1166" t="inlineStr">
        <is>
          <t>UPPSALA LÄN</t>
        </is>
      </c>
      <c r="E1166" t="inlineStr">
        <is>
          <t>UPPSALA</t>
        </is>
      </c>
      <c r="F1166" t="inlineStr">
        <is>
          <t>Bergvik skog öst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42285-2023</t>
        </is>
      </c>
      <c r="B1167" s="1" t="n">
        <v>45180</v>
      </c>
      <c r="C1167" s="1" t="n">
        <v>45783</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42376-2023</t>
        </is>
      </c>
      <c r="B1168" s="1" t="n">
        <v>45180</v>
      </c>
      <c r="C1168" s="1" t="n">
        <v>45783</v>
      </c>
      <c r="D1168" t="inlineStr">
        <is>
          <t>UPPSALA LÄN</t>
        </is>
      </c>
      <c r="E1168" t="inlineStr">
        <is>
          <t>UPPSALA</t>
        </is>
      </c>
      <c r="F1168" t="inlineStr">
        <is>
          <t>Bergvik skog öst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42495-2023</t>
        </is>
      </c>
      <c r="B1169" s="1" t="n">
        <v>45180</v>
      </c>
      <c r="C1169" s="1" t="n">
        <v>45783</v>
      </c>
      <c r="D1169" t="inlineStr">
        <is>
          <t>UPPSALA LÄN</t>
        </is>
      </c>
      <c r="E1169" t="inlineStr">
        <is>
          <t>UPPSALA</t>
        </is>
      </c>
      <c r="F1169" t="inlineStr">
        <is>
          <t>Allmännings- och besparingsskogar</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42379-2023</t>
        </is>
      </c>
      <c r="B1170" s="1" t="n">
        <v>45180</v>
      </c>
      <c r="C1170" s="1" t="n">
        <v>45783</v>
      </c>
      <c r="D1170" t="inlineStr">
        <is>
          <t>UPPSALA LÄN</t>
        </is>
      </c>
      <c r="E1170" t="inlineStr">
        <is>
          <t>UPPSALA</t>
        </is>
      </c>
      <c r="F1170" t="inlineStr">
        <is>
          <t>Bergvik skog öst AB</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42528-2023</t>
        </is>
      </c>
      <c r="B1171" s="1" t="n">
        <v>45181</v>
      </c>
      <c r="C1171" s="1" t="n">
        <v>45783</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42630-2023</t>
        </is>
      </c>
      <c r="B1172" s="1" t="n">
        <v>45181</v>
      </c>
      <c r="C1172" s="1" t="n">
        <v>45783</v>
      </c>
      <c r="D1172" t="inlineStr">
        <is>
          <t>UPPSALA LÄN</t>
        </is>
      </c>
      <c r="E1172" t="inlineStr">
        <is>
          <t>UPPSALA</t>
        </is>
      </c>
      <c r="F1172" t="inlineStr">
        <is>
          <t>Holmen skog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42681-2023</t>
        </is>
      </c>
      <c r="B1173" s="1" t="n">
        <v>45181</v>
      </c>
      <c r="C1173" s="1" t="n">
        <v>45783</v>
      </c>
      <c r="D1173" t="inlineStr">
        <is>
          <t>UPPSALA LÄN</t>
        </is>
      </c>
      <c r="E1173" t="inlineStr">
        <is>
          <t>UPPSALA</t>
        </is>
      </c>
      <c r="F1173" t="inlineStr">
        <is>
          <t>Bergvik skog öst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42543-2023</t>
        </is>
      </c>
      <c r="B1174" s="1" t="n">
        <v>45181</v>
      </c>
      <c r="C1174" s="1" t="n">
        <v>45783</v>
      </c>
      <c r="D1174" t="inlineStr">
        <is>
          <t>UPPSALA LÄN</t>
        </is>
      </c>
      <c r="E1174" t="inlineStr">
        <is>
          <t>UPPSALA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42730-2023</t>
        </is>
      </c>
      <c r="B1175" s="1" t="n">
        <v>45181</v>
      </c>
      <c r="C1175" s="1" t="n">
        <v>45783</v>
      </c>
      <c r="D1175" t="inlineStr">
        <is>
          <t>UPPSALA LÄN</t>
        </is>
      </c>
      <c r="E1175" t="inlineStr">
        <is>
          <t>UPPSALA</t>
        </is>
      </c>
      <c r="F1175" t="inlineStr">
        <is>
          <t>Holmen skog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42734-2023</t>
        </is>
      </c>
      <c r="B1176" s="1" t="n">
        <v>45181</v>
      </c>
      <c r="C1176" s="1" t="n">
        <v>45783</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42682-2023</t>
        </is>
      </c>
      <c r="B1177" s="1" t="n">
        <v>45181</v>
      </c>
      <c r="C1177" s="1" t="n">
        <v>45783</v>
      </c>
      <c r="D1177" t="inlineStr">
        <is>
          <t>UPPSALA LÄN</t>
        </is>
      </c>
      <c r="E1177" t="inlineStr">
        <is>
          <t>UPPSALA</t>
        </is>
      </c>
      <c r="F1177" t="inlineStr">
        <is>
          <t>Bergvik skog öst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42722-2023</t>
        </is>
      </c>
      <c r="B1178" s="1" t="n">
        <v>45181</v>
      </c>
      <c r="C1178" s="1" t="n">
        <v>45783</v>
      </c>
      <c r="D1178" t="inlineStr">
        <is>
          <t>UPPSALA LÄN</t>
        </is>
      </c>
      <c r="E1178" t="inlineStr">
        <is>
          <t>UPPSALA</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42756-2023</t>
        </is>
      </c>
      <c r="B1179" s="1" t="n">
        <v>45181</v>
      </c>
      <c r="C1179" s="1" t="n">
        <v>45783</v>
      </c>
      <c r="D1179" t="inlineStr">
        <is>
          <t>UPPSALA LÄN</t>
        </is>
      </c>
      <c r="E1179" t="inlineStr">
        <is>
          <t>UPPSALA</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42971-2023</t>
        </is>
      </c>
      <c r="B1180" s="1" t="n">
        <v>45182</v>
      </c>
      <c r="C1180" s="1" t="n">
        <v>45783</v>
      </c>
      <c r="D1180" t="inlineStr">
        <is>
          <t>UPPSALA LÄN</t>
        </is>
      </c>
      <c r="E1180" t="inlineStr">
        <is>
          <t>UPPSALA</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43026-2023</t>
        </is>
      </c>
      <c r="B1181" s="1" t="n">
        <v>45182</v>
      </c>
      <c r="C1181" s="1" t="n">
        <v>45783</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42963-2023</t>
        </is>
      </c>
      <c r="B1182" s="1" t="n">
        <v>45182</v>
      </c>
      <c r="C1182" s="1" t="n">
        <v>45783</v>
      </c>
      <c r="D1182" t="inlineStr">
        <is>
          <t>UPPSALA LÄN</t>
        </is>
      </c>
      <c r="E1182" t="inlineStr">
        <is>
          <t>UPPSALA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42967-2023</t>
        </is>
      </c>
      <c r="B1183" s="1" t="n">
        <v>45182</v>
      </c>
      <c r="C1183" s="1" t="n">
        <v>45783</v>
      </c>
      <c r="D1183" t="inlineStr">
        <is>
          <t>UPPSALA LÄN</t>
        </is>
      </c>
      <c r="E1183" t="inlineStr">
        <is>
          <t>UPPSALA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43031-2023</t>
        </is>
      </c>
      <c r="B1184" s="1" t="n">
        <v>45182</v>
      </c>
      <c r="C1184" s="1" t="n">
        <v>45783</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43035-2023</t>
        </is>
      </c>
      <c r="B1185" s="1" t="n">
        <v>45182</v>
      </c>
      <c r="C1185" s="1" t="n">
        <v>45783</v>
      </c>
      <c r="D1185" t="inlineStr">
        <is>
          <t>UPPSALA LÄN</t>
        </is>
      </c>
      <c r="E1185" t="inlineStr">
        <is>
          <t>UPPSALA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43049-2023</t>
        </is>
      </c>
      <c r="B1186" s="1" t="n">
        <v>45182</v>
      </c>
      <c r="C1186" s="1" t="n">
        <v>45783</v>
      </c>
      <c r="D1186" t="inlineStr">
        <is>
          <t>UPPSALA LÄN</t>
        </is>
      </c>
      <c r="E1186" t="inlineStr">
        <is>
          <t>UPPSALA</t>
        </is>
      </c>
      <c r="F1186" t="inlineStr">
        <is>
          <t>Allmännings- och besparingsskogar</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42974-2023</t>
        </is>
      </c>
      <c r="B1187" s="1" t="n">
        <v>45182</v>
      </c>
      <c r="C1187" s="1" t="n">
        <v>45783</v>
      </c>
      <c r="D1187" t="inlineStr">
        <is>
          <t>UPPSALA LÄN</t>
        </is>
      </c>
      <c r="E1187" t="inlineStr">
        <is>
          <t>UPPSALA</t>
        </is>
      </c>
      <c r="F1187" t="inlineStr">
        <is>
          <t>Sveaskog</t>
        </is>
      </c>
      <c r="G1187" t="n">
        <v>3.7</v>
      </c>
      <c r="H1187" t="n">
        <v>0</v>
      </c>
      <c r="I1187" t="n">
        <v>0</v>
      </c>
      <c r="J1187" t="n">
        <v>0</v>
      </c>
      <c r="K1187" t="n">
        <v>0</v>
      </c>
      <c r="L1187" t="n">
        <v>0</v>
      </c>
      <c r="M1187" t="n">
        <v>0</v>
      </c>
      <c r="N1187" t="n">
        <v>0</v>
      </c>
      <c r="O1187" t="n">
        <v>0</v>
      </c>
      <c r="P1187" t="n">
        <v>0</v>
      </c>
      <c r="Q1187" t="n">
        <v>0</v>
      </c>
      <c r="R1187" s="2" t="inlineStr"/>
      <c r="U1187">
        <f>HYPERLINK("https://klasma.github.io/Logging_0380/knärot/A 42974-2023 karta knärot.png", "A 42974-2023")</f>
        <v/>
      </c>
      <c r="V1187">
        <f>HYPERLINK("https://klasma.github.io/Logging_0380/klagomål/A 42974-2023 FSC-klagomål.docx", "A 42974-2023")</f>
        <v/>
      </c>
      <c r="W1187">
        <f>HYPERLINK("https://klasma.github.io/Logging_0380/klagomålsmail/A 42974-2023 FSC-klagomål mail.docx", "A 42974-2023")</f>
        <v/>
      </c>
      <c r="X1187">
        <f>HYPERLINK("https://klasma.github.io/Logging_0380/tillsyn/A 42974-2023 tillsynsbegäran.docx", "A 42974-2023")</f>
        <v/>
      </c>
      <c r="Y1187">
        <f>HYPERLINK("https://klasma.github.io/Logging_0380/tillsynsmail/A 42974-2023 tillsynsbegäran mail.docx", "A 42974-2023")</f>
        <v/>
      </c>
    </row>
    <row r="1188" ht="15" customHeight="1">
      <c r="A1188" t="inlineStr">
        <is>
          <t>A 42978-2023</t>
        </is>
      </c>
      <c r="B1188" s="1" t="n">
        <v>45182</v>
      </c>
      <c r="C1188" s="1" t="n">
        <v>45783</v>
      </c>
      <c r="D1188" t="inlineStr">
        <is>
          <t>UPPSALA LÄN</t>
        </is>
      </c>
      <c r="E1188" t="inlineStr">
        <is>
          <t>UPPSALA</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43029-2023</t>
        </is>
      </c>
      <c r="B1189" s="1" t="n">
        <v>45182</v>
      </c>
      <c r="C1189" s="1" t="n">
        <v>45783</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43818-2023</t>
        </is>
      </c>
      <c r="B1190" s="1" t="n">
        <v>45182</v>
      </c>
      <c r="C1190" s="1" t="n">
        <v>45783</v>
      </c>
      <c r="D1190" t="inlineStr">
        <is>
          <t>UPPSALA LÄN</t>
        </is>
      </c>
      <c r="E1190" t="inlineStr">
        <is>
          <t>UPPSALA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43795-2023</t>
        </is>
      </c>
      <c r="B1191" s="1" t="n">
        <v>45182</v>
      </c>
      <c r="C1191" s="1" t="n">
        <v>45783</v>
      </c>
      <c r="D1191" t="inlineStr">
        <is>
          <t>UPPSALA LÄN</t>
        </is>
      </c>
      <c r="E1191" t="inlineStr">
        <is>
          <t>UPPSALA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43316-2023</t>
        </is>
      </c>
      <c r="B1192" s="1" t="n">
        <v>45183</v>
      </c>
      <c r="C1192" s="1" t="n">
        <v>45783</v>
      </c>
      <c r="D1192" t="inlineStr">
        <is>
          <t>UPPSALA LÄN</t>
        </is>
      </c>
      <c r="E1192" t="inlineStr">
        <is>
          <t>UPPSALA</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43944-2023</t>
        </is>
      </c>
      <c r="B1193" s="1" t="n">
        <v>45187</v>
      </c>
      <c r="C1193" s="1" t="n">
        <v>45783</v>
      </c>
      <c r="D1193" t="inlineStr">
        <is>
          <t>UPPSALA LÄN</t>
        </is>
      </c>
      <c r="E1193" t="inlineStr">
        <is>
          <t>UPPSALA</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43775-2023</t>
        </is>
      </c>
      <c r="B1194" s="1" t="n">
        <v>45187</v>
      </c>
      <c r="C1194" s="1" t="n">
        <v>45783</v>
      </c>
      <c r="D1194" t="inlineStr">
        <is>
          <t>UPPSALA LÄN</t>
        </is>
      </c>
      <c r="E1194" t="inlineStr">
        <is>
          <t>UPPSALA</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43779-2023</t>
        </is>
      </c>
      <c r="B1195" s="1" t="n">
        <v>45187</v>
      </c>
      <c r="C1195" s="1" t="n">
        <v>45783</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43776-2023</t>
        </is>
      </c>
      <c r="B1196" s="1" t="n">
        <v>45187</v>
      </c>
      <c r="C1196" s="1" t="n">
        <v>45783</v>
      </c>
      <c r="D1196" t="inlineStr">
        <is>
          <t>UPPSALA LÄN</t>
        </is>
      </c>
      <c r="E1196" t="inlineStr">
        <is>
          <t>UPPSALA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43855-2023</t>
        </is>
      </c>
      <c r="B1197" s="1" t="n">
        <v>45187</v>
      </c>
      <c r="C1197" s="1" t="n">
        <v>45783</v>
      </c>
      <c r="D1197" t="inlineStr">
        <is>
          <t>UPPSALA LÄN</t>
        </is>
      </c>
      <c r="E1197" t="inlineStr">
        <is>
          <t>UPPSALA</t>
        </is>
      </c>
      <c r="F1197" t="inlineStr">
        <is>
          <t>Bergvik skog öst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43778-2023</t>
        </is>
      </c>
      <c r="B1198" s="1" t="n">
        <v>45187</v>
      </c>
      <c r="C1198" s="1" t="n">
        <v>45783</v>
      </c>
      <c r="D1198" t="inlineStr">
        <is>
          <t>UPPSALA LÄN</t>
        </is>
      </c>
      <c r="E1198" t="inlineStr">
        <is>
          <t>UPPSALA</t>
        </is>
      </c>
      <c r="F1198" t="inlineStr">
        <is>
          <t>Bergvik skog öst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44875-2023</t>
        </is>
      </c>
      <c r="B1199" s="1" t="n">
        <v>45187</v>
      </c>
      <c r="C1199" s="1" t="n">
        <v>45783</v>
      </c>
      <c r="D1199" t="inlineStr">
        <is>
          <t>UPPSALA LÄN</t>
        </is>
      </c>
      <c r="E1199" t="inlineStr">
        <is>
          <t>UPPSALA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44080-2023</t>
        </is>
      </c>
      <c r="B1200" s="1" t="n">
        <v>45188</v>
      </c>
      <c r="C1200" s="1" t="n">
        <v>45783</v>
      </c>
      <c r="D1200" t="inlineStr">
        <is>
          <t>UPPSALA LÄN</t>
        </is>
      </c>
      <c r="E1200" t="inlineStr">
        <is>
          <t>UPPSALA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44115-2023</t>
        </is>
      </c>
      <c r="B1201" s="1" t="n">
        <v>45188</v>
      </c>
      <c r="C1201" s="1" t="n">
        <v>45783</v>
      </c>
      <c r="D1201" t="inlineStr">
        <is>
          <t>UPPSALA LÄN</t>
        </is>
      </c>
      <c r="E1201" t="inlineStr">
        <is>
          <t>UPPSALA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44232-2023</t>
        </is>
      </c>
      <c r="B1202" s="1" t="n">
        <v>45188</v>
      </c>
      <c r="C1202" s="1" t="n">
        <v>45783</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44105-2023</t>
        </is>
      </c>
      <c r="B1203" s="1" t="n">
        <v>45188</v>
      </c>
      <c r="C1203" s="1" t="n">
        <v>45783</v>
      </c>
      <c r="D1203" t="inlineStr">
        <is>
          <t>UPPSALA LÄN</t>
        </is>
      </c>
      <c r="E1203" t="inlineStr">
        <is>
          <t>UPPSALA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44333-2023</t>
        </is>
      </c>
      <c r="B1204" s="1" t="n">
        <v>45188</v>
      </c>
      <c r="C1204" s="1" t="n">
        <v>45783</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44337-2023</t>
        </is>
      </c>
      <c r="B1205" s="1" t="n">
        <v>45188</v>
      </c>
      <c r="C1205" s="1" t="n">
        <v>45783</v>
      </c>
      <c r="D1205" t="inlineStr">
        <is>
          <t>UPPSALA LÄN</t>
        </is>
      </c>
      <c r="E1205" t="inlineStr">
        <is>
          <t>UPPSALA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44257-2023</t>
        </is>
      </c>
      <c r="B1206" s="1" t="n">
        <v>45188</v>
      </c>
      <c r="C1206" s="1" t="n">
        <v>45783</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44815-2023</t>
        </is>
      </c>
      <c r="B1207" s="1" t="n">
        <v>45190</v>
      </c>
      <c r="C1207" s="1" t="n">
        <v>45783</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44830-2023</t>
        </is>
      </c>
      <c r="B1208" s="1" t="n">
        <v>45190</v>
      </c>
      <c r="C1208" s="1" t="n">
        <v>45783</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44785-2023</t>
        </is>
      </c>
      <c r="B1209" s="1" t="n">
        <v>45190</v>
      </c>
      <c r="C1209" s="1" t="n">
        <v>45783</v>
      </c>
      <c r="D1209" t="inlineStr">
        <is>
          <t>UPPSALA LÄN</t>
        </is>
      </c>
      <c r="E1209" t="inlineStr">
        <is>
          <t>UPPSALA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45244-2023</t>
        </is>
      </c>
      <c r="B1210" s="1" t="n">
        <v>45191</v>
      </c>
      <c r="C1210" s="1" t="n">
        <v>45783</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45223-2023</t>
        </is>
      </c>
      <c r="B1211" s="1" t="n">
        <v>45191</v>
      </c>
      <c r="C1211" s="1" t="n">
        <v>45783</v>
      </c>
      <c r="D1211" t="inlineStr">
        <is>
          <t>UPPSALA LÄN</t>
        </is>
      </c>
      <c r="E1211" t="inlineStr">
        <is>
          <t>UPPSALA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45489-2023</t>
        </is>
      </c>
      <c r="B1212" s="1" t="n">
        <v>45194</v>
      </c>
      <c r="C1212" s="1" t="n">
        <v>45783</v>
      </c>
      <c r="D1212" t="inlineStr">
        <is>
          <t>UPPSALA LÄN</t>
        </is>
      </c>
      <c r="E1212" t="inlineStr">
        <is>
          <t>UPPSALA</t>
        </is>
      </c>
      <c r="F1212" t="inlineStr">
        <is>
          <t>Allmännings- och besparingsskogar</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45575-2023</t>
        </is>
      </c>
      <c r="B1213" s="1" t="n">
        <v>45194</v>
      </c>
      <c r="C1213" s="1" t="n">
        <v>45783</v>
      </c>
      <c r="D1213" t="inlineStr">
        <is>
          <t>UPPSALA LÄN</t>
        </is>
      </c>
      <c r="E1213" t="inlineStr">
        <is>
          <t>UPPSALA</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45578-2023</t>
        </is>
      </c>
      <c r="B1214" s="1" t="n">
        <v>45194</v>
      </c>
      <c r="C1214" s="1" t="n">
        <v>45783</v>
      </c>
      <c r="D1214" t="inlineStr">
        <is>
          <t>UPPSALA LÄN</t>
        </is>
      </c>
      <c r="E1214" t="inlineStr">
        <is>
          <t>UPPSALA</t>
        </is>
      </c>
      <c r="F1214" t="inlineStr">
        <is>
          <t>Bergvik skog öst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45592-2023</t>
        </is>
      </c>
      <c r="B1215" s="1" t="n">
        <v>45194</v>
      </c>
      <c r="C1215" s="1" t="n">
        <v>45783</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45662-2023</t>
        </is>
      </c>
      <c r="B1216" s="1" t="n">
        <v>45194</v>
      </c>
      <c r="C1216" s="1" t="n">
        <v>45783</v>
      </c>
      <c r="D1216" t="inlineStr">
        <is>
          <t>UPPSALA LÄN</t>
        </is>
      </c>
      <c r="E1216" t="inlineStr">
        <is>
          <t>UPPSALA</t>
        </is>
      </c>
      <c r="F1216" t="inlineStr">
        <is>
          <t>Bergvik skog öst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45661-2023</t>
        </is>
      </c>
      <c r="B1217" s="1" t="n">
        <v>45194</v>
      </c>
      <c r="C1217" s="1" t="n">
        <v>45783</v>
      </c>
      <c r="D1217" t="inlineStr">
        <is>
          <t>UPPSALA LÄN</t>
        </is>
      </c>
      <c r="E1217" t="inlineStr">
        <is>
          <t>UPPSALA</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45892-2023</t>
        </is>
      </c>
      <c r="B1218" s="1" t="n">
        <v>45195</v>
      </c>
      <c r="C1218" s="1" t="n">
        <v>45783</v>
      </c>
      <c r="D1218" t="inlineStr">
        <is>
          <t>UPPSALA LÄN</t>
        </is>
      </c>
      <c r="E1218" t="inlineStr">
        <is>
          <t>UPPSALA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45885-2023</t>
        </is>
      </c>
      <c r="B1219" s="1" t="n">
        <v>45195</v>
      </c>
      <c r="C1219" s="1" t="n">
        <v>45783</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46335-2023</t>
        </is>
      </c>
      <c r="B1220" s="1" t="n">
        <v>45197</v>
      </c>
      <c r="C1220" s="1" t="n">
        <v>45783</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46869-2023</t>
        </is>
      </c>
      <c r="B1221" s="1" t="n">
        <v>45200</v>
      </c>
      <c r="C1221" s="1" t="n">
        <v>45783</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46995-2023</t>
        </is>
      </c>
      <c r="B1222" s="1" t="n">
        <v>45201</v>
      </c>
      <c r="C1222" s="1" t="n">
        <v>45783</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47083-2023</t>
        </is>
      </c>
      <c r="B1223" s="1" t="n">
        <v>45201</v>
      </c>
      <c r="C1223" s="1" t="n">
        <v>45783</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47221-2023</t>
        </is>
      </c>
      <c r="B1224" s="1" t="n">
        <v>45202</v>
      </c>
      <c r="C1224" s="1" t="n">
        <v>45783</v>
      </c>
      <c r="D1224" t="inlineStr">
        <is>
          <t>UPPSALA LÄN</t>
        </is>
      </c>
      <c r="E1224" t="inlineStr">
        <is>
          <t>UPPSALA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47314-2023</t>
        </is>
      </c>
      <c r="B1225" s="1" t="n">
        <v>45202</v>
      </c>
      <c r="C1225" s="1" t="n">
        <v>45783</v>
      </c>
      <c r="D1225" t="inlineStr">
        <is>
          <t>UPPSALA LÄN</t>
        </is>
      </c>
      <c r="E1225" t="inlineStr">
        <is>
          <t>UPPSALA</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47287-2023</t>
        </is>
      </c>
      <c r="B1226" s="1" t="n">
        <v>45202</v>
      </c>
      <c r="C1226" s="1" t="n">
        <v>45783</v>
      </c>
      <c r="D1226" t="inlineStr">
        <is>
          <t>UPPSALA LÄN</t>
        </is>
      </c>
      <c r="E1226" t="inlineStr">
        <is>
          <t>UPPSALA</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47316-2023</t>
        </is>
      </c>
      <c r="B1227" s="1" t="n">
        <v>45202</v>
      </c>
      <c r="C1227" s="1" t="n">
        <v>45783</v>
      </c>
      <c r="D1227" t="inlineStr">
        <is>
          <t>UPPSALA LÄN</t>
        </is>
      </c>
      <c r="E1227" t="inlineStr">
        <is>
          <t>UPPSALA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47618-2023</t>
        </is>
      </c>
      <c r="B1228" s="1" t="n">
        <v>45203</v>
      </c>
      <c r="C1228" s="1" t="n">
        <v>45783</v>
      </c>
      <c r="D1228" t="inlineStr">
        <is>
          <t>UPPSALA LÄN</t>
        </is>
      </c>
      <c r="E1228" t="inlineStr">
        <is>
          <t>UPPSALA</t>
        </is>
      </c>
      <c r="F1228" t="inlineStr">
        <is>
          <t>Bergvik skog öst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48562-2023</t>
        </is>
      </c>
      <c r="B1229" s="1" t="n">
        <v>45208</v>
      </c>
      <c r="C1229" s="1" t="n">
        <v>45783</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48564-2023</t>
        </is>
      </c>
      <c r="B1230" s="1" t="n">
        <v>45208</v>
      </c>
      <c r="C1230" s="1" t="n">
        <v>45783</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48571-2023</t>
        </is>
      </c>
      <c r="B1231" s="1" t="n">
        <v>45208</v>
      </c>
      <c r="C1231" s="1" t="n">
        <v>45783</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48584-2023</t>
        </is>
      </c>
      <c r="B1232" s="1" t="n">
        <v>45208</v>
      </c>
      <c r="C1232" s="1" t="n">
        <v>45783</v>
      </c>
      <c r="D1232" t="inlineStr">
        <is>
          <t>UPPSALA LÄN</t>
        </is>
      </c>
      <c r="E1232" t="inlineStr">
        <is>
          <t>UPPSALA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49189-2023</t>
        </is>
      </c>
      <c r="B1233" s="1" t="n">
        <v>45210</v>
      </c>
      <c r="C1233" s="1" t="n">
        <v>45783</v>
      </c>
      <c r="D1233" t="inlineStr">
        <is>
          <t>UPPSALA LÄN</t>
        </is>
      </c>
      <c r="E1233" t="inlineStr">
        <is>
          <t>UPPSALA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49201-2023</t>
        </is>
      </c>
      <c r="B1234" s="1" t="n">
        <v>45210</v>
      </c>
      <c r="C1234" s="1" t="n">
        <v>45783</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49682-2023</t>
        </is>
      </c>
      <c r="B1235" s="1" t="n">
        <v>45212</v>
      </c>
      <c r="C1235" s="1" t="n">
        <v>45783</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49996-2023</t>
        </is>
      </c>
      <c r="B1236" s="1" t="n">
        <v>45215</v>
      </c>
      <c r="C1236" s="1" t="n">
        <v>45783</v>
      </c>
      <c r="D1236" t="inlineStr">
        <is>
          <t>UPPSALA LÄN</t>
        </is>
      </c>
      <c r="E1236" t="inlineStr">
        <is>
          <t>UPPSALA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50118-2023</t>
        </is>
      </c>
      <c r="B1237" s="1" t="n">
        <v>45215</v>
      </c>
      <c r="C1237" s="1" t="n">
        <v>45783</v>
      </c>
      <c r="D1237" t="inlineStr">
        <is>
          <t>UPPSALA LÄN</t>
        </is>
      </c>
      <c r="E1237" t="inlineStr">
        <is>
          <t>UPPSALA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51843-2023</t>
        </is>
      </c>
      <c r="B1238" s="1" t="n">
        <v>45215</v>
      </c>
      <c r="C1238" s="1" t="n">
        <v>45783</v>
      </c>
      <c r="D1238" t="inlineStr">
        <is>
          <t>UPPSALA LÄN</t>
        </is>
      </c>
      <c r="E1238" t="inlineStr">
        <is>
          <t>UPPSALA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50267-2023</t>
        </is>
      </c>
      <c r="B1239" s="1" t="n">
        <v>45216</v>
      </c>
      <c r="C1239" s="1" t="n">
        <v>45783</v>
      </c>
      <c r="D1239" t="inlineStr">
        <is>
          <t>UPPSALA LÄN</t>
        </is>
      </c>
      <c r="E1239" t="inlineStr">
        <is>
          <t>UPPSALA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50473-2023</t>
        </is>
      </c>
      <c r="B1240" s="1" t="n">
        <v>45216</v>
      </c>
      <c r="C1240" s="1" t="n">
        <v>45783</v>
      </c>
      <c r="D1240" t="inlineStr">
        <is>
          <t>UPPSALA LÄN</t>
        </is>
      </c>
      <c r="E1240" t="inlineStr">
        <is>
          <t>UPPSALA</t>
        </is>
      </c>
      <c r="F1240" t="inlineStr">
        <is>
          <t>Allmännings- och besparingsskogar</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50395-2023</t>
        </is>
      </c>
      <c r="B1241" s="1" t="n">
        <v>45216</v>
      </c>
      <c r="C1241" s="1" t="n">
        <v>45783</v>
      </c>
      <c r="D1241" t="inlineStr">
        <is>
          <t>UPPSALA LÄN</t>
        </is>
      </c>
      <c r="E1241" t="inlineStr">
        <is>
          <t>UPPSALA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51016-2023</t>
        </is>
      </c>
      <c r="B1242" s="1" t="n">
        <v>45218</v>
      </c>
      <c r="C1242" s="1" t="n">
        <v>45783</v>
      </c>
      <c r="D1242" t="inlineStr">
        <is>
          <t>UPPSALA LÄN</t>
        </is>
      </c>
      <c r="E1242" t="inlineStr">
        <is>
          <t>UPPSALA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51006-2023</t>
        </is>
      </c>
      <c r="B1243" s="1" t="n">
        <v>45218</v>
      </c>
      <c r="C1243" s="1" t="n">
        <v>45783</v>
      </c>
      <c r="D1243" t="inlineStr">
        <is>
          <t>UPPSALA LÄN</t>
        </is>
      </c>
      <c r="E1243" t="inlineStr">
        <is>
          <t>UPPSALA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51542-2023</t>
        </is>
      </c>
      <c r="B1244" s="1" t="n">
        <v>45222</v>
      </c>
      <c r="C1244" s="1" t="n">
        <v>45783</v>
      </c>
      <c r="D1244" t="inlineStr">
        <is>
          <t>UPPSALA LÄN</t>
        </is>
      </c>
      <c r="E1244" t="inlineStr">
        <is>
          <t>UPPSALA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51734-2023</t>
        </is>
      </c>
      <c r="B1245" s="1" t="n">
        <v>45222</v>
      </c>
      <c r="C1245" s="1" t="n">
        <v>45783</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51731-2023</t>
        </is>
      </c>
      <c r="B1246" s="1" t="n">
        <v>45222</v>
      </c>
      <c r="C1246" s="1" t="n">
        <v>45783</v>
      </c>
      <c r="D1246" t="inlineStr">
        <is>
          <t>UPPSALA LÄN</t>
        </is>
      </c>
      <c r="E1246" t="inlineStr">
        <is>
          <t>UPPSALA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51576-2023</t>
        </is>
      </c>
      <c r="B1247" s="1" t="n">
        <v>45222</v>
      </c>
      <c r="C1247" s="1" t="n">
        <v>45783</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51697-2023</t>
        </is>
      </c>
      <c r="B1248" s="1" t="n">
        <v>45222</v>
      </c>
      <c r="C1248" s="1" t="n">
        <v>45783</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51935-2023</t>
        </is>
      </c>
      <c r="B1249" s="1" t="n">
        <v>45223</v>
      </c>
      <c r="C1249" s="1" t="n">
        <v>45783</v>
      </c>
      <c r="D1249" t="inlineStr">
        <is>
          <t>UPPSALA LÄN</t>
        </is>
      </c>
      <c r="E1249" t="inlineStr">
        <is>
          <t>UPPSALA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52273-2023</t>
        </is>
      </c>
      <c r="B1250" s="1" t="n">
        <v>45224</v>
      </c>
      <c r="C1250" s="1" t="n">
        <v>45783</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52492-2023</t>
        </is>
      </c>
      <c r="B1251" s="1" t="n">
        <v>45225</v>
      </c>
      <c r="C1251" s="1" t="n">
        <v>45783</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52503-2023</t>
        </is>
      </c>
      <c r="B1252" s="1" t="n">
        <v>45225</v>
      </c>
      <c r="C1252" s="1" t="n">
        <v>45783</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52518-2023</t>
        </is>
      </c>
      <c r="B1253" s="1" t="n">
        <v>45225</v>
      </c>
      <c r="C1253" s="1" t="n">
        <v>45783</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53893-2023</t>
        </is>
      </c>
      <c r="B1254" s="1" t="n">
        <v>45231</v>
      </c>
      <c r="C1254" s="1" t="n">
        <v>45783</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53919-2023</t>
        </is>
      </c>
      <c r="B1255" s="1" t="n">
        <v>45231</v>
      </c>
      <c r="C1255" s="1" t="n">
        <v>45783</v>
      </c>
      <c r="D1255" t="inlineStr">
        <is>
          <t>UPPSALA LÄN</t>
        </is>
      </c>
      <c r="E1255" t="inlineStr">
        <is>
          <t>UPPSALA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53982-2023</t>
        </is>
      </c>
      <c r="B1256" s="1" t="n">
        <v>45231</v>
      </c>
      <c r="C1256" s="1" t="n">
        <v>45783</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53882-2023</t>
        </is>
      </c>
      <c r="B1257" s="1" t="n">
        <v>45231</v>
      </c>
      <c r="C1257" s="1" t="n">
        <v>45783</v>
      </c>
      <c r="D1257" t="inlineStr">
        <is>
          <t>UPPSALA LÄN</t>
        </is>
      </c>
      <c r="E1257" t="inlineStr">
        <is>
          <t>UPPSALA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53900-2023</t>
        </is>
      </c>
      <c r="B1258" s="1" t="n">
        <v>45231</v>
      </c>
      <c r="C1258" s="1" t="n">
        <v>45783</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53963-2023</t>
        </is>
      </c>
      <c r="B1259" s="1" t="n">
        <v>45231</v>
      </c>
      <c r="C1259" s="1" t="n">
        <v>45783</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53967-2023</t>
        </is>
      </c>
      <c r="B1260" s="1" t="n">
        <v>45231</v>
      </c>
      <c r="C1260" s="1" t="n">
        <v>45783</v>
      </c>
      <c r="D1260" t="inlineStr">
        <is>
          <t>UPPSALA LÄN</t>
        </is>
      </c>
      <c r="E1260" t="inlineStr">
        <is>
          <t>UPPSALA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53803-2023</t>
        </is>
      </c>
      <c r="B1261" s="1" t="n">
        <v>45231</v>
      </c>
      <c r="C1261" s="1" t="n">
        <v>45783</v>
      </c>
      <c r="D1261" t="inlineStr">
        <is>
          <t>UPPSALA LÄN</t>
        </is>
      </c>
      <c r="E1261" t="inlineStr">
        <is>
          <t>UPPSALA</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53906-2023</t>
        </is>
      </c>
      <c r="B1262" s="1" t="n">
        <v>45231</v>
      </c>
      <c r="C1262" s="1" t="n">
        <v>45783</v>
      </c>
      <c r="D1262" t="inlineStr">
        <is>
          <t>UPPSALA LÄN</t>
        </is>
      </c>
      <c r="E1262" t="inlineStr">
        <is>
          <t>UPPSALA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54231-2023</t>
        </is>
      </c>
      <c r="B1263" s="1" t="n">
        <v>45232</v>
      </c>
      <c r="C1263" s="1" t="n">
        <v>45783</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55529-2023</t>
        </is>
      </c>
      <c r="B1264" s="1" t="n">
        <v>45232</v>
      </c>
      <c r="C1264" s="1" t="n">
        <v>45783</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54375-2023</t>
        </is>
      </c>
      <c r="B1265" s="1" t="n">
        <v>45233</v>
      </c>
      <c r="C1265" s="1" t="n">
        <v>45783</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54474-2023</t>
        </is>
      </c>
      <c r="B1266" s="1" t="n">
        <v>45233</v>
      </c>
      <c r="C1266" s="1" t="n">
        <v>45783</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54461-2023</t>
        </is>
      </c>
      <c r="B1267" s="1" t="n">
        <v>45233</v>
      </c>
      <c r="C1267" s="1" t="n">
        <v>45783</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54808-2023</t>
        </is>
      </c>
      <c r="B1268" s="1" t="n">
        <v>45236</v>
      </c>
      <c r="C1268" s="1" t="n">
        <v>45783</v>
      </c>
      <c r="D1268" t="inlineStr">
        <is>
          <t>UPPSALA LÄN</t>
        </is>
      </c>
      <c r="E1268" t="inlineStr">
        <is>
          <t>UPPSALA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54704-2023</t>
        </is>
      </c>
      <c r="B1269" s="1" t="n">
        <v>45236</v>
      </c>
      <c r="C1269" s="1" t="n">
        <v>45783</v>
      </c>
      <c r="D1269" t="inlineStr">
        <is>
          <t>UPPSALA LÄN</t>
        </is>
      </c>
      <c r="E1269" t="inlineStr">
        <is>
          <t>UPPSALA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54783-2023</t>
        </is>
      </c>
      <c r="B1270" s="1" t="n">
        <v>45236</v>
      </c>
      <c r="C1270" s="1" t="n">
        <v>45783</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55598-2023</t>
        </is>
      </c>
      <c r="B1271" s="1" t="n">
        <v>45238</v>
      </c>
      <c r="C1271" s="1" t="n">
        <v>45783</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56084-2023</t>
        </is>
      </c>
      <c r="B1272" s="1" t="n">
        <v>45240</v>
      </c>
      <c r="C1272" s="1" t="n">
        <v>45783</v>
      </c>
      <c r="D1272" t="inlineStr">
        <is>
          <t>UPPSALA LÄN</t>
        </is>
      </c>
      <c r="E1272" t="inlineStr">
        <is>
          <t>UPPSALA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56082-2023</t>
        </is>
      </c>
      <c r="B1273" s="1" t="n">
        <v>45240</v>
      </c>
      <c r="C1273" s="1" t="n">
        <v>45783</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56105-2023</t>
        </is>
      </c>
      <c r="B1274" s="1" t="n">
        <v>45240</v>
      </c>
      <c r="C1274" s="1" t="n">
        <v>45783</v>
      </c>
      <c r="D1274" t="inlineStr">
        <is>
          <t>UPPSALA LÄN</t>
        </is>
      </c>
      <c r="E1274" t="inlineStr">
        <is>
          <t>UPPSALA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56077-2023</t>
        </is>
      </c>
      <c r="B1275" s="1" t="n">
        <v>45240</v>
      </c>
      <c r="C1275" s="1" t="n">
        <v>45783</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56278-2023</t>
        </is>
      </c>
      <c r="B1276" s="1" t="n">
        <v>45241</v>
      </c>
      <c r="C1276" s="1" t="n">
        <v>45783</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56642-2023</t>
        </is>
      </c>
      <c r="B1277" s="1" t="n">
        <v>45243</v>
      </c>
      <c r="C1277" s="1" t="n">
        <v>45783</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56852-2023</t>
        </is>
      </c>
      <c r="B1278" s="1" t="n">
        <v>45244</v>
      </c>
      <c r="C1278" s="1" t="n">
        <v>45783</v>
      </c>
      <c r="D1278" t="inlineStr">
        <is>
          <t>UPPSALA LÄN</t>
        </is>
      </c>
      <c r="E1278" t="inlineStr">
        <is>
          <t>UPPSALA</t>
        </is>
      </c>
      <c r="F1278" t="inlineStr">
        <is>
          <t>Holmen skog AB</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56872-2023</t>
        </is>
      </c>
      <c r="B1279" s="1" t="n">
        <v>45244</v>
      </c>
      <c r="C1279" s="1" t="n">
        <v>45783</v>
      </c>
      <c r="D1279" t="inlineStr">
        <is>
          <t>UPPSALA LÄN</t>
        </is>
      </c>
      <c r="E1279" t="inlineStr">
        <is>
          <t>UPPSALA</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57186-2023</t>
        </is>
      </c>
      <c r="B1280" s="1" t="n">
        <v>45245</v>
      </c>
      <c r="C1280" s="1" t="n">
        <v>45783</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57182-2023</t>
        </is>
      </c>
      <c r="B1281" s="1" t="n">
        <v>45245</v>
      </c>
      <c r="C1281" s="1" t="n">
        <v>45783</v>
      </c>
      <c r="D1281" t="inlineStr">
        <is>
          <t>UPPSALA LÄN</t>
        </is>
      </c>
      <c r="E1281" t="inlineStr">
        <is>
          <t>UPPSALA</t>
        </is>
      </c>
      <c r="F1281" t="inlineStr">
        <is>
          <t>Övriga Aktiebolag</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59240-2023</t>
        </is>
      </c>
      <c r="B1282" s="1" t="n">
        <v>45253</v>
      </c>
      <c r="C1282" s="1" t="n">
        <v>45783</v>
      </c>
      <c r="D1282" t="inlineStr">
        <is>
          <t>UPPSALA LÄN</t>
        </is>
      </c>
      <c r="E1282" t="inlineStr">
        <is>
          <t>UPPSALA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59511-2023</t>
        </is>
      </c>
      <c r="B1283" s="1" t="n">
        <v>45254</v>
      </c>
      <c r="C1283" s="1" t="n">
        <v>45783</v>
      </c>
      <c r="D1283" t="inlineStr">
        <is>
          <t>UPPSALA LÄN</t>
        </is>
      </c>
      <c r="E1283" t="inlineStr">
        <is>
          <t>UPPSALA</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59521-2023</t>
        </is>
      </c>
      <c r="B1284" s="1" t="n">
        <v>45254</v>
      </c>
      <c r="C1284" s="1" t="n">
        <v>45783</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59564-2023</t>
        </is>
      </c>
      <c r="B1285" s="1" t="n">
        <v>45254</v>
      </c>
      <c r="C1285" s="1" t="n">
        <v>45783</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59570-2023</t>
        </is>
      </c>
      <c r="B1286" s="1" t="n">
        <v>45254</v>
      </c>
      <c r="C1286" s="1" t="n">
        <v>45783</v>
      </c>
      <c r="D1286" t="inlineStr">
        <is>
          <t>UPPSALA LÄN</t>
        </is>
      </c>
      <c r="E1286" t="inlineStr">
        <is>
          <t>UPPSALA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59585-2023</t>
        </is>
      </c>
      <c r="B1287" s="1" t="n">
        <v>45254</v>
      </c>
      <c r="C1287" s="1" t="n">
        <v>45783</v>
      </c>
      <c r="D1287" t="inlineStr">
        <is>
          <t>UPPSALA LÄN</t>
        </is>
      </c>
      <c r="E1287" t="inlineStr">
        <is>
          <t>UPPSALA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59489-2023</t>
        </is>
      </c>
      <c r="B1288" s="1" t="n">
        <v>45254</v>
      </c>
      <c r="C1288" s="1" t="n">
        <v>45783</v>
      </c>
      <c r="D1288" t="inlineStr">
        <is>
          <t>UPPSALA LÄN</t>
        </is>
      </c>
      <c r="E1288" t="inlineStr">
        <is>
          <t>UPPSALA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59856-2023</t>
        </is>
      </c>
      <c r="B1289" s="1" t="n">
        <v>45257</v>
      </c>
      <c r="C1289" s="1" t="n">
        <v>45783</v>
      </c>
      <c r="D1289" t="inlineStr">
        <is>
          <t>UPPSALA LÄN</t>
        </is>
      </c>
      <c r="E1289" t="inlineStr">
        <is>
          <t>UPPSALA</t>
        </is>
      </c>
      <c r="F1289" t="inlineStr">
        <is>
          <t>Allmännings- och besparingsskogar</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59810-2023</t>
        </is>
      </c>
      <c r="B1290" s="1" t="n">
        <v>45257</v>
      </c>
      <c r="C1290" s="1" t="n">
        <v>45783</v>
      </c>
      <c r="D1290" t="inlineStr">
        <is>
          <t>UPPSALA LÄN</t>
        </is>
      </c>
      <c r="E1290" t="inlineStr">
        <is>
          <t>UPPSALA</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60444-2023</t>
        </is>
      </c>
      <c r="B1291" s="1" t="n">
        <v>45259</v>
      </c>
      <c r="C1291" s="1" t="n">
        <v>45783</v>
      </c>
      <c r="D1291" t="inlineStr">
        <is>
          <t>UPPSALA LÄN</t>
        </is>
      </c>
      <c r="E1291" t="inlineStr">
        <is>
          <t>UPPSALA</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60447-2023</t>
        </is>
      </c>
      <c r="B1292" s="1" t="n">
        <v>45259</v>
      </c>
      <c r="C1292" s="1" t="n">
        <v>45783</v>
      </c>
      <c r="D1292" t="inlineStr">
        <is>
          <t>UPPSALA LÄN</t>
        </is>
      </c>
      <c r="E1292" t="inlineStr">
        <is>
          <t>UPPSALA</t>
        </is>
      </c>
      <c r="F1292" t="inlineStr">
        <is>
          <t>Bergvik skog öst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60714-2023</t>
        </is>
      </c>
      <c r="B1293" s="1" t="n">
        <v>45259</v>
      </c>
      <c r="C1293" s="1" t="n">
        <v>45783</v>
      </c>
      <c r="D1293" t="inlineStr">
        <is>
          <t>UPPSALA LÄN</t>
        </is>
      </c>
      <c r="E1293" t="inlineStr">
        <is>
          <t>UPPSALA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60814-2023</t>
        </is>
      </c>
      <c r="B1294" s="1" t="n">
        <v>45259</v>
      </c>
      <c r="C1294" s="1" t="n">
        <v>45783</v>
      </c>
      <c r="D1294" t="inlineStr">
        <is>
          <t>UPPSALA LÄN</t>
        </is>
      </c>
      <c r="E1294" t="inlineStr">
        <is>
          <t>UPPSALA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60781-2023</t>
        </is>
      </c>
      <c r="B1295" s="1" t="n">
        <v>45259</v>
      </c>
      <c r="C1295" s="1" t="n">
        <v>45783</v>
      </c>
      <c r="D1295" t="inlineStr">
        <is>
          <t>UPPSALA LÄN</t>
        </is>
      </c>
      <c r="E1295" t="inlineStr">
        <is>
          <t>UPPSALA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61067-2023</t>
        </is>
      </c>
      <c r="B1296" s="1" t="n">
        <v>45259</v>
      </c>
      <c r="C1296" s="1" t="n">
        <v>45783</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60707-2023</t>
        </is>
      </c>
      <c r="B1297" s="1" t="n">
        <v>45260</v>
      </c>
      <c r="C1297" s="1" t="n">
        <v>45783</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61947-2023</t>
        </is>
      </c>
      <c r="B1298" s="1" t="n">
        <v>45266</v>
      </c>
      <c r="C1298" s="1" t="n">
        <v>45783</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62287-2023</t>
        </is>
      </c>
      <c r="B1299" s="1" t="n">
        <v>45267</v>
      </c>
      <c r="C1299" s="1" t="n">
        <v>45783</v>
      </c>
      <c r="D1299" t="inlineStr">
        <is>
          <t>UPPSALA LÄN</t>
        </is>
      </c>
      <c r="E1299" t="inlineStr">
        <is>
          <t>UPPSALA</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62627-2023</t>
        </is>
      </c>
      <c r="B1300" s="1" t="n">
        <v>45268</v>
      </c>
      <c r="C1300" s="1" t="n">
        <v>45783</v>
      </c>
      <c r="D1300" t="inlineStr">
        <is>
          <t>UPPSALA LÄN</t>
        </is>
      </c>
      <c r="E1300" t="inlineStr">
        <is>
          <t>UPPSALA</t>
        </is>
      </c>
      <c r="G1300" t="n">
        <v>7.6</v>
      </c>
      <c r="H1300" t="n">
        <v>0</v>
      </c>
      <c r="I1300" t="n">
        <v>0</v>
      </c>
      <c r="J1300" t="n">
        <v>0</v>
      </c>
      <c r="K1300" t="n">
        <v>0</v>
      </c>
      <c r="L1300" t="n">
        <v>0</v>
      </c>
      <c r="M1300" t="n">
        <v>0</v>
      </c>
      <c r="N1300" t="n">
        <v>0</v>
      </c>
      <c r="O1300" t="n">
        <v>0</v>
      </c>
      <c r="P1300" t="n">
        <v>0</v>
      </c>
      <c r="Q1300" t="n">
        <v>0</v>
      </c>
      <c r="R1300" s="2" t="inlineStr"/>
      <c r="U1300">
        <f>HYPERLINK("https://klasma.github.io/Logging_0380/knärot/A 62627-2023 karta knärot.png", "A 62627-2023")</f>
        <v/>
      </c>
      <c r="V1300">
        <f>HYPERLINK("https://klasma.github.io/Logging_0380/klagomål/A 62627-2023 FSC-klagomål.docx", "A 62627-2023")</f>
        <v/>
      </c>
      <c r="W1300">
        <f>HYPERLINK("https://klasma.github.io/Logging_0380/klagomålsmail/A 62627-2023 FSC-klagomål mail.docx", "A 62627-2023")</f>
        <v/>
      </c>
      <c r="X1300">
        <f>HYPERLINK("https://klasma.github.io/Logging_0380/tillsyn/A 62627-2023 tillsynsbegäran.docx", "A 62627-2023")</f>
        <v/>
      </c>
      <c r="Y1300">
        <f>HYPERLINK("https://klasma.github.io/Logging_0380/tillsynsmail/A 62627-2023 tillsynsbegäran mail.docx", "A 62627-2023")</f>
        <v/>
      </c>
    </row>
    <row r="1301" ht="15" customHeight="1">
      <c r="A1301" t="inlineStr">
        <is>
          <t>A 62636-2023</t>
        </is>
      </c>
      <c r="B1301" s="1" t="n">
        <v>45268</v>
      </c>
      <c r="C1301" s="1" t="n">
        <v>45783</v>
      </c>
      <c r="D1301" t="inlineStr">
        <is>
          <t>UPPSALA LÄN</t>
        </is>
      </c>
      <c r="E1301" t="inlineStr">
        <is>
          <t>UPPSALA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62691-2023</t>
        </is>
      </c>
      <c r="B1302" s="1" t="n">
        <v>45268</v>
      </c>
      <c r="C1302" s="1" t="n">
        <v>45783</v>
      </c>
      <c r="D1302" t="inlineStr">
        <is>
          <t>UPPSALA LÄN</t>
        </is>
      </c>
      <c r="E1302" t="inlineStr">
        <is>
          <t>UPPSALA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62694-2023</t>
        </is>
      </c>
      <c r="B1303" s="1" t="n">
        <v>45268</v>
      </c>
      <c r="C1303" s="1" t="n">
        <v>45783</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62714-2023</t>
        </is>
      </c>
      <c r="B1304" s="1" t="n">
        <v>45271</v>
      </c>
      <c r="C1304" s="1" t="n">
        <v>45783</v>
      </c>
      <c r="D1304" t="inlineStr">
        <is>
          <t>UPPSALA LÄN</t>
        </is>
      </c>
      <c r="E1304" t="inlineStr">
        <is>
          <t>UPPSALA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63163-2023</t>
        </is>
      </c>
      <c r="B1305" s="1" t="n">
        <v>45273</v>
      </c>
      <c r="C1305" s="1" t="n">
        <v>45783</v>
      </c>
      <c r="D1305" t="inlineStr">
        <is>
          <t>UPPSALA LÄN</t>
        </is>
      </c>
      <c r="E1305" t="inlineStr">
        <is>
          <t>UPPSALA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63578-2023</t>
        </is>
      </c>
      <c r="B1306" s="1" t="n">
        <v>45275</v>
      </c>
      <c r="C1306" s="1" t="n">
        <v>45783</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63579-2023</t>
        </is>
      </c>
      <c r="B1307" s="1" t="n">
        <v>45275</v>
      </c>
      <c r="C1307" s="1" t="n">
        <v>45783</v>
      </c>
      <c r="D1307" t="inlineStr">
        <is>
          <t>UPPSALA LÄN</t>
        </is>
      </c>
      <c r="E1307" t="inlineStr">
        <is>
          <t>UPPSALA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63576-2023</t>
        </is>
      </c>
      <c r="B1308" s="1" t="n">
        <v>45275</v>
      </c>
      <c r="C1308" s="1" t="n">
        <v>45783</v>
      </c>
      <c r="D1308" t="inlineStr">
        <is>
          <t>UPPSALA LÄN</t>
        </is>
      </c>
      <c r="E1308" t="inlineStr">
        <is>
          <t>UPPSALA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63588-2023</t>
        </is>
      </c>
      <c r="B1309" s="1" t="n">
        <v>45275</v>
      </c>
      <c r="C1309" s="1" t="n">
        <v>45783</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63698-2023</t>
        </is>
      </c>
      <c r="B1310" s="1" t="n">
        <v>45275</v>
      </c>
      <c r="C1310" s="1" t="n">
        <v>45783</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64079-2023</t>
        </is>
      </c>
      <c r="B1311" s="1" t="n">
        <v>45279</v>
      </c>
      <c r="C1311" s="1" t="n">
        <v>45783</v>
      </c>
      <c r="D1311" t="inlineStr">
        <is>
          <t>UPPSALA LÄN</t>
        </is>
      </c>
      <c r="E1311" t="inlineStr">
        <is>
          <t>UPPSALA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64806-2023</t>
        </is>
      </c>
      <c r="B1312" s="1" t="n">
        <v>45282</v>
      </c>
      <c r="C1312" s="1" t="n">
        <v>45783</v>
      </c>
      <c r="D1312" t="inlineStr">
        <is>
          <t>UPPSALA LÄN</t>
        </is>
      </c>
      <c r="E1312" t="inlineStr">
        <is>
          <t>UPPSALA</t>
        </is>
      </c>
      <c r="F1312" t="inlineStr">
        <is>
          <t>Kyrkan</t>
        </is>
      </c>
      <c r="G1312" t="n">
        <v>19.3</v>
      </c>
      <c r="H1312" t="n">
        <v>0</v>
      </c>
      <c r="I1312" t="n">
        <v>0</v>
      </c>
      <c r="J1312" t="n">
        <v>0</v>
      </c>
      <c r="K1312" t="n">
        <v>0</v>
      </c>
      <c r="L1312" t="n">
        <v>0</v>
      </c>
      <c r="M1312" t="n">
        <v>0</v>
      </c>
      <c r="N1312" t="n">
        <v>0</v>
      </c>
      <c r="O1312" t="n">
        <v>0</v>
      </c>
      <c r="P1312" t="n">
        <v>0</v>
      </c>
      <c r="Q1312" t="n">
        <v>0</v>
      </c>
      <c r="R1312" s="2" t="inlineStr"/>
    </row>
    <row r="1313" ht="15" customHeight="1">
      <c r="A1313" t="inlineStr">
        <is>
          <t>A 64880-2023</t>
        </is>
      </c>
      <c r="B1313" s="1" t="n">
        <v>45282</v>
      </c>
      <c r="C1313" s="1" t="n">
        <v>45783</v>
      </c>
      <c r="D1313" t="inlineStr">
        <is>
          <t>UPPSALA LÄN</t>
        </is>
      </c>
      <c r="E1313" t="inlineStr">
        <is>
          <t>UPPSALA</t>
        </is>
      </c>
      <c r="F1313" t="inlineStr">
        <is>
          <t>Kommuner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65149-2023</t>
        </is>
      </c>
      <c r="B1314" s="1" t="n">
        <v>45288</v>
      </c>
      <c r="C1314" s="1" t="n">
        <v>45783</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45-2024</t>
        </is>
      </c>
      <c r="B1315" s="1" t="n">
        <v>45293</v>
      </c>
      <c r="C1315" s="1" t="n">
        <v>45783</v>
      </c>
      <c r="D1315" t="inlineStr">
        <is>
          <t>UPPSALA LÄN</t>
        </is>
      </c>
      <c r="E1315" t="inlineStr">
        <is>
          <t>UPPSALA</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43-2024</t>
        </is>
      </c>
      <c r="B1316" s="1" t="n">
        <v>45293</v>
      </c>
      <c r="C1316" s="1" t="n">
        <v>45783</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179-2024</t>
        </is>
      </c>
      <c r="B1317" s="1" t="n">
        <v>45294</v>
      </c>
      <c r="C1317" s="1" t="n">
        <v>45783</v>
      </c>
      <c r="D1317" t="inlineStr">
        <is>
          <t>UPPSALA LÄN</t>
        </is>
      </c>
      <c r="E1317" t="inlineStr">
        <is>
          <t>UPPSALA</t>
        </is>
      </c>
      <c r="F1317" t="inlineStr">
        <is>
          <t>Bergvik skog öst AB</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341-2024</t>
        </is>
      </c>
      <c r="B1318" s="1" t="n">
        <v>45295</v>
      </c>
      <c r="C1318" s="1" t="n">
        <v>45783</v>
      </c>
      <c r="D1318" t="inlineStr">
        <is>
          <t>UPPSALA LÄN</t>
        </is>
      </c>
      <c r="E1318" t="inlineStr">
        <is>
          <t>UPPSALA</t>
        </is>
      </c>
      <c r="F1318" t="inlineStr">
        <is>
          <t>Allmännings- och besparingsskogar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358-2024</t>
        </is>
      </c>
      <c r="B1319" s="1" t="n">
        <v>45295</v>
      </c>
      <c r="C1319" s="1" t="n">
        <v>45783</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446-2024</t>
        </is>
      </c>
      <c r="B1320" s="1" t="n">
        <v>45296</v>
      </c>
      <c r="C1320" s="1" t="n">
        <v>45783</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449-2024</t>
        </is>
      </c>
      <c r="B1321" s="1" t="n">
        <v>45296</v>
      </c>
      <c r="C1321" s="1" t="n">
        <v>45783</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c r="U1321">
        <f>HYPERLINK("https://klasma.github.io/Logging_0380/knärot/A 449-2024 karta knärot.png", "A 449-2024")</f>
        <v/>
      </c>
      <c r="V1321">
        <f>HYPERLINK("https://klasma.github.io/Logging_0380/klagomål/A 449-2024 FSC-klagomål.docx", "A 449-2024")</f>
        <v/>
      </c>
      <c r="W1321">
        <f>HYPERLINK("https://klasma.github.io/Logging_0380/klagomålsmail/A 449-2024 FSC-klagomål mail.docx", "A 449-2024")</f>
        <v/>
      </c>
      <c r="X1321">
        <f>HYPERLINK("https://klasma.github.io/Logging_0380/tillsyn/A 449-2024 tillsynsbegäran.docx", "A 449-2024")</f>
        <v/>
      </c>
      <c r="Y1321">
        <f>HYPERLINK("https://klasma.github.io/Logging_0380/tillsynsmail/A 449-2024 tillsynsbegäran mail.docx", "A 449-2024")</f>
        <v/>
      </c>
    </row>
    <row r="1322" ht="15" customHeight="1">
      <c r="A1322" t="inlineStr">
        <is>
          <t>A 600-2024</t>
        </is>
      </c>
      <c r="B1322" s="1" t="n">
        <v>45299</v>
      </c>
      <c r="C1322" s="1" t="n">
        <v>45783</v>
      </c>
      <c r="D1322" t="inlineStr">
        <is>
          <t>UPPSALA LÄN</t>
        </is>
      </c>
      <c r="E1322" t="inlineStr">
        <is>
          <t>UPPSALA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787-2024</t>
        </is>
      </c>
      <c r="B1323" s="1" t="n">
        <v>45300</v>
      </c>
      <c r="C1323" s="1" t="n">
        <v>45783</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v>
      </c>
      <c r="C1324" s="1" t="n">
        <v>45783</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781-2024</t>
        </is>
      </c>
      <c r="B1325" s="1" t="n">
        <v>45300</v>
      </c>
      <c r="C1325" s="1" t="n">
        <v>45783</v>
      </c>
      <c r="D1325" t="inlineStr">
        <is>
          <t>UPPSALA LÄN</t>
        </is>
      </c>
      <c r="E1325" t="inlineStr">
        <is>
          <t>UPPSALA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1825-2024</t>
        </is>
      </c>
      <c r="B1326" s="1" t="n">
        <v>45307</v>
      </c>
      <c r="C1326" s="1" t="n">
        <v>45783</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1806-2024</t>
        </is>
      </c>
      <c r="B1327" s="1" t="n">
        <v>45307</v>
      </c>
      <c r="C1327" s="1" t="n">
        <v>45783</v>
      </c>
      <c r="D1327" t="inlineStr">
        <is>
          <t>UPPSALA LÄN</t>
        </is>
      </c>
      <c r="E1327" t="inlineStr">
        <is>
          <t>UPPSALA</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1838-2024</t>
        </is>
      </c>
      <c r="B1328" s="1" t="n">
        <v>45307</v>
      </c>
      <c r="C1328" s="1" t="n">
        <v>45783</v>
      </c>
      <c r="D1328" t="inlineStr">
        <is>
          <t>UPPSALA LÄN</t>
        </is>
      </c>
      <c r="E1328" t="inlineStr">
        <is>
          <t>UPPSALA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1994-2024</t>
        </is>
      </c>
      <c r="B1329" s="1" t="n">
        <v>45308</v>
      </c>
      <c r="C1329" s="1" t="n">
        <v>45783</v>
      </c>
      <c r="D1329" t="inlineStr">
        <is>
          <t>UPPSALA LÄN</t>
        </is>
      </c>
      <c r="E1329" t="inlineStr">
        <is>
          <t>UPPSALA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2294-2024</t>
        </is>
      </c>
      <c r="B1330" s="1" t="n">
        <v>45310</v>
      </c>
      <c r="C1330" s="1" t="n">
        <v>45783</v>
      </c>
      <c r="D1330" t="inlineStr">
        <is>
          <t>UPPSALA LÄN</t>
        </is>
      </c>
      <c r="E1330" t="inlineStr">
        <is>
          <t>UPPSALA</t>
        </is>
      </c>
      <c r="F1330" t="inlineStr">
        <is>
          <t>Allmännings- och besparingsskogar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2327-2024</t>
        </is>
      </c>
      <c r="B1331" s="1" t="n">
        <v>45310</v>
      </c>
      <c r="C1331" s="1" t="n">
        <v>45783</v>
      </c>
      <c r="D1331" t="inlineStr">
        <is>
          <t>UPPSALA LÄN</t>
        </is>
      </c>
      <c r="E1331" t="inlineStr">
        <is>
          <t>UPPSALA</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2339-2024</t>
        </is>
      </c>
      <c r="B1332" s="1" t="n">
        <v>45310</v>
      </c>
      <c r="C1332" s="1" t="n">
        <v>45783</v>
      </c>
      <c r="D1332" t="inlineStr">
        <is>
          <t>UPPSALA LÄN</t>
        </is>
      </c>
      <c r="E1332" t="inlineStr">
        <is>
          <t>UPPSALA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2357-2024</t>
        </is>
      </c>
      <c r="B1333" s="1" t="n">
        <v>45310</v>
      </c>
      <c r="C1333" s="1" t="n">
        <v>45783</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2740-2024</t>
        </is>
      </c>
      <c r="B1334" s="1" t="n">
        <v>45314</v>
      </c>
      <c r="C1334" s="1" t="n">
        <v>45783</v>
      </c>
      <c r="D1334" t="inlineStr">
        <is>
          <t>UPPSALA LÄN</t>
        </is>
      </c>
      <c r="E1334" t="inlineStr">
        <is>
          <t>UPPSALA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2735-2024</t>
        </is>
      </c>
      <c r="B1335" s="1" t="n">
        <v>45314</v>
      </c>
      <c r="C1335" s="1" t="n">
        <v>45783</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2769-2024</t>
        </is>
      </c>
      <c r="B1336" s="1" t="n">
        <v>45314</v>
      </c>
      <c r="C1336" s="1" t="n">
        <v>45783</v>
      </c>
      <c r="D1336" t="inlineStr">
        <is>
          <t>UPPSALA LÄN</t>
        </is>
      </c>
      <c r="E1336" t="inlineStr">
        <is>
          <t>UPPSALA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2785-2024</t>
        </is>
      </c>
      <c r="B1337" s="1" t="n">
        <v>45314</v>
      </c>
      <c r="C1337" s="1" t="n">
        <v>45783</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3175-2024</t>
        </is>
      </c>
      <c r="B1338" s="1" t="n">
        <v>45316</v>
      </c>
      <c r="C1338" s="1" t="n">
        <v>45783</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3183-2024</t>
        </is>
      </c>
      <c r="B1339" s="1" t="n">
        <v>45316</v>
      </c>
      <c r="C1339" s="1" t="n">
        <v>45783</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3261-2024</t>
        </is>
      </c>
      <c r="B1340" s="1" t="n">
        <v>45317</v>
      </c>
      <c r="C1340" s="1" t="n">
        <v>45783</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3260-2024</t>
        </is>
      </c>
      <c r="B1341" s="1" t="n">
        <v>45317</v>
      </c>
      <c r="C1341" s="1" t="n">
        <v>45783</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3813-2024</t>
        </is>
      </c>
      <c r="B1342" s="1" t="n">
        <v>45321</v>
      </c>
      <c r="C1342" s="1" t="n">
        <v>45783</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4065-2024</t>
        </is>
      </c>
      <c r="B1343" s="1" t="n">
        <v>45323</v>
      </c>
      <c r="C1343" s="1" t="n">
        <v>45783</v>
      </c>
      <c r="D1343" t="inlineStr">
        <is>
          <t>UPPSALA LÄN</t>
        </is>
      </c>
      <c r="E1343" t="inlineStr">
        <is>
          <t>UPPSALA</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4216-2024</t>
        </is>
      </c>
      <c r="B1344" s="1" t="n">
        <v>45324</v>
      </c>
      <c r="C1344" s="1" t="n">
        <v>45783</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4412-2024</t>
        </is>
      </c>
      <c r="B1345" s="1" t="n">
        <v>45327</v>
      </c>
      <c r="C1345" s="1" t="n">
        <v>45783</v>
      </c>
      <c r="D1345" t="inlineStr">
        <is>
          <t>UPPSALA LÄN</t>
        </is>
      </c>
      <c r="E1345" t="inlineStr">
        <is>
          <t>UPPSALA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4425-2024</t>
        </is>
      </c>
      <c r="B1346" s="1" t="n">
        <v>45327</v>
      </c>
      <c r="C1346" s="1" t="n">
        <v>45783</v>
      </c>
      <c r="D1346" t="inlineStr">
        <is>
          <t>UPPSALA LÄN</t>
        </is>
      </c>
      <c r="E1346" t="inlineStr">
        <is>
          <t>UPPSALA</t>
        </is>
      </c>
      <c r="F1346" t="inlineStr">
        <is>
          <t>Allmännings- och besparingsskogar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4461-2024</t>
        </is>
      </c>
      <c r="B1347" s="1" t="n">
        <v>45327</v>
      </c>
      <c r="C1347" s="1" t="n">
        <v>45783</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4503-2024</t>
        </is>
      </c>
      <c r="B1348" s="1" t="n">
        <v>45327</v>
      </c>
      <c r="C1348" s="1" t="n">
        <v>45783</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4509-2024</t>
        </is>
      </c>
      <c r="B1349" s="1" t="n">
        <v>45327</v>
      </c>
      <c r="C1349" s="1" t="n">
        <v>45783</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4980-2024</t>
        </is>
      </c>
      <c r="B1350" s="1" t="n">
        <v>45329</v>
      </c>
      <c r="C1350" s="1" t="n">
        <v>45783</v>
      </c>
      <c r="D1350" t="inlineStr">
        <is>
          <t>UPPSALA LÄN</t>
        </is>
      </c>
      <c r="E1350" t="inlineStr">
        <is>
          <t>UPPSALA</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5475-2024</t>
        </is>
      </c>
      <c r="B1351" s="1" t="n">
        <v>45333</v>
      </c>
      <c r="C1351" s="1" t="n">
        <v>45783</v>
      </c>
      <c r="D1351" t="inlineStr">
        <is>
          <t>UPPSALA LÄN</t>
        </is>
      </c>
      <c r="E1351" t="inlineStr">
        <is>
          <t>UPPSALA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5848-2024</t>
        </is>
      </c>
      <c r="B1352" s="1" t="n">
        <v>45335</v>
      </c>
      <c r="C1352" s="1" t="n">
        <v>45783</v>
      </c>
      <c r="D1352" t="inlineStr">
        <is>
          <t>UPPSALA LÄN</t>
        </is>
      </c>
      <c r="E1352" t="inlineStr">
        <is>
          <t>UPPSALA</t>
        </is>
      </c>
      <c r="F1352" t="inlineStr">
        <is>
          <t>Kyrkan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5899-2024</t>
        </is>
      </c>
      <c r="B1353" s="1" t="n">
        <v>45335</v>
      </c>
      <c r="C1353" s="1" t="n">
        <v>45783</v>
      </c>
      <c r="D1353" t="inlineStr">
        <is>
          <t>UPPSALA LÄN</t>
        </is>
      </c>
      <c r="E1353" t="inlineStr">
        <is>
          <t>UPPSALA</t>
        </is>
      </c>
      <c r="F1353" t="inlineStr">
        <is>
          <t>Allmännings- och besparingsskogar</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5876-2024</t>
        </is>
      </c>
      <c r="B1354" s="1" t="n">
        <v>45335</v>
      </c>
      <c r="C1354" s="1" t="n">
        <v>45783</v>
      </c>
      <c r="D1354" t="inlineStr">
        <is>
          <t>UPPSALA LÄN</t>
        </is>
      </c>
      <c r="E1354" t="inlineStr">
        <is>
          <t>UPPSALA</t>
        </is>
      </c>
      <c r="F1354" t="inlineStr">
        <is>
          <t>Kyrkan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5896-2024</t>
        </is>
      </c>
      <c r="B1355" s="1" t="n">
        <v>45335</v>
      </c>
      <c r="C1355" s="1" t="n">
        <v>45783</v>
      </c>
      <c r="D1355" t="inlineStr">
        <is>
          <t>UPPSALA LÄN</t>
        </is>
      </c>
      <c r="E1355" t="inlineStr">
        <is>
          <t>UPPSALA</t>
        </is>
      </c>
      <c r="F1355" t="inlineStr">
        <is>
          <t>Allmännings- och besparingsskogar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5974-2024</t>
        </is>
      </c>
      <c r="B1356" s="1" t="n">
        <v>45336</v>
      </c>
      <c r="C1356" s="1" t="n">
        <v>45783</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5975-2024</t>
        </is>
      </c>
      <c r="B1357" s="1" t="n">
        <v>45336</v>
      </c>
      <c r="C1357" s="1" t="n">
        <v>45783</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6024-2024</t>
        </is>
      </c>
      <c r="B1358" s="1" t="n">
        <v>45336</v>
      </c>
      <c r="C1358" s="1" t="n">
        <v>45783</v>
      </c>
      <c r="D1358" t="inlineStr">
        <is>
          <t>UPPSALA LÄN</t>
        </is>
      </c>
      <c r="E1358" t="inlineStr">
        <is>
          <t>UPPSALA</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6199-2024</t>
        </is>
      </c>
      <c r="B1359" s="1" t="n">
        <v>45337</v>
      </c>
      <c r="C1359" s="1" t="n">
        <v>45783</v>
      </c>
      <c r="D1359" t="inlineStr">
        <is>
          <t>UPPSALA LÄN</t>
        </is>
      </c>
      <c r="E1359" t="inlineStr">
        <is>
          <t>UPPSALA</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6211-2024</t>
        </is>
      </c>
      <c r="B1360" s="1" t="n">
        <v>45337</v>
      </c>
      <c r="C1360" s="1" t="n">
        <v>45783</v>
      </c>
      <c r="D1360" t="inlineStr">
        <is>
          <t>UPPSALA LÄN</t>
        </is>
      </c>
      <c r="E1360" t="inlineStr">
        <is>
          <t>UPPSALA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6098-2024</t>
        </is>
      </c>
      <c r="B1361" s="1" t="n">
        <v>45337</v>
      </c>
      <c r="C1361" s="1" t="n">
        <v>45783</v>
      </c>
      <c r="D1361" t="inlineStr">
        <is>
          <t>UPPSALA LÄN</t>
        </is>
      </c>
      <c r="E1361" t="inlineStr">
        <is>
          <t>UPPSALA</t>
        </is>
      </c>
      <c r="F1361" t="inlineStr">
        <is>
          <t>Övriga Aktiebolag</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6363-2024</t>
        </is>
      </c>
      <c r="B1362" s="1" t="n">
        <v>45338</v>
      </c>
      <c r="C1362" s="1" t="n">
        <v>45783</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6501-2024</t>
        </is>
      </c>
      <c r="B1363" s="1" t="n">
        <v>45339</v>
      </c>
      <c r="C1363" s="1" t="n">
        <v>45783</v>
      </c>
      <c r="D1363" t="inlineStr">
        <is>
          <t>UPPSALA LÄN</t>
        </is>
      </c>
      <c r="E1363" t="inlineStr">
        <is>
          <t>UPPSALA</t>
        </is>
      </c>
      <c r="F1363" t="inlineStr">
        <is>
          <t>Bergvik skog öst AB</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6506-2024</t>
        </is>
      </c>
      <c r="B1364" s="1" t="n">
        <v>45339</v>
      </c>
      <c r="C1364" s="1" t="n">
        <v>45783</v>
      </c>
      <c r="D1364" t="inlineStr">
        <is>
          <t>UPPSALA LÄN</t>
        </is>
      </c>
      <c r="E1364" t="inlineStr">
        <is>
          <t>UPPSALA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6505-2024</t>
        </is>
      </c>
      <c r="B1365" s="1" t="n">
        <v>45339</v>
      </c>
      <c r="C1365" s="1" t="n">
        <v>45783</v>
      </c>
      <c r="D1365" t="inlineStr">
        <is>
          <t>UPPSALA LÄN</t>
        </is>
      </c>
      <c r="E1365" t="inlineStr">
        <is>
          <t>UPPSALA</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6500-2024</t>
        </is>
      </c>
      <c r="B1366" s="1" t="n">
        <v>45339</v>
      </c>
      <c r="C1366" s="1" t="n">
        <v>45783</v>
      </c>
      <c r="D1366" t="inlineStr">
        <is>
          <t>UPPSALA LÄN</t>
        </is>
      </c>
      <c r="E1366" t="inlineStr">
        <is>
          <t>UPPSALA</t>
        </is>
      </c>
      <c r="F1366" t="inlineStr">
        <is>
          <t>Bergvik skog öst AB</t>
        </is>
      </c>
      <c r="G1366" t="n">
        <v>23.7</v>
      </c>
      <c r="H1366" t="n">
        <v>0</v>
      </c>
      <c r="I1366" t="n">
        <v>0</v>
      </c>
      <c r="J1366" t="n">
        <v>0</v>
      </c>
      <c r="K1366" t="n">
        <v>0</v>
      </c>
      <c r="L1366" t="n">
        <v>0</v>
      </c>
      <c r="M1366" t="n">
        <v>0</v>
      </c>
      <c r="N1366" t="n">
        <v>0</v>
      </c>
      <c r="O1366" t="n">
        <v>0</v>
      </c>
      <c r="P1366" t="n">
        <v>0</v>
      </c>
      <c r="Q1366" t="n">
        <v>0</v>
      </c>
      <c r="R1366" s="2" t="inlineStr"/>
    </row>
    <row r="1367" ht="15" customHeight="1">
      <c r="A1367" t="inlineStr">
        <is>
          <t>A 6504-2024</t>
        </is>
      </c>
      <c r="B1367" s="1" t="n">
        <v>45339</v>
      </c>
      <c r="C1367" s="1" t="n">
        <v>45783</v>
      </c>
      <c r="D1367" t="inlineStr">
        <is>
          <t>UPPSALA LÄN</t>
        </is>
      </c>
      <c r="E1367" t="inlineStr">
        <is>
          <t>UPPSALA</t>
        </is>
      </c>
      <c r="F1367" t="inlineStr">
        <is>
          <t>Bergvik skog öst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6503-2024</t>
        </is>
      </c>
      <c r="B1368" s="1" t="n">
        <v>45339</v>
      </c>
      <c r="C1368" s="1" t="n">
        <v>45783</v>
      </c>
      <c r="D1368" t="inlineStr">
        <is>
          <t>UPPSALA LÄN</t>
        </is>
      </c>
      <c r="E1368" t="inlineStr">
        <is>
          <t>UPPSALA</t>
        </is>
      </c>
      <c r="F1368" t="inlineStr">
        <is>
          <t>Bergvik skog öst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6507-2024</t>
        </is>
      </c>
      <c r="B1369" s="1" t="n">
        <v>45339</v>
      </c>
      <c r="C1369" s="1" t="n">
        <v>45783</v>
      </c>
      <c r="D1369" t="inlineStr">
        <is>
          <t>UPPSALA LÄN</t>
        </is>
      </c>
      <c r="E1369" t="inlineStr">
        <is>
          <t>UPPSALA</t>
        </is>
      </c>
      <c r="F1369" t="inlineStr">
        <is>
          <t>Bergvik skog öst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6628-2024</t>
        </is>
      </c>
      <c r="B1370" s="1" t="n">
        <v>45341</v>
      </c>
      <c r="C1370" s="1" t="n">
        <v>45783</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6630-2024</t>
        </is>
      </c>
      <c r="B1371" s="1" t="n">
        <v>45341</v>
      </c>
      <c r="C1371" s="1" t="n">
        <v>45783</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6650-2024</t>
        </is>
      </c>
      <c r="B1372" s="1" t="n">
        <v>45341</v>
      </c>
      <c r="C1372" s="1" t="n">
        <v>45783</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6676-2024</t>
        </is>
      </c>
      <c r="B1373" s="1" t="n">
        <v>45341</v>
      </c>
      <c r="C1373" s="1" t="n">
        <v>45783</v>
      </c>
      <c r="D1373" t="inlineStr">
        <is>
          <t>UPPSALA LÄN</t>
        </is>
      </c>
      <c r="E1373" t="inlineStr">
        <is>
          <t>UPPSALA</t>
        </is>
      </c>
      <c r="F1373" t="inlineStr">
        <is>
          <t>Bergvik skog öst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6609-2024</t>
        </is>
      </c>
      <c r="B1374" s="1" t="n">
        <v>45341</v>
      </c>
      <c r="C1374" s="1" t="n">
        <v>45783</v>
      </c>
      <c r="D1374" t="inlineStr">
        <is>
          <t>UPPSALA LÄN</t>
        </is>
      </c>
      <c r="E1374" t="inlineStr">
        <is>
          <t>UPPSALA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6679-2024</t>
        </is>
      </c>
      <c r="B1375" s="1" t="n">
        <v>45341</v>
      </c>
      <c r="C1375" s="1" t="n">
        <v>45783</v>
      </c>
      <c r="D1375" t="inlineStr">
        <is>
          <t>UPPSALA LÄN</t>
        </is>
      </c>
      <c r="E1375" t="inlineStr">
        <is>
          <t>UPPSALA</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6677-2024</t>
        </is>
      </c>
      <c r="B1376" s="1" t="n">
        <v>45341</v>
      </c>
      <c r="C1376" s="1" t="n">
        <v>45783</v>
      </c>
      <c r="D1376" t="inlineStr">
        <is>
          <t>UPPSALA LÄN</t>
        </is>
      </c>
      <c r="E1376" t="inlineStr">
        <is>
          <t>UPPSALA</t>
        </is>
      </c>
      <c r="F1376" t="inlineStr">
        <is>
          <t>Bergvik skog öst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6678-2024</t>
        </is>
      </c>
      <c r="B1377" s="1" t="n">
        <v>45341</v>
      </c>
      <c r="C1377" s="1" t="n">
        <v>45783</v>
      </c>
      <c r="D1377" t="inlineStr">
        <is>
          <t>UPPSALA LÄN</t>
        </is>
      </c>
      <c r="E1377" t="inlineStr">
        <is>
          <t>UPPSALA</t>
        </is>
      </c>
      <c r="F1377" t="inlineStr">
        <is>
          <t>Bergvik skog öst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6966-2024</t>
        </is>
      </c>
      <c r="B1378" s="1" t="n">
        <v>45343</v>
      </c>
      <c r="C1378" s="1" t="n">
        <v>45783</v>
      </c>
      <c r="D1378" t="inlineStr">
        <is>
          <t>UPPSALA LÄN</t>
        </is>
      </c>
      <c r="E1378" t="inlineStr">
        <is>
          <t>UPPSALA</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7253-2024</t>
        </is>
      </c>
      <c r="B1379" s="1" t="n">
        <v>45344</v>
      </c>
      <c r="C1379" s="1" t="n">
        <v>45783</v>
      </c>
      <c r="D1379" t="inlineStr">
        <is>
          <t>UPPSALA LÄN</t>
        </is>
      </c>
      <c r="E1379" t="inlineStr">
        <is>
          <t>UPPSALA</t>
        </is>
      </c>
      <c r="F1379" t="inlineStr">
        <is>
          <t>Kyrkan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7158-2024</t>
        </is>
      </c>
      <c r="B1380" s="1" t="n">
        <v>45344</v>
      </c>
      <c r="C1380" s="1" t="n">
        <v>45783</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7175-2024</t>
        </is>
      </c>
      <c r="B1381" s="1" t="n">
        <v>45344</v>
      </c>
      <c r="C1381" s="1" t="n">
        <v>45783</v>
      </c>
      <c r="D1381" t="inlineStr">
        <is>
          <t>UPPSALA LÄN</t>
        </is>
      </c>
      <c r="E1381" t="inlineStr">
        <is>
          <t>UPPSALA</t>
        </is>
      </c>
      <c r="F1381" t="inlineStr">
        <is>
          <t>Kyrkan</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7275-2024</t>
        </is>
      </c>
      <c r="B1382" s="1" t="n">
        <v>45344</v>
      </c>
      <c r="C1382" s="1" t="n">
        <v>45783</v>
      </c>
      <c r="D1382" t="inlineStr">
        <is>
          <t>UPPSALA LÄN</t>
        </is>
      </c>
      <c r="E1382" t="inlineStr">
        <is>
          <t>UPPSALA</t>
        </is>
      </c>
      <c r="F1382" t="inlineStr">
        <is>
          <t>Bergvik skog öst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7226-2024</t>
        </is>
      </c>
      <c r="B1383" s="1" t="n">
        <v>45344</v>
      </c>
      <c r="C1383" s="1" t="n">
        <v>45783</v>
      </c>
      <c r="D1383" t="inlineStr">
        <is>
          <t>UPPSALA LÄN</t>
        </is>
      </c>
      <c r="E1383" t="inlineStr">
        <is>
          <t>UPPSALA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7274-2024</t>
        </is>
      </c>
      <c r="B1384" s="1" t="n">
        <v>45344</v>
      </c>
      <c r="C1384" s="1" t="n">
        <v>45783</v>
      </c>
      <c r="D1384" t="inlineStr">
        <is>
          <t>UPPSALA LÄN</t>
        </is>
      </c>
      <c r="E1384" t="inlineStr">
        <is>
          <t>UPPSALA</t>
        </is>
      </c>
      <c r="F1384" t="inlineStr">
        <is>
          <t>Bergvik skog öst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7278-2024</t>
        </is>
      </c>
      <c r="B1385" s="1" t="n">
        <v>45344</v>
      </c>
      <c r="C1385" s="1" t="n">
        <v>45783</v>
      </c>
      <c r="D1385" t="inlineStr">
        <is>
          <t>UPPSALA LÄN</t>
        </is>
      </c>
      <c r="E1385" t="inlineStr">
        <is>
          <t>UPPSALA</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7276-2024</t>
        </is>
      </c>
      <c r="B1386" s="1" t="n">
        <v>45344</v>
      </c>
      <c r="C1386" s="1" t="n">
        <v>45783</v>
      </c>
      <c r="D1386" t="inlineStr">
        <is>
          <t>UPPSALA LÄN</t>
        </is>
      </c>
      <c r="E1386" t="inlineStr">
        <is>
          <t>UPPSALA</t>
        </is>
      </c>
      <c r="F1386" t="inlineStr">
        <is>
          <t>Bergvik skog öst AB</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7389-2024</t>
        </is>
      </c>
      <c r="B1387" s="1" t="n">
        <v>45345</v>
      </c>
      <c r="C1387" s="1" t="n">
        <v>45783</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7390-2024</t>
        </is>
      </c>
      <c r="B1388" s="1" t="n">
        <v>45345</v>
      </c>
      <c r="C1388" s="1" t="n">
        <v>45783</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7400-2024</t>
        </is>
      </c>
      <c r="B1389" s="1" t="n">
        <v>45345</v>
      </c>
      <c r="C1389" s="1" t="n">
        <v>45783</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7388-2024</t>
        </is>
      </c>
      <c r="B1390" s="1" t="n">
        <v>45345</v>
      </c>
      <c r="C1390" s="1" t="n">
        <v>45783</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7407-2024</t>
        </is>
      </c>
      <c r="B1391" s="1" t="n">
        <v>45345</v>
      </c>
      <c r="C1391" s="1" t="n">
        <v>45783</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7403-2024</t>
        </is>
      </c>
      <c r="B1392" s="1" t="n">
        <v>45345</v>
      </c>
      <c r="C1392" s="1" t="n">
        <v>45783</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7649-2024</t>
        </is>
      </c>
      <c r="B1393" s="1" t="n">
        <v>45348</v>
      </c>
      <c r="C1393" s="1" t="n">
        <v>45783</v>
      </c>
      <c r="D1393" t="inlineStr">
        <is>
          <t>UPPSALA LÄN</t>
        </is>
      </c>
      <c r="E1393" t="inlineStr">
        <is>
          <t>UPPSALA</t>
        </is>
      </c>
      <c r="F1393" t="inlineStr">
        <is>
          <t>Kyrkan</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7654-2024</t>
        </is>
      </c>
      <c r="B1394" s="1" t="n">
        <v>45348</v>
      </c>
      <c r="C1394" s="1" t="n">
        <v>45783</v>
      </c>
      <c r="D1394" t="inlineStr">
        <is>
          <t>UPPSALA LÄN</t>
        </is>
      </c>
      <c r="E1394" t="inlineStr">
        <is>
          <t>UPPSALA</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7732-2024</t>
        </is>
      </c>
      <c r="B1395" s="1" t="n">
        <v>45349</v>
      </c>
      <c r="C1395" s="1" t="n">
        <v>45783</v>
      </c>
      <c r="D1395" t="inlineStr">
        <is>
          <t>UPPSALA LÄN</t>
        </is>
      </c>
      <c r="E1395" t="inlineStr">
        <is>
          <t>UPPSALA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7727-2024</t>
        </is>
      </c>
      <c r="B1396" s="1" t="n">
        <v>45349</v>
      </c>
      <c r="C1396" s="1" t="n">
        <v>45783</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7750-2024</t>
        </is>
      </c>
      <c r="B1397" s="1" t="n">
        <v>45349</v>
      </c>
      <c r="C1397" s="1" t="n">
        <v>45783</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7974-2024</t>
        </is>
      </c>
      <c r="B1398" s="1" t="n">
        <v>45350</v>
      </c>
      <c r="C1398" s="1" t="n">
        <v>45783</v>
      </c>
      <c r="D1398" t="inlineStr">
        <is>
          <t>UPPSALA LÄN</t>
        </is>
      </c>
      <c r="E1398" t="inlineStr">
        <is>
          <t>UPPSALA</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8132-2024</t>
        </is>
      </c>
      <c r="B1399" s="1" t="n">
        <v>45351</v>
      </c>
      <c r="C1399" s="1" t="n">
        <v>45783</v>
      </c>
      <c r="D1399" t="inlineStr">
        <is>
          <t>UPPSALA LÄN</t>
        </is>
      </c>
      <c r="E1399" t="inlineStr">
        <is>
          <t>UPPSALA</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8109-2024</t>
        </is>
      </c>
      <c r="B1400" s="1" t="n">
        <v>45351</v>
      </c>
      <c r="C1400" s="1" t="n">
        <v>45783</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8672-2024</t>
        </is>
      </c>
      <c r="B1401" s="1" t="n">
        <v>45352</v>
      </c>
      <c r="C1401" s="1" t="n">
        <v>45783</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8338-2024</t>
        </is>
      </c>
      <c r="B1402" s="1" t="n">
        <v>45352</v>
      </c>
      <c r="C1402" s="1" t="n">
        <v>45783</v>
      </c>
      <c r="D1402" t="inlineStr">
        <is>
          <t>UPPSALA LÄN</t>
        </is>
      </c>
      <c r="E1402" t="inlineStr">
        <is>
          <t>UPPSALA</t>
        </is>
      </c>
      <c r="F1402" t="inlineStr">
        <is>
          <t>Kyrkan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9235-2024</t>
        </is>
      </c>
      <c r="B1403" s="1" t="n">
        <v>45357</v>
      </c>
      <c r="C1403" s="1" t="n">
        <v>45783</v>
      </c>
      <c r="D1403" t="inlineStr">
        <is>
          <t>UPPSALA LÄN</t>
        </is>
      </c>
      <c r="E1403" t="inlineStr">
        <is>
          <t>UPPSALA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9201-2024</t>
        </is>
      </c>
      <c r="B1404" s="1" t="n">
        <v>45358</v>
      </c>
      <c r="C1404" s="1" t="n">
        <v>45783</v>
      </c>
      <c r="D1404" t="inlineStr">
        <is>
          <t>UPPSALA LÄN</t>
        </is>
      </c>
      <c r="E1404" t="inlineStr">
        <is>
          <t>UPPSALA</t>
        </is>
      </c>
      <c r="F1404" t="inlineStr">
        <is>
          <t>Allmännings- och besparingsskogar</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9195-2024</t>
        </is>
      </c>
      <c r="B1405" s="1" t="n">
        <v>45358</v>
      </c>
      <c r="C1405" s="1" t="n">
        <v>45783</v>
      </c>
      <c r="D1405" t="inlineStr">
        <is>
          <t>UPPSALA LÄN</t>
        </is>
      </c>
      <c r="E1405" t="inlineStr">
        <is>
          <t>UPPSALA</t>
        </is>
      </c>
      <c r="F1405" t="inlineStr">
        <is>
          <t>Allmännings- och besparingsskogar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9255-2024</t>
        </is>
      </c>
      <c r="B1406" s="1" t="n">
        <v>45358</v>
      </c>
      <c r="C1406" s="1" t="n">
        <v>45783</v>
      </c>
      <c r="D1406" t="inlineStr">
        <is>
          <t>UPPSALA LÄN</t>
        </is>
      </c>
      <c r="E1406" t="inlineStr">
        <is>
          <t>UPPSALA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9428-2024</t>
        </is>
      </c>
      <c r="B1407" s="1" t="n">
        <v>45359</v>
      </c>
      <c r="C1407" s="1" t="n">
        <v>45783</v>
      </c>
      <c r="D1407" t="inlineStr">
        <is>
          <t>UPPSALA LÄN</t>
        </is>
      </c>
      <c r="E1407" t="inlineStr">
        <is>
          <t>UPPSALA</t>
        </is>
      </c>
      <c r="F1407" t="inlineStr">
        <is>
          <t>Bergvik skog öst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9453-2024</t>
        </is>
      </c>
      <c r="B1408" s="1" t="n">
        <v>45359</v>
      </c>
      <c r="C1408" s="1" t="n">
        <v>45783</v>
      </c>
      <c r="D1408" t="inlineStr">
        <is>
          <t>UPPSALA LÄN</t>
        </is>
      </c>
      <c r="E1408" t="inlineStr">
        <is>
          <t>UPPSALA</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9608-2024</t>
        </is>
      </c>
      <c r="B1409" s="1" t="n">
        <v>45361</v>
      </c>
      <c r="C1409" s="1" t="n">
        <v>45783</v>
      </c>
      <c r="D1409" t="inlineStr">
        <is>
          <t>UPPSALA LÄN</t>
        </is>
      </c>
      <c r="E1409" t="inlineStr">
        <is>
          <t>UPPSALA</t>
        </is>
      </c>
      <c r="F1409" t="inlineStr">
        <is>
          <t>Bergvik skog öst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9609-2024</t>
        </is>
      </c>
      <c r="B1410" s="1" t="n">
        <v>45361</v>
      </c>
      <c r="C1410" s="1" t="n">
        <v>45783</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9610-2024</t>
        </is>
      </c>
      <c r="B1411" s="1" t="n">
        <v>45361</v>
      </c>
      <c r="C1411" s="1" t="n">
        <v>45783</v>
      </c>
      <c r="D1411" t="inlineStr">
        <is>
          <t>UPPSALA LÄN</t>
        </is>
      </c>
      <c r="E1411" t="inlineStr">
        <is>
          <t>UPPSALA</t>
        </is>
      </c>
      <c r="F1411" t="inlineStr">
        <is>
          <t>Bergvik skog öst AB</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9625-2024</t>
        </is>
      </c>
      <c r="B1412" s="1" t="n">
        <v>45361</v>
      </c>
      <c r="C1412" s="1" t="n">
        <v>45783</v>
      </c>
      <c r="D1412" t="inlineStr">
        <is>
          <t>UPPSALA LÄN</t>
        </is>
      </c>
      <c r="E1412" t="inlineStr">
        <is>
          <t>UPPSALA</t>
        </is>
      </c>
      <c r="F1412" t="inlineStr">
        <is>
          <t>Bergvik skog öst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9611-2024</t>
        </is>
      </c>
      <c r="B1413" s="1" t="n">
        <v>45361</v>
      </c>
      <c r="C1413" s="1" t="n">
        <v>45783</v>
      </c>
      <c r="D1413" t="inlineStr">
        <is>
          <t>UPPSALA LÄN</t>
        </is>
      </c>
      <c r="E1413" t="inlineStr">
        <is>
          <t>UPPSALA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9735-2024</t>
        </is>
      </c>
      <c r="B1414" s="1" t="n">
        <v>45362</v>
      </c>
      <c r="C1414" s="1" t="n">
        <v>45783</v>
      </c>
      <c r="D1414" t="inlineStr">
        <is>
          <t>UPPSALA LÄN</t>
        </is>
      </c>
      <c r="E1414" t="inlineStr">
        <is>
          <t>UPPSALA</t>
        </is>
      </c>
      <c r="F1414" t="inlineStr">
        <is>
          <t>Bergvik skog öst AB</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9675-2024</t>
        </is>
      </c>
      <c r="B1415" s="1" t="n">
        <v>45362</v>
      </c>
      <c r="C1415" s="1" t="n">
        <v>45783</v>
      </c>
      <c r="D1415" t="inlineStr">
        <is>
          <t>UPPSALA LÄN</t>
        </is>
      </c>
      <c r="E1415" t="inlineStr">
        <is>
          <t>UPPSALA</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9914-2024</t>
        </is>
      </c>
      <c r="B1416" s="1" t="n">
        <v>45363</v>
      </c>
      <c r="C1416" s="1" t="n">
        <v>45783</v>
      </c>
      <c r="D1416" t="inlineStr">
        <is>
          <t>UPPSALA LÄN</t>
        </is>
      </c>
      <c r="E1416" t="inlineStr">
        <is>
          <t>UPPSALA</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9917-2024</t>
        </is>
      </c>
      <c r="B1417" s="1" t="n">
        <v>45363</v>
      </c>
      <c r="C1417" s="1" t="n">
        <v>45783</v>
      </c>
      <c r="D1417" t="inlineStr">
        <is>
          <t>UPPSALA LÄN</t>
        </is>
      </c>
      <c r="E1417" t="inlineStr">
        <is>
          <t>UPPSALA</t>
        </is>
      </c>
      <c r="F1417" t="inlineStr">
        <is>
          <t>Bergvik skog väst AB</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10086-2024</t>
        </is>
      </c>
      <c r="B1418" s="1" t="n">
        <v>45364</v>
      </c>
      <c r="C1418" s="1" t="n">
        <v>45783</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10146-2024</t>
        </is>
      </c>
      <c r="B1419" s="1" t="n">
        <v>45364</v>
      </c>
      <c r="C1419" s="1" t="n">
        <v>45783</v>
      </c>
      <c r="D1419" t="inlineStr">
        <is>
          <t>UPPSALA LÄN</t>
        </is>
      </c>
      <c r="E1419" t="inlineStr">
        <is>
          <t>UPPSALA</t>
        </is>
      </c>
      <c r="F1419" t="inlineStr">
        <is>
          <t>Bergvik skog öst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10477-2024</t>
        </is>
      </c>
      <c r="B1420" s="1" t="n">
        <v>45366</v>
      </c>
      <c r="C1420" s="1" t="n">
        <v>45783</v>
      </c>
      <c r="D1420" t="inlineStr">
        <is>
          <t>UPPSALA LÄN</t>
        </is>
      </c>
      <c r="E1420" t="inlineStr">
        <is>
          <t>UPPSALA</t>
        </is>
      </c>
      <c r="F1420" t="inlineStr">
        <is>
          <t>Holmen skog AB</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10474-2024</t>
        </is>
      </c>
      <c r="B1421" s="1" t="n">
        <v>45366</v>
      </c>
      <c r="C1421" s="1" t="n">
        <v>45783</v>
      </c>
      <c r="D1421" t="inlineStr">
        <is>
          <t>UPPSALA LÄN</t>
        </is>
      </c>
      <c r="E1421" t="inlineStr">
        <is>
          <t>UPPSALA</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10650-2024</t>
        </is>
      </c>
      <c r="B1422" s="1" t="n">
        <v>45368</v>
      </c>
      <c r="C1422" s="1" t="n">
        <v>45783</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10651-2024</t>
        </is>
      </c>
      <c r="B1423" s="1" t="n">
        <v>45368</v>
      </c>
      <c r="C1423" s="1" t="n">
        <v>45783</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10653-2024</t>
        </is>
      </c>
      <c r="B1424" s="1" t="n">
        <v>45368</v>
      </c>
      <c r="C1424" s="1" t="n">
        <v>45783</v>
      </c>
      <c r="D1424" t="inlineStr">
        <is>
          <t>UPPSALA LÄN</t>
        </is>
      </c>
      <c r="E1424" t="inlineStr">
        <is>
          <t>UPPSALA</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10652-2024</t>
        </is>
      </c>
      <c r="B1425" s="1" t="n">
        <v>45368</v>
      </c>
      <c r="C1425" s="1" t="n">
        <v>45783</v>
      </c>
      <c r="D1425" t="inlineStr">
        <is>
          <t>UPPSALA LÄN</t>
        </is>
      </c>
      <c r="E1425" t="inlineStr">
        <is>
          <t>UPPSALA</t>
        </is>
      </c>
      <c r="F1425" t="inlineStr">
        <is>
          <t>Bergvik skog öst AB</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10827-2024</t>
        </is>
      </c>
      <c r="B1426" s="1" t="n">
        <v>45369</v>
      </c>
      <c r="C1426" s="1" t="n">
        <v>45783</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10782-2024</t>
        </is>
      </c>
      <c r="B1427" s="1" t="n">
        <v>45369</v>
      </c>
      <c r="C1427" s="1" t="n">
        <v>45783</v>
      </c>
      <c r="D1427" t="inlineStr">
        <is>
          <t>UPPSALA LÄN</t>
        </is>
      </c>
      <c r="E1427" t="inlineStr">
        <is>
          <t>UPPSALA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11169-2024</t>
        </is>
      </c>
      <c r="B1428" s="1" t="n">
        <v>45371</v>
      </c>
      <c r="C1428" s="1" t="n">
        <v>45783</v>
      </c>
      <c r="D1428" t="inlineStr">
        <is>
          <t>UPPSALA LÄN</t>
        </is>
      </c>
      <c r="E1428" t="inlineStr">
        <is>
          <t>UPPSALA</t>
        </is>
      </c>
      <c r="F1428" t="inlineStr">
        <is>
          <t>Bergvik skog öst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11173-2024</t>
        </is>
      </c>
      <c r="B1429" s="1" t="n">
        <v>45371</v>
      </c>
      <c r="C1429" s="1" t="n">
        <v>45783</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11159-2024</t>
        </is>
      </c>
      <c r="B1430" s="1" t="n">
        <v>45371</v>
      </c>
      <c r="C1430" s="1" t="n">
        <v>45783</v>
      </c>
      <c r="D1430" t="inlineStr">
        <is>
          <t>UPPSALA LÄN</t>
        </is>
      </c>
      <c r="E1430" t="inlineStr">
        <is>
          <t>UPPSALA</t>
        </is>
      </c>
      <c r="F1430" t="inlineStr">
        <is>
          <t>Bergvik skog öst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11191-2024</t>
        </is>
      </c>
      <c r="B1431" s="1" t="n">
        <v>45371</v>
      </c>
      <c r="C1431" s="1" t="n">
        <v>45783</v>
      </c>
      <c r="D1431" t="inlineStr">
        <is>
          <t>UPPSALA LÄN</t>
        </is>
      </c>
      <c r="E1431" t="inlineStr">
        <is>
          <t>UPPSALA</t>
        </is>
      </c>
      <c r="F1431" t="inlineStr">
        <is>
          <t>Allmännings- och besparingsskogar</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11166-2024</t>
        </is>
      </c>
      <c r="B1432" s="1" t="n">
        <v>45371</v>
      </c>
      <c r="C1432" s="1" t="n">
        <v>45783</v>
      </c>
      <c r="D1432" t="inlineStr">
        <is>
          <t>UPPSALA LÄN</t>
        </is>
      </c>
      <c r="E1432" t="inlineStr">
        <is>
          <t>UPPSALA</t>
        </is>
      </c>
      <c r="F1432" t="inlineStr">
        <is>
          <t>Bergvik skog öst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11201-2024</t>
        </is>
      </c>
      <c r="B1433" s="1" t="n">
        <v>45371</v>
      </c>
      <c r="C1433" s="1" t="n">
        <v>45783</v>
      </c>
      <c r="D1433" t="inlineStr">
        <is>
          <t>UPPSALA LÄN</t>
        </is>
      </c>
      <c r="E1433" t="inlineStr">
        <is>
          <t>UPPSALA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11277-2024</t>
        </is>
      </c>
      <c r="B1434" s="1" t="n">
        <v>45371</v>
      </c>
      <c r="C1434" s="1" t="n">
        <v>45783</v>
      </c>
      <c r="D1434" t="inlineStr">
        <is>
          <t>UPPSALA LÄN</t>
        </is>
      </c>
      <c r="E1434" t="inlineStr">
        <is>
          <t>UPPSALA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11289-2024</t>
        </is>
      </c>
      <c r="B1435" s="1" t="n">
        <v>45371</v>
      </c>
      <c r="C1435" s="1" t="n">
        <v>45783</v>
      </c>
      <c r="D1435" t="inlineStr">
        <is>
          <t>UPPSALA LÄN</t>
        </is>
      </c>
      <c r="E1435" t="inlineStr">
        <is>
          <t>UPPSALA</t>
        </is>
      </c>
      <c r="F1435" t="inlineStr">
        <is>
          <t>Allmännings- och besparingsskogar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11200-2024</t>
        </is>
      </c>
      <c r="B1436" s="1" t="n">
        <v>45371</v>
      </c>
      <c r="C1436" s="1" t="n">
        <v>45783</v>
      </c>
      <c r="D1436" t="inlineStr">
        <is>
          <t>UPPSALA LÄN</t>
        </is>
      </c>
      <c r="E1436" t="inlineStr">
        <is>
          <t>UPPSALA</t>
        </is>
      </c>
      <c r="F1436" t="inlineStr">
        <is>
          <t>Allmännings- och besparingsskogar</t>
        </is>
      </c>
      <c r="G1436" t="n">
        <v>22.8</v>
      </c>
      <c r="H1436" t="n">
        <v>0</v>
      </c>
      <c r="I1436" t="n">
        <v>0</v>
      </c>
      <c r="J1436" t="n">
        <v>0</v>
      </c>
      <c r="K1436" t="n">
        <v>0</v>
      </c>
      <c r="L1436" t="n">
        <v>0</v>
      </c>
      <c r="M1436" t="n">
        <v>0</v>
      </c>
      <c r="N1436" t="n">
        <v>0</v>
      </c>
      <c r="O1436" t="n">
        <v>0</v>
      </c>
      <c r="P1436" t="n">
        <v>0</v>
      </c>
      <c r="Q1436" t="n">
        <v>0</v>
      </c>
      <c r="R1436" s="2" t="inlineStr"/>
    </row>
    <row r="1437" ht="15" customHeight="1">
      <c r="A1437" t="inlineStr">
        <is>
          <t>A 11260-2024</t>
        </is>
      </c>
      <c r="B1437" s="1" t="n">
        <v>45371</v>
      </c>
      <c r="C1437" s="1" t="n">
        <v>45783</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11457-2024</t>
        </is>
      </c>
      <c r="B1438" s="1" t="n">
        <v>45372</v>
      </c>
      <c r="C1438" s="1" t="n">
        <v>45783</v>
      </c>
      <c r="D1438" t="inlineStr">
        <is>
          <t>UPPSALA LÄN</t>
        </is>
      </c>
      <c r="E1438" t="inlineStr">
        <is>
          <t>UPPSALA</t>
        </is>
      </c>
      <c r="F1438" t="inlineStr">
        <is>
          <t>Bergvik skog öst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11677-2024</t>
        </is>
      </c>
      <c r="B1439" s="1" t="n">
        <v>45373</v>
      </c>
      <c r="C1439" s="1" t="n">
        <v>45783</v>
      </c>
      <c r="D1439" t="inlineStr">
        <is>
          <t>UPPSALA LÄN</t>
        </is>
      </c>
      <c r="E1439" t="inlineStr">
        <is>
          <t>UPPSALA</t>
        </is>
      </c>
      <c r="F1439" t="inlineStr">
        <is>
          <t>Holmen skog AB</t>
        </is>
      </c>
      <c r="G1439" t="n">
        <v>14.4</v>
      </c>
      <c r="H1439" t="n">
        <v>0</v>
      </c>
      <c r="I1439" t="n">
        <v>0</v>
      </c>
      <c r="J1439" t="n">
        <v>0</v>
      </c>
      <c r="K1439" t="n">
        <v>0</v>
      </c>
      <c r="L1439" t="n">
        <v>0</v>
      </c>
      <c r="M1439" t="n">
        <v>0</v>
      </c>
      <c r="N1439" t="n">
        <v>0</v>
      </c>
      <c r="O1439" t="n">
        <v>0</v>
      </c>
      <c r="P1439" t="n">
        <v>0</v>
      </c>
      <c r="Q1439" t="n">
        <v>0</v>
      </c>
      <c r="R1439" s="2" t="inlineStr"/>
    </row>
    <row r="1440" ht="15" customHeight="1">
      <c r="A1440" t="inlineStr">
        <is>
          <t>A 11719-2024</t>
        </is>
      </c>
      <c r="B1440" s="1" t="n">
        <v>45373</v>
      </c>
      <c r="C1440" s="1" t="n">
        <v>45783</v>
      </c>
      <c r="D1440" t="inlineStr">
        <is>
          <t>UPPSALA LÄN</t>
        </is>
      </c>
      <c r="E1440" t="inlineStr">
        <is>
          <t>UPPSALA</t>
        </is>
      </c>
      <c r="F1440" t="inlineStr">
        <is>
          <t>Holmen skog AB</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12345-2024</t>
        </is>
      </c>
      <c r="B1441" s="1" t="n">
        <v>45378</v>
      </c>
      <c r="C1441" s="1" t="n">
        <v>45783</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12346-2024</t>
        </is>
      </c>
      <c r="B1442" s="1" t="n">
        <v>45378</v>
      </c>
      <c r="C1442" s="1" t="n">
        <v>45783</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12347-2024</t>
        </is>
      </c>
      <c r="B1443" s="1" t="n">
        <v>45378</v>
      </c>
      <c r="C1443" s="1" t="n">
        <v>45783</v>
      </c>
      <c r="D1443" t="inlineStr">
        <is>
          <t>UPPSALA LÄN</t>
        </is>
      </c>
      <c r="E1443" t="inlineStr">
        <is>
          <t>UPPSALA</t>
        </is>
      </c>
      <c r="F1443" t="inlineStr">
        <is>
          <t>Bergvik skog öst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12507-2024</t>
        </is>
      </c>
      <c r="B1444" s="1" t="n">
        <v>45379</v>
      </c>
      <c r="C1444" s="1" t="n">
        <v>45783</v>
      </c>
      <c r="D1444" t="inlineStr">
        <is>
          <t>UPPSALA LÄN</t>
        </is>
      </c>
      <c r="E1444" t="inlineStr">
        <is>
          <t>UPPSALA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13100-2024</t>
        </is>
      </c>
      <c r="B1445" s="1" t="n">
        <v>45385</v>
      </c>
      <c r="C1445" s="1" t="n">
        <v>45783</v>
      </c>
      <c r="D1445" t="inlineStr">
        <is>
          <t>UPPSALA LÄN</t>
        </is>
      </c>
      <c r="E1445" t="inlineStr">
        <is>
          <t>UPPSALA</t>
        </is>
      </c>
      <c r="F1445" t="inlineStr">
        <is>
          <t>Holmen skog AB</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13305-2024</t>
        </is>
      </c>
      <c r="B1446" s="1" t="n">
        <v>45386</v>
      </c>
      <c r="C1446" s="1" t="n">
        <v>45783</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13303-2024</t>
        </is>
      </c>
      <c r="B1447" s="1" t="n">
        <v>45386</v>
      </c>
      <c r="C1447" s="1" t="n">
        <v>45783</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13302-2024</t>
        </is>
      </c>
      <c r="B1448" s="1" t="n">
        <v>45386</v>
      </c>
      <c r="C1448" s="1" t="n">
        <v>45783</v>
      </c>
      <c r="D1448" t="inlineStr">
        <is>
          <t>UPPSALA LÄN</t>
        </is>
      </c>
      <c r="E1448" t="inlineStr">
        <is>
          <t>UPPSALA</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13379-2024</t>
        </is>
      </c>
      <c r="B1449" s="1" t="n">
        <v>45387</v>
      </c>
      <c r="C1449" s="1" t="n">
        <v>45783</v>
      </c>
      <c r="D1449" t="inlineStr">
        <is>
          <t>UPPSALA LÄN</t>
        </is>
      </c>
      <c r="E1449" t="inlineStr">
        <is>
          <t>UPPSALA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13644-2024</t>
        </is>
      </c>
      <c r="B1450" s="1" t="n">
        <v>45390</v>
      </c>
      <c r="C1450" s="1" t="n">
        <v>45783</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13799-2024</t>
        </is>
      </c>
      <c r="B1451" s="1" t="n">
        <v>45391</v>
      </c>
      <c r="C1451" s="1" t="n">
        <v>45783</v>
      </c>
      <c r="D1451" t="inlineStr">
        <is>
          <t>UPPSALA LÄN</t>
        </is>
      </c>
      <c r="E1451" t="inlineStr">
        <is>
          <t>UPPSALA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14533-2024</t>
        </is>
      </c>
      <c r="B1452" s="1" t="n">
        <v>45394</v>
      </c>
      <c r="C1452" s="1" t="n">
        <v>45783</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14401-2024</t>
        </is>
      </c>
      <c r="B1453" s="1" t="n">
        <v>45394</v>
      </c>
      <c r="C1453" s="1" t="n">
        <v>45783</v>
      </c>
      <c r="D1453" t="inlineStr">
        <is>
          <t>UPPSALA LÄN</t>
        </is>
      </c>
      <c r="E1453" t="inlineStr">
        <is>
          <t>UPPSALA</t>
        </is>
      </c>
      <c r="F1453" t="inlineStr">
        <is>
          <t>Övriga statliga verk och myndigheter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14528-2024</t>
        </is>
      </c>
      <c r="B1454" s="1" t="n">
        <v>45394</v>
      </c>
      <c r="C1454" s="1" t="n">
        <v>45783</v>
      </c>
      <c r="D1454" t="inlineStr">
        <is>
          <t>UPPSALA LÄN</t>
        </is>
      </c>
      <c r="E1454" t="inlineStr">
        <is>
          <t>UPPSALA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14404-2024</t>
        </is>
      </c>
      <c r="B1455" s="1" t="n">
        <v>45394</v>
      </c>
      <c r="C1455" s="1" t="n">
        <v>45783</v>
      </c>
      <c r="D1455" t="inlineStr">
        <is>
          <t>UPPSALA LÄN</t>
        </is>
      </c>
      <c r="E1455" t="inlineStr">
        <is>
          <t>UPPSALA</t>
        </is>
      </c>
      <c r="F1455" t="inlineStr">
        <is>
          <t>Övriga statliga verk och myndigheter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14523-2024</t>
        </is>
      </c>
      <c r="B1456" s="1" t="n">
        <v>45394</v>
      </c>
      <c r="C1456" s="1" t="n">
        <v>45783</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14643-2024</t>
        </is>
      </c>
      <c r="B1457" s="1" t="n">
        <v>45397</v>
      </c>
      <c r="C1457" s="1" t="n">
        <v>45783</v>
      </c>
      <c r="D1457" t="inlineStr">
        <is>
          <t>UPPSALA LÄN</t>
        </is>
      </c>
      <c r="E1457" t="inlineStr">
        <is>
          <t>UPPSALA</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14672-2024</t>
        </is>
      </c>
      <c r="B1458" s="1" t="n">
        <v>45397</v>
      </c>
      <c r="C1458" s="1" t="n">
        <v>45783</v>
      </c>
      <c r="D1458" t="inlineStr">
        <is>
          <t>UPPSALA LÄN</t>
        </is>
      </c>
      <c r="E1458" t="inlineStr">
        <is>
          <t>UPPSALA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15254-2024</t>
        </is>
      </c>
      <c r="B1459" s="1" t="n">
        <v>45400</v>
      </c>
      <c r="C1459" s="1" t="n">
        <v>45783</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15255-2024</t>
        </is>
      </c>
      <c r="B1460" s="1" t="n">
        <v>45400</v>
      </c>
      <c r="C1460" s="1" t="n">
        <v>45783</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15544-2024</t>
        </is>
      </c>
      <c r="B1461" s="1" t="n">
        <v>45401</v>
      </c>
      <c r="C1461" s="1" t="n">
        <v>45783</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16434-2024</t>
        </is>
      </c>
      <c r="B1462" s="1" t="n">
        <v>45407</v>
      </c>
      <c r="C1462" s="1" t="n">
        <v>45783</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16324-2024</t>
        </is>
      </c>
      <c r="B1463" s="1" t="n">
        <v>45407</v>
      </c>
      <c r="C1463" s="1" t="n">
        <v>45783</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17146-2024</t>
        </is>
      </c>
      <c r="B1464" s="1" t="n">
        <v>45412</v>
      </c>
      <c r="C1464" s="1" t="n">
        <v>45783</v>
      </c>
      <c r="D1464" t="inlineStr">
        <is>
          <t>UPPSALA LÄN</t>
        </is>
      </c>
      <c r="E1464" t="inlineStr">
        <is>
          <t>UPPSALA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17287-2024</t>
        </is>
      </c>
      <c r="B1465" s="1" t="n">
        <v>45414</v>
      </c>
      <c r="C1465" s="1" t="n">
        <v>45783</v>
      </c>
      <c r="D1465" t="inlineStr">
        <is>
          <t>UPPSALA LÄN</t>
        </is>
      </c>
      <c r="E1465" t="inlineStr">
        <is>
          <t>UPPSALA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17761-2024</t>
        </is>
      </c>
      <c r="B1466" s="1" t="n">
        <v>45418</v>
      </c>
      <c r="C1466" s="1" t="n">
        <v>45783</v>
      </c>
      <c r="D1466" t="inlineStr">
        <is>
          <t>UPPSALA LÄN</t>
        </is>
      </c>
      <c r="E1466" t="inlineStr">
        <is>
          <t>UPPSALA</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18069-2024</t>
        </is>
      </c>
      <c r="B1467" s="1" t="n">
        <v>45420</v>
      </c>
      <c r="C1467" s="1" t="n">
        <v>45783</v>
      </c>
      <c r="D1467" t="inlineStr">
        <is>
          <t>UPPSALA LÄN</t>
        </is>
      </c>
      <c r="E1467" t="inlineStr">
        <is>
          <t>UPPSALA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18354-2024</t>
        </is>
      </c>
      <c r="B1468" s="1" t="n">
        <v>45422</v>
      </c>
      <c r="C1468" s="1" t="n">
        <v>45783</v>
      </c>
      <c r="D1468" t="inlineStr">
        <is>
          <t>UPPSALA LÄN</t>
        </is>
      </c>
      <c r="E1468" t="inlineStr">
        <is>
          <t>UPPSALA</t>
        </is>
      </c>
      <c r="F1468" t="inlineStr">
        <is>
          <t>Holmen skog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45426</v>
      </c>
      <c r="C1469" s="1" t="n">
        <v>45783</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18677-2024</t>
        </is>
      </c>
      <c r="B1470" s="1" t="n">
        <v>45426</v>
      </c>
      <c r="C1470" s="1" t="n">
        <v>45783</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18667-2024</t>
        </is>
      </c>
      <c r="B1471" s="1" t="n">
        <v>45426</v>
      </c>
      <c r="C1471" s="1" t="n">
        <v>45783</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18670-2024</t>
        </is>
      </c>
      <c r="B1472" s="1" t="n">
        <v>45426</v>
      </c>
      <c r="C1472" s="1" t="n">
        <v>45783</v>
      </c>
      <c r="D1472" t="inlineStr">
        <is>
          <t>UPPSALA LÄN</t>
        </is>
      </c>
      <c r="E1472" t="inlineStr">
        <is>
          <t>UPPSALA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18675-2024</t>
        </is>
      </c>
      <c r="B1473" s="1" t="n">
        <v>45426</v>
      </c>
      <c r="C1473" s="1" t="n">
        <v>45783</v>
      </c>
      <c r="D1473" t="inlineStr">
        <is>
          <t>UPPSALA LÄN</t>
        </is>
      </c>
      <c r="E1473" t="inlineStr">
        <is>
          <t>UPPSALA</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18808-2024</t>
        </is>
      </c>
      <c r="B1474" s="1" t="n">
        <v>45426</v>
      </c>
      <c r="C1474" s="1" t="n">
        <v>45783</v>
      </c>
      <c r="D1474" t="inlineStr">
        <is>
          <t>UPPSALA LÄN</t>
        </is>
      </c>
      <c r="E1474" t="inlineStr">
        <is>
          <t>UPPSALA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18668-2024</t>
        </is>
      </c>
      <c r="B1475" s="1" t="n">
        <v>45426</v>
      </c>
      <c r="C1475" s="1" t="n">
        <v>45783</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19164-2024</t>
        </is>
      </c>
      <c r="B1476" s="1" t="n">
        <v>45428</v>
      </c>
      <c r="C1476" s="1" t="n">
        <v>45783</v>
      </c>
      <c r="D1476" t="inlineStr">
        <is>
          <t>UPPSALA LÄN</t>
        </is>
      </c>
      <c r="E1476" t="inlineStr">
        <is>
          <t>UPPSALA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19126-2024</t>
        </is>
      </c>
      <c r="B1477" s="1" t="n">
        <v>45428</v>
      </c>
      <c r="C1477" s="1" t="n">
        <v>45783</v>
      </c>
      <c r="D1477" t="inlineStr">
        <is>
          <t>UPPSALA LÄN</t>
        </is>
      </c>
      <c r="E1477" t="inlineStr">
        <is>
          <t>UPPSALA</t>
        </is>
      </c>
      <c r="F1477" t="inlineStr">
        <is>
          <t>Allmännings- och besparingsskogar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19414-2024</t>
        </is>
      </c>
      <c r="B1478" s="1" t="n">
        <v>45429</v>
      </c>
      <c r="C1478" s="1" t="n">
        <v>45783</v>
      </c>
      <c r="D1478" t="inlineStr">
        <is>
          <t>UPPSALA LÄN</t>
        </is>
      </c>
      <c r="E1478" t="inlineStr">
        <is>
          <t>UPPSALA</t>
        </is>
      </c>
      <c r="F1478" t="inlineStr">
        <is>
          <t>Kyrkan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19539-2024</t>
        </is>
      </c>
      <c r="B1479" s="1" t="n">
        <v>45429</v>
      </c>
      <c r="C1479" s="1" t="n">
        <v>45783</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20466-2024</t>
        </is>
      </c>
      <c r="B1480" s="1" t="n">
        <v>45435</v>
      </c>
      <c r="C1480" s="1" t="n">
        <v>45783</v>
      </c>
      <c r="D1480" t="inlineStr">
        <is>
          <t>UPPSALA LÄN</t>
        </is>
      </c>
      <c r="E1480" t="inlineStr">
        <is>
          <t>UPPSALA</t>
        </is>
      </c>
      <c r="F1480" t="inlineStr">
        <is>
          <t>Holmen skog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20297-2024</t>
        </is>
      </c>
      <c r="B1481" s="1" t="n">
        <v>45435</v>
      </c>
      <c r="C1481" s="1" t="n">
        <v>45783</v>
      </c>
      <c r="D1481" t="inlineStr">
        <is>
          <t>UPPSALA LÄN</t>
        </is>
      </c>
      <c r="E1481" t="inlineStr">
        <is>
          <t>UPPSALA</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20301-2024</t>
        </is>
      </c>
      <c r="B1482" s="1" t="n">
        <v>45435</v>
      </c>
      <c r="C1482" s="1" t="n">
        <v>45783</v>
      </c>
      <c r="D1482" t="inlineStr">
        <is>
          <t>UPPSALA LÄN</t>
        </is>
      </c>
      <c r="E1482" t="inlineStr">
        <is>
          <t>UPPSALA</t>
        </is>
      </c>
      <c r="F1482" t="inlineStr">
        <is>
          <t>Kyrkan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20375-2024</t>
        </is>
      </c>
      <c r="B1483" s="1" t="n">
        <v>45435</v>
      </c>
      <c r="C1483" s="1" t="n">
        <v>45783</v>
      </c>
      <c r="D1483" t="inlineStr">
        <is>
          <t>UPPSALA LÄN</t>
        </is>
      </c>
      <c r="E1483" t="inlineStr">
        <is>
          <t>UPPSALA</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20459-2024</t>
        </is>
      </c>
      <c r="B1484" s="1" t="n">
        <v>45435</v>
      </c>
      <c r="C1484" s="1" t="n">
        <v>45783</v>
      </c>
      <c r="D1484" t="inlineStr">
        <is>
          <t>UPPSALA LÄN</t>
        </is>
      </c>
      <c r="E1484" t="inlineStr">
        <is>
          <t>UPPSALA</t>
        </is>
      </c>
      <c r="F1484" t="inlineStr">
        <is>
          <t>Kyrkan</t>
        </is>
      </c>
      <c r="G1484" t="n">
        <v>15.8</v>
      </c>
      <c r="H1484" t="n">
        <v>0</v>
      </c>
      <c r="I1484" t="n">
        <v>0</v>
      </c>
      <c r="J1484" t="n">
        <v>0</v>
      </c>
      <c r="K1484" t="n">
        <v>0</v>
      </c>
      <c r="L1484" t="n">
        <v>0</v>
      </c>
      <c r="M1484" t="n">
        <v>0</v>
      </c>
      <c r="N1484" t="n">
        <v>0</v>
      </c>
      <c r="O1484" t="n">
        <v>0</v>
      </c>
      <c r="P1484" t="n">
        <v>0</v>
      </c>
      <c r="Q1484" t="n">
        <v>0</v>
      </c>
      <c r="R1484" s="2" t="inlineStr"/>
    </row>
    <row r="1485" ht="15" customHeight="1">
      <c r="A1485" t="inlineStr">
        <is>
          <t>A 20458-2024</t>
        </is>
      </c>
      <c r="B1485" s="1" t="n">
        <v>45435</v>
      </c>
      <c r="C1485" s="1" t="n">
        <v>45783</v>
      </c>
      <c r="D1485" t="inlineStr">
        <is>
          <t>UPPSALA LÄN</t>
        </is>
      </c>
      <c r="E1485" t="inlineStr">
        <is>
          <t>UPPSALA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20711-2024</t>
        </is>
      </c>
      <c r="B1486" s="1" t="n">
        <v>45436</v>
      </c>
      <c r="C1486" s="1" t="n">
        <v>45783</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20851-2024</t>
        </is>
      </c>
      <c r="B1487" s="1" t="n">
        <v>45439</v>
      </c>
      <c r="C1487" s="1" t="n">
        <v>45783</v>
      </c>
      <c r="D1487" t="inlineStr">
        <is>
          <t>UPPSALA LÄN</t>
        </is>
      </c>
      <c r="E1487" t="inlineStr">
        <is>
          <t>UPPSALA</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21015-2024</t>
        </is>
      </c>
      <c r="B1488" s="1" t="n">
        <v>45439</v>
      </c>
      <c r="C1488" s="1" t="n">
        <v>45783</v>
      </c>
      <c r="D1488" t="inlineStr">
        <is>
          <t>UPPSALA LÄN</t>
        </is>
      </c>
      <c r="E1488" t="inlineStr">
        <is>
          <t>UPPSALA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45783</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21182-2024</t>
        </is>
      </c>
      <c r="B1490" s="1" t="n">
        <v>45440</v>
      </c>
      <c r="C1490" s="1" t="n">
        <v>45783</v>
      </c>
      <c r="D1490" t="inlineStr">
        <is>
          <t>UPPSALA LÄN</t>
        </is>
      </c>
      <c r="E1490" t="inlineStr">
        <is>
          <t>UPPSALA</t>
        </is>
      </c>
      <c r="F1490" t="inlineStr">
        <is>
          <t>Holmen skog AB</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21310-2024</t>
        </is>
      </c>
      <c r="B1491" s="1" t="n">
        <v>45440</v>
      </c>
      <c r="C1491" s="1" t="n">
        <v>45783</v>
      </c>
      <c r="D1491" t="inlineStr">
        <is>
          <t>UPPSALA LÄN</t>
        </is>
      </c>
      <c r="E1491" t="inlineStr">
        <is>
          <t>UPPSALA</t>
        </is>
      </c>
      <c r="F1491" t="inlineStr">
        <is>
          <t>Holmen skog AB</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21526-2024</t>
        </is>
      </c>
      <c r="B1492" s="1" t="n">
        <v>45441</v>
      </c>
      <c r="C1492" s="1" t="n">
        <v>45783</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21555-2024</t>
        </is>
      </c>
      <c r="B1493" s="1" t="n">
        <v>45441</v>
      </c>
      <c r="C1493" s="1" t="n">
        <v>45783</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21657-2024</t>
        </is>
      </c>
      <c r="B1494" s="1" t="n">
        <v>45442</v>
      </c>
      <c r="C1494" s="1" t="n">
        <v>45783</v>
      </c>
      <c r="D1494" t="inlineStr">
        <is>
          <t>UPPSALA LÄN</t>
        </is>
      </c>
      <c r="E1494" t="inlineStr">
        <is>
          <t>UPPSALA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21786-2024</t>
        </is>
      </c>
      <c r="B1495" s="1" t="n">
        <v>45442</v>
      </c>
      <c r="C1495" s="1" t="n">
        <v>45783</v>
      </c>
      <c r="D1495" t="inlineStr">
        <is>
          <t>UPPSALA LÄN</t>
        </is>
      </c>
      <c r="E1495" t="inlineStr">
        <is>
          <t>UPPSALA</t>
        </is>
      </c>
      <c r="F1495" t="inlineStr">
        <is>
          <t>Allmännings- och besparingsskogar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21641-2024</t>
        </is>
      </c>
      <c r="B1496" s="1" t="n">
        <v>45442</v>
      </c>
      <c r="C1496" s="1" t="n">
        <v>45783</v>
      </c>
      <c r="D1496" t="inlineStr">
        <is>
          <t>UPPSALA LÄN</t>
        </is>
      </c>
      <c r="E1496" t="inlineStr">
        <is>
          <t>UPPSALA</t>
        </is>
      </c>
      <c r="F1496" t="inlineStr">
        <is>
          <t>Kyrkan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21859-2024</t>
        </is>
      </c>
      <c r="B1497" s="1" t="n">
        <v>45443</v>
      </c>
      <c r="C1497" s="1" t="n">
        <v>45783</v>
      </c>
      <c r="D1497" t="inlineStr">
        <is>
          <t>UPPSALA LÄN</t>
        </is>
      </c>
      <c r="E1497" t="inlineStr">
        <is>
          <t>UPPSALA</t>
        </is>
      </c>
      <c r="F1497" t="inlineStr">
        <is>
          <t>Kyrkan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22431-2024</t>
        </is>
      </c>
      <c r="B1498" s="1" t="n">
        <v>45446</v>
      </c>
      <c r="C1498" s="1" t="n">
        <v>45783</v>
      </c>
      <c r="D1498" t="inlineStr">
        <is>
          <t>UPPSALA LÄN</t>
        </is>
      </c>
      <c r="E1498" t="inlineStr">
        <is>
          <t>UPPSALA</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22437-2024</t>
        </is>
      </c>
      <c r="B1499" s="1" t="n">
        <v>45446</v>
      </c>
      <c r="C1499" s="1" t="n">
        <v>45783</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22433-2024</t>
        </is>
      </c>
      <c r="B1500" s="1" t="n">
        <v>45446</v>
      </c>
      <c r="C1500" s="1" t="n">
        <v>45783</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22432-2024</t>
        </is>
      </c>
      <c r="B1501" s="1" t="n">
        <v>45446</v>
      </c>
      <c r="C1501" s="1" t="n">
        <v>45783</v>
      </c>
      <c r="D1501" t="inlineStr">
        <is>
          <t>UPPSALA LÄN</t>
        </is>
      </c>
      <c r="E1501" t="inlineStr">
        <is>
          <t>UPPSALA</t>
        </is>
      </c>
      <c r="F1501" t="inlineStr">
        <is>
          <t>Bergvik skog öst AB</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22900-2024</t>
        </is>
      </c>
      <c r="B1502" s="1" t="n">
        <v>45448</v>
      </c>
      <c r="C1502" s="1" t="n">
        <v>45783</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23291-2024</t>
        </is>
      </c>
      <c r="B1503" s="1" t="n">
        <v>45453</v>
      </c>
      <c r="C1503" s="1" t="n">
        <v>45783</v>
      </c>
      <c r="D1503" t="inlineStr">
        <is>
          <t>UPPSALA LÄN</t>
        </is>
      </c>
      <c r="E1503" t="inlineStr">
        <is>
          <t>UPPSALA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23494-2024</t>
        </is>
      </c>
      <c r="B1504" s="1" t="n">
        <v>45453</v>
      </c>
      <c r="C1504" s="1" t="n">
        <v>45783</v>
      </c>
      <c r="D1504" t="inlineStr">
        <is>
          <t>UPPSALA LÄN</t>
        </is>
      </c>
      <c r="E1504" t="inlineStr">
        <is>
          <t>UPPSALA</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24098-2024</t>
        </is>
      </c>
      <c r="B1505" s="1" t="n">
        <v>45456</v>
      </c>
      <c r="C1505" s="1" t="n">
        <v>45783</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24091-2024</t>
        </is>
      </c>
      <c r="B1506" s="1" t="n">
        <v>45456</v>
      </c>
      <c r="C1506" s="1" t="n">
        <v>45783</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24787-2024</t>
        </is>
      </c>
      <c r="B1507" s="1" t="n">
        <v>45460</v>
      </c>
      <c r="C1507" s="1" t="n">
        <v>45783</v>
      </c>
      <c r="D1507" t="inlineStr">
        <is>
          <t>UPPSALA LÄN</t>
        </is>
      </c>
      <c r="E1507" t="inlineStr">
        <is>
          <t>UPPSALA</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25539-2024</t>
        </is>
      </c>
      <c r="B1508" s="1" t="n">
        <v>45463</v>
      </c>
      <c r="C1508" s="1" t="n">
        <v>45783</v>
      </c>
      <c r="D1508" t="inlineStr">
        <is>
          <t>UPPSALA LÄN</t>
        </is>
      </c>
      <c r="E1508" t="inlineStr">
        <is>
          <t>UPPSALA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25537-2024</t>
        </is>
      </c>
      <c r="B1509" s="1" t="n">
        <v>45463</v>
      </c>
      <c r="C1509" s="1" t="n">
        <v>45783</v>
      </c>
      <c r="D1509" t="inlineStr">
        <is>
          <t>UPPSALA LÄN</t>
        </is>
      </c>
      <c r="E1509" t="inlineStr">
        <is>
          <t>UPPSALA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25536-2024</t>
        </is>
      </c>
      <c r="B1510" s="1" t="n">
        <v>45463</v>
      </c>
      <c r="C1510" s="1" t="n">
        <v>45783</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25487-2024</t>
        </is>
      </c>
      <c r="B1511" s="1" t="n">
        <v>45463</v>
      </c>
      <c r="C1511" s="1" t="n">
        <v>45783</v>
      </c>
      <c r="D1511" t="inlineStr">
        <is>
          <t>UPPSALA LÄN</t>
        </is>
      </c>
      <c r="E1511" t="inlineStr">
        <is>
          <t>UPPSALA</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25403-2024</t>
        </is>
      </c>
      <c r="B1512" s="1" t="n">
        <v>45463</v>
      </c>
      <c r="C1512" s="1" t="n">
        <v>45783</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25490-2024</t>
        </is>
      </c>
      <c r="B1513" s="1" t="n">
        <v>45463</v>
      </c>
      <c r="C1513" s="1" t="n">
        <v>45783</v>
      </c>
      <c r="D1513" t="inlineStr">
        <is>
          <t>UPPSALA LÄN</t>
        </is>
      </c>
      <c r="E1513" t="inlineStr">
        <is>
          <t>UPPSALA</t>
        </is>
      </c>
      <c r="F1513" t="inlineStr">
        <is>
          <t>Övriga Aktiebolag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26099-2024</t>
        </is>
      </c>
      <c r="B1514" s="1" t="n">
        <v>45468</v>
      </c>
      <c r="C1514" s="1" t="n">
        <v>45783</v>
      </c>
      <c r="D1514" t="inlineStr">
        <is>
          <t>UPPSALA LÄN</t>
        </is>
      </c>
      <c r="E1514" t="inlineStr">
        <is>
          <t>UPPSALA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27476-2024</t>
        </is>
      </c>
      <c r="B1515" s="1" t="n">
        <v>45474</v>
      </c>
      <c r="C1515" s="1" t="n">
        <v>45783</v>
      </c>
      <c r="D1515" t="inlineStr">
        <is>
          <t>UPPSALA LÄN</t>
        </is>
      </c>
      <c r="E1515" t="inlineStr">
        <is>
          <t>UPPSALA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27473-2024</t>
        </is>
      </c>
      <c r="B1516" s="1" t="n">
        <v>45474</v>
      </c>
      <c r="C1516" s="1" t="n">
        <v>45783</v>
      </c>
      <c r="D1516" t="inlineStr">
        <is>
          <t>UPPSALA LÄN</t>
        </is>
      </c>
      <c r="E1516" t="inlineStr">
        <is>
          <t>UPPSALA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27442-2024</t>
        </is>
      </c>
      <c r="B1517" s="1" t="n">
        <v>45474</v>
      </c>
      <c r="C1517" s="1" t="n">
        <v>45783</v>
      </c>
      <c r="D1517" t="inlineStr">
        <is>
          <t>UPPSALA LÄN</t>
        </is>
      </c>
      <c r="E1517" t="inlineStr">
        <is>
          <t>UPPSALA</t>
        </is>
      </c>
      <c r="F1517" t="inlineStr">
        <is>
          <t>Holmen skog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27474-2024</t>
        </is>
      </c>
      <c r="B1518" s="1" t="n">
        <v>45474</v>
      </c>
      <c r="C1518" s="1" t="n">
        <v>45783</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27498-2024</t>
        </is>
      </c>
      <c r="B1519" s="1" t="n">
        <v>45474</v>
      </c>
      <c r="C1519" s="1" t="n">
        <v>45783</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27857-2024</t>
        </is>
      </c>
      <c r="B1520" s="1" t="n">
        <v>45475</v>
      </c>
      <c r="C1520" s="1" t="n">
        <v>45783</v>
      </c>
      <c r="D1520" t="inlineStr">
        <is>
          <t>UPPSALA LÄN</t>
        </is>
      </c>
      <c r="E1520" t="inlineStr">
        <is>
          <t>UPPSALA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27994-2024</t>
        </is>
      </c>
      <c r="B1521" s="1" t="n">
        <v>45476</v>
      </c>
      <c r="C1521" s="1" t="n">
        <v>45783</v>
      </c>
      <c r="D1521" t="inlineStr">
        <is>
          <t>UPPSALA LÄN</t>
        </is>
      </c>
      <c r="E1521" t="inlineStr">
        <is>
          <t>UPPSALA</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27981-2024</t>
        </is>
      </c>
      <c r="B1522" s="1" t="n">
        <v>45476</v>
      </c>
      <c r="C1522" s="1" t="n">
        <v>45783</v>
      </c>
      <c r="D1522" t="inlineStr">
        <is>
          <t>UPPSALA LÄN</t>
        </is>
      </c>
      <c r="E1522" t="inlineStr">
        <is>
          <t>UPPSALA</t>
        </is>
      </c>
      <c r="F1522" t="inlineStr">
        <is>
          <t>Holmen skog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27973-2024</t>
        </is>
      </c>
      <c r="B1523" s="1" t="n">
        <v>45476</v>
      </c>
      <c r="C1523" s="1" t="n">
        <v>45783</v>
      </c>
      <c r="D1523" t="inlineStr">
        <is>
          <t>UPPSALA LÄN</t>
        </is>
      </c>
      <c r="E1523" t="inlineStr">
        <is>
          <t>UPPSALA</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28453-2024</t>
        </is>
      </c>
      <c r="B1524" s="1" t="n">
        <v>45477</v>
      </c>
      <c r="C1524" s="1" t="n">
        <v>45783</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28825-2024</t>
        </is>
      </c>
      <c r="B1525" s="1" t="n">
        <v>45478</v>
      </c>
      <c r="C1525" s="1" t="n">
        <v>45783</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28782-2024</t>
        </is>
      </c>
      <c r="B1526" s="1" t="n">
        <v>45478</v>
      </c>
      <c r="C1526" s="1" t="n">
        <v>45783</v>
      </c>
      <c r="D1526" t="inlineStr">
        <is>
          <t>UPPSALA LÄN</t>
        </is>
      </c>
      <c r="E1526" t="inlineStr">
        <is>
          <t>UPPSALA</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29081-2024</t>
        </is>
      </c>
      <c r="B1527" s="1" t="n">
        <v>45481</v>
      </c>
      <c r="C1527" s="1" t="n">
        <v>45783</v>
      </c>
      <c r="D1527" t="inlineStr">
        <is>
          <t>UPPSALA LÄN</t>
        </is>
      </c>
      <c r="E1527" t="inlineStr">
        <is>
          <t>UPPSALA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29082-2024</t>
        </is>
      </c>
      <c r="B1528" s="1" t="n">
        <v>45481</v>
      </c>
      <c r="C1528" s="1" t="n">
        <v>45783</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29164-2024</t>
        </is>
      </c>
      <c r="B1529" s="1" t="n">
        <v>45482</v>
      </c>
      <c r="C1529" s="1" t="n">
        <v>45783</v>
      </c>
      <c r="D1529" t="inlineStr">
        <is>
          <t>UPPSALA LÄN</t>
        </is>
      </c>
      <c r="E1529" t="inlineStr">
        <is>
          <t>UPPSALA</t>
        </is>
      </c>
      <c r="F1529" t="inlineStr">
        <is>
          <t>Allmännings- och besparingsskogar</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30079-2024</t>
        </is>
      </c>
      <c r="B1530" s="1" t="n">
        <v>45489</v>
      </c>
      <c r="C1530" s="1" t="n">
        <v>45783</v>
      </c>
      <c r="D1530" t="inlineStr">
        <is>
          <t>UPPSALA LÄN</t>
        </is>
      </c>
      <c r="E1530" t="inlineStr">
        <is>
          <t>UPPSALA</t>
        </is>
      </c>
      <c r="F1530" t="inlineStr">
        <is>
          <t>Holmen skog AB</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30319-2024</t>
        </is>
      </c>
      <c r="B1531" s="1" t="n">
        <v>45490</v>
      </c>
      <c r="C1531" s="1" t="n">
        <v>45783</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31717-2024</t>
        </is>
      </c>
      <c r="B1532" s="1" t="n">
        <v>45509</v>
      </c>
      <c r="C1532" s="1" t="n">
        <v>45783</v>
      </c>
      <c r="D1532" t="inlineStr">
        <is>
          <t>UPPSALA LÄN</t>
        </is>
      </c>
      <c r="E1532" t="inlineStr">
        <is>
          <t>UPPSALA</t>
        </is>
      </c>
      <c r="F1532" t="inlineStr">
        <is>
          <t>Bergvik skog öst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32119-2024</t>
        </is>
      </c>
      <c r="B1533" s="1" t="n">
        <v>45511</v>
      </c>
      <c r="C1533" s="1" t="n">
        <v>45783</v>
      </c>
      <c r="D1533" t="inlineStr">
        <is>
          <t>UPPSALA LÄN</t>
        </is>
      </c>
      <c r="E1533" t="inlineStr">
        <is>
          <t>UPPSALA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32127-2024</t>
        </is>
      </c>
      <c r="B1534" s="1" t="n">
        <v>45511</v>
      </c>
      <c r="C1534" s="1" t="n">
        <v>45783</v>
      </c>
      <c r="D1534" t="inlineStr">
        <is>
          <t>UPPSALA LÄN</t>
        </is>
      </c>
      <c r="E1534" t="inlineStr">
        <is>
          <t>UPPSALA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32106-2024</t>
        </is>
      </c>
      <c r="B1535" s="1" t="n">
        <v>45511</v>
      </c>
      <c r="C1535" s="1" t="n">
        <v>45783</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32117-2024</t>
        </is>
      </c>
      <c r="B1536" s="1" t="n">
        <v>45511</v>
      </c>
      <c r="C1536" s="1" t="n">
        <v>45783</v>
      </c>
      <c r="D1536" t="inlineStr">
        <is>
          <t>UPPSALA LÄN</t>
        </is>
      </c>
      <c r="E1536" t="inlineStr">
        <is>
          <t>UPPSALA</t>
        </is>
      </c>
      <c r="F1536" t="inlineStr">
        <is>
          <t>Allmännings- och besparingsskogar</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32554-2024</t>
        </is>
      </c>
      <c r="B1537" s="1" t="n">
        <v>45513</v>
      </c>
      <c r="C1537" s="1" t="n">
        <v>45783</v>
      </c>
      <c r="D1537" t="inlineStr">
        <is>
          <t>UPPSALA LÄN</t>
        </is>
      </c>
      <c r="E1537" t="inlineStr">
        <is>
          <t>UPPSALA</t>
        </is>
      </c>
      <c r="F1537" t="inlineStr">
        <is>
          <t>Bergvik skog öst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32553-2024</t>
        </is>
      </c>
      <c r="B1538" s="1" t="n">
        <v>45513</v>
      </c>
      <c r="C1538" s="1" t="n">
        <v>45783</v>
      </c>
      <c r="D1538" t="inlineStr">
        <is>
          <t>UPPSALA LÄN</t>
        </is>
      </c>
      <c r="E1538" t="inlineStr">
        <is>
          <t>UPPSALA</t>
        </is>
      </c>
      <c r="F1538" t="inlineStr">
        <is>
          <t>Bergvik skog öst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33622-2024</t>
        </is>
      </c>
      <c r="B1539" s="1" t="n">
        <v>45520</v>
      </c>
      <c r="C1539" s="1" t="n">
        <v>45783</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33667-2024</t>
        </is>
      </c>
      <c r="B1540" s="1" t="n">
        <v>45520</v>
      </c>
      <c r="C1540" s="1" t="n">
        <v>45783</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33816-2024</t>
        </is>
      </c>
      <c r="B1541" s="1" t="n">
        <v>45520</v>
      </c>
      <c r="C1541" s="1" t="n">
        <v>45783</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33939-2024</t>
        </is>
      </c>
      <c r="B1542" s="1" t="n">
        <v>45523</v>
      </c>
      <c r="C1542" s="1" t="n">
        <v>45783</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34147-2024</t>
        </is>
      </c>
      <c r="B1543" s="1" t="n">
        <v>45524</v>
      </c>
      <c r="C1543" s="1" t="n">
        <v>45783</v>
      </c>
      <c r="D1543" t="inlineStr">
        <is>
          <t>UPPSALA LÄN</t>
        </is>
      </c>
      <c r="E1543" t="inlineStr">
        <is>
          <t>UPPSALA</t>
        </is>
      </c>
      <c r="F1543" t="inlineStr">
        <is>
          <t>Allmännings- och besparingsskogar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34114-2024</t>
        </is>
      </c>
      <c r="B1544" s="1" t="n">
        <v>45524</v>
      </c>
      <c r="C1544" s="1" t="n">
        <v>45783</v>
      </c>
      <c r="D1544" t="inlineStr">
        <is>
          <t>UPPSALA LÄN</t>
        </is>
      </c>
      <c r="E1544" t="inlineStr">
        <is>
          <t>UPPSALA</t>
        </is>
      </c>
      <c r="F1544" t="inlineStr">
        <is>
          <t>Allmännings- och besparingsskogar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34520-2024</t>
        </is>
      </c>
      <c r="B1545" s="1" t="n">
        <v>45525</v>
      </c>
      <c r="C1545" s="1" t="n">
        <v>45783</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34656-2024</t>
        </is>
      </c>
      <c r="B1546" s="1" t="n">
        <v>45526</v>
      </c>
      <c r="C1546" s="1" t="n">
        <v>45783</v>
      </c>
      <c r="D1546" t="inlineStr">
        <is>
          <t>UPPSALA LÄN</t>
        </is>
      </c>
      <c r="E1546" t="inlineStr">
        <is>
          <t>UPPSALA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34623-2024</t>
        </is>
      </c>
      <c r="B1547" s="1" t="n">
        <v>45526</v>
      </c>
      <c r="C1547" s="1" t="n">
        <v>45783</v>
      </c>
      <c r="D1547" t="inlineStr">
        <is>
          <t>UPPSALA LÄN</t>
        </is>
      </c>
      <c r="E1547" t="inlineStr">
        <is>
          <t>UPPSALA</t>
        </is>
      </c>
      <c r="G1547" t="n">
        <v>21.5</v>
      </c>
      <c r="H1547" t="n">
        <v>0</v>
      </c>
      <c r="I1547" t="n">
        <v>0</v>
      </c>
      <c r="J1547" t="n">
        <v>0</v>
      </c>
      <c r="K1547" t="n">
        <v>0</v>
      </c>
      <c r="L1547" t="n">
        <v>0</v>
      </c>
      <c r="M1547" t="n">
        <v>0</v>
      </c>
      <c r="N1547" t="n">
        <v>0</v>
      </c>
      <c r="O1547" t="n">
        <v>0</v>
      </c>
      <c r="P1547" t="n">
        <v>0</v>
      </c>
      <c r="Q1547" t="n">
        <v>0</v>
      </c>
      <c r="R1547" s="2" t="inlineStr"/>
    </row>
    <row r="1548" ht="15" customHeight="1">
      <c r="A1548" t="inlineStr">
        <is>
          <t>A 35830-2024</t>
        </is>
      </c>
      <c r="B1548" s="1" t="n">
        <v>45532</v>
      </c>
      <c r="C1548" s="1" t="n">
        <v>45783</v>
      </c>
      <c r="D1548" t="inlineStr">
        <is>
          <t>UPPSALA LÄN</t>
        </is>
      </c>
      <c r="E1548" t="inlineStr">
        <is>
          <t>UPPSALA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36015-2024</t>
        </is>
      </c>
      <c r="B1549" s="1" t="n">
        <v>45533</v>
      </c>
      <c r="C1549" s="1" t="n">
        <v>45783</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36029-2024</t>
        </is>
      </c>
      <c r="B1550" s="1" t="n">
        <v>45533</v>
      </c>
      <c r="C1550" s="1" t="n">
        <v>45783</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36041-2024</t>
        </is>
      </c>
      <c r="B1551" s="1" t="n">
        <v>45533</v>
      </c>
      <c r="C1551" s="1" t="n">
        <v>45783</v>
      </c>
      <c r="D1551" t="inlineStr">
        <is>
          <t>UPPSALA LÄN</t>
        </is>
      </c>
      <c r="E1551" t="inlineStr">
        <is>
          <t>UPPSALA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37032-2024</t>
        </is>
      </c>
      <c r="B1552" s="1" t="n">
        <v>45539</v>
      </c>
      <c r="C1552" s="1" t="n">
        <v>45783</v>
      </c>
      <c r="D1552" t="inlineStr">
        <is>
          <t>UPPSALA LÄN</t>
        </is>
      </c>
      <c r="E1552" t="inlineStr">
        <is>
          <t>UPPSALA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37033-2024</t>
        </is>
      </c>
      <c r="B1553" s="1" t="n">
        <v>45539</v>
      </c>
      <c r="C1553" s="1" t="n">
        <v>45783</v>
      </c>
      <c r="D1553" t="inlineStr">
        <is>
          <t>UPPSALA LÄN</t>
        </is>
      </c>
      <c r="E1553" t="inlineStr">
        <is>
          <t>UPPSALA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37307-2024</t>
        </is>
      </c>
      <c r="B1554" s="1" t="n">
        <v>45540</v>
      </c>
      <c r="C1554" s="1" t="n">
        <v>45783</v>
      </c>
      <c r="D1554" t="inlineStr">
        <is>
          <t>UPPSALA LÄN</t>
        </is>
      </c>
      <c r="E1554" t="inlineStr">
        <is>
          <t>UPPSALA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37568-2024</t>
        </is>
      </c>
      <c r="B1555" s="1" t="n">
        <v>45541</v>
      </c>
      <c r="C1555" s="1" t="n">
        <v>45783</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37666-2024</t>
        </is>
      </c>
      <c r="B1556" s="1" t="n">
        <v>45541</v>
      </c>
      <c r="C1556" s="1" t="n">
        <v>45783</v>
      </c>
      <c r="D1556" t="inlineStr">
        <is>
          <t>UPPSALA LÄN</t>
        </is>
      </c>
      <c r="E1556" t="inlineStr">
        <is>
          <t>UPPSALA</t>
        </is>
      </c>
      <c r="F1556" t="inlineStr">
        <is>
          <t>Övriga Aktiebolag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37579-2024</t>
        </is>
      </c>
      <c r="B1557" s="1" t="n">
        <v>45541</v>
      </c>
      <c r="C1557" s="1" t="n">
        <v>45783</v>
      </c>
      <c r="D1557" t="inlineStr">
        <is>
          <t>UPPSALA LÄN</t>
        </is>
      </c>
      <c r="E1557" t="inlineStr">
        <is>
          <t>UPPSALA</t>
        </is>
      </c>
      <c r="G1557" t="n">
        <v>22.8</v>
      </c>
      <c r="H1557" t="n">
        <v>0</v>
      </c>
      <c r="I1557" t="n">
        <v>0</v>
      </c>
      <c r="J1557" t="n">
        <v>0</v>
      </c>
      <c r="K1557" t="n">
        <v>0</v>
      </c>
      <c r="L1557" t="n">
        <v>0</v>
      </c>
      <c r="M1557" t="n">
        <v>0</v>
      </c>
      <c r="N1557" t="n">
        <v>0</v>
      </c>
      <c r="O1557" t="n">
        <v>0</v>
      </c>
      <c r="P1557" t="n">
        <v>0</v>
      </c>
      <c r="Q1557" t="n">
        <v>0</v>
      </c>
      <c r="R1557" s="2" t="inlineStr"/>
    </row>
    <row r="1558" ht="15" customHeight="1">
      <c r="A1558" t="inlineStr">
        <is>
          <t>A 37671-2024</t>
        </is>
      </c>
      <c r="B1558" s="1" t="n">
        <v>45541</v>
      </c>
      <c r="C1558" s="1" t="n">
        <v>45783</v>
      </c>
      <c r="D1558" t="inlineStr">
        <is>
          <t>UPPSALA LÄN</t>
        </is>
      </c>
      <c r="E1558" t="inlineStr">
        <is>
          <t>UPPSALA</t>
        </is>
      </c>
      <c r="F1558" t="inlineStr">
        <is>
          <t>Övriga Aktiebolag</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38119-2024</t>
        </is>
      </c>
      <c r="B1559" s="1" t="n">
        <v>45545</v>
      </c>
      <c r="C1559" s="1" t="n">
        <v>45783</v>
      </c>
      <c r="D1559" t="inlineStr">
        <is>
          <t>UPPSALA LÄN</t>
        </is>
      </c>
      <c r="E1559" t="inlineStr">
        <is>
          <t>UPPSALA</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38958-2024</t>
        </is>
      </c>
      <c r="B1560" s="1" t="n">
        <v>45548</v>
      </c>
      <c r="C1560" s="1" t="n">
        <v>45783</v>
      </c>
      <c r="D1560" t="inlineStr">
        <is>
          <t>UPPSALA LÄN</t>
        </is>
      </c>
      <c r="E1560" t="inlineStr">
        <is>
          <t>UPPSALA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39007-2024</t>
        </is>
      </c>
      <c r="B1561" s="1" t="n">
        <v>45548</v>
      </c>
      <c r="C1561" s="1" t="n">
        <v>45783</v>
      </c>
      <c r="D1561" t="inlineStr">
        <is>
          <t>UPPSALA LÄN</t>
        </is>
      </c>
      <c r="E1561" t="inlineStr">
        <is>
          <t>UPPSALA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39359-2024</t>
        </is>
      </c>
      <c r="B1562" s="1" t="n">
        <v>45551</v>
      </c>
      <c r="C1562" s="1" t="n">
        <v>45783</v>
      </c>
      <c r="D1562" t="inlineStr">
        <is>
          <t>UPPSALA LÄN</t>
        </is>
      </c>
      <c r="E1562" t="inlineStr">
        <is>
          <t>UPPSALA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39818-2024</t>
        </is>
      </c>
      <c r="B1563" s="1" t="n">
        <v>45552</v>
      </c>
      <c r="C1563" s="1" t="n">
        <v>45783</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39812-2024</t>
        </is>
      </c>
      <c r="B1564" s="1" t="n">
        <v>45552</v>
      </c>
      <c r="C1564" s="1" t="n">
        <v>45783</v>
      </c>
      <c r="D1564" t="inlineStr">
        <is>
          <t>UPPSALA LÄN</t>
        </is>
      </c>
      <c r="E1564" t="inlineStr">
        <is>
          <t>UPPSALA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39926-2024</t>
        </is>
      </c>
      <c r="B1565" s="1" t="n">
        <v>45553</v>
      </c>
      <c r="C1565" s="1" t="n">
        <v>45783</v>
      </c>
      <c r="D1565" t="inlineStr">
        <is>
          <t>UPPSALA LÄN</t>
        </is>
      </c>
      <c r="E1565" t="inlineStr">
        <is>
          <t>UPPSALA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40111-2024</t>
        </is>
      </c>
      <c r="B1566" s="1" t="n">
        <v>45554</v>
      </c>
      <c r="C1566" s="1" t="n">
        <v>45783</v>
      </c>
      <c r="D1566" t="inlineStr">
        <is>
          <t>UPPSALA LÄN</t>
        </is>
      </c>
      <c r="E1566" t="inlineStr">
        <is>
          <t>UPPSALA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40326-2024</t>
        </is>
      </c>
      <c r="B1567" s="1" t="n">
        <v>45554</v>
      </c>
      <c r="C1567" s="1" t="n">
        <v>45783</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40491-2024</t>
        </is>
      </c>
      <c r="B1568" s="1" t="n">
        <v>45555</v>
      </c>
      <c r="C1568" s="1" t="n">
        <v>45783</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40503-2024</t>
        </is>
      </c>
      <c r="B1569" s="1" t="n">
        <v>45555</v>
      </c>
      <c r="C1569" s="1" t="n">
        <v>45783</v>
      </c>
      <c r="D1569" t="inlineStr">
        <is>
          <t>UPPSALA LÄN</t>
        </is>
      </c>
      <c r="E1569" t="inlineStr">
        <is>
          <t>UPPSALA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40701-2024</t>
        </is>
      </c>
      <c r="B1570" s="1" t="n">
        <v>45558</v>
      </c>
      <c r="C1570" s="1" t="n">
        <v>45783</v>
      </c>
      <c r="D1570" t="inlineStr">
        <is>
          <t>UPPSALA LÄN</t>
        </is>
      </c>
      <c r="E1570" t="inlineStr">
        <is>
          <t>UPPSALA</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40753-2024</t>
        </is>
      </c>
      <c r="B1571" s="1" t="n">
        <v>45558</v>
      </c>
      <c r="C1571" s="1" t="n">
        <v>45783</v>
      </c>
      <c r="D1571" t="inlineStr">
        <is>
          <t>UPPSALA LÄN</t>
        </is>
      </c>
      <c r="E1571" t="inlineStr">
        <is>
          <t>UPPSALA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42276-2024</t>
        </is>
      </c>
      <c r="B1572" s="1" t="n">
        <v>45562</v>
      </c>
      <c r="C1572" s="1" t="n">
        <v>45783</v>
      </c>
      <c r="D1572" t="inlineStr">
        <is>
          <t>UPPSALA LÄN</t>
        </is>
      </c>
      <c r="E1572" t="inlineStr">
        <is>
          <t>UPPSALA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42146-2024</t>
        </is>
      </c>
      <c r="B1573" s="1" t="n">
        <v>45562</v>
      </c>
      <c r="C1573" s="1" t="n">
        <v>45783</v>
      </c>
      <c r="D1573" t="inlineStr">
        <is>
          <t>UPPSALA LÄN</t>
        </is>
      </c>
      <c r="E1573" t="inlineStr">
        <is>
          <t>UPPSALA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42259-2024</t>
        </is>
      </c>
      <c r="B1574" s="1" t="n">
        <v>45562</v>
      </c>
      <c r="C1574" s="1" t="n">
        <v>45783</v>
      </c>
      <c r="D1574" t="inlineStr">
        <is>
          <t>UPPSALA LÄN</t>
        </is>
      </c>
      <c r="E1574" t="inlineStr">
        <is>
          <t>UPPSALA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42143-2024</t>
        </is>
      </c>
      <c r="B1575" s="1" t="n">
        <v>45562</v>
      </c>
      <c r="C1575" s="1" t="n">
        <v>45783</v>
      </c>
      <c r="D1575" t="inlineStr">
        <is>
          <t>UPPSALA LÄN</t>
        </is>
      </c>
      <c r="E1575" t="inlineStr">
        <is>
          <t>UPPSALA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43361-2024</t>
        </is>
      </c>
      <c r="B1576" s="1" t="n">
        <v>45568</v>
      </c>
      <c r="C1576" s="1" t="n">
        <v>45783</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43959-2024</t>
        </is>
      </c>
      <c r="B1577" s="1" t="n">
        <v>45572</v>
      </c>
      <c r="C1577" s="1" t="n">
        <v>45783</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43960-2024</t>
        </is>
      </c>
      <c r="B1578" s="1" t="n">
        <v>45572</v>
      </c>
      <c r="C1578" s="1" t="n">
        <v>45783</v>
      </c>
      <c r="D1578" t="inlineStr">
        <is>
          <t>UPPSALA LÄN</t>
        </is>
      </c>
      <c r="E1578" t="inlineStr">
        <is>
          <t>UPPSALA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43951-2024</t>
        </is>
      </c>
      <c r="B1579" s="1" t="n">
        <v>45572</v>
      </c>
      <c r="C1579" s="1" t="n">
        <v>45783</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44562-2024</t>
        </is>
      </c>
      <c r="B1580" s="1" t="n">
        <v>45574</v>
      </c>
      <c r="C1580" s="1" t="n">
        <v>45783</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44550-2024</t>
        </is>
      </c>
      <c r="B1581" s="1" t="n">
        <v>45574</v>
      </c>
      <c r="C1581" s="1" t="n">
        <v>45783</v>
      </c>
      <c r="D1581" t="inlineStr">
        <is>
          <t>UPPSALA LÄN</t>
        </is>
      </c>
      <c r="E1581" t="inlineStr">
        <is>
          <t>UPPSALA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44563-2024</t>
        </is>
      </c>
      <c r="B1582" s="1" t="n">
        <v>45574</v>
      </c>
      <c r="C1582" s="1" t="n">
        <v>45783</v>
      </c>
      <c r="D1582" t="inlineStr">
        <is>
          <t>UPPSALA LÄN</t>
        </is>
      </c>
      <c r="E1582" t="inlineStr">
        <is>
          <t>UPPSALA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44847-2024</t>
        </is>
      </c>
      <c r="B1583" s="1" t="n">
        <v>45574</v>
      </c>
      <c r="C1583" s="1" t="n">
        <v>45783</v>
      </c>
      <c r="D1583" t="inlineStr">
        <is>
          <t>UPPSALA LÄN</t>
        </is>
      </c>
      <c r="E1583" t="inlineStr">
        <is>
          <t>UPPSALA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44560-2024</t>
        </is>
      </c>
      <c r="B1584" s="1" t="n">
        <v>45574</v>
      </c>
      <c r="C1584" s="1" t="n">
        <v>45783</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44946-2024</t>
        </is>
      </c>
      <c r="B1585" s="1" t="n">
        <v>45575</v>
      </c>
      <c r="C1585" s="1" t="n">
        <v>45783</v>
      </c>
      <c r="D1585" t="inlineStr">
        <is>
          <t>UPPSALA LÄN</t>
        </is>
      </c>
      <c r="E1585" t="inlineStr">
        <is>
          <t>UPPSALA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45878-2024</t>
        </is>
      </c>
      <c r="B1586" s="1" t="n">
        <v>45580</v>
      </c>
      <c r="C1586" s="1" t="n">
        <v>45783</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46728-2024</t>
        </is>
      </c>
      <c r="B1587" s="1" t="n">
        <v>45583</v>
      </c>
      <c r="C1587" s="1" t="n">
        <v>45783</v>
      </c>
      <c r="D1587" t="inlineStr">
        <is>
          <t>UPPSALA LÄN</t>
        </is>
      </c>
      <c r="E1587" t="inlineStr">
        <is>
          <t>UPPSALA</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46796-2024</t>
        </is>
      </c>
      <c r="B1588" s="1" t="n">
        <v>45583</v>
      </c>
      <c r="C1588" s="1" t="n">
        <v>45783</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46745-2024</t>
        </is>
      </c>
      <c r="B1589" s="1" t="n">
        <v>45583</v>
      </c>
      <c r="C1589" s="1" t="n">
        <v>45783</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46743-2024</t>
        </is>
      </c>
      <c r="B1590" s="1" t="n">
        <v>45583</v>
      </c>
      <c r="C1590" s="1" t="n">
        <v>45783</v>
      </c>
      <c r="D1590" t="inlineStr">
        <is>
          <t>UPPSALA LÄN</t>
        </is>
      </c>
      <c r="E1590" t="inlineStr">
        <is>
          <t>UPPSALA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46751-2024</t>
        </is>
      </c>
      <c r="B1591" s="1" t="n">
        <v>45583</v>
      </c>
      <c r="C1591" s="1" t="n">
        <v>45783</v>
      </c>
      <c r="D1591" t="inlineStr">
        <is>
          <t>UPPSALA LÄN</t>
        </is>
      </c>
      <c r="E1591" t="inlineStr">
        <is>
          <t>UPPSALA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46794-2024</t>
        </is>
      </c>
      <c r="B1592" s="1" t="n">
        <v>45583</v>
      </c>
      <c r="C1592" s="1" t="n">
        <v>45783</v>
      </c>
      <c r="D1592" t="inlineStr">
        <is>
          <t>UPPSALA LÄN</t>
        </is>
      </c>
      <c r="E1592" t="inlineStr">
        <is>
          <t>UPPSALA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46791-2024</t>
        </is>
      </c>
      <c r="B1593" s="1" t="n">
        <v>45583</v>
      </c>
      <c r="C1593" s="1" t="n">
        <v>45783</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46730-2024</t>
        </is>
      </c>
      <c r="B1594" s="1" t="n">
        <v>45583</v>
      </c>
      <c r="C1594" s="1" t="n">
        <v>45783</v>
      </c>
      <c r="D1594" t="inlineStr">
        <is>
          <t>UPPSALA LÄN</t>
        </is>
      </c>
      <c r="E1594" t="inlineStr">
        <is>
          <t>UPPSALA</t>
        </is>
      </c>
      <c r="F1594" t="inlineStr">
        <is>
          <t>Sveaskog</t>
        </is>
      </c>
      <c r="G1594" t="n">
        <v>6.5</v>
      </c>
      <c r="H1594" t="n">
        <v>0</v>
      </c>
      <c r="I1594" t="n">
        <v>0</v>
      </c>
      <c r="J1594" t="n">
        <v>0</v>
      </c>
      <c r="K1594" t="n">
        <v>0</v>
      </c>
      <c r="L1594" t="n">
        <v>0</v>
      </c>
      <c r="M1594" t="n">
        <v>0</v>
      </c>
      <c r="N1594" t="n">
        <v>0</v>
      </c>
      <c r="O1594" t="n">
        <v>0</v>
      </c>
      <c r="P1594" t="n">
        <v>0</v>
      </c>
      <c r="Q1594" t="n">
        <v>0</v>
      </c>
      <c r="R1594" s="2" t="inlineStr"/>
      <c r="U1594">
        <f>HYPERLINK("https://klasma.github.io/Logging_0380/knärot/A 46730-2024 karta knärot.png", "A 46730-2024")</f>
        <v/>
      </c>
      <c r="V1594">
        <f>HYPERLINK("https://klasma.github.io/Logging_0380/klagomål/A 46730-2024 FSC-klagomål.docx", "A 46730-2024")</f>
        <v/>
      </c>
      <c r="W1594">
        <f>HYPERLINK("https://klasma.github.io/Logging_0380/klagomålsmail/A 46730-2024 FSC-klagomål mail.docx", "A 46730-2024")</f>
        <v/>
      </c>
      <c r="X1594">
        <f>HYPERLINK("https://klasma.github.io/Logging_0380/tillsyn/A 46730-2024 tillsynsbegäran.docx", "A 46730-2024")</f>
        <v/>
      </c>
      <c r="Y1594">
        <f>HYPERLINK("https://klasma.github.io/Logging_0380/tillsynsmail/A 46730-2024 tillsynsbegäran mail.docx", "A 46730-2024")</f>
        <v/>
      </c>
    </row>
    <row r="1595" ht="15" customHeight="1">
      <c r="A1595" t="inlineStr">
        <is>
          <t>A 46821-2024</t>
        </is>
      </c>
      <c r="B1595" s="1" t="n">
        <v>45583</v>
      </c>
      <c r="C1595" s="1" t="n">
        <v>45783</v>
      </c>
      <c r="D1595" t="inlineStr">
        <is>
          <t>UPPSALA LÄN</t>
        </is>
      </c>
      <c r="E1595" t="inlineStr">
        <is>
          <t>UPPSALA</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46748-2024</t>
        </is>
      </c>
      <c r="B1596" s="1" t="n">
        <v>45583</v>
      </c>
      <c r="C1596" s="1" t="n">
        <v>45783</v>
      </c>
      <c r="D1596" t="inlineStr">
        <is>
          <t>UPPSALA LÄN</t>
        </is>
      </c>
      <c r="E1596" t="inlineStr">
        <is>
          <t>UPPSALA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46700-2024</t>
        </is>
      </c>
      <c r="B1597" s="1" t="n">
        <v>45583</v>
      </c>
      <c r="C1597" s="1" t="n">
        <v>45783</v>
      </c>
      <c r="D1597" t="inlineStr">
        <is>
          <t>UPPSALA LÄN</t>
        </is>
      </c>
      <c r="E1597" t="inlineStr">
        <is>
          <t>UPPSALA</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46925-2024</t>
        </is>
      </c>
      <c r="B1598" s="1" t="n">
        <v>45584</v>
      </c>
      <c r="C1598" s="1" t="n">
        <v>45783</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47169-2024</t>
        </is>
      </c>
      <c r="B1599" s="1" t="n">
        <v>45586</v>
      </c>
      <c r="C1599" s="1" t="n">
        <v>45783</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47052-2024</t>
        </is>
      </c>
      <c r="B1600" s="1" t="n">
        <v>45586</v>
      </c>
      <c r="C1600" s="1" t="n">
        <v>45783</v>
      </c>
      <c r="D1600" t="inlineStr">
        <is>
          <t>UPPSALA LÄN</t>
        </is>
      </c>
      <c r="E1600" t="inlineStr">
        <is>
          <t>UPPSALA</t>
        </is>
      </c>
      <c r="F1600" t="inlineStr">
        <is>
          <t>Holmen skog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47288-2024</t>
        </is>
      </c>
      <c r="B1601" s="1" t="n">
        <v>45587</v>
      </c>
      <c r="C1601" s="1" t="n">
        <v>45783</v>
      </c>
      <c r="D1601" t="inlineStr">
        <is>
          <t>UPPSALA LÄN</t>
        </is>
      </c>
      <c r="E1601" t="inlineStr">
        <is>
          <t>UPPSALA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48154-2024</t>
        </is>
      </c>
      <c r="B1602" s="1" t="n">
        <v>45589</v>
      </c>
      <c r="C1602" s="1" t="n">
        <v>45783</v>
      </c>
      <c r="D1602" t="inlineStr">
        <is>
          <t>UPPSALA LÄN</t>
        </is>
      </c>
      <c r="E1602" t="inlineStr">
        <is>
          <t>UPPSALA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48153-2024</t>
        </is>
      </c>
      <c r="B1603" s="1" t="n">
        <v>45589</v>
      </c>
      <c r="C1603" s="1" t="n">
        <v>45783</v>
      </c>
      <c r="D1603" t="inlineStr">
        <is>
          <t>UPPSALA LÄN</t>
        </is>
      </c>
      <c r="E1603" t="inlineStr">
        <is>
          <t>UPPSALA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48073-2024</t>
        </is>
      </c>
      <c r="B1604" s="1" t="n">
        <v>45589</v>
      </c>
      <c r="C1604" s="1" t="n">
        <v>45783</v>
      </c>
      <c r="D1604" t="inlineStr">
        <is>
          <t>UPPSALA LÄN</t>
        </is>
      </c>
      <c r="E1604" t="inlineStr">
        <is>
          <t>UPPSALA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49158-2024</t>
        </is>
      </c>
      <c r="B1605" s="1" t="n">
        <v>45594</v>
      </c>
      <c r="C1605" s="1" t="n">
        <v>45783</v>
      </c>
      <c r="D1605" t="inlineStr">
        <is>
          <t>UPPSALA LÄN</t>
        </is>
      </c>
      <c r="E1605" t="inlineStr">
        <is>
          <t>UPPSALA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49012-2024</t>
        </is>
      </c>
      <c r="B1606" s="1" t="n">
        <v>45594</v>
      </c>
      <c r="C1606" s="1" t="n">
        <v>45783</v>
      </c>
      <c r="D1606" t="inlineStr">
        <is>
          <t>UPPSALA LÄN</t>
        </is>
      </c>
      <c r="E1606" t="inlineStr">
        <is>
          <t>UPPSALA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49050-2024</t>
        </is>
      </c>
      <c r="B1607" s="1" t="n">
        <v>45594</v>
      </c>
      <c r="C1607" s="1" t="n">
        <v>45783</v>
      </c>
      <c r="D1607" t="inlineStr">
        <is>
          <t>UPPSALA LÄN</t>
        </is>
      </c>
      <c r="E1607" t="inlineStr">
        <is>
          <t>UPPSALA</t>
        </is>
      </c>
      <c r="F1607" t="inlineStr">
        <is>
          <t>Övriga statliga verk och myndigheter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49180-2024</t>
        </is>
      </c>
      <c r="B1608" s="1" t="n">
        <v>45595</v>
      </c>
      <c r="C1608" s="1" t="n">
        <v>45783</v>
      </c>
      <c r="D1608" t="inlineStr">
        <is>
          <t>UPPSALA LÄN</t>
        </is>
      </c>
      <c r="E1608" t="inlineStr">
        <is>
          <t>UPPSALA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50037-2024</t>
        </is>
      </c>
      <c r="B1609" s="1" t="n">
        <v>45599</v>
      </c>
      <c r="C1609" s="1" t="n">
        <v>45783</v>
      </c>
      <c r="D1609" t="inlineStr">
        <is>
          <t>UPPSALA LÄN</t>
        </is>
      </c>
      <c r="E1609" t="inlineStr">
        <is>
          <t>UPPSALA</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50535-2024</t>
        </is>
      </c>
      <c r="B1610" s="1" t="n">
        <v>45600</v>
      </c>
      <c r="C1610" s="1" t="n">
        <v>45783</v>
      </c>
      <c r="D1610" t="inlineStr">
        <is>
          <t>UPPSALA LÄN</t>
        </is>
      </c>
      <c r="E1610" t="inlineStr">
        <is>
          <t>UPPSALA</t>
        </is>
      </c>
      <c r="F1610" t="inlineStr">
        <is>
          <t>Övriga statliga verk och myndigheter</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50196-2024</t>
        </is>
      </c>
      <c r="B1611" s="1" t="n">
        <v>45600</v>
      </c>
      <c r="C1611" s="1" t="n">
        <v>45783</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50463-2024</t>
        </is>
      </c>
      <c r="B1612" s="1" t="n">
        <v>45601</v>
      </c>
      <c r="C1612" s="1" t="n">
        <v>45783</v>
      </c>
      <c r="D1612" t="inlineStr">
        <is>
          <t>UPPSALA LÄN</t>
        </is>
      </c>
      <c r="E1612" t="inlineStr">
        <is>
          <t>UPPSALA</t>
        </is>
      </c>
      <c r="F1612" t="inlineStr">
        <is>
          <t>Allmännings- och besparingsskogar</t>
        </is>
      </c>
      <c r="G1612" t="n">
        <v>12.6</v>
      </c>
      <c r="H1612" t="n">
        <v>0</v>
      </c>
      <c r="I1612" t="n">
        <v>0</v>
      </c>
      <c r="J1612" t="n">
        <v>0</v>
      </c>
      <c r="K1612" t="n">
        <v>0</v>
      </c>
      <c r="L1612" t="n">
        <v>0</v>
      </c>
      <c r="M1612" t="n">
        <v>0</v>
      </c>
      <c r="N1612" t="n">
        <v>0</v>
      </c>
      <c r="O1612" t="n">
        <v>0</v>
      </c>
      <c r="P1612" t="n">
        <v>0</v>
      </c>
      <c r="Q1612" t="n">
        <v>0</v>
      </c>
      <c r="R1612" s="2" t="inlineStr"/>
    </row>
    <row r="1613" ht="15" customHeight="1">
      <c r="A1613" t="inlineStr">
        <is>
          <t>A 50669-2024</t>
        </is>
      </c>
      <c r="B1613" s="1" t="n">
        <v>45601</v>
      </c>
      <c r="C1613" s="1" t="n">
        <v>45783</v>
      </c>
      <c r="D1613" t="inlineStr">
        <is>
          <t>UPPSALA LÄN</t>
        </is>
      </c>
      <c r="E1613" t="inlineStr">
        <is>
          <t>UPPSALA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50834-2024</t>
        </is>
      </c>
      <c r="B1614" s="1" t="n">
        <v>45602</v>
      </c>
      <c r="C1614" s="1" t="n">
        <v>45783</v>
      </c>
      <c r="D1614" t="inlineStr">
        <is>
          <t>UPPSALA LÄN</t>
        </is>
      </c>
      <c r="E1614" t="inlineStr">
        <is>
          <t>UPPSALA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51482-2024</t>
        </is>
      </c>
      <c r="B1615" s="1" t="n">
        <v>45604</v>
      </c>
      <c r="C1615" s="1" t="n">
        <v>45783</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51483-2024</t>
        </is>
      </c>
      <c r="B1616" s="1" t="n">
        <v>45604</v>
      </c>
      <c r="C1616" s="1" t="n">
        <v>45783</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51485-2024</t>
        </is>
      </c>
      <c r="B1617" s="1" t="n">
        <v>45604</v>
      </c>
      <c r="C1617" s="1" t="n">
        <v>45783</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52197-2024</t>
        </is>
      </c>
      <c r="B1618" s="1" t="n">
        <v>45608</v>
      </c>
      <c r="C1618" s="1" t="n">
        <v>45783</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52094-2024</t>
        </is>
      </c>
      <c r="B1619" s="1" t="n">
        <v>45608</v>
      </c>
      <c r="C1619" s="1" t="n">
        <v>45783</v>
      </c>
      <c r="D1619" t="inlineStr">
        <is>
          <t>UPPSALA LÄN</t>
        </is>
      </c>
      <c r="E1619" t="inlineStr">
        <is>
          <t>UPPSALA</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52093-2024</t>
        </is>
      </c>
      <c r="B1620" s="1" t="n">
        <v>45608</v>
      </c>
      <c r="C1620" s="1" t="n">
        <v>45783</v>
      </c>
      <c r="D1620" t="inlineStr">
        <is>
          <t>UPPSALA LÄN</t>
        </is>
      </c>
      <c r="E1620" t="inlineStr">
        <is>
          <t>UPPSALA</t>
        </is>
      </c>
      <c r="F1620" t="inlineStr">
        <is>
          <t>Bergvik skog öst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52456-2024</t>
        </is>
      </c>
      <c r="B1621" s="1" t="n">
        <v>45609</v>
      </c>
      <c r="C1621" s="1" t="n">
        <v>45783</v>
      </c>
      <c r="D1621" t="inlineStr">
        <is>
          <t>UPPSALA LÄN</t>
        </is>
      </c>
      <c r="E1621" t="inlineStr">
        <is>
          <t>UPPSALA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52466-2024</t>
        </is>
      </c>
      <c r="B1622" s="1" t="n">
        <v>45609</v>
      </c>
      <c r="C1622" s="1" t="n">
        <v>45783</v>
      </c>
      <c r="D1622" t="inlineStr">
        <is>
          <t>UPPSALA LÄN</t>
        </is>
      </c>
      <c r="E1622" t="inlineStr">
        <is>
          <t>UPPSALA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53614-2024</t>
        </is>
      </c>
      <c r="B1623" s="1" t="n">
        <v>45611</v>
      </c>
      <c r="C1623" s="1" t="n">
        <v>45783</v>
      </c>
      <c r="D1623" t="inlineStr">
        <is>
          <t>UPPSALA LÄN</t>
        </is>
      </c>
      <c r="E1623" t="inlineStr">
        <is>
          <t>UPPSALA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53058-2024</t>
        </is>
      </c>
      <c r="B1624" s="1" t="n">
        <v>45611</v>
      </c>
      <c r="C1624" s="1" t="n">
        <v>45783</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53615-2024</t>
        </is>
      </c>
      <c r="B1625" s="1" t="n">
        <v>45611</v>
      </c>
      <c r="C1625" s="1" t="n">
        <v>45783</v>
      </c>
      <c r="D1625" t="inlineStr">
        <is>
          <t>UPPSALA LÄN</t>
        </is>
      </c>
      <c r="E1625" t="inlineStr">
        <is>
          <t>UPPSALA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53365-2024</t>
        </is>
      </c>
      <c r="B1626" s="1" t="n">
        <v>45614</v>
      </c>
      <c r="C1626" s="1" t="n">
        <v>45783</v>
      </c>
      <c r="D1626" t="inlineStr">
        <is>
          <t>UPPSALA LÄN</t>
        </is>
      </c>
      <c r="E1626" t="inlineStr">
        <is>
          <t>UPPSALA</t>
        </is>
      </c>
      <c r="F1626" t="inlineStr">
        <is>
          <t>Allmännings- och besparingsskogar</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53588-2024</t>
        </is>
      </c>
      <c r="B1627" s="1" t="n">
        <v>45614</v>
      </c>
      <c r="C1627" s="1" t="n">
        <v>45783</v>
      </c>
      <c r="D1627" t="inlineStr">
        <is>
          <t>UPPSALA LÄN</t>
        </is>
      </c>
      <c r="E1627" t="inlineStr">
        <is>
          <t>UPPSALA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53589-2024</t>
        </is>
      </c>
      <c r="B1628" s="1" t="n">
        <v>45614</v>
      </c>
      <c r="C1628" s="1" t="n">
        <v>45783</v>
      </c>
      <c r="D1628" t="inlineStr">
        <is>
          <t>UPPSALA LÄN</t>
        </is>
      </c>
      <c r="E1628" t="inlineStr">
        <is>
          <t>UPPSALA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53569-2024</t>
        </is>
      </c>
      <c r="B1629" s="1" t="n">
        <v>45614</v>
      </c>
      <c r="C1629" s="1" t="n">
        <v>45783</v>
      </c>
      <c r="D1629" t="inlineStr">
        <is>
          <t>UPPSALA LÄN</t>
        </is>
      </c>
      <c r="E1629" t="inlineStr">
        <is>
          <t>UPPSALA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53384-2024</t>
        </is>
      </c>
      <c r="B1630" s="1" t="n">
        <v>45614</v>
      </c>
      <c r="C1630" s="1" t="n">
        <v>45783</v>
      </c>
      <c r="D1630" t="inlineStr">
        <is>
          <t>UPPSALA LÄN</t>
        </is>
      </c>
      <c r="E1630" t="inlineStr">
        <is>
          <t>UPPSALA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53266-2024</t>
        </is>
      </c>
      <c r="B1631" s="1" t="n">
        <v>45614</v>
      </c>
      <c r="C1631" s="1" t="n">
        <v>45783</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53921-2024</t>
        </is>
      </c>
      <c r="B1632" s="1" t="n">
        <v>45615</v>
      </c>
      <c r="C1632" s="1" t="n">
        <v>45783</v>
      </c>
      <c r="D1632" t="inlineStr">
        <is>
          <t>UPPSALA LÄN</t>
        </is>
      </c>
      <c r="E1632" t="inlineStr">
        <is>
          <t>UPPSALA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54512-2024</t>
        </is>
      </c>
      <c r="B1633" s="1" t="n">
        <v>45617</v>
      </c>
      <c r="C1633" s="1" t="n">
        <v>45783</v>
      </c>
      <c r="D1633" t="inlineStr">
        <is>
          <t>UPPSALA LÄN</t>
        </is>
      </c>
      <c r="E1633" t="inlineStr">
        <is>
          <t>UPPSALA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54924-2024</t>
        </is>
      </c>
      <c r="B1634" s="1" t="n">
        <v>45618</v>
      </c>
      <c r="C1634" s="1" t="n">
        <v>45783</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56050-2024</t>
        </is>
      </c>
      <c r="B1635" s="1" t="n">
        <v>45624</v>
      </c>
      <c r="C1635" s="1" t="n">
        <v>45783</v>
      </c>
      <c r="D1635" t="inlineStr">
        <is>
          <t>UPPSALA LÄN</t>
        </is>
      </c>
      <c r="E1635" t="inlineStr">
        <is>
          <t>UPPSALA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56067-2024</t>
        </is>
      </c>
      <c r="B1636" s="1" t="n">
        <v>45624</v>
      </c>
      <c r="C1636" s="1" t="n">
        <v>45783</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56084-2024</t>
        </is>
      </c>
      <c r="B1637" s="1" t="n">
        <v>45624</v>
      </c>
      <c r="C1637" s="1" t="n">
        <v>45783</v>
      </c>
      <c r="D1637" t="inlineStr">
        <is>
          <t>UPPSALA LÄN</t>
        </is>
      </c>
      <c r="E1637" t="inlineStr">
        <is>
          <t>UPPSALA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56564-2024</t>
        </is>
      </c>
      <c r="B1638" s="1" t="n">
        <v>45625</v>
      </c>
      <c r="C1638" s="1" t="n">
        <v>45783</v>
      </c>
      <c r="D1638" t="inlineStr">
        <is>
          <t>UPPSALA LÄN</t>
        </is>
      </c>
      <c r="E1638" t="inlineStr">
        <is>
          <t>UPPSALA</t>
        </is>
      </c>
      <c r="F1638" t="inlineStr">
        <is>
          <t>Övriga Aktiebolag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57614-2024</t>
        </is>
      </c>
      <c r="B1639" s="1" t="n">
        <v>45630</v>
      </c>
      <c r="C1639" s="1" t="n">
        <v>45783</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57618-2024</t>
        </is>
      </c>
      <c r="B1640" s="1" t="n">
        <v>45630</v>
      </c>
      <c r="C1640" s="1" t="n">
        <v>45783</v>
      </c>
      <c r="D1640" t="inlineStr">
        <is>
          <t>UPPSALA LÄN</t>
        </is>
      </c>
      <c r="E1640" t="inlineStr">
        <is>
          <t>UPPSALA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57643-2024</t>
        </is>
      </c>
      <c r="B1641" s="1" t="n">
        <v>45630</v>
      </c>
      <c r="C1641" s="1" t="n">
        <v>45783</v>
      </c>
      <c r="D1641" t="inlineStr">
        <is>
          <t>UPPSALA LÄN</t>
        </is>
      </c>
      <c r="E1641" t="inlineStr">
        <is>
          <t>UPPSALA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57871-2024</t>
        </is>
      </c>
      <c r="B1642" s="1" t="n">
        <v>45631</v>
      </c>
      <c r="C1642" s="1" t="n">
        <v>45783</v>
      </c>
      <c r="D1642" t="inlineStr">
        <is>
          <t>UPPSALA LÄN</t>
        </is>
      </c>
      <c r="E1642" t="inlineStr">
        <is>
          <t>UPPSALA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58187-2024</t>
        </is>
      </c>
      <c r="B1643" s="1" t="n">
        <v>45632</v>
      </c>
      <c r="C1643" s="1" t="n">
        <v>45783</v>
      </c>
      <c r="D1643" t="inlineStr">
        <is>
          <t>UPPSALA LÄN</t>
        </is>
      </c>
      <c r="E1643" t="inlineStr">
        <is>
          <t>UPPSALA</t>
        </is>
      </c>
      <c r="F1643" t="inlineStr">
        <is>
          <t>Bergvik skog väst AB</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58188-2024</t>
        </is>
      </c>
      <c r="B1644" s="1" t="n">
        <v>45632</v>
      </c>
      <c r="C1644" s="1" t="n">
        <v>45783</v>
      </c>
      <c r="D1644" t="inlineStr">
        <is>
          <t>UPPSALA LÄN</t>
        </is>
      </c>
      <c r="E1644" t="inlineStr">
        <is>
          <t>UPPSALA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59098-2024</t>
        </is>
      </c>
      <c r="B1645" s="1" t="n">
        <v>45636</v>
      </c>
      <c r="C1645" s="1" t="n">
        <v>45783</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59114-2024</t>
        </is>
      </c>
      <c r="B1646" s="1" t="n">
        <v>45637</v>
      </c>
      <c r="C1646" s="1" t="n">
        <v>45783</v>
      </c>
      <c r="D1646" t="inlineStr">
        <is>
          <t>UPPSALA LÄN</t>
        </is>
      </c>
      <c r="E1646" t="inlineStr">
        <is>
          <t>UPPSALA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59116-2024</t>
        </is>
      </c>
      <c r="B1647" s="1" t="n">
        <v>45637</v>
      </c>
      <c r="C1647" s="1" t="n">
        <v>45783</v>
      </c>
      <c r="D1647" t="inlineStr">
        <is>
          <t>UPPSALA LÄN</t>
        </is>
      </c>
      <c r="E1647" t="inlineStr">
        <is>
          <t>UPPSALA</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59158-2024</t>
        </is>
      </c>
      <c r="B1648" s="1" t="n">
        <v>45637</v>
      </c>
      <c r="C1648" s="1" t="n">
        <v>45783</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59358-2024</t>
        </is>
      </c>
      <c r="B1649" s="1" t="n">
        <v>45638</v>
      </c>
      <c r="C1649" s="1" t="n">
        <v>45783</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59549-2024</t>
        </is>
      </c>
      <c r="B1650" s="1" t="n">
        <v>45638</v>
      </c>
      <c r="C1650" s="1" t="n">
        <v>45783</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59562-2024</t>
        </is>
      </c>
      <c r="B1651" s="1" t="n">
        <v>45638</v>
      </c>
      <c r="C1651" s="1" t="n">
        <v>45783</v>
      </c>
      <c r="D1651" t="inlineStr">
        <is>
          <t>UPPSALA LÄN</t>
        </is>
      </c>
      <c r="E1651" t="inlineStr">
        <is>
          <t>UPPSALA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59547-2024</t>
        </is>
      </c>
      <c r="B1652" s="1" t="n">
        <v>45638</v>
      </c>
      <c r="C1652" s="1" t="n">
        <v>45783</v>
      </c>
      <c r="D1652" t="inlineStr">
        <is>
          <t>UPPSALA LÄN</t>
        </is>
      </c>
      <c r="E1652" t="inlineStr">
        <is>
          <t>UPPSALA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59587-2024</t>
        </is>
      </c>
      <c r="B1653" s="1" t="n">
        <v>45638</v>
      </c>
      <c r="C1653" s="1" t="n">
        <v>45783</v>
      </c>
      <c r="D1653" t="inlineStr">
        <is>
          <t>UPPSALA LÄN</t>
        </is>
      </c>
      <c r="E1653" t="inlineStr">
        <is>
          <t>UPPSALA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60167-2024</t>
        </is>
      </c>
      <c r="B1654" s="1" t="n">
        <v>45642</v>
      </c>
      <c r="C1654" s="1" t="n">
        <v>45783</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60003-2024</t>
        </is>
      </c>
      <c r="B1655" s="1" t="n">
        <v>45642</v>
      </c>
      <c r="C1655" s="1" t="n">
        <v>45783</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59996-2024</t>
        </is>
      </c>
      <c r="B1656" s="1" t="n">
        <v>45642</v>
      </c>
      <c r="C1656" s="1" t="n">
        <v>45783</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60445-2024</t>
        </is>
      </c>
      <c r="B1657" s="1" t="n">
        <v>45643</v>
      </c>
      <c r="C1657" s="1" t="n">
        <v>45783</v>
      </c>
      <c r="D1657" t="inlineStr">
        <is>
          <t>UPPSALA LÄN</t>
        </is>
      </c>
      <c r="E1657" t="inlineStr">
        <is>
          <t>UPPSALA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60698-2024</t>
        </is>
      </c>
      <c r="B1658" s="1" t="n">
        <v>45644</v>
      </c>
      <c r="C1658" s="1" t="n">
        <v>45783</v>
      </c>
      <c r="D1658" t="inlineStr">
        <is>
          <t>UPPSALA LÄN</t>
        </is>
      </c>
      <c r="E1658" t="inlineStr">
        <is>
          <t>UPPSALA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60735-2024</t>
        </is>
      </c>
      <c r="B1659" s="1" t="n">
        <v>45644</v>
      </c>
      <c r="C1659" s="1" t="n">
        <v>45783</v>
      </c>
      <c r="D1659" t="inlineStr">
        <is>
          <t>UPPSALA LÄN</t>
        </is>
      </c>
      <c r="E1659" t="inlineStr">
        <is>
          <t>UPPSALA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60807-2024</t>
        </is>
      </c>
      <c r="B1660" s="1" t="n">
        <v>45644</v>
      </c>
      <c r="C1660" s="1" t="n">
        <v>45783</v>
      </c>
      <c r="D1660" t="inlineStr">
        <is>
          <t>UPPSALA LÄN</t>
        </is>
      </c>
      <c r="E1660" t="inlineStr">
        <is>
          <t>UPPSALA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60820-2024</t>
        </is>
      </c>
      <c r="B1661" s="1" t="n">
        <v>45644</v>
      </c>
      <c r="C1661" s="1" t="n">
        <v>45783</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60729-2024</t>
        </is>
      </c>
      <c r="B1662" s="1" t="n">
        <v>45644</v>
      </c>
      <c r="C1662" s="1" t="n">
        <v>45783</v>
      </c>
      <c r="D1662" t="inlineStr">
        <is>
          <t>UPPSALA LÄN</t>
        </is>
      </c>
      <c r="E1662" t="inlineStr">
        <is>
          <t>UPPSALA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60691-2024</t>
        </is>
      </c>
      <c r="B1663" s="1" t="n">
        <v>45644</v>
      </c>
      <c r="C1663" s="1" t="n">
        <v>45783</v>
      </c>
      <c r="D1663" t="inlineStr">
        <is>
          <t>UPPSALA LÄN</t>
        </is>
      </c>
      <c r="E1663" t="inlineStr">
        <is>
          <t>UPPSALA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60811-2024</t>
        </is>
      </c>
      <c r="B1664" s="1" t="n">
        <v>45644</v>
      </c>
      <c r="C1664" s="1" t="n">
        <v>45783</v>
      </c>
      <c r="D1664" t="inlineStr">
        <is>
          <t>UPPSALA LÄN</t>
        </is>
      </c>
      <c r="E1664" t="inlineStr">
        <is>
          <t>UPPSALA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60949-2024</t>
        </is>
      </c>
      <c r="B1665" s="1" t="n">
        <v>45645</v>
      </c>
      <c r="C1665" s="1" t="n">
        <v>45783</v>
      </c>
      <c r="D1665" t="inlineStr">
        <is>
          <t>UPPSALA LÄN</t>
        </is>
      </c>
      <c r="E1665" t="inlineStr">
        <is>
          <t>UPPSALA</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60954-2024</t>
        </is>
      </c>
      <c r="B1666" s="1" t="n">
        <v>45645</v>
      </c>
      <c r="C1666" s="1" t="n">
        <v>45783</v>
      </c>
      <c r="D1666" t="inlineStr">
        <is>
          <t>UPPSALA LÄN</t>
        </is>
      </c>
      <c r="E1666" t="inlineStr">
        <is>
          <t>UPPSALA</t>
        </is>
      </c>
      <c r="F1666" t="inlineStr">
        <is>
          <t>Kommuner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61071-2024</t>
        </is>
      </c>
      <c r="B1667" s="1" t="n">
        <v>45645</v>
      </c>
      <c r="C1667" s="1" t="n">
        <v>45783</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61463-2024</t>
        </is>
      </c>
      <c r="B1668" s="1" t="n">
        <v>45646</v>
      </c>
      <c r="C1668" s="1" t="n">
        <v>45783</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61574-2024</t>
        </is>
      </c>
      <c r="B1669" s="1" t="n">
        <v>45646</v>
      </c>
      <c r="C1669" s="1" t="n">
        <v>45783</v>
      </c>
      <c r="D1669" t="inlineStr">
        <is>
          <t>UPPSALA LÄN</t>
        </is>
      </c>
      <c r="E1669" t="inlineStr">
        <is>
          <t>UPPSALA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62044-2024</t>
        </is>
      </c>
      <c r="B1670" s="1" t="n">
        <v>45656</v>
      </c>
      <c r="C1670" s="1" t="n">
        <v>45783</v>
      </c>
      <c r="D1670" t="inlineStr">
        <is>
          <t>UPPSALA LÄN</t>
        </is>
      </c>
      <c r="E1670" t="inlineStr">
        <is>
          <t>UPPSALA</t>
        </is>
      </c>
      <c r="F1670" t="inlineStr">
        <is>
          <t>Övriga statliga verk och myndigheter</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62054-2024</t>
        </is>
      </c>
      <c r="B1671" s="1" t="n">
        <v>45656</v>
      </c>
      <c r="C1671" s="1" t="n">
        <v>45783</v>
      </c>
      <c r="D1671" t="inlineStr">
        <is>
          <t>UPPSALA LÄN</t>
        </is>
      </c>
      <c r="E1671" t="inlineStr">
        <is>
          <t>UPPSALA</t>
        </is>
      </c>
      <c r="F1671" t="inlineStr">
        <is>
          <t>Övriga statliga verk och myndigheter</t>
        </is>
      </c>
      <c r="G1671" t="n">
        <v>29.3</v>
      </c>
      <c r="H1671" t="n">
        <v>0</v>
      </c>
      <c r="I1671" t="n">
        <v>0</v>
      </c>
      <c r="J1671" t="n">
        <v>0</v>
      </c>
      <c r="K1671" t="n">
        <v>0</v>
      </c>
      <c r="L1671" t="n">
        <v>0</v>
      </c>
      <c r="M1671" t="n">
        <v>0</v>
      </c>
      <c r="N1671" t="n">
        <v>0</v>
      </c>
      <c r="O1671" t="n">
        <v>0</v>
      </c>
      <c r="P1671" t="n">
        <v>0</v>
      </c>
      <c r="Q1671" t="n">
        <v>0</v>
      </c>
      <c r="R1671" s="2" t="inlineStr"/>
    </row>
    <row r="1672" ht="15" customHeight="1">
      <c r="A1672" t="inlineStr">
        <is>
          <t>A 668-2025</t>
        </is>
      </c>
      <c r="B1672" s="1" t="n">
        <v>45664</v>
      </c>
      <c r="C1672" s="1" t="n">
        <v>45783</v>
      </c>
      <c r="D1672" t="inlineStr">
        <is>
          <t>UPPSALA LÄN</t>
        </is>
      </c>
      <c r="E1672" t="inlineStr">
        <is>
          <t>UPPSALA</t>
        </is>
      </c>
      <c r="F1672" t="inlineStr">
        <is>
          <t>Bergvik skog öst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842-2025</t>
        </is>
      </c>
      <c r="B1673" s="1" t="n">
        <v>45665</v>
      </c>
      <c r="C1673" s="1" t="n">
        <v>45783</v>
      </c>
      <c r="D1673" t="inlineStr">
        <is>
          <t>UPPSALA LÄN</t>
        </is>
      </c>
      <c r="E1673" t="inlineStr">
        <is>
          <t>UPPSALA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844-2025</t>
        </is>
      </c>
      <c r="B1674" s="1" t="n">
        <v>45665</v>
      </c>
      <c r="C1674" s="1" t="n">
        <v>45783</v>
      </c>
      <c r="D1674" t="inlineStr">
        <is>
          <t>UPPSALA LÄN</t>
        </is>
      </c>
      <c r="E1674" t="inlineStr">
        <is>
          <t>UPPSALA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1588-2025</t>
        </is>
      </c>
      <c r="B1675" s="1" t="n">
        <v>45670</v>
      </c>
      <c r="C1675" s="1" t="n">
        <v>45783</v>
      </c>
      <c r="D1675" t="inlineStr">
        <is>
          <t>UPPSALA LÄN</t>
        </is>
      </c>
      <c r="E1675" t="inlineStr">
        <is>
          <t>UPPSALA</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1592-2025</t>
        </is>
      </c>
      <c r="B1676" s="1" t="n">
        <v>45670</v>
      </c>
      <c r="C1676" s="1" t="n">
        <v>45783</v>
      </c>
      <c r="D1676" t="inlineStr">
        <is>
          <t>UPPSALA LÄN</t>
        </is>
      </c>
      <c r="E1676" t="inlineStr">
        <is>
          <t>UPPSALA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2790-2025</t>
        </is>
      </c>
      <c r="B1677" s="1" t="n">
        <v>45677</v>
      </c>
      <c r="C1677" s="1" t="n">
        <v>45783</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2695-2025</t>
        </is>
      </c>
      <c r="B1678" s="1" t="n">
        <v>45677</v>
      </c>
      <c r="C1678" s="1" t="n">
        <v>45783</v>
      </c>
      <c r="D1678" t="inlineStr">
        <is>
          <t>UPPSALA LÄN</t>
        </is>
      </c>
      <c r="E1678" t="inlineStr">
        <is>
          <t>UPPSALA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2897-2025</t>
        </is>
      </c>
      <c r="B1679" s="1" t="n">
        <v>45677</v>
      </c>
      <c r="C1679" s="1" t="n">
        <v>45783</v>
      </c>
      <c r="D1679" t="inlineStr">
        <is>
          <t>UPPSALA LÄN</t>
        </is>
      </c>
      <c r="E1679" t="inlineStr">
        <is>
          <t>UPPSALA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3314-2025</t>
        </is>
      </c>
      <c r="B1680" s="1" t="n">
        <v>45679</v>
      </c>
      <c r="C1680" s="1" t="n">
        <v>45783</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3315-2025</t>
        </is>
      </c>
      <c r="B1681" s="1" t="n">
        <v>45679</v>
      </c>
      <c r="C1681" s="1" t="n">
        <v>45783</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3287-2025</t>
        </is>
      </c>
      <c r="B1682" s="1" t="n">
        <v>45679</v>
      </c>
      <c r="C1682" s="1" t="n">
        <v>45783</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3973-2025</t>
        </is>
      </c>
      <c r="B1683" s="1" t="n">
        <v>45684</v>
      </c>
      <c r="C1683" s="1" t="n">
        <v>45783</v>
      </c>
      <c r="D1683" t="inlineStr">
        <is>
          <t>UPPSALA LÄN</t>
        </is>
      </c>
      <c r="E1683" t="inlineStr">
        <is>
          <t>UPPSALA</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4014-2025</t>
        </is>
      </c>
      <c r="B1684" s="1" t="n">
        <v>45684</v>
      </c>
      <c r="C1684" s="1" t="n">
        <v>45783</v>
      </c>
      <c r="D1684" t="inlineStr">
        <is>
          <t>UPPSALA LÄN</t>
        </is>
      </c>
      <c r="E1684" t="inlineStr">
        <is>
          <t>UPPSALA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4293-2025</t>
        </is>
      </c>
      <c r="B1685" s="1" t="n">
        <v>45685</v>
      </c>
      <c r="C1685" s="1" t="n">
        <v>45783</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4242-2025</t>
        </is>
      </c>
      <c r="B1686" s="1" t="n">
        <v>45685</v>
      </c>
      <c r="C1686" s="1" t="n">
        <v>45783</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4244-2025</t>
        </is>
      </c>
      <c r="B1687" s="1" t="n">
        <v>45685</v>
      </c>
      <c r="C1687" s="1" t="n">
        <v>45783</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4240-2025</t>
        </is>
      </c>
      <c r="B1688" s="1" t="n">
        <v>45685</v>
      </c>
      <c r="C1688" s="1" t="n">
        <v>45783</v>
      </c>
      <c r="D1688" t="inlineStr">
        <is>
          <t>UPPSALA LÄN</t>
        </is>
      </c>
      <c r="E1688" t="inlineStr">
        <is>
          <t>UPPSALA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4569-2025</t>
        </is>
      </c>
      <c r="B1689" s="1" t="n">
        <v>45687</v>
      </c>
      <c r="C1689" s="1" t="n">
        <v>45783</v>
      </c>
      <c r="D1689" t="inlineStr">
        <is>
          <t>UPPSALA LÄN</t>
        </is>
      </c>
      <c r="E1689" t="inlineStr">
        <is>
          <t>UPPSALA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5068-2025</t>
        </is>
      </c>
      <c r="B1690" s="1" t="n">
        <v>45691</v>
      </c>
      <c r="C1690" s="1" t="n">
        <v>45783</v>
      </c>
      <c r="D1690" t="inlineStr">
        <is>
          <t>UPPSALA LÄN</t>
        </is>
      </c>
      <c r="E1690" t="inlineStr">
        <is>
          <t>UPPSALA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4993-2025</t>
        </is>
      </c>
      <c r="B1691" s="1" t="n">
        <v>45691</v>
      </c>
      <c r="C1691" s="1" t="n">
        <v>45783</v>
      </c>
      <c r="D1691" t="inlineStr">
        <is>
          <t>UPPSALA LÄN</t>
        </is>
      </c>
      <c r="E1691" t="inlineStr">
        <is>
          <t>UPPSALA</t>
        </is>
      </c>
      <c r="F1691" t="inlineStr">
        <is>
          <t>Kyrkan</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5204-2025</t>
        </is>
      </c>
      <c r="B1692" s="1" t="n">
        <v>45691</v>
      </c>
      <c r="C1692" s="1" t="n">
        <v>45783</v>
      </c>
      <c r="D1692" t="inlineStr">
        <is>
          <t>UPPSALA LÄN</t>
        </is>
      </c>
      <c r="E1692" t="inlineStr">
        <is>
          <t>UPPSALA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5371-2025</t>
        </is>
      </c>
      <c r="B1693" s="1" t="n">
        <v>45692</v>
      </c>
      <c r="C1693" s="1" t="n">
        <v>45783</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5373-2025</t>
        </is>
      </c>
      <c r="B1694" s="1" t="n">
        <v>45692</v>
      </c>
      <c r="C1694" s="1" t="n">
        <v>45783</v>
      </c>
      <c r="D1694" t="inlineStr">
        <is>
          <t>UPPSALA LÄN</t>
        </is>
      </c>
      <c r="E1694" t="inlineStr">
        <is>
          <t>UPPSALA</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5628-2025</t>
        </is>
      </c>
      <c r="B1695" s="1" t="n">
        <v>45693</v>
      </c>
      <c r="C1695" s="1" t="n">
        <v>45783</v>
      </c>
      <c r="D1695" t="inlineStr">
        <is>
          <t>UPPSALA LÄN</t>
        </is>
      </c>
      <c r="E1695" t="inlineStr">
        <is>
          <t>UPPSALA</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6971-2025</t>
        </is>
      </c>
      <c r="B1696" s="1" t="n">
        <v>45693</v>
      </c>
      <c r="C1696" s="1" t="n">
        <v>45783</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6973-2025</t>
        </is>
      </c>
      <c r="B1697" s="1" t="n">
        <v>45693</v>
      </c>
      <c r="C1697" s="1" t="n">
        <v>45783</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5605-2025</t>
        </is>
      </c>
      <c r="B1698" s="1" t="n">
        <v>45693</v>
      </c>
      <c r="C1698" s="1" t="n">
        <v>45783</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6988-2025</t>
        </is>
      </c>
      <c r="B1699" s="1" t="n">
        <v>45693</v>
      </c>
      <c r="C1699" s="1" t="n">
        <v>45783</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6970-2025</t>
        </is>
      </c>
      <c r="B1700" s="1" t="n">
        <v>45693</v>
      </c>
      <c r="C1700" s="1" t="n">
        <v>45783</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5725-2025</t>
        </is>
      </c>
      <c r="B1701" s="1" t="n">
        <v>45694</v>
      </c>
      <c r="C1701" s="1" t="n">
        <v>45783</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5729-2025</t>
        </is>
      </c>
      <c r="B1702" s="1" t="n">
        <v>45694</v>
      </c>
      <c r="C1702" s="1" t="n">
        <v>45783</v>
      </c>
      <c r="D1702" t="inlineStr">
        <is>
          <t>UPPSALA LÄN</t>
        </is>
      </c>
      <c r="E1702" t="inlineStr">
        <is>
          <t>UPPSALA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5671-2025</t>
        </is>
      </c>
      <c r="B1703" s="1" t="n">
        <v>45694</v>
      </c>
      <c r="C1703" s="1" t="n">
        <v>45783</v>
      </c>
      <c r="D1703" t="inlineStr">
        <is>
          <t>UPPSALA LÄN</t>
        </is>
      </c>
      <c r="E1703" t="inlineStr">
        <is>
          <t>UPPSALA</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5719-2025</t>
        </is>
      </c>
      <c r="B1704" s="1" t="n">
        <v>45694</v>
      </c>
      <c r="C1704" s="1" t="n">
        <v>45783</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5764-2025</t>
        </is>
      </c>
      <c r="B1705" s="1" t="n">
        <v>45694</v>
      </c>
      <c r="C1705" s="1" t="n">
        <v>45783</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5722-2025</t>
        </is>
      </c>
      <c r="B1706" s="1" t="n">
        <v>45694</v>
      </c>
      <c r="C1706" s="1" t="n">
        <v>45783</v>
      </c>
      <c r="D1706" t="inlineStr">
        <is>
          <t>UPPSALA LÄN</t>
        </is>
      </c>
      <c r="E1706" t="inlineStr">
        <is>
          <t>UPPSALA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5730-2025</t>
        </is>
      </c>
      <c r="B1707" s="1" t="n">
        <v>45694</v>
      </c>
      <c r="C1707" s="1" t="n">
        <v>45783</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5925-2025</t>
        </is>
      </c>
      <c r="B1708" s="1" t="n">
        <v>45695</v>
      </c>
      <c r="C1708" s="1" t="n">
        <v>45783</v>
      </c>
      <c r="D1708" t="inlineStr">
        <is>
          <t>UPPSALA LÄN</t>
        </is>
      </c>
      <c r="E1708" t="inlineStr">
        <is>
          <t>UPPSALA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6012-2025</t>
        </is>
      </c>
      <c r="B1709" s="1" t="n">
        <v>45695</v>
      </c>
      <c r="C1709" s="1" t="n">
        <v>45783</v>
      </c>
      <c r="D1709" t="inlineStr">
        <is>
          <t>UPPSALA LÄN</t>
        </is>
      </c>
      <c r="E1709" t="inlineStr">
        <is>
          <t>UPPSALA</t>
        </is>
      </c>
      <c r="F1709" t="inlineStr">
        <is>
          <t>Övriga Aktiebolag</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6060-2025</t>
        </is>
      </c>
      <c r="B1710" s="1" t="n">
        <v>45695</v>
      </c>
      <c r="C1710" s="1" t="n">
        <v>45783</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6059-2025</t>
        </is>
      </c>
      <c r="B1711" s="1" t="n">
        <v>45695</v>
      </c>
      <c r="C1711" s="1" t="n">
        <v>45783</v>
      </c>
      <c r="D1711" t="inlineStr">
        <is>
          <t>UPPSALA LÄN</t>
        </is>
      </c>
      <c r="E1711" t="inlineStr">
        <is>
          <t>UPPSALA</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6006-2025</t>
        </is>
      </c>
      <c r="B1712" s="1" t="n">
        <v>45695</v>
      </c>
      <c r="C1712" s="1" t="n">
        <v>45783</v>
      </c>
      <c r="D1712" t="inlineStr">
        <is>
          <t>UPPSALA LÄN</t>
        </is>
      </c>
      <c r="E1712" t="inlineStr">
        <is>
          <t>UPPSALA</t>
        </is>
      </c>
      <c r="F1712" t="inlineStr">
        <is>
          <t>Övriga Aktiebolag</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6058-2025</t>
        </is>
      </c>
      <c r="B1713" s="1" t="n">
        <v>45695</v>
      </c>
      <c r="C1713" s="1" t="n">
        <v>45783</v>
      </c>
      <c r="D1713" t="inlineStr">
        <is>
          <t>UPPSALA LÄN</t>
        </is>
      </c>
      <c r="E1713" t="inlineStr">
        <is>
          <t>UPPSALA</t>
        </is>
      </c>
      <c r="F1713" t="inlineStr">
        <is>
          <t>Bergvik skog öst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6290-2025</t>
        </is>
      </c>
      <c r="B1714" s="1" t="n">
        <v>45698</v>
      </c>
      <c r="C1714" s="1" t="n">
        <v>45783</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6541-2025</t>
        </is>
      </c>
      <c r="B1715" s="1" t="n">
        <v>45699</v>
      </c>
      <c r="C1715" s="1" t="n">
        <v>45783</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45783</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6550-2025</t>
        </is>
      </c>
      <c r="B1717" s="1" t="n">
        <v>45699</v>
      </c>
      <c r="C1717" s="1" t="n">
        <v>45783</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7346-2025</t>
        </is>
      </c>
      <c r="B1718" s="1" t="n">
        <v>45703</v>
      </c>
      <c r="C1718" s="1" t="n">
        <v>45783</v>
      </c>
      <c r="D1718" t="inlineStr">
        <is>
          <t>UPPSALA LÄN</t>
        </is>
      </c>
      <c r="E1718" t="inlineStr">
        <is>
          <t>UPPSALA</t>
        </is>
      </c>
      <c r="F1718" t="inlineStr">
        <is>
          <t>Bergvik skog öst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7645-2025</t>
        </is>
      </c>
      <c r="B1719" s="1" t="n">
        <v>45705</v>
      </c>
      <c r="C1719" s="1" t="n">
        <v>45783</v>
      </c>
      <c r="D1719" t="inlineStr">
        <is>
          <t>UPPSALA LÄN</t>
        </is>
      </c>
      <c r="E1719" t="inlineStr">
        <is>
          <t>UPPSALA</t>
        </is>
      </c>
      <c r="F1719" t="inlineStr">
        <is>
          <t>Bergvik skog öst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7633-2025</t>
        </is>
      </c>
      <c r="B1720" s="1" t="n">
        <v>45705</v>
      </c>
      <c r="C1720" s="1" t="n">
        <v>45783</v>
      </c>
      <c r="D1720" t="inlineStr">
        <is>
          <t>UPPSALA LÄN</t>
        </is>
      </c>
      <c r="E1720" t="inlineStr">
        <is>
          <t>UPPSALA</t>
        </is>
      </c>
      <c r="F1720" t="inlineStr">
        <is>
          <t>Bergvik skog öst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7376-2025</t>
        </is>
      </c>
      <c r="B1721" s="1" t="n">
        <v>45705</v>
      </c>
      <c r="C1721" s="1" t="n">
        <v>45783</v>
      </c>
      <c r="D1721" t="inlineStr">
        <is>
          <t>UPPSALA LÄN</t>
        </is>
      </c>
      <c r="E1721" t="inlineStr">
        <is>
          <t>UPPSALA</t>
        </is>
      </c>
      <c r="F1721" t="inlineStr">
        <is>
          <t>Bergvik skog väst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7501-2025</t>
        </is>
      </c>
      <c r="B1722" s="1" t="n">
        <v>45705</v>
      </c>
      <c r="C1722" s="1" t="n">
        <v>45783</v>
      </c>
      <c r="D1722" t="inlineStr">
        <is>
          <t>UPPSALA LÄN</t>
        </is>
      </c>
      <c r="E1722" t="inlineStr">
        <is>
          <t>UPPSALA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8164-2025</t>
        </is>
      </c>
      <c r="B1723" s="1" t="n">
        <v>45707</v>
      </c>
      <c r="C1723" s="1" t="n">
        <v>45783</v>
      </c>
      <c r="D1723" t="inlineStr">
        <is>
          <t>UPPSALA LÄN</t>
        </is>
      </c>
      <c r="E1723" t="inlineStr">
        <is>
          <t>UPPSALA</t>
        </is>
      </c>
      <c r="F1723" t="inlineStr">
        <is>
          <t>Övriga Aktiebolag</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8162-2025</t>
        </is>
      </c>
      <c r="B1724" s="1" t="n">
        <v>45707</v>
      </c>
      <c r="C1724" s="1" t="n">
        <v>45783</v>
      </c>
      <c r="D1724" t="inlineStr">
        <is>
          <t>UPPSALA LÄN</t>
        </is>
      </c>
      <c r="E1724" t="inlineStr">
        <is>
          <t>UPPSALA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8931-2025</t>
        </is>
      </c>
      <c r="B1725" s="1" t="n">
        <v>45713</v>
      </c>
      <c r="C1725" s="1" t="n">
        <v>45783</v>
      </c>
      <c r="D1725" t="inlineStr">
        <is>
          <t>UPPSALA LÄN</t>
        </is>
      </c>
      <c r="E1725" t="inlineStr">
        <is>
          <t>UPPSALA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9235-2025</t>
        </is>
      </c>
      <c r="B1726" s="1" t="n">
        <v>45714</v>
      </c>
      <c r="C1726" s="1" t="n">
        <v>45783</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9411-2025</t>
        </is>
      </c>
      <c r="B1727" s="1" t="n">
        <v>45715</v>
      </c>
      <c r="C1727" s="1" t="n">
        <v>45783</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9414-2025</t>
        </is>
      </c>
      <c r="B1728" s="1" t="n">
        <v>45715</v>
      </c>
      <c r="C1728" s="1" t="n">
        <v>45783</v>
      </c>
      <c r="D1728" t="inlineStr">
        <is>
          <t>UPPSALA LÄN</t>
        </is>
      </c>
      <c r="E1728" t="inlineStr">
        <is>
          <t>UPPSALA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9982-2025</t>
        </is>
      </c>
      <c r="B1729" s="1" t="n">
        <v>45719</v>
      </c>
      <c r="C1729" s="1" t="n">
        <v>45783</v>
      </c>
      <c r="D1729" t="inlineStr">
        <is>
          <t>UPPSALA LÄN</t>
        </is>
      </c>
      <c r="E1729" t="inlineStr">
        <is>
          <t>UPPSALA</t>
        </is>
      </c>
      <c r="F1729" t="inlineStr">
        <is>
          <t>Kyrkan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9984-2025</t>
        </is>
      </c>
      <c r="B1730" s="1" t="n">
        <v>45719</v>
      </c>
      <c r="C1730" s="1" t="n">
        <v>45783</v>
      </c>
      <c r="D1730" t="inlineStr">
        <is>
          <t>UPPSALA LÄN</t>
        </is>
      </c>
      <c r="E1730" t="inlineStr">
        <is>
          <t>UPPSALA</t>
        </is>
      </c>
      <c r="F1730" t="inlineStr">
        <is>
          <t>Kyrkan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9993-2025</t>
        </is>
      </c>
      <c r="B1731" s="1" t="n">
        <v>45719</v>
      </c>
      <c r="C1731" s="1" t="n">
        <v>45783</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9991-2025</t>
        </is>
      </c>
      <c r="B1732" s="1" t="n">
        <v>45719</v>
      </c>
      <c r="C1732" s="1" t="n">
        <v>45783</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9981-2025</t>
        </is>
      </c>
      <c r="B1733" s="1" t="n">
        <v>45719</v>
      </c>
      <c r="C1733" s="1" t="n">
        <v>45783</v>
      </c>
      <c r="D1733" t="inlineStr">
        <is>
          <t>UPPSALA LÄN</t>
        </is>
      </c>
      <c r="E1733" t="inlineStr">
        <is>
          <t>UPPSALA</t>
        </is>
      </c>
      <c r="F1733" t="inlineStr">
        <is>
          <t>Kyrkan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9995-2025</t>
        </is>
      </c>
      <c r="B1734" s="1" t="n">
        <v>45719</v>
      </c>
      <c r="C1734" s="1" t="n">
        <v>45783</v>
      </c>
      <c r="D1734" t="inlineStr">
        <is>
          <t>UPPSALA LÄN</t>
        </is>
      </c>
      <c r="E1734" t="inlineStr">
        <is>
          <t>UPPSALA</t>
        </is>
      </c>
      <c r="F1734" t="inlineStr">
        <is>
          <t>Kyrkan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10394-2025</t>
        </is>
      </c>
      <c r="B1735" s="1" t="n">
        <v>45720</v>
      </c>
      <c r="C1735" s="1" t="n">
        <v>45783</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10489-2025</t>
        </is>
      </c>
      <c r="B1736" s="1" t="n">
        <v>45721</v>
      </c>
      <c r="C1736" s="1" t="n">
        <v>45783</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10488-2025</t>
        </is>
      </c>
      <c r="B1737" s="1" t="n">
        <v>45721</v>
      </c>
      <c r="C1737" s="1" t="n">
        <v>45783</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10490-2025</t>
        </is>
      </c>
      <c r="B1738" s="1" t="n">
        <v>45721</v>
      </c>
      <c r="C1738" s="1" t="n">
        <v>45783</v>
      </c>
      <c r="D1738" t="inlineStr">
        <is>
          <t>UPPSALA LÄN</t>
        </is>
      </c>
      <c r="E1738" t="inlineStr">
        <is>
          <t>UPPSALA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v>
      </c>
      <c r="C1739" s="1" t="n">
        <v>45783</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11103-2025</t>
        </is>
      </c>
      <c r="B1740" s="1" t="n">
        <v>45723</v>
      </c>
      <c r="C1740" s="1" t="n">
        <v>45783</v>
      </c>
      <c r="D1740" t="inlineStr">
        <is>
          <t>UPPSALA LÄN</t>
        </is>
      </c>
      <c r="E1740" t="inlineStr">
        <is>
          <t>UPPSALA</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11119-2025</t>
        </is>
      </c>
      <c r="B1741" s="1" t="n">
        <v>45723</v>
      </c>
      <c r="C1741" s="1" t="n">
        <v>45783</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11184-2025</t>
        </is>
      </c>
      <c r="B1742" s="1" t="n">
        <v>45725</v>
      </c>
      <c r="C1742" s="1" t="n">
        <v>45783</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11339-2025</t>
        </is>
      </c>
      <c r="B1743" s="1" t="n">
        <v>45726</v>
      </c>
      <c r="C1743" s="1" t="n">
        <v>45783</v>
      </c>
      <c r="D1743" t="inlineStr">
        <is>
          <t>UPPSALA LÄN</t>
        </is>
      </c>
      <c r="E1743" t="inlineStr">
        <is>
          <t>UPPSALA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11409-2025</t>
        </is>
      </c>
      <c r="B1744" s="1" t="n">
        <v>45726</v>
      </c>
      <c r="C1744" s="1" t="n">
        <v>45783</v>
      </c>
      <c r="D1744" t="inlineStr">
        <is>
          <t>UPPSALA LÄN</t>
        </is>
      </c>
      <c r="E1744" t="inlineStr">
        <is>
          <t>UPPSALA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12282-2025</t>
        </is>
      </c>
      <c r="B1745" s="1" t="n">
        <v>45729</v>
      </c>
      <c r="C1745" s="1" t="n">
        <v>45783</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12211-2025</t>
        </is>
      </c>
      <c r="B1746" s="1" t="n">
        <v>45729</v>
      </c>
      <c r="C1746" s="1" t="n">
        <v>45783</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12209-2025</t>
        </is>
      </c>
      <c r="B1747" s="1" t="n">
        <v>45729</v>
      </c>
      <c r="C1747" s="1" t="n">
        <v>45783</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12287-2025</t>
        </is>
      </c>
      <c r="B1748" s="1" t="n">
        <v>45729</v>
      </c>
      <c r="C1748" s="1" t="n">
        <v>45783</v>
      </c>
      <c r="D1748" t="inlineStr">
        <is>
          <t>UPPSALA LÄN</t>
        </is>
      </c>
      <c r="E1748" t="inlineStr">
        <is>
          <t>UPPSALA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12284-2025</t>
        </is>
      </c>
      <c r="B1749" s="1" t="n">
        <v>45729</v>
      </c>
      <c r="C1749" s="1" t="n">
        <v>45783</v>
      </c>
      <c r="D1749" t="inlineStr">
        <is>
          <t>UPPSALA LÄN</t>
        </is>
      </c>
      <c r="E1749" t="inlineStr">
        <is>
          <t>UPPSALA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12414-2025</t>
        </is>
      </c>
      <c r="B1750" s="1" t="n">
        <v>45730</v>
      </c>
      <c r="C1750" s="1" t="n">
        <v>45783</v>
      </c>
      <c r="D1750" t="inlineStr">
        <is>
          <t>UPPSALA LÄN</t>
        </is>
      </c>
      <c r="E1750" t="inlineStr">
        <is>
          <t>UPPSALA</t>
        </is>
      </c>
      <c r="F1750" t="inlineStr">
        <is>
          <t>Övriga statliga verk och myndigheter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12828-2025</t>
        </is>
      </c>
      <c r="B1751" s="1" t="n">
        <v>45733</v>
      </c>
      <c r="C1751" s="1" t="n">
        <v>45783</v>
      </c>
      <c r="D1751" t="inlineStr">
        <is>
          <t>UPPSALA LÄN</t>
        </is>
      </c>
      <c r="E1751" t="inlineStr">
        <is>
          <t>UPPSALA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12830-2025</t>
        </is>
      </c>
      <c r="B1752" s="1" t="n">
        <v>45733</v>
      </c>
      <c r="C1752" s="1" t="n">
        <v>45783</v>
      </c>
      <c r="D1752" t="inlineStr">
        <is>
          <t>UPPSALA LÄN</t>
        </is>
      </c>
      <c r="E1752" t="inlineStr">
        <is>
          <t>UPPSALA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13491-2025</t>
        </is>
      </c>
      <c r="B1753" s="1" t="n">
        <v>45736</v>
      </c>
      <c r="C1753" s="1" t="n">
        <v>45783</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13492-2025</t>
        </is>
      </c>
      <c r="B1754" s="1" t="n">
        <v>45736</v>
      </c>
      <c r="C1754" s="1" t="n">
        <v>45783</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13590-2025</t>
        </is>
      </c>
      <c r="B1755" s="1" t="n">
        <v>45736</v>
      </c>
      <c r="C1755" s="1" t="n">
        <v>45783</v>
      </c>
      <c r="D1755" t="inlineStr">
        <is>
          <t>UPPSALA LÄN</t>
        </is>
      </c>
      <c r="E1755" t="inlineStr">
        <is>
          <t>UPPSALA</t>
        </is>
      </c>
      <c r="F1755" t="inlineStr">
        <is>
          <t>Allmännings- och besparingsskogar</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13502-2025</t>
        </is>
      </c>
      <c r="B1756" s="1" t="n">
        <v>45736</v>
      </c>
      <c r="C1756" s="1" t="n">
        <v>45783</v>
      </c>
      <c r="D1756" t="inlineStr">
        <is>
          <t>UPPSALA LÄN</t>
        </is>
      </c>
      <c r="E1756" t="inlineStr">
        <is>
          <t>UPPSALA</t>
        </is>
      </c>
      <c r="F1756" t="inlineStr">
        <is>
          <t>Allmännings- och besparingsskogar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13602-2025</t>
        </is>
      </c>
      <c r="B1757" s="1" t="n">
        <v>45736</v>
      </c>
      <c r="C1757" s="1" t="n">
        <v>45783</v>
      </c>
      <c r="D1757" t="inlineStr">
        <is>
          <t>UPPSALA LÄN</t>
        </is>
      </c>
      <c r="E1757" t="inlineStr">
        <is>
          <t>UPPSALA</t>
        </is>
      </c>
      <c r="F1757" t="inlineStr">
        <is>
          <t>Allmännings- och besparingsskogar</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45783</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45783</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45783</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14400-2025</t>
        </is>
      </c>
      <c r="B1761" s="1" t="n">
        <v>45741</v>
      </c>
      <c r="C1761" s="1" t="n">
        <v>45783</v>
      </c>
      <c r="D1761" t="inlineStr">
        <is>
          <t>UPPSALA LÄN</t>
        </is>
      </c>
      <c r="E1761" t="inlineStr">
        <is>
          <t>UPPSALA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14652-2025</t>
        </is>
      </c>
      <c r="B1762" s="1" t="n">
        <v>45742</v>
      </c>
      <c r="C1762" s="1" t="n">
        <v>45783</v>
      </c>
      <c r="D1762" t="inlineStr">
        <is>
          <t>UPPSALA LÄN</t>
        </is>
      </c>
      <c r="E1762" t="inlineStr">
        <is>
          <t>UPPSALA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14907-2025</t>
        </is>
      </c>
      <c r="B1763" s="1" t="n">
        <v>45743</v>
      </c>
      <c r="C1763" s="1" t="n">
        <v>45783</v>
      </c>
      <c r="D1763" t="inlineStr">
        <is>
          <t>UPPSALA LÄN</t>
        </is>
      </c>
      <c r="E1763" t="inlineStr">
        <is>
          <t>UPPSALA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15264-2025</t>
        </is>
      </c>
      <c r="B1764" s="1" t="n">
        <v>45744</v>
      </c>
      <c r="C1764" s="1" t="n">
        <v>45783</v>
      </c>
      <c r="D1764" t="inlineStr">
        <is>
          <t>UPPSALA LÄN</t>
        </is>
      </c>
      <c r="E1764" t="inlineStr">
        <is>
          <t>UPPSALA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15473-2025</t>
        </is>
      </c>
      <c r="B1765" s="1" t="n">
        <v>45747</v>
      </c>
      <c r="C1765" s="1" t="n">
        <v>45783</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15937-2025</t>
        </is>
      </c>
      <c r="B1766" s="1" t="n">
        <v>45749</v>
      </c>
      <c r="C1766" s="1" t="n">
        <v>45783</v>
      </c>
      <c r="D1766" t="inlineStr">
        <is>
          <t>UPPSALA LÄN</t>
        </is>
      </c>
      <c r="E1766" t="inlineStr">
        <is>
          <t>UPPSALA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16288-2025</t>
        </is>
      </c>
      <c r="B1767" s="1" t="n">
        <v>45751</v>
      </c>
      <c r="C1767" s="1" t="n">
        <v>45783</v>
      </c>
      <c r="D1767" t="inlineStr">
        <is>
          <t>UPPSALA LÄN</t>
        </is>
      </c>
      <c r="E1767" t="inlineStr">
        <is>
          <t>UPPSALA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17250-2025</t>
        </is>
      </c>
      <c r="B1768" s="1" t="n">
        <v>45756</v>
      </c>
      <c r="C1768" s="1" t="n">
        <v>45783</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17211-2025</t>
        </is>
      </c>
      <c r="B1769" s="1" t="n">
        <v>45756</v>
      </c>
      <c r="C1769" s="1" t="n">
        <v>45783</v>
      </c>
      <c r="D1769" t="inlineStr">
        <is>
          <t>UPPSALA LÄN</t>
        </is>
      </c>
      <c r="E1769" t="inlineStr">
        <is>
          <t>UPPSALA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17595-2025</t>
        </is>
      </c>
      <c r="B1770" s="1" t="n">
        <v>45757</v>
      </c>
      <c r="C1770" s="1" t="n">
        <v>45783</v>
      </c>
      <c r="D1770" t="inlineStr">
        <is>
          <t>UPPSALA LÄN</t>
        </is>
      </c>
      <c r="E1770" t="inlineStr">
        <is>
          <t>UPPSALA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17596-2025</t>
        </is>
      </c>
      <c r="B1771" s="1" t="n">
        <v>45757</v>
      </c>
      <c r="C1771" s="1" t="n">
        <v>45783</v>
      </c>
      <c r="D1771" t="inlineStr">
        <is>
          <t>UPPSALA LÄN</t>
        </is>
      </c>
      <c r="E1771" t="inlineStr">
        <is>
          <t>UPPSALA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17587-2025</t>
        </is>
      </c>
      <c r="B1772" s="1" t="n">
        <v>45757</v>
      </c>
      <c r="C1772" s="1" t="n">
        <v>45783</v>
      </c>
      <c r="D1772" t="inlineStr">
        <is>
          <t>UPPSALA LÄN</t>
        </is>
      </c>
      <c r="E1772" t="inlineStr">
        <is>
          <t>UPPSALA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17593-2025</t>
        </is>
      </c>
      <c r="B1773" s="1" t="n">
        <v>45757</v>
      </c>
      <c r="C1773" s="1" t="n">
        <v>45783</v>
      </c>
      <c r="D1773" t="inlineStr">
        <is>
          <t>UPPSALA LÄN</t>
        </is>
      </c>
      <c r="E1773" t="inlineStr">
        <is>
          <t>UPPSALA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17658-2025</t>
        </is>
      </c>
      <c r="B1774" s="1" t="n">
        <v>45758</v>
      </c>
      <c r="C1774" s="1" t="n">
        <v>45783</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18054-2025</t>
        </is>
      </c>
      <c r="B1775" s="1" t="n">
        <v>45761</v>
      </c>
      <c r="C1775" s="1" t="n">
        <v>45783</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45783</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18330-2025</t>
        </is>
      </c>
      <c r="B1777" s="1" t="n">
        <v>45762</v>
      </c>
      <c r="C1777" s="1" t="n">
        <v>45783</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45783</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18781-2025</t>
        </is>
      </c>
      <c r="B1779" s="1" t="n">
        <v>45763</v>
      </c>
      <c r="C1779" s="1" t="n">
        <v>45783</v>
      </c>
      <c r="D1779" t="inlineStr">
        <is>
          <t>UPPSALA LÄN</t>
        </is>
      </c>
      <c r="E1779" t="inlineStr">
        <is>
          <t>UPPSALA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45783</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18625-2025</t>
        </is>
      </c>
      <c r="B1781" s="1" t="n">
        <v>45763</v>
      </c>
      <c r="C1781" s="1" t="n">
        <v>45783</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45783</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45783</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19345-2025</t>
        </is>
      </c>
      <c r="B1784" s="1" t="n">
        <v>45769</v>
      </c>
      <c r="C1784" s="1" t="n">
        <v>45783</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19613-2025</t>
        </is>
      </c>
      <c r="B1785" s="1" t="n">
        <v>45770</v>
      </c>
      <c r="C1785" s="1" t="n">
        <v>45783</v>
      </c>
      <c r="D1785" t="inlineStr">
        <is>
          <t>UPPSALA LÄN</t>
        </is>
      </c>
      <c r="E1785" t="inlineStr">
        <is>
          <t>UPPSALA</t>
        </is>
      </c>
      <c r="F1785" t="inlineStr">
        <is>
          <t>Övriga Aktiebolag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20152-2025</t>
        </is>
      </c>
      <c r="B1786" s="1" t="n">
        <v>45772</v>
      </c>
      <c r="C1786" s="1" t="n">
        <v>45783</v>
      </c>
      <c r="D1786" t="inlineStr">
        <is>
          <t>UPPSALA LÄN</t>
        </is>
      </c>
      <c r="E1786" t="inlineStr">
        <is>
          <t>UPPSALA</t>
        </is>
      </c>
      <c r="F1786" t="inlineStr">
        <is>
          <t>Allmännings- och besparingsskogar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45783</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20418-2025</t>
        </is>
      </c>
      <c r="B1788" s="1" t="n">
        <v>45775</v>
      </c>
      <c r="C1788" s="1" t="n">
        <v>45783</v>
      </c>
      <c r="D1788" t="inlineStr">
        <is>
          <t>UPPSALA LÄN</t>
        </is>
      </c>
      <c r="E1788" t="inlineStr">
        <is>
          <t>UPPSALA</t>
        </is>
      </c>
      <c r="F1788" t="inlineStr">
        <is>
          <t>Allmännings- och besparingsskogar</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20797-2025</t>
        </is>
      </c>
      <c r="B1789" s="1" t="n">
        <v>45776</v>
      </c>
      <c r="C1789" s="1" t="n">
        <v>45783</v>
      </c>
      <c r="D1789" t="inlineStr">
        <is>
          <t>UPPSALA LÄN</t>
        </is>
      </c>
      <c r="E1789" t="inlineStr">
        <is>
          <t>UPPSALA</t>
        </is>
      </c>
      <c r="F1789" t="inlineStr">
        <is>
          <t>Kommuner</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20686-2025</t>
        </is>
      </c>
      <c r="B1790" s="1" t="n">
        <v>45776</v>
      </c>
      <c r="C1790" s="1" t="n">
        <v>45783</v>
      </c>
      <c r="D1790" t="inlineStr">
        <is>
          <t>UPPSALA LÄN</t>
        </is>
      </c>
      <c r="E1790" t="inlineStr">
        <is>
          <t>UPPSALA</t>
        </is>
      </c>
      <c r="F1790" t="inlineStr">
        <is>
          <t>Holmen skog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45783</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45783</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20858-2025</t>
        </is>
      </c>
      <c r="B1793" s="1" t="n">
        <v>45777</v>
      </c>
      <c r="C1793" s="1" t="n">
        <v>45783</v>
      </c>
      <c r="D1793" t="inlineStr">
        <is>
          <t>UPPSALA LÄN</t>
        </is>
      </c>
      <c r="E1793" t="inlineStr">
        <is>
          <t>UPPSALA</t>
        </is>
      </c>
      <c r="F1793" t="inlineStr">
        <is>
          <t>Övriga Aktiebolag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45783</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45783</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45783</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45783</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21281-2025</t>
        </is>
      </c>
      <c r="B1798" s="1" t="n">
        <v>45779</v>
      </c>
      <c r="C1798" s="1" t="n">
        <v>45783</v>
      </c>
      <c r="D1798" t="inlineStr">
        <is>
          <t>UPPSALA LÄN</t>
        </is>
      </c>
      <c r="E1798" t="inlineStr">
        <is>
          <t>UPPSALA</t>
        </is>
      </c>
      <c r="F1798" t="inlineStr">
        <is>
          <t>Övriga Aktiebolag</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21279-2025</t>
        </is>
      </c>
      <c r="B1799" s="1" t="n">
        <v>45779</v>
      </c>
      <c r="C1799" s="1" t="n">
        <v>45783</v>
      </c>
      <c r="D1799" t="inlineStr">
        <is>
          <t>UPPSALA LÄN</t>
        </is>
      </c>
      <c r="E1799" t="inlineStr">
        <is>
          <t>UPPSALA</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c r="A1800" t="inlineStr">
        <is>
          <t>A 21217-2025</t>
        </is>
      </c>
      <c r="B1800" s="1" t="n">
        <v>45779</v>
      </c>
      <c r="C1800" s="1" t="n">
        <v>45783</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2025-05-06T17:10:50Z</dcterms:created>
  <dcterms:modified xmlns:dcterms="http://purl.org/dc/terms/" xmlns:xsi="http://www.w3.org/2001/XMLSchema-instance" xsi:type="dcterms:W3CDTF">2025-05-06T17:10:51Z</dcterms:modified>
</cp:coreProperties>
</file>