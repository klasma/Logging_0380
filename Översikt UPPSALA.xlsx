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45507</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45507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45507</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45507</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45507</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45507</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45507</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45507</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45507</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45507</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45507</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45507</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45507</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45507</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2021-2022</t>
        </is>
      </c>
      <c r="B16" s="1" t="n">
        <v>44575</v>
      </c>
      <c r="C16" s="1" t="n">
        <v>45507</v>
      </c>
      <c r="D16" t="inlineStr">
        <is>
          <t>UPPSALA LÄN</t>
        </is>
      </c>
      <c r="E16" t="inlineStr">
        <is>
          <t>UPPSALA</t>
        </is>
      </c>
      <c r="G16" t="n">
        <v>11.3</v>
      </c>
      <c r="H16" t="n">
        <v>5</v>
      </c>
      <c r="I16" t="n">
        <v>1</v>
      </c>
      <c r="J16" t="n">
        <v>4</v>
      </c>
      <c r="K16" t="n">
        <v>2</v>
      </c>
      <c r="L16" t="n">
        <v>1</v>
      </c>
      <c r="M16" t="n">
        <v>0</v>
      </c>
      <c r="N16" t="n">
        <v>0</v>
      </c>
      <c r="O16" t="n">
        <v>7</v>
      </c>
      <c r="P16" t="n">
        <v>3</v>
      </c>
      <c r="Q16" t="n">
        <v>10</v>
      </c>
      <c r="R16" s="2" t="inlineStr">
        <is>
          <t>Ask
Gulvit blekspik
Stare
Motaggsvamp
Spillkråka
Tallticka
Ärtsångare
Skinnlav
Blåsippa
Gullviva</t>
        </is>
      </c>
      <c r="S16">
        <f>HYPERLINK("https://klasma.github.io/Logging_0380/artfynd/A 2021-2022 artfynd.xlsx", "A 2021-2022")</f>
        <v/>
      </c>
      <c r="T16">
        <f>HYPERLINK("https://klasma.github.io/Logging_0380/kartor/A 2021-2022 karta.png", "A 2021-2022")</f>
        <v/>
      </c>
      <c r="V16">
        <f>HYPERLINK("https://klasma.github.io/Logging_0380/klagomål/A 2021-2022 FSC-klagomål.docx", "A 2021-2022")</f>
        <v/>
      </c>
      <c r="W16">
        <f>HYPERLINK("https://klasma.github.io/Logging_0380/klagomålsmail/A 2021-2022 FSC-klagomål mail.docx", "A 2021-2022")</f>
        <v/>
      </c>
      <c r="X16">
        <f>HYPERLINK("https://klasma.github.io/Logging_0380/tillsyn/A 2021-2022 tillsynsbegäran.docx", "A 2021-2022")</f>
        <v/>
      </c>
      <c r="Y16">
        <f>HYPERLINK("https://klasma.github.io/Logging_0380/tillsynsmail/A 2021-2022 tillsynsbegäran mail.docx", "A 2021-2022")</f>
        <v/>
      </c>
      <c r="Z16">
        <f>HYPERLINK("https://klasma.github.io/Logging_0380/fåglar/A 2021-2022 prioriterade fågelarter.docx", "A 2021-2022")</f>
        <v/>
      </c>
    </row>
    <row r="17" ht="15" customHeight="1">
      <c r="A17" t="inlineStr">
        <is>
          <t>A 28450-2021</t>
        </is>
      </c>
      <c r="B17" s="1" t="n">
        <v>44356</v>
      </c>
      <c r="C17" s="1" t="n">
        <v>45507</v>
      </c>
      <c r="D17" t="inlineStr">
        <is>
          <t>UPPSALA LÄN</t>
        </is>
      </c>
      <c r="E17" t="inlineStr">
        <is>
          <t>UPPSALA</t>
        </is>
      </c>
      <c r="G17" t="n">
        <v>11.8</v>
      </c>
      <c r="H17" t="n">
        <v>1</v>
      </c>
      <c r="I17" t="n">
        <v>7</v>
      </c>
      <c r="J17" t="n">
        <v>2</v>
      </c>
      <c r="K17" t="n">
        <v>0</v>
      </c>
      <c r="L17" t="n">
        <v>0</v>
      </c>
      <c r="M17" t="n">
        <v>0</v>
      </c>
      <c r="N17" t="n">
        <v>0</v>
      </c>
      <c r="O17" t="n">
        <v>2</v>
      </c>
      <c r="P17" t="n">
        <v>0</v>
      </c>
      <c r="Q17" t="n">
        <v>9</v>
      </c>
      <c r="R17" s="2" t="inlineStr">
        <is>
          <t>Platt spretmossa
Vedtrappmossa
Bågpraktmossa
Korallrot
Källpraktmossa
Rödgul trumpetsvamp
Stubbspretmossa
Vanlig rörsvepemossa
Ögonpyrola</t>
        </is>
      </c>
      <c r="S17">
        <f>HYPERLINK("https://klasma.github.io/Logging_0380/artfynd/A 28450-2021 artfynd.xlsx", "A 28450-2021")</f>
        <v/>
      </c>
      <c r="T17">
        <f>HYPERLINK("https://klasma.github.io/Logging_0380/kartor/A 28450-2021 karta.png", "A 28450-2021")</f>
        <v/>
      </c>
      <c r="U17">
        <f>HYPERLINK("https://klasma.github.io/Logging_0380/knärot/A 28450-2021 karta knärot.png", "A 28450-2021")</f>
        <v/>
      </c>
      <c r="V17">
        <f>HYPERLINK("https://klasma.github.io/Logging_0380/klagomål/A 28450-2021 FSC-klagomål.docx", "A 28450-2021")</f>
        <v/>
      </c>
      <c r="W17">
        <f>HYPERLINK("https://klasma.github.io/Logging_0380/klagomålsmail/A 28450-2021 FSC-klagomål mail.docx", "A 28450-2021")</f>
        <v/>
      </c>
      <c r="X17">
        <f>HYPERLINK("https://klasma.github.io/Logging_0380/tillsyn/A 28450-2021 tillsynsbegäran.docx", "A 28450-2021")</f>
        <v/>
      </c>
      <c r="Y17">
        <f>HYPERLINK("https://klasma.github.io/Logging_0380/tillsynsmail/A 28450-2021 tillsynsbegäran mail.docx", "A 28450-2021")</f>
        <v/>
      </c>
    </row>
    <row r="18" ht="15" customHeight="1">
      <c r="A18" t="inlineStr">
        <is>
          <t>A 25143-2023</t>
        </is>
      </c>
      <c r="B18" s="1" t="n">
        <v>45086</v>
      </c>
      <c r="C18" s="1" t="n">
        <v>45507</v>
      </c>
      <c r="D18" t="inlineStr">
        <is>
          <t>UPPSALA LÄN</t>
        </is>
      </c>
      <c r="E18" t="inlineStr">
        <is>
          <t>UPPSALA</t>
        </is>
      </c>
      <c r="G18" t="n">
        <v>15.9</v>
      </c>
      <c r="H18" t="n">
        <v>3</v>
      </c>
      <c r="I18" t="n">
        <v>4</v>
      </c>
      <c r="J18" t="n">
        <v>2</v>
      </c>
      <c r="K18" t="n">
        <v>0</v>
      </c>
      <c r="L18" t="n">
        <v>0</v>
      </c>
      <c r="M18" t="n">
        <v>0</v>
      </c>
      <c r="N18" t="n">
        <v>0</v>
      </c>
      <c r="O18" t="n">
        <v>2</v>
      </c>
      <c r="P18" t="n">
        <v>0</v>
      </c>
      <c r="Q18" t="n">
        <v>9</v>
      </c>
      <c r="R18" s="2" t="inlineStr">
        <is>
          <t>Grönhjon
Ullticka
Bronshjon
Fällmossa
Granbarkgnagare
Guldlockmossa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row>
    <row r="19" ht="15" customHeight="1">
      <c r="A19" t="inlineStr">
        <is>
          <t>A 46162-2023</t>
        </is>
      </c>
      <c r="B19" s="1" t="n">
        <v>45196</v>
      </c>
      <c r="C19" s="1" t="n">
        <v>45507</v>
      </c>
      <c r="D19" t="inlineStr">
        <is>
          <t>UPPSALA LÄN</t>
        </is>
      </c>
      <c r="E19" t="inlineStr">
        <is>
          <t>UPPSALA</t>
        </is>
      </c>
      <c r="G19" t="n">
        <v>5.5</v>
      </c>
      <c r="H19" t="n">
        <v>1</v>
      </c>
      <c r="I19" t="n">
        <v>4</v>
      </c>
      <c r="J19" t="n">
        <v>3</v>
      </c>
      <c r="K19" t="n">
        <v>2</v>
      </c>
      <c r="L19" t="n">
        <v>0</v>
      </c>
      <c r="M19" t="n">
        <v>0</v>
      </c>
      <c r="N19" t="n">
        <v>0</v>
      </c>
      <c r="O19" t="n">
        <v>5</v>
      </c>
      <c r="P19" t="n">
        <v>2</v>
      </c>
      <c r="Q19" t="n">
        <v>9</v>
      </c>
      <c r="R19" s="2" t="inlineStr">
        <is>
          <t>Knärot
Rynkskinn
Såpfingersvamp
Ullticka
Vedtrappmossa
Bronshjon
Fjällig taggsvamp s.str.
Vedticka
Vågbandad barkbock</t>
        </is>
      </c>
      <c r="S19">
        <f>HYPERLINK("https://klasma.github.io/Logging_0380/artfynd/A 46162-2023 artfynd.xlsx", "A 46162-2023")</f>
        <v/>
      </c>
      <c r="T19">
        <f>HYPERLINK("https://klasma.github.io/Logging_0380/kartor/A 46162-2023 karta.png", "A 46162-2023")</f>
        <v/>
      </c>
      <c r="U19">
        <f>HYPERLINK("https://klasma.github.io/Logging_0380/knärot/A 46162-2023 karta knärot.png", "A 46162-2023")</f>
        <v/>
      </c>
      <c r="V19">
        <f>HYPERLINK("https://klasma.github.io/Logging_0380/klagomål/A 46162-2023 FSC-klagomål.docx", "A 46162-2023")</f>
        <v/>
      </c>
      <c r="W19">
        <f>HYPERLINK("https://klasma.github.io/Logging_0380/klagomålsmail/A 46162-2023 FSC-klagomål mail.docx", "A 46162-2023")</f>
        <v/>
      </c>
      <c r="X19">
        <f>HYPERLINK("https://klasma.github.io/Logging_0380/tillsyn/A 46162-2023 tillsynsbegäran.docx", "A 46162-2023")</f>
        <v/>
      </c>
      <c r="Y19">
        <f>HYPERLINK("https://klasma.github.io/Logging_0380/tillsynsmail/A 46162-2023 tillsynsbegäran mail.docx", "A 46162-2023")</f>
        <v/>
      </c>
    </row>
    <row r="20" ht="15" customHeight="1">
      <c r="A20" t="inlineStr">
        <is>
          <t>A 47453-2023</t>
        </is>
      </c>
      <c r="B20" s="1" t="n">
        <v>45202</v>
      </c>
      <c r="C20" s="1" t="n">
        <v>45507</v>
      </c>
      <c r="D20" t="inlineStr">
        <is>
          <t>UPPSALA LÄN</t>
        </is>
      </c>
      <c r="E20" t="inlineStr">
        <is>
          <t>UPPSALA</t>
        </is>
      </c>
      <c r="F20" t="inlineStr">
        <is>
          <t>Allmännings- och besparingsskogar</t>
        </is>
      </c>
      <c r="G20" t="n">
        <v>32.8</v>
      </c>
      <c r="H20" t="n">
        <v>1</v>
      </c>
      <c r="I20" t="n">
        <v>3</v>
      </c>
      <c r="J20" t="n">
        <v>5</v>
      </c>
      <c r="K20" t="n">
        <v>1</v>
      </c>
      <c r="L20" t="n">
        <v>0</v>
      </c>
      <c r="M20" t="n">
        <v>0</v>
      </c>
      <c r="N20" t="n">
        <v>0</v>
      </c>
      <c r="O20" t="n">
        <v>6</v>
      </c>
      <c r="P20" t="n">
        <v>1</v>
      </c>
      <c r="Q20" t="n">
        <v>9</v>
      </c>
      <c r="R20" s="2" t="inlineStr">
        <is>
          <t>Ostticka
Granticka
Större flatbagge
Tallticka
Tretåig hackspett
Vedtrappmossa
Bronshjon
Jättesvampmal
Thomsons trägnagare</t>
        </is>
      </c>
      <c r="S20">
        <f>HYPERLINK("https://klasma.github.io/Logging_0380/artfynd/A 47453-2023 artfynd.xlsx", "A 47453-2023")</f>
        <v/>
      </c>
      <c r="T20">
        <f>HYPERLINK("https://klasma.github.io/Logging_0380/kartor/A 47453-2023 karta.png",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61513-2020</t>
        </is>
      </c>
      <c r="B21" s="1" t="n">
        <v>44158</v>
      </c>
      <c r="C21" s="1" t="n">
        <v>45507</v>
      </c>
      <c r="D21" t="inlineStr">
        <is>
          <t>UPPSALA LÄN</t>
        </is>
      </c>
      <c r="E21" t="inlineStr">
        <is>
          <t>UPPSALA</t>
        </is>
      </c>
      <c r="F21" t="inlineStr">
        <is>
          <t>Övriga statliga verk och myndigheter</t>
        </is>
      </c>
      <c r="G21" t="n">
        <v>17</v>
      </c>
      <c r="H21" t="n">
        <v>1</v>
      </c>
      <c r="I21" t="n">
        <v>6</v>
      </c>
      <c r="J21" t="n">
        <v>1</v>
      </c>
      <c r="K21" t="n">
        <v>0</v>
      </c>
      <c r="L21" t="n">
        <v>0</v>
      </c>
      <c r="M21" t="n">
        <v>0</v>
      </c>
      <c r="N21" t="n">
        <v>0</v>
      </c>
      <c r="O21" t="n">
        <v>1</v>
      </c>
      <c r="P21" t="n">
        <v>0</v>
      </c>
      <c r="Q21" t="n">
        <v>8</v>
      </c>
      <c r="R21" s="2" t="inlineStr">
        <is>
          <t>Vedtrappmossa
Bårdlav
Dvärgtufs
Piskbaronmossa
Platt fjädermossa
Stubbspretmossa
Vedticka
Blåsippa</t>
        </is>
      </c>
      <c r="S21">
        <f>HYPERLINK("https://klasma.github.io/Logging_0380/artfynd/A 61513-2020 artfynd.xlsx", "A 61513-2020")</f>
        <v/>
      </c>
      <c r="T21">
        <f>HYPERLINK("https://klasma.github.io/Logging_0380/kartor/A 61513-2020 karta.png", "A 61513-2020")</f>
        <v/>
      </c>
      <c r="V21">
        <f>HYPERLINK("https://klasma.github.io/Logging_0380/klagomål/A 61513-2020 FSC-klagomål.docx", "A 61513-2020")</f>
        <v/>
      </c>
      <c r="W21">
        <f>HYPERLINK("https://klasma.github.io/Logging_0380/klagomålsmail/A 61513-2020 FSC-klagomål mail.docx", "A 61513-2020")</f>
        <v/>
      </c>
      <c r="X21">
        <f>HYPERLINK("https://klasma.github.io/Logging_0380/tillsyn/A 61513-2020 tillsynsbegäran.docx", "A 61513-2020")</f>
        <v/>
      </c>
      <c r="Y21">
        <f>HYPERLINK("https://klasma.github.io/Logging_0380/tillsynsmail/A 61513-2020 tillsynsbegäran mail.docx", "A 61513-2020")</f>
        <v/>
      </c>
    </row>
    <row r="22" ht="15" customHeight="1">
      <c r="A22" t="inlineStr">
        <is>
          <t>A 66979-2020</t>
        </is>
      </c>
      <c r="B22" s="1" t="n">
        <v>44180</v>
      </c>
      <c r="C22" s="1" t="n">
        <v>45507</v>
      </c>
      <c r="D22" t="inlineStr">
        <is>
          <t>UPPSALA LÄN</t>
        </is>
      </c>
      <c r="E22" t="inlineStr">
        <is>
          <t>UPPSALA</t>
        </is>
      </c>
      <c r="F22" t="inlineStr">
        <is>
          <t>Övriga statliga verk och myndigheter</t>
        </is>
      </c>
      <c r="G22" t="n">
        <v>8.300000000000001</v>
      </c>
      <c r="H22" t="n">
        <v>1</v>
      </c>
      <c r="I22" t="n">
        <v>4</v>
      </c>
      <c r="J22" t="n">
        <v>2</v>
      </c>
      <c r="K22" t="n">
        <v>1</v>
      </c>
      <c r="L22" t="n">
        <v>0</v>
      </c>
      <c r="M22" t="n">
        <v>0</v>
      </c>
      <c r="N22" t="n">
        <v>0</v>
      </c>
      <c r="O22" t="n">
        <v>3</v>
      </c>
      <c r="P22" t="n">
        <v>1</v>
      </c>
      <c r="Q22" t="n">
        <v>8</v>
      </c>
      <c r="R22" s="2" t="inlineStr">
        <is>
          <t>Rynkskinn
Tallticka
Ullticka
Brandticka
Fällmossa
Jättesvampmal
Rävticka
Blåsippa</t>
        </is>
      </c>
      <c r="S22">
        <f>HYPERLINK("https://klasma.github.io/Logging_0380/artfynd/A 66979-2020 artfynd.xlsx", "A 66979-2020")</f>
        <v/>
      </c>
      <c r="T22">
        <f>HYPERLINK("https://klasma.github.io/Logging_0380/kartor/A 66979-2020 karta.png", "A 66979-2020")</f>
        <v/>
      </c>
      <c r="V22">
        <f>HYPERLINK("https://klasma.github.io/Logging_0380/klagomål/A 66979-2020 FSC-klagomål.docx", "A 66979-2020")</f>
        <v/>
      </c>
      <c r="W22">
        <f>HYPERLINK("https://klasma.github.io/Logging_0380/klagomålsmail/A 66979-2020 FSC-klagomål mail.docx", "A 66979-2020")</f>
        <v/>
      </c>
      <c r="X22">
        <f>HYPERLINK("https://klasma.github.io/Logging_0380/tillsyn/A 66979-2020 tillsynsbegäran.docx", "A 66979-2020")</f>
        <v/>
      </c>
      <c r="Y22">
        <f>HYPERLINK("https://klasma.github.io/Logging_0380/tillsynsmail/A 66979-2020 tillsynsbegäran mail.docx", "A 66979-2020")</f>
        <v/>
      </c>
    </row>
    <row r="23" ht="15" customHeight="1">
      <c r="A23" t="inlineStr">
        <is>
          <t>A 61014-2021</t>
        </is>
      </c>
      <c r="B23" s="1" t="n">
        <v>44497</v>
      </c>
      <c r="C23" s="1" t="n">
        <v>45507</v>
      </c>
      <c r="D23" t="inlineStr">
        <is>
          <t>UPPSALA LÄN</t>
        </is>
      </c>
      <c r="E23" t="inlineStr">
        <is>
          <t>UPPSALA</t>
        </is>
      </c>
      <c r="G23" t="n">
        <v>6.6</v>
      </c>
      <c r="H23" t="n">
        <v>2</v>
      </c>
      <c r="I23" t="n">
        <v>2</v>
      </c>
      <c r="J23" t="n">
        <v>3</v>
      </c>
      <c r="K23" t="n">
        <v>3</v>
      </c>
      <c r="L23" t="n">
        <v>0</v>
      </c>
      <c r="M23" t="n">
        <v>0</v>
      </c>
      <c r="N23" t="n">
        <v>0</v>
      </c>
      <c r="O23" t="n">
        <v>6</v>
      </c>
      <c r="P23" t="n">
        <v>3</v>
      </c>
      <c r="Q23" t="n">
        <v>8</v>
      </c>
      <c r="R23" s="2" t="inlineStr">
        <is>
          <t>Knärot
Rynkskinn
Tallbit
Garnlav
Grönhjon
Ullticka
Brandticka
Vedticka</t>
        </is>
      </c>
      <c r="S23">
        <f>HYPERLINK("https://klasma.github.io/Logging_0380/artfynd/A 61014-2021 artfynd.xlsx", "A 61014-2021")</f>
        <v/>
      </c>
      <c r="T23">
        <f>HYPERLINK("https://klasma.github.io/Logging_0380/kartor/A 61014-2021 karta.png", "A 61014-2021")</f>
        <v/>
      </c>
      <c r="U23">
        <f>HYPERLINK("https://klasma.github.io/Logging_0380/knärot/A 61014-2021 karta knärot.png", "A 61014-2021")</f>
        <v/>
      </c>
      <c r="V23">
        <f>HYPERLINK("https://klasma.github.io/Logging_0380/klagomål/A 61014-2021 FSC-klagomål.docx", "A 61014-2021")</f>
        <v/>
      </c>
      <c r="W23">
        <f>HYPERLINK("https://klasma.github.io/Logging_0380/klagomålsmail/A 61014-2021 FSC-klagomål mail.docx", "A 61014-2021")</f>
        <v/>
      </c>
      <c r="X23">
        <f>HYPERLINK("https://klasma.github.io/Logging_0380/tillsyn/A 61014-2021 tillsynsbegäran.docx", "A 61014-2021")</f>
        <v/>
      </c>
      <c r="Y23">
        <f>HYPERLINK("https://klasma.github.io/Logging_0380/tillsynsmail/A 61014-2021 tillsynsbegäran mail.docx", "A 61014-2021")</f>
        <v/>
      </c>
      <c r="Z23">
        <f>HYPERLINK("https://klasma.github.io/Logging_0380/fåglar/A 61014-2021 prioriterade fågelarter.docx", "A 61014-2021")</f>
        <v/>
      </c>
    </row>
    <row r="24" ht="15" customHeight="1">
      <c r="A24" t="inlineStr">
        <is>
          <t>A 58453-2022</t>
        </is>
      </c>
      <c r="B24" s="1" t="n">
        <v>44901</v>
      </c>
      <c r="C24" s="1" t="n">
        <v>45507</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45507</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45507</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45507</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45507</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45507</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45507</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45507</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45507</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45507</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45507</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45507</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45507</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45507</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45507</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45507</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45507</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45507</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27625-2023</t>
        </is>
      </c>
      <c r="B42" s="1" t="n">
        <v>45097</v>
      </c>
      <c r="C42" s="1" t="n">
        <v>45507</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29803-2023</t>
        </is>
      </c>
      <c r="B43" s="1" t="n">
        <v>45107</v>
      </c>
      <c r="C43" s="1" t="n">
        <v>45507</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31628-2023</t>
        </is>
      </c>
      <c r="B44" s="1" t="n">
        <v>45117</v>
      </c>
      <c r="C44" s="1" t="n">
        <v>45507</v>
      </c>
      <c r="D44" t="inlineStr">
        <is>
          <t>UPPSALA LÄN</t>
        </is>
      </c>
      <c r="E44" t="inlineStr">
        <is>
          <t>UPPSALA</t>
        </is>
      </c>
      <c r="G44" t="n">
        <v>15</v>
      </c>
      <c r="H44" t="n">
        <v>1</v>
      </c>
      <c r="I44" t="n">
        <v>2</v>
      </c>
      <c r="J44" t="n">
        <v>3</v>
      </c>
      <c r="K44" t="n">
        <v>0</v>
      </c>
      <c r="L44" t="n">
        <v>0</v>
      </c>
      <c r="M44" t="n">
        <v>0</v>
      </c>
      <c r="N44" t="n">
        <v>0</v>
      </c>
      <c r="O44" t="n">
        <v>3</v>
      </c>
      <c r="P44" t="n">
        <v>0</v>
      </c>
      <c r="Q44" t="n">
        <v>5</v>
      </c>
      <c r="R44" s="2" t="inlineStr">
        <is>
          <t>Skogsklocka
Spillkråka
Tallticka
Grönpyrola
Stubbspretmossa</t>
        </is>
      </c>
      <c r="S44">
        <f>HYPERLINK("https://klasma.github.io/Logging_0380/artfynd/A 31628-2023 artfynd.xlsx", "A 31628-2023")</f>
        <v/>
      </c>
      <c r="T44">
        <f>HYPERLINK("https://klasma.github.io/Logging_0380/kartor/A 31628-2023 karta.png", "A 31628-2023")</f>
        <v/>
      </c>
      <c r="V44">
        <f>HYPERLINK("https://klasma.github.io/Logging_0380/klagomål/A 31628-2023 FSC-klagomål.docx", "A 31628-2023")</f>
        <v/>
      </c>
      <c r="W44">
        <f>HYPERLINK("https://klasma.github.io/Logging_0380/klagomålsmail/A 31628-2023 FSC-klagomål mail.docx", "A 31628-2023")</f>
        <v/>
      </c>
      <c r="X44">
        <f>HYPERLINK("https://klasma.github.io/Logging_0380/tillsyn/A 31628-2023 tillsynsbegäran.docx", "A 31628-2023")</f>
        <v/>
      </c>
      <c r="Y44">
        <f>HYPERLINK("https://klasma.github.io/Logging_0380/tillsynsmail/A 31628-2023 tillsynsbegäran mail.docx", "A 31628-2023")</f>
        <v/>
      </c>
      <c r="Z44">
        <f>HYPERLINK("https://klasma.github.io/Logging_0380/fåglar/A 31628-2023 prioriterade fågelarter.docx", "A 31628-2023")</f>
        <v/>
      </c>
    </row>
    <row r="45" ht="15" customHeight="1">
      <c r="A45" t="inlineStr">
        <is>
          <t>A 63181-2023</t>
        </is>
      </c>
      <c r="B45" s="1" t="n">
        <v>45273</v>
      </c>
      <c r="C45" s="1" t="n">
        <v>45507</v>
      </c>
      <c r="D45" t="inlineStr">
        <is>
          <t>UPPSALA LÄN</t>
        </is>
      </c>
      <c r="E45" t="inlineStr">
        <is>
          <t>UPPSALA</t>
        </is>
      </c>
      <c r="G45" t="n">
        <v>3.2</v>
      </c>
      <c r="H45" t="n">
        <v>0</v>
      </c>
      <c r="I45" t="n">
        <v>2</v>
      </c>
      <c r="J45" t="n">
        <v>3</v>
      </c>
      <c r="K45" t="n">
        <v>0</v>
      </c>
      <c r="L45" t="n">
        <v>0</v>
      </c>
      <c r="M45" t="n">
        <v>0</v>
      </c>
      <c r="N45" t="n">
        <v>0</v>
      </c>
      <c r="O45" t="n">
        <v>3</v>
      </c>
      <c r="P45" t="n">
        <v>0</v>
      </c>
      <c r="Q45" t="n">
        <v>5</v>
      </c>
      <c r="R45" s="2" t="inlineStr">
        <is>
          <t>Barrviolspindling
Harticka
Kungsspindling
Brandticka
Kamjordstjärna</t>
        </is>
      </c>
      <c r="S45">
        <f>HYPERLINK("https://klasma.github.io/Logging_0380/artfynd/A 63181-2023 artfynd.xlsx", "A 63181-2023")</f>
        <v/>
      </c>
      <c r="T45">
        <f>HYPERLINK("https://klasma.github.io/Logging_0380/kartor/A 63181-2023 karta.png", "A 63181-2023")</f>
        <v/>
      </c>
      <c r="V45">
        <f>HYPERLINK("https://klasma.github.io/Logging_0380/klagomål/A 63181-2023 FSC-klagomål.docx", "A 63181-2023")</f>
        <v/>
      </c>
      <c r="W45">
        <f>HYPERLINK("https://klasma.github.io/Logging_0380/klagomålsmail/A 63181-2023 FSC-klagomål mail.docx", "A 63181-2023")</f>
        <v/>
      </c>
      <c r="X45">
        <f>HYPERLINK("https://klasma.github.io/Logging_0380/tillsyn/A 63181-2023 tillsynsbegäran.docx", "A 63181-2023")</f>
        <v/>
      </c>
      <c r="Y45">
        <f>HYPERLINK("https://klasma.github.io/Logging_0380/tillsynsmail/A 63181-2023 tillsynsbegäran mail.docx", "A 63181-2023")</f>
        <v/>
      </c>
    </row>
    <row r="46" ht="15" customHeight="1">
      <c r="A46" t="inlineStr">
        <is>
          <t>A 3100-2024</t>
        </is>
      </c>
      <c r="B46" s="1" t="n">
        <v>45316</v>
      </c>
      <c r="C46" s="1" t="n">
        <v>45507</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4116-2020</t>
        </is>
      </c>
      <c r="B47" s="1" t="n">
        <v>43857</v>
      </c>
      <c r="C47" s="1" t="n">
        <v>45507</v>
      </c>
      <c r="D47" t="inlineStr">
        <is>
          <t>UPPSALA LÄN</t>
        </is>
      </c>
      <c r="E47" t="inlineStr">
        <is>
          <t>UPPSALA</t>
        </is>
      </c>
      <c r="G47" t="n">
        <v>2.4</v>
      </c>
      <c r="H47" t="n">
        <v>1</v>
      </c>
      <c r="I47" t="n">
        <v>1</v>
      </c>
      <c r="J47" t="n">
        <v>1</v>
      </c>
      <c r="K47" t="n">
        <v>1</v>
      </c>
      <c r="L47" t="n">
        <v>0</v>
      </c>
      <c r="M47" t="n">
        <v>0</v>
      </c>
      <c r="N47" t="n">
        <v>0</v>
      </c>
      <c r="O47" t="n">
        <v>2</v>
      </c>
      <c r="P47" t="n">
        <v>1</v>
      </c>
      <c r="Q47" t="n">
        <v>4</v>
      </c>
      <c r="R47" s="2" t="inlineStr">
        <is>
          <t>Grangråticka
Svart taggsvamp
Fjällig taggsvamp s.str.
Blåsippa</t>
        </is>
      </c>
      <c r="S47">
        <f>HYPERLINK("https://klasma.github.io/Logging_0380/artfynd/A 4116-2020 artfynd.xlsx", "A 4116-2020")</f>
        <v/>
      </c>
      <c r="T47">
        <f>HYPERLINK("https://klasma.github.io/Logging_0380/kartor/A 4116-2020 karta.png", "A 4116-2020")</f>
        <v/>
      </c>
      <c r="V47">
        <f>HYPERLINK("https://klasma.github.io/Logging_0380/klagomål/A 4116-2020 FSC-klagomål.docx", "A 4116-2020")</f>
        <v/>
      </c>
      <c r="W47">
        <f>HYPERLINK("https://klasma.github.io/Logging_0380/klagomålsmail/A 4116-2020 FSC-klagomål mail.docx", "A 4116-2020")</f>
        <v/>
      </c>
      <c r="X47">
        <f>HYPERLINK("https://klasma.github.io/Logging_0380/tillsyn/A 4116-2020 tillsynsbegäran.docx", "A 4116-2020")</f>
        <v/>
      </c>
      <c r="Y47">
        <f>HYPERLINK("https://klasma.github.io/Logging_0380/tillsynsmail/A 4116-2020 tillsynsbegäran mail.docx", "A 4116-2020")</f>
        <v/>
      </c>
    </row>
    <row r="48" ht="15" customHeight="1">
      <c r="A48" t="inlineStr">
        <is>
          <t>A 25264-2020</t>
        </is>
      </c>
      <c r="B48" s="1" t="n">
        <v>43980</v>
      </c>
      <c r="C48" s="1" t="n">
        <v>45507</v>
      </c>
      <c r="D48" t="inlineStr">
        <is>
          <t>UPPSALA LÄN</t>
        </is>
      </c>
      <c r="E48" t="inlineStr">
        <is>
          <t>UPPSALA</t>
        </is>
      </c>
      <c r="G48" t="n">
        <v>2.8</v>
      </c>
      <c r="H48" t="n">
        <v>4</v>
      </c>
      <c r="I48" t="n">
        <v>0</v>
      </c>
      <c r="J48" t="n">
        <v>0</v>
      </c>
      <c r="K48" t="n">
        <v>1</v>
      </c>
      <c r="L48" t="n">
        <v>0</v>
      </c>
      <c r="M48" t="n">
        <v>0</v>
      </c>
      <c r="N48" t="n">
        <v>0</v>
      </c>
      <c r="O48" t="n">
        <v>1</v>
      </c>
      <c r="P48" t="n">
        <v>1</v>
      </c>
      <c r="Q48" t="n">
        <v>4</v>
      </c>
      <c r="R48" s="2" t="inlineStr">
        <is>
          <t>Knärot
Kopparödla
Fläcknycklar
Revlummer</t>
        </is>
      </c>
      <c r="S48">
        <f>HYPERLINK("https://klasma.github.io/Logging_0380/artfynd/A 25264-2020 artfynd.xlsx", "A 25264-2020")</f>
        <v/>
      </c>
      <c r="T48">
        <f>HYPERLINK("https://klasma.github.io/Logging_0380/kartor/A 25264-2020 karta.png", "A 25264-2020")</f>
        <v/>
      </c>
      <c r="U48">
        <f>HYPERLINK("https://klasma.github.io/Logging_0380/knärot/A 25264-2020 karta knärot.png", "A 25264-2020")</f>
        <v/>
      </c>
      <c r="V48">
        <f>HYPERLINK("https://klasma.github.io/Logging_0380/klagomål/A 25264-2020 FSC-klagomål.docx", "A 25264-2020")</f>
        <v/>
      </c>
      <c r="W48">
        <f>HYPERLINK("https://klasma.github.io/Logging_0380/klagomålsmail/A 25264-2020 FSC-klagomål mail.docx", "A 25264-2020")</f>
        <v/>
      </c>
      <c r="X48">
        <f>HYPERLINK("https://klasma.github.io/Logging_0380/tillsyn/A 25264-2020 tillsynsbegäran.docx", "A 25264-2020")</f>
        <v/>
      </c>
      <c r="Y48">
        <f>HYPERLINK("https://klasma.github.io/Logging_0380/tillsynsmail/A 25264-2020 tillsynsbegäran mail.docx", "A 25264-2020")</f>
        <v/>
      </c>
    </row>
    <row r="49" ht="15" customHeight="1">
      <c r="A49" t="inlineStr">
        <is>
          <t>A 37670-2020</t>
        </is>
      </c>
      <c r="B49" s="1" t="n">
        <v>44056</v>
      </c>
      <c r="C49" s="1" t="n">
        <v>45507</v>
      </c>
      <c r="D49" t="inlineStr">
        <is>
          <t>UPPSALA LÄN</t>
        </is>
      </c>
      <c r="E49" t="inlineStr">
        <is>
          <t>UPPSALA</t>
        </is>
      </c>
      <c r="F49" t="inlineStr">
        <is>
          <t>Allmännings- och besparingsskogar</t>
        </is>
      </c>
      <c r="G49" t="n">
        <v>56.8</v>
      </c>
      <c r="H49" t="n">
        <v>3</v>
      </c>
      <c r="I49" t="n">
        <v>2</v>
      </c>
      <c r="J49" t="n">
        <v>1</v>
      </c>
      <c r="K49" t="n">
        <v>1</v>
      </c>
      <c r="L49" t="n">
        <v>0</v>
      </c>
      <c r="M49" t="n">
        <v>0</v>
      </c>
      <c r="N49" t="n">
        <v>0</v>
      </c>
      <c r="O49" t="n">
        <v>2</v>
      </c>
      <c r="P49" t="n">
        <v>1</v>
      </c>
      <c r="Q49" t="n">
        <v>4</v>
      </c>
      <c r="R49" s="2" t="inlineStr">
        <is>
          <t>Knärot
Talltita
Grönpyrola
Plattlummer</t>
        </is>
      </c>
      <c r="S49">
        <f>HYPERLINK("https://klasma.github.io/Logging_0380/artfynd/A 37670-2020 artfynd.xlsx", "A 37670-2020")</f>
        <v/>
      </c>
      <c r="T49">
        <f>HYPERLINK("https://klasma.github.io/Logging_0380/kartor/A 37670-2020 karta.png", "A 37670-2020")</f>
        <v/>
      </c>
      <c r="U49">
        <f>HYPERLINK("https://klasma.github.io/Logging_0380/knärot/A 37670-2020 karta knärot.png", "A 37670-2020")</f>
        <v/>
      </c>
      <c r="V49">
        <f>HYPERLINK("https://klasma.github.io/Logging_0380/klagomål/A 37670-2020 FSC-klagomål.docx", "A 37670-2020")</f>
        <v/>
      </c>
      <c r="W49">
        <f>HYPERLINK("https://klasma.github.io/Logging_0380/klagomålsmail/A 37670-2020 FSC-klagomål mail.docx", "A 37670-2020")</f>
        <v/>
      </c>
      <c r="X49">
        <f>HYPERLINK("https://klasma.github.io/Logging_0380/tillsyn/A 37670-2020 tillsynsbegäran.docx", "A 37670-2020")</f>
        <v/>
      </c>
      <c r="Y49">
        <f>HYPERLINK("https://klasma.github.io/Logging_0380/tillsynsmail/A 37670-2020 tillsynsbegäran mail.docx", "A 37670-2020")</f>
        <v/>
      </c>
      <c r="Z49">
        <f>HYPERLINK("https://klasma.github.io/Logging_0380/fåglar/A 37670-2020 prioriterade fågelarter.docx", "A 37670-2020")</f>
        <v/>
      </c>
    </row>
    <row r="50" ht="15" customHeight="1">
      <c r="A50" t="inlineStr">
        <is>
          <t>A 51688-2021</t>
        </is>
      </c>
      <c r="B50" s="1" t="n">
        <v>44462</v>
      </c>
      <c r="C50" s="1" t="n">
        <v>45507</v>
      </c>
      <c r="D50" t="inlineStr">
        <is>
          <t>UPPSALA LÄN</t>
        </is>
      </c>
      <c r="E50" t="inlineStr">
        <is>
          <t>UPPSALA</t>
        </is>
      </c>
      <c r="F50" t="inlineStr">
        <is>
          <t>Allmännings- och besparingsskogar</t>
        </is>
      </c>
      <c r="G50" t="n">
        <v>9.9</v>
      </c>
      <c r="H50" t="n">
        <v>1</v>
      </c>
      <c r="I50" t="n">
        <v>1</v>
      </c>
      <c r="J50" t="n">
        <v>2</v>
      </c>
      <c r="K50" t="n">
        <v>1</v>
      </c>
      <c r="L50" t="n">
        <v>0</v>
      </c>
      <c r="M50" t="n">
        <v>0</v>
      </c>
      <c r="N50" t="n">
        <v>0</v>
      </c>
      <c r="O50" t="n">
        <v>3</v>
      </c>
      <c r="P50" t="n">
        <v>1</v>
      </c>
      <c r="Q50" t="n">
        <v>4</v>
      </c>
      <c r="R50" s="2" t="inlineStr">
        <is>
          <t>Knärot
Garnlav
Ullticka
Vedticka</t>
        </is>
      </c>
      <c r="S50">
        <f>HYPERLINK("https://klasma.github.io/Logging_0380/artfynd/A 51688-2021 artfynd.xlsx", "A 51688-2021")</f>
        <v/>
      </c>
      <c r="T50">
        <f>HYPERLINK("https://klasma.github.io/Logging_0380/kartor/A 51688-2021 karta.png", "A 51688-2021")</f>
        <v/>
      </c>
      <c r="U50">
        <f>HYPERLINK("https://klasma.github.io/Logging_0380/knärot/A 51688-2021 karta knärot.png", "A 51688-2021")</f>
        <v/>
      </c>
      <c r="V50">
        <f>HYPERLINK("https://klasma.github.io/Logging_0380/klagomål/A 51688-2021 FSC-klagomål.docx", "A 51688-2021")</f>
        <v/>
      </c>
      <c r="W50">
        <f>HYPERLINK("https://klasma.github.io/Logging_0380/klagomålsmail/A 51688-2021 FSC-klagomål mail.docx", "A 51688-2021")</f>
        <v/>
      </c>
      <c r="X50">
        <f>HYPERLINK("https://klasma.github.io/Logging_0380/tillsyn/A 51688-2021 tillsynsbegäran.docx", "A 51688-2021")</f>
        <v/>
      </c>
      <c r="Y50">
        <f>HYPERLINK("https://klasma.github.io/Logging_0380/tillsynsmail/A 51688-2021 tillsynsbegäran mail.docx", "A 51688-2021")</f>
        <v/>
      </c>
    </row>
    <row r="51" ht="15" customHeight="1">
      <c r="A51" t="inlineStr">
        <is>
          <t>A 15956-2022</t>
        </is>
      </c>
      <c r="B51" s="1" t="n">
        <v>44664</v>
      </c>
      <c r="C51" s="1" t="n">
        <v>45507</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23153-2022</t>
        </is>
      </c>
      <c r="B52" s="1" t="n">
        <v>44719</v>
      </c>
      <c r="C52" s="1" t="n">
        <v>45507</v>
      </c>
      <c r="D52" t="inlineStr">
        <is>
          <t>UPPSALA LÄN</t>
        </is>
      </c>
      <c r="E52" t="inlineStr">
        <is>
          <t>UPPSALA</t>
        </is>
      </c>
      <c r="G52" t="n">
        <v>5.4</v>
      </c>
      <c r="H52" t="n">
        <v>0</v>
      </c>
      <c r="I52" t="n">
        <v>3</v>
      </c>
      <c r="J52" t="n">
        <v>1</v>
      </c>
      <c r="K52" t="n">
        <v>0</v>
      </c>
      <c r="L52" t="n">
        <v>0</v>
      </c>
      <c r="M52" t="n">
        <v>0</v>
      </c>
      <c r="N52" t="n">
        <v>0</v>
      </c>
      <c r="O52" t="n">
        <v>1</v>
      </c>
      <c r="P52" t="n">
        <v>0</v>
      </c>
      <c r="Q52" t="n">
        <v>4</v>
      </c>
      <c r="R52" s="2" t="inlineStr">
        <is>
          <t>Större flatbagge
Bronshjon
Thomsons trägnagare
Trådticka</t>
        </is>
      </c>
      <c r="S52">
        <f>HYPERLINK("https://klasma.github.io/Logging_0380/artfynd/A 23153-2022 artfynd.xlsx", "A 23153-2022")</f>
        <v/>
      </c>
      <c r="T52">
        <f>HYPERLINK("https://klasma.github.io/Logging_0380/kartor/A 23153-2022 karta.png", "A 23153-2022")</f>
        <v/>
      </c>
      <c r="V52">
        <f>HYPERLINK("https://klasma.github.io/Logging_0380/klagomål/A 23153-2022 FSC-klagomål.docx", "A 23153-2022")</f>
        <v/>
      </c>
      <c r="W52">
        <f>HYPERLINK("https://klasma.github.io/Logging_0380/klagomålsmail/A 23153-2022 FSC-klagomål mail.docx", "A 23153-2022")</f>
        <v/>
      </c>
      <c r="X52">
        <f>HYPERLINK("https://klasma.github.io/Logging_0380/tillsyn/A 23153-2022 tillsynsbegäran.docx", "A 23153-2022")</f>
        <v/>
      </c>
      <c r="Y52">
        <f>HYPERLINK("https://klasma.github.io/Logging_0380/tillsynsmail/A 23153-2022 tillsynsbegäran mail.docx", "A 23153-2022")</f>
        <v/>
      </c>
    </row>
    <row r="53" ht="15" customHeight="1">
      <c r="A53" t="inlineStr">
        <is>
          <t>A 26758-2022</t>
        </is>
      </c>
      <c r="B53" s="1" t="n">
        <v>44740</v>
      </c>
      <c r="C53" s="1" t="n">
        <v>45507</v>
      </c>
      <c r="D53" t="inlineStr">
        <is>
          <t>UPPSALA LÄN</t>
        </is>
      </c>
      <c r="E53" t="inlineStr">
        <is>
          <t>UPPSALA</t>
        </is>
      </c>
      <c r="G53" t="n">
        <v>21.5</v>
      </c>
      <c r="H53" t="n">
        <v>0</v>
      </c>
      <c r="I53" t="n">
        <v>3</v>
      </c>
      <c r="J53" t="n">
        <v>1</v>
      </c>
      <c r="K53" t="n">
        <v>0</v>
      </c>
      <c r="L53" t="n">
        <v>0</v>
      </c>
      <c r="M53" t="n">
        <v>0</v>
      </c>
      <c r="N53" t="n">
        <v>0</v>
      </c>
      <c r="O53" t="n">
        <v>1</v>
      </c>
      <c r="P53" t="n">
        <v>0</v>
      </c>
      <c r="Q53" t="n">
        <v>4</v>
      </c>
      <c r="R53" s="2" t="inlineStr">
        <is>
          <t>Vedtrappmossa
Blåmossa
Bronshjon
Trådticka</t>
        </is>
      </c>
      <c r="S53">
        <f>HYPERLINK("https://klasma.github.io/Logging_0380/artfynd/A 26758-2022 artfynd.xlsx", "A 26758-2022")</f>
        <v/>
      </c>
      <c r="T53">
        <f>HYPERLINK("https://klasma.github.io/Logging_0380/kartor/A 26758-2022 karta.png", "A 26758-2022")</f>
        <v/>
      </c>
      <c r="V53">
        <f>HYPERLINK("https://klasma.github.io/Logging_0380/klagomål/A 26758-2022 FSC-klagomål.docx", "A 26758-2022")</f>
        <v/>
      </c>
      <c r="W53">
        <f>HYPERLINK("https://klasma.github.io/Logging_0380/klagomålsmail/A 26758-2022 FSC-klagomål mail.docx", "A 26758-2022")</f>
        <v/>
      </c>
      <c r="X53">
        <f>HYPERLINK("https://klasma.github.io/Logging_0380/tillsyn/A 26758-2022 tillsynsbegäran.docx", "A 26758-2022")</f>
        <v/>
      </c>
      <c r="Y53">
        <f>HYPERLINK("https://klasma.github.io/Logging_0380/tillsynsmail/A 26758-2022 tillsynsbegäran mail.docx", "A 26758-2022")</f>
        <v/>
      </c>
    </row>
    <row r="54" ht="15" customHeight="1">
      <c r="A54" t="inlineStr">
        <is>
          <t>A 8323-2023</t>
        </is>
      </c>
      <c r="B54" s="1" t="n">
        <v>44974</v>
      </c>
      <c r="C54" s="1" t="n">
        <v>45507</v>
      </c>
      <c r="D54" t="inlineStr">
        <is>
          <t>UPPSALA LÄN</t>
        </is>
      </c>
      <c r="E54" t="inlineStr">
        <is>
          <t>UPPSALA</t>
        </is>
      </c>
      <c r="G54" t="n">
        <v>9.4</v>
      </c>
      <c r="H54" t="n">
        <v>1</v>
      </c>
      <c r="I54" t="n">
        <v>2</v>
      </c>
      <c r="J54" t="n">
        <v>1</v>
      </c>
      <c r="K54" t="n">
        <v>0</v>
      </c>
      <c r="L54" t="n">
        <v>0</v>
      </c>
      <c r="M54" t="n">
        <v>0</v>
      </c>
      <c r="N54" t="n">
        <v>0</v>
      </c>
      <c r="O54" t="n">
        <v>1</v>
      </c>
      <c r="P54" t="n">
        <v>0</v>
      </c>
      <c r="Q54" t="n">
        <v>4</v>
      </c>
      <c r="R54" s="2" t="inlineStr">
        <is>
          <t>Leptoporus erubescens
Blodticka
Grönpyrola
Revlummer</t>
        </is>
      </c>
      <c r="S54">
        <f>HYPERLINK("https://klasma.github.io/Logging_0380/artfynd/A 8323-2023 artfynd.xlsx", "A 8323-2023")</f>
        <v/>
      </c>
      <c r="T54">
        <f>HYPERLINK("https://klasma.github.io/Logging_0380/kartor/A 8323-2023 karta.png", "A 8323-2023")</f>
        <v/>
      </c>
      <c r="V54">
        <f>HYPERLINK("https://klasma.github.io/Logging_0380/klagomål/A 8323-2023 FSC-klagomål.docx", "A 8323-2023")</f>
        <v/>
      </c>
      <c r="W54">
        <f>HYPERLINK("https://klasma.github.io/Logging_0380/klagomålsmail/A 8323-2023 FSC-klagomål mail.docx", "A 8323-2023")</f>
        <v/>
      </c>
      <c r="X54">
        <f>HYPERLINK("https://klasma.github.io/Logging_0380/tillsyn/A 8323-2023 tillsynsbegäran.docx", "A 8323-2023")</f>
        <v/>
      </c>
      <c r="Y54">
        <f>HYPERLINK("https://klasma.github.io/Logging_0380/tillsynsmail/A 8323-2023 tillsynsbegäran mail.docx", "A 8323-2023")</f>
        <v/>
      </c>
    </row>
    <row r="55" ht="15" customHeight="1">
      <c r="A55" t="inlineStr">
        <is>
          <t>A 13210-2023</t>
        </is>
      </c>
      <c r="B55" s="1" t="n">
        <v>45002</v>
      </c>
      <c r="C55" s="1" t="n">
        <v>45507</v>
      </c>
      <c r="D55" t="inlineStr">
        <is>
          <t>UPPSALA LÄN</t>
        </is>
      </c>
      <c r="E55" t="inlineStr">
        <is>
          <t>UPPSALA</t>
        </is>
      </c>
      <c r="F55" t="inlineStr">
        <is>
          <t>Holmen skog AB</t>
        </is>
      </c>
      <c r="G55" t="n">
        <v>6.5</v>
      </c>
      <c r="H55" t="n">
        <v>2</v>
      </c>
      <c r="I55" t="n">
        <v>2</v>
      </c>
      <c r="J55" t="n">
        <v>0</v>
      </c>
      <c r="K55" t="n">
        <v>1</v>
      </c>
      <c r="L55" t="n">
        <v>0</v>
      </c>
      <c r="M55" t="n">
        <v>0</v>
      </c>
      <c r="N55" t="n">
        <v>0</v>
      </c>
      <c r="O55" t="n">
        <v>1</v>
      </c>
      <c r="P55" t="n">
        <v>1</v>
      </c>
      <c r="Q55" t="n">
        <v>4</v>
      </c>
      <c r="R55" s="2" t="inlineStr">
        <is>
          <t>Knärot
Bronshjon
Vanlig rörsvepemossa
Blåsippa</t>
        </is>
      </c>
      <c r="S55">
        <f>HYPERLINK("https://klasma.github.io/Logging_0380/artfynd/A 13210-2023 artfynd.xlsx", "A 13210-2023")</f>
        <v/>
      </c>
      <c r="T55">
        <f>HYPERLINK("https://klasma.github.io/Logging_0380/kartor/A 13210-2023 karta.png", "A 13210-2023")</f>
        <v/>
      </c>
      <c r="U55">
        <f>HYPERLINK("https://klasma.github.io/Logging_0380/knärot/A 13210-2023 karta knärot.png", "A 13210-2023")</f>
        <v/>
      </c>
      <c r="V55">
        <f>HYPERLINK("https://klasma.github.io/Logging_0380/klagomål/A 13210-2023 FSC-klagomål.docx", "A 13210-2023")</f>
        <v/>
      </c>
      <c r="W55">
        <f>HYPERLINK("https://klasma.github.io/Logging_0380/klagomålsmail/A 13210-2023 FSC-klagomål mail.docx", "A 13210-2023")</f>
        <v/>
      </c>
      <c r="X55">
        <f>HYPERLINK("https://klasma.github.io/Logging_0380/tillsyn/A 13210-2023 tillsynsbegäran.docx", "A 13210-2023")</f>
        <v/>
      </c>
      <c r="Y55">
        <f>HYPERLINK("https://klasma.github.io/Logging_0380/tillsynsmail/A 13210-2023 tillsynsbegäran mail.docx", "A 13210-2023")</f>
        <v/>
      </c>
    </row>
    <row r="56" ht="15" customHeight="1">
      <c r="A56" t="inlineStr">
        <is>
          <t>A 16456-2023</t>
        </is>
      </c>
      <c r="B56" s="1" t="n">
        <v>45026</v>
      </c>
      <c r="C56" s="1" t="n">
        <v>45507</v>
      </c>
      <c r="D56" t="inlineStr">
        <is>
          <t>UPPSALA LÄN</t>
        </is>
      </c>
      <c r="E56" t="inlineStr">
        <is>
          <t>UPPSALA</t>
        </is>
      </c>
      <c r="G56" t="n">
        <v>6.5</v>
      </c>
      <c r="H56" t="n">
        <v>3</v>
      </c>
      <c r="I56" t="n">
        <v>1</v>
      </c>
      <c r="J56" t="n">
        <v>2</v>
      </c>
      <c r="K56" t="n">
        <v>0</v>
      </c>
      <c r="L56" t="n">
        <v>0</v>
      </c>
      <c r="M56" t="n">
        <v>0</v>
      </c>
      <c r="N56" t="n">
        <v>0</v>
      </c>
      <c r="O56" t="n">
        <v>2</v>
      </c>
      <c r="P56" t="n">
        <v>0</v>
      </c>
      <c r="Q56" t="n">
        <v>4</v>
      </c>
      <c r="R56" s="2" t="inlineStr">
        <is>
          <t>Entita
Rödvingetrast
Björksplintborre
Skogsduva</t>
        </is>
      </c>
      <c r="S56">
        <f>HYPERLINK("https://klasma.github.io/Logging_0380/artfynd/A 16456-2023 artfynd.xlsx", "A 16456-2023")</f>
        <v/>
      </c>
      <c r="T56">
        <f>HYPERLINK("https://klasma.github.io/Logging_0380/kartor/A 16456-2023 karta.png", "A 16456-2023")</f>
        <v/>
      </c>
      <c r="V56">
        <f>HYPERLINK("https://klasma.github.io/Logging_0380/klagomål/A 16456-2023 FSC-klagomål.docx", "A 16456-2023")</f>
        <v/>
      </c>
      <c r="W56">
        <f>HYPERLINK("https://klasma.github.io/Logging_0380/klagomålsmail/A 16456-2023 FSC-klagomål mail.docx", "A 16456-2023")</f>
        <v/>
      </c>
      <c r="X56">
        <f>HYPERLINK("https://klasma.github.io/Logging_0380/tillsyn/A 16456-2023 tillsynsbegäran.docx", "A 16456-2023")</f>
        <v/>
      </c>
      <c r="Y56">
        <f>HYPERLINK("https://klasma.github.io/Logging_0380/tillsynsmail/A 16456-2023 tillsynsbegäran mail.docx", "A 16456-2023")</f>
        <v/>
      </c>
      <c r="Z56">
        <f>HYPERLINK("https://klasma.github.io/Logging_0380/fåglar/A 16456-2023 prioriterade fågelarter.docx", "A 16456-2023")</f>
        <v/>
      </c>
    </row>
    <row r="57" ht="15" customHeight="1">
      <c r="A57" t="inlineStr">
        <is>
          <t>A 19329-2023</t>
        </is>
      </c>
      <c r="B57" s="1" t="n">
        <v>45049</v>
      </c>
      <c r="C57" s="1" t="n">
        <v>45507</v>
      </c>
      <c r="D57" t="inlineStr">
        <is>
          <t>UPPSALA LÄN</t>
        </is>
      </c>
      <c r="E57" t="inlineStr">
        <is>
          <t>UPPSALA</t>
        </is>
      </c>
      <c r="G57" t="n">
        <v>10</v>
      </c>
      <c r="H57" t="n">
        <v>0</v>
      </c>
      <c r="I57" t="n">
        <v>3</v>
      </c>
      <c r="J57" t="n">
        <v>1</v>
      </c>
      <c r="K57" t="n">
        <v>0</v>
      </c>
      <c r="L57" t="n">
        <v>0</v>
      </c>
      <c r="M57" t="n">
        <v>0</v>
      </c>
      <c r="N57" t="n">
        <v>0</v>
      </c>
      <c r="O57" t="n">
        <v>1</v>
      </c>
      <c r="P57" t="n">
        <v>0</v>
      </c>
      <c r="Q57" t="n">
        <v>4</v>
      </c>
      <c r="R57" s="2" t="inlineStr">
        <is>
          <t>Erastia ochraceolateritia
Blodticka
Fjällig taggsvamp s.str.
Svavelriska</t>
        </is>
      </c>
      <c r="S57">
        <f>HYPERLINK("https://klasma.github.io/Logging_0380/artfynd/A 19329-2023 artfynd.xlsx", "A 19329-2023")</f>
        <v/>
      </c>
      <c r="T57">
        <f>HYPERLINK("https://klasma.github.io/Logging_0380/kartor/A 19329-2023 karta.png", "A 19329-2023")</f>
        <v/>
      </c>
      <c r="V57">
        <f>HYPERLINK("https://klasma.github.io/Logging_0380/klagomål/A 19329-2023 FSC-klagomål.docx", "A 19329-2023")</f>
        <v/>
      </c>
      <c r="W57">
        <f>HYPERLINK("https://klasma.github.io/Logging_0380/klagomålsmail/A 19329-2023 FSC-klagomål mail.docx", "A 19329-2023")</f>
        <v/>
      </c>
      <c r="X57">
        <f>HYPERLINK("https://klasma.github.io/Logging_0380/tillsyn/A 19329-2023 tillsynsbegäran.docx", "A 19329-2023")</f>
        <v/>
      </c>
      <c r="Y57">
        <f>HYPERLINK("https://klasma.github.io/Logging_0380/tillsynsmail/A 19329-2023 tillsynsbegäran mail.docx", "A 19329-2023")</f>
        <v/>
      </c>
    </row>
    <row r="58" ht="15" customHeight="1">
      <c r="A58" t="inlineStr">
        <is>
          <t>A 46533-2023</t>
        </is>
      </c>
      <c r="B58" s="1" t="n">
        <v>45197</v>
      </c>
      <c r="C58" s="1" t="n">
        <v>45507</v>
      </c>
      <c r="D58" t="inlineStr">
        <is>
          <t>UPPSALA LÄN</t>
        </is>
      </c>
      <c r="E58" t="inlineStr">
        <is>
          <t>UPPSALA</t>
        </is>
      </c>
      <c r="F58" t="inlineStr">
        <is>
          <t>Allmännings- och besparingsskogar</t>
        </is>
      </c>
      <c r="G58" t="n">
        <v>11.5</v>
      </c>
      <c r="H58" t="n">
        <v>1</v>
      </c>
      <c r="I58" t="n">
        <v>1</v>
      </c>
      <c r="J58" t="n">
        <v>2</v>
      </c>
      <c r="K58" t="n">
        <v>1</v>
      </c>
      <c r="L58" t="n">
        <v>0</v>
      </c>
      <c r="M58" t="n">
        <v>0</v>
      </c>
      <c r="N58" t="n">
        <v>0</v>
      </c>
      <c r="O58" t="n">
        <v>3</v>
      </c>
      <c r="P58" t="n">
        <v>1</v>
      </c>
      <c r="Q58" t="n">
        <v>4</v>
      </c>
      <c r="R58" s="2" t="inlineStr">
        <is>
          <t>Knärot
Lunglav
Vedskivlav
Korallblylav</t>
        </is>
      </c>
      <c r="S58">
        <f>HYPERLINK("https://klasma.github.io/Logging_0380/artfynd/A 46533-2023 artfynd.xlsx", "A 46533-2023")</f>
        <v/>
      </c>
      <c r="T58">
        <f>HYPERLINK("https://klasma.github.io/Logging_0380/kartor/A 46533-2023 karta.png", "A 46533-2023")</f>
        <v/>
      </c>
      <c r="U58">
        <f>HYPERLINK("https://klasma.github.io/Logging_0380/knärot/A 46533-2023 karta knärot.png", "A 46533-2023")</f>
        <v/>
      </c>
      <c r="V58">
        <f>HYPERLINK("https://klasma.github.io/Logging_0380/klagomål/A 46533-2023 FSC-klagomål.docx", "A 46533-2023")</f>
        <v/>
      </c>
      <c r="W58">
        <f>HYPERLINK("https://klasma.github.io/Logging_0380/klagomålsmail/A 46533-2023 FSC-klagomål mail.docx", "A 46533-2023")</f>
        <v/>
      </c>
      <c r="X58">
        <f>HYPERLINK("https://klasma.github.io/Logging_0380/tillsyn/A 46533-2023 tillsynsbegäran.docx", "A 46533-2023")</f>
        <v/>
      </c>
      <c r="Y58">
        <f>HYPERLINK("https://klasma.github.io/Logging_0380/tillsynsmail/A 46533-2023 tillsynsbegäran mail.docx", "A 46533-2023")</f>
        <v/>
      </c>
    </row>
    <row r="59" ht="15" customHeight="1">
      <c r="A59" t="inlineStr">
        <is>
          <t>A 11217-2024</t>
        </is>
      </c>
      <c r="B59" s="1" t="n">
        <v>45371</v>
      </c>
      <c r="C59" s="1" t="n">
        <v>45507</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21809-2024</t>
        </is>
      </c>
      <c r="B60" s="1" t="n">
        <v>45442</v>
      </c>
      <c r="C60" s="1" t="n">
        <v>45507</v>
      </c>
      <c r="D60" t="inlineStr">
        <is>
          <t>UPPSALA LÄN</t>
        </is>
      </c>
      <c r="E60" t="inlineStr">
        <is>
          <t>UPPSALA</t>
        </is>
      </c>
      <c r="F60" t="inlineStr">
        <is>
          <t>Övriga statliga verk och myndigheter</t>
        </is>
      </c>
      <c r="G60" t="n">
        <v>6.6</v>
      </c>
      <c r="H60" t="n">
        <v>3</v>
      </c>
      <c r="I60" t="n">
        <v>1</v>
      </c>
      <c r="J60" t="n">
        <v>1</v>
      </c>
      <c r="K60" t="n">
        <v>0</v>
      </c>
      <c r="L60" t="n">
        <v>0</v>
      </c>
      <c r="M60" t="n">
        <v>0</v>
      </c>
      <c r="N60" t="n">
        <v>0</v>
      </c>
      <c r="O60" t="n">
        <v>1</v>
      </c>
      <c r="P60" t="n">
        <v>0</v>
      </c>
      <c r="Q60" t="n">
        <v>4</v>
      </c>
      <c r="R60" s="2" t="inlineStr">
        <is>
          <t>Nordfladdermus
Vågbandad barkbock
Dvärgpipistrell
Blåsippa</t>
        </is>
      </c>
      <c r="S60">
        <f>HYPERLINK("https://klasma.github.io/Logging_0380/artfynd/A 21809-2024 artfynd.xlsx", "A 21809-2024")</f>
        <v/>
      </c>
      <c r="T60">
        <f>HYPERLINK("https://klasma.github.io/Logging_0380/kartor/A 21809-2024 karta.png", "A 21809-2024")</f>
        <v/>
      </c>
      <c r="V60">
        <f>HYPERLINK("https://klasma.github.io/Logging_0380/klagomål/A 21809-2024 FSC-klagomål.docx", "A 21809-2024")</f>
        <v/>
      </c>
      <c r="W60">
        <f>HYPERLINK("https://klasma.github.io/Logging_0380/klagomålsmail/A 21809-2024 FSC-klagomål mail.docx", "A 21809-2024")</f>
        <v/>
      </c>
      <c r="X60">
        <f>HYPERLINK("https://klasma.github.io/Logging_0380/tillsyn/A 21809-2024 tillsynsbegäran.docx", "A 21809-2024")</f>
        <v/>
      </c>
      <c r="Y60">
        <f>HYPERLINK("https://klasma.github.io/Logging_0380/tillsynsmail/A 21809-2024 tillsynsbegäran mail.docx", "A 21809-2024")</f>
        <v/>
      </c>
    </row>
    <row r="61" ht="15" customHeight="1">
      <c r="A61" t="inlineStr">
        <is>
          <t>A 23691-2024</t>
        </is>
      </c>
      <c r="B61" s="1" t="n">
        <v>45454</v>
      </c>
      <c r="C61" s="1" t="n">
        <v>45507</v>
      </c>
      <c r="D61" t="inlineStr">
        <is>
          <t>UPPSALA LÄN</t>
        </is>
      </c>
      <c r="E61" t="inlineStr">
        <is>
          <t>UPPSALA</t>
        </is>
      </c>
      <c r="F61" t="inlineStr">
        <is>
          <t>Holmen skog AB</t>
        </is>
      </c>
      <c r="G61" t="n">
        <v>2.2</v>
      </c>
      <c r="H61" t="n">
        <v>0</v>
      </c>
      <c r="I61" t="n">
        <v>1</v>
      </c>
      <c r="J61" t="n">
        <v>3</v>
      </c>
      <c r="K61" t="n">
        <v>0</v>
      </c>
      <c r="L61" t="n">
        <v>0</v>
      </c>
      <c r="M61" t="n">
        <v>0</v>
      </c>
      <c r="N61" t="n">
        <v>0</v>
      </c>
      <c r="O61" t="n">
        <v>3</v>
      </c>
      <c r="P61" t="n">
        <v>0</v>
      </c>
      <c r="Q61" t="n">
        <v>4</v>
      </c>
      <c r="R61" s="2" t="inlineStr">
        <is>
          <t>Ekticka
Lunglav
Skuggorangelav
Gulpudrad spiklav</t>
        </is>
      </c>
      <c r="S61">
        <f>HYPERLINK("https://klasma.github.io/Logging_0380/artfynd/A 23691-2024 artfynd.xlsx", "A 23691-2024")</f>
        <v/>
      </c>
      <c r="T61">
        <f>HYPERLINK("https://klasma.github.io/Logging_0380/kartor/A 23691-2024 karta.png", "A 23691-2024")</f>
        <v/>
      </c>
      <c r="V61">
        <f>HYPERLINK("https://klasma.github.io/Logging_0380/klagomål/A 23691-2024 FSC-klagomål.docx", "A 23691-2024")</f>
        <v/>
      </c>
      <c r="W61">
        <f>HYPERLINK("https://klasma.github.io/Logging_0380/klagomålsmail/A 23691-2024 FSC-klagomål mail.docx", "A 23691-2024")</f>
        <v/>
      </c>
      <c r="X61">
        <f>HYPERLINK("https://klasma.github.io/Logging_0380/tillsyn/A 23691-2024 tillsynsbegäran.docx", "A 23691-2024")</f>
        <v/>
      </c>
      <c r="Y61">
        <f>HYPERLINK("https://klasma.github.io/Logging_0380/tillsynsmail/A 23691-2024 tillsynsbegäran mail.docx", "A 23691-2024")</f>
        <v/>
      </c>
    </row>
    <row r="62" ht="15" customHeight="1">
      <c r="A62" t="inlineStr">
        <is>
          <t>A 23807-2024</t>
        </is>
      </c>
      <c r="B62" s="1" t="n">
        <v>45455</v>
      </c>
      <c r="C62" s="1" t="n">
        <v>45507</v>
      </c>
      <c r="D62" t="inlineStr">
        <is>
          <t>UPPSALA LÄN</t>
        </is>
      </c>
      <c r="E62" t="inlineStr">
        <is>
          <t>UPPSALA</t>
        </is>
      </c>
      <c r="F62" t="inlineStr">
        <is>
          <t>Holmen skog AB</t>
        </is>
      </c>
      <c r="G62" t="n">
        <v>8.800000000000001</v>
      </c>
      <c r="H62" t="n">
        <v>2</v>
      </c>
      <c r="I62" t="n">
        <v>2</v>
      </c>
      <c r="J62" t="n">
        <v>0</v>
      </c>
      <c r="K62" t="n">
        <v>0</v>
      </c>
      <c r="L62" t="n">
        <v>0</v>
      </c>
      <c r="M62" t="n">
        <v>0</v>
      </c>
      <c r="N62" t="n">
        <v>0</v>
      </c>
      <c r="O62" t="n">
        <v>0</v>
      </c>
      <c r="P62" t="n">
        <v>0</v>
      </c>
      <c r="Q62" t="n">
        <v>4</v>
      </c>
      <c r="R62" s="2" t="inlineStr">
        <is>
          <t>Sotlav
Underviol
Blåsippa
Gullviva</t>
        </is>
      </c>
      <c r="S62">
        <f>HYPERLINK("https://klasma.github.io/Logging_0380/artfynd/A 23807-2024 artfynd.xlsx", "A 23807-2024")</f>
        <v/>
      </c>
      <c r="T62">
        <f>HYPERLINK("https://klasma.github.io/Logging_0380/kartor/A 23807-2024 karta.png", "A 23807-2024")</f>
        <v/>
      </c>
      <c r="V62">
        <f>HYPERLINK("https://klasma.github.io/Logging_0380/klagomål/A 23807-2024 FSC-klagomål.docx", "A 23807-2024")</f>
        <v/>
      </c>
      <c r="W62">
        <f>HYPERLINK("https://klasma.github.io/Logging_0380/klagomålsmail/A 23807-2024 FSC-klagomål mail.docx", "A 23807-2024")</f>
        <v/>
      </c>
      <c r="X62">
        <f>HYPERLINK("https://klasma.github.io/Logging_0380/tillsyn/A 23807-2024 tillsynsbegäran.docx", "A 23807-2024")</f>
        <v/>
      </c>
      <c r="Y62">
        <f>HYPERLINK("https://klasma.github.io/Logging_0380/tillsynsmail/A 23807-2024 tillsynsbegäran mail.docx", "A 23807-2024")</f>
        <v/>
      </c>
    </row>
    <row r="63" ht="15" customHeight="1">
      <c r="A63" t="inlineStr">
        <is>
          <t>A 49258-2019</t>
        </is>
      </c>
      <c r="B63" s="1" t="n">
        <v>43731</v>
      </c>
      <c r="C63" s="1" t="n">
        <v>45507</v>
      </c>
      <c r="D63" t="inlineStr">
        <is>
          <t>UPPSALA LÄN</t>
        </is>
      </c>
      <c r="E63" t="inlineStr">
        <is>
          <t>UPPSALA</t>
        </is>
      </c>
      <c r="G63" t="n">
        <v>0.9</v>
      </c>
      <c r="H63" t="n">
        <v>0</v>
      </c>
      <c r="I63" t="n">
        <v>0</v>
      </c>
      <c r="J63" t="n">
        <v>1</v>
      </c>
      <c r="K63" t="n">
        <v>2</v>
      </c>
      <c r="L63" t="n">
        <v>0</v>
      </c>
      <c r="M63" t="n">
        <v>0</v>
      </c>
      <c r="N63" t="n">
        <v>0</v>
      </c>
      <c r="O63" t="n">
        <v>3</v>
      </c>
      <c r="P63" t="n">
        <v>2</v>
      </c>
      <c r="Q63" t="n">
        <v>3</v>
      </c>
      <c r="R63" s="2" t="inlineStr">
        <is>
          <t>Liten blekspik
Ostticka
Vedtrappmossa</t>
        </is>
      </c>
      <c r="S63">
        <f>HYPERLINK("https://klasma.github.io/Logging_0380/artfynd/A 49258-2019 artfynd.xlsx", "A 49258-2019")</f>
        <v/>
      </c>
      <c r="T63">
        <f>HYPERLINK("https://klasma.github.io/Logging_0380/kartor/A 49258-2019 karta.png", "A 49258-2019")</f>
        <v/>
      </c>
      <c r="V63">
        <f>HYPERLINK("https://klasma.github.io/Logging_0380/klagomål/A 49258-2019 FSC-klagomål.docx", "A 49258-2019")</f>
        <v/>
      </c>
      <c r="W63">
        <f>HYPERLINK("https://klasma.github.io/Logging_0380/klagomålsmail/A 49258-2019 FSC-klagomål mail.docx", "A 49258-2019")</f>
        <v/>
      </c>
      <c r="X63">
        <f>HYPERLINK("https://klasma.github.io/Logging_0380/tillsyn/A 49258-2019 tillsynsbegäran.docx", "A 49258-2019")</f>
        <v/>
      </c>
      <c r="Y63">
        <f>HYPERLINK("https://klasma.github.io/Logging_0380/tillsynsmail/A 49258-2019 tillsynsbegäran mail.docx", "A 49258-2019")</f>
        <v/>
      </c>
    </row>
    <row r="64" ht="15" customHeight="1">
      <c r="A64" t="inlineStr">
        <is>
          <t>A 63909-2019</t>
        </is>
      </c>
      <c r="B64" s="1" t="n">
        <v>43796</v>
      </c>
      <c r="C64" s="1" t="n">
        <v>45507</v>
      </c>
      <c r="D64" t="inlineStr">
        <is>
          <t>UPPSALA LÄN</t>
        </is>
      </c>
      <c r="E64" t="inlineStr">
        <is>
          <t>UPPSALA</t>
        </is>
      </c>
      <c r="F64" t="inlineStr">
        <is>
          <t>Holmen skog AB</t>
        </is>
      </c>
      <c r="G64" t="n">
        <v>3.8</v>
      </c>
      <c r="H64" t="n">
        <v>0</v>
      </c>
      <c r="I64" t="n">
        <v>0</v>
      </c>
      <c r="J64" t="n">
        <v>3</v>
      </c>
      <c r="K64" t="n">
        <v>0</v>
      </c>
      <c r="L64" t="n">
        <v>0</v>
      </c>
      <c r="M64" t="n">
        <v>0</v>
      </c>
      <c r="N64" t="n">
        <v>0</v>
      </c>
      <c r="O64" t="n">
        <v>3</v>
      </c>
      <c r="P64" t="n">
        <v>0</v>
      </c>
      <c r="Q64" t="n">
        <v>3</v>
      </c>
      <c r="R64" s="2" t="inlineStr">
        <is>
          <t>Ekticka
Rödbrun blekspik
Skuggorangelav</t>
        </is>
      </c>
      <c r="S64">
        <f>HYPERLINK("https://klasma.github.io/Logging_0380/artfynd/A 63909-2019 artfynd.xlsx", "A 63909-2019")</f>
        <v/>
      </c>
      <c r="T64">
        <f>HYPERLINK("https://klasma.github.io/Logging_0380/kartor/A 63909-2019 karta.png", "A 63909-2019")</f>
        <v/>
      </c>
      <c r="V64">
        <f>HYPERLINK("https://klasma.github.io/Logging_0380/klagomål/A 63909-2019 FSC-klagomål.docx", "A 63909-2019")</f>
        <v/>
      </c>
      <c r="W64">
        <f>HYPERLINK("https://klasma.github.io/Logging_0380/klagomålsmail/A 63909-2019 FSC-klagomål mail.docx", "A 63909-2019")</f>
        <v/>
      </c>
      <c r="X64">
        <f>HYPERLINK("https://klasma.github.io/Logging_0380/tillsyn/A 63909-2019 tillsynsbegäran.docx", "A 63909-2019")</f>
        <v/>
      </c>
      <c r="Y64">
        <f>HYPERLINK("https://klasma.github.io/Logging_0380/tillsynsmail/A 63909-2019 tillsynsbegäran mail.docx", "A 63909-2019")</f>
        <v/>
      </c>
    </row>
    <row r="65" ht="15" customHeight="1">
      <c r="A65" t="inlineStr">
        <is>
          <t>A 56107-2020</t>
        </is>
      </c>
      <c r="B65" s="1" t="n">
        <v>44133</v>
      </c>
      <c r="C65" s="1" t="n">
        <v>45507</v>
      </c>
      <c r="D65" t="inlineStr">
        <is>
          <t>UPPSALA LÄN</t>
        </is>
      </c>
      <c r="E65" t="inlineStr">
        <is>
          <t>UPPSALA</t>
        </is>
      </c>
      <c r="F65" t="inlineStr">
        <is>
          <t>Allmännings- och besparingsskogar</t>
        </is>
      </c>
      <c r="G65" t="n">
        <v>45.6</v>
      </c>
      <c r="H65" t="n">
        <v>3</v>
      </c>
      <c r="I65" t="n">
        <v>0</v>
      </c>
      <c r="J65" t="n">
        <v>1</v>
      </c>
      <c r="K65" t="n">
        <v>0</v>
      </c>
      <c r="L65" t="n">
        <v>0</v>
      </c>
      <c r="M65" t="n">
        <v>0</v>
      </c>
      <c r="N65" t="n">
        <v>0</v>
      </c>
      <c r="O65" t="n">
        <v>1</v>
      </c>
      <c r="P65" t="n">
        <v>0</v>
      </c>
      <c r="Q65" t="n">
        <v>3</v>
      </c>
      <c r="R65" s="2" t="inlineStr">
        <is>
          <t>Nordfladdermus
Dvärgpipistrell
Vattenfladdermus</t>
        </is>
      </c>
      <c r="S65">
        <f>HYPERLINK("https://klasma.github.io/Logging_0380/artfynd/A 56107-2020 artfynd.xlsx", "A 56107-2020")</f>
        <v/>
      </c>
      <c r="T65">
        <f>HYPERLINK("https://klasma.github.io/Logging_0380/kartor/A 56107-2020 karta.png", "A 56107-2020")</f>
        <v/>
      </c>
      <c r="V65">
        <f>HYPERLINK("https://klasma.github.io/Logging_0380/klagomål/A 56107-2020 FSC-klagomål.docx", "A 56107-2020")</f>
        <v/>
      </c>
      <c r="W65">
        <f>HYPERLINK("https://klasma.github.io/Logging_0380/klagomålsmail/A 56107-2020 FSC-klagomål mail.docx", "A 56107-2020")</f>
        <v/>
      </c>
      <c r="X65">
        <f>HYPERLINK("https://klasma.github.io/Logging_0380/tillsyn/A 56107-2020 tillsynsbegäran.docx", "A 56107-2020")</f>
        <v/>
      </c>
      <c r="Y65">
        <f>HYPERLINK("https://klasma.github.io/Logging_0380/tillsynsmail/A 56107-2020 tillsynsbegäran mail.docx", "A 56107-2020")</f>
        <v/>
      </c>
    </row>
    <row r="66" ht="15" customHeight="1">
      <c r="A66" t="inlineStr">
        <is>
          <t>A 60038-2021</t>
        </is>
      </c>
      <c r="B66" s="1" t="n">
        <v>44495</v>
      </c>
      <c r="C66" s="1" t="n">
        <v>45507</v>
      </c>
      <c r="D66" t="inlineStr">
        <is>
          <t>UPPSALA LÄN</t>
        </is>
      </c>
      <c r="E66" t="inlineStr">
        <is>
          <t>UPPSALA</t>
        </is>
      </c>
      <c r="G66" t="n">
        <v>1.2</v>
      </c>
      <c r="H66" t="n">
        <v>1</v>
      </c>
      <c r="I66" t="n">
        <v>0</v>
      </c>
      <c r="J66" t="n">
        <v>1</v>
      </c>
      <c r="K66" t="n">
        <v>1</v>
      </c>
      <c r="L66" t="n">
        <v>0</v>
      </c>
      <c r="M66" t="n">
        <v>0</v>
      </c>
      <c r="N66" t="n">
        <v>0</v>
      </c>
      <c r="O66" t="n">
        <v>2</v>
      </c>
      <c r="P66" t="n">
        <v>1</v>
      </c>
      <c r="Q66" t="n">
        <v>3</v>
      </c>
      <c r="R66" s="2" t="inlineStr">
        <is>
          <t>Rynkskinn
Ullticka
Blåsippa</t>
        </is>
      </c>
      <c r="S66">
        <f>HYPERLINK("https://klasma.github.io/Logging_0380/artfynd/A 60038-2021 artfynd.xlsx", "A 60038-2021")</f>
        <v/>
      </c>
      <c r="T66">
        <f>HYPERLINK("https://klasma.github.io/Logging_0380/kartor/A 60038-2021 karta.png", "A 60038-2021")</f>
        <v/>
      </c>
      <c r="V66">
        <f>HYPERLINK("https://klasma.github.io/Logging_0380/klagomål/A 60038-2021 FSC-klagomål.docx", "A 60038-2021")</f>
        <v/>
      </c>
      <c r="W66">
        <f>HYPERLINK("https://klasma.github.io/Logging_0380/klagomålsmail/A 60038-2021 FSC-klagomål mail.docx", "A 60038-2021")</f>
        <v/>
      </c>
      <c r="X66">
        <f>HYPERLINK("https://klasma.github.io/Logging_0380/tillsyn/A 60038-2021 tillsynsbegäran.docx", "A 60038-2021")</f>
        <v/>
      </c>
      <c r="Y66">
        <f>HYPERLINK("https://klasma.github.io/Logging_0380/tillsynsmail/A 60038-2021 tillsynsbegäran mail.docx", "A 60038-2021")</f>
        <v/>
      </c>
    </row>
    <row r="67" ht="15" customHeight="1">
      <c r="A67" t="inlineStr">
        <is>
          <t>A 14313-2022</t>
        </is>
      </c>
      <c r="B67" s="1" t="n">
        <v>44652</v>
      </c>
      <c r="C67" s="1" t="n">
        <v>45507</v>
      </c>
      <c r="D67" t="inlineStr">
        <is>
          <t>UPPSALA LÄN</t>
        </is>
      </c>
      <c r="E67" t="inlineStr">
        <is>
          <t>UPPSALA</t>
        </is>
      </c>
      <c r="F67" t="inlineStr">
        <is>
          <t>Holmen skog AB</t>
        </is>
      </c>
      <c r="G67" t="n">
        <v>1.7</v>
      </c>
      <c r="H67" t="n">
        <v>2</v>
      </c>
      <c r="I67" t="n">
        <v>1</v>
      </c>
      <c r="J67" t="n">
        <v>0</v>
      </c>
      <c r="K67" t="n">
        <v>0</v>
      </c>
      <c r="L67" t="n">
        <v>0</v>
      </c>
      <c r="M67" t="n">
        <v>0</v>
      </c>
      <c r="N67" t="n">
        <v>0</v>
      </c>
      <c r="O67" t="n">
        <v>0</v>
      </c>
      <c r="P67" t="n">
        <v>0</v>
      </c>
      <c r="Q67" t="n">
        <v>3</v>
      </c>
      <c r="R67" s="2" t="inlineStr">
        <is>
          <t>Vätteros
Blåsippa
Gullviva</t>
        </is>
      </c>
      <c r="S67">
        <f>HYPERLINK("https://klasma.github.io/Logging_0380/artfynd/A 14313-2022 artfynd.xlsx", "A 14313-2022")</f>
        <v/>
      </c>
      <c r="T67">
        <f>HYPERLINK("https://klasma.github.io/Logging_0380/kartor/A 14313-2022 karta.png", "A 14313-2022")</f>
        <v/>
      </c>
      <c r="V67">
        <f>HYPERLINK("https://klasma.github.io/Logging_0380/klagomål/A 14313-2022 FSC-klagomål.docx", "A 14313-2022")</f>
        <v/>
      </c>
      <c r="W67">
        <f>HYPERLINK("https://klasma.github.io/Logging_0380/klagomålsmail/A 14313-2022 FSC-klagomål mail.docx", "A 14313-2022")</f>
        <v/>
      </c>
      <c r="X67">
        <f>HYPERLINK("https://klasma.github.io/Logging_0380/tillsyn/A 14313-2022 tillsynsbegäran.docx", "A 14313-2022")</f>
        <v/>
      </c>
      <c r="Y67">
        <f>HYPERLINK("https://klasma.github.io/Logging_0380/tillsynsmail/A 14313-2022 tillsynsbegäran mail.docx", "A 14313-2022")</f>
        <v/>
      </c>
    </row>
    <row r="68" ht="15" customHeight="1">
      <c r="A68" t="inlineStr">
        <is>
          <t>A 18079-2022</t>
        </is>
      </c>
      <c r="B68" s="1" t="n">
        <v>44684</v>
      </c>
      <c r="C68" s="1" t="n">
        <v>45507</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19373-2022</t>
        </is>
      </c>
      <c r="B69" s="1" t="n">
        <v>44692</v>
      </c>
      <c r="C69" s="1" t="n">
        <v>45507</v>
      </c>
      <c r="D69" t="inlineStr">
        <is>
          <t>UPPSALA LÄN</t>
        </is>
      </c>
      <c r="E69" t="inlineStr">
        <is>
          <t>UPPSALA</t>
        </is>
      </c>
      <c r="F69" t="inlineStr">
        <is>
          <t>Bergvik skog öst AB</t>
        </is>
      </c>
      <c r="G69" t="n">
        <v>12.2</v>
      </c>
      <c r="H69" t="n">
        <v>1</v>
      </c>
      <c r="I69" t="n">
        <v>1</v>
      </c>
      <c r="J69" t="n">
        <v>0</v>
      </c>
      <c r="K69" t="n">
        <v>0</v>
      </c>
      <c r="L69" t="n">
        <v>1</v>
      </c>
      <c r="M69" t="n">
        <v>0</v>
      </c>
      <c r="N69" t="n">
        <v>0</v>
      </c>
      <c r="O69" t="n">
        <v>1</v>
      </c>
      <c r="P69" t="n">
        <v>1</v>
      </c>
      <c r="Q69" t="n">
        <v>3</v>
      </c>
      <c r="R69" s="2" t="inlineStr">
        <is>
          <t>Ask
Sårläka
Blåsippa</t>
        </is>
      </c>
      <c r="S69">
        <f>HYPERLINK("https://klasma.github.io/Logging_0380/artfynd/A 19373-2022 artfynd.xlsx", "A 19373-2022")</f>
        <v/>
      </c>
      <c r="T69">
        <f>HYPERLINK("https://klasma.github.io/Logging_0380/kartor/A 19373-2022 karta.png", "A 19373-2022")</f>
        <v/>
      </c>
      <c r="V69">
        <f>HYPERLINK("https://klasma.github.io/Logging_0380/klagomål/A 19373-2022 FSC-klagomål.docx", "A 19373-2022")</f>
        <v/>
      </c>
      <c r="W69">
        <f>HYPERLINK("https://klasma.github.io/Logging_0380/klagomålsmail/A 19373-2022 FSC-klagomål mail.docx", "A 19373-2022")</f>
        <v/>
      </c>
      <c r="X69">
        <f>HYPERLINK("https://klasma.github.io/Logging_0380/tillsyn/A 19373-2022 tillsynsbegäran.docx", "A 19373-2022")</f>
        <v/>
      </c>
      <c r="Y69">
        <f>HYPERLINK("https://klasma.github.io/Logging_0380/tillsynsmail/A 19373-2022 tillsynsbegäran mail.docx", "A 19373-2022")</f>
        <v/>
      </c>
    </row>
    <row r="70" ht="15" customHeight="1">
      <c r="A70" t="inlineStr">
        <is>
          <t>A 34147-2022</t>
        </is>
      </c>
      <c r="B70" s="1" t="n">
        <v>44791</v>
      </c>
      <c r="C70" s="1" t="n">
        <v>45507</v>
      </c>
      <c r="D70" t="inlineStr">
        <is>
          <t>UPPSALA LÄN</t>
        </is>
      </c>
      <c r="E70" t="inlineStr">
        <is>
          <t>UPPSALA</t>
        </is>
      </c>
      <c r="G70" t="n">
        <v>1.9</v>
      </c>
      <c r="H70" t="n">
        <v>0</v>
      </c>
      <c r="I70" t="n">
        <v>2</v>
      </c>
      <c r="J70" t="n">
        <v>1</v>
      </c>
      <c r="K70" t="n">
        <v>0</v>
      </c>
      <c r="L70" t="n">
        <v>0</v>
      </c>
      <c r="M70" t="n">
        <v>0</v>
      </c>
      <c r="N70" t="n">
        <v>0</v>
      </c>
      <c r="O70" t="n">
        <v>1</v>
      </c>
      <c r="P70" t="n">
        <v>0</v>
      </c>
      <c r="Q70" t="n">
        <v>3</v>
      </c>
      <c r="R70" s="2" t="inlineStr">
        <is>
          <t>Granticka
Kamjordstjärna
Stor aspticka</t>
        </is>
      </c>
      <c r="S70">
        <f>HYPERLINK("https://klasma.github.io/Logging_0380/artfynd/A 34147-2022 artfynd.xlsx", "A 34147-2022")</f>
        <v/>
      </c>
      <c r="T70">
        <f>HYPERLINK("https://klasma.github.io/Logging_0380/kartor/A 34147-2022 karta.png", "A 34147-2022")</f>
        <v/>
      </c>
      <c r="V70">
        <f>HYPERLINK("https://klasma.github.io/Logging_0380/klagomål/A 34147-2022 FSC-klagomål.docx", "A 34147-2022")</f>
        <v/>
      </c>
      <c r="W70">
        <f>HYPERLINK("https://klasma.github.io/Logging_0380/klagomålsmail/A 34147-2022 FSC-klagomål mail.docx", "A 34147-2022")</f>
        <v/>
      </c>
      <c r="X70">
        <f>HYPERLINK("https://klasma.github.io/Logging_0380/tillsyn/A 34147-2022 tillsynsbegäran.docx", "A 34147-2022")</f>
        <v/>
      </c>
      <c r="Y70">
        <f>HYPERLINK("https://klasma.github.io/Logging_0380/tillsynsmail/A 34147-2022 tillsynsbegäran mail.docx", "A 34147-2022")</f>
        <v/>
      </c>
    </row>
    <row r="71" ht="15" customHeight="1">
      <c r="A71" t="inlineStr">
        <is>
          <t>A 36471-2022</t>
        </is>
      </c>
      <c r="B71" s="1" t="n">
        <v>44804</v>
      </c>
      <c r="C71" s="1" t="n">
        <v>45507</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4586-2023</t>
        </is>
      </c>
      <c r="B72" s="1" t="n">
        <v>44956</v>
      </c>
      <c r="C72" s="1" t="n">
        <v>45507</v>
      </c>
      <c r="D72" t="inlineStr">
        <is>
          <t>UPPSALA LÄN</t>
        </is>
      </c>
      <c r="E72" t="inlineStr">
        <is>
          <t>UPPSALA</t>
        </is>
      </c>
      <c r="G72" t="n">
        <v>12.2</v>
      </c>
      <c r="H72" t="n">
        <v>1</v>
      </c>
      <c r="I72" t="n">
        <v>2</v>
      </c>
      <c r="J72" t="n">
        <v>0</v>
      </c>
      <c r="K72" t="n">
        <v>0</v>
      </c>
      <c r="L72" t="n">
        <v>0</v>
      </c>
      <c r="M72" t="n">
        <v>0</v>
      </c>
      <c r="N72" t="n">
        <v>0</v>
      </c>
      <c r="O72" t="n">
        <v>0</v>
      </c>
      <c r="P72" t="n">
        <v>0</v>
      </c>
      <c r="Q72" t="n">
        <v>3</v>
      </c>
      <c r="R72" s="2" t="inlineStr">
        <is>
          <t>Barkticka
Vedticka
Vanlig padda</t>
        </is>
      </c>
      <c r="S72">
        <f>HYPERLINK("https://klasma.github.io/Logging_0380/artfynd/A 4586-2023 artfynd.xlsx", "A 4586-2023")</f>
        <v/>
      </c>
      <c r="T72">
        <f>HYPERLINK("https://klasma.github.io/Logging_0380/kartor/A 4586-2023 karta.png", "A 4586-2023")</f>
        <v/>
      </c>
      <c r="V72">
        <f>HYPERLINK("https://klasma.github.io/Logging_0380/klagomål/A 4586-2023 FSC-klagomål.docx", "A 4586-2023")</f>
        <v/>
      </c>
      <c r="W72">
        <f>HYPERLINK("https://klasma.github.io/Logging_0380/klagomålsmail/A 4586-2023 FSC-klagomål mail.docx", "A 4586-2023")</f>
        <v/>
      </c>
      <c r="X72">
        <f>HYPERLINK("https://klasma.github.io/Logging_0380/tillsyn/A 4586-2023 tillsynsbegäran.docx", "A 4586-2023")</f>
        <v/>
      </c>
      <c r="Y72">
        <f>HYPERLINK("https://klasma.github.io/Logging_0380/tillsynsmail/A 4586-2023 tillsynsbegäran mail.docx", "A 4586-2023")</f>
        <v/>
      </c>
    </row>
    <row r="73" ht="15" customHeight="1">
      <c r="A73" t="inlineStr">
        <is>
          <t>A 7752-2023</t>
        </is>
      </c>
      <c r="B73" s="1" t="n">
        <v>44973</v>
      </c>
      <c r="C73" s="1" t="n">
        <v>45507</v>
      </c>
      <c r="D73" t="inlineStr">
        <is>
          <t>UPPSALA LÄN</t>
        </is>
      </c>
      <c r="E73" t="inlineStr">
        <is>
          <t>UPPSALA</t>
        </is>
      </c>
      <c r="F73" t="inlineStr">
        <is>
          <t>Sveaskog</t>
        </is>
      </c>
      <c r="G73" t="n">
        <v>0.6</v>
      </c>
      <c r="H73" t="n">
        <v>1</v>
      </c>
      <c r="I73" t="n">
        <v>2</v>
      </c>
      <c r="J73" t="n">
        <v>0</v>
      </c>
      <c r="K73" t="n">
        <v>0</v>
      </c>
      <c r="L73" t="n">
        <v>0</v>
      </c>
      <c r="M73" t="n">
        <v>0</v>
      </c>
      <c r="N73" t="n">
        <v>0</v>
      </c>
      <c r="O73" t="n">
        <v>0</v>
      </c>
      <c r="P73" t="n">
        <v>0</v>
      </c>
      <c r="Q73" t="n">
        <v>3</v>
      </c>
      <c r="R73" s="2" t="inlineStr">
        <is>
          <t>Fjällig taggsvamp s.str.
Skogshakmossa
Blåsippa</t>
        </is>
      </c>
      <c r="S73">
        <f>HYPERLINK("https://klasma.github.io/Logging_0380/artfynd/A 7752-2023 artfynd.xlsx", "A 7752-2023")</f>
        <v/>
      </c>
      <c r="T73">
        <f>HYPERLINK("https://klasma.github.io/Logging_0380/kartor/A 7752-2023 karta.png", "A 7752-2023")</f>
        <v/>
      </c>
      <c r="V73">
        <f>HYPERLINK("https://klasma.github.io/Logging_0380/klagomål/A 7752-2023 FSC-klagomål.docx", "A 7752-2023")</f>
        <v/>
      </c>
      <c r="W73">
        <f>HYPERLINK("https://klasma.github.io/Logging_0380/klagomålsmail/A 7752-2023 FSC-klagomål mail.docx", "A 7752-2023")</f>
        <v/>
      </c>
      <c r="X73">
        <f>HYPERLINK("https://klasma.github.io/Logging_0380/tillsyn/A 7752-2023 tillsynsbegäran.docx", "A 7752-2023")</f>
        <v/>
      </c>
      <c r="Y73">
        <f>HYPERLINK("https://klasma.github.io/Logging_0380/tillsynsmail/A 7752-2023 tillsynsbegäran mail.docx", "A 7752-2023")</f>
        <v/>
      </c>
    </row>
    <row r="74" ht="15" customHeight="1">
      <c r="A74" t="inlineStr">
        <is>
          <t>A 25943-2023</t>
        </is>
      </c>
      <c r="B74" s="1" t="n">
        <v>45090</v>
      </c>
      <c r="C74" s="1" t="n">
        <v>45507</v>
      </c>
      <c r="D74" t="inlineStr">
        <is>
          <t>UPPSALA LÄN</t>
        </is>
      </c>
      <c r="E74" t="inlineStr">
        <is>
          <t>UPPSALA</t>
        </is>
      </c>
      <c r="F74" t="inlineStr">
        <is>
          <t>Holmen skog AB</t>
        </is>
      </c>
      <c r="G74" t="n">
        <v>2.7</v>
      </c>
      <c r="H74" t="n">
        <v>1</v>
      </c>
      <c r="I74" t="n">
        <v>1</v>
      </c>
      <c r="J74" t="n">
        <v>2</v>
      </c>
      <c r="K74" t="n">
        <v>0</v>
      </c>
      <c r="L74" t="n">
        <v>0</v>
      </c>
      <c r="M74" t="n">
        <v>0</v>
      </c>
      <c r="N74" t="n">
        <v>0</v>
      </c>
      <c r="O74" t="n">
        <v>2</v>
      </c>
      <c r="P74" t="n">
        <v>0</v>
      </c>
      <c r="Q74" t="n">
        <v>3</v>
      </c>
      <c r="R74" s="2" t="inlineStr">
        <is>
          <t>Mindre hackspett
Vedtrappmossa
Vedticka</t>
        </is>
      </c>
      <c r="S74">
        <f>HYPERLINK("https://klasma.github.io/Logging_0380/artfynd/A 25943-2023 artfynd.xlsx", "A 25943-2023")</f>
        <v/>
      </c>
      <c r="T74">
        <f>HYPERLINK("https://klasma.github.io/Logging_0380/kartor/A 25943-2023 karta.png", "A 25943-2023")</f>
        <v/>
      </c>
      <c r="V74">
        <f>HYPERLINK("https://klasma.github.io/Logging_0380/klagomål/A 25943-2023 FSC-klagomål.docx", "A 25943-2023")</f>
        <v/>
      </c>
      <c r="W74">
        <f>HYPERLINK("https://klasma.github.io/Logging_0380/klagomålsmail/A 25943-2023 FSC-klagomål mail.docx", "A 25943-2023")</f>
        <v/>
      </c>
      <c r="X74">
        <f>HYPERLINK("https://klasma.github.io/Logging_0380/tillsyn/A 25943-2023 tillsynsbegäran.docx", "A 25943-2023")</f>
        <v/>
      </c>
      <c r="Y74">
        <f>HYPERLINK("https://klasma.github.io/Logging_0380/tillsynsmail/A 25943-2023 tillsynsbegäran mail.docx", "A 25943-2023")</f>
        <v/>
      </c>
      <c r="Z74">
        <f>HYPERLINK("https://klasma.github.io/Logging_0380/fåglar/A 25943-2023 prioriterade fågelarter.docx", "A 25943-2023")</f>
        <v/>
      </c>
    </row>
    <row r="75" ht="15" customHeight="1">
      <c r="A75" t="inlineStr">
        <is>
          <t>A 43942-2023</t>
        </is>
      </c>
      <c r="B75" s="1" t="n">
        <v>45187</v>
      </c>
      <c r="C75" s="1" t="n">
        <v>45507</v>
      </c>
      <c r="D75" t="inlineStr">
        <is>
          <t>UPPSALA LÄN</t>
        </is>
      </c>
      <c r="E75" t="inlineStr">
        <is>
          <t>UPPSALA</t>
        </is>
      </c>
      <c r="F75" t="inlineStr">
        <is>
          <t>Allmännings- och besparingsskogar</t>
        </is>
      </c>
      <c r="G75" t="n">
        <v>31.6</v>
      </c>
      <c r="H75" t="n">
        <v>3</v>
      </c>
      <c r="I75" t="n">
        <v>1</v>
      </c>
      <c r="J75" t="n">
        <v>1</v>
      </c>
      <c r="K75" t="n">
        <v>0</v>
      </c>
      <c r="L75" t="n">
        <v>0</v>
      </c>
      <c r="M75" t="n">
        <v>1</v>
      </c>
      <c r="N75" t="n">
        <v>0</v>
      </c>
      <c r="O75" t="n">
        <v>2</v>
      </c>
      <c r="P75" t="n">
        <v>1</v>
      </c>
      <c r="Q75" t="n">
        <v>3</v>
      </c>
      <c r="R75" s="2" t="inlineStr">
        <is>
          <t>Vedtrådmossa
Slaguggla
Grön sköldmossa</t>
        </is>
      </c>
      <c r="S75">
        <f>HYPERLINK("https://klasma.github.io/Logging_0380/artfynd/A 43942-2023 artfynd.xlsx", "A 43942-2023")</f>
        <v/>
      </c>
      <c r="T75">
        <f>HYPERLINK("https://klasma.github.io/Logging_0380/kartor/A 43942-2023 karta.png", "A 43942-2023")</f>
        <v/>
      </c>
      <c r="V75">
        <f>HYPERLINK("https://klasma.github.io/Logging_0380/klagomål/A 43942-2023 FSC-klagomål.docx", "A 43942-2023")</f>
        <v/>
      </c>
      <c r="W75">
        <f>HYPERLINK("https://klasma.github.io/Logging_0380/klagomålsmail/A 43942-2023 FSC-klagomål mail.docx", "A 43942-2023")</f>
        <v/>
      </c>
      <c r="X75">
        <f>HYPERLINK("https://klasma.github.io/Logging_0380/tillsyn/A 43942-2023 tillsynsbegäran.docx", "A 43942-2023")</f>
        <v/>
      </c>
      <c r="Y75">
        <f>HYPERLINK("https://klasma.github.io/Logging_0380/tillsynsmail/A 43942-2023 tillsynsbegäran mail.docx", "A 43942-2023")</f>
        <v/>
      </c>
      <c r="Z75">
        <f>HYPERLINK("https://klasma.github.io/Logging_0380/fåglar/A 43942-2023 prioriterade fågelarter.docx", "A 43942-2023")</f>
        <v/>
      </c>
    </row>
    <row r="76" ht="15" customHeight="1">
      <c r="A76" t="inlineStr">
        <is>
          <t>A 25607-2019</t>
        </is>
      </c>
      <c r="B76" s="1" t="n">
        <v>43607</v>
      </c>
      <c r="C76" s="1" t="n">
        <v>45507</v>
      </c>
      <c r="D76" t="inlineStr">
        <is>
          <t>UPPSALA LÄN</t>
        </is>
      </c>
      <c r="E76" t="inlineStr">
        <is>
          <t>UPPSALA</t>
        </is>
      </c>
      <c r="G76" t="n">
        <v>1.1</v>
      </c>
      <c r="H76" t="n">
        <v>2</v>
      </c>
      <c r="I76" t="n">
        <v>0</v>
      </c>
      <c r="J76" t="n">
        <v>0</v>
      </c>
      <c r="K76" t="n">
        <v>0</v>
      </c>
      <c r="L76" t="n">
        <v>0</v>
      </c>
      <c r="M76" t="n">
        <v>0</v>
      </c>
      <c r="N76" t="n">
        <v>0</v>
      </c>
      <c r="O76" t="n">
        <v>0</v>
      </c>
      <c r="P76" t="n">
        <v>0</v>
      </c>
      <c r="Q76" t="n">
        <v>2</v>
      </c>
      <c r="R76" s="2" t="inlineStr">
        <is>
          <t>Större vattensalamander
Mindre vattensalamander</t>
        </is>
      </c>
      <c r="S76">
        <f>HYPERLINK("https://klasma.github.io/Logging_0380/artfynd/A 25607-2019 artfynd.xlsx", "A 25607-2019")</f>
        <v/>
      </c>
      <c r="T76">
        <f>HYPERLINK("https://klasma.github.io/Logging_0380/kartor/A 25607-2019 karta.png", "A 25607-2019")</f>
        <v/>
      </c>
      <c r="V76">
        <f>HYPERLINK("https://klasma.github.io/Logging_0380/klagomål/A 25607-2019 FSC-klagomål.docx", "A 25607-2019")</f>
        <v/>
      </c>
      <c r="W76">
        <f>HYPERLINK("https://klasma.github.io/Logging_0380/klagomålsmail/A 25607-2019 FSC-klagomål mail.docx", "A 25607-2019")</f>
        <v/>
      </c>
      <c r="X76">
        <f>HYPERLINK("https://klasma.github.io/Logging_0380/tillsyn/A 25607-2019 tillsynsbegäran.docx", "A 25607-2019")</f>
        <v/>
      </c>
      <c r="Y76">
        <f>HYPERLINK("https://klasma.github.io/Logging_0380/tillsynsmail/A 25607-2019 tillsynsbegäran mail.docx", "A 25607-2019")</f>
        <v/>
      </c>
    </row>
    <row r="77" ht="15" customHeight="1">
      <c r="A77" t="inlineStr">
        <is>
          <t>A 34066-2019</t>
        </is>
      </c>
      <c r="B77" s="1" t="n">
        <v>43654</v>
      </c>
      <c r="C77" s="1" t="n">
        <v>45507</v>
      </c>
      <c r="D77" t="inlineStr">
        <is>
          <t>UPPSALA LÄN</t>
        </is>
      </c>
      <c r="E77" t="inlineStr">
        <is>
          <t>UPPSALA</t>
        </is>
      </c>
      <c r="G77" t="n">
        <v>1.3</v>
      </c>
      <c r="H77" t="n">
        <v>0</v>
      </c>
      <c r="I77" t="n">
        <v>0</v>
      </c>
      <c r="J77" t="n">
        <v>2</v>
      </c>
      <c r="K77" t="n">
        <v>0</v>
      </c>
      <c r="L77" t="n">
        <v>0</v>
      </c>
      <c r="M77" t="n">
        <v>0</v>
      </c>
      <c r="N77" t="n">
        <v>0</v>
      </c>
      <c r="O77" t="n">
        <v>2</v>
      </c>
      <c r="P77" t="n">
        <v>0</v>
      </c>
      <c r="Q77" t="n">
        <v>2</v>
      </c>
      <c r="R77" s="2" t="inlineStr">
        <is>
          <t>Asppraktbagge
Grön aspvedbock</t>
        </is>
      </c>
      <c r="S77">
        <f>HYPERLINK("https://klasma.github.io/Logging_0380/artfynd/A 34066-2019 artfynd.xlsx", "A 34066-2019")</f>
        <v/>
      </c>
      <c r="T77">
        <f>HYPERLINK("https://klasma.github.io/Logging_0380/kartor/A 34066-2019 karta.png", "A 34066-2019")</f>
        <v/>
      </c>
      <c r="V77">
        <f>HYPERLINK("https://klasma.github.io/Logging_0380/klagomål/A 34066-2019 FSC-klagomål.docx", "A 34066-2019")</f>
        <v/>
      </c>
      <c r="W77">
        <f>HYPERLINK("https://klasma.github.io/Logging_0380/klagomålsmail/A 34066-2019 FSC-klagomål mail.docx", "A 34066-2019")</f>
        <v/>
      </c>
      <c r="X77">
        <f>HYPERLINK("https://klasma.github.io/Logging_0380/tillsyn/A 34066-2019 tillsynsbegäran.docx", "A 34066-2019")</f>
        <v/>
      </c>
      <c r="Y77">
        <f>HYPERLINK("https://klasma.github.io/Logging_0380/tillsynsmail/A 34066-2019 tillsynsbegäran mail.docx", "A 34066-2019")</f>
        <v/>
      </c>
    </row>
    <row r="78" ht="15" customHeight="1">
      <c r="A78" t="inlineStr">
        <is>
          <t>A 52165-2019</t>
        </is>
      </c>
      <c r="B78" s="1" t="n">
        <v>43742</v>
      </c>
      <c r="C78" s="1" t="n">
        <v>45507</v>
      </c>
      <c r="D78" t="inlineStr">
        <is>
          <t>UPPSALA LÄN</t>
        </is>
      </c>
      <c r="E78" t="inlineStr">
        <is>
          <t>UPPSALA</t>
        </is>
      </c>
      <c r="F78" t="inlineStr">
        <is>
          <t>Allmännings- och besparingsskogar</t>
        </is>
      </c>
      <c r="G78" t="n">
        <v>28.7</v>
      </c>
      <c r="H78" t="n">
        <v>2</v>
      </c>
      <c r="I78" t="n">
        <v>2</v>
      </c>
      <c r="J78" t="n">
        <v>0</v>
      </c>
      <c r="K78" t="n">
        <v>0</v>
      </c>
      <c r="L78" t="n">
        <v>0</v>
      </c>
      <c r="M78" t="n">
        <v>0</v>
      </c>
      <c r="N78" t="n">
        <v>0</v>
      </c>
      <c r="O78" t="n">
        <v>0</v>
      </c>
      <c r="P78" t="n">
        <v>0</v>
      </c>
      <c r="Q78" t="n">
        <v>2</v>
      </c>
      <c r="R78" s="2" t="inlineStr">
        <is>
          <t>Korallrot
Spindelblomster</t>
        </is>
      </c>
      <c r="S78">
        <f>HYPERLINK("https://klasma.github.io/Logging_0380/artfynd/A 52165-2019 artfynd.xlsx", "A 52165-2019")</f>
        <v/>
      </c>
      <c r="T78">
        <f>HYPERLINK("https://klasma.github.io/Logging_0380/kartor/A 52165-2019 karta.png", "A 52165-2019")</f>
        <v/>
      </c>
      <c r="V78">
        <f>HYPERLINK("https://klasma.github.io/Logging_0380/klagomål/A 52165-2019 FSC-klagomål.docx", "A 52165-2019")</f>
        <v/>
      </c>
      <c r="W78">
        <f>HYPERLINK("https://klasma.github.io/Logging_0380/klagomålsmail/A 52165-2019 FSC-klagomål mail.docx", "A 52165-2019")</f>
        <v/>
      </c>
      <c r="X78">
        <f>HYPERLINK("https://klasma.github.io/Logging_0380/tillsyn/A 52165-2019 tillsynsbegäran.docx", "A 52165-2019")</f>
        <v/>
      </c>
      <c r="Y78">
        <f>HYPERLINK("https://klasma.github.io/Logging_0380/tillsynsmail/A 52165-2019 tillsynsbegäran mail.docx", "A 52165-2019")</f>
        <v/>
      </c>
    </row>
    <row r="79" ht="15" customHeight="1">
      <c r="A79" t="inlineStr">
        <is>
          <t>A 18468-2020</t>
        </is>
      </c>
      <c r="B79" s="1" t="n">
        <v>43929</v>
      </c>
      <c r="C79" s="1" t="n">
        <v>45507</v>
      </c>
      <c r="D79" t="inlineStr">
        <is>
          <t>UPPSALA LÄN</t>
        </is>
      </c>
      <c r="E79" t="inlineStr">
        <is>
          <t>UPPSALA</t>
        </is>
      </c>
      <c r="G79" t="n">
        <v>0.5</v>
      </c>
      <c r="H79" t="n">
        <v>1</v>
      </c>
      <c r="I79" t="n">
        <v>1</v>
      </c>
      <c r="J79" t="n">
        <v>0</v>
      </c>
      <c r="K79" t="n">
        <v>0</v>
      </c>
      <c r="L79" t="n">
        <v>0</v>
      </c>
      <c r="M79" t="n">
        <v>0</v>
      </c>
      <c r="N79" t="n">
        <v>0</v>
      </c>
      <c r="O79" t="n">
        <v>0</v>
      </c>
      <c r="P79" t="n">
        <v>0</v>
      </c>
      <c r="Q79" t="n">
        <v>2</v>
      </c>
      <c r="R79" s="2" t="inlineStr">
        <is>
          <t>Mindre märgborre
Gullviva</t>
        </is>
      </c>
      <c r="S79">
        <f>HYPERLINK("https://klasma.github.io/Logging_0380/artfynd/A 18468-2020 artfynd.xlsx", "A 18468-2020")</f>
        <v/>
      </c>
      <c r="T79">
        <f>HYPERLINK("https://klasma.github.io/Logging_0380/kartor/A 18468-2020 karta.png", "A 18468-2020")</f>
        <v/>
      </c>
      <c r="V79">
        <f>HYPERLINK("https://klasma.github.io/Logging_0380/klagomål/A 18468-2020 FSC-klagomål.docx", "A 18468-2020")</f>
        <v/>
      </c>
      <c r="W79">
        <f>HYPERLINK("https://klasma.github.io/Logging_0380/klagomålsmail/A 18468-2020 FSC-klagomål mail.docx", "A 18468-2020")</f>
        <v/>
      </c>
      <c r="X79">
        <f>HYPERLINK("https://klasma.github.io/Logging_0380/tillsyn/A 18468-2020 tillsynsbegäran.docx", "A 18468-2020")</f>
        <v/>
      </c>
      <c r="Y79">
        <f>HYPERLINK("https://klasma.github.io/Logging_0380/tillsynsmail/A 18468-2020 tillsynsbegäran mail.docx", "A 18468-2020")</f>
        <v/>
      </c>
    </row>
    <row r="80" ht="15" customHeight="1">
      <c r="A80" t="inlineStr">
        <is>
          <t>A 37289-2020</t>
        </is>
      </c>
      <c r="B80" s="1" t="n">
        <v>44054</v>
      </c>
      <c r="C80" s="1" t="n">
        <v>45507</v>
      </c>
      <c r="D80" t="inlineStr">
        <is>
          <t>UPPSALA LÄN</t>
        </is>
      </c>
      <c r="E80" t="inlineStr">
        <is>
          <t>UPPSALA</t>
        </is>
      </c>
      <c r="F80" t="inlineStr">
        <is>
          <t>Allmännings- och besparingsskogar</t>
        </is>
      </c>
      <c r="G80" t="n">
        <v>13.5</v>
      </c>
      <c r="H80" t="n">
        <v>0</v>
      </c>
      <c r="I80" t="n">
        <v>1</v>
      </c>
      <c r="J80" t="n">
        <v>1</v>
      </c>
      <c r="K80" t="n">
        <v>0</v>
      </c>
      <c r="L80" t="n">
        <v>0</v>
      </c>
      <c r="M80" t="n">
        <v>0</v>
      </c>
      <c r="N80" t="n">
        <v>0</v>
      </c>
      <c r="O80" t="n">
        <v>1</v>
      </c>
      <c r="P80" t="n">
        <v>0</v>
      </c>
      <c r="Q80" t="n">
        <v>2</v>
      </c>
      <c r="R80" s="2" t="inlineStr">
        <is>
          <t>Vedtrappmossa
Granbarkgnagare</t>
        </is>
      </c>
      <c r="S80">
        <f>HYPERLINK("https://klasma.github.io/Logging_0380/artfynd/A 37289-2020 artfynd.xlsx", "A 37289-2020")</f>
        <v/>
      </c>
      <c r="T80">
        <f>HYPERLINK("https://klasma.github.io/Logging_0380/kartor/A 37289-2020 karta.png", "A 37289-2020")</f>
        <v/>
      </c>
      <c r="V80">
        <f>HYPERLINK("https://klasma.github.io/Logging_0380/klagomål/A 37289-2020 FSC-klagomål.docx", "A 37289-2020")</f>
        <v/>
      </c>
      <c r="W80">
        <f>HYPERLINK("https://klasma.github.io/Logging_0380/klagomålsmail/A 37289-2020 FSC-klagomål mail.docx", "A 37289-2020")</f>
        <v/>
      </c>
      <c r="X80">
        <f>HYPERLINK("https://klasma.github.io/Logging_0380/tillsyn/A 37289-2020 tillsynsbegäran.docx", "A 37289-2020")</f>
        <v/>
      </c>
      <c r="Y80">
        <f>HYPERLINK("https://klasma.github.io/Logging_0380/tillsynsmail/A 37289-2020 tillsynsbegäran mail.docx", "A 37289-2020")</f>
        <v/>
      </c>
    </row>
    <row r="81" ht="15" customHeight="1">
      <c r="A81" t="inlineStr">
        <is>
          <t>A 48100-2020</t>
        </is>
      </c>
      <c r="B81" s="1" t="n">
        <v>44101</v>
      </c>
      <c r="C81" s="1" t="n">
        <v>45507</v>
      </c>
      <c r="D81" t="inlineStr">
        <is>
          <t>UPPSALA LÄN</t>
        </is>
      </c>
      <c r="E81" t="inlineStr">
        <is>
          <t>UPPSALA</t>
        </is>
      </c>
      <c r="F81" t="inlineStr">
        <is>
          <t>Sveaskog</t>
        </is>
      </c>
      <c r="G81" t="n">
        <v>8.800000000000001</v>
      </c>
      <c r="H81" t="n">
        <v>1</v>
      </c>
      <c r="I81" t="n">
        <v>1</v>
      </c>
      <c r="J81" t="n">
        <v>0</v>
      </c>
      <c r="K81" t="n">
        <v>0</v>
      </c>
      <c r="L81" t="n">
        <v>0</v>
      </c>
      <c r="M81" t="n">
        <v>0</v>
      </c>
      <c r="N81" t="n">
        <v>0</v>
      </c>
      <c r="O81" t="n">
        <v>0</v>
      </c>
      <c r="P81" t="n">
        <v>0</v>
      </c>
      <c r="Q81" t="n">
        <v>2</v>
      </c>
      <c r="R81" s="2" t="inlineStr">
        <is>
          <t>Svavelriska
Blåsippa</t>
        </is>
      </c>
      <c r="S81">
        <f>HYPERLINK("https://klasma.github.io/Logging_0380/artfynd/A 48100-2020 artfynd.xlsx", "A 48100-2020")</f>
        <v/>
      </c>
      <c r="T81">
        <f>HYPERLINK("https://klasma.github.io/Logging_0380/kartor/A 48100-2020 karta.png", "A 48100-2020")</f>
        <v/>
      </c>
      <c r="V81">
        <f>HYPERLINK("https://klasma.github.io/Logging_0380/klagomål/A 48100-2020 FSC-klagomål.docx", "A 48100-2020")</f>
        <v/>
      </c>
      <c r="W81">
        <f>HYPERLINK("https://klasma.github.io/Logging_0380/klagomålsmail/A 48100-2020 FSC-klagomål mail.docx", "A 48100-2020")</f>
        <v/>
      </c>
      <c r="X81">
        <f>HYPERLINK("https://klasma.github.io/Logging_0380/tillsyn/A 48100-2020 tillsynsbegäran.docx", "A 48100-2020")</f>
        <v/>
      </c>
      <c r="Y81">
        <f>HYPERLINK("https://klasma.github.io/Logging_0380/tillsynsmail/A 48100-2020 tillsynsbegäran mail.docx", "A 48100-2020")</f>
        <v/>
      </c>
    </row>
    <row r="82" ht="15" customHeight="1">
      <c r="A82" t="inlineStr">
        <is>
          <t>A 15277-2022</t>
        </is>
      </c>
      <c r="B82" s="1" t="n">
        <v>44659</v>
      </c>
      <c r="C82" s="1" t="n">
        <v>45507</v>
      </c>
      <c r="D82" t="inlineStr">
        <is>
          <t>UPPSALA LÄN</t>
        </is>
      </c>
      <c r="E82" t="inlineStr">
        <is>
          <t>UPPSALA</t>
        </is>
      </c>
      <c r="G82" t="n">
        <v>8.9</v>
      </c>
      <c r="H82" t="n">
        <v>2</v>
      </c>
      <c r="I82" t="n">
        <v>0</v>
      </c>
      <c r="J82" t="n">
        <v>2</v>
      </c>
      <c r="K82" t="n">
        <v>0</v>
      </c>
      <c r="L82" t="n">
        <v>0</v>
      </c>
      <c r="M82" t="n">
        <v>0</v>
      </c>
      <c r="N82" t="n">
        <v>0</v>
      </c>
      <c r="O82" t="n">
        <v>2</v>
      </c>
      <c r="P82" t="n">
        <v>0</v>
      </c>
      <c r="Q82" t="n">
        <v>2</v>
      </c>
      <c r="R82" s="2" t="inlineStr">
        <is>
          <t>Entita
Mindre hackspett</t>
        </is>
      </c>
      <c r="S82">
        <f>HYPERLINK("https://klasma.github.io/Logging_0380/artfynd/A 15277-2022 artfynd.xlsx", "A 15277-2022")</f>
        <v/>
      </c>
      <c r="T82">
        <f>HYPERLINK("https://klasma.github.io/Logging_0380/kartor/A 15277-2022 karta.png", "A 15277-2022")</f>
        <v/>
      </c>
      <c r="V82">
        <f>HYPERLINK("https://klasma.github.io/Logging_0380/klagomål/A 15277-2022 FSC-klagomål.docx", "A 15277-2022")</f>
        <v/>
      </c>
      <c r="W82">
        <f>HYPERLINK("https://klasma.github.io/Logging_0380/klagomålsmail/A 15277-2022 FSC-klagomål mail.docx", "A 15277-2022")</f>
        <v/>
      </c>
      <c r="X82">
        <f>HYPERLINK("https://klasma.github.io/Logging_0380/tillsyn/A 15277-2022 tillsynsbegäran.docx", "A 15277-2022")</f>
        <v/>
      </c>
      <c r="Y82">
        <f>HYPERLINK("https://klasma.github.io/Logging_0380/tillsynsmail/A 15277-2022 tillsynsbegäran mail.docx", "A 15277-2022")</f>
        <v/>
      </c>
      <c r="Z82">
        <f>HYPERLINK("https://klasma.github.io/Logging_0380/fåglar/A 15277-2022 prioriterade fågelarter.docx", "A 15277-2022")</f>
        <v/>
      </c>
    </row>
    <row r="83" ht="15" customHeight="1">
      <c r="A83" t="inlineStr">
        <is>
          <t>A 17341-2022</t>
        </is>
      </c>
      <c r="B83" s="1" t="n">
        <v>44678</v>
      </c>
      <c r="C83" s="1" t="n">
        <v>45507</v>
      </c>
      <c r="D83" t="inlineStr">
        <is>
          <t>UPPSALA LÄN</t>
        </is>
      </c>
      <c r="E83" t="inlineStr">
        <is>
          <t>UPPSALA</t>
        </is>
      </c>
      <c r="F83" t="inlineStr">
        <is>
          <t>Övriga Aktiebolag</t>
        </is>
      </c>
      <c r="G83" t="n">
        <v>10.3</v>
      </c>
      <c r="H83" t="n">
        <v>2</v>
      </c>
      <c r="I83" t="n">
        <v>0</v>
      </c>
      <c r="J83" t="n">
        <v>2</v>
      </c>
      <c r="K83" t="n">
        <v>0</v>
      </c>
      <c r="L83" t="n">
        <v>0</v>
      </c>
      <c r="M83" t="n">
        <v>0</v>
      </c>
      <c r="N83" t="n">
        <v>0</v>
      </c>
      <c r="O83" t="n">
        <v>2</v>
      </c>
      <c r="P83" t="n">
        <v>0</v>
      </c>
      <c r="Q83" t="n">
        <v>2</v>
      </c>
      <c r="R83" s="2" t="inlineStr">
        <is>
          <t>Järpe
Tretåig hackspett</t>
        </is>
      </c>
      <c r="S83">
        <f>HYPERLINK("https://klasma.github.io/Logging_0380/artfynd/A 17341-2022 artfynd.xlsx", "A 17341-2022")</f>
        <v/>
      </c>
      <c r="T83">
        <f>HYPERLINK("https://klasma.github.io/Logging_0380/kartor/A 17341-2022 karta.png", "A 17341-2022")</f>
        <v/>
      </c>
      <c r="V83">
        <f>HYPERLINK("https://klasma.github.io/Logging_0380/klagomål/A 17341-2022 FSC-klagomål.docx", "A 17341-2022")</f>
        <v/>
      </c>
      <c r="W83">
        <f>HYPERLINK("https://klasma.github.io/Logging_0380/klagomålsmail/A 17341-2022 FSC-klagomål mail.docx", "A 17341-2022")</f>
        <v/>
      </c>
      <c r="X83">
        <f>HYPERLINK("https://klasma.github.io/Logging_0380/tillsyn/A 17341-2022 tillsynsbegäran.docx", "A 17341-2022")</f>
        <v/>
      </c>
      <c r="Y83">
        <f>HYPERLINK("https://klasma.github.io/Logging_0380/tillsynsmail/A 17341-2022 tillsynsbegäran mail.docx", "A 17341-2022")</f>
        <v/>
      </c>
      <c r="Z83">
        <f>HYPERLINK("https://klasma.github.io/Logging_0380/fåglar/A 17341-2022 prioriterade fågelarter.docx", "A 17341-2022")</f>
        <v/>
      </c>
    </row>
    <row r="84" ht="15" customHeight="1">
      <c r="A84" t="inlineStr">
        <is>
          <t>A 54082-2022</t>
        </is>
      </c>
      <c r="B84" s="1" t="n">
        <v>44879</v>
      </c>
      <c r="C84" s="1" t="n">
        <v>45507</v>
      </c>
      <c r="D84" t="inlineStr">
        <is>
          <t>UPPSALA LÄN</t>
        </is>
      </c>
      <c r="E84" t="inlineStr">
        <is>
          <t>UPPSALA</t>
        </is>
      </c>
      <c r="G84" t="n">
        <v>15.1</v>
      </c>
      <c r="H84" t="n">
        <v>0</v>
      </c>
      <c r="I84" t="n">
        <v>2</v>
      </c>
      <c r="J84" t="n">
        <v>0</v>
      </c>
      <c r="K84" t="n">
        <v>0</v>
      </c>
      <c r="L84" t="n">
        <v>0</v>
      </c>
      <c r="M84" t="n">
        <v>0</v>
      </c>
      <c r="N84" t="n">
        <v>0</v>
      </c>
      <c r="O84" t="n">
        <v>0</v>
      </c>
      <c r="P84" t="n">
        <v>0</v>
      </c>
      <c r="Q84" t="n">
        <v>2</v>
      </c>
      <c r="R84" s="2" t="inlineStr">
        <is>
          <t>Fjällig taggsvamp s.str.
Skarp dropptaggsvamp</t>
        </is>
      </c>
      <c r="S84">
        <f>HYPERLINK("https://klasma.github.io/Logging_0380/artfynd/A 54082-2022 artfynd.xlsx", "A 54082-2022")</f>
        <v/>
      </c>
      <c r="T84">
        <f>HYPERLINK("https://klasma.github.io/Logging_0380/kartor/A 54082-2022 karta.png", "A 54082-2022")</f>
        <v/>
      </c>
      <c r="V84">
        <f>HYPERLINK("https://klasma.github.io/Logging_0380/klagomål/A 54082-2022 FSC-klagomål.docx", "A 54082-2022")</f>
        <v/>
      </c>
      <c r="W84">
        <f>HYPERLINK("https://klasma.github.io/Logging_0380/klagomålsmail/A 54082-2022 FSC-klagomål mail.docx", "A 54082-2022")</f>
        <v/>
      </c>
      <c r="X84">
        <f>HYPERLINK("https://klasma.github.io/Logging_0380/tillsyn/A 54082-2022 tillsynsbegäran.docx", "A 54082-2022")</f>
        <v/>
      </c>
      <c r="Y84">
        <f>HYPERLINK("https://klasma.github.io/Logging_0380/tillsynsmail/A 54082-2022 tillsynsbegäran mail.docx", "A 54082-2022")</f>
        <v/>
      </c>
    </row>
    <row r="85" ht="15" customHeight="1">
      <c r="A85" t="inlineStr">
        <is>
          <t>A 6998-2023</t>
        </is>
      </c>
      <c r="B85" s="1" t="n">
        <v>44967</v>
      </c>
      <c r="C85" s="1" t="n">
        <v>45507</v>
      </c>
      <c r="D85" t="inlineStr">
        <is>
          <t>UPPSALA LÄN</t>
        </is>
      </c>
      <c r="E85" t="inlineStr">
        <is>
          <t>UPPSALA</t>
        </is>
      </c>
      <c r="G85" t="n">
        <v>8.4</v>
      </c>
      <c r="H85" t="n">
        <v>2</v>
      </c>
      <c r="I85" t="n">
        <v>0</v>
      </c>
      <c r="J85" t="n">
        <v>0</v>
      </c>
      <c r="K85" t="n">
        <v>0</v>
      </c>
      <c r="L85" t="n">
        <v>0</v>
      </c>
      <c r="M85" t="n">
        <v>0</v>
      </c>
      <c r="N85" t="n">
        <v>0</v>
      </c>
      <c r="O85" t="n">
        <v>0</v>
      </c>
      <c r="P85" t="n">
        <v>0</v>
      </c>
      <c r="Q85" t="n">
        <v>2</v>
      </c>
      <c r="R85" s="2" t="inlineStr">
        <is>
          <t>Nattviol
Blåsippa</t>
        </is>
      </c>
      <c r="S85">
        <f>HYPERLINK("https://klasma.github.io/Logging_0380/artfynd/A 6998-2023 artfynd.xlsx", "A 6998-2023")</f>
        <v/>
      </c>
      <c r="T85">
        <f>HYPERLINK("https://klasma.github.io/Logging_0380/kartor/A 6998-2023 karta.png", "A 6998-2023")</f>
        <v/>
      </c>
      <c r="V85">
        <f>HYPERLINK("https://klasma.github.io/Logging_0380/klagomål/A 6998-2023 FSC-klagomål.docx", "A 6998-2023")</f>
        <v/>
      </c>
      <c r="W85">
        <f>HYPERLINK("https://klasma.github.io/Logging_0380/klagomålsmail/A 6998-2023 FSC-klagomål mail.docx", "A 6998-2023")</f>
        <v/>
      </c>
      <c r="X85">
        <f>HYPERLINK("https://klasma.github.io/Logging_0380/tillsyn/A 6998-2023 tillsynsbegäran.docx", "A 6998-2023")</f>
        <v/>
      </c>
      <c r="Y85">
        <f>HYPERLINK("https://klasma.github.io/Logging_0380/tillsynsmail/A 6998-2023 tillsynsbegäran mail.docx", "A 6998-2023")</f>
        <v/>
      </c>
    </row>
    <row r="86" ht="15" customHeight="1">
      <c r="A86" t="inlineStr">
        <is>
          <t>A 13206-2023</t>
        </is>
      </c>
      <c r="B86" s="1" t="n">
        <v>45002</v>
      </c>
      <c r="C86" s="1" t="n">
        <v>45507</v>
      </c>
      <c r="D86" t="inlineStr">
        <is>
          <t>UPPSALA LÄN</t>
        </is>
      </c>
      <c r="E86" t="inlineStr">
        <is>
          <t>UPPSALA</t>
        </is>
      </c>
      <c r="F86" t="inlineStr">
        <is>
          <t>Holmen skog AB</t>
        </is>
      </c>
      <c r="G86" t="n">
        <v>5.1</v>
      </c>
      <c r="H86" t="n">
        <v>2</v>
      </c>
      <c r="I86" t="n">
        <v>0</v>
      </c>
      <c r="J86" t="n">
        <v>0</v>
      </c>
      <c r="K86" t="n">
        <v>0</v>
      </c>
      <c r="L86" t="n">
        <v>0</v>
      </c>
      <c r="M86" t="n">
        <v>0</v>
      </c>
      <c r="N86" t="n">
        <v>0</v>
      </c>
      <c r="O86" t="n">
        <v>0</v>
      </c>
      <c r="P86" t="n">
        <v>0</v>
      </c>
      <c r="Q86" t="n">
        <v>2</v>
      </c>
      <c r="R86" s="2" t="inlineStr">
        <is>
          <t>Blåsippa
Revlummer</t>
        </is>
      </c>
      <c r="S86">
        <f>HYPERLINK("https://klasma.github.io/Logging_0380/artfynd/A 13206-2023 artfynd.xlsx", "A 13206-2023")</f>
        <v/>
      </c>
      <c r="T86">
        <f>HYPERLINK("https://klasma.github.io/Logging_0380/kartor/A 13206-2023 karta.png", "A 13206-2023")</f>
        <v/>
      </c>
      <c r="V86">
        <f>HYPERLINK("https://klasma.github.io/Logging_0380/klagomål/A 13206-2023 FSC-klagomål.docx", "A 13206-2023")</f>
        <v/>
      </c>
      <c r="W86">
        <f>HYPERLINK("https://klasma.github.io/Logging_0380/klagomålsmail/A 13206-2023 FSC-klagomål mail.docx", "A 13206-2023")</f>
        <v/>
      </c>
      <c r="X86">
        <f>HYPERLINK("https://klasma.github.io/Logging_0380/tillsyn/A 13206-2023 tillsynsbegäran.docx", "A 13206-2023")</f>
        <v/>
      </c>
      <c r="Y86">
        <f>HYPERLINK("https://klasma.github.io/Logging_0380/tillsynsmail/A 13206-2023 tillsynsbegäran mail.docx", "A 13206-2023")</f>
        <v/>
      </c>
    </row>
    <row r="87" ht="15" customHeight="1">
      <c r="A87" t="inlineStr">
        <is>
          <t>A 32675-2023</t>
        </is>
      </c>
      <c r="B87" s="1" t="n">
        <v>45121</v>
      </c>
      <c r="C87" s="1" t="n">
        <v>45507</v>
      </c>
      <c r="D87" t="inlineStr">
        <is>
          <t>UPPSALA LÄN</t>
        </is>
      </c>
      <c r="E87" t="inlineStr">
        <is>
          <t>UPPSALA</t>
        </is>
      </c>
      <c r="F87" t="inlineStr">
        <is>
          <t>Holmen skog AB</t>
        </is>
      </c>
      <c r="G87" t="n">
        <v>5.8</v>
      </c>
      <c r="H87" t="n">
        <v>1</v>
      </c>
      <c r="I87" t="n">
        <v>1</v>
      </c>
      <c r="J87" t="n">
        <v>0</v>
      </c>
      <c r="K87" t="n">
        <v>0</v>
      </c>
      <c r="L87" t="n">
        <v>0</v>
      </c>
      <c r="M87" t="n">
        <v>0</v>
      </c>
      <c r="N87" t="n">
        <v>0</v>
      </c>
      <c r="O87" t="n">
        <v>0</v>
      </c>
      <c r="P87" t="n">
        <v>0</v>
      </c>
      <c r="Q87" t="n">
        <v>2</v>
      </c>
      <c r="R87" s="2" t="inlineStr">
        <is>
          <t>Brandticka
Blåsippa</t>
        </is>
      </c>
      <c r="S87">
        <f>HYPERLINK("https://klasma.github.io/Logging_0380/artfynd/A 32675-2023 artfynd.xlsx", "A 32675-2023")</f>
        <v/>
      </c>
      <c r="T87">
        <f>HYPERLINK("https://klasma.github.io/Logging_0380/kartor/A 32675-2023 karta.png", "A 32675-2023")</f>
        <v/>
      </c>
      <c r="V87">
        <f>HYPERLINK("https://klasma.github.io/Logging_0380/klagomål/A 32675-2023 FSC-klagomål.docx", "A 32675-2023")</f>
        <v/>
      </c>
      <c r="W87">
        <f>HYPERLINK("https://klasma.github.io/Logging_0380/klagomålsmail/A 32675-2023 FSC-klagomål mail.docx", "A 32675-2023")</f>
        <v/>
      </c>
      <c r="X87">
        <f>HYPERLINK("https://klasma.github.io/Logging_0380/tillsyn/A 32675-2023 tillsynsbegäran.docx", "A 32675-2023")</f>
        <v/>
      </c>
      <c r="Y87">
        <f>HYPERLINK("https://klasma.github.io/Logging_0380/tillsynsmail/A 32675-2023 tillsynsbegäran mail.docx", "A 32675-2023")</f>
        <v/>
      </c>
    </row>
    <row r="88" ht="15" customHeight="1">
      <c r="A88" t="inlineStr">
        <is>
          <t>A 39933-2023</t>
        </is>
      </c>
      <c r="B88" s="1" t="n">
        <v>45168</v>
      </c>
      <c r="C88" s="1" t="n">
        <v>45507</v>
      </c>
      <c r="D88" t="inlineStr">
        <is>
          <t>UPPSALA LÄN</t>
        </is>
      </c>
      <c r="E88" t="inlineStr">
        <is>
          <t>UPPSALA</t>
        </is>
      </c>
      <c r="F88" t="inlineStr">
        <is>
          <t>Holmen skog AB</t>
        </is>
      </c>
      <c r="G88" t="n">
        <v>6.3</v>
      </c>
      <c r="H88" t="n">
        <v>2</v>
      </c>
      <c r="I88" t="n">
        <v>0</v>
      </c>
      <c r="J88" t="n">
        <v>2</v>
      </c>
      <c r="K88" t="n">
        <v>0</v>
      </c>
      <c r="L88" t="n">
        <v>0</v>
      </c>
      <c r="M88" t="n">
        <v>0</v>
      </c>
      <c r="N88" t="n">
        <v>0</v>
      </c>
      <c r="O88" t="n">
        <v>2</v>
      </c>
      <c r="P88" t="n">
        <v>0</v>
      </c>
      <c r="Q88" t="n">
        <v>2</v>
      </c>
      <c r="R88" s="2" t="inlineStr">
        <is>
          <t>Entita
Spillkråka</t>
        </is>
      </c>
      <c r="S88">
        <f>HYPERLINK("https://klasma.github.io/Logging_0380/artfynd/A 39933-2023 artfynd.xlsx", "A 39933-2023")</f>
        <v/>
      </c>
      <c r="T88">
        <f>HYPERLINK("https://klasma.github.io/Logging_0380/kartor/A 39933-2023 karta.png", "A 39933-2023")</f>
        <v/>
      </c>
      <c r="V88">
        <f>HYPERLINK("https://klasma.github.io/Logging_0380/klagomål/A 39933-2023 FSC-klagomål.docx", "A 39933-2023")</f>
        <v/>
      </c>
      <c r="W88">
        <f>HYPERLINK("https://klasma.github.io/Logging_0380/klagomålsmail/A 39933-2023 FSC-klagomål mail.docx", "A 39933-2023")</f>
        <v/>
      </c>
      <c r="X88">
        <f>HYPERLINK("https://klasma.github.io/Logging_0380/tillsyn/A 39933-2023 tillsynsbegäran.docx", "A 39933-2023")</f>
        <v/>
      </c>
      <c r="Y88">
        <f>HYPERLINK("https://klasma.github.io/Logging_0380/tillsynsmail/A 39933-2023 tillsynsbegäran mail.docx", "A 39933-2023")</f>
        <v/>
      </c>
      <c r="Z88">
        <f>HYPERLINK("https://klasma.github.io/Logging_0380/fåglar/A 39933-2023 prioriterade fågelarter.docx", "A 39933-2023")</f>
        <v/>
      </c>
    </row>
    <row r="89" ht="15" customHeight="1">
      <c r="A89" t="inlineStr">
        <is>
          <t>A 44675-2023</t>
        </is>
      </c>
      <c r="B89" s="1" t="n">
        <v>45189</v>
      </c>
      <c r="C89" s="1" t="n">
        <v>45507</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51749-2023</t>
        </is>
      </c>
      <c r="B90" s="1" t="n">
        <v>45222</v>
      </c>
      <c r="C90" s="1" t="n">
        <v>45507</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60703-2023</t>
        </is>
      </c>
      <c r="B91" s="1" t="n">
        <v>45260</v>
      </c>
      <c r="C91" s="1" t="n">
        <v>45507</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60712-2023</t>
        </is>
      </c>
      <c r="B92" s="1" t="n">
        <v>45260</v>
      </c>
      <c r="C92" s="1" t="n">
        <v>45507</v>
      </c>
      <c r="D92" t="inlineStr">
        <is>
          <t>UPPSALA LÄN</t>
        </is>
      </c>
      <c r="E92" t="inlineStr">
        <is>
          <t>UPPSALA</t>
        </is>
      </c>
      <c r="G92" t="n">
        <v>1</v>
      </c>
      <c r="H92" t="n">
        <v>0</v>
      </c>
      <c r="I92" t="n">
        <v>1</v>
      </c>
      <c r="J92" t="n">
        <v>1</v>
      </c>
      <c r="K92" t="n">
        <v>0</v>
      </c>
      <c r="L92" t="n">
        <v>0</v>
      </c>
      <c r="M92" t="n">
        <v>0</v>
      </c>
      <c r="N92" t="n">
        <v>0</v>
      </c>
      <c r="O92" t="n">
        <v>1</v>
      </c>
      <c r="P92" t="n">
        <v>0</v>
      </c>
      <c r="Q92" t="n">
        <v>2</v>
      </c>
      <c r="R92" s="2" t="inlineStr">
        <is>
          <t>Tallticka
Blodticka</t>
        </is>
      </c>
      <c r="S92">
        <f>HYPERLINK("https://klasma.github.io/Logging_0380/artfynd/A 60712-2023 artfynd.xlsx", "A 60712-2023")</f>
        <v/>
      </c>
      <c r="T92">
        <f>HYPERLINK("https://klasma.github.io/Logging_0380/kartor/A 60712-2023 karta.png", "A 60712-2023")</f>
        <v/>
      </c>
      <c r="V92">
        <f>HYPERLINK("https://klasma.github.io/Logging_0380/klagomål/A 60712-2023 FSC-klagomål.docx", "A 60712-2023")</f>
        <v/>
      </c>
      <c r="W92">
        <f>HYPERLINK("https://klasma.github.io/Logging_0380/klagomålsmail/A 60712-2023 FSC-klagomål mail.docx", "A 60712-2023")</f>
        <v/>
      </c>
      <c r="X92">
        <f>HYPERLINK("https://klasma.github.io/Logging_0380/tillsyn/A 60712-2023 tillsynsbegäran.docx", "A 60712-2023")</f>
        <v/>
      </c>
      <c r="Y92">
        <f>HYPERLINK("https://klasma.github.io/Logging_0380/tillsynsmail/A 60712-2023 tillsynsbegäran mail.docx", "A 60712-2023")</f>
        <v/>
      </c>
    </row>
    <row r="93" ht="15" customHeight="1">
      <c r="A93" t="inlineStr">
        <is>
          <t>A 88-2024</t>
        </is>
      </c>
      <c r="B93" s="1" t="n">
        <v>45293</v>
      </c>
      <c r="C93" s="1" t="n">
        <v>45507</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11230-2024</t>
        </is>
      </c>
      <c r="B94" s="1" t="n">
        <v>45371</v>
      </c>
      <c r="C94" s="1" t="n">
        <v>45507</v>
      </c>
      <c r="D94" t="inlineStr">
        <is>
          <t>UPPSALA LÄN</t>
        </is>
      </c>
      <c r="E94" t="inlineStr">
        <is>
          <t>UPPSALA</t>
        </is>
      </c>
      <c r="F94" t="inlineStr">
        <is>
          <t>Kommuner</t>
        </is>
      </c>
      <c r="G94" t="n">
        <v>2.1</v>
      </c>
      <c r="H94" t="n">
        <v>0</v>
      </c>
      <c r="I94" t="n">
        <v>1</v>
      </c>
      <c r="J94" t="n">
        <v>1</v>
      </c>
      <c r="K94" t="n">
        <v>0</v>
      </c>
      <c r="L94" t="n">
        <v>0</v>
      </c>
      <c r="M94" t="n">
        <v>0</v>
      </c>
      <c r="N94" t="n">
        <v>0</v>
      </c>
      <c r="O94" t="n">
        <v>1</v>
      </c>
      <c r="P94" t="n">
        <v>0</v>
      </c>
      <c r="Q94" t="n">
        <v>2</v>
      </c>
      <c r="R94" s="2" t="inlineStr">
        <is>
          <t>Tallticka
Fällmossa</t>
        </is>
      </c>
      <c r="S94">
        <f>HYPERLINK("https://klasma.github.io/Logging_0380/artfynd/A 11230-2024 artfynd.xlsx", "A 11230-2024")</f>
        <v/>
      </c>
      <c r="T94">
        <f>HYPERLINK("https://klasma.github.io/Logging_0380/kartor/A 11230-2024 karta.png", "A 11230-2024")</f>
        <v/>
      </c>
      <c r="V94">
        <f>HYPERLINK("https://klasma.github.io/Logging_0380/klagomål/A 11230-2024 FSC-klagomål.docx", "A 11230-2024")</f>
        <v/>
      </c>
      <c r="W94">
        <f>HYPERLINK("https://klasma.github.io/Logging_0380/klagomålsmail/A 11230-2024 FSC-klagomål mail.docx", "A 11230-2024")</f>
        <v/>
      </c>
      <c r="X94">
        <f>HYPERLINK("https://klasma.github.io/Logging_0380/tillsyn/A 11230-2024 tillsynsbegäran.docx", "A 11230-2024")</f>
        <v/>
      </c>
      <c r="Y94">
        <f>HYPERLINK("https://klasma.github.io/Logging_0380/tillsynsmail/A 11230-2024 tillsynsbegäran mail.docx", "A 11230-2024")</f>
        <v/>
      </c>
    </row>
    <row r="95" ht="15" customHeight="1">
      <c r="A95" t="inlineStr">
        <is>
          <t>A 11224-2024</t>
        </is>
      </c>
      <c r="B95" s="1" t="n">
        <v>45371</v>
      </c>
      <c r="C95" s="1" t="n">
        <v>45507</v>
      </c>
      <c r="D95" t="inlineStr">
        <is>
          <t>UPPSALA LÄN</t>
        </is>
      </c>
      <c r="E95" t="inlineStr">
        <is>
          <t>UPPSALA</t>
        </is>
      </c>
      <c r="F95" t="inlineStr">
        <is>
          <t>Kommuner</t>
        </is>
      </c>
      <c r="G95" t="n">
        <v>1.6</v>
      </c>
      <c r="H95" t="n">
        <v>2</v>
      </c>
      <c r="I95" t="n">
        <v>0</v>
      </c>
      <c r="J95" t="n">
        <v>0</v>
      </c>
      <c r="K95" t="n">
        <v>0</v>
      </c>
      <c r="L95" t="n">
        <v>0</v>
      </c>
      <c r="M95" t="n">
        <v>0</v>
      </c>
      <c r="N95" t="n">
        <v>0</v>
      </c>
      <c r="O95" t="n">
        <v>0</v>
      </c>
      <c r="P95" t="n">
        <v>0</v>
      </c>
      <c r="Q95" t="n">
        <v>2</v>
      </c>
      <c r="R95" s="2" t="inlineStr">
        <is>
          <t>Vanlig padda
Blåsippa</t>
        </is>
      </c>
      <c r="S95">
        <f>HYPERLINK("https://klasma.github.io/Logging_0380/artfynd/A 11224-2024 artfynd.xlsx", "A 11224-2024")</f>
        <v/>
      </c>
      <c r="T95">
        <f>HYPERLINK("https://klasma.github.io/Logging_0380/kartor/A 11224-2024 karta.png", "A 11224-2024")</f>
        <v/>
      </c>
      <c r="V95">
        <f>HYPERLINK("https://klasma.github.io/Logging_0380/klagomål/A 11224-2024 FSC-klagomål.docx", "A 11224-2024")</f>
        <v/>
      </c>
      <c r="W95">
        <f>HYPERLINK("https://klasma.github.io/Logging_0380/klagomålsmail/A 11224-2024 FSC-klagomål mail.docx", "A 11224-2024")</f>
        <v/>
      </c>
      <c r="X95">
        <f>HYPERLINK("https://klasma.github.io/Logging_0380/tillsyn/A 11224-2024 tillsynsbegäran.docx", "A 11224-2024")</f>
        <v/>
      </c>
      <c r="Y95">
        <f>HYPERLINK("https://klasma.github.io/Logging_0380/tillsynsmail/A 11224-2024 tillsynsbegäran mail.docx", "A 11224-2024")</f>
        <v/>
      </c>
    </row>
    <row r="96" ht="15" customHeight="1">
      <c r="A96" t="inlineStr">
        <is>
          <t>A 12039-2024</t>
        </is>
      </c>
      <c r="B96" s="1" t="n">
        <v>45377</v>
      </c>
      <c r="C96" s="1" t="n">
        <v>45507</v>
      </c>
      <c r="D96" t="inlineStr">
        <is>
          <t>UPPSALA LÄN</t>
        </is>
      </c>
      <c r="E96" t="inlineStr">
        <is>
          <t>UPPSALA</t>
        </is>
      </c>
      <c r="F96" t="inlineStr">
        <is>
          <t>Allmännings- och besparingsskogar</t>
        </is>
      </c>
      <c r="G96" t="n">
        <v>3.9</v>
      </c>
      <c r="H96" t="n">
        <v>1</v>
      </c>
      <c r="I96" t="n">
        <v>1</v>
      </c>
      <c r="J96" t="n">
        <v>1</v>
      </c>
      <c r="K96" t="n">
        <v>0</v>
      </c>
      <c r="L96" t="n">
        <v>0</v>
      </c>
      <c r="M96" t="n">
        <v>0</v>
      </c>
      <c r="N96" t="n">
        <v>0</v>
      </c>
      <c r="O96" t="n">
        <v>1</v>
      </c>
      <c r="P96" t="n">
        <v>0</v>
      </c>
      <c r="Q96" t="n">
        <v>2</v>
      </c>
      <c r="R96" s="2" t="inlineStr">
        <is>
          <t>Platt spretmossa
Grön sköldmossa</t>
        </is>
      </c>
      <c r="S96">
        <f>HYPERLINK("https://klasma.github.io/Logging_0380/artfynd/A 12039-2024 artfynd.xlsx", "A 12039-2024")</f>
        <v/>
      </c>
      <c r="T96">
        <f>HYPERLINK("https://klasma.github.io/Logging_0380/kartor/A 12039-2024 karta.png", "A 12039-2024")</f>
        <v/>
      </c>
      <c r="V96">
        <f>HYPERLINK("https://klasma.github.io/Logging_0380/klagomål/A 12039-2024 FSC-klagomål.docx", "A 12039-2024")</f>
        <v/>
      </c>
      <c r="W96">
        <f>HYPERLINK("https://klasma.github.io/Logging_0380/klagomålsmail/A 12039-2024 FSC-klagomål mail.docx", "A 12039-2024")</f>
        <v/>
      </c>
      <c r="X96">
        <f>HYPERLINK("https://klasma.github.io/Logging_0380/tillsyn/A 12039-2024 tillsynsbegäran.docx", "A 12039-2024")</f>
        <v/>
      </c>
      <c r="Y96">
        <f>HYPERLINK("https://klasma.github.io/Logging_0380/tillsynsmail/A 12039-2024 tillsynsbegäran mail.docx", "A 12039-2024")</f>
        <v/>
      </c>
    </row>
    <row r="97" ht="15" customHeight="1">
      <c r="A97" t="inlineStr">
        <is>
          <t>A 18347-2024</t>
        </is>
      </c>
      <c r="B97" s="1" t="n">
        <v>45422</v>
      </c>
      <c r="C97" s="1" t="n">
        <v>45507</v>
      </c>
      <c r="D97" t="inlineStr">
        <is>
          <t>UPPSALA LÄN</t>
        </is>
      </c>
      <c r="E97" t="inlineStr">
        <is>
          <t>UPPSALA</t>
        </is>
      </c>
      <c r="F97" t="inlineStr">
        <is>
          <t>Holmen skog AB</t>
        </is>
      </c>
      <c r="G97" t="n">
        <v>3.5</v>
      </c>
      <c r="H97" t="n">
        <v>1</v>
      </c>
      <c r="I97" t="n">
        <v>1</v>
      </c>
      <c r="J97" t="n">
        <v>0</v>
      </c>
      <c r="K97" t="n">
        <v>0</v>
      </c>
      <c r="L97" t="n">
        <v>0</v>
      </c>
      <c r="M97" t="n">
        <v>0</v>
      </c>
      <c r="N97" t="n">
        <v>0</v>
      </c>
      <c r="O97" t="n">
        <v>0</v>
      </c>
      <c r="P97" t="n">
        <v>0</v>
      </c>
      <c r="Q97" t="n">
        <v>2</v>
      </c>
      <c r="R97" s="2" t="inlineStr">
        <is>
          <t>Fällmossa
Blåsippa</t>
        </is>
      </c>
      <c r="S97">
        <f>HYPERLINK("https://klasma.github.io/Logging_0380/artfynd/A 18347-2024 artfynd.xlsx", "A 18347-2024")</f>
        <v/>
      </c>
      <c r="T97">
        <f>HYPERLINK("https://klasma.github.io/Logging_0380/kartor/A 18347-2024 karta.png", "A 18347-2024")</f>
        <v/>
      </c>
      <c r="V97">
        <f>HYPERLINK("https://klasma.github.io/Logging_0380/klagomål/A 18347-2024 FSC-klagomål.docx", "A 18347-2024")</f>
        <v/>
      </c>
      <c r="W97">
        <f>HYPERLINK("https://klasma.github.io/Logging_0380/klagomålsmail/A 18347-2024 FSC-klagomål mail.docx", "A 18347-2024")</f>
        <v/>
      </c>
      <c r="X97">
        <f>HYPERLINK("https://klasma.github.io/Logging_0380/tillsyn/A 18347-2024 tillsynsbegäran.docx", "A 18347-2024")</f>
        <v/>
      </c>
      <c r="Y97">
        <f>HYPERLINK("https://klasma.github.io/Logging_0380/tillsynsmail/A 18347-2024 tillsynsbegäran mail.docx", "A 18347-2024")</f>
        <v/>
      </c>
    </row>
    <row r="98" ht="15" customHeight="1">
      <c r="A98" t="inlineStr">
        <is>
          <t>A 27502-2024</t>
        </is>
      </c>
      <c r="B98" s="1" t="n">
        <v>45474</v>
      </c>
      <c r="C98" s="1" t="n">
        <v>45507</v>
      </c>
      <c r="D98" t="inlineStr">
        <is>
          <t>UPPSALA LÄN</t>
        </is>
      </c>
      <c r="E98" t="inlineStr">
        <is>
          <t>UPPSALA</t>
        </is>
      </c>
      <c r="G98" t="n">
        <v>13.6</v>
      </c>
      <c r="H98" t="n">
        <v>2</v>
      </c>
      <c r="I98" t="n">
        <v>0</v>
      </c>
      <c r="J98" t="n">
        <v>1</v>
      </c>
      <c r="K98" t="n">
        <v>1</v>
      </c>
      <c r="L98" t="n">
        <v>0</v>
      </c>
      <c r="M98" t="n">
        <v>0</v>
      </c>
      <c r="N98" t="n">
        <v>0</v>
      </c>
      <c r="O98" t="n">
        <v>2</v>
      </c>
      <c r="P98" t="n">
        <v>1</v>
      </c>
      <c r="Q98" t="n">
        <v>2</v>
      </c>
      <c r="R98" s="2" t="inlineStr">
        <is>
          <t>Knärot
Talltita</t>
        </is>
      </c>
      <c r="S98">
        <f>HYPERLINK("https://klasma.github.io/Logging_0380/artfynd/A 27502-2024 artfynd.xlsx", "A 27502-2024")</f>
        <v/>
      </c>
      <c r="T98">
        <f>HYPERLINK("https://klasma.github.io/Logging_0380/kartor/A 27502-2024 karta.png", "A 27502-2024")</f>
        <v/>
      </c>
      <c r="U98">
        <f>HYPERLINK("https://klasma.github.io/Logging_0380/knärot/A 27502-2024 karta knärot.png", "A 27502-2024")</f>
        <v/>
      </c>
      <c r="V98">
        <f>HYPERLINK("https://klasma.github.io/Logging_0380/klagomål/A 27502-2024 FSC-klagomål.docx", "A 27502-2024")</f>
        <v/>
      </c>
      <c r="W98">
        <f>HYPERLINK("https://klasma.github.io/Logging_0380/klagomålsmail/A 27502-2024 FSC-klagomål mail.docx", "A 27502-2024")</f>
        <v/>
      </c>
      <c r="X98">
        <f>HYPERLINK("https://klasma.github.io/Logging_0380/tillsyn/A 27502-2024 tillsynsbegäran.docx", "A 27502-2024")</f>
        <v/>
      </c>
      <c r="Y98">
        <f>HYPERLINK("https://klasma.github.io/Logging_0380/tillsynsmail/A 27502-2024 tillsynsbegäran mail.docx", "A 27502-2024")</f>
        <v/>
      </c>
      <c r="Z98">
        <f>HYPERLINK("https://klasma.github.io/Logging_0380/fåglar/A 27502-2024 prioriterade fågelarter.docx", "A 27502-2024")</f>
        <v/>
      </c>
    </row>
    <row r="99" ht="15" customHeight="1">
      <c r="A99" t="inlineStr">
        <is>
          <t>A 30123-2024</t>
        </is>
      </c>
      <c r="B99" s="1" t="n">
        <v>45489</v>
      </c>
      <c r="C99" s="1" t="n">
        <v>45507</v>
      </c>
      <c r="D99" t="inlineStr">
        <is>
          <t>UPPSALA LÄN</t>
        </is>
      </c>
      <c r="E99" t="inlineStr">
        <is>
          <t>UPPSALA</t>
        </is>
      </c>
      <c r="G99" t="n">
        <v>3.6</v>
      </c>
      <c r="H99" t="n">
        <v>1</v>
      </c>
      <c r="I99" t="n">
        <v>1</v>
      </c>
      <c r="J99" t="n">
        <v>1</v>
      </c>
      <c r="K99" t="n">
        <v>0</v>
      </c>
      <c r="L99" t="n">
        <v>0</v>
      </c>
      <c r="M99" t="n">
        <v>0</v>
      </c>
      <c r="N99" t="n">
        <v>0</v>
      </c>
      <c r="O99" t="n">
        <v>1</v>
      </c>
      <c r="P99" t="n">
        <v>0</v>
      </c>
      <c r="Q99" t="n">
        <v>2</v>
      </c>
      <c r="R99" s="2" t="inlineStr">
        <is>
          <t>Spillkråka
Svart trolldruva</t>
        </is>
      </c>
      <c r="S99">
        <f>HYPERLINK("https://klasma.github.io/Logging_0380/artfynd/A 30123-2024 artfynd.xlsx", "A 30123-2024")</f>
        <v/>
      </c>
      <c r="T99">
        <f>HYPERLINK("https://klasma.github.io/Logging_0380/kartor/A 30123-2024 karta.png", "A 30123-2024")</f>
        <v/>
      </c>
      <c r="V99">
        <f>HYPERLINK("https://klasma.github.io/Logging_0380/klagomål/A 30123-2024 FSC-klagomål.docx", "A 30123-2024")</f>
        <v/>
      </c>
      <c r="W99">
        <f>HYPERLINK("https://klasma.github.io/Logging_0380/klagomålsmail/A 30123-2024 FSC-klagomål mail.docx", "A 30123-2024")</f>
        <v/>
      </c>
      <c r="X99">
        <f>HYPERLINK("https://klasma.github.io/Logging_0380/tillsyn/A 30123-2024 tillsynsbegäran.docx", "A 30123-2024")</f>
        <v/>
      </c>
      <c r="Y99">
        <f>HYPERLINK("https://klasma.github.io/Logging_0380/tillsynsmail/A 30123-2024 tillsynsbegäran mail.docx", "A 30123-2024")</f>
        <v/>
      </c>
      <c r="Z99">
        <f>HYPERLINK("https://klasma.github.io/Logging_0380/fåglar/A 30123-2024 prioriterade fågelarter.docx", "A 30123-2024")</f>
        <v/>
      </c>
    </row>
    <row r="100" ht="15" customHeight="1">
      <c r="A100" t="inlineStr">
        <is>
          <t>A 20671-2019</t>
        </is>
      </c>
      <c r="B100" s="1" t="n">
        <v>43572</v>
      </c>
      <c r="C100" s="1" t="n">
        <v>45507</v>
      </c>
      <c r="D100" t="inlineStr">
        <is>
          <t>UPPSALA LÄN</t>
        </is>
      </c>
      <c r="E100" t="inlineStr">
        <is>
          <t>UPPSALA</t>
        </is>
      </c>
      <c r="G100" t="n">
        <v>14.8</v>
      </c>
      <c r="H100" t="n">
        <v>0</v>
      </c>
      <c r="I100" t="n">
        <v>0</v>
      </c>
      <c r="J100" t="n">
        <v>1</v>
      </c>
      <c r="K100" t="n">
        <v>0</v>
      </c>
      <c r="L100" t="n">
        <v>0</v>
      </c>
      <c r="M100" t="n">
        <v>0</v>
      </c>
      <c r="N100" t="n">
        <v>0</v>
      </c>
      <c r="O100" t="n">
        <v>1</v>
      </c>
      <c r="P100" t="n">
        <v>0</v>
      </c>
      <c r="Q100" t="n">
        <v>1</v>
      </c>
      <c r="R100" s="2" t="inlineStr">
        <is>
          <t>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row>
    <row r="101" ht="15" customHeight="1">
      <c r="A101" t="inlineStr">
        <is>
          <t>A 36346-2019</t>
        </is>
      </c>
      <c r="B101" s="1" t="n">
        <v>43661</v>
      </c>
      <c r="C101" s="1" t="n">
        <v>45507</v>
      </c>
      <c r="D101" t="inlineStr">
        <is>
          <t>UPPSALA LÄN</t>
        </is>
      </c>
      <c r="E101" t="inlineStr">
        <is>
          <t>UPPSALA</t>
        </is>
      </c>
      <c r="G101" t="n">
        <v>15.8</v>
      </c>
      <c r="H101" t="n">
        <v>0</v>
      </c>
      <c r="I101" t="n">
        <v>0</v>
      </c>
      <c r="J101" t="n">
        <v>1</v>
      </c>
      <c r="K101" t="n">
        <v>0</v>
      </c>
      <c r="L101" t="n">
        <v>0</v>
      </c>
      <c r="M101" t="n">
        <v>0</v>
      </c>
      <c r="N101" t="n">
        <v>0</v>
      </c>
      <c r="O101" t="n">
        <v>1</v>
      </c>
      <c r="P101" t="n">
        <v>0</v>
      </c>
      <c r="Q101" t="n">
        <v>1</v>
      </c>
      <c r="R101" s="2" t="inlineStr">
        <is>
          <t>Rosenticka</t>
        </is>
      </c>
      <c r="S101">
        <f>HYPERLINK("https://klasma.github.io/Logging_0380/artfynd/A 36346-2019 artfynd.xlsx", "A 36346-2019")</f>
        <v/>
      </c>
      <c r="T101">
        <f>HYPERLINK("https://klasma.github.io/Logging_0380/kartor/A 36346-2019 karta.png", "A 36346-2019")</f>
        <v/>
      </c>
      <c r="V101">
        <f>HYPERLINK("https://klasma.github.io/Logging_0380/klagomål/A 36346-2019 FSC-klagomål.docx", "A 36346-2019")</f>
        <v/>
      </c>
      <c r="W101">
        <f>HYPERLINK("https://klasma.github.io/Logging_0380/klagomålsmail/A 36346-2019 FSC-klagomål mail.docx", "A 36346-2019")</f>
        <v/>
      </c>
      <c r="X101">
        <f>HYPERLINK("https://klasma.github.io/Logging_0380/tillsyn/A 36346-2019 tillsynsbegäran.docx", "A 36346-2019")</f>
        <v/>
      </c>
      <c r="Y101">
        <f>HYPERLINK("https://klasma.github.io/Logging_0380/tillsynsmail/A 36346-2019 tillsynsbegäran mail.docx", "A 36346-2019")</f>
        <v/>
      </c>
    </row>
    <row r="102" ht="15" customHeight="1">
      <c r="A102" t="inlineStr">
        <is>
          <t>A 40104-2019</t>
        </is>
      </c>
      <c r="B102" s="1" t="n">
        <v>43693</v>
      </c>
      <c r="C102" s="1" t="n">
        <v>45507</v>
      </c>
      <c r="D102" t="inlineStr">
        <is>
          <t>UPPSALA LÄN</t>
        </is>
      </c>
      <c r="E102" t="inlineStr">
        <is>
          <t>UPPSALA</t>
        </is>
      </c>
      <c r="G102" t="n">
        <v>1.8</v>
      </c>
      <c r="H102" t="n">
        <v>1</v>
      </c>
      <c r="I102" t="n">
        <v>0</v>
      </c>
      <c r="J102" t="n">
        <v>0</v>
      </c>
      <c r="K102" t="n">
        <v>0</v>
      </c>
      <c r="L102" t="n">
        <v>0</v>
      </c>
      <c r="M102" t="n">
        <v>0</v>
      </c>
      <c r="N102" t="n">
        <v>0</v>
      </c>
      <c r="O102" t="n">
        <v>0</v>
      </c>
      <c r="P102" t="n">
        <v>0</v>
      </c>
      <c r="Q102" t="n">
        <v>1</v>
      </c>
      <c r="R102" s="2" t="inlineStr">
        <is>
          <t>Huggorm</t>
        </is>
      </c>
      <c r="S102">
        <f>HYPERLINK("https://klasma.github.io/Logging_0380/artfynd/A 40104-2019 artfynd.xlsx", "A 40104-2019")</f>
        <v/>
      </c>
      <c r="T102">
        <f>HYPERLINK("https://klasma.github.io/Logging_0380/kartor/A 40104-2019 karta.png", "A 40104-2019")</f>
        <v/>
      </c>
      <c r="V102">
        <f>HYPERLINK("https://klasma.github.io/Logging_0380/klagomål/A 40104-2019 FSC-klagomål.docx", "A 40104-2019")</f>
        <v/>
      </c>
      <c r="W102">
        <f>HYPERLINK("https://klasma.github.io/Logging_0380/klagomålsmail/A 40104-2019 FSC-klagomål mail.docx", "A 40104-2019")</f>
        <v/>
      </c>
      <c r="X102">
        <f>HYPERLINK("https://klasma.github.io/Logging_0380/tillsyn/A 40104-2019 tillsynsbegäran.docx", "A 40104-2019")</f>
        <v/>
      </c>
      <c r="Y102">
        <f>HYPERLINK("https://klasma.github.io/Logging_0380/tillsynsmail/A 40104-2019 tillsynsbegäran mail.docx", "A 40104-2019")</f>
        <v/>
      </c>
    </row>
    <row r="103" ht="15" customHeight="1">
      <c r="A103" t="inlineStr">
        <is>
          <t>A 40111-2019</t>
        </is>
      </c>
      <c r="B103" s="1" t="n">
        <v>43693</v>
      </c>
      <c r="C103" s="1" t="n">
        <v>45507</v>
      </c>
      <c r="D103" t="inlineStr">
        <is>
          <t>UPPSALA LÄN</t>
        </is>
      </c>
      <c r="E103" t="inlineStr">
        <is>
          <t>UPPSALA</t>
        </is>
      </c>
      <c r="G103" t="n">
        <v>1.9</v>
      </c>
      <c r="H103" t="n">
        <v>1</v>
      </c>
      <c r="I103" t="n">
        <v>0</v>
      </c>
      <c r="J103" t="n">
        <v>0</v>
      </c>
      <c r="K103" t="n">
        <v>0</v>
      </c>
      <c r="L103" t="n">
        <v>0</v>
      </c>
      <c r="M103" t="n">
        <v>0</v>
      </c>
      <c r="N103" t="n">
        <v>0</v>
      </c>
      <c r="O103" t="n">
        <v>0</v>
      </c>
      <c r="P103" t="n">
        <v>0</v>
      </c>
      <c r="Q103" t="n">
        <v>1</v>
      </c>
      <c r="R103" s="2" t="inlineStr">
        <is>
          <t>Blåsippa</t>
        </is>
      </c>
      <c r="S103">
        <f>HYPERLINK("https://klasma.github.io/Logging_0380/artfynd/A 40111-2019 artfynd.xlsx", "A 40111-2019")</f>
        <v/>
      </c>
      <c r="T103">
        <f>HYPERLINK("https://klasma.github.io/Logging_0380/kartor/A 40111-2019 karta.png", "A 40111-2019")</f>
        <v/>
      </c>
      <c r="V103">
        <f>HYPERLINK("https://klasma.github.io/Logging_0380/klagomål/A 40111-2019 FSC-klagomål.docx", "A 40111-2019")</f>
        <v/>
      </c>
      <c r="W103">
        <f>HYPERLINK("https://klasma.github.io/Logging_0380/klagomålsmail/A 40111-2019 FSC-klagomål mail.docx", "A 40111-2019")</f>
        <v/>
      </c>
      <c r="X103">
        <f>HYPERLINK("https://klasma.github.io/Logging_0380/tillsyn/A 40111-2019 tillsynsbegäran.docx", "A 40111-2019")</f>
        <v/>
      </c>
      <c r="Y103">
        <f>HYPERLINK("https://klasma.github.io/Logging_0380/tillsynsmail/A 40111-2019 tillsynsbegäran mail.docx", "A 40111-2019")</f>
        <v/>
      </c>
    </row>
    <row r="104" ht="15" customHeight="1">
      <c r="A104" t="inlineStr">
        <is>
          <t>A 49081-2019</t>
        </is>
      </c>
      <c r="B104" s="1" t="n">
        <v>43731</v>
      </c>
      <c r="C104" s="1" t="n">
        <v>45507</v>
      </c>
      <c r="D104" t="inlineStr">
        <is>
          <t>UPPSALA LÄN</t>
        </is>
      </c>
      <c r="E104" t="inlineStr">
        <is>
          <t>UPPSALA</t>
        </is>
      </c>
      <c r="G104" t="n">
        <v>14.4</v>
      </c>
      <c r="H104" t="n">
        <v>1</v>
      </c>
      <c r="I104" t="n">
        <v>0</v>
      </c>
      <c r="J104" t="n">
        <v>0</v>
      </c>
      <c r="K104" t="n">
        <v>0</v>
      </c>
      <c r="L104" t="n">
        <v>0</v>
      </c>
      <c r="M104" t="n">
        <v>0</v>
      </c>
      <c r="N104" t="n">
        <v>0</v>
      </c>
      <c r="O104" t="n">
        <v>0</v>
      </c>
      <c r="P104" t="n">
        <v>0</v>
      </c>
      <c r="Q104" t="n">
        <v>1</v>
      </c>
      <c r="R104" s="2" t="inlineStr">
        <is>
          <t>Vanlig padda</t>
        </is>
      </c>
      <c r="S104">
        <f>HYPERLINK("https://klasma.github.io/Logging_0380/artfynd/A 49081-2019 artfynd.xlsx", "A 49081-2019")</f>
        <v/>
      </c>
      <c r="T104">
        <f>HYPERLINK("https://klasma.github.io/Logging_0380/kartor/A 49081-2019 karta.png", "A 49081-2019")</f>
        <v/>
      </c>
      <c r="V104">
        <f>HYPERLINK("https://klasma.github.io/Logging_0380/klagomål/A 49081-2019 FSC-klagomål.docx", "A 49081-2019")</f>
        <v/>
      </c>
      <c r="W104">
        <f>HYPERLINK("https://klasma.github.io/Logging_0380/klagomålsmail/A 49081-2019 FSC-klagomål mail.docx", "A 49081-2019")</f>
        <v/>
      </c>
      <c r="X104">
        <f>HYPERLINK("https://klasma.github.io/Logging_0380/tillsyn/A 49081-2019 tillsynsbegäran.docx", "A 49081-2019")</f>
        <v/>
      </c>
      <c r="Y104">
        <f>HYPERLINK("https://klasma.github.io/Logging_0380/tillsynsmail/A 49081-2019 tillsynsbegäran mail.docx", "A 49081-2019")</f>
        <v/>
      </c>
    </row>
    <row r="105" ht="15" customHeight="1">
      <c r="A105" t="inlineStr">
        <is>
          <t>A 54859-2019</t>
        </is>
      </c>
      <c r="B105" s="1" t="n">
        <v>43755</v>
      </c>
      <c r="C105" s="1" t="n">
        <v>45507</v>
      </c>
      <c r="D105" t="inlineStr">
        <is>
          <t>UPPSALA LÄN</t>
        </is>
      </c>
      <c r="E105" t="inlineStr">
        <is>
          <t>UPPSALA</t>
        </is>
      </c>
      <c r="G105" t="n">
        <v>2.4</v>
      </c>
      <c r="H105" t="n">
        <v>1</v>
      </c>
      <c r="I105" t="n">
        <v>0</v>
      </c>
      <c r="J105" t="n">
        <v>1</v>
      </c>
      <c r="K105" t="n">
        <v>0</v>
      </c>
      <c r="L105" t="n">
        <v>0</v>
      </c>
      <c r="M105" t="n">
        <v>0</v>
      </c>
      <c r="N105" t="n">
        <v>0</v>
      </c>
      <c r="O105" t="n">
        <v>1</v>
      </c>
      <c r="P105" t="n">
        <v>0</v>
      </c>
      <c r="Q105" t="n">
        <v>1</v>
      </c>
      <c r="R105" s="2" t="inlineStr">
        <is>
          <t>Slaguggla</t>
        </is>
      </c>
      <c r="S105">
        <f>HYPERLINK("https://klasma.github.io/Logging_0380/artfynd/A 54859-2019 artfynd.xlsx", "A 54859-2019")</f>
        <v/>
      </c>
      <c r="T105">
        <f>HYPERLINK("https://klasma.github.io/Logging_0380/kartor/A 54859-2019 karta.png", "A 54859-2019")</f>
        <v/>
      </c>
      <c r="V105">
        <f>HYPERLINK("https://klasma.github.io/Logging_0380/klagomål/A 54859-2019 FSC-klagomål.docx", "A 54859-2019")</f>
        <v/>
      </c>
      <c r="W105">
        <f>HYPERLINK("https://klasma.github.io/Logging_0380/klagomålsmail/A 54859-2019 FSC-klagomål mail.docx", "A 54859-2019")</f>
        <v/>
      </c>
      <c r="X105">
        <f>HYPERLINK("https://klasma.github.io/Logging_0380/tillsyn/A 54859-2019 tillsynsbegäran.docx", "A 54859-2019")</f>
        <v/>
      </c>
      <c r="Y105">
        <f>HYPERLINK("https://klasma.github.io/Logging_0380/tillsynsmail/A 54859-2019 tillsynsbegäran mail.docx", "A 54859-2019")</f>
        <v/>
      </c>
      <c r="Z105">
        <f>HYPERLINK("https://klasma.github.io/Logging_0380/fåglar/A 54859-2019 prioriterade fågelarter.docx", "A 54859-2019")</f>
        <v/>
      </c>
    </row>
    <row r="106" ht="15" customHeight="1">
      <c r="A106" t="inlineStr">
        <is>
          <t>A 6659-2020</t>
        </is>
      </c>
      <c r="B106" s="1" t="n">
        <v>43867</v>
      </c>
      <c r="C106" s="1" t="n">
        <v>45507</v>
      </c>
      <c r="D106" t="inlineStr">
        <is>
          <t>UPPSALA LÄN</t>
        </is>
      </c>
      <c r="E106" t="inlineStr">
        <is>
          <t>UPPSALA</t>
        </is>
      </c>
      <c r="G106" t="n">
        <v>3.4</v>
      </c>
      <c r="H106" t="n">
        <v>1</v>
      </c>
      <c r="I106" t="n">
        <v>0</v>
      </c>
      <c r="J106" t="n">
        <v>0</v>
      </c>
      <c r="K106" t="n">
        <v>0</v>
      </c>
      <c r="L106" t="n">
        <v>0</v>
      </c>
      <c r="M106" t="n">
        <v>0</v>
      </c>
      <c r="N106" t="n">
        <v>0</v>
      </c>
      <c r="O106" t="n">
        <v>0</v>
      </c>
      <c r="P106" t="n">
        <v>0</v>
      </c>
      <c r="Q106" t="n">
        <v>1</v>
      </c>
      <c r="R106" s="2" t="inlineStr">
        <is>
          <t>Mindre vattensalamander</t>
        </is>
      </c>
      <c r="S106">
        <f>HYPERLINK("https://klasma.github.io/Logging_0380/artfynd/A 6659-2020 artfynd.xlsx", "A 6659-2020")</f>
        <v/>
      </c>
      <c r="T106">
        <f>HYPERLINK("https://klasma.github.io/Logging_0380/kartor/A 6659-2020 karta.png", "A 6659-2020")</f>
        <v/>
      </c>
      <c r="V106">
        <f>HYPERLINK("https://klasma.github.io/Logging_0380/klagomål/A 6659-2020 FSC-klagomål.docx", "A 6659-2020")</f>
        <v/>
      </c>
      <c r="W106">
        <f>HYPERLINK("https://klasma.github.io/Logging_0380/klagomålsmail/A 6659-2020 FSC-klagomål mail.docx", "A 6659-2020")</f>
        <v/>
      </c>
      <c r="X106">
        <f>HYPERLINK("https://klasma.github.io/Logging_0380/tillsyn/A 6659-2020 tillsynsbegäran.docx", "A 6659-2020")</f>
        <v/>
      </c>
      <c r="Y106">
        <f>HYPERLINK("https://klasma.github.io/Logging_0380/tillsynsmail/A 6659-2020 tillsynsbegäran mail.docx", "A 6659-2020")</f>
        <v/>
      </c>
    </row>
    <row r="107" ht="15" customHeight="1">
      <c r="A107" t="inlineStr">
        <is>
          <t>A 8678-2020</t>
        </is>
      </c>
      <c r="B107" s="1" t="n">
        <v>43878</v>
      </c>
      <c r="C107" s="1" t="n">
        <v>45507</v>
      </c>
      <c r="D107" t="inlineStr">
        <is>
          <t>UPPSALA LÄN</t>
        </is>
      </c>
      <c r="E107" t="inlineStr">
        <is>
          <t>UPPSALA</t>
        </is>
      </c>
      <c r="G107" t="n">
        <v>1.8</v>
      </c>
      <c r="H107" t="n">
        <v>1</v>
      </c>
      <c r="I107" t="n">
        <v>0</v>
      </c>
      <c r="J107" t="n">
        <v>1</v>
      </c>
      <c r="K107" t="n">
        <v>0</v>
      </c>
      <c r="L107" t="n">
        <v>0</v>
      </c>
      <c r="M107" t="n">
        <v>0</v>
      </c>
      <c r="N107" t="n">
        <v>0</v>
      </c>
      <c r="O107" t="n">
        <v>1</v>
      </c>
      <c r="P107" t="n">
        <v>0</v>
      </c>
      <c r="Q107" t="n">
        <v>1</v>
      </c>
      <c r="R107" s="2" t="inlineStr">
        <is>
          <t>Spillkråka</t>
        </is>
      </c>
      <c r="S107">
        <f>HYPERLINK("https://klasma.github.io/Logging_0380/artfynd/A 8678-2020 artfynd.xlsx", "A 8678-2020")</f>
        <v/>
      </c>
      <c r="T107">
        <f>HYPERLINK("https://klasma.github.io/Logging_0380/kartor/A 8678-2020 karta.png", "A 8678-2020")</f>
        <v/>
      </c>
      <c r="V107">
        <f>HYPERLINK("https://klasma.github.io/Logging_0380/klagomål/A 8678-2020 FSC-klagomål.docx", "A 8678-2020")</f>
        <v/>
      </c>
      <c r="W107">
        <f>HYPERLINK("https://klasma.github.io/Logging_0380/klagomålsmail/A 8678-2020 FSC-klagomål mail.docx", "A 8678-2020")</f>
        <v/>
      </c>
      <c r="X107">
        <f>HYPERLINK("https://klasma.github.io/Logging_0380/tillsyn/A 8678-2020 tillsynsbegäran.docx", "A 8678-2020")</f>
        <v/>
      </c>
      <c r="Y107">
        <f>HYPERLINK("https://klasma.github.io/Logging_0380/tillsynsmail/A 8678-2020 tillsynsbegäran mail.docx", "A 8678-2020")</f>
        <v/>
      </c>
      <c r="Z107">
        <f>HYPERLINK("https://klasma.github.io/Logging_0380/fåglar/A 8678-2020 prioriterade fågelarter.docx", "A 8678-2020")</f>
        <v/>
      </c>
    </row>
    <row r="108" ht="15" customHeight="1">
      <c r="A108" t="inlineStr">
        <is>
          <t>A 12786-2020</t>
        </is>
      </c>
      <c r="B108" s="1" t="n">
        <v>43893</v>
      </c>
      <c r="C108" s="1" t="n">
        <v>45507</v>
      </c>
      <c r="D108" t="inlineStr">
        <is>
          <t>UPPSALA LÄN</t>
        </is>
      </c>
      <c r="E108" t="inlineStr">
        <is>
          <t>UPPSALA</t>
        </is>
      </c>
      <c r="G108" t="n">
        <v>1</v>
      </c>
      <c r="H108" t="n">
        <v>1</v>
      </c>
      <c r="I108" t="n">
        <v>0</v>
      </c>
      <c r="J108" t="n">
        <v>0</v>
      </c>
      <c r="K108" t="n">
        <v>0</v>
      </c>
      <c r="L108" t="n">
        <v>0</v>
      </c>
      <c r="M108" t="n">
        <v>0</v>
      </c>
      <c r="N108" t="n">
        <v>0</v>
      </c>
      <c r="O108" t="n">
        <v>0</v>
      </c>
      <c r="P108" t="n">
        <v>0</v>
      </c>
      <c r="Q108" t="n">
        <v>1</v>
      </c>
      <c r="R108" s="2" t="inlineStr">
        <is>
          <t>Blåsippa</t>
        </is>
      </c>
      <c r="S108">
        <f>HYPERLINK("https://klasma.github.io/Logging_0380/artfynd/A 12786-2020 artfynd.xlsx", "A 12786-2020")</f>
        <v/>
      </c>
      <c r="T108">
        <f>HYPERLINK("https://klasma.github.io/Logging_0380/kartor/A 12786-2020 karta.png", "A 12786-2020")</f>
        <v/>
      </c>
      <c r="V108">
        <f>HYPERLINK("https://klasma.github.io/Logging_0380/klagomål/A 12786-2020 FSC-klagomål.docx", "A 12786-2020")</f>
        <v/>
      </c>
      <c r="W108">
        <f>HYPERLINK("https://klasma.github.io/Logging_0380/klagomålsmail/A 12786-2020 FSC-klagomål mail.docx", "A 12786-2020")</f>
        <v/>
      </c>
      <c r="X108">
        <f>HYPERLINK("https://klasma.github.io/Logging_0380/tillsyn/A 12786-2020 tillsynsbegäran.docx", "A 12786-2020")</f>
        <v/>
      </c>
      <c r="Y108">
        <f>HYPERLINK("https://klasma.github.io/Logging_0380/tillsynsmail/A 12786-2020 tillsynsbegäran mail.docx", "A 12786-2020")</f>
        <v/>
      </c>
    </row>
    <row r="109" ht="15" customHeight="1">
      <c r="A109" t="inlineStr">
        <is>
          <t>A 25299-2020</t>
        </is>
      </c>
      <c r="B109" s="1" t="n">
        <v>43980</v>
      </c>
      <c r="C109" s="1" t="n">
        <v>45507</v>
      </c>
      <c r="D109" t="inlineStr">
        <is>
          <t>UPPSALA LÄN</t>
        </is>
      </c>
      <c r="E109" t="inlineStr">
        <is>
          <t>UPPSALA</t>
        </is>
      </c>
      <c r="F109" t="inlineStr">
        <is>
          <t>Bergvik skog öst AB</t>
        </is>
      </c>
      <c r="G109" t="n">
        <v>2.5</v>
      </c>
      <c r="H109" t="n">
        <v>0</v>
      </c>
      <c r="I109" t="n">
        <v>1</v>
      </c>
      <c r="J109" t="n">
        <v>0</v>
      </c>
      <c r="K109" t="n">
        <v>0</v>
      </c>
      <c r="L109" t="n">
        <v>0</v>
      </c>
      <c r="M109" t="n">
        <v>0</v>
      </c>
      <c r="N109" t="n">
        <v>0</v>
      </c>
      <c r="O109" t="n">
        <v>0</v>
      </c>
      <c r="P109" t="n">
        <v>0</v>
      </c>
      <c r="Q109" t="n">
        <v>1</v>
      </c>
      <c r="R109" s="2" t="inlineStr">
        <is>
          <t>Scharlakansskål</t>
        </is>
      </c>
      <c r="S109">
        <f>HYPERLINK("https://klasma.github.io/Logging_0380/artfynd/A 25299-2020 artfynd.xlsx", "A 25299-2020")</f>
        <v/>
      </c>
      <c r="T109">
        <f>HYPERLINK("https://klasma.github.io/Logging_0380/kartor/A 25299-2020 karta.png", "A 25299-2020")</f>
        <v/>
      </c>
      <c r="V109">
        <f>HYPERLINK("https://klasma.github.io/Logging_0380/klagomål/A 25299-2020 FSC-klagomål.docx", "A 25299-2020")</f>
        <v/>
      </c>
      <c r="W109">
        <f>HYPERLINK("https://klasma.github.io/Logging_0380/klagomålsmail/A 25299-2020 FSC-klagomål mail.docx", "A 25299-2020")</f>
        <v/>
      </c>
      <c r="X109">
        <f>HYPERLINK("https://klasma.github.io/Logging_0380/tillsyn/A 25299-2020 tillsynsbegäran.docx", "A 25299-2020")</f>
        <v/>
      </c>
      <c r="Y109">
        <f>HYPERLINK("https://klasma.github.io/Logging_0380/tillsynsmail/A 25299-2020 tillsynsbegäran mail.docx", "A 25299-2020")</f>
        <v/>
      </c>
    </row>
    <row r="110" ht="15" customHeight="1">
      <c r="A110" t="inlineStr">
        <is>
          <t>A 35478-2020</t>
        </is>
      </c>
      <c r="B110" s="1" t="n">
        <v>44042</v>
      </c>
      <c r="C110" s="1" t="n">
        <v>45507</v>
      </c>
      <c r="D110" t="inlineStr">
        <is>
          <t>UPPSALA LÄN</t>
        </is>
      </c>
      <c r="E110" t="inlineStr">
        <is>
          <t>UPPSALA</t>
        </is>
      </c>
      <c r="G110" t="n">
        <v>2.5</v>
      </c>
      <c r="H110" t="n">
        <v>0</v>
      </c>
      <c r="I110" t="n">
        <v>1</v>
      </c>
      <c r="J110" t="n">
        <v>0</v>
      </c>
      <c r="K110" t="n">
        <v>0</v>
      </c>
      <c r="L110" t="n">
        <v>0</v>
      </c>
      <c r="M110" t="n">
        <v>0</v>
      </c>
      <c r="N110" t="n">
        <v>0</v>
      </c>
      <c r="O110" t="n">
        <v>0</v>
      </c>
      <c r="P110" t="n">
        <v>0</v>
      </c>
      <c r="Q110" t="n">
        <v>1</v>
      </c>
      <c r="R110" s="2" t="inlineStr">
        <is>
          <t>Stor aspticka</t>
        </is>
      </c>
      <c r="S110">
        <f>HYPERLINK("https://klasma.github.io/Logging_0380/artfynd/A 35478-2020 artfynd.xlsx", "A 35478-2020")</f>
        <v/>
      </c>
      <c r="T110">
        <f>HYPERLINK("https://klasma.github.io/Logging_0380/kartor/A 35478-2020 karta.png", "A 35478-2020")</f>
        <v/>
      </c>
      <c r="V110">
        <f>HYPERLINK("https://klasma.github.io/Logging_0380/klagomål/A 35478-2020 FSC-klagomål.docx", "A 35478-2020")</f>
        <v/>
      </c>
      <c r="W110">
        <f>HYPERLINK("https://klasma.github.io/Logging_0380/klagomålsmail/A 35478-2020 FSC-klagomål mail.docx", "A 35478-2020")</f>
        <v/>
      </c>
      <c r="X110">
        <f>HYPERLINK("https://klasma.github.io/Logging_0380/tillsyn/A 35478-2020 tillsynsbegäran.docx", "A 35478-2020")</f>
        <v/>
      </c>
      <c r="Y110">
        <f>HYPERLINK("https://klasma.github.io/Logging_0380/tillsynsmail/A 35478-2020 tillsynsbegäran mail.docx", "A 35478-2020")</f>
        <v/>
      </c>
    </row>
    <row r="111" ht="15" customHeight="1">
      <c r="A111" t="inlineStr">
        <is>
          <t>A 43192-2020</t>
        </is>
      </c>
      <c r="B111" s="1" t="n">
        <v>44081</v>
      </c>
      <c r="C111" s="1" t="n">
        <v>45507</v>
      </c>
      <c r="D111" t="inlineStr">
        <is>
          <t>UPPSALA LÄN</t>
        </is>
      </c>
      <c r="E111" t="inlineStr">
        <is>
          <t>UPPSALA</t>
        </is>
      </c>
      <c r="G111" t="n">
        <v>16.5</v>
      </c>
      <c r="H111" t="n">
        <v>0</v>
      </c>
      <c r="I111" t="n">
        <v>0</v>
      </c>
      <c r="J111" t="n">
        <v>1</v>
      </c>
      <c r="K111" t="n">
        <v>0</v>
      </c>
      <c r="L111" t="n">
        <v>0</v>
      </c>
      <c r="M111" t="n">
        <v>0</v>
      </c>
      <c r="N111" t="n">
        <v>0</v>
      </c>
      <c r="O111" t="n">
        <v>1</v>
      </c>
      <c r="P111" t="n">
        <v>0</v>
      </c>
      <c r="Q111" t="n">
        <v>1</v>
      </c>
      <c r="R111" s="2" t="inlineStr">
        <is>
          <t>Lunglav</t>
        </is>
      </c>
      <c r="S111">
        <f>HYPERLINK("https://klasma.github.io/Logging_0380/artfynd/A 43192-2020 artfynd.xlsx", "A 43192-2020")</f>
        <v/>
      </c>
      <c r="T111">
        <f>HYPERLINK("https://klasma.github.io/Logging_0380/kartor/A 43192-2020 karta.png", "A 43192-2020")</f>
        <v/>
      </c>
      <c r="V111">
        <f>HYPERLINK("https://klasma.github.io/Logging_0380/klagomål/A 43192-2020 FSC-klagomål.docx", "A 43192-2020")</f>
        <v/>
      </c>
      <c r="W111">
        <f>HYPERLINK("https://klasma.github.io/Logging_0380/klagomålsmail/A 43192-2020 FSC-klagomål mail.docx", "A 43192-2020")</f>
        <v/>
      </c>
      <c r="X111">
        <f>HYPERLINK("https://klasma.github.io/Logging_0380/tillsyn/A 43192-2020 tillsynsbegäran.docx", "A 43192-2020")</f>
        <v/>
      </c>
      <c r="Y111">
        <f>HYPERLINK("https://klasma.github.io/Logging_0380/tillsynsmail/A 43192-2020 tillsynsbegäran mail.docx", "A 43192-2020")</f>
        <v/>
      </c>
    </row>
    <row r="112" ht="15" customHeight="1">
      <c r="A112" t="inlineStr">
        <is>
          <t>A 12255-2021</t>
        </is>
      </c>
      <c r="B112" s="1" t="n">
        <v>44266</v>
      </c>
      <c r="C112" s="1" t="n">
        <v>45507</v>
      </c>
      <c r="D112" t="inlineStr">
        <is>
          <t>UPPSALA LÄN</t>
        </is>
      </c>
      <c r="E112" t="inlineStr">
        <is>
          <t>UPPSALA</t>
        </is>
      </c>
      <c r="F112" t="inlineStr">
        <is>
          <t>Bergvik skog öst AB</t>
        </is>
      </c>
      <c r="G112" t="n">
        <v>19.1</v>
      </c>
      <c r="H112" t="n">
        <v>0</v>
      </c>
      <c r="I112" t="n">
        <v>0</v>
      </c>
      <c r="J112" t="n">
        <v>1</v>
      </c>
      <c r="K112" t="n">
        <v>0</v>
      </c>
      <c r="L112" t="n">
        <v>0</v>
      </c>
      <c r="M112" t="n">
        <v>0</v>
      </c>
      <c r="N112" t="n">
        <v>0</v>
      </c>
      <c r="O112" t="n">
        <v>1</v>
      </c>
      <c r="P112" t="n">
        <v>0</v>
      </c>
      <c r="Q112" t="n">
        <v>1</v>
      </c>
      <c r="R112" s="2" t="inlineStr">
        <is>
          <t>Sexfläckig bastardsvärmare</t>
        </is>
      </c>
      <c r="S112">
        <f>HYPERLINK("https://klasma.github.io/Logging_0380/artfynd/A 12255-2021 artfynd.xlsx", "A 12255-2021")</f>
        <v/>
      </c>
      <c r="T112">
        <f>HYPERLINK("https://klasma.github.io/Logging_0380/kartor/A 12255-2021 karta.png", "A 12255-2021")</f>
        <v/>
      </c>
      <c r="V112">
        <f>HYPERLINK("https://klasma.github.io/Logging_0380/klagomål/A 12255-2021 FSC-klagomål.docx", "A 12255-2021")</f>
        <v/>
      </c>
      <c r="W112">
        <f>HYPERLINK("https://klasma.github.io/Logging_0380/klagomålsmail/A 12255-2021 FSC-klagomål mail.docx", "A 12255-2021")</f>
        <v/>
      </c>
      <c r="X112">
        <f>HYPERLINK("https://klasma.github.io/Logging_0380/tillsyn/A 12255-2021 tillsynsbegäran.docx", "A 12255-2021")</f>
        <v/>
      </c>
      <c r="Y112">
        <f>HYPERLINK("https://klasma.github.io/Logging_0380/tillsynsmail/A 12255-2021 tillsynsbegäran mail.docx", "A 12255-2021")</f>
        <v/>
      </c>
    </row>
    <row r="113" ht="15" customHeight="1">
      <c r="A113" t="inlineStr">
        <is>
          <t>A 52849-2021</t>
        </is>
      </c>
      <c r="B113" s="1" t="n">
        <v>44467</v>
      </c>
      <c r="C113" s="1" t="n">
        <v>45507</v>
      </c>
      <c r="D113" t="inlineStr">
        <is>
          <t>UPPSALA LÄN</t>
        </is>
      </c>
      <c r="E113" t="inlineStr">
        <is>
          <t>UPPSALA</t>
        </is>
      </c>
      <c r="F113" t="inlineStr">
        <is>
          <t>Övriga Aktiebolag</t>
        </is>
      </c>
      <c r="G113" t="n">
        <v>3.3</v>
      </c>
      <c r="H113" t="n">
        <v>0</v>
      </c>
      <c r="I113" t="n">
        <v>0</v>
      </c>
      <c r="J113" t="n">
        <v>1</v>
      </c>
      <c r="K113" t="n">
        <v>0</v>
      </c>
      <c r="L113" t="n">
        <v>0</v>
      </c>
      <c r="M113" t="n">
        <v>0</v>
      </c>
      <c r="N113" t="n">
        <v>0</v>
      </c>
      <c r="O113" t="n">
        <v>1</v>
      </c>
      <c r="P113" t="n">
        <v>0</v>
      </c>
      <c r="Q113" t="n">
        <v>1</v>
      </c>
      <c r="R113" s="2" t="inlineStr">
        <is>
          <t>Skogshare</t>
        </is>
      </c>
      <c r="S113">
        <f>HYPERLINK("https://klasma.github.io/Logging_0380/artfynd/A 52849-2021 artfynd.xlsx", "A 52849-2021")</f>
        <v/>
      </c>
      <c r="T113">
        <f>HYPERLINK("https://klasma.github.io/Logging_0380/kartor/A 52849-2021 karta.png", "A 52849-2021")</f>
        <v/>
      </c>
      <c r="V113">
        <f>HYPERLINK("https://klasma.github.io/Logging_0380/klagomål/A 52849-2021 FSC-klagomål.docx", "A 52849-2021")</f>
        <v/>
      </c>
      <c r="W113">
        <f>HYPERLINK("https://klasma.github.io/Logging_0380/klagomålsmail/A 52849-2021 FSC-klagomål mail.docx", "A 52849-2021")</f>
        <v/>
      </c>
      <c r="X113">
        <f>HYPERLINK("https://klasma.github.io/Logging_0380/tillsyn/A 52849-2021 tillsynsbegäran.docx", "A 52849-2021")</f>
        <v/>
      </c>
      <c r="Y113">
        <f>HYPERLINK("https://klasma.github.io/Logging_0380/tillsynsmail/A 52849-2021 tillsynsbegäran mail.docx", "A 52849-2021")</f>
        <v/>
      </c>
    </row>
    <row r="114" ht="15" customHeight="1">
      <c r="A114" t="inlineStr">
        <is>
          <t>A 58050-2021</t>
        </is>
      </c>
      <c r="B114" s="1" t="n">
        <v>44487</v>
      </c>
      <c r="C114" s="1" t="n">
        <v>45507</v>
      </c>
      <c r="D114" t="inlineStr">
        <is>
          <t>UPPSALA LÄN</t>
        </is>
      </c>
      <c r="E114" t="inlineStr">
        <is>
          <t>UPPSALA</t>
        </is>
      </c>
      <c r="G114" t="n">
        <v>4.4</v>
      </c>
      <c r="H114" t="n">
        <v>0</v>
      </c>
      <c r="I114" t="n">
        <v>0</v>
      </c>
      <c r="J114" t="n">
        <v>1</v>
      </c>
      <c r="K114" t="n">
        <v>0</v>
      </c>
      <c r="L114" t="n">
        <v>0</v>
      </c>
      <c r="M114" t="n">
        <v>0</v>
      </c>
      <c r="N114" t="n">
        <v>0</v>
      </c>
      <c r="O114" t="n">
        <v>1</v>
      </c>
      <c r="P114" t="n">
        <v>0</v>
      </c>
      <c r="Q114" t="n">
        <v>1</v>
      </c>
      <c r="R114" s="2" t="inlineStr">
        <is>
          <t>Ullticka</t>
        </is>
      </c>
      <c r="S114">
        <f>HYPERLINK("https://klasma.github.io/Logging_0380/artfynd/A 58050-2021 artfynd.xlsx", "A 58050-2021")</f>
        <v/>
      </c>
      <c r="T114">
        <f>HYPERLINK("https://klasma.github.io/Logging_0380/kartor/A 58050-2021 karta.png", "A 58050-2021")</f>
        <v/>
      </c>
      <c r="V114">
        <f>HYPERLINK("https://klasma.github.io/Logging_0380/klagomål/A 58050-2021 FSC-klagomål.docx", "A 58050-2021")</f>
        <v/>
      </c>
      <c r="W114">
        <f>HYPERLINK("https://klasma.github.io/Logging_0380/klagomålsmail/A 58050-2021 FSC-klagomål mail.docx", "A 58050-2021")</f>
        <v/>
      </c>
      <c r="X114">
        <f>HYPERLINK("https://klasma.github.io/Logging_0380/tillsyn/A 58050-2021 tillsynsbegäran.docx", "A 58050-2021")</f>
        <v/>
      </c>
      <c r="Y114">
        <f>HYPERLINK("https://klasma.github.io/Logging_0380/tillsynsmail/A 58050-2021 tillsynsbegäran mail.docx", "A 58050-2021")</f>
        <v/>
      </c>
    </row>
    <row r="115" ht="15" customHeight="1">
      <c r="A115" t="inlineStr">
        <is>
          <t>A 58906-2021</t>
        </is>
      </c>
      <c r="B115" s="1" t="n">
        <v>44489</v>
      </c>
      <c r="C115" s="1" t="n">
        <v>45507</v>
      </c>
      <c r="D115" t="inlineStr">
        <is>
          <t>UPPSALA LÄN</t>
        </is>
      </c>
      <c r="E115" t="inlineStr">
        <is>
          <t>UPPSALA</t>
        </is>
      </c>
      <c r="G115" t="n">
        <v>8.6</v>
      </c>
      <c r="H115" t="n">
        <v>0</v>
      </c>
      <c r="I115" t="n">
        <v>0</v>
      </c>
      <c r="J115" t="n">
        <v>1</v>
      </c>
      <c r="K115" t="n">
        <v>0</v>
      </c>
      <c r="L115" t="n">
        <v>0</v>
      </c>
      <c r="M115" t="n">
        <v>0</v>
      </c>
      <c r="N115" t="n">
        <v>0</v>
      </c>
      <c r="O115" t="n">
        <v>1</v>
      </c>
      <c r="P115" t="n">
        <v>0</v>
      </c>
      <c r="Q115" t="n">
        <v>1</v>
      </c>
      <c r="R115" s="2" t="inlineStr">
        <is>
          <t>Ullticka</t>
        </is>
      </c>
      <c r="S115">
        <f>HYPERLINK("https://klasma.github.io/Logging_0380/artfynd/A 58906-2021 artfynd.xlsx", "A 58906-2021")</f>
        <v/>
      </c>
      <c r="T115">
        <f>HYPERLINK("https://klasma.github.io/Logging_0380/kartor/A 58906-2021 karta.png", "A 58906-2021")</f>
        <v/>
      </c>
      <c r="V115">
        <f>HYPERLINK("https://klasma.github.io/Logging_0380/klagomål/A 58906-2021 FSC-klagomål.docx", "A 58906-2021")</f>
        <v/>
      </c>
      <c r="W115">
        <f>HYPERLINK("https://klasma.github.io/Logging_0380/klagomålsmail/A 58906-2021 FSC-klagomål mail.docx", "A 58906-2021")</f>
        <v/>
      </c>
      <c r="X115">
        <f>HYPERLINK("https://klasma.github.io/Logging_0380/tillsyn/A 58906-2021 tillsynsbegäran.docx", "A 58906-2021")</f>
        <v/>
      </c>
      <c r="Y115">
        <f>HYPERLINK("https://klasma.github.io/Logging_0380/tillsynsmail/A 58906-2021 tillsynsbegäran mail.docx", "A 58906-2021")</f>
        <v/>
      </c>
    </row>
    <row r="116" ht="15" customHeight="1">
      <c r="A116" t="inlineStr">
        <is>
          <t>A 3257-2022</t>
        </is>
      </c>
      <c r="B116" s="1" t="n">
        <v>44583</v>
      </c>
      <c r="C116" s="1" t="n">
        <v>45507</v>
      </c>
      <c r="D116" t="inlineStr">
        <is>
          <t>UPPSALA LÄN</t>
        </is>
      </c>
      <c r="E116" t="inlineStr">
        <is>
          <t>UPPSALA</t>
        </is>
      </c>
      <c r="F116" t="inlineStr">
        <is>
          <t>Holmen skog AB</t>
        </is>
      </c>
      <c r="G116" t="n">
        <v>1.9</v>
      </c>
      <c r="H116" t="n">
        <v>0</v>
      </c>
      <c r="I116" t="n">
        <v>1</v>
      </c>
      <c r="J116" t="n">
        <v>0</v>
      </c>
      <c r="K116" t="n">
        <v>0</v>
      </c>
      <c r="L116" t="n">
        <v>0</v>
      </c>
      <c r="M116" t="n">
        <v>0</v>
      </c>
      <c r="N116" t="n">
        <v>0</v>
      </c>
      <c r="O116" t="n">
        <v>0</v>
      </c>
      <c r="P116" t="n">
        <v>0</v>
      </c>
      <c r="Q116" t="n">
        <v>1</v>
      </c>
      <c r="R116" s="2" t="inlineStr">
        <is>
          <t>Gulpudrad spiklav</t>
        </is>
      </c>
      <c r="S116">
        <f>HYPERLINK("https://klasma.github.io/Logging_0380/artfynd/A 3257-2022 artfynd.xlsx", "A 3257-2022")</f>
        <v/>
      </c>
      <c r="T116">
        <f>HYPERLINK("https://klasma.github.io/Logging_0380/kartor/A 3257-2022 karta.png", "A 3257-2022")</f>
        <v/>
      </c>
      <c r="V116">
        <f>HYPERLINK("https://klasma.github.io/Logging_0380/klagomål/A 3257-2022 FSC-klagomål.docx", "A 3257-2022")</f>
        <v/>
      </c>
      <c r="W116">
        <f>HYPERLINK("https://klasma.github.io/Logging_0380/klagomålsmail/A 3257-2022 FSC-klagomål mail.docx", "A 3257-2022")</f>
        <v/>
      </c>
      <c r="X116">
        <f>HYPERLINK("https://klasma.github.io/Logging_0380/tillsyn/A 3257-2022 tillsynsbegäran.docx", "A 3257-2022")</f>
        <v/>
      </c>
      <c r="Y116">
        <f>HYPERLINK("https://klasma.github.io/Logging_0380/tillsynsmail/A 3257-2022 tillsynsbegäran mail.docx", "A 3257-2022")</f>
        <v/>
      </c>
    </row>
    <row r="117" ht="15" customHeight="1">
      <c r="A117" t="inlineStr">
        <is>
          <t>A 4449-2022</t>
        </is>
      </c>
      <c r="B117" s="1" t="n">
        <v>44589</v>
      </c>
      <c r="C117" s="1" t="n">
        <v>45507</v>
      </c>
      <c r="D117" t="inlineStr">
        <is>
          <t>UPPSALA LÄN</t>
        </is>
      </c>
      <c r="E117" t="inlineStr">
        <is>
          <t>UPPSALA</t>
        </is>
      </c>
      <c r="G117" t="n">
        <v>8.9</v>
      </c>
      <c r="H117" t="n">
        <v>0</v>
      </c>
      <c r="I117" t="n">
        <v>0</v>
      </c>
      <c r="J117" t="n">
        <v>1</v>
      </c>
      <c r="K117" t="n">
        <v>0</v>
      </c>
      <c r="L117" t="n">
        <v>0</v>
      </c>
      <c r="M117" t="n">
        <v>0</v>
      </c>
      <c r="N117" t="n">
        <v>0</v>
      </c>
      <c r="O117" t="n">
        <v>1</v>
      </c>
      <c r="P117" t="n">
        <v>0</v>
      </c>
      <c r="Q117" t="n">
        <v>1</v>
      </c>
      <c r="R117" s="2" t="inlineStr">
        <is>
          <t>Gul taggsvamp</t>
        </is>
      </c>
      <c r="S117">
        <f>HYPERLINK("https://klasma.github.io/Logging_0380/artfynd/A 4449-2022 artfynd.xlsx", "A 4449-2022")</f>
        <v/>
      </c>
      <c r="T117">
        <f>HYPERLINK("https://klasma.github.io/Logging_0380/kartor/A 4449-2022 karta.png", "A 4449-2022")</f>
        <v/>
      </c>
      <c r="V117">
        <f>HYPERLINK("https://klasma.github.io/Logging_0380/klagomål/A 4449-2022 FSC-klagomål.docx", "A 4449-2022")</f>
        <v/>
      </c>
      <c r="W117">
        <f>HYPERLINK("https://klasma.github.io/Logging_0380/klagomålsmail/A 4449-2022 FSC-klagomål mail.docx", "A 4449-2022")</f>
        <v/>
      </c>
      <c r="X117">
        <f>HYPERLINK("https://klasma.github.io/Logging_0380/tillsyn/A 4449-2022 tillsynsbegäran.docx", "A 4449-2022")</f>
        <v/>
      </c>
      <c r="Y117">
        <f>HYPERLINK("https://klasma.github.io/Logging_0380/tillsynsmail/A 4449-2022 tillsynsbegäran mail.docx", "A 4449-2022")</f>
        <v/>
      </c>
    </row>
    <row r="118" ht="15" customHeight="1">
      <c r="A118" t="inlineStr">
        <is>
          <t>A 8865-2022</t>
        </is>
      </c>
      <c r="B118" s="1" t="n">
        <v>44614</v>
      </c>
      <c r="C118" s="1" t="n">
        <v>45507</v>
      </c>
      <c r="D118" t="inlineStr">
        <is>
          <t>UPPSALA LÄN</t>
        </is>
      </c>
      <c r="E118" t="inlineStr">
        <is>
          <t>UPPSALA</t>
        </is>
      </c>
      <c r="G118" t="n">
        <v>1.1</v>
      </c>
      <c r="H118" t="n">
        <v>0</v>
      </c>
      <c r="I118" t="n">
        <v>1</v>
      </c>
      <c r="J118" t="n">
        <v>0</v>
      </c>
      <c r="K118" t="n">
        <v>0</v>
      </c>
      <c r="L118" t="n">
        <v>0</v>
      </c>
      <c r="M118" t="n">
        <v>0</v>
      </c>
      <c r="N118" t="n">
        <v>0</v>
      </c>
      <c r="O118" t="n">
        <v>0</v>
      </c>
      <c r="P118" t="n">
        <v>0</v>
      </c>
      <c r="Q118" t="n">
        <v>1</v>
      </c>
      <c r="R118" s="2" t="inlineStr">
        <is>
          <t>Narrtagging</t>
        </is>
      </c>
      <c r="S118">
        <f>HYPERLINK("https://klasma.github.io/Logging_0380/artfynd/A 8865-2022 artfynd.xlsx", "A 8865-2022")</f>
        <v/>
      </c>
      <c r="T118">
        <f>HYPERLINK("https://klasma.github.io/Logging_0380/kartor/A 8865-2022 karta.png", "A 8865-2022")</f>
        <v/>
      </c>
      <c r="V118">
        <f>HYPERLINK("https://klasma.github.io/Logging_0380/klagomål/A 8865-2022 FSC-klagomål.docx", "A 8865-2022")</f>
        <v/>
      </c>
      <c r="W118">
        <f>HYPERLINK("https://klasma.github.io/Logging_0380/klagomålsmail/A 8865-2022 FSC-klagomål mail.docx", "A 8865-2022")</f>
        <v/>
      </c>
      <c r="X118">
        <f>HYPERLINK("https://klasma.github.io/Logging_0380/tillsyn/A 8865-2022 tillsynsbegäran.docx", "A 8865-2022")</f>
        <v/>
      </c>
      <c r="Y118">
        <f>HYPERLINK("https://klasma.github.io/Logging_0380/tillsynsmail/A 8865-2022 tillsynsbegäran mail.docx", "A 8865-2022")</f>
        <v/>
      </c>
    </row>
    <row r="119" ht="15" customHeight="1">
      <c r="A119" t="inlineStr">
        <is>
          <t>A 13363-2022</t>
        </is>
      </c>
      <c r="B119" s="1" t="n">
        <v>44645</v>
      </c>
      <c r="C119" s="1" t="n">
        <v>45507</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19376-2022</t>
        </is>
      </c>
      <c r="B120" s="1" t="n">
        <v>44692</v>
      </c>
      <c r="C120" s="1" t="n">
        <v>45507</v>
      </c>
      <c r="D120" t="inlineStr">
        <is>
          <t>UPPSALA LÄN</t>
        </is>
      </c>
      <c r="E120" t="inlineStr">
        <is>
          <t>UPPSALA</t>
        </is>
      </c>
      <c r="F120" t="inlineStr">
        <is>
          <t>Bergvik skog öst AB</t>
        </is>
      </c>
      <c r="G120" t="n">
        <v>6.8</v>
      </c>
      <c r="H120" t="n">
        <v>0</v>
      </c>
      <c r="I120" t="n">
        <v>1</v>
      </c>
      <c r="J120" t="n">
        <v>0</v>
      </c>
      <c r="K120" t="n">
        <v>0</v>
      </c>
      <c r="L120" t="n">
        <v>0</v>
      </c>
      <c r="M120" t="n">
        <v>0</v>
      </c>
      <c r="N120" t="n">
        <v>0</v>
      </c>
      <c r="O120" t="n">
        <v>0</v>
      </c>
      <c r="P120" t="n">
        <v>0</v>
      </c>
      <c r="Q120" t="n">
        <v>1</v>
      </c>
      <c r="R120" s="2" t="inlineStr">
        <is>
          <t>Vårärt</t>
        </is>
      </c>
      <c r="S120">
        <f>HYPERLINK("https://klasma.github.io/Logging_0380/artfynd/A 19376-2022 artfynd.xlsx", "A 19376-2022")</f>
        <v/>
      </c>
      <c r="T120">
        <f>HYPERLINK("https://klasma.github.io/Logging_0380/kartor/A 19376-2022 karta.png", "A 19376-2022")</f>
        <v/>
      </c>
      <c r="V120">
        <f>HYPERLINK("https://klasma.github.io/Logging_0380/klagomål/A 19376-2022 FSC-klagomål.docx", "A 19376-2022")</f>
        <v/>
      </c>
      <c r="W120">
        <f>HYPERLINK("https://klasma.github.io/Logging_0380/klagomålsmail/A 19376-2022 FSC-klagomål mail.docx", "A 19376-2022")</f>
        <v/>
      </c>
      <c r="X120">
        <f>HYPERLINK("https://klasma.github.io/Logging_0380/tillsyn/A 19376-2022 tillsynsbegäran.docx", "A 19376-2022")</f>
        <v/>
      </c>
      <c r="Y120">
        <f>HYPERLINK("https://klasma.github.io/Logging_0380/tillsynsmail/A 19376-2022 tillsynsbegäran mail.docx", "A 19376-2022")</f>
        <v/>
      </c>
    </row>
    <row r="121" ht="15" customHeight="1">
      <c r="A121" t="inlineStr">
        <is>
          <t>A 23141-2022</t>
        </is>
      </c>
      <c r="B121" s="1" t="n">
        <v>44719</v>
      </c>
      <c r="C121" s="1" t="n">
        <v>45507</v>
      </c>
      <c r="D121" t="inlineStr">
        <is>
          <t>UPPSALA LÄN</t>
        </is>
      </c>
      <c r="E121" t="inlineStr">
        <is>
          <t>UPPSALA</t>
        </is>
      </c>
      <c r="G121" t="n">
        <v>3.1</v>
      </c>
      <c r="H121" t="n">
        <v>1</v>
      </c>
      <c r="I121" t="n">
        <v>0</v>
      </c>
      <c r="J121" t="n">
        <v>0</v>
      </c>
      <c r="K121" t="n">
        <v>0</v>
      </c>
      <c r="L121" t="n">
        <v>0</v>
      </c>
      <c r="M121" t="n">
        <v>0</v>
      </c>
      <c r="N121" t="n">
        <v>0</v>
      </c>
      <c r="O121" t="n">
        <v>0</v>
      </c>
      <c r="P121" t="n">
        <v>0</v>
      </c>
      <c r="Q121" t="n">
        <v>1</v>
      </c>
      <c r="R121" s="2" t="inlineStr">
        <is>
          <t>Enkelbeckasin</t>
        </is>
      </c>
      <c r="S121">
        <f>HYPERLINK("https://klasma.github.io/Logging_0380/artfynd/A 23141-2022 artfynd.xlsx", "A 23141-2022")</f>
        <v/>
      </c>
      <c r="T121">
        <f>HYPERLINK("https://klasma.github.io/Logging_0380/kartor/A 23141-2022 karta.png", "A 23141-2022")</f>
        <v/>
      </c>
      <c r="V121">
        <f>HYPERLINK("https://klasma.github.io/Logging_0380/klagomål/A 23141-2022 FSC-klagomål.docx", "A 23141-2022")</f>
        <v/>
      </c>
      <c r="W121">
        <f>HYPERLINK("https://klasma.github.io/Logging_0380/klagomålsmail/A 23141-2022 FSC-klagomål mail.docx", "A 23141-2022")</f>
        <v/>
      </c>
      <c r="X121">
        <f>HYPERLINK("https://klasma.github.io/Logging_0380/tillsyn/A 23141-2022 tillsynsbegäran.docx", "A 23141-2022")</f>
        <v/>
      </c>
      <c r="Y121">
        <f>HYPERLINK("https://klasma.github.io/Logging_0380/tillsynsmail/A 23141-2022 tillsynsbegäran mail.docx", "A 23141-2022")</f>
        <v/>
      </c>
      <c r="Z121">
        <f>HYPERLINK("https://klasma.github.io/Logging_0380/fåglar/A 23141-2022 prioriterade fågelarter.docx", "A 23141-2022")</f>
        <v/>
      </c>
    </row>
    <row r="122" ht="15" customHeight="1">
      <c r="A122" t="inlineStr">
        <is>
          <t>A 25119-2022</t>
        </is>
      </c>
      <c r="B122" s="1" t="n">
        <v>44729</v>
      </c>
      <c r="C122" s="1" t="n">
        <v>45507</v>
      </c>
      <c r="D122" t="inlineStr">
        <is>
          <t>UPPSALA LÄN</t>
        </is>
      </c>
      <c r="E122" t="inlineStr">
        <is>
          <t>UPPSALA</t>
        </is>
      </c>
      <c r="F122" t="inlineStr">
        <is>
          <t>Kommuner</t>
        </is>
      </c>
      <c r="G122" t="n">
        <v>0.9</v>
      </c>
      <c r="H122" t="n">
        <v>0</v>
      </c>
      <c r="I122" t="n">
        <v>1</v>
      </c>
      <c r="J122" t="n">
        <v>0</v>
      </c>
      <c r="K122" t="n">
        <v>0</v>
      </c>
      <c r="L122" t="n">
        <v>0</v>
      </c>
      <c r="M122" t="n">
        <v>0</v>
      </c>
      <c r="N122" t="n">
        <v>0</v>
      </c>
      <c r="O122" t="n">
        <v>0</v>
      </c>
      <c r="P122" t="n">
        <v>0</v>
      </c>
      <c r="Q122" t="n">
        <v>1</v>
      </c>
      <c r="R122" s="2" t="inlineStr">
        <is>
          <t>Stor aspticka</t>
        </is>
      </c>
      <c r="S122">
        <f>HYPERLINK("https://klasma.github.io/Logging_0380/artfynd/A 25119-2022 artfynd.xlsx", "A 25119-2022")</f>
        <v/>
      </c>
      <c r="T122">
        <f>HYPERLINK("https://klasma.github.io/Logging_0380/kartor/A 25119-2022 karta.png", "A 25119-2022")</f>
        <v/>
      </c>
      <c r="V122">
        <f>HYPERLINK("https://klasma.github.io/Logging_0380/klagomål/A 25119-2022 FSC-klagomål.docx", "A 25119-2022")</f>
        <v/>
      </c>
      <c r="W122">
        <f>HYPERLINK("https://klasma.github.io/Logging_0380/klagomålsmail/A 25119-2022 FSC-klagomål mail.docx", "A 25119-2022")</f>
        <v/>
      </c>
      <c r="X122">
        <f>HYPERLINK("https://klasma.github.io/Logging_0380/tillsyn/A 25119-2022 tillsynsbegäran.docx", "A 25119-2022")</f>
        <v/>
      </c>
      <c r="Y122">
        <f>HYPERLINK("https://klasma.github.io/Logging_0380/tillsynsmail/A 25119-2022 tillsynsbegäran mail.docx", "A 25119-2022")</f>
        <v/>
      </c>
    </row>
    <row r="123" ht="15" customHeight="1">
      <c r="A123" t="inlineStr">
        <is>
          <t>A 46634-2022</t>
        </is>
      </c>
      <c r="B123" s="1" t="n">
        <v>44849</v>
      </c>
      <c r="C123" s="1" t="n">
        <v>45507</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49015-2022</t>
        </is>
      </c>
      <c r="B124" s="1" t="n">
        <v>44855</v>
      </c>
      <c r="C124" s="1" t="n">
        <v>45507</v>
      </c>
      <c r="D124" t="inlineStr">
        <is>
          <t>UPPSALA LÄN</t>
        </is>
      </c>
      <c r="E124" t="inlineStr">
        <is>
          <t>UPPSALA</t>
        </is>
      </c>
      <c r="F124" t="inlineStr">
        <is>
          <t>Kommuner</t>
        </is>
      </c>
      <c r="G124" t="n">
        <v>4.5</v>
      </c>
      <c r="H124" t="n">
        <v>0</v>
      </c>
      <c r="I124" t="n">
        <v>0</v>
      </c>
      <c r="J124" t="n">
        <v>1</v>
      </c>
      <c r="K124" t="n">
        <v>0</v>
      </c>
      <c r="L124" t="n">
        <v>0</v>
      </c>
      <c r="M124" t="n">
        <v>0</v>
      </c>
      <c r="N124" t="n">
        <v>0</v>
      </c>
      <c r="O124" t="n">
        <v>1</v>
      </c>
      <c r="P124" t="n">
        <v>0</v>
      </c>
      <c r="Q124" t="n">
        <v>1</v>
      </c>
      <c r="R124" s="2" t="inlineStr">
        <is>
          <t>Harticka</t>
        </is>
      </c>
      <c r="S124">
        <f>HYPERLINK("https://klasma.github.io/Logging_0380/artfynd/A 49015-2022 artfynd.xlsx", "A 49015-2022")</f>
        <v/>
      </c>
      <c r="T124">
        <f>HYPERLINK("https://klasma.github.io/Logging_0380/kartor/A 49015-2022 karta.png", "A 49015-2022")</f>
        <v/>
      </c>
      <c r="V124">
        <f>HYPERLINK("https://klasma.github.io/Logging_0380/klagomål/A 49015-2022 FSC-klagomål.docx", "A 49015-2022")</f>
        <v/>
      </c>
      <c r="W124">
        <f>HYPERLINK("https://klasma.github.io/Logging_0380/klagomålsmail/A 49015-2022 FSC-klagomål mail.docx", "A 49015-2022")</f>
        <v/>
      </c>
      <c r="X124">
        <f>HYPERLINK("https://klasma.github.io/Logging_0380/tillsyn/A 49015-2022 tillsynsbegäran.docx", "A 49015-2022")</f>
        <v/>
      </c>
      <c r="Y124">
        <f>HYPERLINK("https://klasma.github.io/Logging_0380/tillsynsmail/A 49015-2022 tillsynsbegäran mail.docx", "A 49015-2022")</f>
        <v/>
      </c>
    </row>
    <row r="125" ht="15" customHeight="1">
      <c r="A125" t="inlineStr">
        <is>
          <t>A 57793-2022</t>
        </is>
      </c>
      <c r="B125" s="1" t="n">
        <v>44897</v>
      </c>
      <c r="C125" s="1" t="n">
        <v>45507</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61818-2022</t>
        </is>
      </c>
      <c r="B126" s="1" t="n">
        <v>44917</v>
      </c>
      <c r="C126" s="1" t="n">
        <v>45507</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61830-2022</t>
        </is>
      </c>
      <c r="B127" s="1" t="n">
        <v>44917</v>
      </c>
      <c r="C127" s="1" t="n">
        <v>45507</v>
      </c>
      <c r="D127" t="inlineStr">
        <is>
          <t>UPPSALA LÄN</t>
        </is>
      </c>
      <c r="E127" t="inlineStr">
        <is>
          <t>UPPSALA</t>
        </is>
      </c>
      <c r="F127" t="inlineStr">
        <is>
          <t>Holmen skog AB</t>
        </is>
      </c>
      <c r="G127" t="n">
        <v>1.1</v>
      </c>
      <c r="H127" t="n">
        <v>0</v>
      </c>
      <c r="I127" t="n">
        <v>0</v>
      </c>
      <c r="J127" t="n">
        <v>1</v>
      </c>
      <c r="K127" t="n">
        <v>0</v>
      </c>
      <c r="L127" t="n">
        <v>0</v>
      </c>
      <c r="M127" t="n">
        <v>0</v>
      </c>
      <c r="N127" t="n">
        <v>0</v>
      </c>
      <c r="O127" t="n">
        <v>1</v>
      </c>
      <c r="P127" t="n">
        <v>0</v>
      </c>
      <c r="Q127" t="n">
        <v>1</v>
      </c>
      <c r="R127" s="2" t="inlineStr">
        <is>
          <t>Rödbrun blekspik</t>
        </is>
      </c>
      <c r="S127">
        <f>HYPERLINK("https://klasma.github.io/Logging_0380/artfynd/A 61830-2022 artfynd.xlsx", "A 61830-2022")</f>
        <v/>
      </c>
      <c r="T127">
        <f>HYPERLINK("https://klasma.github.io/Logging_0380/kartor/A 61830-2022 karta.png", "A 61830-2022")</f>
        <v/>
      </c>
      <c r="V127">
        <f>HYPERLINK("https://klasma.github.io/Logging_0380/klagomål/A 61830-2022 FSC-klagomål.docx", "A 61830-2022")</f>
        <v/>
      </c>
      <c r="W127">
        <f>HYPERLINK("https://klasma.github.io/Logging_0380/klagomålsmail/A 61830-2022 FSC-klagomål mail.docx", "A 61830-2022")</f>
        <v/>
      </c>
      <c r="X127">
        <f>HYPERLINK("https://klasma.github.io/Logging_0380/tillsyn/A 61830-2022 tillsynsbegäran.docx", "A 61830-2022")</f>
        <v/>
      </c>
      <c r="Y127">
        <f>HYPERLINK("https://klasma.github.io/Logging_0380/tillsynsmail/A 61830-2022 tillsynsbegäran mail.docx", "A 61830-2022")</f>
        <v/>
      </c>
    </row>
    <row r="128" ht="15" customHeight="1">
      <c r="A128" t="inlineStr">
        <is>
          <t>A 5009-2023</t>
        </is>
      </c>
      <c r="B128" s="1" t="n">
        <v>44958</v>
      </c>
      <c r="C128" s="1" t="n">
        <v>45507</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5750-2023</t>
        </is>
      </c>
      <c r="B129" s="1" t="n">
        <v>44963</v>
      </c>
      <c r="C129" s="1" t="n">
        <v>45507</v>
      </c>
      <c r="D129" t="inlineStr">
        <is>
          <t>UPPSALA LÄN</t>
        </is>
      </c>
      <c r="E129" t="inlineStr">
        <is>
          <t>UPPSALA</t>
        </is>
      </c>
      <c r="G129" t="n">
        <v>13.8</v>
      </c>
      <c r="H129" t="n">
        <v>0</v>
      </c>
      <c r="I129" t="n">
        <v>0</v>
      </c>
      <c r="J129" t="n">
        <v>0</v>
      </c>
      <c r="K129" t="n">
        <v>1</v>
      </c>
      <c r="L129" t="n">
        <v>0</v>
      </c>
      <c r="M129" t="n">
        <v>0</v>
      </c>
      <c r="N129" t="n">
        <v>0</v>
      </c>
      <c r="O129" t="n">
        <v>1</v>
      </c>
      <c r="P129" t="n">
        <v>1</v>
      </c>
      <c r="Q129" t="n">
        <v>1</v>
      </c>
      <c r="R129" s="2" t="inlineStr">
        <is>
          <t>Raggbock</t>
        </is>
      </c>
      <c r="S129">
        <f>HYPERLINK("https://klasma.github.io/Logging_0380/artfynd/A 5750-2023 artfynd.xlsx", "A 5750-2023")</f>
        <v/>
      </c>
      <c r="T129">
        <f>HYPERLINK("https://klasma.github.io/Logging_0380/kartor/A 5750-2023 karta.png", "A 5750-2023")</f>
        <v/>
      </c>
      <c r="V129">
        <f>HYPERLINK("https://klasma.github.io/Logging_0380/klagomål/A 5750-2023 FSC-klagomål.docx", "A 5750-2023")</f>
        <v/>
      </c>
      <c r="W129">
        <f>HYPERLINK("https://klasma.github.io/Logging_0380/klagomålsmail/A 5750-2023 FSC-klagomål mail.docx", "A 5750-2023")</f>
        <v/>
      </c>
      <c r="X129">
        <f>HYPERLINK("https://klasma.github.io/Logging_0380/tillsyn/A 5750-2023 tillsynsbegäran.docx", "A 5750-2023")</f>
        <v/>
      </c>
      <c r="Y129">
        <f>HYPERLINK("https://klasma.github.io/Logging_0380/tillsynsmail/A 5750-2023 tillsynsbegäran mail.docx", "A 5750-2023")</f>
        <v/>
      </c>
    </row>
    <row r="130" ht="15" customHeight="1">
      <c r="A130" t="inlineStr">
        <is>
          <t>A 13154-2023</t>
        </is>
      </c>
      <c r="B130" s="1" t="n">
        <v>45002</v>
      </c>
      <c r="C130" s="1" t="n">
        <v>45507</v>
      </c>
      <c r="D130" t="inlineStr">
        <is>
          <t>UPPSALA LÄN</t>
        </is>
      </c>
      <c r="E130" t="inlineStr">
        <is>
          <t>UPPSALA</t>
        </is>
      </c>
      <c r="F130" t="inlineStr">
        <is>
          <t>Holmen skog AB</t>
        </is>
      </c>
      <c r="G130" t="n">
        <v>2.6</v>
      </c>
      <c r="H130" t="n">
        <v>0</v>
      </c>
      <c r="I130" t="n">
        <v>1</v>
      </c>
      <c r="J130" t="n">
        <v>0</v>
      </c>
      <c r="K130" t="n">
        <v>0</v>
      </c>
      <c r="L130" t="n">
        <v>0</v>
      </c>
      <c r="M130" t="n">
        <v>0</v>
      </c>
      <c r="N130" t="n">
        <v>0</v>
      </c>
      <c r="O130" t="n">
        <v>0</v>
      </c>
      <c r="P130" t="n">
        <v>0</v>
      </c>
      <c r="Q130" t="n">
        <v>1</v>
      </c>
      <c r="R130" s="2" t="inlineStr">
        <is>
          <t>Korallblylav</t>
        </is>
      </c>
      <c r="S130">
        <f>HYPERLINK("https://klasma.github.io/Logging_0380/artfynd/A 13154-2023 artfynd.xlsx", "A 13154-2023")</f>
        <v/>
      </c>
      <c r="T130">
        <f>HYPERLINK("https://klasma.github.io/Logging_0380/kartor/A 13154-2023 karta.png", "A 13154-2023")</f>
        <v/>
      </c>
      <c r="V130">
        <f>HYPERLINK("https://klasma.github.io/Logging_0380/klagomål/A 13154-2023 FSC-klagomål.docx", "A 13154-2023")</f>
        <v/>
      </c>
      <c r="W130">
        <f>HYPERLINK("https://klasma.github.io/Logging_0380/klagomålsmail/A 13154-2023 FSC-klagomål mail.docx", "A 13154-2023")</f>
        <v/>
      </c>
      <c r="X130">
        <f>HYPERLINK("https://klasma.github.io/Logging_0380/tillsyn/A 13154-2023 tillsynsbegäran.docx", "A 13154-2023")</f>
        <v/>
      </c>
      <c r="Y130">
        <f>HYPERLINK("https://klasma.github.io/Logging_0380/tillsynsmail/A 13154-2023 tillsynsbegäran mail.docx", "A 13154-2023")</f>
        <v/>
      </c>
    </row>
    <row r="131" ht="15" customHeight="1">
      <c r="A131" t="inlineStr">
        <is>
          <t>A 15722-2023</t>
        </is>
      </c>
      <c r="B131" s="1" t="n">
        <v>45021</v>
      </c>
      <c r="C131" s="1" t="n">
        <v>45507</v>
      </c>
      <c r="D131" t="inlineStr">
        <is>
          <t>UPPSALA LÄN</t>
        </is>
      </c>
      <c r="E131" t="inlineStr">
        <is>
          <t>UPPSALA</t>
        </is>
      </c>
      <c r="G131" t="n">
        <v>15.2</v>
      </c>
      <c r="H131" t="n">
        <v>0</v>
      </c>
      <c r="I131" t="n">
        <v>1</v>
      </c>
      <c r="J131" t="n">
        <v>0</v>
      </c>
      <c r="K131" t="n">
        <v>0</v>
      </c>
      <c r="L131" t="n">
        <v>0</v>
      </c>
      <c r="M131" t="n">
        <v>0</v>
      </c>
      <c r="N131" t="n">
        <v>0</v>
      </c>
      <c r="O131" t="n">
        <v>0</v>
      </c>
      <c r="P131" t="n">
        <v>0</v>
      </c>
      <c r="Q131" t="n">
        <v>1</v>
      </c>
      <c r="R131" s="2" t="inlineStr">
        <is>
          <t>Tibast</t>
        </is>
      </c>
      <c r="S131">
        <f>HYPERLINK("https://klasma.github.io/Logging_0380/artfynd/A 15722-2023 artfynd.xlsx", "A 15722-2023")</f>
        <v/>
      </c>
      <c r="T131">
        <f>HYPERLINK("https://klasma.github.io/Logging_0380/kartor/A 15722-2023 karta.png", "A 15722-2023")</f>
        <v/>
      </c>
      <c r="V131">
        <f>HYPERLINK("https://klasma.github.io/Logging_0380/klagomål/A 15722-2023 FSC-klagomål.docx", "A 15722-2023")</f>
        <v/>
      </c>
      <c r="W131">
        <f>HYPERLINK("https://klasma.github.io/Logging_0380/klagomålsmail/A 15722-2023 FSC-klagomål mail.docx", "A 15722-2023")</f>
        <v/>
      </c>
      <c r="X131">
        <f>HYPERLINK("https://klasma.github.io/Logging_0380/tillsyn/A 15722-2023 tillsynsbegäran.docx", "A 15722-2023")</f>
        <v/>
      </c>
      <c r="Y131">
        <f>HYPERLINK("https://klasma.github.io/Logging_0380/tillsynsmail/A 15722-2023 tillsynsbegäran mail.docx", "A 15722-2023")</f>
        <v/>
      </c>
    </row>
    <row r="132" ht="15" customHeight="1">
      <c r="A132" t="inlineStr">
        <is>
          <t>A 15919-2023</t>
        </is>
      </c>
      <c r="B132" s="1" t="n">
        <v>45022</v>
      </c>
      <c r="C132" s="1" t="n">
        <v>45507</v>
      </c>
      <c r="D132" t="inlineStr">
        <is>
          <t>UPPSALA LÄN</t>
        </is>
      </c>
      <c r="E132" t="inlineStr">
        <is>
          <t>UPPSALA</t>
        </is>
      </c>
      <c r="F132" t="inlineStr">
        <is>
          <t>Holmen skog AB</t>
        </is>
      </c>
      <c r="G132" t="n">
        <v>10</v>
      </c>
      <c r="H132" t="n">
        <v>1</v>
      </c>
      <c r="I132" t="n">
        <v>0</v>
      </c>
      <c r="J132" t="n">
        <v>0</v>
      </c>
      <c r="K132" t="n">
        <v>0</v>
      </c>
      <c r="L132" t="n">
        <v>0</v>
      </c>
      <c r="M132" t="n">
        <v>0</v>
      </c>
      <c r="N132" t="n">
        <v>0</v>
      </c>
      <c r="O132" t="n">
        <v>0</v>
      </c>
      <c r="P132" t="n">
        <v>0</v>
      </c>
      <c r="Q132" t="n">
        <v>1</v>
      </c>
      <c r="R132" s="2" t="inlineStr">
        <is>
          <t>Blåsippa</t>
        </is>
      </c>
      <c r="S132">
        <f>HYPERLINK("https://klasma.github.io/Logging_0380/artfynd/A 15919-2023 artfynd.xlsx", "A 15919-2023")</f>
        <v/>
      </c>
      <c r="T132">
        <f>HYPERLINK("https://klasma.github.io/Logging_0380/kartor/A 15919-2023 karta.png", "A 15919-2023")</f>
        <v/>
      </c>
      <c r="V132">
        <f>HYPERLINK("https://klasma.github.io/Logging_0380/klagomål/A 15919-2023 FSC-klagomål.docx", "A 15919-2023")</f>
        <v/>
      </c>
      <c r="W132">
        <f>HYPERLINK("https://klasma.github.io/Logging_0380/klagomålsmail/A 15919-2023 FSC-klagomål mail.docx", "A 15919-2023")</f>
        <v/>
      </c>
      <c r="X132">
        <f>HYPERLINK("https://klasma.github.io/Logging_0380/tillsyn/A 15919-2023 tillsynsbegäran.docx", "A 15919-2023")</f>
        <v/>
      </c>
      <c r="Y132">
        <f>HYPERLINK("https://klasma.github.io/Logging_0380/tillsynsmail/A 15919-2023 tillsynsbegäran mail.docx", "A 15919-2023")</f>
        <v/>
      </c>
    </row>
    <row r="133" ht="15" customHeight="1">
      <c r="A133" t="inlineStr">
        <is>
          <t>A 15918-2023</t>
        </is>
      </c>
      <c r="B133" s="1" t="n">
        <v>45022</v>
      </c>
      <c r="C133" s="1" t="n">
        <v>45507</v>
      </c>
      <c r="D133" t="inlineStr">
        <is>
          <t>UPPSALA LÄN</t>
        </is>
      </c>
      <c r="E133" t="inlineStr">
        <is>
          <t>UPPSALA</t>
        </is>
      </c>
      <c r="F133" t="inlineStr">
        <is>
          <t>Holmen skog AB</t>
        </is>
      </c>
      <c r="G133" t="n">
        <v>3.2</v>
      </c>
      <c r="H133" t="n">
        <v>1</v>
      </c>
      <c r="I133" t="n">
        <v>0</v>
      </c>
      <c r="J133" t="n">
        <v>0</v>
      </c>
      <c r="K133" t="n">
        <v>0</v>
      </c>
      <c r="L133" t="n">
        <v>0</v>
      </c>
      <c r="M133" t="n">
        <v>0</v>
      </c>
      <c r="N133" t="n">
        <v>0</v>
      </c>
      <c r="O133" t="n">
        <v>0</v>
      </c>
      <c r="P133" t="n">
        <v>0</v>
      </c>
      <c r="Q133" t="n">
        <v>1</v>
      </c>
      <c r="R133" s="2" t="inlineStr">
        <is>
          <t>Blåsippa</t>
        </is>
      </c>
      <c r="S133">
        <f>HYPERLINK("https://klasma.github.io/Logging_0380/artfynd/A 15918-2023 artfynd.xlsx", "A 15918-2023")</f>
        <v/>
      </c>
      <c r="T133">
        <f>HYPERLINK("https://klasma.github.io/Logging_0380/kartor/A 15918-2023 karta.png", "A 15918-2023")</f>
        <v/>
      </c>
      <c r="V133">
        <f>HYPERLINK("https://klasma.github.io/Logging_0380/klagomål/A 15918-2023 FSC-klagomål.docx", "A 15918-2023")</f>
        <v/>
      </c>
      <c r="W133">
        <f>HYPERLINK("https://klasma.github.io/Logging_0380/klagomålsmail/A 15918-2023 FSC-klagomål mail.docx", "A 15918-2023")</f>
        <v/>
      </c>
      <c r="X133">
        <f>HYPERLINK("https://klasma.github.io/Logging_0380/tillsyn/A 15918-2023 tillsynsbegäran.docx", "A 15918-2023")</f>
        <v/>
      </c>
      <c r="Y133">
        <f>HYPERLINK("https://klasma.github.io/Logging_0380/tillsynsmail/A 15918-2023 tillsynsbegäran mail.docx", "A 15918-2023")</f>
        <v/>
      </c>
    </row>
    <row r="134" ht="15" customHeight="1">
      <c r="A134" t="inlineStr">
        <is>
          <t>A 20172-2023</t>
        </is>
      </c>
      <c r="B134" s="1" t="n">
        <v>45055</v>
      </c>
      <c r="C134" s="1" t="n">
        <v>45507</v>
      </c>
      <c r="D134" t="inlineStr">
        <is>
          <t>UPPSALA LÄN</t>
        </is>
      </c>
      <c r="E134" t="inlineStr">
        <is>
          <t>UPPSALA</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HYPERLINK("https://klasma.github.io/Logging_0380/artfynd/A 20172-2023 artfynd.xlsx", "A 20172-2023")</f>
        <v/>
      </c>
      <c r="T134">
        <f>HYPERLINK("https://klasma.github.io/Logging_0380/kartor/A 20172-2023 karta.png", "A 20172-2023")</f>
        <v/>
      </c>
      <c r="V134">
        <f>HYPERLINK("https://klasma.github.io/Logging_0380/klagomål/A 20172-2023 FSC-klagomål.docx", "A 20172-2023")</f>
        <v/>
      </c>
      <c r="W134">
        <f>HYPERLINK("https://klasma.github.io/Logging_0380/klagomålsmail/A 20172-2023 FSC-klagomål mail.docx", "A 20172-2023")</f>
        <v/>
      </c>
      <c r="X134">
        <f>HYPERLINK("https://klasma.github.io/Logging_0380/tillsyn/A 20172-2023 tillsynsbegäran.docx", "A 20172-2023")</f>
        <v/>
      </c>
      <c r="Y134">
        <f>HYPERLINK("https://klasma.github.io/Logging_0380/tillsynsmail/A 20172-2023 tillsynsbegäran mail.docx", "A 20172-2023")</f>
        <v/>
      </c>
    </row>
    <row r="135" ht="15" customHeight="1">
      <c r="A135" t="inlineStr">
        <is>
          <t>A 20930-2023</t>
        </is>
      </c>
      <c r="B135" s="1" t="n">
        <v>45061</v>
      </c>
      <c r="C135" s="1" t="n">
        <v>45507</v>
      </c>
      <c r="D135" t="inlineStr">
        <is>
          <t>UPPSALA LÄN</t>
        </is>
      </c>
      <c r="E135" t="inlineStr">
        <is>
          <t>UPPSALA</t>
        </is>
      </c>
      <c r="G135" t="n">
        <v>5.1</v>
      </c>
      <c r="H135" t="n">
        <v>0</v>
      </c>
      <c r="I135" t="n">
        <v>1</v>
      </c>
      <c r="J135" t="n">
        <v>0</v>
      </c>
      <c r="K135" t="n">
        <v>0</v>
      </c>
      <c r="L135" t="n">
        <v>0</v>
      </c>
      <c r="M135" t="n">
        <v>0</v>
      </c>
      <c r="N135" t="n">
        <v>0</v>
      </c>
      <c r="O135" t="n">
        <v>0</v>
      </c>
      <c r="P135" t="n">
        <v>0</v>
      </c>
      <c r="Q135" t="n">
        <v>1</v>
      </c>
      <c r="R135" s="2" t="inlineStr">
        <is>
          <t>Grönpyrola</t>
        </is>
      </c>
      <c r="S135">
        <f>HYPERLINK("https://klasma.github.io/Logging_0380/artfynd/A 20930-2023 artfynd.xlsx", "A 20930-2023")</f>
        <v/>
      </c>
      <c r="T135">
        <f>HYPERLINK("https://klasma.github.io/Logging_0380/kartor/A 20930-2023 karta.png", "A 20930-2023")</f>
        <v/>
      </c>
      <c r="V135">
        <f>HYPERLINK("https://klasma.github.io/Logging_0380/klagomål/A 20930-2023 FSC-klagomål.docx", "A 20930-2023")</f>
        <v/>
      </c>
      <c r="W135">
        <f>HYPERLINK("https://klasma.github.io/Logging_0380/klagomålsmail/A 20930-2023 FSC-klagomål mail.docx", "A 20930-2023")</f>
        <v/>
      </c>
      <c r="X135">
        <f>HYPERLINK("https://klasma.github.io/Logging_0380/tillsyn/A 20930-2023 tillsynsbegäran.docx", "A 20930-2023")</f>
        <v/>
      </c>
      <c r="Y135">
        <f>HYPERLINK("https://klasma.github.io/Logging_0380/tillsynsmail/A 20930-2023 tillsynsbegäran mail.docx", "A 20930-2023")</f>
        <v/>
      </c>
    </row>
    <row r="136" ht="15" customHeight="1">
      <c r="A136" t="inlineStr">
        <is>
          <t>A 20923-2023</t>
        </is>
      </c>
      <c r="B136" s="1" t="n">
        <v>45061</v>
      </c>
      <c r="C136" s="1" t="n">
        <v>45507</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Dvärghäxört</t>
        </is>
      </c>
      <c r="S136">
        <f>HYPERLINK("https://klasma.github.io/Logging_0380/artfynd/A 20923-2023 artfynd.xlsx", "A 20923-2023")</f>
        <v/>
      </c>
      <c r="T136">
        <f>HYPERLINK("https://klasma.github.io/Logging_0380/kartor/A 20923-2023 karta.png", "A 20923-2023")</f>
        <v/>
      </c>
      <c r="V136">
        <f>HYPERLINK("https://klasma.github.io/Logging_0380/klagomål/A 20923-2023 FSC-klagomål.docx", "A 20923-2023")</f>
        <v/>
      </c>
      <c r="W136">
        <f>HYPERLINK("https://klasma.github.io/Logging_0380/klagomålsmail/A 20923-2023 FSC-klagomål mail.docx", "A 20923-2023")</f>
        <v/>
      </c>
      <c r="X136">
        <f>HYPERLINK("https://klasma.github.io/Logging_0380/tillsyn/A 20923-2023 tillsynsbegäran.docx", "A 20923-2023")</f>
        <v/>
      </c>
      <c r="Y136">
        <f>HYPERLINK("https://klasma.github.io/Logging_0380/tillsynsmail/A 20923-2023 tillsynsbegäran mail.docx", "A 20923-2023")</f>
        <v/>
      </c>
    </row>
    <row r="137" ht="15" customHeight="1">
      <c r="A137" t="inlineStr">
        <is>
          <t>A 22958-2023</t>
        </is>
      </c>
      <c r="B137" s="1" t="n">
        <v>45072</v>
      </c>
      <c r="C137" s="1" t="n">
        <v>45507</v>
      </c>
      <c r="D137" t="inlineStr">
        <is>
          <t>UPPSALA LÄN</t>
        </is>
      </c>
      <c r="E137" t="inlineStr">
        <is>
          <t>UPPSALA</t>
        </is>
      </c>
      <c r="F137" t="inlineStr">
        <is>
          <t>Holmen skog AB</t>
        </is>
      </c>
      <c r="G137" t="n">
        <v>6.4</v>
      </c>
      <c r="H137" t="n">
        <v>0</v>
      </c>
      <c r="I137" t="n">
        <v>0</v>
      </c>
      <c r="J137" t="n">
        <v>1</v>
      </c>
      <c r="K137" t="n">
        <v>0</v>
      </c>
      <c r="L137" t="n">
        <v>0</v>
      </c>
      <c r="M137" t="n">
        <v>0</v>
      </c>
      <c r="N137" t="n">
        <v>0</v>
      </c>
      <c r="O137" t="n">
        <v>1</v>
      </c>
      <c r="P137" t="n">
        <v>0</v>
      </c>
      <c r="Q137" t="n">
        <v>1</v>
      </c>
      <c r="R137" s="2" t="inlineStr">
        <is>
          <t>Krusfrö</t>
        </is>
      </c>
      <c r="S137">
        <f>HYPERLINK("https://klasma.github.io/Logging_0380/artfynd/A 22958-2023 artfynd.xlsx", "A 22958-2023")</f>
        <v/>
      </c>
      <c r="T137">
        <f>HYPERLINK("https://klasma.github.io/Logging_0380/kartor/A 22958-2023 karta.png", "A 22958-2023")</f>
        <v/>
      </c>
      <c r="V137">
        <f>HYPERLINK("https://klasma.github.io/Logging_0380/klagomål/A 22958-2023 FSC-klagomål.docx", "A 22958-2023")</f>
        <v/>
      </c>
      <c r="W137">
        <f>HYPERLINK("https://klasma.github.io/Logging_0380/klagomålsmail/A 22958-2023 FSC-klagomål mail.docx", "A 22958-2023")</f>
        <v/>
      </c>
      <c r="X137">
        <f>HYPERLINK("https://klasma.github.io/Logging_0380/tillsyn/A 22958-2023 tillsynsbegäran.docx", "A 22958-2023")</f>
        <v/>
      </c>
      <c r="Y137">
        <f>HYPERLINK("https://klasma.github.io/Logging_0380/tillsynsmail/A 22958-2023 tillsynsbegäran mail.docx", "A 22958-2023")</f>
        <v/>
      </c>
    </row>
    <row r="138" ht="15" customHeight="1">
      <c r="A138" t="inlineStr">
        <is>
          <t>A 27848-2023</t>
        </is>
      </c>
      <c r="B138" s="1" t="n">
        <v>45098</v>
      </c>
      <c r="C138" s="1" t="n">
        <v>45507</v>
      </c>
      <c r="D138" t="inlineStr">
        <is>
          <t>UPPSALA LÄN</t>
        </is>
      </c>
      <c r="E138" t="inlineStr">
        <is>
          <t>UPPSALA</t>
        </is>
      </c>
      <c r="G138" t="n">
        <v>14.3</v>
      </c>
      <c r="H138" t="n">
        <v>0</v>
      </c>
      <c r="I138" t="n">
        <v>1</v>
      </c>
      <c r="J138" t="n">
        <v>0</v>
      </c>
      <c r="K138" t="n">
        <v>0</v>
      </c>
      <c r="L138" t="n">
        <v>0</v>
      </c>
      <c r="M138" t="n">
        <v>0</v>
      </c>
      <c r="N138" t="n">
        <v>0</v>
      </c>
      <c r="O138" t="n">
        <v>0</v>
      </c>
      <c r="P138" t="n">
        <v>0</v>
      </c>
      <c r="Q138" t="n">
        <v>1</v>
      </c>
      <c r="R138" s="2" t="inlineStr">
        <is>
          <t>Blåmossa</t>
        </is>
      </c>
      <c r="S138">
        <f>HYPERLINK("https://klasma.github.io/Logging_0380/artfynd/A 27848-2023 artfynd.xlsx", "A 27848-2023")</f>
        <v/>
      </c>
      <c r="T138">
        <f>HYPERLINK("https://klasma.github.io/Logging_0380/kartor/A 27848-2023 karta.png", "A 27848-2023")</f>
        <v/>
      </c>
      <c r="V138">
        <f>HYPERLINK("https://klasma.github.io/Logging_0380/klagomål/A 27848-2023 FSC-klagomål.docx", "A 27848-2023")</f>
        <v/>
      </c>
      <c r="W138">
        <f>HYPERLINK("https://klasma.github.io/Logging_0380/klagomålsmail/A 27848-2023 FSC-klagomål mail.docx", "A 27848-2023")</f>
        <v/>
      </c>
      <c r="X138">
        <f>HYPERLINK("https://klasma.github.io/Logging_0380/tillsyn/A 27848-2023 tillsynsbegäran.docx", "A 27848-2023")</f>
        <v/>
      </c>
      <c r="Y138">
        <f>HYPERLINK("https://klasma.github.io/Logging_0380/tillsynsmail/A 27848-2023 tillsynsbegäran mail.docx", "A 27848-2023")</f>
        <v/>
      </c>
    </row>
    <row r="139" ht="15" customHeight="1">
      <c r="A139" t="inlineStr">
        <is>
          <t>A 28951-2023</t>
        </is>
      </c>
      <c r="B139" s="1" t="n">
        <v>45104</v>
      </c>
      <c r="C139" s="1" t="n">
        <v>45507</v>
      </c>
      <c r="D139" t="inlineStr">
        <is>
          <t>UPPSALA LÄN</t>
        </is>
      </c>
      <c r="E139" t="inlineStr">
        <is>
          <t>UPPSALA</t>
        </is>
      </c>
      <c r="G139" t="n">
        <v>3.7</v>
      </c>
      <c r="H139" t="n">
        <v>0</v>
      </c>
      <c r="I139" t="n">
        <v>1</v>
      </c>
      <c r="J139" t="n">
        <v>0</v>
      </c>
      <c r="K139" t="n">
        <v>0</v>
      </c>
      <c r="L139" t="n">
        <v>0</v>
      </c>
      <c r="M139" t="n">
        <v>0</v>
      </c>
      <c r="N139" t="n">
        <v>0</v>
      </c>
      <c r="O139" t="n">
        <v>0</v>
      </c>
      <c r="P139" t="n">
        <v>0</v>
      </c>
      <c r="Q139" t="n">
        <v>1</v>
      </c>
      <c r="R139" s="2" t="inlineStr">
        <is>
          <t>Grönpyrola</t>
        </is>
      </c>
      <c r="S139">
        <f>HYPERLINK("https://klasma.github.io/Logging_0380/artfynd/A 28951-2023 artfynd.xlsx", "A 28951-2023")</f>
        <v/>
      </c>
      <c r="T139">
        <f>HYPERLINK("https://klasma.github.io/Logging_0380/kartor/A 28951-2023 karta.png", "A 28951-2023")</f>
        <v/>
      </c>
      <c r="V139">
        <f>HYPERLINK("https://klasma.github.io/Logging_0380/klagomål/A 28951-2023 FSC-klagomål.docx", "A 28951-2023")</f>
        <v/>
      </c>
      <c r="W139">
        <f>HYPERLINK("https://klasma.github.io/Logging_0380/klagomålsmail/A 28951-2023 FSC-klagomål mail.docx", "A 28951-2023")</f>
        <v/>
      </c>
      <c r="X139">
        <f>HYPERLINK("https://klasma.github.io/Logging_0380/tillsyn/A 28951-2023 tillsynsbegäran.docx", "A 28951-2023")</f>
        <v/>
      </c>
      <c r="Y139">
        <f>HYPERLINK("https://klasma.github.io/Logging_0380/tillsynsmail/A 28951-2023 tillsynsbegäran mail.docx", "A 28951-2023")</f>
        <v/>
      </c>
    </row>
    <row r="140" ht="15" customHeight="1">
      <c r="A140" t="inlineStr">
        <is>
          <t>A 29906-2023</t>
        </is>
      </c>
      <c r="B140" s="1" t="n">
        <v>45107</v>
      </c>
      <c r="C140" s="1" t="n">
        <v>45507</v>
      </c>
      <c r="D140" t="inlineStr">
        <is>
          <t>UPPSALA LÄN</t>
        </is>
      </c>
      <c r="E140" t="inlineStr">
        <is>
          <t>UPPSALA</t>
        </is>
      </c>
      <c r="F140" t="inlineStr">
        <is>
          <t>Kyrkan</t>
        </is>
      </c>
      <c r="G140" t="n">
        <v>0.5</v>
      </c>
      <c r="H140" t="n">
        <v>0</v>
      </c>
      <c r="I140" t="n">
        <v>1</v>
      </c>
      <c r="J140" t="n">
        <v>0</v>
      </c>
      <c r="K140" t="n">
        <v>0</v>
      </c>
      <c r="L140" t="n">
        <v>0</v>
      </c>
      <c r="M140" t="n">
        <v>0</v>
      </c>
      <c r="N140" t="n">
        <v>0</v>
      </c>
      <c r="O140" t="n">
        <v>0</v>
      </c>
      <c r="P140" t="n">
        <v>0</v>
      </c>
      <c r="Q140" t="n">
        <v>1</v>
      </c>
      <c r="R140" s="2" t="inlineStr">
        <is>
          <t>Sotriska</t>
        </is>
      </c>
      <c r="S140">
        <f>HYPERLINK("https://klasma.github.io/Logging_0380/artfynd/A 29906-2023 artfynd.xlsx", "A 29906-2023")</f>
        <v/>
      </c>
      <c r="T140">
        <f>HYPERLINK("https://klasma.github.io/Logging_0380/kartor/A 29906-2023 karta.png", "A 29906-2023")</f>
        <v/>
      </c>
      <c r="V140">
        <f>HYPERLINK("https://klasma.github.io/Logging_0380/klagomål/A 29906-2023 FSC-klagomål.docx", "A 29906-2023")</f>
        <v/>
      </c>
      <c r="W140">
        <f>HYPERLINK("https://klasma.github.io/Logging_0380/klagomålsmail/A 29906-2023 FSC-klagomål mail.docx", "A 29906-2023")</f>
        <v/>
      </c>
      <c r="X140">
        <f>HYPERLINK("https://klasma.github.io/Logging_0380/tillsyn/A 29906-2023 tillsynsbegäran.docx", "A 29906-2023")</f>
        <v/>
      </c>
      <c r="Y140">
        <f>HYPERLINK("https://klasma.github.io/Logging_0380/tillsynsmail/A 29906-2023 tillsynsbegäran mail.docx", "A 29906-2023")</f>
        <v/>
      </c>
    </row>
    <row r="141" ht="15" customHeight="1">
      <c r="A141" t="inlineStr">
        <is>
          <t>A 32668-2023</t>
        </is>
      </c>
      <c r="B141" s="1" t="n">
        <v>45121</v>
      </c>
      <c r="C141" s="1" t="n">
        <v>45507</v>
      </c>
      <c r="D141" t="inlineStr">
        <is>
          <t>UPPSALA LÄN</t>
        </is>
      </c>
      <c r="E141" t="inlineStr">
        <is>
          <t>UPPSALA</t>
        </is>
      </c>
      <c r="F141" t="inlineStr">
        <is>
          <t>Holmen skog AB</t>
        </is>
      </c>
      <c r="G141" t="n">
        <v>6.3</v>
      </c>
      <c r="H141" t="n">
        <v>1</v>
      </c>
      <c r="I141" t="n">
        <v>0</v>
      </c>
      <c r="J141" t="n">
        <v>0</v>
      </c>
      <c r="K141" t="n">
        <v>0</v>
      </c>
      <c r="L141" t="n">
        <v>0</v>
      </c>
      <c r="M141" t="n">
        <v>0</v>
      </c>
      <c r="N141" t="n">
        <v>0</v>
      </c>
      <c r="O141" t="n">
        <v>0</v>
      </c>
      <c r="P141" t="n">
        <v>0</v>
      </c>
      <c r="Q141" t="n">
        <v>1</v>
      </c>
      <c r="R141" s="2" t="inlineStr">
        <is>
          <t>Blåsippa</t>
        </is>
      </c>
      <c r="S141">
        <f>HYPERLINK("https://klasma.github.io/Logging_0380/artfynd/A 32668-2023 artfynd.xlsx", "A 32668-2023")</f>
        <v/>
      </c>
      <c r="T141">
        <f>HYPERLINK("https://klasma.github.io/Logging_0380/kartor/A 32668-2023 karta.png", "A 32668-2023")</f>
        <v/>
      </c>
      <c r="V141">
        <f>HYPERLINK("https://klasma.github.io/Logging_0380/klagomål/A 32668-2023 FSC-klagomål.docx", "A 32668-2023")</f>
        <v/>
      </c>
      <c r="W141">
        <f>HYPERLINK("https://klasma.github.io/Logging_0380/klagomålsmail/A 32668-2023 FSC-klagomål mail.docx", "A 32668-2023")</f>
        <v/>
      </c>
      <c r="X141">
        <f>HYPERLINK("https://klasma.github.io/Logging_0380/tillsyn/A 32668-2023 tillsynsbegäran.docx", "A 32668-2023")</f>
        <v/>
      </c>
      <c r="Y141">
        <f>HYPERLINK("https://klasma.github.io/Logging_0380/tillsynsmail/A 32668-2023 tillsynsbegäran mail.docx", "A 32668-2023")</f>
        <v/>
      </c>
    </row>
    <row r="142" ht="15" customHeight="1">
      <c r="A142" t="inlineStr">
        <is>
          <t>A 34732-2023</t>
        </is>
      </c>
      <c r="B142" s="1" t="n">
        <v>45139</v>
      </c>
      <c r="C142" s="1" t="n">
        <v>45507</v>
      </c>
      <c r="D142" t="inlineStr">
        <is>
          <t>UPPSALA LÄN</t>
        </is>
      </c>
      <c r="E142" t="inlineStr">
        <is>
          <t>UPPSALA</t>
        </is>
      </c>
      <c r="G142" t="n">
        <v>8.1</v>
      </c>
      <c r="H142" t="n">
        <v>1</v>
      </c>
      <c r="I142" t="n">
        <v>1</v>
      </c>
      <c r="J142" t="n">
        <v>0</v>
      </c>
      <c r="K142" t="n">
        <v>0</v>
      </c>
      <c r="L142" t="n">
        <v>0</v>
      </c>
      <c r="M142" t="n">
        <v>0</v>
      </c>
      <c r="N142" t="n">
        <v>0</v>
      </c>
      <c r="O142" t="n">
        <v>0</v>
      </c>
      <c r="P142" t="n">
        <v>0</v>
      </c>
      <c r="Q142" t="n">
        <v>1</v>
      </c>
      <c r="R142" s="2" t="inlineStr">
        <is>
          <t>Grön sköldmossa</t>
        </is>
      </c>
      <c r="S142">
        <f>HYPERLINK("https://klasma.github.io/Logging_0380/artfynd/A 34732-2023 artfynd.xlsx", "A 34732-2023")</f>
        <v/>
      </c>
      <c r="T142">
        <f>HYPERLINK("https://klasma.github.io/Logging_0380/kartor/A 34732-2023 karta.png", "A 34732-2023")</f>
        <v/>
      </c>
      <c r="V142">
        <f>HYPERLINK("https://klasma.github.io/Logging_0380/klagomål/A 34732-2023 FSC-klagomål.docx", "A 34732-2023")</f>
        <v/>
      </c>
      <c r="W142">
        <f>HYPERLINK("https://klasma.github.io/Logging_0380/klagomålsmail/A 34732-2023 FSC-klagomål mail.docx", "A 34732-2023")</f>
        <v/>
      </c>
      <c r="X142">
        <f>HYPERLINK("https://klasma.github.io/Logging_0380/tillsyn/A 34732-2023 tillsynsbegäran.docx", "A 34732-2023")</f>
        <v/>
      </c>
      <c r="Y142">
        <f>HYPERLINK("https://klasma.github.io/Logging_0380/tillsynsmail/A 34732-2023 tillsynsbegäran mail.docx", "A 34732-2023")</f>
        <v/>
      </c>
    </row>
    <row r="143" ht="15" customHeight="1">
      <c r="A143" t="inlineStr">
        <is>
          <t>A 39741-2023</t>
        </is>
      </c>
      <c r="B143" s="1" t="n">
        <v>45167</v>
      </c>
      <c r="C143" s="1" t="n">
        <v>45507</v>
      </c>
      <c r="D143" t="inlineStr">
        <is>
          <t>UPPSALA LÄN</t>
        </is>
      </c>
      <c r="E143" t="inlineStr">
        <is>
          <t>UPPSALA</t>
        </is>
      </c>
      <c r="G143" t="n">
        <v>5.6</v>
      </c>
      <c r="H143" t="n">
        <v>1</v>
      </c>
      <c r="I143" t="n">
        <v>0</v>
      </c>
      <c r="J143" t="n">
        <v>1</v>
      </c>
      <c r="K143" t="n">
        <v>0</v>
      </c>
      <c r="L143" t="n">
        <v>0</v>
      </c>
      <c r="M143" t="n">
        <v>0</v>
      </c>
      <c r="N143" t="n">
        <v>0</v>
      </c>
      <c r="O143" t="n">
        <v>1</v>
      </c>
      <c r="P143" t="n">
        <v>0</v>
      </c>
      <c r="Q143" t="n">
        <v>1</v>
      </c>
      <c r="R143" s="2" t="inlineStr">
        <is>
          <t>Entita</t>
        </is>
      </c>
      <c r="S143">
        <f>HYPERLINK("https://klasma.github.io/Logging_0380/artfynd/A 39741-2023 artfynd.xlsx", "A 39741-2023")</f>
        <v/>
      </c>
      <c r="T143">
        <f>HYPERLINK("https://klasma.github.io/Logging_0380/kartor/A 39741-2023 karta.png", "A 39741-2023")</f>
        <v/>
      </c>
      <c r="V143">
        <f>HYPERLINK("https://klasma.github.io/Logging_0380/klagomål/A 39741-2023 FSC-klagomål.docx", "A 39741-2023")</f>
        <v/>
      </c>
      <c r="W143">
        <f>HYPERLINK("https://klasma.github.io/Logging_0380/klagomålsmail/A 39741-2023 FSC-klagomål mail.docx", "A 39741-2023")</f>
        <v/>
      </c>
      <c r="X143">
        <f>HYPERLINK("https://klasma.github.io/Logging_0380/tillsyn/A 39741-2023 tillsynsbegäran.docx", "A 39741-2023")</f>
        <v/>
      </c>
      <c r="Y143">
        <f>HYPERLINK("https://klasma.github.io/Logging_0380/tillsynsmail/A 39741-2023 tillsynsbegäran mail.docx", "A 39741-2023")</f>
        <v/>
      </c>
      <c r="Z143">
        <f>HYPERLINK("https://klasma.github.io/Logging_0380/fåglar/A 39741-2023 prioriterade fågelarter.docx", "A 39741-2023")</f>
        <v/>
      </c>
    </row>
    <row r="144" ht="15" customHeight="1">
      <c r="A144" t="inlineStr">
        <is>
          <t>A 51540-2023</t>
        </is>
      </c>
      <c r="B144" s="1" t="n">
        <v>45222</v>
      </c>
      <c r="C144" s="1" t="n">
        <v>45507</v>
      </c>
      <c r="D144" t="inlineStr">
        <is>
          <t>UPPSALA LÄN</t>
        </is>
      </c>
      <c r="E144" t="inlineStr">
        <is>
          <t>UPPSALA</t>
        </is>
      </c>
      <c r="G144" t="n">
        <v>6.4</v>
      </c>
      <c r="H144" t="n">
        <v>0</v>
      </c>
      <c r="I144" t="n">
        <v>0</v>
      </c>
      <c r="J144" t="n">
        <v>1</v>
      </c>
      <c r="K144" t="n">
        <v>0</v>
      </c>
      <c r="L144" t="n">
        <v>0</v>
      </c>
      <c r="M144" t="n">
        <v>0</v>
      </c>
      <c r="N144" t="n">
        <v>0</v>
      </c>
      <c r="O144" t="n">
        <v>1</v>
      </c>
      <c r="P144" t="n">
        <v>0</v>
      </c>
      <c r="Q144" t="n">
        <v>1</v>
      </c>
      <c r="R144" s="2" t="inlineStr">
        <is>
          <t>Svedjenäva</t>
        </is>
      </c>
      <c r="S144">
        <f>HYPERLINK("https://klasma.github.io/Logging_0380/artfynd/A 51540-2023 artfynd.xlsx", "A 51540-2023")</f>
        <v/>
      </c>
      <c r="T144">
        <f>HYPERLINK("https://klasma.github.io/Logging_0380/kartor/A 51540-2023 karta.png", "A 51540-2023")</f>
        <v/>
      </c>
      <c r="V144">
        <f>HYPERLINK("https://klasma.github.io/Logging_0380/klagomål/A 51540-2023 FSC-klagomål.docx", "A 51540-2023")</f>
        <v/>
      </c>
      <c r="W144">
        <f>HYPERLINK("https://klasma.github.io/Logging_0380/klagomålsmail/A 51540-2023 FSC-klagomål mail.docx", "A 51540-2023")</f>
        <v/>
      </c>
      <c r="X144">
        <f>HYPERLINK("https://klasma.github.io/Logging_0380/tillsyn/A 51540-2023 tillsynsbegäran.docx", "A 51540-2023")</f>
        <v/>
      </c>
      <c r="Y144">
        <f>HYPERLINK("https://klasma.github.io/Logging_0380/tillsynsmail/A 51540-2023 tillsynsbegäran mail.docx", "A 51540-2023")</f>
        <v/>
      </c>
    </row>
    <row r="145" ht="15" customHeight="1">
      <c r="A145" t="inlineStr">
        <is>
          <t>A 57332-2023</t>
        </is>
      </c>
      <c r="B145" s="1" t="n">
        <v>45245</v>
      </c>
      <c r="C145" s="1" t="n">
        <v>45507</v>
      </c>
      <c r="D145" t="inlineStr">
        <is>
          <t>UPPSALA LÄN</t>
        </is>
      </c>
      <c r="E145" t="inlineStr">
        <is>
          <t>UPPSALA</t>
        </is>
      </c>
      <c r="F145" t="inlineStr">
        <is>
          <t>Allmännings- och besparingsskogar</t>
        </is>
      </c>
      <c r="G145" t="n">
        <v>11.4</v>
      </c>
      <c r="H145" t="n">
        <v>1</v>
      </c>
      <c r="I145" t="n">
        <v>0</v>
      </c>
      <c r="J145" t="n">
        <v>0</v>
      </c>
      <c r="K145" t="n">
        <v>1</v>
      </c>
      <c r="L145" t="n">
        <v>0</v>
      </c>
      <c r="M145" t="n">
        <v>0</v>
      </c>
      <c r="N145" t="n">
        <v>0</v>
      </c>
      <c r="O145" t="n">
        <v>1</v>
      </c>
      <c r="P145" t="n">
        <v>1</v>
      </c>
      <c r="Q145" t="n">
        <v>1</v>
      </c>
      <c r="R145" s="2" t="inlineStr">
        <is>
          <t>Knärot</t>
        </is>
      </c>
      <c r="S145">
        <f>HYPERLINK("https://klasma.github.io/Logging_0380/artfynd/A 57332-2023 artfynd.xlsx", "A 57332-2023")</f>
        <v/>
      </c>
      <c r="T145">
        <f>HYPERLINK("https://klasma.github.io/Logging_0380/kartor/A 57332-2023 karta.png", "A 57332-2023")</f>
        <v/>
      </c>
      <c r="U145">
        <f>HYPERLINK("https://klasma.github.io/Logging_0380/knärot/A 57332-2023 karta knärot.png", "A 57332-2023")</f>
        <v/>
      </c>
      <c r="V145">
        <f>HYPERLINK("https://klasma.github.io/Logging_0380/klagomål/A 57332-2023 FSC-klagomål.docx", "A 57332-2023")</f>
        <v/>
      </c>
      <c r="W145">
        <f>HYPERLINK("https://klasma.github.io/Logging_0380/klagomålsmail/A 57332-2023 FSC-klagomål mail.docx", "A 57332-2023")</f>
        <v/>
      </c>
      <c r="X145">
        <f>HYPERLINK("https://klasma.github.io/Logging_0380/tillsyn/A 57332-2023 tillsynsbegäran.docx", "A 57332-2023")</f>
        <v/>
      </c>
      <c r="Y145">
        <f>HYPERLINK("https://klasma.github.io/Logging_0380/tillsynsmail/A 57332-2023 tillsynsbegäran mail.docx", "A 57332-2023")</f>
        <v/>
      </c>
    </row>
    <row r="146" ht="15" customHeight="1">
      <c r="A146" t="inlineStr">
        <is>
          <t>A 61068-2023</t>
        </is>
      </c>
      <c r="B146" s="1" t="n">
        <v>45259</v>
      </c>
      <c r="C146" s="1" t="n">
        <v>45507</v>
      </c>
      <c r="D146" t="inlineStr">
        <is>
          <t>UPPSALA LÄN</t>
        </is>
      </c>
      <c r="E146" t="inlineStr">
        <is>
          <t>UPPSALA</t>
        </is>
      </c>
      <c r="F146" t="inlineStr">
        <is>
          <t>Övriga Aktiebolag</t>
        </is>
      </c>
      <c r="G146" t="n">
        <v>8.800000000000001</v>
      </c>
      <c r="H146" t="n">
        <v>1</v>
      </c>
      <c r="I146" t="n">
        <v>0</v>
      </c>
      <c r="J146" t="n">
        <v>0</v>
      </c>
      <c r="K146" t="n">
        <v>1</v>
      </c>
      <c r="L146" t="n">
        <v>0</v>
      </c>
      <c r="M146" t="n">
        <v>0</v>
      </c>
      <c r="N146" t="n">
        <v>0</v>
      </c>
      <c r="O146" t="n">
        <v>1</v>
      </c>
      <c r="P146" t="n">
        <v>1</v>
      </c>
      <c r="Q146" t="n">
        <v>1</v>
      </c>
      <c r="R146" s="2" t="inlineStr">
        <is>
          <t>Knärot</t>
        </is>
      </c>
      <c r="S146">
        <f>HYPERLINK("https://klasma.github.io/Logging_0380/artfynd/A 61068-2023 artfynd.xlsx", "A 61068-2023")</f>
        <v/>
      </c>
      <c r="T146">
        <f>HYPERLINK("https://klasma.github.io/Logging_0380/kartor/A 61068-2023 karta.png", "A 61068-2023")</f>
        <v/>
      </c>
      <c r="U146">
        <f>HYPERLINK("https://klasma.github.io/Logging_0380/knärot/A 61068-2023 karta knärot.png", "A 61068-2023")</f>
        <v/>
      </c>
      <c r="V146">
        <f>HYPERLINK("https://klasma.github.io/Logging_0380/klagomål/A 61068-2023 FSC-klagomål.docx", "A 61068-2023")</f>
        <v/>
      </c>
      <c r="W146">
        <f>HYPERLINK("https://klasma.github.io/Logging_0380/klagomålsmail/A 61068-2023 FSC-klagomål mail.docx", "A 61068-2023")</f>
        <v/>
      </c>
      <c r="X146">
        <f>HYPERLINK("https://klasma.github.io/Logging_0380/tillsyn/A 61068-2023 tillsynsbegäran.docx", "A 61068-2023")</f>
        <v/>
      </c>
      <c r="Y146">
        <f>HYPERLINK("https://klasma.github.io/Logging_0380/tillsynsmail/A 61068-2023 tillsynsbegäran mail.docx", "A 61068-2023")</f>
        <v/>
      </c>
    </row>
    <row r="147" ht="15" customHeight="1">
      <c r="A147" t="inlineStr">
        <is>
          <t>A 63172-2023</t>
        </is>
      </c>
      <c r="B147" s="1" t="n">
        <v>45273</v>
      </c>
      <c r="C147" s="1" t="n">
        <v>45507</v>
      </c>
      <c r="D147" t="inlineStr">
        <is>
          <t>UPPSALA LÄN</t>
        </is>
      </c>
      <c r="E147" t="inlineStr">
        <is>
          <t>UPPSALA</t>
        </is>
      </c>
      <c r="G147" t="n">
        <v>1.8</v>
      </c>
      <c r="H147" t="n">
        <v>0</v>
      </c>
      <c r="I147" t="n">
        <v>1</v>
      </c>
      <c r="J147" t="n">
        <v>0</v>
      </c>
      <c r="K147" t="n">
        <v>0</v>
      </c>
      <c r="L147" t="n">
        <v>0</v>
      </c>
      <c r="M147" t="n">
        <v>0</v>
      </c>
      <c r="N147" t="n">
        <v>0</v>
      </c>
      <c r="O147" t="n">
        <v>0</v>
      </c>
      <c r="P147" t="n">
        <v>0</v>
      </c>
      <c r="Q147" t="n">
        <v>1</v>
      </c>
      <c r="R147" s="2" t="inlineStr">
        <is>
          <t>Ögonpyrola</t>
        </is>
      </c>
      <c r="S147">
        <f>HYPERLINK("https://klasma.github.io/Logging_0380/artfynd/A 63172-2023 artfynd.xlsx", "A 63172-2023")</f>
        <v/>
      </c>
      <c r="T147">
        <f>HYPERLINK("https://klasma.github.io/Logging_0380/kartor/A 63172-2023 karta.png", "A 63172-2023")</f>
        <v/>
      </c>
      <c r="V147">
        <f>HYPERLINK("https://klasma.github.io/Logging_0380/klagomål/A 63172-2023 FSC-klagomål.docx", "A 63172-2023")</f>
        <v/>
      </c>
      <c r="W147">
        <f>HYPERLINK("https://klasma.github.io/Logging_0380/klagomålsmail/A 63172-2023 FSC-klagomål mail.docx", "A 63172-2023")</f>
        <v/>
      </c>
      <c r="X147">
        <f>HYPERLINK("https://klasma.github.io/Logging_0380/tillsyn/A 63172-2023 tillsynsbegäran.docx", "A 63172-2023")</f>
        <v/>
      </c>
      <c r="Y147">
        <f>HYPERLINK("https://klasma.github.io/Logging_0380/tillsynsmail/A 63172-2023 tillsynsbegäran mail.docx", "A 63172-2023")</f>
        <v/>
      </c>
    </row>
    <row r="148" ht="15" customHeight="1">
      <c r="A148" t="inlineStr">
        <is>
          <t>A 584-2024</t>
        </is>
      </c>
      <c r="B148" s="1" t="n">
        <v>45299</v>
      </c>
      <c r="C148" s="1" t="n">
        <v>45507</v>
      </c>
      <c r="D148" t="inlineStr">
        <is>
          <t>UPPSALA LÄN</t>
        </is>
      </c>
      <c r="E148" t="inlineStr">
        <is>
          <t>UPPSALA</t>
        </is>
      </c>
      <c r="G148" t="n">
        <v>0.8</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584-2024 artfynd.xlsx", "A 584-2024")</f>
        <v/>
      </c>
      <c r="T148">
        <f>HYPERLINK("https://klasma.github.io/Logging_0380/kartor/A 584-2024 karta.png", "A 584-2024")</f>
        <v/>
      </c>
      <c r="V148">
        <f>HYPERLINK("https://klasma.github.io/Logging_0380/klagomål/A 584-2024 FSC-klagomål.docx", "A 584-2024")</f>
        <v/>
      </c>
      <c r="W148">
        <f>HYPERLINK("https://klasma.github.io/Logging_0380/klagomålsmail/A 584-2024 FSC-klagomål mail.docx", "A 584-2024")</f>
        <v/>
      </c>
      <c r="X148">
        <f>HYPERLINK("https://klasma.github.io/Logging_0380/tillsyn/A 584-2024 tillsynsbegäran.docx", "A 584-2024")</f>
        <v/>
      </c>
      <c r="Y148">
        <f>HYPERLINK("https://klasma.github.io/Logging_0380/tillsynsmail/A 584-2024 tillsynsbegäran mail.docx", "A 584-2024")</f>
        <v/>
      </c>
    </row>
    <row r="149" ht="15" customHeight="1">
      <c r="A149" t="inlineStr">
        <is>
          <t>A 5972-2024</t>
        </is>
      </c>
      <c r="B149" s="1" t="n">
        <v>45336</v>
      </c>
      <c r="C149" s="1" t="n">
        <v>45507</v>
      </c>
      <c r="D149" t="inlineStr">
        <is>
          <t>UPPSALA LÄN</t>
        </is>
      </c>
      <c r="E149" t="inlineStr">
        <is>
          <t>UPPSALA</t>
        </is>
      </c>
      <c r="G149" t="n">
        <v>1.6</v>
      </c>
      <c r="H149" t="n">
        <v>1</v>
      </c>
      <c r="I149" t="n">
        <v>0</v>
      </c>
      <c r="J149" t="n">
        <v>0</v>
      </c>
      <c r="K149" t="n">
        <v>0</v>
      </c>
      <c r="L149" t="n">
        <v>0</v>
      </c>
      <c r="M149" t="n">
        <v>0</v>
      </c>
      <c r="N149" t="n">
        <v>0</v>
      </c>
      <c r="O149" t="n">
        <v>0</v>
      </c>
      <c r="P149" t="n">
        <v>0</v>
      </c>
      <c r="Q149" t="n">
        <v>1</v>
      </c>
      <c r="R149" s="2" t="inlineStr">
        <is>
          <t>Sparvuggla</t>
        </is>
      </c>
      <c r="S149">
        <f>HYPERLINK("https://klasma.github.io/Logging_0380/artfynd/A 5972-2024 artfynd.xlsx", "A 5972-2024")</f>
        <v/>
      </c>
      <c r="T149">
        <f>HYPERLINK("https://klasma.github.io/Logging_0380/kartor/A 5972-2024 karta.png", "A 5972-2024")</f>
        <v/>
      </c>
      <c r="V149">
        <f>HYPERLINK("https://klasma.github.io/Logging_0380/klagomål/A 5972-2024 FSC-klagomål.docx", "A 5972-2024")</f>
        <v/>
      </c>
      <c r="W149">
        <f>HYPERLINK("https://klasma.github.io/Logging_0380/klagomålsmail/A 5972-2024 FSC-klagomål mail.docx", "A 5972-2024")</f>
        <v/>
      </c>
      <c r="X149">
        <f>HYPERLINK("https://klasma.github.io/Logging_0380/tillsyn/A 5972-2024 tillsynsbegäran.docx", "A 5972-2024")</f>
        <v/>
      </c>
      <c r="Y149">
        <f>HYPERLINK("https://klasma.github.io/Logging_0380/tillsynsmail/A 5972-2024 tillsynsbegäran mail.docx", "A 5972-2024")</f>
        <v/>
      </c>
      <c r="Z149">
        <f>HYPERLINK("https://klasma.github.io/Logging_0380/fåglar/A 5972-2024 prioriterade fågelarter.docx", "A 5972-2024")</f>
        <v/>
      </c>
    </row>
    <row r="150" ht="15" customHeight="1">
      <c r="A150" t="inlineStr">
        <is>
          <t>A 6044-2024</t>
        </is>
      </c>
      <c r="B150" s="1" t="n">
        <v>45336</v>
      </c>
      <c r="C150" s="1" t="n">
        <v>45507</v>
      </c>
      <c r="D150" t="inlineStr">
        <is>
          <t>UPPSALA LÄN</t>
        </is>
      </c>
      <c r="E150" t="inlineStr">
        <is>
          <t>UPPSALA</t>
        </is>
      </c>
      <c r="F150" t="inlineStr">
        <is>
          <t>Holmen skog AB</t>
        </is>
      </c>
      <c r="G150" t="n">
        <v>7.4</v>
      </c>
      <c r="H150" t="n">
        <v>0</v>
      </c>
      <c r="I150" t="n">
        <v>0</v>
      </c>
      <c r="J150" t="n">
        <v>1</v>
      </c>
      <c r="K150" t="n">
        <v>0</v>
      </c>
      <c r="L150" t="n">
        <v>0</v>
      </c>
      <c r="M150" t="n">
        <v>0</v>
      </c>
      <c r="N150" t="n">
        <v>0</v>
      </c>
      <c r="O150" t="n">
        <v>1</v>
      </c>
      <c r="P150" t="n">
        <v>0</v>
      </c>
      <c r="Q150" t="n">
        <v>1</v>
      </c>
      <c r="R150" s="2" t="inlineStr">
        <is>
          <t>Gul dropplav</t>
        </is>
      </c>
      <c r="S150">
        <f>HYPERLINK("https://klasma.github.io/Logging_0380/artfynd/A 6044-2024 artfynd.xlsx", "A 6044-2024")</f>
        <v/>
      </c>
      <c r="T150">
        <f>HYPERLINK("https://klasma.github.io/Logging_0380/kartor/A 6044-2024 karta.png", "A 6044-2024")</f>
        <v/>
      </c>
      <c r="V150">
        <f>HYPERLINK("https://klasma.github.io/Logging_0380/klagomål/A 6044-2024 FSC-klagomål.docx", "A 6044-2024")</f>
        <v/>
      </c>
      <c r="W150">
        <f>HYPERLINK("https://klasma.github.io/Logging_0380/klagomålsmail/A 6044-2024 FSC-klagomål mail.docx", "A 6044-2024")</f>
        <v/>
      </c>
      <c r="X150">
        <f>HYPERLINK("https://klasma.github.io/Logging_0380/tillsyn/A 6044-2024 tillsynsbegäran.docx", "A 6044-2024")</f>
        <v/>
      </c>
      <c r="Y150">
        <f>HYPERLINK("https://klasma.github.io/Logging_0380/tillsynsmail/A 6044-2024 tillsynsbegäran mail.docx", "A 6044-2024")</f>
        <v/>
      </c>
    </row>
    <row r="151" ht="15" customHeight="1">
      <c r="A151" t="inlineStr">
        <is>
          <t>A 7395-2024</t>
        </is>
      </c>
      <c r="B151" s="1" t="n">
        <v>45345</v>
      </c>
      <c r="C151" s="1" t="n">
        <v>45507</v>
      </c>
      <c r="D151" t="inlineStr">
        <is>
          <t>UPPSALA LÄN</t>
        </is>
      </c>
      <c r="E151" t="inlineStr">
        <is>
          <t>UPPSALA</t>
        </is>
      </c>
      <c r="G151" t="n">
        <v>1.3</v>
      </c>
      <c r="H151" t="n">
        <v>1</v>
      </c>
      <c r="I151" t="n">
        <v>0</v>
      </c>
      <c r="J151" t="n">
        <v>0</v>
      </c>
      <c r="K151" t="n">
        <v>1</v>
      </c>
      <c r="L151" t="n">
        <v>0</v>
      </c>
      <c r="M151" t="n">
        <v>0</v>
      </c>
      <c r="N151" t="n">
        <v>0</v>
      </c>
      <c r="O151" t="n">
        <v>1</v>
      </c>
      <c r="P151" t="n">
        <v>1</v>
      </c>
      <c r="Q151" t="n">
        <v>1</v>
      </c>
      <c r="R151" s="2" t="inlineStr">
        <is>
          <t>Knärot</t>
        </is>
      </c>
      <c r="S151">
        <f>HYPERLINK("https://klasma.github.io/Logging_0380/artfynd/A 7395-2024 artfynd.xlsx", "A 7395-2024")</f>
        <v/>
      </c>
      <c r="T151">
        <f>HYPERLINK("https://klasma.github.io/Logging_0380/kartor/A 7395-2024 karta.png", "A 7395-2024")</f>
        <v/>
      </c>
      <c r="U151">
        <f>HYPERLINK("https://klasma.github.io/Logging_0380/knärot/A 7395-2024 karta knärot.png", "A 7395-2024")</f>
        <v/>
      </c>
      <c r="V151">
        <f>HYPERLINK("https://klasma.github.io/Logging_0380/klagomål/A 7395-2024 FSC-klagomål.docx", "A 7395-2024")</f>
        <v/>
      </c>
      <c r="W151">
        <f>HYPERLINK("https://klasma.github.io/Logging_0380/klagomålsmail/A 7395-2024 FSC-klagomål mail.docx", "A 7395-2024")</f>
        <v/>
      </c>
      <c r="X151">
        <f>HYPERLINK("https://klasma.github.io/Logging_0380/tillsyn/A 7395-2024 tillsynsbegäran.docx", "A 7395-2024")</f>
        <v/>
      </c>
      <c r="Y151">
        <f>HYPERLINK("https://klasma.github.io/Logging_0380/tillsynsmail/A 7395-2024 tillsynsbegäran mail.docx", "A 7395-2024")</f>
        <v/>
      </c>
    </row>
    <row r="152" ht="15" customHeight="1">
      <c r="A152" t="inlineStr">
        <is>
          <t>A 7397-2024</t>
        </is>
      </c>
      <c r="B152" s="1" t="n">
        <v>45345</v>
      </c>
      <c r="C152" s="1" t="n">
        <v>45507</v>
      </c>
      <c r="D152" t="inlineStr">
        <is>
          <t>UPPSALA LÄN</t>
        </is>
      </c>
      <c r="E152" t="inlineStr">
        <is>
          <t>UPPSALA</t>
        </is>
      </c>
      <c r="G152" t="n">
        <v>3.4</v>
      </c>
      <c r="H152" t="n">
        <v>0</v>
      </c>
      <c r="I152" t="n">
        <v>1</v>
      </c>
      <c r="J152" t="n">
        <v>0</v>
      </c>
      <c r="K152" t="n">
        <v>0</v>
      </c>
      <c r="L152" t="n">
        <v>0</v>
      </c>
      <c r="M152" t="n">
        <v>0</v>
      </c>
      <c r="N152" t="n">
        <v>0</v>
      </c>
      <c r="O152" t="n">
        <v>0</v>
      </c>
      <c r="P152" t="n">
        <v>0</v>
      </c>
      <c r="Q152" t="n">
        <v>1</v>
      </c>
      <c r="R152" s="2" t="inlineStr">
        <is>
          <t>Svavelriska</t>
        </is>
      </c>
      <c r="S152">
        <f>HYPERLINK("https://klasma.github.io/Logging_0380/artfynd/A 7397-2024 artfynd.xlsx", "A 7397-2024")</f>
        <v/>
      </c>
      <c r="T152">
        <f>HYPERLINK("https://klasma.github.io/Logging_0380/kartor/A 7397-2024 karta.png", "A 7397-2024")</f>
        <v/>
      </c>
      <c r="U152">
        <f>HYPERLINK("https://klasma.github.io/Logging_0380/knärot/A 7397-2024 karta knärot.png", "A 7397-2024")</f>
        <v/>
      </c>
      <c r="V152">
        <f>HYPERLINK("https://klasma.github.io/Logging_0380/klagomål/A 7397-2024 FSC-klagomål.docx", "A 7397-2024")</f>
        <v/>
      </c>
      <c r="W152">
        <f>HYPERLINK("https://klasma.github.io/Logging_0380/klagomålsmail/A 7397-2024 FSC-klagomål mail.docx", "A 7397-2024")</f>
        <v/>
      </c>
      <c r="X152">
        <f>HYPERLINK("https://klasma.github.io/Logging_0380/tillsyn/A 7397-2024 tillsynsbegäran.docx", "A 7397-2024")</f>
        <v/>
      </c>
      <c r="Y152">
        <f>HYPERLINK("https://klasma.github.io/Logging_0380/tillsynsmail/A 7397-2024 tillsynsbegäran mail.docx", "A 7397-2024")</f>
        <v/>
      </c>
    </row>
    <row r="153" ht="15" customHeight="1">
      <c r="A153" t="inlineStr">
        <is>
          <t>A 8398-2024</t>
        </is>
      </c>
      <c r="B153" s="1" t="n">
        <v>45352</v>
      </c>
      <c r="C153" s="1" t="n">
        <v>45507</v>
      </c>
      <c r="D153" t="inlineStr">
        <is>
          <t>UPPSALA LÄN</t>
        </is>
      </c>
      <c r="E153" t="inlineStr">
        <is>
          <t>UPPSALA</t>
        </is>
      </c>
      <c r="G153" t="n">
        <v>6.2</v>
      </c>
      <c r="H153" t="n">
        <v>1</v>
      </c>
      <c r="I153" t="n">
        <v>0</v>
      </c>
      <c r="J153" t="n">
        <v>0</v>
      </c>
      <c r="K153" t="n">
        <v>0</v>
      </c>
      <c r="L153" t="n">
        <v>0</v>
      </c>
      <c r="M153" t="n">
        <v>0</v>
      </c>
      <c r="N153" t="n">
        <v>0</v>
      </c>
      <c r="O153" t="n">
        <v>0</v>
      </c>
      <c r="P153" t="n">
        <v>0</v>
      </c>
      <c r="Q153" t="n">
        <v>1</v>
      </c>
      <c r="R153" s="2" t="inlineStr">
        <is>
          <t>Tjäder</t>
        </is>
      </c>
      <c r="S153">
        <f>HYPERLINK("https://klasma.github.io/Logging_0380/artfynd/A 8398-2024 artfynd.xlsx", "A 8398-2024")</f>
        <v/>
      </c>
      <c r="T153">
        <f>HYPERLINK("https://klasma.github.io/Logging_0380/kartor/A 8398-2024 karta.png", "A 8398-2024")</f>
        <v/>
      </c>
      <c r="V153">
        <f>HYPERLINK("https://klasma.github.io/Logging_0380/klagomål/A 8398-2024 FSC-klagomål.docx", "A 8398-2024")</f>
        <v/>
      </c>
      <c r="W153">
        <f>HYPERLINK("https://klasma.github.io/Logging_0380/klagomålsmail/A 8398-2024 FSC-klagomål mail.docx", "A 8398-2024")</f>
        <v/>
      </c>
      <c r="X153">
        <f>HYPERLINK("https://klasma.github.io/Logging_0380/tillsyn/A 8398-2024 tillsynsbegäran.docx", "A 8398-2024")</f>
        <v/>
      </c>
      <c r="Y153">
        <f>HYPERLINK("https://klasma.github.io/Logging_0380/tillsynsmail/A 8398-2024 tillsynsbegäran mail.docx", "A 8398-2024")</f>
        <v/>
      </c>
      <c r="Z153">
        <f>HYPERLINK("https://klasma.github.io/Logging_0380/fåglar/A 8398-2024 prioriterade fågelarter.docx", "A 8398-2024")</f>
        <v/>
      </c>
    </row>
    <row r="154" ht="15" customHeight="1">
      <c r="A154" t="inlineStr">
        <is>
          <t>A 9206-2024</t>
        </is>
      </c>
      <c r="B154" s="1" t="n">
        <v>45358</v>
      </c>
      <c r="C154" s="1" t="n">
        <v>45507</v>
      </c>
      <c r="D154" t="inlineStr">
        <is>
          <t>UPPSALA LÄN</t>
        </is>
      </c>
      <c r="E154" t="inlineStr">
        <is>
          <t>UPPSALA</t>
        </is>
      </c>
      <c r="F154" t="inlineStr">
        <is>
          <t>Allmännings- och besparingsskogar</t>
        </is>
      </c>
      <c r="G154" t="n">
        <v>22.2</v>
      </c>
      <c r="H154" t="n">
        <v>1</v>
      </c>
      <c r="I154" t="n">
        <v>0</v>
      </c>
      <c r="J154" t="n">
        <v>0</v>
      </c>
      <c r="K154" t="n">
        <v>1</v>
      </c>
      <c r="L154" t="n">
        <v>0</v>
      </c>
      <c r="M154" t="n">
        <v>0</v>
      </c>
      <c r="N154" t="n">
        <v>0</v>
      </c>
      <c r="O154" t="n">
        <v>1</v>
      </c>
      <c r="P154" t="n">
        <v>1</v>
      </c>
      <c r="Q154" t="n">
        <v>1</v>
      </c>
      <c r="R154" s="2" t="inlineStr">
        <is>
          <t>Knärot</t>
        </is>
      </c>
      <c r="S154">
        <f>HYPERLINK("https://klasma.github.io/Logging_0380/artfynd/A 9206-2024 artfynd.xlsx", "A 9206-2024")</f>
        <v/>
      </c>
      <c r="T154">
        <f>HYPERLINK("https://klasma.github.io/Logging_0380/kartor/A 9206-2024 karta.png", "A 9206-2024")</f>
        <v/>
      </c>
      <c r="U154">
        <f>HYPERLINK("https://klasma.github.io/Logging_0380/knärot/A 9206-2024 karta knärot.png", "A 9206-2024")</f>
        <v/>
      </c>
      <c r="V154">
        <f>HYPERLINK("https://klasma.github.io/Logging_0380/klagomål/A 9206-2024 FSC-klagomål.docx", "A 9206-2024")</f>
        <v/>
      </c>
      <c r="W154">
        <f>HYPERLINK("https://klasma.github.io/Logging_0380/klagomålsmail/A 9206-2024 FSC-klagomål mail.docx", "A 9206-2024")</f>
        <v/>
      </c>
      <c r="X154">
        <f>HYPERLINK("https://klasma.github.io/Logging_0380/tillsyn/A 9206-2024 tillsynsbegäran.docx", "A 9206-2024")</f>
        <v/>
      </c>
      <c r="Y154">
        <f>HYPERLINK("https://klasma.github.io/Logging_0380/tillsynsmail/A 9206-2024 tillsynsbegäran mail.docx", "A 9206-2024")</f>
        <v/>
      </c>
    </row>
    <row r="155" ht="15" customHeight="1">
      <c r="A155" t="inlineStr">
        <is>
          <t>A 13093-2024</t>
        </is>
      </c>
      <c r="B155" s="1" t="n">
        <v>45385</v>
      </c>
      <c r="C155" s="1" t="n">
        <v>45507</v>
      </c>
      <c r="D155" t="inlineStr">
        <is>
          <t>UPPSALA LÄN</t>
        </is>
      </c>
      <c r="E155" t="inlineStr">
        <is>
          <t>UPPSALA</t>
        </is>
      </c>
      <c r="G155" t="n">
        <v>1.1</v>
      </c>
      <c r="H155" t="n">
        <v>1</v>
      </c>
      <c r="I155" t="n">
        <v>1</v>
      </c>
      <c r="J155" t="n">
        <v>0</v>
      </c>
      <c r="K155" t="n">
        <v>0</v>
      </c>
      <c r="L155" t="n">
        <v>0</v>
      </c>
      <c r="M155" t="n">
        <v>0</v>
      </c>
      <c r="N155" t="n">
        <v>0</v>
      </c>
      <c r="O155" t="n">
        <v>0</v>
      </c>
      <c r="P155" t="n">
        <v>0</v>
      </c>
      <c r="Q155" t="n">
        <v>1</v>
      </c>
      <c r="R155" s="2" t="inlineStr">
        <is>
          <t>Skogsknipprot</t>
        </is>
      </c>
      <c r="S155">
        <f>HYPERLINK("https://klasma.github.io/Logging_0380/artfynd/A 13093-2024 artfynd.xlsx", "A 13093-2024")</f>
        <v/>
      </c>
      <c r="T155">
        <f>HYPERLINK("https://klasma.github.io/Logging_0380/kartor/A 13093-2024 karta.png", "A 13093-2024")</f>
        <v/>
      </c>
      <c r="V155">
        <f>HYPERLINK("https://klasma.github.io/Logging_0380/klagomål/A 13093-2024 FSC-klagomål.docx", "A 13093-2024")</f>
        <v/>
      </c>
      <c r="W155">
        <f>HYPERLINK("https://klasma.github.io/Logging_0380/klagomålsmail/A 13093-2024 FSC-klagomål mail.docx", "A 13093-2024")</f>
        <v/>
      </c>
      <c r="X155">
        <f>HYPERLINK("https://klasma.github.io/Logging_0380/tillsyn/A 13093-2024 tillsynsbegäran.docx", "A 13093-2024")</f>
        <v/>
      </c>
      <c r="Y155">
        <f>HYPERLINK("https://klasma.github.io/Logging_0380/tillsynsmail/A 13093-2024 tillsynsbegäran mail.docx", "A 13093-2024")</f>
        <v/>
      </c>
    </row>
    <row r="156" ht="15" customHeight="1">
      <c r="A156" t="inlineStr">
        <is>
          <t>A 13661-2024</t>
        </is>
      </c>
      <c r="B156" s="1" t="n">
        <v>45390</v>
      </c>
      <c r="C156" s="1" t="n">
        <v>45507</v>
      </c>
      <c r="D156" t="inlineStr">
        <is>
          <t>UPPSALA LÄN</t>
        </is>
      </c>
      <c r="E156" t="inlineStr">
        <is>
          <t>UPPSALA</t>
        </is>
      </c>
      <c r="F156" t="inlineStr">
        <is>
          <t>Holmen skog AB</t>
        </is>
      </c>
      <c r="G156" t="n">
        <v>3.7</v>
      </c>
      <c r="H156" t="n">
        <v>0</v>
      </c>
      <c r="I156" t="n">
        <v>0</v>
      </c>
      <c r="J156" t="n">
        <v>1</v>
      </c>
      <c r="K156" t="n">
        <v>0</v>
      </c>
      <c r="L156" t="n">
        <v>0</v>
      </c>
      <c r="M156" t="n">
        <v>0</v>
      </c>
      <c r="N156" t="n">
        <v>0</v>
      </c>
      <c r="O156" t="n">
        <v>1</v>
      </c>
      <c r="P156" t="n">
        <v>0</v>
      </c>
      <c r="Q156" t="n">
        <v>1</v>
      </c>
      <c r="R156" s="2" t="inlineStr">
        <is>
          <t>Skogsklocka</t>
        </is>
      </c>
      <c r="S156">
        <f>HYPERLINK("https://klasma.github.io/Logging_0380/artfynd/A 13661-2024 artfynd.xlsx", "A 13661-2024")</f>
        <v/>
      </c>
      <c r="T156">
        <f>HYPERLINK("https://klasma.github.io/Logging_0380/kartor/A 13661-2024 karta.png", "A 13661-2024")</f>
        <v/>
      </c>
      <c r="V156">
        <f>HYPERLINK("https://klasma.github.io/Logging_0380/klagomål/A 13661-2024 FSC-klagomål.docx", "A 13661-2024")</f>
        <v/>
      </c>
      <c r="W156">
        <f>HYPERLINK("https://klasma.github.io/Logging_0380/klagomålsmail/A 13661-2024 FSC-klagomål mail.docx", "A 13661-2024")</f>
        <v/>
      </c>
      <c r="X156">
        <f>HYPERLINK("https://klasma.github.io/Logging_0380/tillsyn/A 13661-2024 tillsynsbegäran.docx", "A 13661-2024")</f>
        <v/>
      </c>
      <c r="Y156">
        <f>HYPERLINK("https://klasma.github.io/Logging_0380/tillsynsmail/A 13661-2024 tillsynsbegäran mail.docx", "A 13661-2024")</f>
        <v/>
      </c>
    </row>
    <row r="157" ht="15" customHeight="1">
      <c r="A157" t="inlineStr">
        <is>
          <t>A 18348-2024</t>
        </is>
      </c>
      <c r="B157" s="1" t="n">
        <v>45422</v>
      </c>
      <c r="C157" s="1" t="n">
        <v>45507</v>
      </c>
      <c r="D157" t="inlineStr">
        <is>
          <t>UPPSALA LÄN</t>
        </is>
      </c>
      <c r="E157" t="inlineStr">
        <is>
          <t>UPPSALA</t>
        </is>
      </c>
      <c r="F157" t="inlineStr">
        <is>
          <t>Holmen skog AB</t>
        </is>
      </c>
      <c r="G157" t="n">
        <v>2.8</v>
      </c>
      <c r="H157" t="n">
        <v>0</v>
      </c>
      <c r="I157" t="n">
        <v>0</v>
      </c>
      <c r="J157" t="n">
        <v>1</v>
      </c>
      <c r="K157" t="n">
        <v>0</v>
      </c>
      <c r="L157" t="n">
        <v>0</v>
      </c>
      <c r="M157" t="n">
        <v>0</v>
      </c>
      <c r="N157" t="n">
        <v>0</v>
      </c>
      <c r="O157" t="n">
        <v>1</v>
      </c>
      <c r="P157" t="n">
        <v>0</v>
      </c>
      <c r="Q157" t="n">
        <v>1</v>
      </c>
      <c r="R157" s="2" t="inlineStr">
        <is>
          <t>Granticka</t>
        </is>
      </c>
      <c r="S157">
        <f>HYPERLINK("https://klasma.github.io/Logging_0380/artfynd/A 18348-2024 artfynd.xlsx", "A 18348-2024")</f>
        <v/>
      </c>
      <c r="T157">
        <f>HYPERLINK("https://klasma.github.io/Logging_0380/kartor/A 18348-2024 karta.png", "A 18348-2024")</f>
        <v/>
      </c>
      <c r="V157">
        <f>HYPERLINK("https://klasma.github.io/Logging_0380/klagomål/A 18348-2024 FSC-klagomål.docx", "A 18348-2024")</f>
        <v/>
      </c>
      <c r="W157">
        <f>HYPERLINK("https://klasma.github.io/Logging_0380/klagomålsmail/A 18348-2024 FSC-klagomål mail.docx", "A 18348-2024")</f>
        <v/>
      </c>
      <c r="X157">
        <f>HYPERLINK("https://klasma.github.io/Logging_0380/tillsyn/A 18348-2024 tillsynsbegäran.docx", "A 18348-2024")</f>
        <v/>
      </c>
      <c r="Y157">
        <f>HYPERLINK("https://klasma.github.io/Logging_0380/tillsynsmail/A 18348-2024 tillsynsbegäran mail.docx", "A 18348-2024")</f>
        <v/>
      </c>
    </row>
    <row r="158" ht="15" customHeight="1">
      <c r="A158" t="inlineStr">
        <is>
          <t>A 18509-2024</t>
        </is>
      </c>
      <c r="B158" s="1" t="n">
        <v>45425</v>
      </c>
      <c r="C158" s="1" t="n">
        <v>45507</v>
      </c>
      <c r="D158" t="inlineStr">
        <is>
          <t>UPPSALA LÄN</t>
        </is>
      </c>
      <c r="E158" t="inlineStr">
        <is>
          <t>UPPSALA</t>
        </is>
      </c>
      <c r="G158" t="n">
        <v>4</v>
      </c>
      <c r="H158" t="n">
        <v>0</v>
      </c>
      <c r="I158" t="n">
        <v>1</v>
      </c>
      <c r="J158" t="n">
        <v>0</v>
      </c>
      <c r="K158" t="n">
        <v>0</v>
      </c>
      <c r="L158" t="n">
        <v>0</v>
      </c>
      <c r="M158" t="n">
        <v>0</v>
      </c>
      <c r="N158" t="n">
        <v>0</v>
      </c>
      <c r="O158" t="n">
        <v>0</v>
      </c>
      <c r="P158" t="n">
        <v>0</v>
      </c>
      <c r="Q158" t="n">
        <v>1</v>
      </c>
      <c r="R158" s="2" t="inlineStr">
        <is>
          <t>Fällmossa</t>
        </is>
      </c>
      <c r="S158">
        <f>HYPERLINK("https://klasma.github.io/Logging_0380/artfynd/A 18509-2024 artfynd.xlsx", "A 18509-2024")</f>
        <v/>
      </c>
      <c r="T158">
        <f>HYPERLINK("https://klasma.github.io/Logging_0380/kartor/A 18509-2024 karta.png", "A 18509-2024")</f>
        <v/>
      </c>
      <c r="V158">
        <f>HYPERLINK("https://klasma.github.io/Logging_0380/klagomål/A 18509-2024 FSC-klagomål.docx", "A 18509-2024")</f>
        <v/>
      </c>
      <c r="W158">
        <f>HYPERLINK("https://klasma.github.io/Logging_0380/klagomålsmail/A 18509-2024 FSC-klagomål mail.docx", "A 18509-2024")</f>
        <v/>
      </c>
      <c r="X158">
        <f>HYPERLINK("https://klasma.github.io/Logging_0380/tillsyn/A 18509-2024 tillsynsbegäran.docx", "A 18509-2024")</f>
        <v/>
      </c>
      <c r="Y158">
        <f>HYPERLINK("https://klasma.github.io/Logging_0380/tillsynsmail/A 18509-2024 tillsynsbegäran mail.docx", "A 18509-2024")</f>
        <v/>
      </c>
    </row>
    <row r="159" ht="15" customHeight="1">
      <c r="A159" t="inlineStr">
        <is>
          <t>A 21671-2024</t>
        </is>
      </c>
      <c r="B159" s="1" t="n">
        <v>45442</v>
      </c>
      <c r="C159" s="1" t="n">
        <v>45507</v>
      </c>
      <c r="D159" t="inlineStr">
        <is>
          <t>UPPSALA LÄN</t>
        </is>
      </c>
      <c r="E159" t="inlineStr">
        <is>
          <t>UPPSALA</t>
        </is>
      </c>
      <c r="G159" t="n">
        <v>3.7</v>
      </c>
      <c r="H159" t="n">
        <v>1</v>
      </c>
      <c r="I159" t="n">
        <v>0</v>
      </c>
      <c r="J159" t="n">
        <v>0</v>
      </c>
      <c r="K159" t="n">
        <v>1</v>
      </c>
      <c r="L159" t="n">
        <v>0</v>
      </c>
      <c r="M159" t="n">
        <v>0</v>
      </c>
      <c r="N159" t="n">
        <v>0</v>
      </c>
      <c r="O159" t="n">
        <v>1</v>
      </c>
      <c r="P159" t="n">
        <v>1</v>
      </c>
      <c r="Q159" t="n">
        <v>1</v>
      </c>
      <c r="R159" s="2" t="inlineStr">
        <is>
          <t>Knärot</t>
        </is>
      </c>
      <c r="S159">
        <f>HYPERLINK("https://klasma.github.io/Logging_0380/artfynd/A 21671-2024 artfynd.xlsx", "A 21671-2024")</f>
        <v/>
      </c>
      <c r="T159">
        <f>HYPERLINK("https://klasma.github.io/Logging_0380/kartor/A 21671-2024 karta.png", "A 21671-2024")</f>
        <v/>
      </c>
      <c r="U159">
        <f>HYPERLINK("https://klasma.github.io/Logging_0380/knärot/A 21671-2024 karta knärot.png", "A 21671-2024")</f>
        <v/>
      </c>
      <c r="V159">
        <f>HYPERLINK("https://klasma.github.io/Logging_0380/klagomål/A 21671-2024 FSC-klagomål.docx", "A 21671-2024")</f>
        <v/>
      </c>
      <c r="W159">
        <f>HYPERLINK("https://klasma.github.io/Logging_0380/klagomålsmail/A 21671-2024 FSC-klagomål mail.docx", "A 21671-2024")</f>
        <v/>
      </c>
      <c r="X159">
        <f>HYPERLINK("https://klasma.github.io/Logging_0380/tillsyn/A 21671-2024 tillsynsbegäran.docx", "A 21671-2024")</f>
        <v/>
      </c>
      <c r="Y159">
        <f>HYPERLINK("https://klasma.github.io/Logging_0380/tillsynsmail/A 21671-2024 tillsynsbegäran mail.docx", "A 21671-2024")</f>
        <v/>
      </c>
    </row>
    <row r="160" ht="15" customHeight="1">
      <c r="A160" t="inlineStr">
        <is>
          <t>A 23321-2024</t>
        </is>
      </c>
      <c r="B160" s="1" t="n">
        <v>45453</v>
      </c>
      <c r="C160" s="1" t="n">
        <v>45507</v>
      </c>
      <c r="D160" t="inlineStr">
        <is>
          <t>UPPSALA LÄN</t>
        </is>
      </c>
      <c r="E160" t="inlineStr">
        <is>
          <t>UPPSALA</t>
        </is>
      </c>
      <c r="G160" t="n">
        <v>11.8</v>
      </c>
      <c r="H160" t="n">
        <v>1</v>
      </c>
      <c r="I160" t="n">
        <v>0</v>
      </c>
      <c r="J160" t="n">
        <v>1</v>
      </c>
      <c r="K160" t="n">
        <v>0</v>
      </c>
      <c r="L160" t="n">
        <v>0</v>
      </c>
      <c r="M160" t="n">
        <v>0</v>
      </c>
      <c r="N160" t="n">
        <v>0</v>
      </c>
      <c r="O160" t="n">
        <v>1</v>
      </c>
      <c r="P160" t="n">
        <v>0</v>
      </c>
      <c r="Q160" t="n">
        <v>1</v>
      </c>
      <c r="R160" s="2" t="inlineStr">
        <is>
          <t>Talltita</t>
        </is>
      </c>
      <c r="S160">
        <f>HYPERLINK("https://klasma.github.io/Logging_0380/artfynd/A 23321-2024 artfynd.xlsx", "A 23321-2024")</f>
        <v/>
      </c>
      <c r="T160">
        <f>HYPERLINK("https://klasma.github.io/Logging_0380/kartor/A 23321-2024 karta.png", "A 23321-2024")</f>
        <v/>
      </c>
      <c r="U160">
        <f>HYPERLINK("https://klasma.github.io/Logging_0380/knärot/A 23321-2024 karta knärot.png", "A 23321-2024")</f>
        <v/>
      </c>
      <c r="V160">
        <f>HYPERLINK("https://klasma.github.io/Logging_0380/klagomål/A 23321-2024 FSC-klagomål.docx", "A 23321-2024")</f>
        <v/>
      </c>
      <c r="W160">
        <f>HYPERLINK("https://klasma.github.io/Logging_0380/klagomålsmail/A 23321-2024 FSC-klagomål mail.docx", "A 23321-2024")</f>
        <v/>
      </c>
      <c r="X160">
        <f>HYPERLINK("https://klasma.github.io/Logging_0380/tillsyn/A 23321-2024 tillsynsbegäran.docx", "A 23321-2024")</f>
        <v/>
      </c>
      <c r="Y160">
        <f>HYPERLINK("https://klasma.github.io/Logging_0380/tillsynsmail/A 23321-2024 tillsynsbegäran mail.docx", "A 23321-2024")</f>
        <v/>
      </c>
      <c r="Z160">
        <f>HYPERLINK("https://klasma.github.io/Logging_0380/fåglar/A 23321-2024 prioriterade fågelarter.docx", "A 23321-2024")</f>
        <v/>
      </c>
    </row>
    <row r="161" ht="15" customHeight="1">
      <c r="A161" t="inlineStr">
        <is>
          <t>A 25482-2024</t>
        </is>
      </c>
      <c r="B161" s="1" t="n">
        <v>45463</v>
      </c>
      <c r="C161" s="1" t="n">
        <v>45507</v>
      </c>
      <c r="D161" t="inlineStr">
        <is>
          <t>UPPSALA LÄN</t>
        </is>
      </c>
      <c r="E161" t="inlineStr">
        <is>
          <t>UPPSALA</t>
        </is>
      </c>
      <c r="F161" t="inlineStr">
        <is>
          <t>Övriga Aktiebolag</t>
        </is>
      </c>
      <c r="G161" t="n">
        <v>1</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25482-2024 artfynd.xlsx", "A 25482-2024")</f>
        <v/>
      </c>
      <c r="T161">
        <f>HYPERLINK("https://klasma.github.io/Logging_0380/kartor/A 25482-2024 karta.png", "A 25482-2024")</f>
        <v/>
      </c>
      <c r="V161">
        <f>HYPERLINK("https://klasma.github.io/Logging_0380/klagomål/A 25482-2024 FSC-klagomål.docx", "A 25482-2024")</f>
        <v/>
      </c>
      <c r="W161">
        <f>HYPERLINK("https://klasma.github.io/Logging_0380/klagomålsmail/A 25482-2024 FSC-klagomål mail.docx", "A 25482-2024")</f>
        <v/>
      </c>
      <c r="X161">
        <f>HYPERLINK("https://klasma.github.io/Logging_0380/tillsyn/A 25482-2024 tillsynsbegäran.docx", "A 25482-2024")</f>
        <v/>
      </c>
      <c r="Y161">
        <f>HYPERLINK("https://klasma.github.io/Logging_0380/tillsynsmail/A 25482-2024 tillsynsbegäran mail.docx", "A 25482-2024")</f>
        <v/>
      </c>
    </row>
    <row r="162" ht="15" customHeight="1">
      <c r="A162" t="inlineStr">
        <is>
          <t>A 25729-2024</t>
        </is>
      </c>
      <c r="B162" s="1" t="n">
        <v>45464</v>
      </c>
      <c r="C162" s="1" t="n">
        <v>45507</v>
      </c>
      <c r="D162" t="inlineStr">
        <is>
          <t>UPPSALA LÄN</t>
        </is>
      </c>
      <c r="E162" t="inlineStr">
        <is>
          <t>UPPSALA</t>
        </is>
      </c>
      <c r="G162" t="n">
        <v>22.3</v>
      </c>
      <c r="H162" t="n">
        <v>0</v>
      </c>
      <c r="I162" t="n">
        <v>0</v>
      </c>
      <c r="J162" t="n">
        <v>1</v>
      </c>
      <c r="K162" t="n">
        <v>0</v>
      </c>
      <c r="L162" t="n">
        <v>0</v>
      </c>
      <c r="M162" t="n">
        <v>0</v>
      </c>
      <c r="N162" t="n">
        <v>0</v>
      </c>
      <c r="O162" t="n">
        <v>1</v>
      </c>
      <c r="P162" t="n">
        <v>0</v>
      </c>
      <c r="Q162" t="n">
        <v>1</v>
      </c>
      <c r="R162" s="2" t="inlineStr">
        <is>
          <t>Ullticka</t>
        </is>
      </c>
      <c r="S162">
        <f>HYPERLINK("https://klasma.github.io/Logging_0380/artfynd/A 25729-2024 artfynd.xlsx", "A 25729-2024")</f>
        <v/>
      </c>
      <c r="T162">
        <f>HYPERLINK("https://klasma.github.io/Logging_0380/kartor/A 25729-2024 karta.png", "A 25729-2024")</f>
        <v/>
      </c>
      <c r="V162">
        <f>HYPERLINK("https://klasma.github.io/Logging_0380/klagomål/A 25729-2024 FSC-klagomål.docx", "A 25729-2024")</f>
        <v/>
      </c>
      <c r="W162">
        <f>HYPERLINK("https://klasma.github.io/Logging_0380/klagomålsmail/A 25729-2024 FSC-klagomål mail.docx", "A 25729-2024")</f>
        <v/>
      </c>
      <c r="X162">
        <f>HYPERLINK("https://klasma.github.io/Logging_0380/tillsyn/A 25729-2024 tillsynsbegäran.docx", "A 25729-2024")</f>
        <v/>
      </c>
      <c r="Y162">
        <f>HYPERLINK("https://klasma.github.io/Logging_0380/tillsynsmail/A 25729-2024 tillsynsbegäran mail.docx", "A 25729-2024")</f>
        <v/>
      </c>
    </row>
    <row r="163" ht="15" customHeight="1">
      <c r="A163" t="inlineStr">
        <is>
          <t>A 29139-2024</t>
        </is>
      </c>
      <c r="B163" s="1" t="n">
        <v>45482</v>
      </c>
      <c r="C163" s="1" t="n">
        <v>45507</v>
      </c>
      <c r="D163" t="inlineStr">
        <is>
          <t>UPPSALA LÄN</t>
        </is>
      </c>
      <c r="E163" t="inlineStr">
        <is>
          <t>UPPSALA</t>
        </is>
      </c>
      <c r="F163" t="inlineStr">
        <is>
          <t>Allmännings- och besparingsskogar</t>
        </is>
      </c>
      <c r="G163" t="n">
        <v>26.4</v>
      </c>
      <c r="H163" t="n">
        <v>0</v>
      </c>
      <c r="I163" t="n">
        <v>0</v>
      </c>
      <c r="J163" t="n">
        <v>1</v>
      </c>
      <c r="K163" t="n">
        <v>0</v>
      </c>
      <c r="L163" t="n">
        <v>0</v>
      </c>
      <c r="M163" t="n">
        <v>0</v>
      </c>
      <c r="N163" t="n">
        <v>0</v>
      </c>
      <c r="O163" t="n">
        <v>1</v>
      </c>
      <c r="P163" t="n">
        <v>0</v>
      </c>
      <c r="Q163" t="n">
        <v>1</v>
      </c>
      <c r="R163" s="2" t="inlineStr">
        <is>
          <t>Granskugglöpare</t>
        </is>
      </c>
      <c r="S163">
        <f>HYPERLINK("https://klasma.github.io/Logging_0380/artfynd/A 29139-2024 artfynd.xlsx", "A 29139-2024")</f>
        <v/>
      </c>
      <c r="T163">
        <f>HYPERLINK("https://klasma.github.io/Logging_0380/kartor/A 29139-2024 karta.png", "A 29139-2024")</f>
        <v/>
      </c>
      <c r="V163">
        <f>HYPERLINK("https://klasma.github.io/Logging_0380/klagomål/A 29139-2024 FSC-klagomål.docx", "A 29139-2024")</f>
        <v/>
      </c>
      <c r="W163">
        <f>HYPERLINK("https://klasma.github.io/Logging_0380/klagomålsmail/A 29139-2024 FSC-klagomål mail.docx", "A 29139-2024")</f>
        <v/>
      </c>
      <c r="X163">
        <f>HYPERLINK("https://klasma.github.io/Logging_0380/tillsyn/A 29139-2024 tillsynsbegäran.docx", "A 29139-2024")</f>
        <v/>
      </c>
      <c r="Y163">
        <f>HYPERLINK("https://klasma.github.io/Logging_0380/tillsynsmail/A 29139-2024 tillsynsbegäran mail.docx", "A 29139-2024")</f>
        <v/>
      </c>
    </row>
    <row r="164" ht="15" customHeight="1">
      <c r="A164" t="inlineStr">
        <is>
          <t>A 17828-2019</t>
        </is>
      </c>
      <c r="B164" s="1" t="n">
        <v>43556</v>
      </c>
      <c r="C164" s="1" t="n">
        <v>45507</v>
      </c>
      <c r="D164" t="inlineStr">
        <is>
          <t>UPPSALA LÄN</t>
        </is>
      </c>
      <c r="E164" t="inlineStr">
        <is>
          <t>UPPSALA</t>
        </is>
      </c>
      <c r="G164" t="n">
        <v>2.8</v>
      </c>
      <c r="H164" t="n">
        <v>0</v>
      </c>
      <c r="I164" t="n">
        <v>0</v>
      </c>
      <c r="J164" t="n">
        <v>0</v>
      </c>
      <c r="K164" t="n">
        <v>0</v>
      </c>
      <c r="L164" t="n">
        <v>0</v>
      </c>
      <c r="M164" t="n">
        <v>0</v>
      </c>
      <c r="N164" t="n">
        <v>0</v>
      </c>
      <c r="O164" t="n">
        <v>0</v>
      </c>
      <c r="P164" t="n">
        <v>0</v>
      </c>
      <c r="Q164" t="n">
        <v>0</v>
      </c>
      <c r="R164" s="2" t="inlineStr"/>
    </row>
    <row r="165" ht="15" customHeight="1">
      <c r="A165" t="inlineStr">
        <is>
          <t>A 18446-2019</t>
        </is>
      </c>
      <c r="B165" s="1" t="n">
        <v>43559</v>
      </c>
      <c r="C165" s="1" t="n">
        <v>45507</v>
      </c>
      <c r="D165" t="inlineStr">
        <is>
          <t>UPPSALA LÄN</t>
        </is>
      </c>
      <c r="E165" t="inlineStr">
        <is>
          <t>UPPSALA</t>
        </is>
      </c>
      <c r="G165" t="n">
        <v>9.1</v>
      </c>
      <c r="H165" t="n">
        <v>0</v>
      </c>
      <c r="I165" t="n">
        <v>0</v>
      </c>
      <c r="J165" t="n">
        <v>0</v>
      </c>
      <c r="K165" t="n">
        <v>0</v>
      </c>
      <c r="L165" t="n">
        <v>0</v>
      </c>
      <c r="M165" t="n">
        <v>0</v>
      </c>
      <c r="N165" t="n">
        <v>0</v>
      </c>
      <c r="O165" t="n">
        <v>0</v>
      </c>
      <c r="P165" t="n">
        <v>0</v>
      </c>
      <c r="Q165" t="n">
        <v>0</v>
      </c>
      <c r="R165" s="2" t="inlineStr"/>
    </row>
    <row r="166" ht="15" customHeight="1">
      <c r="A166" t="inlineStr">
        <is>
          <t>A 18554-2019</t>
        </is>
      </c>
      <c r="B166" s="1" t="n">
        <v>43559</v>
      </c>
      <c r="C166" s="1" t="n">
        <v>45507</v>
      </c>
      <c r="D166" t="inlineStr">
        <is>
          <t>UPPSALA LÄN</t>
        </is>
      </c>
      <c r="E166" t="inlineStr">
        <is>
          <t>UPPSALA</t>
        </is>
      </c>
      <c r="G166" t="n">
        <v>5.6</v>
      </c>
      <c r="H166" t="n">
        <v>0</v>
      </c>
      <c r="I166" t="n">
        <v>0</v>
      </c>
      <c r="J166" t="n">
        <v>0</v>
      </c>
      <c r="K166" t="n">
        <v>0</v>
      </c>
      <c r="L166" t="n">
        <v>0</v>
      </c>
      <c r="M166" t="n">
        <v>0</v>
      </c>
      <c r="N166" t="n">
        <v>0</v>
      </c>
      <c r="O166" t="n">
        <v>0</v>
      </c>
      <c r="P166" t="n">
        <v>0</v>
      </c>
      <c r="Q166" t="n">
        <v>0</v>
      </c>
      <c r="R166" s="2" t="inlineStr"/>
    </row>
    <row r="167" ht="15" customHeight="1">
      <c r="A167" t="inlineStr">
        <is>
          <t>A 18810-2019</t>
        </is>
      </c>
      <c r="B167" s="1" t="n">
        <v>43560</v>
      </c>
      <c r="C167" s="1" t="n">
        <v>45507</v>
      </c>
      <c r="D167" t="inlineStr">
        <is>
          <t>UPPSALA LÄN</t>
        </is>
      </c>
      <c r="E167" t="inlineStr">
        <is>
          <t>UPPSALA</t>
        </is>
      </c>
      <c r="G167" t="n">
        <v>4</v>
      </c>
      <c r="H167" t="n">
        <v>0</v>
      </c>
      <c r="I167" t="n">
        <v>0</v>
      </c>
      <c r="J167" t="n">
        <v>0</v>
      </c>
      <c r="K167" t="n">
        <v>0</v>
      </c>
      <c r="L167" t="n">
        <v>0</v>
      </c>
      <c r="M167" t="n">
        <v>0</v>
      </c>
      <c r="N167" t="n">
        <v>0</v>
      </c>
      <c r="O167" t="n">
        <v>0</v>
      </c>
      <c r="P167" t="n">
        <v>0</v>
      </c>
      <c r="Q167" t="n">
        <v>0</v>
      </c>
      <c r="R167" s="2" t="inlineStr"/>
    </row>
    <row r="168" ht="15" customHeight="1">
      <c r="A168" t="inlineStr">
        <is>
          <t>A 20011-2019</t>
        </is>
      </c>
      <c r="B168" s="1" t="n">
        <v>43570</v>
      </c>
      <c r="C168" s="1" t="n">
        <v>45507</v>
      </c>
      <c r="D168" t="inlineStr">
        <is>
          <t>UPPSALA LÄN</t>
        </is>
      </c>
      <c r="E168" t="inlineStr">
        <is>
          <t>UPPSALA</t>
        </is>
      </c>
      <c r="G168" t="n">
        <v>6.3</v>
      </c>
      <c r="H168" t="n">
        <v>0</v>
      </c>
      <c r="I168" t="n">
        <v>0</v>
      </c>
      <c r="J168" t="n">
        <v>0</v>
      </c>
      <c r="K168" t="n">
        <v>0</v>
      </c>
      <c r="L168" t="n">
        <v>0</v>
      </c>
      <c r="M168" t="n">
        <v>0</v>
      </c>
      <c r="N168" t="n">
        <v>0</v>
      </c>
      <c r="O168" t="n">
        <v>0</v>
      </c>
      <c r="P168" t="n">
        <v>0</v>
      </c>
      <c r="Q168" t="n">
        <v>0</v>
      </c>
      <c r="R168" s="2" t="inlineStr"/>
    </row>
    <row r="169" ht="15" customHeight="1">
      <c r="A169" t="inlineStr">
        <is>
          <t>A 21087-2019</t>
        </is>
      </c>
      <c r="B169" s="1" t="n">
        <v>43578</v>
      </c>
      <c r="C169" s="1" t="n">
        <v>45507</v>
      </c>
      <c r="D169" t="inlineStr">
        <is>
          <t>UPPSALA LÄN</t>
        </is>
      </c>
      <c r="E169" t="inlineStr">
        <is>
          <t>UPPSALA</t>
        </is>
      </c>
      <c r="G169" t="n">
        <v>1.8</v>
      </c>
      <c r="H169" t="n">
        <v>0</v>
      </c>
      <c r="I169" t="n">
        <v>0</v>
      </c>
      <c r="J169" t="n">
        <v>0</v>
      </c>
      <c r="K169" t="n">
        <v>0</v>
      </c>
      <c r="L169" t="n">
        <v>0</v>
      </c>
      <c r="M169" t="n">
        <v>0</v>
      </c>
      <c r="N169" t="n">
        <v>0</v>
      </c>
      <c r="O169" t="n">
        <v>0</v>
      </c>
      <c r="P169" t="n">
        <v>0</v>
      </c>
      <c r="Q169" t="n">
        <v>0</v>
      </c>
      <c r="R169" s="2" t="inlineStr"/>
    </row>
    <row r="170" ht="15" customHeight="1">
      <c r="A170" t="inlineStr">
        <is>
          <t>A 21082-2019</t>
        </is>
      </c>
      <c r="B170" s="1" t="n">
        <v>43578</v>
      </c>
      <c r="C170" s="1" t="n">
        <v>45507</v>
      </c>
      <c r="D170" t="inlineStr">
        <is>
          <t>UPPSALA LÄN</t>
        </is>
      </c>
      <c r="E170" t="inlineStr">
        <is>
          <t>UPPSALA</t>
        </is>
      </c>
      <c r="G170" t="n">
        <v>0.5</v>
      </c>
      <c r="H170" t="n">
        <v>0</v>
      </c>
      <c r="I170" t="n">
        <v>0</v>
      </c>
      <c r="J170" t="n">
        <v>0</v>
      </c>
      <c r="K170" t="n">
        <v>0</v>
      </c>
      <c r="L170" t="n">
        <v>0</v>
      </c>
      <c r="M170" t="n">
        <v>0</v>
      </c>
      <c r="N170" t="n">
        <v>0</v>
      </c>
      <c r="O170" t="n">
        <v>0</v>
      </c>
      <c r="P170" t="n">
        <v>0</v>
      </c>
      <c r="Q170" t="n">
        <v>0</v>
      </c>
      <c r="R170" s="2" t="inlineStr"/>
    </row>
    <row r="171" ht="15" customHeight="1">
      <c r="A171" t="inlineStr">
        <is>
          <t>A 21862-2019</t>
        </is>
      </c>
      <c r="B171" s="1" t="n">
        <v>43583</v>
      </c>
      <c r="C171" s="1" t="n">
        <v>45507</v>
      </c>
      <c r="D171" t="inlineStr">
        <is>
          <t>UPPSALA LÄN</t>
        </is>
      </c>
      <c r="E171" t="inlineStr">
        <is>
          <t>UPPSALA</t>
        </is>
      </c>
      <c r="G171" t="n">
        <v>9.5</v>
      </c>
      <c r="H171" t="n">
        <v>0</v>
      </c>
      <c r="I171" t="n">
        <v>0</v>
      </c>
      <c r="J171" t="n">
        <v>0</v>
      </c>
      <c r="K171" t="n">
        <v>0</v>
      </c>
      <c r="L171" t="n">
        <v>0</v>
      </c>
      <c r="M171" t="n">
        <v>0</v>
      </c>
      <c r="N171" t="n">
        <v>0</v>
      </c>
      <c r="O171" t="n">
        <v>0</v>
      </c>
      <c r="P171" t="n">
        <v>0</v>
      </c>
      <c r="Q171" t="n">
        <v>0</v>
      </c>
      <c r="R171" s="2" t="inlineStr"/>
    </row>
    <row r="172" ht="15" customHeight="1">
      <c r="A172" t="inlineStr">
        <is>
          <t>A 22153-2019</t>
        </is>
      </c>
      <c r="B172" s="1" t="n">
        <v>43585</v>
      </c>
      <c r="C172" s="1" t="n">
        <v>45507</v>
      </c>
      <c r="D172" t="inlineStr">
        <is>
          <t>UPPSALA LÄN</t>
        </is>
      </c>
      <c r="E172" t="inlineStr">
        <is>
          <t>UPPSALA</t>
        </is>
      </c>
      <c r="F172" t="inlineStr">
        <is>
          <t>Holmen skog AB</t>
        </is>
      </c>
      <c r="G172" t="n">
        <v>0.7</v>
      </c>
      <c r="H172" t="n">
        <v>0</v>
      </c>
      <c r="I172" t="n">
        <v>0</v>
      </c>
      <c r="J172" t="n">
        <v>0</v>
      </c>
      <c r="K172" t="n">
        <v>0</v>
      </c>
      <c r="L172" t="n">
        <v>0</v>
      </c>
      <c r="M172" t="n">
        <v>0</v>
      </c>
      <c r="N172" t="n">
        <v>0</v>
      </c>
      <c r="O172" t="n">
        <v>0</v>
      </c>
      <c r="P172" t="n">
        <v>0</v>
      </c>
      <c r="Q172" t="n">
        <v>0</v>
      </c>
      <c r="R172" s="2" t="inlineStr"/>
    </row>
    <row r="173" ht="15" customHeight="1">
      <c r="A173" t="inlineStr">
        <is>
          <t>A 23042-2019</t>
        </is>
      </c>
      <c r="B173" s="1" t="n">
        <v>43591</v>
      </c>
      <c r="C173" s="1" t="n">
        <v>45507</v>
      </c>
      <c r="D173" t="inlineStr">
        <is>
          <t>UPPSALA LÄN</t>
        </is>
      </c>
      <c r="E173" t="inlineStr">
        <is>
          <t>UPPSALA</t>
        </is>
      </c>
      <c r="G173" t="n">
        <v>2.7</v>
      </c>
      <c r="H173" t="n">
        <v>0</v>
      </c>
      <c r="I173" t="n">
        <v>0</v>
      </c>
      <c r="J173" t="n">
        <v>0</v>
      </c>
      <c r="K173" t="n">
        <v>0</v>
      </c>
      <c r="L173" t="n">
        <v>0</v>
      </c>
      <c r="M173" t="n">
        <v>0</v>
      </c>
      <c r="N173" t="n">
        <v>0</v>
      </c>
      <c r="O173" t="n">
        <v>0</v>
      </c>
      <c r="P173" t="n">
        <v>0</v>
      </c>
      <c r="Q173" t="n">
        <v>0</v>
      </c>
      <c r="R173" s="2" t="inlineStr"/>
    </row>
    <row r="174" ht="15" customHeight="1">
      <c r="A174" t="inlineStr">
        <is>
          <t>A 23262-2019</t>
        </is>
      </c>
      <c r="B174" s="1" t="n">
        <v>43592</v>
      </c>
      <c r="C174" s="1" t="n">
        <v>45507</v>
      </c>
      <c r="D174" t="inlineStr">
        <is>
          <t>UPPSALA LÄN</t>
        </is>
      </c>
      <c r="E174" t="inlineStr">
        <is>
          <t>UPPSALA</t>
        </is>
      </c>
      <c r="F174" t="inlineStr">
        <is>
          <t>Kyrkan</t>
        </is>
      </c>
      <c r="G174" t="n">
        <v>7.6</v>
      </c>
      <c r="H174" t="n">
        <v>0</v>
      </c>
      <c r="I174" t="n">
        <v>0</v>
      </c>
      <c r="J174" t="n">
        <v>0</v>
      </c>
      <c r="K174" t="n">
        <v>0</v>
      </c>
      <c r="L174" t="n">
        <v>0</v>
      </c>
      <c r="M174" t="n">
        <v>0</v>
      </c>
      <c r="N174" t="n">
        <v>0</v>
      </c>
      <c r="O174" t="n">
        <v>0</v>
      </c>
      <c r="P174" t="n">
        <v>0</v>
      </c>
      <c r="Q174" t="n">
        <v>0</v>
      </c>
      <c r="R174" s="2" t="inlineStr"/>
    </row>
    <row r="175" ht="15" customHeight="1">
      <c r="A175" t="inlineStr">
        <is>
          <t>A 24998-2019</t>
        </is>
      </c>
      <c r="B175" s="1" t="n">
        <v>43600</v>
      </c>
      <c r="C175" s="1" t="n">
        <v>45507</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25164-2019</t>
        </is>
      </c>
      <c r="B176" s="1" t="n">
        <v>43605</v>
      </c>
      <c r="C176" s="1" t="n">
        <v>45507</v>
      </c>
      <c r="D176" t="inlineStr">
        <is>
          <t>UPPSALA LÄN</t>
        </is>
      </c>
      <c r="E176" t="inlineStr">
        <is>
          <t>UPPSALA</t>
        </is>
      </c>
      <c r="G176" t="n">
        <v>1.6</v>
      </c>
      <c r="H176" t="n">
        <v>0</v>
      </c>
      <c r="I176" t="n">
        <v>0</v>
      </c>
      <c r="J176" t="n">
        <v>0</v>
      </c>
      <c r="K176" t="n">
        <v>0</v>
      </c>
      <c r="L176" t="n">
        <v>0</v>
      </c>
      <c r="M176" t="n">
        <v>0</v>
      </c>
      <c r="N176" t="n">
        <v>0</v>
      </c>
      <c r="O176" t="n">
        <v>0</v>
      </c>
      <c r="P176" t="n">
        <v>0</v>
      </c>
      <c r="Q176" t="n">
        <v>0</v>
      </c>
      <c r="R176" s="2" t="inlineStr"/>
    </row>
    <row r="177" ht="15" customHeight="1">
      <c r="A177" t="inlineStr">
        <is>
          <t>A 25157-2019</t>
        </is>
      </c>
      <c r="B177" s="1" t="n">
        <v>43605</v>
      </c>
      <c r="C177" s="1" t="n">
        <v>45507</v>
      </c>
      <c r="D177" t="inlineStr">
        <is>
          <t>UPPSALA LÄN</t>
        </is>
      </c>
      <c r="E177" t="inlineStr">
        <is>
          <t>UPPSALA</t>
        </is>
      </c>
      <c r="G177" t="n">
        <v>3</v>
      </c>
      <c r="H177" t="n">
        <v>0</v>
      </c>
      <c r="I177" t="n">
        <v>0</v>
      </c>
      <c r="J177" t="n">
        <v>0</v>
      </c>
      <c r="K177" t="n">
        <v>0</v>
      </c>
      <c r="L177" t="n">
        <v>0</v>
      </c>
      <c r="M177" t="n">
        <v>0</v>
      </c>
      <c r="N177" t="n">
        <v>0</v>
      </c>
      <c r="O177" t="n">
        <v>0</v>
      </c>
      <c r="P177" t="n">
        <v>0</v>
      </c>
      <c r="Q177" t="n">
        <v>0</v>
      </c>
      <c r="R177" s="2" t="inlineStr"/>
    </row>
    <row r="178" ht="15" customHeight="1">
      <c r="A178" t="inlineStr">
        <is>
          <t>A 25667-2019</t>
        </is>
      </c>
      <c r="B178" s="1" t="n">
        <v>43607</v>
      </c>
      <c r="C178" s="1" t="n">
        <v>45507</v>
      </c>
      <c r="D178" t="inlineStr">
        <is>
          <t>UPPSALA LÄN</t>
        </is>
      </c>
      <c r="E178" t="inlineStr">
        <is>
          <t>UPPSALA</t>
        </is>
      </c>
      <c r="G178" t="n">
        <v>0.7</v>
      </c>
      <c r="H178" t="n">
        <v>0</v>
      </c>
      <c r="I178" t="n">
        <v>0</v>
      </c>
      <c r="J178" t="n">
        <v>0</v>
      </c>
      <c r="K178" t="n">
        <v>0</v>
      </c>
      <c r="L178" t="n">
        <v>0</v>
      </c>
      <c r="M178" t="n">
        <v>0</v>
      </c>
      <c r="N178" t="n">
        <v>0</v>
      </c>
      <c r="O178" t="n">
        <v>0</v>
      </c>
      <c r="P178" t="n">
        <v>0</v>
      </c>
      <c r="Q178" t="n">
        <v>0</v>
      </c>
      <c r="R178" s="2" t="inlineStr"/>
    </row>
    <row r="179" ht="15" customHeight="1">
      <c r="A179" t="inlineStr">
        <is>
          <t>A 29105-2019</t>
        </is>
      </c>
      <c r="B179" s="1" t="n">
        <v>43628</v>
      </c>
      <c r="C179" s="1" t="n">
        <v>45507</v>
      </c>
      <c r="D179" t="inlineStr">
        <is>
          <t>UPPSALA LÄN</t>
        </is>
      </c>
      <c r="E179" t="inlineStr">
        <is>
          <t>UPPSALA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29183-2019</t>
        </is>
      </c>
      <c r="B180" s="1" t="n">
        <v>43628</v>
      </c>
      <c r="C180" s="1" t="n">
        <v>45507</v>
      </c>
      <c r="D180" t="inlineStr">
        <is>
          <t>UPPSALA LÄN</t>
        </is>
      </c>
      <c r="E180" t="inlineStr">
        <is>
          <t>UPPSALA</t>
        </is>
      </c>
      <c r="F180" t="inlineStr">
        <is>
          <t>Allmännings- och besparingsskogar</t>
        </is>
      </c>
      <c r="G180" t="n">
        <v>6.3</v>
      </c>
      <c r="H180" t="n">
        <v>0</v>
      </c>
      <c r="I180" t="n">
        <v>0</v>
      </c>
      <c r="J180" t="n">
        <v>0</v>
      </c>
      <c r="K180" t="n">
        <v>0</v>
      </c>
      <c r="L180" t="n">
        <v>0</v>
      </c>
      <c r="M180" t="n">
        <v>0</v>
      </c>
      <c r="N180" t="n">
        <v>0</v>
      </c>
      <c r="O180" t="n">
        <v>0</v>
      </c>
      <c r="P180" t="n">
        <v>0</v>
      </c>
      <c r="Q180" t="n">
        <v>0</v>
      </c>
      <c r="R180" s="2" t="inlineStr"/>
    </row>
    <row r="181" ht="15" customHeight="1">
      <c r="A181" t="inlineStr">
        <is>
          <t>A 29081-2019</t>
        </is>
      </c>
      <c r="B181" s="1" t="n">
        <v>43628</v>
      </c>
      <c r="C181" s="1" t="n">
        <v>45507</v>
      </c>
      <c r="D181" t="inlineStr">
        <is>
          <t>UPPSALA LÄN</t>
        </is>
      </c>
      <c r="E181" t="inlineStr">
        <is>
          <t>UPPSALA</t>
        </is>
      </c>
      <c r="G181" t="n">
        <v>8.4</v>
      </c>
      <c r="H181" t="n">
        <v>0</v>
      </c>
      <c r="I181" t="n">
        <v>0</v>
      </c>
      <c r="J181" t="n">
        <v>0</v>
      </c>
      <c r="K181" t="n">
        <v>0</v>
      </c>
      <c r="L181" t="n">
        <v>0</v>
      </c>
      <c r="M181" t="n">
        <v>0</v>
      </c>
      <c r="N181" t="n">
        <v>0</v>
      </c>
      <c r="O181" t="n">
        <v>0</v>
      </c>
      <c r="P181" t="n">
        <v>0</v>
      </c>
      <c r="Q181" t="n">
        <v>0</v>
      </c>
      <c r="R181" s="2" t="inlineStr"/>
    </row>
    <row r="182" ht="15" customHeight="1">
      <c r="A182" t="inlineStr">
        <is>
          <t>A 29719-2019</t>
        </is>
      </c>
      <c r="B182" s="1" t="n">
        <v>43630</v>
      </c>
      <c r="C182" s="1" t="n">
        <v>45507</v>
      </c>
      <c r="D182" t="inlineStr">
        <is>
          <t>UPPSALA LÄN</t>
        </is>
      </c>
      <c r="E182" t="inlineStr">
        <is>
          <t>UPPSALA</t>
        </is>
      </c>
      <c r="G182" t="n">
        <v>1.4</v>
      </c>
      <c r="H182" t="n">
        <v>0</v>
      </c>
      <c r="I182" t="n">
        <v>0</v>
      </c>
      <c r="J182" t="n">
        <v>0</v>
      </c>
      <c r="K182" t="n">
        <v>0</v>
      </c>
      <c r="L182" t="n">
        <v>0</v>
      </c>
      <c r="M182" t="n">
        <v>0</v>
      </c>
      <c r="N182" t="n">
        <v>0</v>
      </c>
      <c r="O182" t="n">
        <v>0</v>
      </c>
      <c r="P182" t="n">
        <v>0</v>
      </c>
      <c r="Q182" t="n">
        <v>0</v>
      </c>
      <c r="R182" s="2" t="inlineStr"/>
    </row>
    <row r="183" ht="15" customHeight="1">
      <c r="A183" t="inlineStr">
        <is>
          <t>A 29713-2019</t>
        </is>
      </c>
      <c r="B183" s="1" t="n">
        <v>43630</v>
      </c>
      <c r="C183" s="1" t="n">
        <v>45507</v>
      </c>
      <c r="D183" t="inlineStr">
        <is>
          <t>UPPSALA LÄN</t>
        </is>
      </c>
      <c r="E183" t="inlineStr">
        <is>
          <t>UPPSALA</t>
        </is>
      </c>
      <c r="G183" t="n">
        <v>1</v>
      </c>
      <c r="H183" t="n">
        <v>0</v>
      </c>
      <c r="I183" t="n">
        <v>0</v>
      </c>
      <c r="J183" t="n">
        <v>0</v>
      </c>
      <c r="K183" t="n">
        <v>0</v>
      </c>
      <c r="L183" t="n">
        <v>0</v>
      </c>
      <c r="M183" t="n">
        <v>0</v>
      </c>
      <c r="N183" t="n">
        <v>0</v>
      </c>
      <c r="O183" t="n">
        <v>0</v>
      </c>
      <c r="P183" t="n">
        <v>0</v>
      </c>
      <c r="Q183" t="n">
        <v>0</v>
      </c>
      <c r="R183" s="2" t="inlineStr"/>
    </row>
    <row r="184" ht="15" customHeight="1">
      <c r="A184" t="inlineStr">
        <is>
          <t>A 32558-2019</t>
        </is>
      </c>
      <c r="B184" s="1" t="n">
        <v>43647</v>
      </c>
      <c r="C184" s="1" t="n">
        <v>45507</v>
      </c>
      <c r="D184" t="inlineStr">
        <is>
          <t>UPPSALA LÄN</t>
        </is>
      </c>
      <c r="E184" t="inlineStr">
        <is>
          <t>UPPSALA</t>
        </is>
      </c>
      <c r="G184" t="n">
        <v>4.2</v>
      </c>
      <c r="H184" t="n">
        <v>0</v>
      </c>
      <c r="I184" t="n">
        <v>0</v>
      </c>
      <c r="J184" t="n">
        <v>0</v>
      </c>
      <c r="K184" t="n">
        <v>0</v>
      </c>
      <c r="L184" t="n">
        <v>0</v>
      </c>
      <c r="M184" t="n">
        <v>0</v>
      </c>
      <c r="N184" t="n">
        <v>0</v>
      </c>
      <c r="O184" t="n">
        <v>0</v>
      </c>
      <c r="P184" t="n">
        <v>0</v>
      </c>
      <c r="Q184" t="n">
        <v>0</v>
      </c>
      <c r="R184" s="2" t="inlineStr"/>
    </row>
    <row r="185" ht="15" customHeight="1">
      <c r="A185" t="inlineStr">
        <is>
          <t>A 34560-2019</t>
        </is>
      </c>
      <c r="B185" s="1" t="n">
        <v>43647</v>
      </c>
      <c r="C185" s="1" t="n">
        <v>45507</v>
      </c>
      <c r="D185" t="inlineStr">
        <is>
          <t>UPPSALA LÄN</t>
        </is>
      </c>
      <c r="E185" t="inlineStr">
        <is>
          <t>UPPSALA</t>
        </is>
      </c>
      <c r="G185" t="n">
        <v>8.6</v>
      </c>
      <c r="H185" t="n">
        <v>0</v>
      </c>
      <c r="I185" t="n">
        <v>0</v>
      </c>
      <c r="J185" t="n">
        <v>0</v>
      </c>
      <c r="K185" t="n">
        <v>0</v>
      </c>
      <c r="L185" t="n">
        <v>0</v>
      </c>
      <c r="M185" t="n">
        <v>0</v>
      </c>
      <c r="N185" t="n">
        <v>0</v>
      </c>
      <c r="O185" t="n">
        <v>0</v>
      </c>
      <c r="P185" t="n">
        <v>0</v>
      </c>
      <c r="Q185" t="n">
        <v>0</v>
      </c>
      <c r="R185" s="2" t="inlineStr"/>
    </row>
    <row r="186" ht="15" customHeight="1">
      <c r="A186" t="inlineStr">
        <is>
          <t>A 32830-2019</t>
        </is>
      </c>
      <c r="B186" s="1" t="n">
        <v>43648</v>
      </c>
      <c r="C186" s="1" t="n">
        <v>45507</v>
      </c>
      <c r="D186" t="inlineStr">
        <is>
          <t>UPPSALA LÄN</t>
        </is>
      </c>
      <c r="E186" t="inlineStr">
        <is>
          <t>UPPSALA</t>
        </is>
      </c>
      <c r="G186" t="n">
        <v>13.6</v>
      </c>
      <c r="H186" t="n">
        <v>0</v>
      </c>
      <c r="I186" t="n">
        <v>0</v>
      </c>
      <c r="J186" t="n">
        <v>0</v>
      </c>
      <c r="K186" t="n">
        <v>0</v>
      </c>
      <c r="L186" t="n">
        <v>0</v>
      </c>
      <c r="M186" t="n">
        <v>0</v>
      </c>
      <c r="N186" t="n">
        <v>0</v>
      </c>
      <c r="O186" t="n">
        <v>0</v>
      </c>
      <c r="P186" t="n">
        <v>0</v>
      </c>
      <c r="Q186" t="n">
        <v>0</v>
      </c>
      <c r="R186" s="2" t="inlineStr"/>
    </row>
    <row r="187" ht="15" customHeight="1">
      <c r="A187" t="inlineStr">
        <is>
          <t>A 33602-2019</t>
        </is>
      </c>
      <c r="B187" s="1" t="n">
        <v>43651</v>
      </c>
      <c r="C187" s="1" t="n">
        <v>45507</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33614-2019</t>
        </is>
      </c>
      <c r="B188" s="1" t="n">
        <v>43651</v>
      </c>
      <c r="C188" s="1" t="n">
        <v>45507</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33615-2019</t>
        </is>
      </c>
      <c r="B189" s="1" t="n">
        <v>43651</v>
      </c>
      <c r="C189" s="1" t="n">
        <v>45507</v>
      </c>
      <c r="D189" t="inlineStr">
        <is>
          <t>UPPSALA LÄN</t>
        </is>
      </c>
      <c r="E189" t="inlineStr">
        <is>
          <t>UPPSALA</t>
        </is>
      </c>
      <c r="G189" t="n">
        <v>1.4</v>
      </c>
      <c r="H189" t="n">
        <v>0</v>
      </c>
      <c r="I189" t="n">
        <v>0</v>
      </c>
      <c r="J189" t="n">
        <v>0</v>
      </c>
      <c r="K189" t="n">
        <v>0</v>
      </c>
      <c r="L189" t="n">
        <v>0</v>
      </c>
      <c r="M189" t="n">
        <v>0</v>
      </c>
      <c r="N189" t="n">
        <v>0</v>
      </c>
      <c r="O189" t="n">
        <v>0</v>
      </c>
      <c r="P189" t="n">
        <v>0</v>
      </c>
      <c r="Q189" t="n">
        <v>0</v>
      </c>
      <c r="R189" s="2" t="inlineStr"/>
    </row>
    <row r="190" ht="15" customHeight="1">
      <c r="A190" t="inlineStr">
        <is>
          <t>A 33596-2019</t>
        </is>
      </c>
      <c r="B190" s="1" t="n">
        <v>43651</v>
      </c>
      <c r="C190" s="1" t="n">
        <v>45507</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34007-2019</t>
        </is>
      </c>
      <c r="B191" s="1" t="n">
        <v>43654</v>
      </c>
      <c r="C191" s="1" t="n">
        <v>45507</v>
      </c>
      <c r="D191" t="inlineStr">
        <is>
          <t>UPPSALA LÄN</t>
        </is>
      </c>
      <c r="E191" t="inlineStr">
        <is>
          <t>UPPSALA</t>
        </is>
      </c>
      <c r="G191" t="n">
        <v>2</v>
      </c>
      <c r="H191" t="n">
        <v>0</v>
      </c>
      <c r="I191" t="n">
        <v>0</v>
      </c>
      <c r="J191" t="n">
        <v>0</v>
      </c>
      <c r="K191" t="n">
        <v>0</v>
      </c>
      <c r="L191" t="n">
        <v>0</v>
      </c>
      <c r="M191" t="n">
        <v>0</v>
      </c>
      <c r="N191" t="n">
        <v>0</v>
      </c>
      <c r="O191" t="n">
        <v>0</v>
      </c>
      <c r="P191" t="n">
        <v>0</v>
      </c>
      <c r="Q191" t="n">
        <v>0</v>
      </c>
      <c r="R191" s="2" t="inlineStr"/>
    </row>
    <row r="192" ht="15" customHeight="1">
      <c r="A192" t="inlineStr">
        <is>
          <t>A 34063-2019</t>
        </is>
      </c>
      <c r="B192" s="1" t="n">
        <v>43654</v>
      </c>
      <c r="C192" s="1" t="n">
        <v>45507</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34331-2019</t>
        </is>
      </c>
      <c r="B193" s="1" t="n">
        <v>43656</v>
      </c>
      <c r="C193" s="1" t="n">
        <v>45507</v>
      </c>
      <c r="D193" t="inlineStr">
        <is>
          <t>UPPSALA LÄN</t>
        </is>
      </c>
      <c r="E193" t="inlineStr">
        <is>
          <t>UPPSALA</t>
        </is>
      </c>
      <c r="G193" t="n">
        <v>2</v>
      </c>
      <c r="H193" t="n">
        <v>0</v>
      </c>
      <c r="I193" t="n">
        <v>0</v>
      </c>
      <c r="J193" t="n">
        <v>0</v>
      </c>
      <c r="K193" t="n">
        <v>0</v>
      </c>
      <c r="L193" t="n">
        <v>0</v>
      </c>
      <c r="M193" t="n">
        <v>0</v>
      </c>
      <c r="N193" t="n">
        <v>0</v>
      </c>
      <c r="O193" t="n">
        <v>0</v>
      </c>
      <c r="P193" t="n">
        <v>0</v>
      </c>
      <c r="Q193" t="n">
        <v>0</v>
      </c>
      <c r="R193" s="2" t="inlineStr"/>
    </row>
    <row r="194" ht="15" customHeight="1">
      <c r="A194" t="inlineStr">
        <is>
          <t>A 36345-2019</t>
        </is>
      </c>
      <c r="B194" s="1" t="n">
        <v>43661</v>
      </c>
      <c r="C194" s="1" t="n">
        <v>45507</v>
      </c>
      <c r="D194" t="inlineStr">
        <is>
          <t>UPPSALA LÄN</t>
        </is>
      </c>
      <c r="E194" t="inlineStr">
        <is>
          <t>UPPSALA</t>
        </is>
      </c>
      <c r="G194" t="n">
        <v>5.3</v>
      </c>
      <c r="H194" t="n">
        <v>0</v>
      </c>
      <c r="I194" t="n">
        <v>0</v>
      </c>
      <c r="J194" t="n">
        <v>0</v>
      </c>
      <c r="K194" t="n">
        <v>0</v>
      </c>
      <c r="L194" t="n">
        <v>0</v>
      </c>
      <c r="M194" t="n">
        <v>0</v>
      </c>
      <c r="N194" t="n">
        <v>0</v>
      </c>
      <c r="O194" t="n">
        <v>0</v>
      </c>
      <c r="P194" t="n">
        <v>0</v>
      </c>
      <c r="Q194" t="n">
        <v>0</v>
      </c>
      <c r="R194" s="2" t="inlineStr"/>
    </row>
    <row r="195" ht="15" customHeight="1">
      <c r="A195" t="inlineStr">
        <is>
          <t>A 36394-2019</t>
        </is>
      </c>
      <c r="B195" s="1" t="n">
        <v>43663</v>
      </c>
      <c r="C195" s="1" t="n">
        <v>45507</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37234-2019</t>
        </is>
      </c>
      <c r="B196" s="1" t="n">
        <v>43677</v>
      </c>
      <c r="C196" s="1" t="n">
        <v>45507</v>
      </c>
      <c r="D196" t="inlineStr">
        <is>
          <t>UPPSALA LÄN</t>
        </is>
      </c>
      <c r="E196" t="inlineStr">
        <is>
          <t>UPPSALA</t>
        </is>
      </c>
      <c r="G196" t="n">
        <v>3.2</v>
      </c>
      <c r="H196" t="n">
        <v>0</v>
      </c>
      <c r="I196" t="n">
        <v>0</v>
      </c>
      <c r="J196" t="n">
        <v>0</v>
      </c>
      <c r="K196" t="n">
        <v>0</v>
      </c>
      <c r="L196" t="n">
        <v>0</v>
      </c>
      <c r="M196" t="n">
        <v>0</v>
      </c>
      <c r="N196" t="n">
        <v>0</v>
      </c>
      <c r="O196" t="n">
        <v>0</v>
      </c>
      <c r="P196" t="n">
        <v>0</v>
      </c>
      <c r="Q196" t="n">
        <v>0</v>
      </c>
      <c r="R196" s="2" t="inlineStr"/>
    </row>
    <row r="197" ht="15" customHeight="1">
      <c r="A197" t="inlineStr">
        <is>
          <t>A 37711-2019</t>
        </is>
      </c>
      <c r="B197" s="1" t="n">
        <v>43682</v>
      </c>
      <c r="C197" s="1" t="n">
        <v>45507</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38684-2019</t>
        </is>
      </c>
      <c r="B198" s="1" t="n">
        <v>43686</v>
      </c>
      <c r="C198" s="1" t="n">
        <v>45507</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40151-2019</t>
        </is>
      </c>
      <c r="B199" s="1" t="n">
        <v>43693</v>
      </c>
      <c r="C199" s="1" t="n">
        <v>45507</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41609-2019</t>
        </is>
      </c>
      <c r="B200" s="1" t="n">
        <v>43696</v>
      </c>
      <c r="C200" s="1" t="n">
        <v>45507</v>
      </c>
      <c r="D200" t="inlineStr">
        <is>
          <t>UPPSALA LÄN</t>
        </is>
      </c>
      <c r="E200" t="inlineStr">
        <is>
          <t>UPPSALA</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41653-2019</t>
        </is>
      </c>
      <c r="B201" s="1" t="n">
        <v>43696</v>
      </c>
      <c r="C201" s="1" t="n">
        <v>45507</v>
      </c>
      <c r="D201" t="inlineStr">
        <is>
          <t>UPPSALA LÄN</t>
        </is>
      </c>
      <c r="E201" t="inlineStr">
        <is>
          <t>UPPSALA</t>
        </is>
      </c>
      <c r="G201" t="n">
        <v>5.2</v>
      </c>
      <c r="H201" t="n">
        <v>0</v>
      </c>
      <c r="I201" t="n">
        <v>0</v>
      </c>
      <c r="J201" t="n">
        <v>0</v>
      </c>
      <c r="K201" t="n">
        <v>0</v>
      </c>
      <c r="L201" t="n">
        <v>0</v>
      </c>
      <c r="M201" t="n">
        <v>0</v>
      </c>
      <c r="N201" t="n">
        <v>0</v>
      </c>
      <c r="O201" t="n">
        <v>0</v>
      </c>
      <c r="P201" t="n">
        <v>0</v>
      </c>
      <c r="Q201" t="n">
        <v>0</v>
      </c>
      <c r="R201" s="2" t="inlineStr"/>
    </row>
    <row r="202" ht="15" customHeight="1">
      <c r="A202" t="inlineStr">
        <is>
          <t>A 41524-2019</t>
        </is>
      </c>
      <c r="B202" s="1" t="n">
        <v>43699</v>
      </c>
      <c r="C202" s="1" t="n">
        <v>45507</v>
      </c>
      <c r="D202" t="inlineStr">
        <is>
          <t>UPPSALA LÄN</t>
        </is>
      </c>
      <c r="E202" t="inlineStr">
        <is>
          <t>UPPSALA</t>
        </is>
      </c>
      <c r="G202" t="n">
        <v>2.4</v>
      </c>
      <c r="H202" t="n">
        <v>0</v>
      </c>
      <c r="I202" t="n">
        <v>0</v>
      </c>
      <c r="J202" t="n">
        <v>0</v>
      </c>
      <c r="K202" t="n">
        <v>0</v>
      </c>
      <c r="L202" t="n">
        <v>0</v>
      </c>
      <c r="M202" t="n">
        <v>0</v>
      </c>
      <c r="N202" t="n">
        <v>0</v>
      </c>
      <c r="O202" t="n">
        <v>0</v>
      </c>
      <c r="P202" t="n">
        <v>0</v>
      </c>
      <c r="Q202" t="n">
        <v>0</v>
      </c>
      <c r="R202" s="2" t="inlineStr"/>
    </row>
    <row r="203" ht="15" customHeight="1">
      <c r="A203" t="inlineStr">
        <is>
          <t>A 41535-2019</t>
        </is>
      </c>
      <c r="B203" s="1" t="n">
        <v>43699</v>
      </c>
      <c r="C203" s="1" t="n">
        <v>45507</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41695-2019</t>
        </is>
      </c>
      <c r="B204" s="1" t="n">
        <v>43699</v>
      </c>
      <c r="C204" s="1" t="n">
        <v>45507</v>
      </c>
      <c r="D204" t="inlineStr">
        <is>
          <t>UPPSALA LÄN</t>
        </is>
      </c>
      <c r="E204" t="inlineStr">
        <is>
          <t>UPPSALA</t>
        </is>
      </c>
      <c r="G204" t="n">
        <v>3.1</v>
      </c>
      <c r="H204" t="n">
        <v>0</v>
      </c>
      <c r="I204" t="n">
        <v>0</v>
      </c>
      <c r="J204" t="n">
        <v>0</v>
      </c>
      <c r="K204" t="n">
        <v>0</v>
      </c>
      <c r="L204" t="n">
        <v>0</v>
      </c>
      <c r="M204" t="n">
        <v>0</v>
      </c>
      <c r="N204" t="n">
        <v>0</v>
      </c>
      <c r="O204" t="n">
        <v>0</v>
      </c>
      <c r="P204" t="n">
        <v>0</v>
      </c>
      <c r="Q204" t="n">
        <v>0</v>
      </c>
      <c r="R204" s="2" t="inlineStr"/>
    </row>
    <row r="205" ht="15" customHeight="1">
      <c r="A205" t="inlineStr">
        <is>
          <t>A 42111-2019</t>
        </is>
      </c>
      <c r="B205" s="1" t="n">
        <v>43703</v>
      </c>
      <c r="C205" s="1" t="n">
        <v>45507</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42986-2019</t>
        </is>
      </c>
      <c r="B206" s="1" t="n">
        <v>43705</v>
      </c>
      <c r="C206" s="1" t="n">
        <v>45507</v>
      </c>
      <c r="D206" t="inlineStr">
        <is>
          <t>UPPSALA LÄN</t>
        </is>
      </c>
      <c r="E206" t="inlineStr">
        <is>
          <t>UPPSALA</t>
        </is>
      </c>
      <c r="G206" t="n">
        <v>1.7</v>
      </c>
      <c r="H206" t="n">
        <v>0</v>
      </c>
      <c r="I206" t="n">
        <v>0</v>
      </c>
      <c r="J206" t="n">
        <v>0</v>
      </c>
      <c r="K206" t="n">
        <v>0</v>
      </c>
      <c r="L206" t="n">
        <v>0</v>
      </c>
      <c r="M206" t="n">
        <v>0</v>
      </c>
      <c r="N206" t="n">
        <v>0</v>
      </c>
      <c r="O206" t="n">
        <v>0</v>
      </c>
      <c r="P206" t="n">
        <v>0</v>
      </c>
      <c r="Q206" t="n">
        <v>0</v>
      </c>
      <c r="R206" s="2" t="inlineStr"/>
    </row>
    <row r="207" ht="15" customHeight="1">
      <c r="A207" t="inlineStr">
        <is>
          <t>A 43222-2019</t>
        </is>
      </c>
      <c r="B207" s="1" t="n">
        <v>43706</v>
      </c>
      <c r="C207" s="1" t="n">
        <v>45507</v>
      </c>
      <c r="D207" t="inlineStr">
        <is>
          <t>UPPSALA LÄN</t>
        </is>
      </c>
      <c r="E207" t="inlineStr">
        <is>
          <t>UPPSALA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43410-2019</t>
        </is>
      </c>
      <c r="B208" s="1" t="n">
        <v>43706</v>
      </c>
      <c r="C208" s="1" t="n">
        <v>45507</v>
      </c>
      <c r="D208" t="inlineStr">
        <is>
          <t>UPPSALA LÄN</t>
        </is>
      </c>
      <c r="E208" t="inlineStr">
        <is>
          <t>UPPSALA</t>
        </is>
      </c>
      <c r="F208" t="inlineStr">
        <is>
          <t>Övriga statliga verk och myndigheter</t>
        </is>
      </c>
      <c r="G208" t="n">
        <v>8.6</v>
      </c>
      <c r="H208" t="n">
        <v>0</v>
      </c>
      <c r="I208" t="n">
        <v>0</v>
      </c>
      <c r="J208" t="n">
        <v>0</v>
      </c>
      <c r="K208" t="n">
        <v>0</v>
      </c>
      <c r="L208" t="n">
        <v>0</v>
      </c>
      <c r="M208" t="n">
        <v>0</v>
      </c>
      <c r="N208" t="n">
        <v>0</v>
      </c>
      <c r="O208" t="n">
        <v>0</v>
      </c>
      <c r="P208" t="n">
        <v>0</v>
      </c>
      <c r="Q208" t="n">
        <v>0</v>
      </c>
      <c r="R208" s="2" t="inlineStr"/>
    </row>
    <row r="209" ht="15" customHeight="1">
      <c r="A209" t="inlineStr">
        <is>
          <t>A 43715-2019</t>
        </is>
      </c>
      <c r="B209" s="1" t="n">
        <v>43706</v>
      </c>
      <c r="C209" s="1" t="n">
        <v>45507</v>
      </c>
      <c r="D209" t="inlineStr">
        <is>
          <t>UPPSALA LÄN</t>
        </is>
      </c>
      <c r="E209" t="inlineStr">
        <is>
          <t>UPPSALA</t>
        </is>
      </c>
      <c r="F209" t="inlineStr">
        <is>
          <t>Övriga statliga verk och myndigheter</t>
        </is>
      </c>
      <c r="G209" t="n">
        <v>0.8</v>
      </c>
      <c r="H209" t="n">
        <v>0</v>
      </c>
      <c r="I209" t="n">
        <v>0</v>
      </c>
      <c r="J209" t="n">
        <v>0</v>
      </c>
      <c r="K209" t="n">
        <v>0</v>
      </c>
      <c r="L209" t="n">
        <v>0</v>
      </c>
      <c r="M209" t="n">
        <v>0</v>
      </c>
      <c r="N209" t="n">
        <v>0</v>
      </c>
      <c r="O209" t="n">
        <v>0</v>
      </c>
      <c r="P209" t="n">
        <v>0</v>
      </c>
      <c r="Q209" t="n">
        <v>0</v>
      </c>
      <c r="R209" s="2" t="inlineStr"/>
    </row>
    <row r="210" ht="15" customHeight="1">
      <c r="A210" t="inlineStr">
        <is>
          <t>A 43224-2019</t>
        </is>
      </c>
      <c r="B210" s="1" t="n">
        <v>43706</v>
      </c>
      <c r="C210" s="1" t="n">
        <v>45507</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43435-2019</t>
        </is>
      </c>
      <c r="B211" s="1" t="n">
        <v>43706</v>
      </c>
      <c r="C211" s="1" t="n">
        <v>45507</v>
      </c>
      <c r="D211" t="inlineStr">
        <is>
          <t>UPPSALA LÄN</t>
        </is>
      </c>
      <c r="E211" t="inlineStr">
        <is>
          <t>UPPSALA</t>
        </is>
      </c>
      <c r="G211" t="n">
        <v>5.4</v>
      </c>
      <c r="H211" t="n">
        <v>0</v>
      </c>
      <c r="I211" t="n">
        <v>0</v>
      </c>
      <c r="J211" t="n">
        <v>0</v>
      </c>
      <c r="K211" t="n">
        <v>0</v>
      </c>
      <c r="L211" t="n">
        <v>0</v>
      </c>
      <c r="M211" t="n">
        <v>0</v>
      </c>
      <c r="N211" t="n">
        <v>0</v>
      </c>
      <c r="O211" t="n">
        <v>0</v>
      </c>
      <c r="P211" t="n">
        <v>0</v>
      </c>
      <c r="Q211" t="n">
        <v>0</v>
      </c>
      <c r="R211" s="2" t="inlineStr"/>
    </row>
    <row r="212" ht="15" customHeight="1">
      <c r="A212" t="inlineStr">
        <is>
          <t>A 43722-2019</t>
        </is>
      </c>
      <c r="B212" s="1" t="n">
        <v>43706</v>
      </c>
      <c r="C212" s="1" t="n">
        <v>45507</v>
      </c>
      <c r="D212" t="inlineStr">
        <is>
          <t>UPPSALA LÄN</t>
        </is>
      </c>
      <c r="E212" t="inlineStr">
        <is>
          <t>UPPSALA</t>
        </is>
      </c>
      <c r="F212" t="inlineStr">
        <is>
          <t>Övriga statliga verk och myndigheter</t>
        </is>
      </c>
      <c r="G212" t="n">
        <v>0.6</v>
      </c>
      <c r="H212" t="n">
        <v>0</v>
      </c>
      <c r="I212" t="n">
        <v>0</v>
      </c>
      <c r="J212" t="n">
        <v>0</v>
      </c>
      <c r="K212" t="n">
        <v>0</v>
      </c>
      <c r="L212" t="n">
        <v>0</v>
      </c>
      <c r="M212" t="n">
        <v>0</v>
      </c>
      <c r="N212" t="n">
        <v>0</v>
      </c>
      <c r="O212" t="n">
        <v>0</v>
      </c>
      <c r="P212" t="n">
        <v>0</v>
      </c>
      <c r="Q212" t="n">
        <v>0</v>
      </c>
      <c r="R212" s="2" t="inlineStr"/>
    </row>
    <row r="213" ht="15" customHeight="1">
      <c r="A213" t="inlineStr">
        <is>
          <t>A 43704-2019</t>
        </is>
      </c>
      <c r="B213" s="1" t="n">
        <v>43707</v>
      </c>
      <c r="C213" s="1" t="n">
        <v>45507</v>
      </c>
      <c r="D213" t="inlineStr">
        <is>
          <t>UPPSALA LÄN</t>
        </is>
      </c>
      <c r="E213" t="inlineStr">
        <is>
          <t>UPPSALA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43725-2019</t>
        </is>
      </c>
      <c r="B214" s="1" t="n">
        <v>43707</v>
      </c>
      <c r="C214" s="1" t="n">
        <v>45507</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44109-2019</t>
        </is>
      </c>
      <c r="B215" s="1" t="n">
        <v>43707</v>
      </c>
      <c r="C215" s="1" t="n">
        <v>45507</v>
      </c>
      <c r="D215" t="inlineStr">
        <is>
          <t>UPPSALA LÄN</t>
        </is>
      </c>
      <c r="E215" t="inlineStr">
        <is>
          <t>UPPSALA</t>
        </is>
      </c>
      <c r="F215" t="inlineStr">
        <is>
          <t>Allmännings- och besparingsskogar</t>
        </is>
      </c>
      <c r="G215" t="n">
        <v>81.3</v>
      </c>
      <c r="H215" t="n">
        <v>0</v>
      </c>
      <c r="I215" t="n">
        <v>0</v>
      </c>
      <c r="J215" t="n">
        <v>0</v>
      </c>
      <c r="K215" t="n">
        <v>0</v>
      </c>
      <c r="L215" t="n">
        <v>0</v>
      </c>
      <c r="M215" t="n">
        <v>0</v>
      </c>
      <c r="N215" t="n">
        <v>0</v>
      </c>
      <c r="O215" t="n">
        <v>0</v>
      </c>
      <c r="P215" t="n">
        <v>0</v>
      </c>
      <c r="Q215" t="n">
        <v>0</v>
      </c>
      <c r="R215" s="2" t="inlineStr"/>
    </row>
    <row r="216" ht="15" customHeight="1">
      <c r="A216" t="inlineStr">
        <is>
          <t>A 43713-2019</t>
        </is>
      </c>
      <c r="B216" s="1" t="n">
        <v>43707</v>
      </c>
      <c r="C216" s="1" t="n">
        <v>45507</v>
      </c>
      <c r="D216" t="inlineStr">
        <is>
          <t>UPPSALA LÄN</t>
        </is>
      </c>
      <c r="E216" t="inlineStr">
        <is>
          <t>UPPSALA</t>
        </is>
      </c>
      <c r="F216" t="inlineStr">
        <is>
          <t>Bergvik skog öst AB</t>
        </is>
      </c>
      <c r="G216" t="n">
        <v>7.9</v>
      </c>
      <c r="H216" t="n">
        <v>0</v>
      </c>
      <c r="I216" t="n">
        <v>0</v>
      </c>
      <c r="J216" t="n">
        <v>0</v>
      </c>
      <c r="K216" t="n">
        <v>0</v>
      </c>
      <c r="L216" t="n">
        <v>0</v>
      </c>
      <c r="M216" t="n">
        <v>0</v>
      </c>
      <c r="N216" t="n">
        <v>0</v>
      </c>
      <c r="O216" t="n">
        <v>0</v>
      </c>
      <c r="P216" t="n">
        <v>0</v>
      </c>
      <c r="Q216" t="n">
        <v>0</v>
      </c>
      <c r="R216" s="2" t="inlineStr"/>
    </row>
    <row r="217" ht="15" customHeight="1">
      <c r="A217" t="inlineStr">
        <is>
          <t>A 43853-2019</t>
        </is>
      </c>
      <c r="B217" s="1" t="n">
        <v>43707</v>
      </c>
      <c r="C217" s="1" t="n">
        <v>45507</v>
      </c>
      <c r="D217" t="inlineStr">
        <is>
          <t>UPPSALA LÄN</t>
        </is>
      </c>
      <c r="E217" t="inlineStr">
        <is>
          <t>UPPSALA</t>
        </is>
      </c>
      <c r="F217" t="inlineStr">
        <is>
          <t>Övriga statliga verk och myndigheter</t>
        </is>
      </c>
      <c r="G217" t="n">
        <v>1.8</v>
      </c>
      <c r="H217" t="n">
        <v>0</v>
      </c>
      <c r="I217" t="n">
        <v>0</v>
      </c>
      <c r="J217" t="n">
        <v>0</v>
      </c>
      <c r="K217" t="n">
        <v>0</v>
      </c>
      <c r="L217" t="n">
        <v>0</v>
      </c>
      <c r="M217" t="n">
        <v>0</v>
      </c>
      <c r="N217" t="n">
        <v>0</v>
      </c>
      <c r="O217" t="n">
        <v>0</v>
      </c>
      <c r="P217" t="n">
        <v>0</v>
      </c>
      <c r="Q217" t="n">
        <v>0</v>
      </c>
      <c r="R217" s="2" t="inlineStr"/>
    </row>
    <row r="218" ht="15" customHeight="1">
      <c r="A218" t="inlineStr">
        <is>
          <t>A 44141-2019</t>
        </is>
      </c>
      <c r="B218" s="1" t="n">
        <v>43710</v>
      </c>
      <c r="C218" s="1" t="n">
        <v>45507</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44701-2019</t>
        </is>
      </c>
      <c r="B219" s="1" t="n">
        <v>43712</v>
      </c>
      <c r="C219" s="1" t="n">
        <v>45507</v>
      </c>
      <c r="D219" t="inlineStr">
        <is>
          <t>UPPSALA LÄN</t>
        </is>
      </c>
      <c r="E219" t="inlineStr">
        <is>
          <t>UPPSALA</t>
        </is>
      </c>
      <c r="G219" t="n">
        <v>3.4</v>
      </c>
      <c r="H219" t="n">
        <v>0</v>
      </c>
      <c r="I219" t="n">
        <v>0</v>
      </c>
      <c r="J219" t="n">
        <v>0</v>
      </c>
      <c r="K219" t="n">
        <v>0</v>
      </c>
      <c r="L219" t="n">
        <v>0</v>
      </c>
      <c r="M219" t="n">
        <v>0</v>
      </c>
      <c r="N219" t="n">
        <v>0</v>
      </c>
      <c r="O219" t="n">
        <v>0</v>
      </c>
      <c r="P219" t="n">
        <v>0</v>
      </c>
      <c r="Q219" t="n">
        <v>0</v>
      </c>
      <c r="R219" s="2" t="inlineStr"/>
    </row>
    <row r="220" ht="15" customHeight="1">
      <c r="A220" t="inlineStr">
        <is>
          <t>A 44687-2019</t>
        </is>
      </c>
      <c r="B220" s="1" t="n">
        <v>43712</v>
      </c>
      <c r="C220" s="1" t="n">
        <v>45507</v>
      </c>
      <c r="D220" t="inlineStr">
        <is>
          <t>UPPSALA LÄN</t>
        </is>
      </c>
      <c r="E220" t="inlineStr">
        <is>
          <t>UPPSALA</t>
        </is>
      </c>
      <c r="G220" t="n">
        <v>3.3</v>
      </c>
      <c r="H220" t="n">
        <v>0</v>
      </c>
      <c r="I220" t="n">
        <v>0</v>
      </c>
      <c r="J220" t="n">
        <v>0</v>
      </c>
      <c r="K220" t="n">
        <v>0</v>
      </c>
      <c r="L220" t="n">
        <v>0</v>
      </c>
      <c r="M220" t="n">
        <v>0</v>
      </c>
      <c r="N220" t="n">
        <v>0</v>
      </c>
      <c r="O220" t="n">
        <v>0</v>
      </c>
      <c r="P220" t="n">
        <v>0</v>
      </c>
      <c r="Q220" t="n">
        <v>0</v>
      </c>
      <c r="R220" s="2" t="inlineStr"/>
    </row>
    <row r="221" ht="15" customHeight="1">
      <c r="A221" t="inlineStr">
        <is>
          <t>A 45010-2019</t>
        </is>
      </c>
      <c r="B221" s="1" t="n">
        <v>43713</v>
      </c>
      <c r="C221" s="1" t="n">
        <v>45507</v>
      </c>
      <c r="D221" t="inlineStr">
        <is>
          <t>UPPSALA LÄN</t>
        </is>
      </c>
      <c r="E221" t="inlineStr">
        <is>
          <t>UPPSALA</t>
        </is>
      </c>
      <c r="G221" t="n">
        <v>1</v>
      </c>
      <c r="H221" t="n">
        <v>0</v>
      </c>
      <c r="I221" t="n">
        <v>0</v>
      </c>
      <c r="J221" t="n">
        <v>0</v>
      </c>
      <c r="K221" t="n">
        <v>0</v>
      </c>
      <c r="L221" t="n">
        <v>0</v>
      </c>
      <c r="M221" t="n">
        <v>0</v>
      </c>
      <c r="N221" t="n">
        <v>0</v>
      </c>
      <c r="O221" t="n">
        <v>0</v>
      </c>
      <c r="P221" t="n">
        <v>0</v>
      </c>
      <c r="Q221" t="n">
        <v>0</v>
      </c>
      <c r="R221" s="2" t="inlineStr"/>
    </row>
    <row r="222" ht="15" customHeight="1">
      <c r="A222" t="inlineStr">
        <is>
          <t>A 45574-2019</t>
        </is>
      </c>
      <c r="B222" s="1" t="n">
        <v>43716</v>
      </c>
      <c r="C222" s="1" t="n">
        <v>45507</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46311-2019</t>
        </is>
      </c>
      <c r="B223" s="1" t="n">
        <v>43718</v>
      </c>
      <c r="C223" s="1" t="n">
        <v>45507</v>
      </c>
      <c r="D223" t="inlineStr">
        <is>
          <t>UPPSALA LÄN</t>
        </is>
      </c>
      <c r="E223" t="inlineStr">
        <is>
          <t>UPPSALA</t>
        </is>
      </c>
      <c r="G223" t="n">
        <v>1.1</v>
      </c>
      <c r="H223" t="n">
        <v>0</v>
      </c>
      <c r="I223" t="n">
        <v>0</v>
      </c>
      <c r="J223" t="n">
        <v>0</v>
      </c>
      <c r="K223" t="n">
        <v>0</v>
      </c>
      <c r="L223" t="n">
        <v>0</v>
      </c>
      <c r="M223" t="n">
        <v>0</v>
      </c>
      <c r="N223" t="n">
        <v>0</v>
      </c>
      <c r="O223" t="n">
        <v>0</v>
      </c>
      <c r="P223" t="n">
        <v>0</v>
      </c>
      <c r="Q223" t="n">
        <v>0</v>
      </c>
      <c r="R223" s="2" t="inlineStr"/>
    </row>
    <row r="224" ht="15" customHeight="1">
      <c r="A224" t="inlineStr">
        <is>
          <t>A 46307-2019</t>
        </is>
      </c>
      <c r="B224" s="1" t="n">
        <v>43718</v>
      </c>
      <c r="C224" s="1" t="n">
        <v>45507</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46151-2019</t>
        </is>
      </c>
      <c r="B225" s="1" t="n">
        <v>43718</v>
      </c>
      <c r="C225" s="1" t="n">
        <v>45507</v>
      </c>
      <c r="D225" t="inlineStr">
        <is>
          <t>UPPSALA LÄN</t>
        </is>
      </c>
      <c r="E225" t="inlineStr">
        <is>
          <t>UPPSALA</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46157-2019</t>
        </is>
      </c>
      <c r="B226" s="1" t="n">
        <v>43718</v>
      </c>
      <c r="C226" s="1" t="n">
        <v>45507</v>
      </c>
      <c r="D226" t="inlineStr">
        <is>
          <t>UPPSALA LÄN</t>
        </is>
      </c>
      <c r="E226" t="inlineStr">
        <is>
          <t>UPPSALA</t>
        </is>
      </c>
      <c r="F226" t="inlineStr">
        <is>
          <t>Övriga Aktiebolag</t>
        </is>
      </c>
      <c r="G226" t="n">
        <v>4.5</v>
      </c>
      <c r="H226" t="n">
        <v>0</v>
      </c>
      <c r="I226" t="n">
        <v>0</v>
      </c>
      <c r="J226" t="n">
        <v>0</v>
      </c>
      <c r="K226" t="n">
        <v>0</v>
      </c>
      <c r="L226" t="n">
        <v>0</v>
      </c>
      <c r="M226" t="n">
        <v>0</v>
      </c>
      <c r="N226" t="n">
        <v>0</v>
      </c>
      <c r="O226" t="n">
        <v>0</v>
      </c>
      <c r="P226" t="n">
        <v>0</v>
      </c>
      <c r="Q226" t="n">
        <v>0</v>
      </c>
      <c r="R226" s="2" t="inlineStr"/>
    </row>
    <row r="227" ht="15" customHeight="1">
      <c r="A227" t="inlineStr">
        <is>
          <t>A 46310-2019</t>
        </is>
      </c>
      <c r="B227" s="1" t="n">
        <v>43718</v>
      </c>
      <c r="C227" s="1" t="n">
        <v>45507</v>
      </c>
      <c r="D227" t="inlineStr">
        <is>
          <t>UPPSALA LÄN</t>
        </is>
      </c>
      <c r="E227" t="inlineStr">
        <is>
          <t>UPPSALA</t>
        </is>
      </c>
      <c r="G227" t="n">
        <v>7</v>
      </c>
      <c r="H227" t="n">
        <v>0</v>
      </c>
      <c r="I227" t="n">
        <v>0</v>
      </c>
      <c r="J227" t="n">
        <v>0</v>
      </c>
      <c r="K227" t="n">
        <v>0</v>
      </c>
      <c r="L227" t="n">
        <v>0</v>
      </c>
      <c r="M227" t="n">
        <v>0</v>
      </c>
      <c r="N227" t="n">
        <v>0</v>
      </c>
      <c r="O227" t="n">
        <v>0</v>
      </c>
      <c r="P227" t="n">
        <v>0</v>
      </c>
      <c r="Q227" t="n">
        <v>0</v>
      </c>
      <c r="R227" s="2" t="inlineStr"/>
    </row>
    <row r="228" ht="15" customHeight="1">
      <c r="A228" t="inlineStr">
        <is>
          <t>A 46147-2019</t>
        </is>
      </c>
      <c r="B228" s="1" t="n">
        <v>43718</v>
      </c>
      <c r="C228" s="1" t="n">
        <v>45507</v>
      </c>
      <c r="D228" t="inlineStr">
        <is>
          <t>UPPSALA LÄN</t>
        </is>
      </c>
      <c r="E228" t="inlineStr">
        <is>
          <t>UPPSALA</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46877-2019</t>
        </is>
      </c>
      <c r="B229" s="1" t="n">
        <v>43720</v>
      </c>
      <c r="C229" s="1" t="n">
        <v>45507</v>
      </c>
      <c r="D229" t="inlineStr">
        <is>
          <t>UPPSALA LÄN</t>
        </is>
      </c>
      <c r="E229" t="inlineStr">
        <is>
          <t>UPPSALA</t>
        </is>
      </c>
      <c r="G229" t="n">
        <v>1.9</v>
      </c>
      <c r="H229" t="n">
        <v>0</v>
      </c>
      <c r="I229" t="n">
        <v>0</v>
      </c>
      <c r="J229" t="n">
        <v>0</v>
      </c>
      <c r="K229" t="n">
        <v>0</v>
      </c>
      <c r="L229" t="n">
        <v>0</v>
      </c>
      <c r="M229" t="n">
        <v>0</v>
      </c>
      <c r="N229" t="n">
        <v>0</v>
      </c>
      <c r="O229" t="n">
        <v>0</v>
      </c>
      <c r="P229" t="n">
        <v>0</v>
      </c>
      <c r="Q229" t="n">
        <v>0</v>
      </c>
      <c r="R229" s="2" t="inlineStr"/>
    </row>
    <row r="230" ht="15" customHeight="1">
      <c r="A230" t="inlineStr">
        <is>
          <t>A 46896-2019</t>
        </is>
      </c>
      <c r="B230" s="1" t="n">
        <v>43720</v>
      </c>
      <c r="C230" s="1" t="n">
        <v>45507</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48485-2019</t>
        </is>
      </c>
      <c r="B231" s="1" t="n">
        <v>43727</v>
      </c>
      <c r="C231" s="1" t="n">
        <v>45507</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49567-2019</t>
        </is>
      </c>
      <c r="B232" s="1" t="n">
        <v>43730</v>
      </c>
      <c r="C232" s="1" t="n">
        <v>45507</v>
      </c>
      <c r="D232" t="inlineStr">
        <is>
          <t>UPPSALA LÄN</t>
        </is>
      </c>
      <c r="E232" t="inlineStr">
        <is>
          <t>UPPSALA</t>
        </is>
      </c>
      <c r="G232" t="n">
        <v>6</v>
      </c>
      <c r="H232" t="n">
        <v>0</v>
      </c>
      <c r="I232" t="n">
        <v>0</v>
      </c>
      <c r="J232" t="n">
        <v>0</v>
      </c>
      <c r="K232" t="n">
        <v>0</v>
      </c>
      <c r="L232" t="n">
        <v>0</v>
      </c>
      <c r="M232" t="n">
        <v>0</v>
      </c>
      <c r="N232" t="n">
        <v>0</v>
      </c>
      <c r="O232" t="n">
        <v>0</v>
      </c>
      <c r="P232" t="n">
        <v>0</v>
      </c>
      <c r="Q232" t="n">
        <v>0</v>
      </c>
      <c r="R232" s="2" t="inlineStr"/>
    </row>
    <row r="233" ht="15" customHeight="1">
      <c r="A233" t="inlineStr">
        <is>
          <t>A 50180-2019</t>
        </is>
      </c>
      <c r="B233" s="1" t="n">
        <v>43733</v>
      </c>
      <c r="C233" s="1" t="n">
        <v>45507</v>
      </c>
      <c r="D233" t="inlineStr">
        <is>
          <t>UPPSALA LÄN</t>
        </is>
      </c>
      <c r="E233" t="inlineStr">
        <is>
          <t>UPPSALA</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50387-2019</t>
        </is>
      </c>
      <c r="B234" s="1" t="n">
        <v>43735</v>
      </c>
      <c r="C234" s="1" t="n">
        <v>45507</v>
      </c>
      <c r="D234" t="inlineStr">
        <is>
          <t>UPPSALA LÄN</t>
        </is>
      </c>
      <c r="E234" t="inlineStr">
        <is>
          <t>UPPSALA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50415-2019</t>
        </is>
      </c>
      <c r="B235" s="1" t="n">
        <v>43735</v>
      </c>
      <c r="C235" s="1" t="n">
        <v>45507</v>
      </c>
      <c r="D235" t="inlineStr">
        <is>
          <t>UPPSALA LÄN</t>
        </is>
      </c>
      <c r="E235" t="inlineStr">
        <is>
          <t>UPPSALA</t>
        </is>
      </c>
      <c r="F235" t="inlineStr">
        <is>
          <t>Kyrkan</t>
        </is>
      </c>
      <c r="G235" t="n">
        <v>13.6</v>
      </c>
      <c r="H235" t="n">
        <v>0</v>
      </c>
      <c r="I235" t="n">
        <v>0</v>
      </c>
      <c r="J235" t="n">
        <v>0</v>
      </c>
      <c r="K235" t="n">
        <v>0</v>
      </c>
      <c r="L235" t="n">
        <v>0</v>
      </c>
      <c r="M235" t="n">
        <v>0</v>
      </c>
      <c r="N235" t="n">
        <v>0</v>
      </c>
      <c r="O235" t="n">
        <v>0</v>
      </c>
      <c r="P235" t="n">
        <v>0</v>
      </c>
      <c r="Q235" t="n">
        <v>0</v>
      </c>
      <c r="R235" s="2" t="inlineStr"/>
    </row>
    <row r="236" ht="15" customHeight="1">
      <c r="A236" t="inlineStr">
        <is>
          <t>A 50616-2019</t>
        </is>
      </c>
      <c r="B236" s="1" t="n">
        <v>43736</v>
      </c>
      <c r="C236" s="1" t="n">
        <v>45507</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52386-2019</t>
        </is>
      </c>
      <c r="B237" s="1" t="n">
        <v>43745</v>
      </c>
      <c r="C237" s="1" t="n">
        <v>45507</v>
      </c>
      <c r="D237" t="inlineStr">
        <is>
          <t>UPPSALA LÄN</t>
        </is>
      </c>
      <c r="E237" t="inlineStr">
        <is>
          <t>UPPSALA</t>
        </is>
      </c>
      <c r="G237" t="n">
        <v>15.7</v>
      </c>
      <c r="H237" t="n">
        <v>0</v>
      </c>
      <c r="I237" t="n">
        <v>0</v>
      </c>
      <c r="J237" t="n">
        <v>0</v>
      </c>
      <c r="K237" t="n">
        <v>0</v>
      </c>
      <c r="L237" t="n">
        <v>0</v>
      </c>
      <c r="M237" t="n">
        <v>0</v>
      </c>
      <c r="N237" t="n">
        <v>0</v>
      </c>
      <c r="O237" t="n">
        <v>0</v>
      </c>
      <c r="P237" t="n">
        <v>0</v>
      </c>
      <c r="Q237" t="n">
        <v>0</v>
      </c>
      <c r="R237" s="2" t="inlineStr"/>
    </row>
    <row r="238" ht="15" customHeight="1">
      <c r="A238" t="inlineStr">
        <is>
          <t>A 52419-2019</t>
        </is>
      </c>
      <c r="B238" s="1" t="n">
        <v>43745</v>
      </c>
      <c r="C238" s="1" t="n">
        <v>45507</v>
      </c>
      <c r="D238" t="inlineStr">
        <is>
          <t>UPPSALA LÄN</t>
        </is>
      </c>
      <c r="E238" t="inlineStr">
        <is>
          <t>UPPSALA</t>
        </is>
      </c>
      <c r="F238" t="inlineStr">
        <is>
          <t>Allmännings- och besparingsskogar</t>
        </is>
      </c>
      <c r="G238" t="n">
        <v>5.3</v>
      </c>
      <c r="H238" t="n">
        <v>0</v>
      </c>
      <c r="I238" t="n">
        <v>0</v>
      </c>
      <c r="J238" t="n">
        <v>0</v>
      </c>
      <c r="K238" t="n">
        <v>0</v>
      </c>
      <c r="L238" t="n">
        <v>0</v>
      </c>
      <c r="M238" t="n">
        <v>0</v>
      </c>
      <c r="N238" t="n">
        <v>0</v>
      </c>
      <c r="O238" t="n">
        <v>0</v>
      </c>
      <c r="P238" t="n">
        <v>0</v>
      </c>
      <c r="Q238" t="n">
        <v>0</v>
      </c>
      <c r="R238" s="2" t="inlineStr"/>
    </row>
    <row r="239" ht="15" customHeight="1">
      <c r="A239" t="inlineStr">
        <is>
          <t>A 52950-2019</t>
        </is>
      </c>
      <c r="B239" s="1" t="n">
        <v>43747</v>
      </c>
      <c r="C239" s="1" t="n">
        <v>45507</v>
      </c>
      <c r="D239" t="inlineStr">
        <is>
          <t>UPPSALA LÄN</t>
        </is>
      </c>
      <c r="E239" t="inlineStr">
        <is>
          <t>UPPSALA</t>
        </is>
      </c>
      <c r="G239" t="n">
        <v>0.2</v>
      </c>
      <c r="H239" t="n">
        <v>0</v>
      </c>
      <c r="I239" t="n">
        <v>0</v>
      </c>
      <c r="J239" t="n">
        <v>0</v>
      </c>
      <c r="K239" t="n">
        <v>0</v>
      </c>
      <c r="L239" t="n">
        <v>0</v>
      </c>
      <c r="M239" t="n">
        <v>0</v>
      </c>
      <c r="N239" t="n">
        <v>0</v>
      </c>
      <c r="O239" t="n">
        <v>0</v>
      </c>
      <c r="P239" t="n">
        <v>0</v>
      </c>
      <c r="Q239" t="n">
        <v>0</v>
      </c>
      <c r="R239" s="2" t="inlineStr"/>
    </row>
    <row r="240" ht="15" customHeight="1">
      <c r="A240" t="inlineStr">
        <is>
          <t>A 53303-2019</t>
        </is>
      </c>
      <c r="B240" s="1" t="n">
        <v>43747</v>
      </c>
      <c r="C240" s="1" t="n">
        <v>45507</v>
      </c>
      <c r="D240" t="inlineStr">
        <is>
          <t>UPPSALA LÄN</t>
        </is>
      </c>
      <c r="E240" t="inlineStr">
        <is>
          <t>UPPSALA</t>
        </is>
      </c>
      <c r="F240" t="inlineStr">
        <is>
          <t>Allmännings- och besparingsskogar</t>
        </is>
      </c>
      <c r="G240" t="n">
        <v>17.5</v>
      </c>
      <c r="H240" t="n">
        <v>0</v>
      </c>
      <c r="I240" t="n">
        <v>0</v>
      </c>
      <c r="J240" t="n">
        <v>0</v>
      </c>
      <c r="K240" t="n">
        <v>0</v>
      </c>
      <c r="L240" t="n">
        <v>0</v>
      </c>
      <c r="M240" t="n">
        <v>0</v>
      </c>
      <c r="N240" t="n">
        <v>0</v>
      </c>
      <c r="O240" t="n">
        <v>0</v>
      </c>
      <c r="P240" t="n">
        <v>0</v>
      </c>
      <c r="Q240" t="n">
        <v>0</v>
      </c>
      <c r="R240" s="2" t="inlineStr"/>
    </row>
    <row r="241" ht="15" customHeight="1">
      <c r="A241" t="inlineStr">
        <is>
          <t>A 53316-2019</t>
        </is>
      </c>
      <c r="B241" s="1" t="n">
        <v>43748</v>
      </c>
      <c r="C241" s="1" t="n">
        <v>45507</v>
      </c>
      <c r="D241" t="inlineStr">
        <is>
          <t>UPPSALA LÄN</t>
        </is>
      </c>
      <c r="E241" t="inlineStr">
        <is>
          <t>UPPSALA</t>
        </is>
      </c>
      <c r="G241" t="n">
        <v>2.3</v>
      </c>
      <c r="H241" t="n">
        <v>0</v>
      </c>
      <c r="I241" t="n">
        <v>0</v>
      </c>
      <c r="J241" t="n">
        <v>0</v>
      </c>
      <c r="K241" t="n">
        <v>0</v>
      </c>
      <c r="L241" t="n">
        <v>0</v>
      </c>
      <c r="M241" t="n">
        <v>0</v>
      </c>
      <c r="N241" t="n">
        <v>0</v>
      </c>
      <c r="O241" t="n">
        <v>0</v>
      </c>
      <c r="P241" t="n">
        <v>0</v>
      </c>
      <c r="Q241" t="n">
        <v>0</v>
      </c>
      <c r="R241" s="2" t="inlineStr"/>
    </row>
    <row r="242" ht="15" customHeight="1">
      <c r="A242" t="inlineStr">
        <is>
          <t>A 54757-2019</t>
        </is>
      </c>
      <c r="B242" s="1" t="n">
        <v>43755</v>
      </c>
      <c r="C242" s="1" t="n">
        <v>45507</v>
      </c>
      <c r="D242" t="inlineStr">
        <is>
          <t>UPPSALA LÄN</t>
        </is>
      </c>
      <c r="E242" t="inlineStr">
        <is>
          <t>UPPSALA</t>
        </is>
      </c>
      <c r="F242" t="inlineStr">
        <is>
          <t>Övriga statliga verk och myndigheter</t>
        </is>
      </c>
      <c r="G242" t="n">
        <v>1.5</v>
      </c>
      <c r="H242" t="n">
        <v>0</v>
      </c>
      <c r="I242" t="n">
        <v>0</v>
      </c>
      <c r="J242" t="n">
        <v>0</v>
      </c>
      <c r="K242" t="n">
        <v>0</v>
      </c>
      <c r="L242" t="n">
        <v>0</v>
      </c>
      <c r="M242" t="n">
        <v>0</v>
      </c>
      <c r="N242" t="n">
        <v>0</v>
      </c>
      <c r="O242" t="n">
        <v>0</v>
      </c>
      <c r="P242" t="n">
        <v>0</v>
      </c>
      <c r="Q242" t="n">
        <v>0</v>
      </c>
      <c r="R242" s="2" t="inlineStr"/>
    </row>
    <row r="243" ht="15" customHeight="1">
      <c r="A243" t="inlineStr">
        <is>
          <t>A 56041-2019</t>
        </is>
      </c>
      <c r="B243" s="1" t="n">
        <v>43759</v>
      </c>
      <c r="C243" s="1" t="n">
        <v>45507</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56634-2019</t>
        </is>
      </c>
      <c r="B244" s="1" t="n">
        <v>43763</v>
      </c>
      <c r="C244" s="1" t="n">
        <v>45507</v>
      </c>
      <c r="D244" t="inlineStr">
        <is>
          <t>UPPSALA LÄN</t>
        </is>
      </c>
      <c r="E244" t="inlineStr">
        <is>
          <t>UPPSALA</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58445-2019</t>
        </is>
      </c>
      <c r="B245" s="1" t="n">
        <v>43773</v>
      </c>
      <c r="C245" s="1" t="n">
        <v>45507</v>
      </c>
      <c r="D245" t="inlineStr">
        <is>
          <t>UPPSALA LÄN</t>
        </is>
      </c>
      <c r="E245" t="inlineStr">
        <is>
          <t>UPPSALA</t>
        </is>
      </c>
      <c r="G245" t="n">
        <v>5</v>
      </c>
      <c r="H245" t="n">
        <v>0</v>
      </c>
      <c r="I245" t="n">
        <v>0</v>
      </c>
      <c r="J245" t="n">
        <v>0</v>
      </c>
      <c r="K245" t="n">
        <v>0</v>
      </c>
      <c r="L245" t="n">
        <v>0</v>
      </c>
      <c r="M245" t="n">
        <v>0</v>
      </c>
      <c r="N245" t="n">
        <v>0</v>
      </c>
      <c r="O245" t="n">
        <v>0</v>
      </c>
      <c r="P245" t="n">
        <v>0</v>
      </c>
      <c r="Q245" t="n">
        <v>0</v>
      </c>
      <c r="R245" s="2" t="inlineStr"/>
    </row>
    <row r="246" ht="15" customHeight="1">
      <c r="A246" t="inlineStr">
        <is>
          <t>A 58527-2019</t>
        </is>
      </c>
      <c r="B246" s="1" t="n">
        <v>43773</v>
      </c>
      <c r="C246" s="1" t="n">
        <v>45507</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58903-2019</t>
        </is>
      </c>
      <c r="B247" s="1" t="n">
        <v>43773</v>
      </c>
      <c r="C247" s="1" t="n">
        <v>45507</v>
      </c>
      <c r="D247" t="inlineStr">
        <is>
          <t>UPPSALA LÄN</t>
        </is>
      </c>
      <c r="E247" t="inlineStr">
        <is>
          <t>UPPSALA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60011-2019</t>
        </is>
      </c>
      <c r="B248" s="1" t="n">
        <v>43777</v>
      </c>
      <c r="C248" s="1" t="n">
        <v>45507</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60159-2019</t>
        </is>
      </c>
      <c r="B249" s="1" t="n">
        <v>43777</v>
      </c>
      <c r="C249" s="1" t="n">
        <v>45507</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60163-2019</t>
        </is>
      </c>
      <c r="B250" s="1" t="n">
        <v>43780</v>
      </c>
      <c r="C250" s="1" t="n">
        <v>45507</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60579-2019</t>
        </is>
      </c>
      <c r="B251" s="1" t="n">
        <v>43780</v>
      </c>
      <c r="C251" s="1" t="n">
        <v>45507</v>
      </c>
      <c r="D251" t="inlineStr">
        <is>
          <t>UPPSALA LÄN</t>
        </is>
      </c>
      <c r="E251" t="inlineStr">
        <is>
          <t>UPPSALA</t>
        </is>
      </c>
      <c r="F251" t="inlineStr">
        <is>
          <t>Övriga Aktiebolag</t>
        </is>
      </c>
      <c r="G251" t="n">
        <v>3.8</v>
      </c>
      <c r="H251" t="n">
        <v>0</v>
      </c>
      <c r="I251" t="n">
        <v>0</v>
      </c>
      <c r="J251" t="n">
        <v>0</v>
      </c>
      <c r="K251" t="n">
        <v>0</v>
      </c>
      <c r="L251" t="n">
        <v>0</v>
      </c>
      <c r="M251" t="n">
        <v>0</v>
      </c>
      <c r="N251" t="n">
        <v>0</v>
      </c>
      <c r="O251" t="n">
        <v>0</v>
      </c>
      <c r="P251" t="n">
        <v>0</v>
      </c>
      <c r="Q251" t="n">
        <v>0</v>
      </c>
      <c r="R251" s="2" t="inlineStr"/>
    </row>
    <row r="252" ht="15" customHeight="1">
      <c r="A252" t="inlineStr">
        <is>
          <t>A 62308-2019</t>
        </is>
      </c>
      <c r="B252" s="1" t="n">
        <v>43782</v>
      </c>
      <c r="C252" s="1" t="n">
        <v>45507</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61667-2019</t>
        </is>
      </c>
      <c r="B253" s="1" t="n">
        <v>43784</v>
      </c>
      <c r="C253" s="1" t="n">
        <v>45507</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63145-2019</t>
        </is>
      </c>
      <c r="B254" s="1" t="n">
        <v>43791</v>
      </c>
      <c r="C254" s="1" t="n">
        <v>45507</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63091-2019</t>
        </is>
      </c>
      <c r="B255" s="1" t="n">
        <v>43791</v>
      </c>
      <c r="C255" s="1" t="n">
        <v>45507</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63099-2019</t>
        </is>
      </c>
      <c r="B256" s="1" t="n">
        <v>43791</v>
      </c>
      <c r="C256" s="1" t="n">
        <v>45507</v>
      </c>
      <c r="D256" t="inlineStr">
        <is>
          <t>UPPSALA LÄN</t>
        </is>
      </c>
      <c r="E256" t="inlineStr">
        <is>
          <t>UPPSALA</t>
        </is>
      </c>
      <c r="G256" t="n">
        <v>4.4</v>
      </c>
      <c r="H256" t="n">
        <v>0</v>
      </c>
      <c r="I256" t="n">
        <v>0</v>
      </c>
      <c r="J256" t="n">
        <v>0</v>
      </c>
      <c r="K256" t="n">
        <v>0</v>
      </c>
      <c r="L256" t="n">
        <v>0</v>
      </c>
      <c r="M256" t="n">
        <v>0</v>
      </c>
      <c r="N256" t="n">
        <v>0</v>
      </c>
      <c r="O256" t="n">
        <v>0</v>
      </c>
      <c r="P256" t="n">
        <v>0</v>
      </c>
      <c r="Q256" t="n">
        <v>0</v>
      </c>
      <c r="R256" s="2" t="inlineStr"/>
    </row>
    <row r="257" ht="15" customHeight="1">
      <c r="A257" t="inlineStr">
        <is>
          <t>A 63118-2019</t>
        </is>
      </c>
      <c r="B257" s="1" t="n">
        <v>43791</v>
      </c>
      <c r="C257" s="1" t="n">
        <v>45507</v>
      </c>
      <c r="D257" t="inlineStr">
        <is>
          <t>UPPSALA LÄN</t>
        </is>
      </c>
      <c r="E257" t="inlineStr">
        <is>
          <t>UPPSALA</t>
        </is>
      </c>
      <c r="G257" t="n">
        <v>2.7</v>
      </c>
      <c r="H257" t="n">
        <v>0</v>
      </c>
      <c r="I257" t="n">
        <v>0</v>
      </c>
      <c r="J257" t="n">
        <v>0</v>
      </c>
      <c r="K257" t="n">
        <v>0</v>
      </c>
      <c r="L257" t="n">
        <v>0</v>
      </c>
      <c r="M257" t="n">
        <v>0</v>
      </c>
      <c r="N257" t="n">
        <v>0</v>
      </c>
      <c r="O257" t="n">
        <v>0</v>
      </c>
      <c r="P257" t="n">
        <v>0</v>
      </c>
      <c r="Q257" t="n">
        <v>0</v>
      </c>
      <c r="R257" s="2" t="inlineStr"/>
    </row>
    <row r="258" ht="15" customHeight="1">
      <c r="A258" t="inlineStr">
        <is>
          <t>A 63589-2019</t>
        </is>
      </c>
      <c r="B258" s="1" t="n">
        <v>43795</v>
      </c>
      <c r="C258" s="1" t="n">
        <v>45507</v>
      </c>
      <c r="D258" t="inlineStr">
        <is>
          <t>UPPSALA LÄN</t>
        </is>
      </c>
      <c r="E258" t="inlineStr">
        <is>
          <t>UPPSALA</t>
        </is>
      </c>
      <c r="G258" t="n">
        <v>3.8</v>
      </c>
      <c r="H258" t="n">
        <v>0</v>
      </c>
      <c r="I258" t="n">
        <v>0</v>
      </c>
      <c r="J258" t="n">
        <v>0</v>
      </c>
      <c r="K258" t="n">
        <v>0</v>
      </c>
      <c r="L258" t="n">
        <v>0</v>
      </c>
      <c r="M258" t="n">
        <v>0</v>
      </c>
      <c r="N258" t="n">
        <v>0</v>
      </c>
      <c r="O258" t="n">
        <v>0</v>
      </c>
      <c r="P258" t="n">
        <v>0</v>
      </c>
      <c r="Q258" t="n">
        <v>0</v>
      </c>
      <c r="R258" s="2" t="inlineStr"/>
    </row>
    <row r="259" ht="15" customHeight="1">
      <c r="A259" t="inlineStr">
        <is>
          <t>A 63757-2019</t>
        </is>
      </c>
      <c r="B259" s="1" t="n">
        <v>43795</v>
      </c>
      <c r="C259" s="1" t="n">
        <v>45507</v>
      </c>
      <c r="D259" t="inlineStr">
        <is>
          <t>UPPSALA LÄN</t>
        </is>
      </c>
      <c r="E259" t="inlineStr">
        <is>
          <t>UPPSALA</t>
        </is>
      </c>
      <c r="G259" t="n">
        <v>6.9</v>
      </c>
      <c r="H259" t="n">
        <v>0</v>
      </c>
      <c r="I259" t="n">
        <v>0</v>
      </c>
      <c r="J259" t="n">
        <v>0</v>
      </c>
      <c r="K259" t="n">
        <v>0</v>
      </c>
      <c r="L259" t="n">
        <v>0</v>
      </c>
      <c r="M259" t="n">
        <v>0</v>
      </c>
      <c r="N259" t="n">
        <v>0</v>
      </c>
      <c r="O259" t="n">
        <v>0</v>
      </c>
      <c r="P259" t="n">
        <v>0</v>
      </c>
      <c r="Q259" t="n">
        <v>0</v>
      </c>
      <c r="R259" s="2" t="inlineStr"/>
    </row>
    <row r="260" ht="15" customHeight="1">
      <c r="A260" t="inlineStr">
        <is>
          <t>A 63756-2019</t>
        </is>
      </c>
      <c r="B260" s="1" t="n">
        <v>43795</v>
      </c>
      <c r="C260" s="1" t="n">
        <v>45507</v>
      </c>
      <c r="D260" t="inlineStr">
        <is>
          <t>UPPSALA LÄN</t>
        </is>
      </c>
      <c r="E260" t="inlineStr">
        <is>
          <t>UPPSALA</t>
        </is>
      </c>
      <c r="G260" t="n">
        <v>6.5</v>
      </c>
      <c r="H260" t="n">
        <v>0</v>
      </c>
      <c r="I260" t="n">
        <v>0</v>
      </c>
      <c r="J260" t="n">
        <v>0</v>
      </c>
      <c r="K260" t="n">
        <v>0</v>
      </c>
      <c r="L260" t="n">
        <v>0</v>
      </c>
      <c r="M260" t="n">
        <v>0</v>
      </c>
      <c r="N260" t="n">
        <v>0</v>
      </c>
      <c r="O260" t="n">
        <v>0</v>
      </c>
      <c r="P260" t="n">
        <v>0</v>
      </c>
      <c r="Q260" t="n">
        <v>0</v>
      </c>
      <c r="R260" s="2" t="inlineStr"/>
    </row>
    <row r="261" ht="15" customHeight="1">
      <c r="A261" t="inlineStr">
        <is>
          <t>A 64836-2019</t>
        </is>
      </c>
      <c r="B261" s="1" t="n">
        <v>43801</v>
      </c>
      <c r="C261" s="1" t="n">
        <v>45507</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64834-2019</t>
        </is>
      </c>
      <c r="B262" s="1" t="n">
        <v>43801</v>
      </c>
      <c r="C262" s="1" t="n">
        <v>45507</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65527-2019</t>
        </is>
      </c>
      <c r="B263" s="1" t="n">
        <v>43803</v>
      </c>
      <c r="C263" s="1" t="n">
        <v>45507</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65668-2019</t>
        </is>
      </c>
      <c r="B264" s="1" t="n">
        <v>43804</v>
      </c>
      <c r="C264" s="1" t="n">
        <v>45507</v>
      </c>
      <c r="D264" t="inlineStr">
        <is>
          <t>UPPSALA LÄN</t>
        </is>
      </c>
      <c r="E264" t="inlineStr">
        <is>
          <t>UPPSALA</t>
        </is>
      </c>
      <c r="G264" t="n">
        <v>7.6</v>
      </c>
      <c r="H264" t="n">
        <v>0</v>
      </c>
      <c r="I264" t="n">
        <v>0</v>
      </c>
      <c r="J264" t="n">
        <v>0</v>
      </c>
      <c r="K264" t="n">
        <v>0</v>
      </c>
      <c r="L264" t="n">
        <v>0</v>
      </c>
      <c r="M264" t="n">
        <v>0</v>
      </c>
      <c r="N264" t="n">
        <v>0</v>
      </c>
      <c r="O264" t="n">
        <v>0</v>
      </c>
      <c r="P264" t="n">
        <v>0</v>
      </c>
      <c r="Q264" t="n">
        <v>0</v>
      </c>
      <c r="R264" s="2" t="inlineStr"/>
    </row>
    <row r="265" ht="15" customHeight="1">
      <c r="A265" t="inlineStr">
        <is>
          <t>A 66167-2019</t>
        </is>
      </c>
      <c r="B265" s="1" t="n">
        <v>43808</v>
      </c>
      <c r="C265" s="1" t="n">
        <v>45507</v>
      </c>
      <c r="D265" t="inlineStr">
        <is>
          <t>UPPSALA LÄN</t>
        </is>
      </c>
      <c r="E265" t="inlineStr">
        <is>
          <t>UPPSALA</t>
        </is>
      </c>
      <c r="G265" t="n">
        <v>1.3</v>
      </c>
      <c r="H265" t="n">
        <v>0</v>
      </c>
      <c r="I265" t="n">
        <v>0</v>
      </c>
      <c r="J265" t="n">
        <v>0</v>
      </c>
      <c r="K265" t="n">
        <v>0</v>
      </c>
      <c r="L265" t="n">
        <v>0</v>
      </c>
      <c r="M265" t="n">
        <v>0</v>
      </c>
      <c r="N265" t="n">
        <v>0</v>
      </c>
      <c r="O265" t="n">
        <v>0</v>
      </c>
      <c r="P265" t="n">
        <v>0</v>
      </c>
      <c r="Q265" t="n">
        <v>0</v>
      </c>
      <c r="R265" s="2" t="inlineStr"/>
    </row>
    <row r="266" ht="15" customHeight="1">
      <c r="A266" t="inlineStr">
        <is>
          <t>A 66270-2019</t>
        </is>
      </c>
      <c r="B266" s="1" t="n">
        <v>43808</v>
      </c>
      <c r="C266" s="1" t="n">
        <v>45507</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67108-2019</t>
        </is>
      </c>
      <c r="B267" s="1" t="n">
        <v>43811</v>
      </c>
      <c r="C267" s="1" t="n">
        <v>45507</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67281-2019</t>
        </is>
      </c>
      <c r="B268" s="1" t="n">
        <v>43812</v>
      </c>
      <c r="C268" s="1" t="n">
        <v>45507</v>
      </c>
      <c r="D268" t="inlineStr">
        <is>
          <t>UPPSALA LÄN</t>
        </is>
      </c>
      <c r="E268" t="inlineStr">
        <is>
          <t>UPPSALA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67508-2019</t>
        </is>
      </c>
      <c r="B269" s="1" t="n">
        <v>43814</v>
      </c>
      <c r="C269" s="1" t="n">
        <v>45507</v>
      </c>
      <c r="D269" t="inlineStr">
        <is>
          <t>UPPSALA LÄN</t>
        </is>
      </c>
      <c r="E269" t="inlineStr">
        <is>
          <t>UPPSALA</t>
        </is>
      </c>
      <c r="F269" t="inlineStr">
        <is>
          <t>Allmännings- och besparingsskogar</t>
        </is>
      </c>
      <c r="G269" t="n">
        <v>4.9</v>
      </c>
      <c r="H269" t="n">
        <v>0</v>
      </c>
      <c r="I269" t="n">
        <v>0</v>
      </c>
      <c r="J269" t="n">
        <v>0</v>
      </c>
      <c r="K269" t="n">
        <v>0</v>
      </c>
      <c r="L269" t="n">
        <v>0</v>
      </c>
      <c r="M269" t="n">
        <v>0</v>
      </c>
      <c r="N269" t="n">
        <v>0</v>
      </c>
      <c r="O269" t="n">
        <v>0</v>
      </c>
      <c r="P269" t="n">
        <v>0</v>
      </c>
      <c r="Q269" t="n">
        <v>0</v>
      </c>
      <c r="R269" s="2" t="inlineStr"/>
    </row>
    <row r="270" ht="15" customHeight="1">
      <c r="A270" t="inlineStr">
        <is>
          <t>A 67504-2019</t>
        </is>
      </c>
      <c r="B270" s="1" t="n">
        <v>43814</v>
      </c>
      <c r="C270" s="1" t="n">
        <v>45507</v>
      </c>
      <c r="D270" t="inlineStr">
        <is>
          <t>UPPSALA LÄN</t>
        </is>
      </c>
      <c r="E270" t="inlineStr">
        <is>
          <t>UPPSALA</t>
        </is>
      </c>
      <c r="F270" t="inlineStr">
        <is>
          <t>Allmännings- och besparingsskogar</t>
        </is>
      </c>
      <c r="G270" t="n">
        <v>21.9</v>
      </c>
      <c r="H270" t="n">
        <v>0</v>
      </c>
      <c r="I270" t="n">
        <v>0</v>
      </c>
      <c r="J270" t="n">
        <v>0</v>
      </c>
      <c r="K270" t="n">
        <v>0</v>
      </c>
      <c r="L270" t="n">
        <v>0</v>
      </c>
      <c r="M270" t="n">
        <v>0</v>
      </c>
      <c r="N270" t="n">
        <v>0</v>
      </c>
      <c r="O270" t="n">
        <v>0</v>
      </c>
      <c r="P270" t="n">
        <v>0</v>
      </c>
      <c r="Q270" t="n">
        <v>0</v>
      </c>
      <c r="R270" s="2" t="inlineStr"/>
    </row>
    <row r="271" ht="15" customHeight="1">
      <c r="A271" t="inlineStr">
        <is>
          <t>A 67720-2019</t>
        </is>
      </c>
      <c r="B271" s="1" t="n">
        <v>43815</v>
      </c>
      <c r="C271" s="1" t="n">
        <v>45507</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67592-2019</t>
        </is>
      </c>
      <c r="B272" s="1" t="n">
        <v>43815</v>
      </c>
      <c r="C272" s="1" t="n">
        <v>45507</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68264-2019</t>
        </is>
      </c>
      <c r="B273" s="1" t="n">
        <v>43817</v>
      </c>
      <c r="C273" s="1" t="n">
        <v>45507</v>
      </c>
      <c r="D273" t="inlineStr">
        <is>
          <t>UPPSALA LÄN</t>
        </is>
      </c>
      <c r="E273" t="inlineStr">
        <is>
          <t>UPPSALA</t>
        </is>
      </c>
      <c r="G273" t="n">
        <v>2.9</v>
      </c>
      <c r="H273" t="n">
        <v>0</v>
      </c>
      <c r="I273" t="n">
        <v>0</v>
      </c>
      <c r="J273" t="n">
        <v>0</v>
      </c>
      <c r="K273" t="n">
        <v>0</v>
      </c>
      <c r="L273" t="n">
        <v>0</v>
      </c>
      <c r="M273" t="n">
        <v>0</v>
      </c>
      <c r="N273" t="n">
        <v>0</v>
      </c>
      <c r="O273" t="n">
        <v>0</v>
      </c>
      <c r="P273" t="n">
        <v>0</v>
      </c>
      <c r="Q273" t="n">
        <v>0</v>
      </c>
      <c r="R273" s="2" t="inlineStr"/>
    </row>
    <row r="274" ht="15" customHeight="1">
      <c r="A274" t="inlineStr">
        <is>
          <t>A 68265-2019</t>
        </is>
      </c>
      <c r="B274" s="1" t="n">
        <v>43817</v>
      </c>
      <c r="C274" s="1" t="n">
        <v>45507</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68317-2019</t>
        </is>
      </c>
      <c r="B275" s="1" t="n">
        <v>43818</v>
      </c>
      <c r="C275" s="1" t="n">
        <v>45507</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68316-2019</t>
        </is>
      </c>
      <c r="B276" s="1" t="n">
        <v>43818</v>
      </c>
      <c r="C276" s="1" t="n">
        <v>45507</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68908-2019</t>
        </is>
      </c>
      <c r="B277" s="1" t="n">
        <v>43822</v>
      </c>
      <c r="C277" s="1" t="n">
        <v>45507</v>
      </c>
      <c r="D277" t="inlineStr">
        <is>
          <t>UPPSALA LÄN</t>
        </is>
      </c>
      <c r="E277" t="inlineStr">
        <is>
          <t>UPPSALA</t>
        </is>
      </c>
      <c r="G277" t="n">
        <v>4</v>
      </c>
      <c r="H277" t="n">
        <v>0</v>
      </c>
      <c r="I277" t="n">
        <v>0</v>
      </c>
      <c r="J277" t="n">
        <v>0</v>
      </c>
      <c r="K277" t="n">
        <v>0</v>
      </c>
      <c r="L277" t="n">
        <v>0</v>
      </c>
      <c r="M277" t="n">
        <v>0</v>
      </c>
      <c r="N277" t="n">
        <v>0</v>
      </c>
      <c r="O277" t="n">
        <v>0</v>
      </c>
      <c r="P277" t="n">
        <v>0</v>
      </c>
      <c r="Q277" t="n">
        <v>0</v>
      </c>
      <c r="R277" s="2" t="inlineStr"/>
    </row>
    <row r="278" ht="15" customHeight="1">
      <c r="A278" t="inlineStr">
        <is>
          <t>A 529-2020</t>
        </is>
      </c>
      <c r="B278" s="1" t="n">
        <v>43837</v>
      </c>
      <c r="C278" s="1" t="n">
        <v>45507</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1891-2020</t>
        </is>
      </c>
      <c r="B279" s="1" t="n">
        <v>43837</v>
      </c>
      <c r="C279" s="1" t="n">
        <v>45507</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701-2020</t>
        </is>
      </c>
      <c r="B280" s="1" t="n">
        <v>43838</v>
      </c>
      <c r="C280" s="1" t="n">
        <v>45507</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1171-2020</t>
        </is>
      </c>
      <c r="B281" s="1" t="n">
        <v>43840</v>
      </c>
      <c r="C281" s="1" t="n">
        <v>45507</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1688-2020</t>
        </is>
      </c>
      <c r="B282" s="1" t="n">
        <v>43844</v>
      </c>
      <c r="C282" s="1" t="n">
        <v>45507</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2162-2020</t>
        </is>
      </c>
      <c r="B283" s="1" t="n">
        <v>43846</v>
      </c>
      <c r="C283" s="1" t="n">
        <v>45507</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2895-2020</t>
        </is>
      </c>
      <c r="B284" s="1" t="n">
        <v>43850</v>
      </c>
      <c r="C284" s="1" t="n">
        <v>45507</v>
      </c>
      <c r="D284" t="inlineStr">
        <is>
          <t>UPPSALA LÄN</t>
        </is>
      </c>
      <c r="E284" t="inlineStr">
        <is>
          <t>UPPSALA</t>
        </is>
      </c>
      <c r="G284" t="n">
        <v>3.8</v>
      </c>
      <c r="H284" t="n">
        <v>0</v>
      </c>
      <c r="I284" t="n">
        <v>0</v>
      </c>
      <c r="J284" t="n">
        <v>0</v>
      </c>
      <c r="K284" t="n">
        <v>0</v>
      </c>
      <c r="L284" t="n">
        <v>0</v>
      </c>
      <c r="M284" t="n">
        <v>0</v>
      </c>
      <c r="N284" t="n">
        <v>0</v>
      </c>
      <c r="O284" t="n">
        <v>0</v>
      </c>
      <c r="P284" t="n">
        <v>0</v>
      </c>
      <c r="Q284" t="n">
        <v>0</v>
      </c>
      <c r="R284" s="2" t="inlineStr"/>
    </row>
    <row r="285" ht="15" customHeight="1">
      <c r="A285" t="inlineStr">
        <is>
          <t>A 3693-2020</t>
        </is>
      </c>
      <c r="B285" s="1" t="n">
        <v>43853</v>
      </c>
      <c r="C285" s="1" t="n">
        <v>45507</v>
      </c>
      <c r="D285" t="inlineStr">
        <is>
          <t>UPPSALA LÄN</t>
        </is>
      </c>
      <c r="E285" t="inlineStr">
        <is>
          <t>UPPSALA</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3516-2020</t>
        </is>
      </c>
      <c r="B286" s="1" t="n">
        <v>43853</v>
      </c>
      <c r="C286" s="1" t="n">
        <v>45507</v>
      </c>
      <c r="D286" t="inlineStr">
        <is>
          <t>UPPSALA LÄN</t>
        </is>
      </c>
      <c r="E286" t="inlineStr">
        <is>
          <t>UPPSALA</t>
        </is>
      </c>
      <c r="G286" t="n">
        <v>9.4</v>
      </c>
      <c r="H286" t="n">
        <v>0</v>
      </c>
      <c r="I286" t="n">
        <v>0</v>
      </c>
      <c r="J286" t="n">
        <v>0</v>
      </c>
      <c r="K286" t="n">
        <v>0</v>
      </c>
      <c r="L286" t="n">
        <v>0</v>
      </c>
      <c r="M286" t="n">
        <v>0</v>
      </c>
      <c r="N286" t="n">
        <v>0</v>
      </c>
      <c r="O286" t="n">
        <v>0</v>
      </c>
      <c r="P286" t="n">
        <v>0</v>
      </c>
      <c r="Q286" t="n">
        <v>0</v>
      </c>
      <c r="R286" s="2" t="inlineStr"/>
    </row>
    <row r="287" ht="15" customHeight="1">
      <c r="A287" t="inlineStr">
        <is>
          <t>A 6313-2020</t>
        </is>
      </c>
      <c r="B287" s="1" t="n">
        <v>43866</v>
      </c>
      <c r="C287" s="1" t="n">
        <v>45507</v>
      </c>
      <c r="D287" t="inlineStr">
        <is>
          <t>UPPSALA LÄN</t>
        </is>
      </c>
      <c r="E287" t="inlineStr">
        <is>
          <t>UPPSALA</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6315-2020</t>
        </is>
      </c>
      <c r="B288" s="1" t="n">
        <v>43866</v>
      </c>
      <c r="C288" s="1" t="n">
        <v>45507</v>
      </c>
      <c r="D288" t="inlineStr">
        <is>
          <t>UPPSALA LÄN</t>
        </is>
      </c>
      <c r="E288" t="inlineStr">
        <is>
          <t>UPPSALA</t>
        </is>
      </c>
      <c r="F288" t="inlineStr">
        <is>
          <t>Övriga statliga verk och myndigheter</t>
        </is>
      </c>
      <c r="G288" t="n">
        <v>1.9</v>
      </c>
      <c r="H288" t="n">
        <v>0</v>
      </c>
      <c r="I288" t="n">
        <v>0</v>
      </c>
      <c r="J288" t="n">
        <v>0</v>
      </c>
      <c r="K288" t="n">
        <v>0</v>
      </c>
      <c r="L288" t="n">
        <v>0</v>
      </c>
      <c r="M288" t="n">
        <v>0</v>
      </c>
      <c r="N288" t="n">
        <v>0</v>
      </c>
      <c r="O288" t="n">
        <v>0</v>
      </c>
      <c r="P288" t="n">
        <v>0</v>
      </c>
      <c r="Q288" t="n">
        <v>0</v>
      </c>
      <c r="R288" s="2" t="inlineStr"/>
    </row>
    <row r="289" ht="15" customHeight="1">
      <c r="A289" t="inlineStr">
        <is>
          <t>A 6655-2020</t>
        </is>
      </c>
      <c r="B289" s="1" t="n">
        <v>43867</v>
      </c>
      <c r="C289" s="1" t="n">
        <v>45507</v>
      </c>
      <c r="D289" t="inlineStr">
        <is>
          <t>UPPSALA LÄN</t>
        </is>
      </c>
      <c r="E289" t="inlineStr">
        <is>
          <t>UPPSALA</t>
        </is>
      </c>
      <c r="G289" t="n">
        <v>7.3</v>
      </c>
      <c r="H289" t="n">
        <v>0</v>
      </c>
      <c r="I289" t="n">
        <v>0</v>
      </c>
      <c r="J289" t="n">
        <v>0</v>
      </c>
      <c r="K289" t="n">
        <v>0</v>
      </c>
      <c r="L289" t="n">
        <v>0</v>
      </c>
      <c r="M289" t="n">
        <v>0</v>
      </c>
      <c r="N289" t="n">
        <v>0</v>
      </c>
      <c r="O289" t="n">
        <v>0</v>
      </c>
      <c r="P289" t="n">
        <v>0</v>
      </c>
      <c r="Q289" t="n">
        <v>0</v>
      </c>
      <c r="R289" s="2" t="inlineStr"/>
    </row>
    <row r="290" ht="15" customHeight="1">
      <c r="A290" t="inlineStr">
        <is>
          <t>A 8261-2020</t>
        </is>
      </c>
      <c r="B290" s="1" t="n">
        <v>43874</v>
      </c>
      <c r="C290" s="1" t="n">
        <v>45507</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8646-2020</t>
        </is>
      </c>
      <c r="B291" s="1" t="n">
        <v>43878</v>
      </c>
      <c r="C291" s="1" t="n">
        <v>45507</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8902-2020</t>
        </is>
      </c>
      <c r="B292" s="1" t="n">
        <v>43878</v>
      </c>
      <c r="C292" s="1" t="n">
        <v>45507</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9011-2020</t>
        </is>
      </c>
      <c r="B293" s="1" t="n">
        <v>43879</v>
      </c>
      <c r="C293" s="1" t="n">
        <v>45507</v>
      </c>
      <c r="D293" t="inlineStr">
        <is>
          <t>UPPSALA LÄN</t>
        </is>
      </c>
      <c r="E293" t="inlineStr">
        <is>
          <t>UPPSALA</t>
        </is>
      </c>
      <c r="F293" t="inlineStr">
        <is>
          <t>Övriga statliga verk och myndigheter</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9084-2020</t>
        </is>
      </c>
      <c r="B294" s="1" t="n">
        <v>43879</v>
      </c>
      <c r="C294" s="1" t="n">
        <v>45507</v>
      </c>
      <c r="D294" t="inlineStr">
        <is>
          <t>UPPSALA LÄN</t>
        </is>
      </c>
      <c r="E294" t="inlineStr">
        <is>
          <t>UPPSALA</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9257-2020</t>
        </is>
      </c>
      <c r="B295" s="1" t="n">
        <v>43879</v>
      </c>
      <c r="C295" s="1" t="n">
        <v>45507</v>
      </c>
      <c r="D295" t="inlineStr">
        <is>
          <t>UPPSALA LÄN</t>
        </is>
      </c>
      <c r="E295" t="inlineStr">
        <is>
          <t>UPPSALA</t>
        </is>
      </c>
      <c r="F295" t="inlineStr">
        <is>
          <t>Bergvik skog öst AB</t>
        </is>
      </c>
      <c r="G295" t="n">
        <v>5.8</v>
      </c>
      <c r="H295" t="n">
        <v>0</v>
      </c>
      <c r="I295" t="n">
        <v>0</v>
      </c>
      <c r="J295" t="n">
        <v>0</v>
      </c>
      <c r="K295" t="n">
        <v>0</v>
      </c>
      <c r="L295" t="n">
        <v>0</v>
      </c>
      <c r="M295" t="n">
        <v>0</v>
      </c>
      <c r="N295" t="n">
        <v>0</v>
      </c>
      <c r="O295" t="n">
        <v>0</v>
      </c>
      <c r="P295" t="n">
        <v>0</v>
      </c>
      <c r="Q295" t="n">
        <v>0</v>
      </c>
      <c r="R295" s="2" t="inlineStr"/>
    </row>
    <row r="296" ht="15" customHeight="1">
      <c r="A296" t="inlineStr">
        <is>
          <t>A 9658-2020</t>
        </is>
      </c>
      <c r="B296" s="1" t="n">
        <v>43881</v>
      </c>
      <c r="C296" s="1" t="n">
        <v>45507</v>
      </c>
      <c r="D296" t="inlineStr">
        <is>
          <t>UPPSALA LÄN</t>
        </is>
      </c>
      <c r="E296" t="inlineStr">
        <is>
          <t>UPPSALA</t>
        </is>
      </c>
      <c r="G296" t="n">
        <v>3.6</v>
      </c>
      <c r="H296" t="n">
        <v>0</v>
      </c>
      <c r="I296" t="n">
        <v>0</v>
      </c>
      <c r="J296" t="n">
        <v>0</v>
      </c>
      <c r="K296" t="n">
        <v>0</v>
      </c>
      <c r="L296" t="n">
        <v>0</v>
      </c>
      <c r="M296" t="n">
        <v>0</v>
      </c>
      <c r="N296" t="n">
        <v>0</v>
      </c>
      <c r="O296" t="n">
        <v>0</v>
      </c>
      <c r="P296" t="n">
        <v>0</v>
      </c>
      <c r="Q296" t="n">
        <v>0</v>
      </c>
      <c r="R296" s="2" t="inlineStr"/>
    </row>
    <row r="297" ht="15" customHeight="1">
      <c r="A297" t="inlineStr">
        <is>
          <t>A 10003-2020</t>
        </is>
      </c>
      <c r="B297" s="1" t="n">
        <v>43882</v>
      </c>
      <c r="C297" s="1" t="n">
        <v>45507</v>
      </c>
      <c r="D297" t="inlineStr">
        <is>
          <t>UPPSALA LÄN</t>
        </is>
      </c>
      <c r="E297" t="inlineStr">
        <is>
          <t>UPPSALA</t>
        </is>
      </c>
      <c r="F297" t="inlineStr">
        <is>
          <t>Kyrkan</t>
        </is>
      </c>
      <c r="G297" t="n">
        <v>5.2</v>
      </c>
      <c r="H297" t="n">
        <v>0</v>
      </c>
      <c r="I297" t="n">
        <v>0</v>
      </c>
      <c r="J297" t="n">
        <v>0</v>
      </c>
      <c r="K297" t="n">
        <v>0</v>
      </c>
      <c r="L297" t="n">
        <v>0</v>
      </c>
      <c r="M297" t="n">
        <v>0</v>
      </c>
      <c r="N297" t="n">
        <v>0</v>
      </c>
      <c r="O297" t="n">
        <v>0</v>
      </c>
      <c r="P297" t="n">
        <v>0</v>
      </c>
      <c r="Q297" t="n">
        <v>0</v>
      </c>
      <c r="R297" s="2" t="inlineStr"/>
    </row>
    <row r="298" ht="15" customHeight="1">
      <c r="A298" t="inlineStr">
        <is>
          <t>A 9949-2020</t>
        </is>
      </c>
      <c r="B298" s="1" t="n">
        <v>43882</v>
      </c>
      <c r="C298" s="1" t="n">
        <v>45507</v>
      </c>
      <c r="D298" t="inlineStr">
        <is>
          <t>UPPSALA LÄN</t>
        </is>
      </c>
      <c r="E298" t="inlineStr">
        <is>
          <t>UPPSALA</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10033-2020</t>
        </is>
      </c>
      <c r="B299" s="1" t="n">
        <v>43882</v>
      </c>
      <c r="C299" s="1" t="n">
        <v>45507</v>
      </c>
      <c r="D299" t="inlineStr">
        <is>
          <t>UPPSALA LÄN</t>
        </is>
      </c>
      <c r="E299" t="inlineStr">
        <is>
          <t>UPPSALA</t>
        </is>
      </c>
      <c r="G299" t="n">
        <v>4.6</v>
      </c>
      <c r="H299" t="n">
        <v>0</v>
      </c>
      <c r="I299" t="n">
        <v>0</v>
      </c>
      <c r="J299" t="n">
        <v>0</v>
      </c>
      <c r="K299" t="n">
        <v>0</v>
      </c>
      <c r="L299" t="n">
        <v>0</v>
      </c>
      <c r="M299" t="n">
        <v>0</v>
      </c>
      <c r="N299" t="n">
        <v>0</v>
      </c>
      <c r="O299" t="n">
        <v>0</v>
      </c>
      <c r="P299" t="n">
        <v>0</v>
      </c>
      <c r="Q299" t="n">
        <v>0</v>
      </c>
      <c r="R299" s="2" t="inlineStr"/>
    </row>
    <row r="300" ht="15" customHeight="1">
      <c r="A300" t="inlineStr">
        <is>
          <t>A 10478-2020</t>
        </is>
      </c>
      <c r="B300" s="1" t="n">
        <v>43886</v>
      </c>
      <c r="C300" s="1" t="n">
        <v>45507</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11540-2020</t>
        </is>
      </c>
      <c r="B301" s="1" t="n">
        <v>43887</v>
      </c>
      <c r="C301" s="1" t="n">
        <v>45507</v>
      </c>
      <c r="D301" t="inlineStr">
        <is>
          <t>UPPSALA LÄN</t>
        </is>
      </c>
      <c r="E301" t="inlineStr">
        <is>
          <t>UPPSALA</t>
        </is>
      </c>
      <c r="G301" t="n">
        <v>2.1</v>
      </c>
      <c r="H301" t="n">
        <v>0</v>
      </c>
      <c r="I301" t="n">
        <v>0</v>
      </c>
      <c r="J301" t="n">
        <v>0</v>
      </c>
      <c r="K301" t="n">
        <v>0</v>
      </c>
      <c r="L301" t="n">
        <v>0</v>
      </c>
      <c r="M301" t="n">
        <v>0</v>
      </c>
      <c r="N301" t="n">
        <v>0</v>
      </c>
      <c r="O301" t="n">
        <v>0</v>
      </c>
      <c r="P301" t="n">
        <v>0</v>
      </c>
      <c r="Q301" t="n">
        <v>0</v>
      </c>
      <c r="R301" s="2" t="inlineStr"/>
    </row>
    <row r="302" ht="15" customHeight="1">
      <c r="A302" t="inlineStr">
        <is>
          <t>A 11174-2020</t>
        </is>
      </c>
      <c r="B302" s="1" t="n">
        <v>43891</v>
      </c>
      <c r="C302" s="1" t="n">
        <v>45507</v>
      </c>
      <c r="D302" t="inlineStr">
        <is>
          <t>UPPSALA LÄN</t>
        </is>
      </c>
      <c r="E302" t="inlineStr">
        <is>
          <t>UPPSALA</t>
        </is>
      </c>
      <c r="F302" t="inlineStr">
        <is>
          <t>Övriga statliga verk och myndigheter</t>
        </is>
      </c>
      <c r="G302" t="n">
        <v>2.8</v>
      </c>
      <c r="H302" t="n">
        <v>0</v>
      </c>
      <c r="I302" t="n">
        <v>0</v>
      </c>
      <c r="J302" t="n">
        <v>0</v>
      </c>
      <c r="K302" t="n">
        <v>0</v>
      </c>
      <c r="L302" t="n">
        <v>0</v>
      </c>
      <c r="M302" t="n">
        <v>0</v>
      </c>
      <c r="N302" t="n">
        <v>0</v>
      </c>
      <c r="O302" t="n">
        <v>0</v>
      </c>
      <c r="P302" t="n">
        <v>0</v>
      </c>
      <c r="Q302" t="n">
        <v>0</v>
      </c>
      <c r="R302" s="2" t="inlineStr"/>
    </row>
    <row r="303" ht="15" customHeight="1">
      <c r="A303" t="inlineStr">
        <is>
          <t>A 12626-2020</t>
        </is>
      </c>
      <c r="B303" s="1" t="n">
        <v>43892</v>
      </c>
      <c r="C303" s="1" t="n">
        <v>45507</v>
      </c>
      <c r="D303" t="inlineStr">
        <is>
          <t>UPPSALA LÄN</t>
        </is>
      </c>
      <c r="E303" t="inlineStr">
        <is>
          <t>UPPSALA</t>
        </is>
      </c>
      <c r="G303" t="n">
        <v>11.4</v>
      </c>
      <c r="H303" t="n">
        <v>0</v>
      </c>
      <c r="I303" t="n">
        <v>0</v>
      </c>
      <c r="J303" t="n">
        <v>0</v>
      </c>
      <c r="K303" t="n">
        <v>0</v>
      </c>
      <c r="L303" t="n">
        <v>0</v>
      </c>
      <c r="M303" t="n">
        <v>0</v>
      </c>
      <c r="N303" t="n">
        <v>0</v>
      </c>
      <c r="O303" t="n">
        <v>0</v>
      </c>
      <c r="P303" t="n">
        <v>0</v>
      </c>
      <c r="Q303" t="n">
        <v>0</v>
      </c>
      <c r="R303" s="2" t="inlineStr"/>
    </row>
    <row r="304" ht="15" customHeight="1">
      <c r="A304" t="inlineStr">
        <is>
          <t>A 11336-2020</t>
        </is>
      </c>
      <c r="B304" s="1" t="n">
        <v>43892</v>
      </c>
      <c r="C304" s="1" t="n">
        <v>45507</v>
      </c>
      <c r="D304" t="inlineStr">
        <is>
          <t>UPPSALA LÄN</t>
        </is>
      </c>
      <c r="E304" t="inlineStr">
        <is>
          <t>UPPSALA</t>
        </is>
      </c>
      <c r="F304" t="inlineStr">
        <is>
          <t>Kyrkan</t>
        </is>
      </c>
      <c r="G304" t="n">
        <v>3.2</v>
      </c>
      <c r="H304" t="n">
        <v>0</v>
      </c>
      <c r="I304" t="n">
        <v>0</v>
      </c>
      <c r="J304" t="n">
        <v>0</v>
      </c>
      <c r="K304" t="n">
        <v>0</v>
      </c>
      <c r="L304" t="n">
        <v>0</v>
      </c>
      <c r="M304" t="n">
        <v>0</v>
      </c>
      <c r="N304" t="n">
        <v>0</v>
      </c>
      <c r="O304" t="n">
        <v>0</v>
      </c>
      <c r="P304" t="n">
        <v>0</v>
      </c>
      <c r="Q304" t="n">
        <v>0</v>
      </c>
      <c r="R304" s="2" t="inlineStr"/>
    </row>
    <row r="305" ht="15" customHeight="1">
      <c r="A305" t="inlineStr">
        <is>
          <t>A 11320-2020</t>
        </is>
      </c>
      <c r="B305" s="1" t="n">
        <v>43892</v>
      </c>
      <c r="C305" s="1" t="n">
        <v>45507</v>
      </c>
      <c r="D305" t="inlineStr">
        <is>
          <t>UPPSALA LÄN</t>
        </is>
      </c>
      <c r="E305" t="inlineStr">
        <is>
          <t>UPPSALA</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12028-2020</t>
        </is>
      </c>
      <c r="B306" s="1" t="n">
        <v>43894</v>
      </c>
      <c r="C306" s="1" t="n">
        <v>45507</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12055-2020</t>
        </is>
      </c>
      <c r="B307" s="1" t="n">
        <v>43894</v>
      </c>
      <c r="C307" s="1" t="n">
        <v>45507</v>
      </c>
      <c r="D307" t="inlineStr">
        <is>
          <t>UPPSALA LÄN</t>
        </is>
      </c>
      <c r="E307" t="inlineStr">
        <is>
          <t>UPPSALA</t>
        </is>
      </c>
      <c r="G307" t="n">
        <v>6.2</v>
      </c>
      <c r="H307" t="n">
        <v>0</v>
      </c>
      <c r="I307" t="n">
        <v>0</v>
      </c>
      <c r="J307" t="n">
        <v>0</v>
      </c>
      <c r="K307" t="n">
        <v>0</v>
      </c>
      <c r="L307" t="n">
        <v>0</v>
      </c>
      <c r="M307" t="n">
        <v>0</v>
      </c>
      <c r="N307" t="n">
        <v>0</v>
      </c>
      <c r="O307" t="n">
        <v>0</v>
      </c>
      <c r="P307" t="n">
        <v>0</v>
      </c>
      <c r="Q307" t="n">
        <v>0</v>
      </c>
      <c r="R307" s="2" t="inlineStr"/>
    </row>
    <row r="308" ht="15" customHeight="1">
      <c r="A308" t="inlineStr">
        <is>
          <t>A 12848-2020</t>
        </is>
      </c>
      <c r="B308" s="1" t="n">
        <v>43899</v>
      </c>
      <c r="C308" s="1" t="n">
        <v>45507</v>
      </c>
      <c r="D308" t="inlineStr">
        <is>
          <t>UPPSALA LÄN</t>
        </is>
      </c>
      <c r="E308" t="inlineStr">
        <is>
          <t>UPPSALA</t>
        </is>
      </c>
      <c r="G308" t="n">
        <v>10.3</v>
      </c>
      <c r="H308" t="n">
        <v>0</v>
      </c>
      <c r="I308" t="n">
        <v>0</v>
      </c>
      <c r="J308" t="n">
        <v>0</v>
      </c>
      <c r="K308" t="n">
        <v>0</v>
      </c>
      <c r="L308" t="n">
        <v>0</v>
      </c>
      <c r="M308" t="n">
        <v>0</v>
      </c>
      <c r="N308" t="n">
        <v>0</v>
      </c>
      <c r="O308" t="n">
        <v>0</v>
      </c>
      <c r="P308" t="n">
        <v>0</v>
      </c>
      <c r="Q308" t="n">
        <v>0</v>
      </c>
      <c r="R308" s="2" t="inlineStr"/>
    </row>
    <row r="309" ht="15" customHeight="1">
      <c r="A309" t="inlineStr">
        <is>
          <t>A 12781-2020</t>
        </is>
      </c>
      <c r="B309" s="1" t="n">
        <v>43899</v>
      </c>
      <c r="C309" s="1" t="n">
        <v>45507</v>
      </c>
      <c r="D309" t="inlineStr">
        <is>
          <t>UPPSALA LÄN</t>
        </is>
      </c>
      <c r="E309" t="inlineStr">
        <is>
          <t>UPPSALA</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13636-2020</t>
        </is>
      </c>
      <c r="B310" s="1" t="n">
        <v>43903</v>
      </c>
      <c r="C310" s="1" t="n">
        <v>45507</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14469-2020</t>
        </is>
      </c>
      <c r="B311" s="1" t="n">
        <v>43908</v>
      </c>
      <c r="C311" s="1" t="n">
        <v>45507</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14423-2020</t>
        </is>
      </c>
      <c r="B312" s="1" t="n">
        <v>43908</v>
      </c>
      <c r="C312" s="1" t="n">
        <v>45507</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14472-2020</t>
        </is>
      </c>
      <c r="B313" s="1" t="n">
        <v>43908</v>
      </c>
      <c r="C313" s="1" t="n">
        <v>45507</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14427-2020</t>
        </is>
      </c>
      <c r="B314" s="1" t="n">
        <v>43908</v>
      </c>
      <c r="C314" s="1" t="n">
        <v>45507</v>
      </c>
      <c r="D314" t="inlineStr">
        <is>
          <t>UPPSALA LÄN</t>
        </is>
      </c>
      <c r="E314" t="inlineStr">
        <is>
          <t>UPPSALA</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15344-2020</t>
        </is>
      </c>
      <c r="B315" s="1" t="n">
        <v>43913</v>
      </c>
      <c r="C315" s="1" t="n">
        <v>45507</v>
      </c>
      <c r="D315" t="inlineStr">
        <is>
          <t>UPPSALA LÄN</t>
        </is>
      </c>
      <c r="E315" t="inlineStr">
        <is>
          <t>UPPSALA</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18106-2020</t>
        </is>
      </c>
      <c r="B316" s="1" t="n">
        <v>43927</v>
      </c>
      <c r="C316" s="1" t="n">
        <v>45507</v>
      </c>
      <c r="D316" t="inlineStr">
        <is>
          <t>UPPSALA LÄN</t>
        </is>
      </c>
      <c r="E316" t="inlineStr">
        <is>
          <t>UPPSALA</t>
        </is>
      </c>
      <c r="G316" t="n">
        <v>0.7</v>
      </c>
      <c r="H316" t="n">
        <v>0</v>
      </c>
      <c r="I316" t="n">
        <v>0</v>
      </c>
      <c r="J316" t="n">
        <v>0</v>
      </c>
      <c r="K316" t="n">
        <v>0</v>
      </c>
      <c r="L316" t="n">
        <v>0</v>
      </c>
      <c r="M316" t="n">
        <v>0</v>
      </c>
      <c r="N316" t="n">
        <v>0</v>
      </c>
      <c r="O316" t="n">
        <v>0</v>
      </c>
      <c r="P316" t="n">
        <v>0</v>
      </c>
      <c r="Q316" t="n">
        <v>0</v>
      </c>
      <c r="R316" s="2" t="inlineStr"/>
    </row>
    <row r="317" ht="15" customHeight="1">
      <c r="A317" t="inlineStr">
        <is>
          <t>A 18114-2020</t>
        </is>
      </c>
      <c r="B317" s="1" t="n">
        <v>43927</v>
      </c>
      <c r="C317" s="1" t="n">
        <v>45507</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18469-2020</t>
        </is>
      </c>
      <c r="B318" s="1" t="n">
        <v>43929</v>
      </c>
      <c r="C318" s="1" t="n">
        <v>45507</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19210-2020</t>
        </is>
      </c>
      <c r="B319" s="1" t="n">
        <v>43937</v>
      </c>
      <c r="C319" s="1" t="n">
        <v>45507</v>
      </c>
      <c r="D319" t="inlineStr">
        <is>
          <t>UPPSALA LÄN</t>
        </is>
      </c>
      <c r="E319" t="inlineStr">
        <is>
          <t>UPPSALA</t>
        </is>
      </c>
      <c r="G319" t="n">
        <v>3.7</v>
      </c>
      <c r="H319" t="n">
        <v>0</v>
      </c>
      <c r="I319" t="n">
        <v>0</v>
      </c>
      <c r="J319" t="n">
        <v>0</v>
      </c>
      <c r="K319" t="n">
        <v>0</v>
      </c>
      <c r="L319" t="n">
        <v>0</v>
      </c>
      <c r="M319" t="n">
        <v>0</v>
      </c>
      <c r="N319" t="n">
        <v>0</v>
      </c>
      <c r="O319" t="n">
        <v>0</v>
      </c>
      <c r="P319" t="n">
        <v>0</v>
      </c>
      <c r="Q319" t="n">
        <v>0</v>
      </c>
      <c r="R319" s="2" t="inlineStr"/>
    </row>
    <row r="320" ht="15" customHeight="1">
      <c r="A320" t="inlineStr">
        <is>
          <t>A 20218-2020</t>
        </is>
      </c>
      <c r="B320" s="1" t="n">
        <v>43944</v>
      </c>
      <c r="C320" s="1" t="n">
        <v>45507</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20506-2020</t>
        </is>
      </c>
      <c r="B321" s="1" t="n">
        <v>43948</v>
      </c>
      <c r="C321" s="1" t="n">
        <v>45507</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20490-2020</t>
        </is>
      </c>
      <c r="B322" s="1" t="n">
        <v>43948</v>
      </c>
      <c r="C322" s="1" t="n">
        <v>45507</v>
      </c>
      <c r="D322" t="inlineStr">
        <is>
          <t>UPPSALA LÄN</t>
        </is>
      </c>
      <c r="E322" t="inlineStr">
        <is>
          <t>UPPSALA</t>
        </is>
      </c>
      <c r="G322" t="n">
        <v>2.8</v>
      </c>
      <c r="H322" t="n">
        <v>0</v>
      </c>
      <c r="I322" t="n">
        <v>0</v>
      </c>
      <c r="J322" t="n">
        <v>0</v>
      </c>
      <c r="K322" t="n">
        <v>0</v>
      </c>
      <c r="L322" t="n">
        <v>0</v>
      </c>
      <c r="M322" t="n">
        <v>0</v>
      </c>
      <c r="N322" t="n">
        <v>0</v>
      </c>
      <c r="O322" t="n">
        <v>0</v>
      </c>
      <c r="P322" t="n">
        <v>0</v>
      </c>
      <c r="Q322" t="n">
        <v>0</v>
      </c>
      <c r="R322" s="2" t="inlineStr"/>
    </row>
    <row r="323" ht="15" customHeight="1">
      <c r="A323" t="inlineStr">
        <is>
          <t>A 20960-2020</t>
        </is>
      </c>
      <c r="B323" s="1" t="n">
        <v>43950</v>
      </c>
      <c r="C323" s="1" t="n">
        <v>45507</v>
      </c>
      <c r="D323" t="inlineStr">
        <is>
          <t>UPPSALA LÄN</t>
        </is>
      </c>
      <c r="E323" t="inlineStr">
        <is>
          <t>UPPSALA</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24300-2020</t>
        </is>
      </c>
      <c r="B324" s="1" t="n">
        <v>43973</v>
      </c>
      <c r="C324" s="1" t="n">
        <v>45507</v>
      </c>
      <c r="D324" t="inlineStr">
        <is>
          <t>UPPSALA LÄN</t>
        </is>
      </c>
      <c r="E324" t="inlineStr">
        <is>
          <t>UPPSALA</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24287-2020</t>
        </is>
      </c>
      <c r="B325" s="1" t="n">
        <v>43976</v>
      </c>
      <c r="C325" s="1" t="n">
        <v>45507</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25798-2020</t>
        </is>
      </c>
      <c r="B326" s="1" t="n">
        <v>43984</v>
      </c>
      <c r="C326" s="1" t="n">
        <v>45507</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26488-2020</t>
        </is>
      </c>
      <c r="B327" s="1" t="n">
        <v>43987</v>
      </c>
      <c r="C327" s="1" t="n">
        <v>45507</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26492-2020</t>
        </is>
      </c>
      <c r="B328" s="1" t="n">
        <v>43987</v>
      </c>
      <c r="C328" s="1" t="n">
        <v>45507</v>
      </c>
      <c r="D328" t="inlineStr">
        <is>
          <t>UPPSALA LÄN</t>
        </is>
      </c>
      <c r="E328" t="inlineStr">
        <is>
          <t>UPPSALA</t>
        </is>
      </c>
      <c r="G328" t="n">
        <v>9.5</v>
      </c>
      <c r="H328" t="n">
        <v>0</v>
      </c>
      <c r="I328" t="n">
        <v>0</v>
      </c>
      <c r="J328" t="n">
        <v>0</v>
      </c>
      <c r="K328" t="n">
        <v>0</v>
      </c>
      <c r="L328" t="n">
        <v>0</v>
      </c>
      <c r="M328" t="n">
        <v>0</v>
      </c>
      <c r="N328" t="n">
        <v>0</v>
      </c>
      <c r="O328" t="n">
        <v>0</v>
      </c>
      <c r="P328" t="n">
        <v>0</v>
      </c>
      <c r="Q328" t="n">
        <v>0</v>
      </c>
      <c r="R328" s="2" t="inlineStr"/>
    </row>
    <row r="329" ht="15" customHeight="1">
      <c r="A329" t="inlineStr">
        <is>
          <t>A 26856-2020</t>
        </is>
      </c>
      <c r="B329" s="1" t="n">
        <v>43990</v>
      </c>
      <c r="C329" s="1" t="n">
        <v>45507</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28565-2020</t>
        </is>
      </c>
      <c r="B330" s="1" t="n">
        <v>43999</v>
      </c>
      <c r="C330" s="1" t="n">
        <v>45507</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28514-2020</t>
        </is>
      </c>
      <c r="B331" s="1" t="n">
        <v>43999</v>
      </c>
      <c r="C331" s="1" t="n">
        <v>45507</v>
      </c>
      <c r="D331" t="inlineStr">
        <is>
          <t>UPPSALA LÄN</t>
        </is>
      </c>
      <c r="E331" t="inlineStr">
        <is>
          <t>UPPSALA</t>
        </is>
      </c>
      <c r="G331" t="n">
        <v>3.6</v>
      </c>
      <c r="H331" t="n">
        <v>0</v>
      </c>
      <c r="I331" t="n">
        <v>0</v>
      </c>
      <c r="J331" t="n">
        <v>0</v>
      </c>
      <c r="K331" t="n">
        <v>0</v>
      </c>
      <c r="L331" t="n">
        <v>0</v>
      </c>
      <c r="M331" t="n">
        <v>0</v>
      </c>
      <c r="N331" t="n">
        <v>0</v>
      </c>
      <c r="O331" t="n">
        <v>0</v>
      </c>
      <c r="P331" t="n">
        <v>0</v>
      </c>
      <c r="Q331" t="n">
        <v>0</v>
      </c>
      <c r="R331" s="2" t="inlineStr"/>
    </row>
    <row r="332" ht="15" customHeight="1">
      <c r="A332" t="inlineStr">
        <is>
          <t>A 28993-2020</t>
        </is>
      </c>
      <c r="B332" s="1" t="n">
        <v>44000</v>
      </c>
      <c r="C332" s="1" t="n">
        <v>45507</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29034-2020</t>
        </is>
      </c>
      <c r="B333" s="1" t="n">
        <v>44000</v>
      </c>
      <c r="C333" s="1" t="n">
        <v>45507</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30196-2020</t>
        </is>
      </c>
      <c r="B334" s="1" t="n">
        <v>44007</v>
      </c>
      <c r="C334" s="1" t="n">
        <v>45507</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30208-2020</t>
        </is>
      </c>
      <c r="B335" s="1" t="n">
        <v>44007</v>
      </c>
      <c r="C335" s="1" t="n">
        <v>45507</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31219-2020</t>
        </is>
      </c>
      <c r="B336" s="1" t="n">
        <v>44012</v>
      </c>
      <c r="C336" s="1" t="n">
        <v>45507</v>
      </c>
      <c r="D336" t="inlineStr">
        <is>
          <t>UPPSALA LÄN</t>
        </is>
      </c>
      <c r="E336" t="inlineStr">
        <is>
          <t>UPPSALA</t>
        </is>
      </c>
      <c r="F336" t="inlineStr">
        <is>
          <t>Bergvik skog öst AB</t>
        </is>
      </c>
      <c r="G336" t="n">
        <v>7.4</v>
      </c>
      <c r="H336" t="n">
        <v>0</v>
      </c>
      <c r="I336" t="n">
        <v>0</v>
      </c>
      <c r="J336" t="n">
        <v>0</v>
      </c>
      <c r="K336" t="n">
        <v>0</v>
      </c>
      <c r="L336" t="n">
        <v>0</v>
      </c>
      <c r="M336" t="n">
        <v>0</v>
      </c>
      <c r="N336" t="n">
        <v>0</v>
      </c>
      <c r="O336" t="n">
        <v>0</v>
      </c>
      <c r="P336" t="n">
        <v>0</v>
      </c>
      <c r="Q336" t="n">
        <v>0</v>
      </c>
      <c r="R336" s="2" t="inlineStr"/>
    </row>
    <row r="337" ht="15" customHeight="1">
      <c r="A337" t="inlineStr">
        <is>
          <t>A 31430-2020</t>
        </is>
      </c>
      <c r="B337" s="1" t="n">
        <v>44013</v>
      </c>
      <c r="C337" s="1" t="n">
        <v>45507</v>
      </c>
      <c r="D337" t="inlineStr">
        <is>
          <t>UPPSALA LÄN</t>
        </is>
      </c>
      <c r="E337" t="inlineStr">
        <is>
          <t>UPPSALA</t>
        </is>
      </c>
      <c r="G337" t="n">
        <v>3.4</v>
      </c>
      <c r="H337" t="n">
        <v>0</v>
      </c>
      <c r="I337" t="n">
        <v>0</v>
      </c>
      <c r="J337" t="n">
        <v>0</v>
      </c>
      <c r="K337" t="n">
        <v>0</v>
      </c>
      <c r="L337" t="n">
        <v>0</v>
      </c>
      <c r="M337" t="n">
        <v>0</v>
      </c>
      <c r="N337" t="n">
        <v>0</v>
      </c>
      <c r="O337" t="n">
        <v>0</v>
      </c>
      <c r="P337" t="n">
        <v>0</v>
      </c>
      <c r="Q337" t="n">
        <v>0</v>
      </c>
      <c r="R337" s="2" t="inlineStr"/>
    </row>
    <row r="338" ht="15" customHeight="1">
      <c r="A338" t="inlineStr">
        <is>
          <t>A 31932-2020</t>
        </is>
      </c>
      <c r="B338" s="1" t="n">
        <v>44014</v>
      </c>
      <c r="C338" s="1" t="n">
        <v>45507</v>
      </c>
      <c r="D338" t="inlineStr">
        <is>
          <t>UPPSALA LÄN</t>
        </is>
      </c>
      <c r="E338" t="inlineStr">
        <is>
          <t>UPPSALA</t>
        </is>
      </c>
      <c r="G338" t="n">
        <v>5.6</v>
      </c>
      <c r="H338" t="n">
        <v>0</v>
      </c>
      <c r="I338" t="n">
        <v>0</v>
      </c>
      <c r="J338" t="n">
        <v>0</v>
      </c>
      <c r="K338" t="n">
        <v>0</v>
      </c>
      <c r="L338" t="n">
        <v>0</v>
      </c>
      <c r="M338" t="n">
        <v>0</v>
      </c>
      <c r="N338" t="n">
        <v>0</v>
      </c>
      <c r="O338" t="n">
        <v>0</v>
      </c>
      <c r="P338" t="n">
        <v>0</v>
      </c>
      <c r="Q338" t="n">
        <v>0</v>
      </c>
      <c r="R338" s="2" t="inlineStr"/>
    </row>
    <row r="339" ht="15" customHeight="1">
      <c r="A339" t="inlineStr">
        <is>
          <t>A 32235-2020</t>
        </is>
      </c>
      <c r="B339" s="1" t="n">
        <v>44015</v>
      </c>
      <c r="C339" s="1" t="n">
        <v>45507</v>
      </c>
      <c r="D339" t="inlineStr">
        <is>
          <t>UPPSALA LÄN</t>
        </is>
      </c>
      <c r="E339" t="inlineStr">
        <is>
          <t>UPPSALA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32340-2020</t>
        </is>
      </c>
      <c r="B340" s="1" t="n">
        <v>44016</v>
      </c>
      <c r="C340" s="1" t="n">
        <v>45507</v>
      </c>
      <c r="D340" t="inlineStr">
        <is>
          <t>UPPSALA LÄN</t>
        </is>
      </c>
      <c r="E340" t="inlineStr">
        <is>
          <t>UPPSALA</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32608-2020</t>
        </is>
      </c>
      <c r="B341" s="1" t="n">
        <v>44019</v>
      </c>
      <c r="C341" s="1" t="n">
        <v>45507</v>
      </c>
      <c r="D341" t="inlineStr">
        <is>
          <t>UPPSALA LÄN</t>
        </is>
      </c>
      <c r="E341" t="inlineStr">
        <is>
          <t>UPPSALA</t>
        </is>
      </c>
      <c r="F341" t="inlineStr">
        <is>
          <t>Bergvik skog öst AB</t>
        </is>
      </c>
      <c r="G341" t="n">
        <v>5.7</v>
      </c>
      <c r="H341" t="n">
        <v>0</v>
      </c>
      <c r="I341" t="n">
        <v>0</v>
      </c>
      <c r="J341" t="n">
        <v>0</v>
      </c>
      <c r="K341" t="n">
        <v>0</v>
      </c>
      <c r="L341" t="n">
        <v>0</v>
      </c>
      <c r="M341" t="n">
        <v>0</v>
      </c>
      <c r="N341" t="n">
        <v>0</v>
      </c>
      <c r="O341" t="n">
        <v>0</v>
      </c>
      <c r="P341" t="n">
        <v>0</v>
      </c>
      <c r="Q341" t="n">
        <v>0</v>
      </c>
      <c r="R341" s="2" t="inlineStr"/>
    </row>
    <row r="342" ht="15" customHeight="1">
      <c r="A342" t="inlineStr">
        <is>
          <t>A 33658-2020</t>
        </is>
      </c>
      <c r="B342" s="1" t="n">
        <v>44026</v>
      </c>
      <c r="C342" s="1" t="n">
        <v>45507</v>
      </c>
      <c r="D342" t="inlineStr">
        <is>
          <t>UPPSALA LÄN</t>
        </is>
      </c>
      <c r="E342" t="inlineStr">
        <is>
          <t>UPPSALA</t>
        </is>
      </c>
      <c r="G342" t="n">
        <v>2.2</v>
      </c>
      <c r="H342" t="n">
        <v>0</v>
      </c>
      <c r="I342" t="n">
        <v>0</v>
      </c>
      <c r="J342" t="n">
        <v>0</v>
      </c>
      <c r="K342" t="n">
        <v>0</v>
      </c>
      <c r="L342" t="n">
        <v>0</v>
      </c>
      <c r="M342" t="n">
        <v>0</v>
      </c>
      <c r="N342" t="n">
        <v>0</v>
      </c>
      <c r="O342" t="n">
        <v>0</v>
      </c>
      <c r="P342" t="n">
        <v>0</v>
      </c>
      <c r="Q342" t="n">
        <v>0</v>
      </c>
      <c r="R342" s="2" t="inlineStr"/>
    </row>
    <row r="343" ht="15" customHeight="1">
      <c r="A343" t="inlineStr">
        <is>
          <t>A 34205-2020</t>
        </is>
      </c>
      <c r="B343" s="1" t="n">
        <v>44029</v>
      </c>
      <c r="C343" s="1" t="n">
        <v>45507</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34565-2020</t>
        </is>
      </c>
      <c r="B344" s="1" t="n">
        <v>44033</v>
      </c>
      <c r="C344" s="1" t="n">
        <v>45507</v>
      </c>
      <c r="D344" t="inlineStr">
        <is>
          <t>UPPSALA LÄN</t>
        </is>
      </c>
      <c r="E344" t="inlineStr">
        <is>
          <t>UPPSALA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34753-2020</t>
        </is>
      </c>
      <c r="B345" s="1" t="n">
        <v>44035</v>
      </c>
      <c r="C345" s="1" t="n">
        <v>45507</v>
      </c>
      <c r="D345" t="inlineStr">
        <is>
          <t>UPPSALA LÄN</t>
        </is>
      </c>
      <c r="E345" t="inlineStr">
        <is>
          <t>UPPSALA</t>
        </is>
      </c>
      <c r="G345" t="n">
        <v>2.7</v>
      </c>
      <c r="H345" t="n">
        <v>0</v>
      </c>
      <c r="I345" t="n">
        <v>0</v>
      </c>
      <c r="J345" t="n">
        <v>0</v>
      </c>
      <c r="K345" t="n">
        <v>0</v>
      </c>
      <c r="L345" t="n">
        <v>0</v>
      </c>
      <c r="M345" t="n">
        <v>0</v>
      </c>
      <c r="N345" t="n">
        <v>0</v>
      </c>
      <c r="O345" t="n">
        <v>0</v>
      </c>
      <c r="P345" t="n">
        <v>0</v>
      </c>
      <c r="Q345" t="n">
        <v>0</v>
      </c>
      <c r="R345" s="2" t="inlineStr"/>
    </row>
    <row r="346" ht="15" customHeight="1">
      <c r="A346" t="inlineStr">
        <is>
          <t>A 34749-2020</t>
        </is>
      </c>
      <c r="B346" s="1" t="n">
        <v>44035</v>
      </c>
      <c r="C346" s="1" t="n">
        <v>45507</v>
      </c>
      <c r="D346" t="inlineStr">
        <is>
          <t>UPPSALA LÄN</t>
        </is>
      </c>
      <c r="E346" t="inlineStr">
        <is>
          <t>UPPSALA</t>
        </is>
      </c>
      <c r="G346" t="n">
        <v>5.5</v>
      </c>
      <c r="H346" t="n">
        <v>0</v>
      </c>
      <c r="I346" t="n">
        <v>0</v>
      </c>
      <c r="J346" t="n">
        <v>0</v>
      </c>
      <c r="K346" t="n">
        <v>0</v>
      </c>
      <c r="L346" t="n">
        <v>0</v>
      </c>
      <c r="M346" t="n">
        <v>0</v>
      </c>
      <c r="N346" t="n">
        <v>0</v>
      </c>
      <c r="O346" t="n">
        <v>0</v>
      </c>
      <c r="P346" t="n">
        <v>0</v>
      </c>
      <c r="Q346" t="n">
        <v>0</v>
      </c>
      <c r="R346" s="2" t="inlineStr"/>
    </row>
    <row r="347" ht="15" customHeight="1">
      <c r="A347" t="inlineStr">
        <is>
          <t>A 35281-2020</t>
        </is>
      </c>
      <c r="B347" s="1" t="n">
        <v>44041</v>
      </c>
      <c r="C347" s="1" t="n">
        <v>45507</v>
      </c>
      <c r="D347" t="inlineStr">
        <is>
          <t>UPPSALA LÄN</t>
        </is>
      </c>
      <c r="E347" t="inlineStr">
        <is>
          <t>UPPSALA</t>
        </is>
      </c>
      <c r="F347" t="inlineStr">
        <is>
          <t>Bergvik skog öst AB</t>
        </is>
      </c>
      <c r="G347" t="n">
        <v>3.1</v>
      </c>
      <c r="H347" t="n">
        <v>0</v>
      </c>
      <c r="I347" t="n">
        <v>0</v>
      </c>
      <c r="J347" t="n">
        <v>0</v>
      </c>
      <c r="K347" t="n">
        <v>0</v>
      </c>
      <c r="L347" t="n">
        <v>0</v>
      </c>
      <c r="M347" t="n">
        <v>0</v>
      </c>
      <c r="N347" t="n">
        <v>0</v>
      </c>
      <c r="O347" t="n">
        <v>0</v>
      </c>
      <c r="P347" t="n">
        <v>0</v>
      </c>
      <c r="Q347" t="n">
        <v>0</v>
      </c>
      <c r="R347" s="2" t="inlineStr"/>
    </row>
    <row r="348" ht="15" customHeight="1">
      <c r="A348" t="inlineStr">
        <is>
          <t>A 36035-2020</t>
        </is>
      </c>
      <c r="B348" s="1" t="n">
        <v>44048</v>
      </c>
      <c r="C348" s="1" t="n">
        <v>45507</v>
      </c>
      <c r="D348" t="inlineStr">
        <is>
          <t>UPPSALA LÄN</t>
        </is>
      </c>
      <c r="E348" t="inlineStr">
        <is>
          <t>UPPSALA</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36202-2020</t>
        </is>
      </c>
      <c r="B349" s="1" t="n">
        <v>44048</v>
      </c>
      <c r="C349" s="1" t="n">
        <v>45507</v>
      </c>
      <c r="D349" t="inlineStr">
        <is>
          <t>UPPSALA LÄN</t>
        </is>
      </c>
      <c r="E349" t="inlineStr">
        <is>
          <t>UPPSALA</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36198-2020</t>
        </is>
      </c>
      <c r="B350" s="1" t="n">
        <v>44048</v>
      </c>
      <c r="C350" s="1" t="n">
        <v>45507</v>
      </c>
      <c r="D350" t="inlineStr">
        <is>
          <t>UPPSALA LÄN</t>
        </is>
      </c>
      <c r="E350" t="inlineStr">
        <is>
          <t>UPPSALA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36350-2020</t>
        </is>
      </c>
      <c r="B351" s="1" t="n">
        <v>44049</v>
      </c>
      <c r="C351" s="1" t="n">
        <v>45507</v>
      </c>
      <c r="D351" t="inlineStr">
        <is>
          <t>UPPSALA LÄN</t>
        </is>
      </c>
      <c r="E351" t="inlineStr">
        <is>
          <t>UPPSALA</t>
        </is>
      </c>
      <c r="G351" t="n">
        <v>1.9</v>
      </c>
      <c r="H351" t="n">
        <v>0</v>
      </c>
      <c r="I351" t="n">
        <v>0</v>
      </c>
      <c r="J351" t="n">
        <v>0</v>
      </c>
      <c r="K351" t="n">
        <v>0</v>
      </c>
      <c r="L351" t="n">
        <v>0</v>
      </c>
      <c r="M351" t="n">
        <v>0</v>
      </c>
      <c r="N351" t="n">
        <v>0</v>
      </c>
      <c r="O351" t="n">
        <v>0</v>
      </c>
      <c r="P351" t="n">
        <v>0</v>
      </c>
      <c r="Q351" t="n">
        <v>0</v>
      </c>
      <c r="R351" s="2" t="inlineStr"/>
    </row>
    <row r="352" ht="15" customHeight="1">
      <c r="A352" t="inlineStr">
        <is>
          <t>A 36512-2020</t>
        </is>
      </c>
      <c r="B352" s="1" t="n">
        <v>44050</v>
      </c>
      <c r="C352" s="1" t="n">
        <v>45507</v>
      </c>
      <c r="D352" t="inlineStr">
        <is>
          <t>UPPSALA LÄN</t>
        </is>
      </c>
      <c r="E352" t="inlineStr">
        <is>
          <t>UPPSALA</t>
        </is>
      </c>
      <c r="G352" t="n">
        <v>5.8</v>
      </c>
      <c r="H352" t="n">
        <v>0</v>
      </c>
      <c r="I352" t="n">
        <v>0</v>
      </c>
      <c r="J352" t="n">
        <v>0</v>
      </c>
      <c r="K352" t="n">
        <v>0</v>
      </c>
      <c r="L352" t="n">
        <v>0</v>
      </c>
      <c r="M352" t="n">
        <v>0</v>
      </c>
      <c r="N352" t="n">
        <v>0</v>
      </c>
      <c r="O352" t="n">
        <v>0</v>
      </c>
      <c r="P352" t="n">
        <v>0</v>
      </c>
      <c r="Q352" t="n">
        <v>0</v>
      </c>
      <c r="R352" s="2" t="inlineStr"/>
    </row>
    <row r="353" ht="15" customHeight="1">
      <c r="A353" t="inlineStr">
        <is>
          <t>A 37276-2020</t>
        </is>
      </c>
      <c r="B353" s="1" t="n">
        <v>44055</v>
      </c>
      <c r="C353" s="1" t="n">
        <v>45507</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37669-2020</t>
        </is>
      </c>
      <c r="B354" s="1" t="n">
        <v>44056</v>
      </c>
      <c r="C354" s="1" t="n">
        <v>45507</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39233-2020</t>
        </is>
      </c>
      <c r="B355" s="1" t="n">
        <v>44063</v>
      </c>
      <c r="C355" s="1" t="n">
        <v>45507</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39178-2020</t>
        </is>
      </c>
      <c r="B356" s="1" t="n">
        <v>44063</v>
      </c>
      <c r="C356" s="1" t="n">
        <v>45507</v>
      </c>
      <c r="D356" t="inlineStr">
        <is>
          <t>UPPSALA LÄN</t>
        </is>
      </c>
      <c r="E356" t="inlineStr">
        <is>
          <t>UPPSALA</t>
        </is>
      </c>
      <c r="F356" t="inlineStr">
        <is>
          <t>Bergvik skog öst AB</t>
        </is>
      </c>
      <c r="G356" t="n">
        <v>2.6</v>
      </c>
      <c r="H356" t="n">
        <v>0</v>
      </c>
      <c r="I356" t="n">
        <v>0</v>
      </c>
      <c r="J356" t="n">
        <v>0</v>
      </c>
      <c r="K356" t="n">
        <v>0</v>
      </c>
      <c r="L356" t="n">
        <v>0</v>
      </c>
      <c r="M356" t="n">
        <v>0</v>
      </c>
      <c r="N356" t="n">
        <v>0</v>
      </c>
      <c r="O356" t="n">
        <v>0</v>
      </c>
      <c r="P356" t="n">
        <v>0</v>
      </c>
      <c r="Q356" t="n">
        <v>0</v>
      </c>
      <c r="R356" s="2" t="inlineStr"/>
    </row>
    <row r="357" ht="15" customHeight="1">
      <c r="A357" t="inlineStr">
        <is>
          <t>A 39236-2020</t>
        </is>
      </c>
      <c r="B357" s="1" t="n">
        <v>44063</v>
      </c>
      <c r="C357" s="1" t="n">
        <v>45507</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39272-2020</t>
        </is>
      </c>
      <c r="B358" s="1" t="n">
        <v>44063</v>
      </c>
      <c r="C358" s="1" t="n">
        <v>45507</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40894-2020</t>
        </is>
      </c>
      <c r="B359" s="1" t="n">
        <v>44070</v>
      </c>
      <c r="C359" s="1" t="n">
        <v>45507</v>
      </c>
      <c r="D359" t="inlineStr">
        <is>
          <t>UPPSALA LÄN</t>
        </is>
      </c>
      <c r="E359" t="inlineStr">
        <is>
          <t>UPPSALA</t>
        </is>
      </c>
      <c r="G359" t="n">
        <v>7.1</v>
      </c>
      <c r="H359" t="n">
        <v>0</v>
      </c>
      <c r="I359" t="n">
        <v>0</v>
      </c>
      <c r="J359" t="n">
        <v>0</v>
      </c>
      <c r="K359" t="n">
        <v>0</v>
      </c>
      <c r="L359" t="n">
        <v>0</v>
      </c>
      <c r="M359" t="n">
        <v>0</v>
      </c>
      <c r="N359" t="n">
        <v>0</v>
      </c>
      <c r="O359" t="n">
        <v>0</v>
      </c>
      <c r="P359" t="n">
        <v>0</v>
      </c>
      <c r="Q359" t="n">
        <v>0</v>
      </c>
      <c r="R359" s="2" t="inlineStr"/>
    </row>
    <row r="360" ht="15" customHeight="1">
      <c r="A360" t="inlineStr">
        <is>
          <t>A 42341-2020</t>
        </is>
      </c>
      <c r="B360" s="1" t="n">
        <v>44076</v>
      </c>
      <c r="C360" s="1" t="n">
        <v>45507</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43968-2020</t>
        </is>
      </c>
      <c r="B361" s="1" t="n">
        <v>44083</v>
      </c>
      <c r="C361" s="1" t="n">
        <v>45507</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45930-2020</t>
        </is>
      </c>
      <c r="B362" s="1" t="n">
        <v>44091</v>
      </c>
      <c r="C362" s="1" t="n">
        <v>45507</v>
      </c>
      <c r="D362" t="inlineStr">
        <is>
          <t>UPPSALA LÄN</t>
        </is>
      </c>
      <c r="E362" t="inlineStr">
        <is>
          <t>UPPSALA</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46633-2020</t>
        </is>
      </c>
      <c r="B363" s="1" t="n">
        <v>44095</v>
      </c>
      <c r="C363" s="1" t="n">
        <v>45507</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46647-2020</t>
        </is>
      </c>
      <c r="B364" s="1" t="n">
        <v>44095</v>
      </c>
      <c r="C364" s="1" t="n">
        <v>45507</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48786-2020</t>
        </is>
      </c>
      <c r="B365" s="1" t="n">
        <v>44103</v>
      </c>
      <c r="C365" s="1" t="n">
        <v>45507</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49363-2020</t>
        </is>
      </c>
      <c r="B366" s="1" t="n">
        <v>44105</v>
      </c>
      <c r="C366" s="1" t="n">
        <v>45507</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49409-2020</t>
        </is>
      </c>
      <c r="B367" s="1" t="n">
        <v>44105</v>
      </c>
      <c r="C367" s="1" t="n">
        <v>45507</v>
      </c>
      <c r="D367" t="inlineStr">
        <is>
          <t>UPPSALA LÄN</t>
        </is>
      </c>
      <c r="E367" t="inlineStr">
        <is>
          <t>UPPSALA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49404-2020</t>
        </is>
      </c>
      <c r="B368" s="1" t="n">
        <v>44105</v>
      </c>
      <c r="C368" s="1" t="n">
        <v>45507</v>
      </c>
      <c r="D368" t="inlineStr">
        <is>
          <t>UPPSALA LÄN</t>
        </is>
      </c>
      <c r="E368" t="inlineStr">
        <is>
          <t>UPPSALA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49821-2020</t>
        </is>
      </c>
      <c r="B369" s="1" t="n">
        <v>44106</v>
      </c>
      <c r="C369" s="1" t="n">
        <v>45507</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49931-2020</t>
        </is>
      </c>
      <c r="B370" s="1" t="n">
        <v>44109</v>
      </c>
      <c r="C370" s="1" t="n">
        <v>45507</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52717-2020</t>
        </is>
      </c>
      <c r="B371" s="1" t="n">
        <v>44119</v>
      </c>
      <c r="C371" s="1" t="n">
        <v>45507</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53346-2020</t>
        </is>
      </c>
      <c r="B372" s="1" t="n">
        <v>44123</v>
      </c>
      <c r="C372" s="1" t="n">
        <v>45507</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53379-2020</t>
        </is>
      </c>
      <c r="B373" s="1" t="n">
        <v>44123</v>
      </c>
      <c r="C373" s="1" t="n">
        <v>45507</v>
      </c>
      <c r="D373" t="inlineStr">
        <is>
          <t>UPPSALA LÄN</t>
        </is>
      </c>
      <c r="E373" t="inlineStr">
        <is>
          <t>UPPSALA</t>
        </is>
      </c>
      <c r="G373" t="n">
        <v>2.6</v>
      </c>
      <c r="H373" t="n">
        <v>0</v>
      </c>
      <c r="I373" t="n">
        <v>0</v>
      </c>
      <c r="J373" t="n">
        <v>0</v>
      </c>
      <c r="K373" t="n">
        <v>0</v>
      </c>
      <c r="L373" t="n">
        <v>0</v>
      </c>
      <c r="M373" t="n">
        <v>0</v>
      </c>
      <c r="N373" t="n">
        <v>0</v>
      </c>
      <c r="O373" t="n">
        <v>0</v>
      </c>
      <c r="P373" t="n">
        <v>0</v>
      </c>
      <c r="Q373" t="n">
        <v>0</v>
      </c>
      <c r="R373" s="2" t="inlineStr"/>
    </row>
    <row r="374" ht="15" customHeight="1">
      <c r="A374" t="inlineStr">
        <is>
          <t>A 54742-2020</t>
        </is>
      </c>
      <c r="B374" s="1" t="n">
        <v>44126</v>
      </c>
      <c r="C374" s="1" t="n">
        <v>45507</v>
      </c>
      <c r="D374" t="inlineStr">
        <is>
          <t>UPPSALA LÄN</t>
        </is>
      </c>
      <c r="E374" t="inlineStr">
        <is>
          <t>UPPSALA</t>
        </is>
      </c>
      <c r="G374" t="n">
        <v>3.6</v>
      </c>
      <c r="H374" t="n">
        <v>0</v>
      </c>
      <c r="I374" t="n">
        <v>0</v>
      </c>
      <c r="J374" t="n">
        <v>0</v>
      </c>
      <c r="K374" t="n">
        <v>0</v>
      </c>
      <c r="L374" t="n">
        <v>0</v>
      </c>
      <c r="M374" t="n">
        <v>0</v>
      </c>
      <c r="N374" t="n">
        <v>0</v>
      </c>
      <c r="O374" t="n">
        <v>0</v>
      </c>
      <c r="P374" t="n">
        <v>0</v>
      </c>
      <c r="Q374" t="n">
        <v>0</v>
      </c>
      <c r="R374" s="2" t="inlineStr"/>
    </row>
    <row r="375" ht="15" customHeight="1">
      <c r="A375" t="inlineStr">
        <is>
          <t>A 55220-2020</t>
        </is>
      </c>
      <c r="B375" s="1" t="n">
        <v>44130</v>
      </c>
      <c r="C375" s="1" t="n">
        <v>45507</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55953-2020</t>
        </is>
      </c>
      <c r="B376" s="1" t="n">
        <v>44131</v>
      </c>
      <c r="C376" s="1" t="n">
        <v>45507</v>
      </c>
      <c r="D376" t="inlineStr">
        <is>
          <t>UPPSALA LÄN</t>
        </is>
      </c>
      <c r="E376" t="inlineStr">
        <is>
          <t>UPPSALA</t>
        </is>
      </c>
      <c r="F376" t="inlineStr">
        <is>
          <t>Allmännings- och besparingsskogar</t>
        </is>
      </c>
      <c r="G376" t="n">
        <v>74.40000000000001</v>
      </c>
      <c r="H376" t="n">
        <v>0</v>
      </c>
      <c r="I376" t="n">
        <v>0</v>
      </c>
      <c r="J376" t="n">
        <v>0</v>
      </c>
      <c r="K376" t="n">
        <v>0</v>
      </c>
      <c r="L376" t="n">
        <v>0</v>
      </c>
      <c r="M376" t="n">
        <v>0</v>
      </c>
      <c r="N376" t="n">
        <v>0</v>
      </c>
      <c r="O376" t="n">
        <v>0</v>
      </c>
      <c r="P376" t="n">
        <v>0</v>
      </c>
      <c r="Q376" t="n">
        <v>0</v>
      </c>
      <c r="R376" s="2" t="inlineStr"/>
    </row>
    <row r="377" ht="15" customHeight="1">
      <c r="A377" t="inlineStr">
        <is>
          <t>A 56097-2020</t>
        </is>
      </c>
      <c r="B377" s="1" t="n">
        <v>44131</v>
      </c>
      <c r="C377" s="1" t="n">
        <v>45507</v>
      </c>
      <c r="D377" t="inlineStr">
        <is>
          <t>UPPSALA LÄN</t>
        </is>
      </c>
      <c r="E377" t="inlineStr">
        <is>
          <t>UPPSALA</t>
        </is>
      </c>
      <c r="F377" t="inlineStr">
        <is>
          <t>Allmännings- och besparingsskogar</t>
        </is>
      </c>
      <c r="G377" t="n">
        <v>10.6</v>
      </c>
      <c r="H377" t="n">
        <v>0</v>
      </c>
      <c r="I377" t="n">
        <v>0</v>
      </c>
      <c r="J377" t="n">
        <v>0</v>
      </c>
      <c r="K377" t="n">
        <v>0</v>
      </c>
      <c r="L377" t="n">
        <v>0</v>
      </c>
      <c r="M377" t="n">
        <v>0</v>
      </c>
      <c r="N377" t="n">
        <v>0</v>
      </c>
      <c r="O377" t="n">
        <v>0</v>
      </c>
      <c r="P377" t="n">
        <v>0</v>
      </c>
      <c r="Q377" t="n">
        <v>0</v>
      </c>
      <c r="R377" s="2" t="inlineStr"/>
    </row>
    <row r="378" ht="15" customHeight="1">
      <c r="A378" t="inlineStr">
        <is>
          <t>A 56466-2020</t>
        </is>
      </c>
      <c r="B378" s="1" t="n">
        <v>44134</v>
      </c>
      <c r="C378" s="1" t="n">
        <v>45507</v>
      </c>
      <c r="D378" t="inlineStr">
        <is>
          <t>UPPSALA LÄN</t>
        </is>
      </c>
      <c r="E378" t="inlineStr">
        <is>
          <t>UPPSALA</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57041-2020</t>
        </is>
      </c>
      <c r="B379" s="1" t="n">
        <v>44137</v>
      </c>
      <c r="C379" s="1" t="n">
        <v>45507</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57271-2020</t>
        </is>
      </c>
      <c r="B380" s="1" t="n">
        <v>44139</v>
      </c>
      <c r="C380" s="1" t="n">
        <v>45507</v>
      </c>
      <c r="D380" t="inlineStr">
        <is>
          <t>UPPSALA LÄN</t>
        </is>
      </c>
      <c r="E380" t="inlineStr">
        <is>
          <t>UPPSALA</t>
        </is>
      </c>
      <c r="G380" t="n">
        <v>3.8</v>
      </c>
      <c r="H380" t="n">
        <v>0</v>
      </c>
      <c r="I380" t="n">
        <v>0</v>
      </c>
      <c r="J380" t="n">
        <v>0</v>
      </c>
      <c r="K380" t="n">
        <v>0</v>
      </c>
      <c r="L380" t="n">
        <v>0</v>
      </c>
      <c r="M380" t="n">
        <v>0</v>
      </c>
      <c r="N380" t="n">
        <v>0</v>
      </c>
      <c r="O380" t="n">
        <v>0</v>
      </c>
      <c r="P380" t="n">
        <v>0</v>
      </c>
      <c r="Q380" t="n">
        <v>0</v>
      </c>
      <c r="R380" s="2" t="inlineStr"/>
    </row>
    <row r="381" ht="15" customHeight="1">
      <c r="A381" t="inlineStr">
        <is>
          <t>A 57451-2020</t>
        </is>
      </c>
      <c r="B381" s="1" t="n">
        <v>44139</v>
      </c>
      <c r="C381" s="1" t="n">
        <v>45507</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57466-2020</t>
        </is>
      </c>
      <c r="B382" s="1" t="n">
        <v>44139</v>
      </c>
      <c r="C382" s="1" t="n">
        <v>45507</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58070-2020</t>
        </is>
      </c>
      <c r="B383" s="1" t="n">
        <v>44140</v>
      </c>
      <c r="C383" s="1" t="n">
        <v>45507</v>
      </c>
      <c r="D383" t="inlineStr">
        <is>
          <t>UPPSALA LÄN</t>
        </is>
      </c>
      <c r="E383" t="inlineStr">
        <is>
          <t>UPPSALA</t>
        </is>
      </c>
      <c r="G383" t="n">
        <v>4</v>
      </c>
      <c r="H383" t="n">
        <v>0</v>
      </c>
      <c r="I383" t="n">
        <v>0</v>
      </c>
      <c r="J383" t="n">
        <v>0</v>
      </c>
      <c r="K383" t="n">
        <v>0</v>
      </c>
      <c r="L383" t="n">
        <v>0</v>
      </c>
      <c r="M383" t="n">
        <v>0</v>
      </c>
      <c r="N383" t="n">
        <v>0</v>
      </c>
      <c r="O383" t="n">
        <v>0</v>
      </c>
      <c r="P383" t="n">
        <v>0</v>
      </c>
      <c r="Q383" t="n">
        <v>0</v>
      </c>
      <c r="R383" s="2" t="inlineStr"/>
    </row>
    <row r="384" ht="15" customHeight="1">
      <c r="A384" t="inlineStr">
        <is>
          <t>A 58058-2020</t>
        </is>
      </c>
      <c r="B384" s="1" t="n">
        <v>44144</v>
      </c>
      <c r="C384" s="1" t="n">
        <v>45507</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58056-2020</t>
        </is>
      </c>
      <c r="B385" s="1" t="n">
        <v>44144</v>
      </c>
      <c r="C385" s="1" t="n">
        <v>45507</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58288-2020</t>
        </is>
      </c>
      <c r="B386" s="1" t="n">
        <v>44144</v>
      </c>
      <c r="C386" s="1" t="n">
        <v>45507</v>
      </c>
      <c r="D386" t="inlineStr">
        <is>
          <t>UPPSALA LÄN</t>
        </is>
      </c>
      <c r="E386" t="inlineStr">
        <is>
          <t>UPPSALA</t>
        </is>
      </c>
      <c r="G386" t="n">
        <v>0.3</v>
      </c>
      <c r="H386" t="n">
        <v>0</v>
      </c>
      <c r="I386" t="n">
        <v>0</v>
      </c>
      <c r="J386" t="n">
        <v>0</v>
      </c>
      <c r="K386" t="n">
        <v>0</v>
      </c>
      <c r="L386" t="n">
        <v>0</v>
      </c>
      <c r="M386" t="n">
        <v>0</v>
      </c>
      <c r="N386" t="n">
        <v>0</v>
      </c>
      <c r="O386" t="n">
        <v>0</v>
      </c>
      <c r="P386" t="n">
        <v>0</v>
      </c>
      <c r="Q386" t="n">
        <v>0</v>
      </c>
      <c r="R386" s="2" t="inlineStr"/>
    </row>
    <row r="387" ht="15" customHeight="1">
      <c r="A387" t="inlineStr">
        <is>
          <t>A 58928-2020</t>
        </is>
      </c>
      <c r="B387" s="1" t="n">
        <v>44146</v>
      </c>
      <c r="C387" s="1" t="n">
        <v>45507</v>
      </c>
      <c r="D387" t="inlineStr">
        <is>
          <t>UPPSALA LÄN</t>
        </is>
      </c>
      <c r="E387" t="inlineStr">
        <is>
          <t>UPPSALA</t>
        </is>
      </c>
      <c r="G387" t="n">
        <v>10.6</v>
      </c>
      <c r="H387" t="n">
        <v>0</v>
      </c>
      <c r="I387" t="n">
        <v>0</v>
      </c>
      <c r="J387" t="n">
        <v>0</v>
      </c>
      <c r="K387" t="n">
        <v>0</v>
      </c>
      <c r="L387" t="n">
        <v>0</v>
      </c>
      <c r="M387" t="n">
        <v>0</v>
      </c>
      <c r="N387" t="n">
        <v>0</v>
      </c>
      <c r="O387" t="n">
        <v>0</v>
      </c>
      <c r="P387" t="n">
        <v>0</v>
      </c>
      <c r="Q387" t="n">
        <v>0</v>
      </c>
      <c r="R387" s="2" t="inlineStr"/>
    </row>
    <row r="388" ht="15" customHeight="1">
      <c r="A388" t="inlineStr">
        <is>
          <t>A 59952-2020</t>
        </is>
      </c>
      <c r="B388" s="1" t="n">
        <v>44151</v>
      </c>
      <c r="C388" s="1" t="n">
        <v>45507</v>
      </c>
      <c r="D388" t="inlineStr">
        <is>
          <t>UPPSALA LÄN</t>
        </is>
      </c>
      <c r="E388" t="inlineStr">
        <is>
          <t>UPPSALA</t>
        </is>
      </c>
      <c r="G388" t="n">
        <v>25.8</v>
      </c>
      <c r="H388" t="n">
        <v>0</v>
      </c>
      <c r="I388" t="n">
        <v>0</v>
      </c>
      <c r="J388" t="n">
        <v>0</v>
      </c>
      <c r="K388" t="n">
        <v>0</v>
      </c>
      <c r="L388" t="n">
        <v>0</v>
      </c>
      <c r="M388" t="n">
        <v>0</v>
      </c>
      <c r="N388" t="n">
        <v>0</v>
      </c>
      <c r="O388" t="n">
        <v>0</v>
      </c>
      <c r="P388" t="n">
        <v>0</v>
      </c>
      <c r="Q388" t="n">
        <v>0</v>
      </c>
      <c r="R388" s="2" t="inlineStr"/>
    </row>
    <row r="389" ht="15" customHeight="1">
      <c r="A389" t="inlineStr">
        <is>
          <t>A 60702-2020</t>
        </is>
      </c>
      <c r="B389" s="1" t="n">
        <v>44153</v>
      </c>
      <c r="C389" s="1" t="n">
        <v>45507</v>
      </c>
      <c r="D389" t="inlineStr">
        <is>
          <t>UPPSALA LÄN</t>
        </is>
      </c>
      <c r="E389" t="inlineStr">
        <is>
          <t>UPPSALA</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61265-2020</t>
        </is>
      </c>
      <c r="B390" s="1" t="n">
        <v>44155</v>
      </c>
      <c r="C390" s="1" t="n">
        <v>45507</v>
      </c>
      <c r="D390" t="inlineStr">
        <is>
          <t>UPPSALA LÄN</t>
        </is>
      </c>
      <c r="E390" t="inlineStr">
        <is>
          <t>UPPSALA</t>
        </is>
      </c>
      <c r="G390" t="n">
        <v>4.7</v>
      </c>
      <c r="H390" t="n">
        <v>0</v>
      </c>
      <c r="I390" t="n">
        <v>0</v>
      </c>
      <c r="J390" t="n">
        <v>0</v>
      </c>
      <c r="K390" t="n">
        <v>0</v>
      </c>
      <c r="L390" t="n">
        <v>0</v>
      </c>
      <c r="M390" t="n">
        <v>0</v>
      </c>
      <c r="N390" t="n">
        <v>0</v>
      </c>
      <c r="O390" t="n">
        <v>0</v>
      </c>
      <c r="P390" t="n">
        <v>0</v>
      </c>
      <c r="Q390" t="n">
        <v>0</v>
      </c>
      <c r="R390" s="2" t="inlineStr"/>
    </row>
    <row r="391" ht="15" customHeight="1">
      <c r="A391" t="inlineStr">
        <is>
          <t>A 61271-2020</t>
        </is>
      </c>
      <c r="B391" s="1" t="n">
        <v>44155</v>
      </c>
      <c r="C391" s="1" t="n">
        <v>45507</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62094-2020</t>
        </is>
      </c>
      <c r="B392" s="1" t="n">
        <v>44159</v>
      </c>
      <c r="C392" s="1" t="n">
        <v>45507</v>
      </c>
      <c r="D392" t="inlineStr">
        <is>
          <t>UPPSALA LÄN</t>
        </is>
      </c>
      <c r="E392" t="inlineStr">
        <is>
          <t>UPPSALA</t>
        </is>
      </c>
      <c r="F392" t="inlineStr">
        <is>
          <t>Bergvik skog öst AB</t>
        </is>
      </c>
      <c r="G392" t="n">
        <v>3.4</v>
      </c>
      <c r="H392" t="n">
        <v>0</v>
      </c>
      <c r="I392" t="n">
        <v>0</v>
      </c>
      <c r="J392" t="n">
        <v>0</v>
      </c>
      <c r="K392" t="n">
        <v>0</v>
      </c>
      <c r="L392" t="n">
        <v>0</v>
      </c>
      <c r="M392" t="n">
        <v>0</v>
      </c>
      <c r="N392" t="n">
        <v>0</v>
      </c>
      <c r="O392" t="n">
        <v>0</v>
      </c>
      <c r="P392" t="n">
        <v>0</v>
      </c>
      <c r="Q392" t="n">
        <v>0</v>
      </c>
      <c r="R392" s="2" t="inlineStr"/>
    </row>
    <row r="393" ht="15" customHeight="1">
      <c r="A393" t="inlineStr">
        <is>
          <t>A 62352-2020</t>
        </is>
      </c>
      <c r="B393" s="1" t="n">
        <v>44159</v>
      </c>
      <c r="C393" s="1" t="n">
        <v>45507</v>
      </c>
      <c r="D393" t="inlineStr">
        <is>
          <t>UPPSALA LÄN</t>
        </is>
      </c>
      <c r="E393" t="inlineStr">
        <is>
          <t>UPPSALA</t>
        </is>
      </c>
      <c r="F393" t="inlineStr">
        <is>
          <t>Allmännings- och besparingsskogar</t>
        </is>
      </c>
      <c r="G393" t="n">
        <v>12.9</v>
      </c>
      <c r="H393" t="n">
        <v>0</v>
      </c>
      <c r="I393" t="n">
        <v>0</v>
      </c>
      <c r="J393" t="n">
        <v>0</v>
      </c>
      <c r="K393" t="n">
        <v>0</v>
      </c>
      <c r="L393" t="n">
        <v>0</v>
      </c>
      <c r="M393" t="n">
        <v>0</v>
      </c>
      <c r="N393" t="n">
        <v>0</v>
      </c>
      <c r="O393" t="n">
        <v>0</v>
      </c>
      <c r="P393" t="n">
        <v>0</v>
      </c>
      <c r="Q393" t="n">
        <v>0</v>
      </c>
      <c r="R393" s="2" t="inlineStr"/>
    </row>
    <row r="394" ht="15" customHeight="1">
      <c r="A394" t="inlineStr">
        <is>
          <t>A 62504-2020</t>
        </is>
      </c>
      <c r="B394" s="1" t="n">
        <v>44160</v>
      </c>
      <c r="C394" s="1" t="n">
        <v>45507</v>
      </c>
      <c r="D394" t="inlineStr">
        <is>
          <t>UPPSALA LÄN</t>
        </is>
      </c>
      <c r="E394" t="inlineStr">
        <is>
          <t>UPPSALA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62729-2020</t>
        </is>
      </c>
      <c r="B395" s="1" t="n">
        <v>44161</v>
      </c>
      <c r="C395" s="1" t="n">
        <v>45507</v>
      </c>
      <c r="D395" t="inlineStr">
        <is>
          <t>UPPSALA LÄN</t>
        </is>
      </c>
      <c r="E395" t="inlineStr">
        <is>
          <t>UPPSALA</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62655-2020</t>
        </is>
      </c>
      <c r="B396" s="1" t="n">
        <v>44161</v>
      </c>
      <c r="C396" s="1" t="n">
        <v>45507</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63145-2020</t>
        </is>
      </c>
      <c r="B397" s="1" t="n">
        <v>44162</v>
      </c>
      <c r="C397" s="1" t="n">
        <v>45507</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63529-2020</t>
        </is>
      </c>
      <c r="B398" s="1" t="n">
        <v>44165</v>
      </c>
      <c r="C398" s="1" t="n">
        <v>45507</v>
      </c>
      <c r="D398" t="inlineStr">
        <is>
          <t>UPPSALA LÄN</t>
        </is>
      </c>
      <c r="E398" t="inlineStr">
        <is>
          <t>UPPSALA</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63749-2020</t>
        </is>
      </c>
      <c r="B399" s="1" t="n">
        <v>44166</v>
      </c>
      <c r="C399" s="1" t="n">
        <v>45507</v>
      </c>
      <c r="D399" t="inlineStr">
        <is>
          <t>UPPSALA LÄN</t>
        </is>
      </c>
      <c r="E399" t="inlineStr">
        <is>
          <t>UPPSALA</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64128-2020</t>
        </is>
      </c>
      <c r="B400" s="1" t="n">
        <v>44167</v>
      </c>
      <c r="C400" s="1" t="n">
        <v>45507</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64353-2020</t>
        </is>
      </c>
      <c r="B401" s="1" t="n">
        <v>44168</v>
      </c>
      <c r="C401" s="1" t="n">
        <v>45507</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64333-2020</t>
        </is>
      </c>
      <c r="B402" s="1" t="n">
        <v>44168</v>
      </c>
      <c r="C402" s="1" t="n">
        <v>45507</v>
      </c>
      <c r="D402" t="inlineStr">
        <is>
          <t>UPPSALA LÄN</t>
        </is>
      </c>
      <c r="E402" t="inlineStr">
        <is>
          <t>UPPSALA</t>
        </is>
      </c>
      <c r="G402" t="n">
        <v>7.1</v>
      </c>
      <c r="H402" t="n">
        <v>0</v>
      </c>
      <c r="I402" t="n">
        <v>0</v>
      </c>
      <c r="J402" t="n">
        <v>0</v>
      </c>
      <c r="K402" t="n">
        <v>0</v>
      </c>
      <c r="L402" t="n">
        <v>0</v>
      </c>
      <c r="M402" t="n">
        <v>0</v>
      </c>
      <c r="N402" t="n">
        <v>0</v>
      </c>
      <c r="O402" t="n">
        <v>0</v>
      </c>
      <c r="P402" t="n">
        <v>0</v>
      </c>
      <c r="Q402" t="n">
        <v>0</v>
      </c>
      <c r="R402" s="2" t="inlineStr"/>
    </row>
    <row r="403" ht="15" customHeight="1">
      <c r="A403" t="inlineStr">
        <is>
          <t>A 66984-2020</t>
        </is>
      </c>
      <c r="B403" s="1" t="n">
        <v>44180</v>
      </c>
      <c r="C403" s="1" t="n">
        <v>45507</v>
      </c>
      <c r="D403" t="inlineStr">
        <is>
          <t>UPPSALA LÄN</t>
        </is>
      </c>
      <c r="E403" t="inlineStr">
        <is>
          <t>UPPSALA</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265-2021</t>
        </is>
      </c>
      <c r="B404" s="1" t="n">
        <v>44200</v>
      </c>
      <c r="C404" s="1" t="n">
        <v>45507</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1020-2021</t>
        </is>
      </c>
      <c r="B405" s="1" t="n">
        <v>44207</v>
      </c>
      <c r="C405" s="1" t="n">
        <v>45507</v>
      </c>
      <c r="D405" t="inlineStr">
        <is>
          <t>UPPSALA LÄN</t>
        </is>
      </c>
      <c r="E405" t="inlineStr">
        <is>
          <t>UPPSALA</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1573-2021</t>
        </is>
      </c>
      <c r="B406" s="1" t="n">
        <v>44209</v>
      </c>
      <c r="C406" s="1" t="n">
        <v>45507</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1617-2021</t>
        </is>
      </c>
      <c r="B407" s="1" t="n">
        <v>44209</v>
      </c>
      <c r="C407" s="1" t="n">
        <v>45507</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1855-2021</t>
        </is>
      </c>
      <c r="B408" s="1" t="n">
        <v>44210</v>
      </c>
      <c r="C408" s="1" t="n">
        <v>45507</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2169-2021</t>
        </is>
      </c>
      <c r="B409" s="1" t="n">
        <v>44211</v>
      </c>
      <c r="C409" s="1" t="n">
        <v>45507</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3864-2021</t>
        </is>
      </c>
      <c r="B410" s="1" t="n">
        <v>44216</v>
      </c>
      <c r="C410" s="1" t="n">
        <v>45507</v>
      </c>
      <c r="D410" t="inlineStr">
        <is>
          <t>UPPSALA LÄN</t>
        </is>
      </c>
      <c r="E410" t="inlineStr">
        <is>
          <t>UPPSALA</t>
        </is>
      </c>
      <c r="G410" t="n">
        <v>2.9</v>
      </c>
      <c r="H410" t="n">
        <v>0</v>
      </c>
      <c r="I410" t="n">
        <v>0</v>
      </c>
      <c r="J410" t="n">
        <v>0</v>
      </c>
      <c r="K410" t="n">
        <v>0</v>
      </c>
      <c r="L410" t="n">
        <v>0</v>
      </c>
      <c r="M410" t="n">
        <v>0</v>
      </c>
      <c r="N410" t="n">
        <v>0</v>
      </c>
      <c r="O410" t="n">
        <v>0</v>
      </c>
      <c r="P410" t="n">
        <v>0</v>
      </c>
      <c r="Q410" t="n">
        <v>0</v>
      </c>
      <c r="R410" s="2" t="inlineStr"/>
    </row>
    <row r="411" ht="15" customHeight="1">
      <c r="A411" t="inlineStr">
        <is>
          <t>A 3874-2021</t>
        </is>
      </c>
      <c r="B411" s="1" t="n">
        <v>44216</v>
      </c>
      <c r="C411" s="1" t="n">
        <v>45507</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3955-2021</t>
        </is>
      </c>
      <c r="B412" s="1" t="n">
        <v>44222</v>
      </c>
      <c r="C412" s="1" t="n">
        <v>45507</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4875-2021</t>
        </is>
      </c>
      <c r="B413" s="1" t="n">
        <v>44223</v>
      </c>
      <c r="C413" s="1" t="n">
        <v>45507</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5663-2021</t>
        </is>
      </c>
      <c r="B414" s="1" t="n">
        <v>44230</v>
      </c>
      <c r="C414" s="1" t="n">
        <v>45507</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8114-2021</t>
        </is>
      </c>
      <c r="B415" s="1" t="n">
        <v>44243</v>
      </c>
      <c r="C415" s="1" t="n">
        <v>45507</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8494-2021</t>
        </is>
      </c>
      <c r="B416" s="1" t="n">
        <v>44245</v>
      </c>
      <c r="C416" s="1" t="n">
        <v>45507</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9700-2021</t>
        </is>
      </c>
      <c r="B417" s="1" t="n">
        <v>44252</v>
      </c>
      <c r="C417" s="1" t="n">
        <v>45507</v>
      </c>
      <c r="D417" t="inlineStr">
        <is>
          <t>UPPSALA LÄN</t>
        </is>
      </c>
      <c r="E417" t="inlineStr">
        <is>
          <t>UPPSALA</t>
        </is>
      </c>
      <c r="G417" t="n">
        <v>3.3</v>
      </c>
      <c r="H417" t="n">
        <v>0</v>
      </c>
      <c r="I417" t="n">
        <v>0</v>
      </c>
      <c r="J417" t="n">
        <v>0</v>
      </c>
      <c r="K417" t="n">
        <v>0</v>
      </c>
      <c r="L417" t="n">
        <v>0</v>
      </c>
      <c r="M417" t="n">
        <v>0</v>
      </c>
      <c r="N417" t="n">
        <v>0</v>
      </c>
      <c r="O417" t="n">
        <v>0</v>
      </c>
      <c r="P417" t="n">
        <v>0</v>
      </c>
      <c r="Q417" t="n">
        <v>0</v>
      </c>
      <c r="R417" s="2" t="inlineStr"/>
    </row>
    <row r="418" ht="15" customHeight="1">
      <c r="A418" t="inlineStr">
        <is>
          <t>A 9712-2021</t>
        </is>
      </c>
      <c r="B418" s="1" t="n">
        <v>44252</v>
      </c>
      <c r="C418" s="1" t="n">
        <v>45507</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12225-2021</t>
        </is>
      </c>
      <c r="B419" s="1" t="n">
        <v>44266</v>
      </c>
      <c r="C419" s="1" t="n">
        <v>45507</v>
      </c>
      <c r="D419" t="inlineStr">
        <is>
          <t>UPPSALA LÄN</t>
        </is>
      </c>
      <c r="E419" t="inlineStr">
        <is>
          <t>UPPSALA</t>
        </is>
      </c>
      <c r="F419" t="inlineStr">
        <is>
          <t>Bergvik skog öst AB</t>
        </is>
      </c>
      <c r="G419" t="n">
        <v>4.8</v>
      </c>
      <c r="H419" t="n">
        <v>0</v>
      </c>
      <c r="I419" t="n">
        <v>0</v>
      </c>
      <c r="J419" t="n">
        <v>0</v>
      </c>
      <c r="K419" t="n">
        <v>0</v>
      </c>
      <c r="L419" t="n">
        <v>0</v>
      </c>
      <c r="M419" t="n">
        <v>0</v>
      </c>
      <c r="N419" t="n">
        <v>0</v>
      </c>
      <c r="O419" t="n">
        <v>0</v>
      </c>
      <c r="P419" t="n">
        <v>0</v>
      </c>
      <c r="Q419" t="n">
        <v>0</v>
      </c>
      <c r="R419" s="2" t="inlineStr"/>
    </row>
    <row r="420" ht="15" customHeight="1">
      <c r="A420" t="inlineStr">
        <is>
          <t>A 12152-2021</t>
        </is>
      </c>
      <c r="B420" s="1" t="n">
        <v>44266</v>
      </c>
      <c r="C420" s="1" t="n">
        <v>45507</v>
      </c>
      <c r="D420" t="inlineStr">
        <is>
          <t>UPPSALA LÄN</t>
        </is>
      </c>
      <c r="E420" t="inlineStr">
        <is>
          <t>UPPSALA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12172-2021</t>
        </is>
      </c>
      <c r="B421" s="1" t="n">
        <v>44266</v>
      </c>
      <c r="C421" s="1" t="n">
        <v>45507</v>
      </c>
      <c r="D421" t="inlineStr">
        <is>
          <t>UPPSALA LÄN</t>
        </is>
      </c>
      <c r="E421" t="inlineStr">
        <is>
          <t>UPPSALA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12194-2021</t>
        </is>
      </c>
      <c r="B422" s="1" t="n">
        <v>44266</v>
      </c>
      <c r="C422" s="1" t="n">
        <v>45507</v>
      </c>
      <c r="D422" t="inlineStr">
        <is>
          <t>UPPSALA LÄN</t>
        </is>
      </c>
      <c r="E422" t="inlineStr">
        <is>
          <t>UPPSALA</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12313-2021</t>
        </is>
      </c>
      <c r="B423" s="1" t="n">
        <v>44266</v>
      </c>
      <c r="C423" s="1" t="n">
        <v>45507</v>
      </c>
      <c r="D423" t="inlineStr">
        <is>
          <t>UPPSALA LÄN</t>
        </is>
      </c>
      <c r="E423" t="inlineStr">
        <is>
          <t>UPPSALA</t>
        </is>
      </c>
      <c r="G423" t="n">
        <v>23.6</v>
      </c>
      <c r="H423" t="n">
        <v>0</v>
      </c>
      <c r="I423" t="n">
        <v>0</v>
      </c>
      <c r="J423" t="n">
        <v>0</v>
      </c>
      <c r="K423" t="n">
        <v>0</v>
      </c>
      <c r="L423" t="n">
        <v>0</v>
      </c>
      <c r="M423" t="n">
        <v>0</v>
      </c>
      <c r="N423" t="n">
        <v>0</v>
      </c>
      <c r="O423" t="n">
        <v>0</v>
      </c>
      <c r="P423" t="n">
        <v>0</v>
      </c>
      <c r="Q423" t="n">
        <v>0</v>
      </c>
      <c r="R423" s="2" t="inlineStr"/>
    </row>
    <row r="424" ht="15" customHeight="1">
      <c r="A424" t="inlineStr">
        <is>
          <t>A 13010-2021</t>
        </is>
      </c>
      <c r="B424" s="1" t="n">
        <v>44271</v>
      </c>
      <c r="C424" s="1" t="n">
        <v>45507</v>
      </c>
      <c r="D424" t="inlineStr">
        <is>
          <t>UPPSALA LÄN</t>
        </is>
      </c>
      <c r="E424" t="inlineStr">
        <is>
          <t>UPPSALA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13420-2021</t>
        </is>
      </c>
      <c r="B425" s="1" t="n">
        <v>44273</v>
      </c>
      <c r="C425" s="1" t="n">
        <v>45507</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14026-2021</t>
        </is>
      </c>
      <c r="B426" s="1" t="n">
        <v>44277</v>
      </c>
      <c r="C426" s="1" t="n">
        <v>45507</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14022-2021</t>
        </is>
      </c>
      <c r="B427" s="1" t="n">
        <v>44277</v>
      </c>
      <c r="C427" s="1" t="n">
        <v>45507</v>
      </c>
      <c r="D427" t="inlineStr">
        <is>
          <t>UPPSALA LÄN</t>
        </is>
      </c>
      <c r="E427" t="inlineStr">
        <is>
          <t>UPPSALA</t>
        </is>
      </c>
      <c r="G427" t="n">
        <v>11.1</v>
      </c>
      <c r="H427" t="n">
        <v>0</v>
      </c>
      <c r="I427" t="n">
        <v>0</v>
      </c>
      <c r="J427" t="n">
        <v>0</v>
      </c>
      <c r="K427" t="n">
        <v>0</v>
      </c>
      <c r="L427" t="n">
        <v>0</v>
      </c>
      <c r="M427" t="n">
        <v>0</v>
      </c>
      <c r="N427" t="n">
        <v>0</v>
      </c>
      <c r="O427" t="n">
        <v>0</v>
      </c>
      <c r="P427" t="n">
        <v>0</v>
      </c>
      <c r="Q427" t="n">
        <v>0</v>
      </c>
      <c r="R427" s="2" t="inlineStr"/>
    </row>
    <row r="428" ht="15" customHeight="1">
      <c r="A428" t="inlineStr">
        <is>
          <t>A 14341-2021</t>
        </is>
      </c>
      <c r="B428" s="1" t="n">
        <v>44279</v>
      </c>
      <c r="C428" s="1" t="n">
        <v>45507</v>
      </c>
      <c r="D428" t="inlineStr">
        <is>
          <t>UPPSALA LÄN</t>
        </is>
      </c>
      <c r="E428" t="inlineStr">
        <is>
          <t>UPPSALA</t>
        </is>
      </c>
      <c r="G428" t="n">
        <v>8.9</v>
      </c>
      <c r="H428" t="n">
        <v>0</v>
      </c>
      <c r="I428" t="n">
        <v>0</v>
      </c>
      <c r="J428" t="n">
        <v>0</v>
      </c>
      <c r="K428" t="n">
        <v>0</v>
      </c>
      <c r="L428" t="n">
        <v>0</v>
      </c>
      <c r="M428" t="n">
        <v>0</v>
      </c>
      <c r="N428" t="n">
        <v>0</v>
      </c>
      <c r="O428" t="n">
        <v>0</v>
      </c>
      <c r="P428" t="n">
        <v>0</v>
      </c>
      <c r="Q428" t="n">
        <v>0</v>
      </c>
      <c r="R428" s="2" t="inlineStr"/>
    </row>
    <row r="429" ht="15" customHeight="1">
      <c r="A429" t="inlineStr">
        <is>
          <t>A 14941-2021</t>
        </is>
      </c>
      <c r="B429" s="1" t="n">
        <v>44281</v>
      </c>
      <c r="C429" s="1" t="n">
        <v>45507</v>
      </c>
      <c r="D429" t="inlineStr">
        <is>
          <t>UPPSALA LÄN</t>
        </is>
      </c>
      <c r="E429" t="inlineStr">
        <is>
          <t>UPPSALA</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15816-2021</t>
        </is>
      </c>
      <c r="B430" s="1" t="n">
        <v>44286</v>
      </c>
      <c r="C430" s="1" t="n">
        <v>45507</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15820-2021</t>
        </is>
      </c>
      <c r="B431" s="1" t="n">
        <v>44286</v>
      </c>
      <c r="C431" s="1" t="n">
        <v>45507</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16592-2021</t>
        </is>
      </c>
      <c r="B432" s="1" t="n">
        <v>44294</v>
      </c>
      <c r="C432" s="1" t="n">
        <v>45507</v>
      </c>
      <c r="D432" t="inlineStr">
        <is>
          <t>UPPSALA LÄN</t>
        </is>
      </c>
      <c r="E432" t="inlineStr">
        <is>
          <t>UPPSALA</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16615-2021</t>
        </is>
      </c>
      <c r="B433" s="1" t="n">
        <v>44294</v>
      </c>
      <c r="C433" s="1" t="n">
        <v>45507</v>
      </c>
      <c r="D433" t="inlineStr">
        <is>
          <t>UPPSALA LÄN</t>
        </is>
      </c>
      <c r="E433" t="inlineStr">
        <is>
          <t>UPPSALA</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16684-2021</t>
        </is>
      </c>
      <c r="B434" s="1" t="n">
        <v>44294</v>
      </c>
      <c r="C434" s="1" t="n">
        <v>45507</v>
      </c>
      <c r="D434" t="inlineStr">
        <is>
          <t>UPPSALA LÄN</t>
        </is>
      </c>
      <c r="E434" t="inlineStr">
        <is>
          <t>UPPSALA</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17262-2021</t>
        </is>
      </c>
      <c r="B435" s="1" t="n">
        <v>44297</v>
      </c>
      <c r="C435" s="1" t="n">
        <v>45507</v>
      </c>
      <c r="D435" t="inlineStr">
        <is>
          <t>UPPSALA LÄN</t>
        </is>
      </c>
      <c r="E435" t="inlineStr">
        <is>
          <t>UPPSALA</t>
        </is>
      </c>
      <c r="F435" t="inlineStr">
        <is>
          <t>Allmännings- och besparingsskogar</t>
        </is>
      </c>
      <c r="G435" t="n">
        <v>1</v>
      </c>
      <c r="H435" t="n">
        <v>0</v>
      </c>
      <c r="I435" t="n">
        <v>0</v>
      </c>
      <c r="J435" t="n">
        <v>0</v>
      </c>
      <c r="K435" t="n">
        <v>0</v>
      </c>
      <c r="L435" t="n">
        <v>0</v>
      </c>
      <c r="M435" t="n">
        <v>0</v>
      </c>
      <c r="N435" t="n">
        <v>0</v>
      </c>
      <c r="O435" t="n">
        <v>0</v>
      </c>
      <c r="P435" t="n">
        <v>0</v>
      </c>
      <c r="Q435" t="n">
        <v>0</v>
      </c>
      <c r="R435" s="2" t="inlineStr"/>
    </row>
    <row r="436" ht="15" customHeight="1">
      <c r="A436" t="inlineStr">
        <is>
          <t>A 17250-2021</t>
        </is>
      </c>
      <c r="B436" s="1" t="n">
        <v>44297</v>
      </c>
      <c r="C436" s="1" t="n">
        <v>45507</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17536-2021</t>
        </is>
      </c>
      <c r="B437" s="1" t="n">
        <v>44299</v>
      </c>
      <c r="C437" s="1" t="n">
        <v>45507</v>
      </c>
      <c r="D437" t="inlineStr">
        <is>
          <t>UPPSALA LÄN</t>
        </is>
      </c>
      <c r="E437" t="inlineStr">
        <is>
          <t>UPPSALA</t>
        </is>
      </c>
      <c r="F437" t="inlineStr">
        <is>
          <t>Holmen skog AB</t>
        </is>
      </c>
      <c r="G437" t="n">
        <v>7.6</v>
      </c>
      <c r="H437" t="n">
        <v>0</v>
      </c>
      <c r="I437" t="n">
        <v>0</v>
      </c>
      <c r="J437" t="n">
        <v>0</v>
      </c>
      <c r="K437" t="n">
        <v>0</v>
      </c>
      <c r="L437" t="n">
        <v>0</v>
      </c>
      <c r="M437" t="n">
        <v>0</v>
      </c>
      <c r="N437" t="n">
        <v>0</v>
      </c>
      <c r="O437" t="n">
        <v>0</v>
      </c>
      <c r="P437" t="n">
        <v>0</v>
      </c>
      <c r="Q437" t="n">
        <v>0</v>
      </c>
      <c r="R437" s="2" t="inlineStr"/>
    </row>
    <row r="438" ht="15" customHeight="1">
      <c r="A438" t="inlineStr">
        <is>
          <t>A 18906-2021</t>
        </is>
      </c>
      <c r="B438" s="1" t="n">
        <v>44308</v>
      </c>
      <c r="C438" s="1" t="n">
        <v>45507</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19927-2021</t>
        </is>
      </c>
      <c r="B439" s="1" t="n">
        <v>44313</v>
      </c>
      <c r="C439" s="1" t="n">
        <v>45507</v>
      </c>
      <c r="D439" t="inlineStr">
        <is>
          <t>UPPSALA LÄN</t>
        </is>
      </c>
      <c r="E439" t="inlineStr">
        <is>
          <t>UPPSALA</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19947-2021</t>
        </is>
      </c>
      <c r="B440" s="1" t="n">
        <v>44313</v>
      </c>
      <c r="C440" s="1" t="n">
        <v>45507</v>
      </c>
      <c r="D440" t="inlineStr">
        <is>
          <t>UPPSALA LÄN</t>
        </is>
      </c>
      <c r="E440" t="inlineStr">
        <is>
          <t>UPPSALA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20276-2021</t>
        </is>
      </c>
      <c r="B441" s="1" t="n">
        <v>44314</v>
      </c>
      <c r="C441" s="1" t="n">
        <v>45507</v>
      </c>
      <c r="D441" t="inlineStr">
        <is>
          <t>UPPSALA LÄN</t>
        </is>
      </c>
      <c r="E441" t="inlineStr">
        <is>
          <t>UPPSALA</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20271-2021</t>
        </is>
      </c>
      <c r="B442" s="1" t="n">
        <v>44314</v>
      </c>
      <c r="C442" s="1" t="n">
        <v>45507</v>
      </c>
      <c r="D442" t="inlineStr">
        <is>
          <t>UPPSALA LÄN</t>
        </is>
      </c>
      <c r="E442" t="inlineStr">
        <is>
          <t>UPPSALA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20609-2021</t>
        </is>
      </c>
      <c r="B443" s="1" t="n">
        <v>44316</v>
      </c>
      <c r="C443" s="1" t="n">
        <v>45507</v>
      </c>
      <c r="D443" t="inlineStr">
        <is>
          <t>UPPSALA LÄN</t>
        </is>
      </c>
      <c r="E443" t="inlineStr">
        <is>
          <t>UPPSALA</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22070-2021</t>
        </is>
      </c>
      <c r="B444" s="1" t="n">
        <v>44323</v>
      </c>
      <c r="C444" s="1" t="n">
        <v>45507</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22946-2021</t>
        </is>
      </c>
      <c r="B445" s="1" t="n">
        <v>44328</v>
      </c>
      <c r="C445" s="1" t="n">
        <v>45507</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23877-2021</t>
        </is>
      </c>
      <c r="B446" s="1" t="n">
        <v>44335</v>
      </c>
      <c r="C446" s="1" t="n">
        <v>45507</v>
      </c>
      <c r="D446" t="inlineStr">
        <is>
          <t>UPPSALA LÄN</t>
        </is>
      </c>
      <c r="E446" t="inlineStr">
        <is>
          <t>UPPSALA</t>
        </is>
      </c>
      <c r="G446" t="n">
        <v>0.6</v>
      </c>
      <c r="H446" t="n">
        <v>0</v>
      </c>
      <c r="I446" t="n">
        <v>0</v>
      </c>
      <c r="J446" t="n">
        <v>0</v>
      </c>
      <c r="K446" t="n">
        <v>0</v>
      </c>
      <c r="L446" t="n">
        <v>0</v>
      </c>
      <c r="M446" t="n">
        <v>0</v>
      </c>
      <c r="N446" t="n">
        <v>0</v>
      </c>
      <c r="O446" t="n">
        <v>0</v>
      </c>
      <c r="P446" t="n">
        <v>0</v>
      </c>
      <c r="Q446" t="n">
        <v>0</v>
      </c>
      <c r="R446" s="2" t="inlineStr"/>
    </row>
    <row r="447" ht="15" customHeight="1">
      <c r="A447" t="inlineStr">
        <is>
          <t>A 25613-2021</t>
        </is>
      </c>
      <c r="B447" s="1" t="n">
        <v>44343</v>
      </c>
      <c r="C447" s="1" t="n">
        <v>45507</v>
      </c>
      <c r="D447" t="inlineStr">
        <is>
          <t>UPPSALA LÄN</t>
        </is>
      </c>
      <c r="E447" t="inlineStr">
        <is>
          <t>UPPSALA</t>
        </is>
      </c>
      <c r="G447" t="n">
        <v>2.1</v>
      </c>
      <c r="H447" t="n">
        <v>0</v>
      </c>
      <c r="I447" t="n">
        <v>0</v>
      </c>
      <c r="J447" t="n">
        <v>0</v>
      </c>
      <c r="K447" t="n">
        <v>0</v>
      </c>
      <c r="L447" t="n">
        <v>0</v>
      </c>
      <c r="M447" t="n">
        <v>0</v>
      </c>
      <c r="N447" t="n">
        <v>0</v>
      </c>
      <c r="O447" t="n">
        <v>0</v>
      </c>
      <c r="P447" t="n">
        <v>0</v>
      </c>
      <c r="Q447" t="n">
        <v>0</v>
      </c>
      <c r="R447" s="2" t="inlineStr"/>
    </row>
    <row r="448" ht="15" customHeight="1">
      <c r="A448" t="inlineStr">
        <is>
          <t>A 26785-2021</t>
        </is>
      </c>
      <c r="B448" s="1" t="n">
        <v>44349</v>
      </c>
      <c r="C448" s="1" t="n">
        <v>45507</v>
      </c>
      <c r="D448" t="inlineStr">
        <is>
          <t>UPPSALA LÄN</t>
        </is>
      </c>
      <c r="E448" t="inlineStr">
        <is>
          <t>UPPSALA</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27365-2021</t>
        </is>
      </c>
      <c r="B449" s="1" t="n">
        <v>44351</v>
      </c>
      <c r="C449" s="1" t="n">
        <v>45507</v>
      </c>
      <c r="D449" t="inlineStr">
        <is>
          <t>UPPSALA LÄN</t>
        </is>
      </c>
      <c r="E449" t="inlineStr">
        <is>
          <t>UPPSALA</t>
        </is>
      </c>
      <c r="F449" t="inlineStr">
        <is>
          <t>Allmännings- och besparingsskogar</t>
        </is>
      </c>
      <c r="G449" t="n">
        <v>20.5</v>
      </c>
      <c r="H449" t="n">
        <v>0</v>
      </c>
      <c r="I449" t="n">
        <v>0</v>
      </c>
      <c r="J449" t="n">
        <v>0</v>
      </c>
      <c r="K449" t="n">
        <v>0</v>
      </c>
      <c r="L449" t="n">
        <v>0</v>
      </c>
      <c r="M449" t="n">
        <v>0</v>
      </c>
      <c r="N449" t="n">
        <v>0</v>
      </c>
      <c r="O449" t="n">
        <v>0</v>
      </c>
      <c r="P449" t="n">
        <v>0</v>
      </c>
      <c r="Q449" t="n">
        <v>0</v>
      </c>
      <c r="R449" s="2" t="inlineStr"/>
    </row>
    <row r="450" ht="15" customHeight="1">
      <c r="A450" t="inlineStr">
        <is>
          <t>A 28694-2021</t>
        </is>
      </c>
      <c r="B450" s="1" t="n">
        <v>44357</v>
      </c>
      <c r="C450" s="1" t="n">
        <v>45507</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29145-2021</t>
        </is>
      </c>
      <c r="B451" s="1" t="n">
        <v>44358</v>
      </c>
      <c r="C451" s="1" t="n">
        <v>45507</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30655-2021</t>
        </is>
      </c>
      <c r="B452" s="1" t="n">
        <v>44365</v>
      </c>
      <c r="C452" s="1" t="n">
        <v>45507</v>
      </c>
      <c r="D452" t="inlineStr">
        <is>
          <t>UPPSALA LÄN</t>
        </is>
      </c>
      <c r="E452" t="inlineStr">
        <is>
          <t>UPPSALA</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30656-2021</t>
        </is>
      </c>
      <c r="B453" s="1" t="n">
        <v>44365</v>
      </c>
      <c r="C453" s="1" t="n">
        <v>45507</v>
      </c>
      <c r="D453" t="inlineStr">
        <is>
          <t>UPPSALA LÄN</t>
        </is>
      </c>
      <c r="E453" t="inlineStr">
        <is>
          <t>UPPSALA</t>
        </is>
      </c>
      <c r="G453" t="n">
        <v>6.7</v>
      </c>
      <c r="H453" t="n">
        <v>0</v>
      </c>
      <c r="I453" t="n">
        <v>0</v>
      </c>
      <c r="J453" t="n">
        <v>0</v>
      </c>
      <c r="K453" t="n">
        <v>0</v>
      </c>
      <c r="L453" t="n">
        <v>0</v>
      </c>
      <c r="M453" t="n">
        <v>0</v>
      </c>
      <c r="N453" t="n">
        <v>0</v>
      </c>
      <c r="O453" t="n">
        <v>0</v>
      </c>
      <c r="P453" t="n">
        <v>0</v>
      </c>
      <c r="Q453" t="n">
        <v>0</v>
      </c>
      <c r="R453" s="2" t="inlineStr"/>
    </row>
    <row r="454" ht="15" customHeight="1">
      <c r="A454" t="inlineStr">
        <is>
          <t>A 31646-2021</t>
        </is>
      </c>
      <c r="B454" s="1" t="n">
        <v>44369</v>
      </c>
      <c r="C454" s="1" t="n">
        <v>45507</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31662-2021</t>
        </is>
      </c>
      <c r="B455" s="1" t="n">
        <v>44369</v>
      </c>
      <c r="C455" s="1" t="n">
        <v>45507</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31829-2021</t>
        </is>
      </c>
      <c r="B456" s="1" t="n">
        <v>44370</v>
      </c>
      <c r="C456" s="1" t="n">
        <v>45507</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32276-2021</t>
        </is>
      </c>
      <c r="B457" s="1" t="n">
        <v>44371</v>
      </c>
      <c r="C457" s="1" t="n">
        <v>45507</v>
      </c>
      <c r="D457" t="inlineStr">
        <is>
          <t>UPPSALA LÄN</t>
        </is>
      </c>
      <c r="E457" t="inlineStr">
        <is>
          <t>UPPSALA</t>
        </is>
      </c>
      <c r="G457" t="n">
        <v>3.7</v>
      </c>
      <c r="H457" t="n">
        <v>0</v>
      </c>
      <c r="I457" t="n">
        <v>0</v>
      </c>
      <c r="J457" t="n">
        <v>0</v>
      </c>
      <c r="K457" t="n">
        <v>0</v>
      </c>
      <c r="L457" t="n">
        <v>0</v>
      </c>
      <c r="M457" t="n">
        <v>0</v>
      </c>
      <c r="N457" t="n">
        <v>0</v>
      </c>
      <c r="O457" t="n">
        <v>0</v>
      </c>
      <c r="P457" t="n">
        <v>0</v>
      </c>
      <c r="Q457" t="n">
        <v>0</v>
      </c>
      <c r="R457" s="2" t="inlineStr"/>
    </row>
    <row r="458" ht="15" customHeight="1">
      <c r="A458" t="inlineStr">
        <is>
          <t>A 32428-2021</t>
        </is>
      </c>
      <c r="B458" s="1" t="n">
        <v>44371</v>
      </c>
      <c r="C458" s="1" t="n">
        <v>45507</v>
      </c>
      <c r="D458" t="inlineStr">
        <is>
          <t>UPPSALA LÄN</t>
        </is>
      </c>
      <c r="E458" t="inlineStr">
        <is>
          <t>UPPSALA</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32955-2021</t>
        </is>
      </c>
      <c r="B459" s="1" t="n">
        <v>44376</v>
      </c>
      <c r="C459" s="1" t="n">
        <v>45507</v>
      </c>
      <c r="D459" t="inlineStr">
        <is>
          <t>UPPSALA LÄN</t>
        </is>
      </c>
      <c r="E459" t="inlineStr">
        <is>
          <t>UPPSALA</t>
        </is>
      </c>
      <c r="F459" t="inlineStr">
        <is>
          <t>Bergvik skog öst AB</t>
        </is>
      </c>
      <c r="G459" t="n">
        <v>10</v>
      </c>
      <c r="H459" t="n">
        <v>0</v>
      </c>
      <c r="I459" t="n">
        <v>0</v>
      </c>
      <c r="J459" t="n">
        <v>0</v>
      </c>
      <c r="K459" t="n">
        <v>0</v>
      </c>
      <c r="L459" t="n">
        <v>0</v>
      </c>
      <c r="M459" t="n">
        <v>0</v>
      </c>
      <c r="N459" t="n">
        <v>0</v>
      </c>
      <c r="O459" t="n">
        <v>0</v>
      </c>
      <c r="P459" t="n">
        <v>0</v>
      </c>
      <c r="Q459" t="n">
        <v>0</v>
      </c>
      <c r="R459" s="2" t="inlineStr"/>
    </row>
    <row r="460" ht="15" customHeight="1">
      <c r="A460" t="inlineStr">
        <is>
          <t>A 33797-2021</t>
        </is>
      </c>
      <c r="B460" s="1" t="n">
        <v>44378</v>
      </c>
      <c r="C460" s="1" t="n">
        <v>45507</v>
      </c>
      <c r="D460" t="inlineStr">
        <is>
          <t>UPPSALA LÄN</t>
        </is>
      </c>
      <c r="E460" t="inlineStr">
        <is>
          <t>UPPSALA</t>
        </is>
      </c>
      <c r="G460" t="n">
        <v>1</v>
      </c>
      <c r="H460" t="n">
        <v>0</v>
      </c>
      <c r="I460" t="n">
        <v>0</v>
      </c>
      <c r="J460" t="n">
        <v>0</v>
      </c>
      <c r="K460" t="n">
        <v>0</v>
      </c>
      <c r="L460" t="n">
        <v>0</v>
      </c>
      <c r="M460" t="n">
        <v>0</v>
      </c>
      <c r="N460" t="n">
        <v>0</v>
      </c>
      <c r="O460" t="n">
        <v>0</v>
      </c>
      <c r="P460" t="n">
        <v>0</v>
      </c>
      <c r="Q460" t="n">
        <v>0</v>
      </c>
      <c r="R460" s="2" t="inlineStr"/>
    </row>
    <row r="461" ht="15" customHeight="1">
      <c r="A461" t="inlineStr">
        <is>
          <t>A 33920-2021</t>
        </is>
      </c>
      <c r="B461" s="1" t="n">
        <v>44378</v>
      </c>
      <c r="C461" s="1" t="n">
        <v>45507</v>
      </c>
      <c r="D461" t="inlineStr">
        <is>
          <t>UPPSALA LÄN</t>
        </is>
      </c>
      <c r="E461" t="inlineStr">
        <is>
          <t>UPPSALA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34020-2021</t>
        </is>
      </c>
      <c r="B462" s="1" t="n">
        <v>44379</v>
      </c>
      <c r="C462" s="1" t="n">
        <v>45507</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34039-2021</t>
        </is>
      </c>
      <c r="B463" s="1" t="n">
        <v>44379</v>
      </c>
      <c r="C463" s="1" t="n">
        <v>45507</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34043-2021</t>
        </is>
      </c>
      <c r="B464" s="1" t="n">
        <v>44379</v>
      </c>
      <c r="C464" s="1" t="n">
        <v>45507</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34265-2021</t>
        </is>
      </c>
      <c r="B465" s="1" t="n">
        <v>44379</v>
      </c>
      <c r="C465" s="1" t="n">
        <v>45507</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34249-2021</t>
        </is>
      </c>
      <c r="B466" s="1" t="n">
        <v>44379</v>
      </c>
      <c r="C466" s="1" t="n">
        <v>45507</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34243-2021</t>
        </is>
      </c>
      <c r="B467" s="1" t="n">
        <v>44379</v>
      </c>
      <c r="C467" s="1" t="n">
        <v>45507</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34263-2021</t>
        </is>
      </c>
      <c r="B468" s="1" t="n">
        <v>44379</v>
      </c>
      <c r="C468" s="1" t="n">
        <v>45507</v>
      </c>
      <c r="D468" t="inlineStr">
        <is>
          <t>UPPSALA LÄN</t>
        </is>
      </c>
      <c r="E468" t="inlineStr">
        <is>
          <t>UPPSALA</t>
        </is>
      </c>
      <c r="G468" t="n">
        <v>5.8</v>
      </c>
      <c r="H468" t="n">
        <v>0</v>
      </c>
      <c r="I468" t="n">
        <v>0</v>
      </c>
      <c r="J468" t="n">
        <v>0</v>
      </c>
      <c r="K468" t="n">
        <v>0</v>
      </c>
      <c r="L468" t="n">
        <v>0</v>
      </c>
      <c r="M468" t="n">
        <v>0</v>
      </c>
      <c r="N468" t="n">
        <v>0</v>
      </c>
      <c r="O468" t="n">
        <v>0</v>
      </c>
      <c r="P468" t="n">
        <v>0</v>
      </c>
      <c r="Q468" t="n">
        <v>0</v>
      </c>
      <c r="R468" s="2" t="inlineStr"/>
    </row>
    <row r="469" ht="15" customHeight="1">
      <c r="A469" t="inlineStr">
        <is>
          <t>A 34838-2021</t>
        </is>
      </c>
      <c r="B469" s="1" t="n">
        <v>44383</v>
      </c>
      <c r="C469" s="1" t="n">
        <v>45507</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34825-2021</t>
        </is>
      </c>
      <c r="B470" s="1" t="n">
        <v>44383</v>
      </c>
      <c r="C470" s="1" t="n">
        <v>45507</v>
      </c>
      <c r="D470" t="inlineStr">
        <is>
          <t>UPPSALA LÄN</t>
        </is>
      </c>
      <c r="E470" t="inlineStr">
        <is>
          <t>UPPSALA</t>
        </is>
      </c>
      <c r="F470" t="inlineStr">
        <is>
          <t>Bergvik skog öst AB</t>
        </is>
      </c>
      <c r="G470" t="n">
        <v>2.6</v>
      </c>
      <c r="H470" t="n">
        <v>0</v>
      </c>
      <c r="I470" t="n">
        <v>0</v>
      </c>
      <c r="J470" t="n">
        <v>0</v>
      </c>
      <c r="K470" t="n">
        <v>0</v>
      </c>
      <c r="L470" t="n">
        <v>0</v>
      </c>
      <c r="M470" t="n">
        <v>0</v>
      </c>
      <c r="N470" t="n">
        <v>0</v>
      </c>
      <c r="O470" t="n">
        <v>0</v>
      </c>
      <c r="P470" t="n">
        <v>0</v>
      </c>
      <c r="Q470" t="n">
        <v>0</v>
      </c>
      <c r="R470" s="2" t="inlineStr"/>
    </row>
    <row r="471" ht="15" customHeight="1">
      <c r="A471" t="inlineStr">
        <is>
          <t>A 35630-2021</t>
        </is>
      </c>
      <c r="B471" s="1" t="n">
        <v>44386</v>
      </c>
      <c r="C471" s="1" t="n">
        <v>45507</v>
      </c>
      <c r="D471" t="inlineStr">
        <is>
          <t>UPPSALA LÄN</t>
        </is>
      </c>
      <c r="E471" t="inlineStr">
        <is>
          <t>UPPSALA</t>
        </is>
      </c>
      <c r="G471" t="n">
        <v>6</v>
      </c>
      <c r="H471" t="n">
        <v>0</v>
      </c>
      <c r="I471" t="n">
        <v>0</v>
      </c>
      <c r="J471" t="n">
        <v>0</v>
      </c>
      <c r="K471" t="n">
        <v>0</v>
      </c>
      <c r="L471" t="n">
        <v>0</v>
      </c>
      <c r="M471" t="n">
        <v>0</v>
      </c>
      <c r="N471" t="n">
        <v>0</v>
      </c>
      <c r="O471" t="n">
        <v>0</v>
      </c>
      <c r="P471" t="n">
        <v>0</v>
      </c>
      <c r="Q471" t="n">
        <v>0</v>
      </c>
      <c r="R471" s="2" t="inlineStr"/>
    </row>
    <row r="472" ht="15" customHeight="1">
      <c r="A472" t="inlineStr">
        <is>
          <t>A 36304-2021</t>
        </is>
      </c>
      <c r="B472" s="1" t="n">
        <v>44390</v>
      </c>
      <c r="C472" s="1" t="n">
        <v>45507</v>
      </c>
      <c r="D472" t="inlineStr">
        <is>
          <t>UPPSALA LÄN</t>
        </is>
      </c>
      <c r="E472" t="inlineStr">
        <is>
          <t>UPPSALA</t>
        </is>
      </c>
      <c r="G472" t="n">
        <v>7.4</v>
      </c>
      <c r="H472" t="n">
        <v>0</v>
      </c>
      <c r="I472" t="n">
        <v>0</v>
      </c>
      <c r="J472" t="n">
        <v>0</v>
      </c>
      <c r="K472" t="n">
        <v>0</v>
      </c>
      <c r="L472" t="n">
        <v>0</v>
      </c>
      <c r="M472" t="n">
        <v>0</v>
      </c>
      <c r="N472" t="n">
        <v>0</v>
      </c>
      <c r="O472" t="n">
        <v>0</v>
      </c>
      <c r="P472" t="n">
        <v>0</v>
      </c>
      <c r="Q472" t="n">
        <v>0</v>
      </c>
      <c r="R472" s="2" t="inlineStr"/>
    </row>
    <row r="473" ht="15" customHeight="1">
      <c r="A473" t="inlineStr">
        <is>
          <t>A 36721-2021</t>
        </is>
      </c>
      <c r="B473" s="1" t="n">
        <v>44392</v>
      </c>
      <c r="C473" s="1" t="n">
        <v>45507</v>
      </c>
      <c r="D473" t="inlineStr">
        <is>
          <t>UPPSALA LÄN</t>
        </is>
      </c>
      <c r="E473" t="inlineStr">
        <is>
          <t>UPPSALA</t>
        </is>
      </c>
      <c r="F473" t="inlineStr">
        <is>
          <t>Bergvik skog öst AB</t>
        </is>
      </c>
      <c r="G473" t="n">
        <v>5.8</v>
      </c>
      <c r="H473" t="n">
        <v>0</v>
      </c>
      <c r="I473" t="n">
        <v>0</v>
      </c>
      <c r="J473" t="n">
        <v>0</v>
      </c>
      <c r="K473" t="n">
        <v>0</v>
      </c>
      <c r="L473" t="n">
        <v>0</v>
      </c>
      <c r="M473" t="n">
        <v>0</v>
      </c>
      <c r="N473" t="n">
        <v>0</v>
      </c>
      <c r="O473" t="n">
        <v>0</v>
      </c>
      <c r="P473" t="n">
        <v>0</v>
      </c>
      <c r="Q473" t="n">
        <v>0</v>
      </c>
      <c r="R473" s="2" t="inlineStr"/>
    </row>
    <row r="474" ht="15" customHeight="1">
      <c r="A474" t="inlineStr">
        <is>
          <t>A 36998-2021</t>
        </is>
      </c>
      <c r="B474" s="1" t="n">
        <v>44393</v>
      </c>
      <c r="C474" s="1" t="n">
        <v>45507</v>
      </c>
      <c r="D474" t="inlineStr">
        <is>
          <t>UPPSALA LÄN</t>
        </is>
      </c>
      <c r="E474" t="inlineStr">
        <is>
          <t>UPPSALA</t>
        </is>
      </c>
      <c r="F474" t="inlineStr">
        <is>
          <t>Bergvik skog öst AB</t>
        </is>
      </c>
      <c r="G474" t="n">
        <v>3.5</v>
      </c>
      <c r="H474" t="n">
        <v>0</v>
      </c>
      <c r="I474" t="n">
        <v>0</v>
      </c>
      <c r="J474" t="n">
        <v>0</v>
      </c>
      <c r="K474" t="n">
        <v>0</v>
      </c>
      <c r="L474" t="n">
        <v>0</v>
      </c>
      <c r="M474" t="n">
        <v>0</v>
      </c>
      <c r="N474" t="n">
        <v>0</v>
      </c>
      <c r="O474" t="n">
        <v>0</v>
      </c>
      <c r="P474" t="n">
        <v>0</v>
      </c>
      <c r="Q474" t="n">
        <v>0</v>
      </c>
      <c r="R474" s="2" t="inlineStr"/>
    </row>
    <row r="475" ht="15" customHeight="1">
      <c r="A475" t="inlineStr">
        <is>
          <t>A 37162-2021</t>
        </is>
      </c>
      <c r="B475" s="1" t="n">
        <v>44395</v>
      </c>
      <c r="C475" s="1" t="n">
        <v>45507</v>
      </c>
      <c r="D475" t="inlineStr">
        <is>
          <t>UPPSALA LÄN</t>
        </is>
      </c>
      <c r="E475" t="inlineStr">
        <is>
          <t>UPPSALA</t>
        </is>
      </c>
      <c r="G475" t="n">
        <v>3.5</v>
      </c>
      <c r="H475" t="n">
        <v>0</v>
      </c>
      <c r="I475" t="n">
        <v>0</v>
      </c>
      <c r="J475" t="n">
        <v>0</v>
      </c>
      <c r="K475" t="n">
        <v>0</v>
      </c>
      <c r="L475" t="n">
        <v>0</v>
      </c>
      <c r="M475" t="n">
        <v>0</v>
      </c>
      <c r="N475" t="n">
        <v>0</v>
      </c>
      <c r="O475" t="n">
        <v>0</v>
      </c>
      <c r="P475" t="n">
        <v>0</v>
      </c>
      <c r="Q475" t="n">
        <v>0</v>
      </c>
      <c r="R475" s="2" t="inlineStr"/>
    </row>
    <row r="476" ht="15" customHeight="1">
      <c r="A476" t="inlineStr">
        <is>
          <t>A 37763-2021</t>
        </is>
      </c>
      <c r="B476" s="1" t="n">
        <v>44400</v>
      </c>
      <c r="C476" s="1" t="n">
        <v>45507</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37819-2021</t>
        </is>
      </c>
      <c r="B477" s="1" t="n">
        <v>44403</v>
      </c>
      <c r="C477" s="1" t="n">
        <v>45507</v>
      </c>
      <c r="D477" t="inlineStr">
        <is>
          <t>UPPSALA LÄN</t>
        </is>
      </c>
      <c r="E477" t="inlineStr">
        <is>
          <t>UPPSALA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37820-2021</t>
        </is>
      </c>
      <c r="B478" s="1" t="n">
        <v>44403</v>
      </c>
      <c r="C478" s="1" t="n">
        <v>45507</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45507</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38463-2021</t>
        </is>
      </c>
      <c r="B480" s="1" t="n">
        <v>44407</v>
      </c>
      <c r="C480" s="1" t="n">
        <v>45507</v>
      </c>
      <c r="D480" t="inlineStr">
        <is>
          <t>UPPSALA LÄN</t>
        </is>
      </c>
      <c r="E480" t="inlineStr">
        <is>
          <t>UPPSALA</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40500-2021</t>
        </is>
      </c>
      <c r="B481" s="1" t="n">
        <v>44420</v>
      </c>
      <c r="C481" s="1" t="n">
        <v>45507</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40507-2021</t>
        </is>
      </c>
      <c r="B482" s="1" t="n">
        <v>44420</v>
      </c>
      <c r="C482" s="1" t="n">
        <v>45507</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42124-2021</t>
        </is>
      </c>
      <c r="B483" s="1" t="n">
        <v>44426</v>
      </c>
      <c r="C483" s="1" t="n">
        <v>45507</v>
      </c>
      <c r="D483" t="inlineStr">
        <is>
          <t>UPPSALA LÄN</t>
        </is>
      </c>
      <c r="E483" t="inlineStr">
        <is>
          <t>UPPSALA</t>
        </is>
      </c>
      <c r="G483" t="n">
        <v>6.3</v>
      </c>
      <c r="H483" t="n">
        <v>0</v>
      </c>
      <c r="I483" t="n">
        <v>0</v>
      </c>
      <c r="J483" t="n">
        <v>0</v>
      </c>
      <c r="K483" t="n">
        <v>0</v>
      </c>
      <c r="L483" t="n">
        <v>0</v>
      </c>
      <c r="M483" t="n">
        <v>0</v>
      </c>
      <c r="N483" t="n">
        <v>0</v>
      </c>
      <c r="O483" t="n">
        <v>0</v>
      </c>
      <c r="P483" t="n">
        <v>0</v>
      </c>
      <c r="Q483" t="n">
        <v>0</v>
      </c>
      <c r="R483" s="2" t="inlineStr"/>
    </row>
    <row r="484" ht="15" customHeight="1">
      <c r="A484" t="inlineStr">
        <is>
          <t>A 42294-2021</t>
        </is>
      </c>
      <c r="B484" s="1" t="n">
        <v>44427</v>
      </c>
      <c r="C484" s="1" t="n">
        <v>45507</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44315-2021</t>
        </is>
      </c>
      <c r="B485" s="1" t="n">
        <v>44435</v>
      </c>
      <c r="C485" s="1" t="n">
        <v>45507</v>
      </c>
      <c r="D485" t="inlineStr">
        <is>
          <t>UPPSALA LÄN</t>
        </is>
      </c>
      <c r="E485" t="inlineStr">
        <is>
          <t>UPPSALA</t>
        </is>
      </c>
      <c r="G485" t="n">
        <v>5.2</v>
      </c>
      <c r="H485" t="n">
        <v>0</v>
      </c>
      <c r="I485" t="n">
        <v>0</v>
      </c>
      <c r="J485" t="n">
        <v>0</v>
      </c>
      <c r="K485" t="n">
        <v>0</v>
      </c>
      <c r="L485" t="n">
        <v>0</v>
      </c>
      <c r="M485" t="n">
        <v>0</v>
      </c>
      <c r="N485" t="n">
        <v>0</v>
      </c>
      <c r="O485" t="n">
        <v>0</v>
      </c>
      <c r="P485" t="n">
        <v>0</v>
      </c>
      <c r="Q485" t="n">
        <v>0</v>
      </c>
      <c r="R485" s="2" t="inlineStr"/>
    </row>
    <row r="486" ht="15" customHeight="1">
      <c r="A486" t="inlineStr">
        <is>
          <t>A 44781-2021</t>
        </is>
      </c>
      <c r="B486" s="1" t="n">
        <v>44438</v>
      </c>
      <c r="C486" s="1" t="n">
        <v>45507</v>
      </c>
      <c r="D486" t="inlineStr">
        <is>
          <t>UPPSALA LÄN</t>
        </is>
      </c>
      <c r="E486" t="inlineStr">
        <is>
          <t>UPPSALA</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46097-2021</t>
        </is>
      </c>
      <c r="B487" s="1" t="n">
        <v>44442</v>
      </c>
      <c r="C487" s="1" t="n">
        <v>45507</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46099-2021</t>
        </is>
      </c>
      <c r="B488" s="1" t="n">
        <v>44442</v>
      </c>
      <c r="C488" s="1" t="n">
        <v>45507</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46553-2021</t>
        </is>
      </c>
      <c r="B489" s="1" t="n">
        <v>44445</v>
      </c>
      <c r="C489" s="1" t="n">
        <v>45507</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46920-2021</t>
        </is>
      </c>
      <c r="B490" s="1" t="n">
        <v>44446</v>
      </c>
      <c r="C490" s="1" t="n">
        <v>45507</v>
      </c>
      <c r="D490" t="inlineStr">
        <is>
          <t>UPPSALA LÄN</t>
        </is>
      </c>
      <c r="E490" t="inlineStr">
        <is>
          <t>UPPSALA</t>
        </is>
      </c>
      <c r="G490" t="n">
        <v>1.6</v>
      </c>
      <c r="H490" t="n">
        <v>0</v>
      </c>
      <c r="I490" t="n">
        <v>0</v>
      </c>
      <c r="J490" t="n">
        <v>0</v>
      </c>
      <c r="K490" t="n">
        <v>0</v>
      </c>
      <c r="L490" t="n">
        <v>0</v>
      </c>
      <c r="M490" t="n">
        <v>0</v>
      </c>
      <c r="N490" t="n">
        <v>0</v>
      </c>
      <c r="O490" t="n">
        <v>0</v>
      </c>
      <c r="P490" t="n">
        <v>0</v>
      </c>
      <c r="Q490" t="n">
        <v>0</v>
      </c>
      <c r="R490" s="2" t="inlineStr"/>
    </row>
    <row r="491" ht="15" customHeight="1">
      <c r="A491" t="inlineStr">
        <is>
          <t>A 46916-2021</t>
        </is>
      </c>
      <c r="B491" s="1" t="n">
        <v>44446</v>
      </c>
      <c r="C491" s="1" t="n">
        <v>45507</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47367-2021</t>
        </is>
      </c>
      <c r="B492" s="1" t="n">
        <v>44447</v>
      </c>
      <c r="C492" s="1" t="n">
        <v>45507</v>
      </c>
      <c r="D492" t="inlineStr">
        <is>
          <t>UPPSALA LÄN</t>
        </is>
      </c>
      <c r="E492" t="inlineStr">
        <is>
          <t>UPPSALA</t>
        </is>
      </c>
      <c r="G492" t="n">
        <v>3.8</v>
      </c>
      <c r="H492" t="n">
        <v>0</v>
      </c>
      <c r="I492" t="n">
        <v>0</v>
      </c>
      <c r="J492" t="n">
        <v>0</v>
      </c>
      <c r="K492" t="n">
        <v>0</v>
      </c>
      <c r="L492" t="n">
        <v>0</v>
      </c>
      <c r="M492" t="n">
        <v>0</v>
      </c>
      <c r="N492" t="n">
        <v>0</v>
      </c>
      <c r="O492" t="n">
        <v>0</v>
      </c>
      <c r="P492" t="n">
        <v>0</v>
      </c>
      <c r="Q492" t="n">
        <v>0</v>
      </c>
      <c r="R492" s="2" t="inlineStr"/>
    </row>
    <row r="493" ht="15" customHeight="1">
      <c r="A493" t="inlineStr">
        <is>
          <t>A 48918-2021</t>
        </is>
      </c>
      <c r="B493" s="1" t="n">
        <v>44453</v>
      </c>
      <c r="C493" s="1" t="n">
        <v>45507</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49274-2021</t>
        </is>
      </c>
      <c r="B494" s="1" t="n">
        <v>44454</v>
      </c>
      <c r="C494" s="1" t="n">
        <v>45507</v>
      </c>
      <c r="D494" t="inlineStr">
        <is>
          <t>UPPSALA LÄN</t>
        </is>
      </c>
      <c r="E494" t="inlineStr">
        <is>
          <t>UPPSALA</t>
        </is>
      </c>
      <c r="G494" t="n">
        <v>8.5</v>
      </c>
      <c r="H494" t="n">
        <v>0</v>
      </c>
      <c r="I494" t="n">
        <v>0</v>
      </c>
      <c r="J494" t="n">
        <v>0</v>
      </c>
      <c r="K494" t="n">
        <v>0</v>
      </c>
      <c r="L494" t="n">
        <v>0</v>
      </c>
      <c r="M494" t="n">
        <v>0</v>
      </c>
      <c r="N494" t="n">
        <v>0</v>
      </c>
      <c r="O494" t="n">
        <v>0</v>
      </c>
      <c r="P494" t="n">
        <v>0</v>
      </c>
      <c r="Q494" t="n">
        <v>0</v>
      </c>
      <c r="R494" s="2" t="inlineStr"/>
    </row>
    <row r="495" ht="15" customHeight="1">
      <c r="A495" t="inlineStr">
        <is>
          <t>A 51050-2021</t>
        </is>
      </c>
      <c r="B495" s="1" t="n">
        <v>44459</v>
      </c>
      <c r="C495" s="1" t="n">
        <v>45507</v>
      </c>
      <c r="D495" t="inlineStr">
        <is>
          <t>UPPSALA LÄN</t>
        </is>
      </c>
      <c r="E495" t="inlineStr">
        <is>
          <t>UPPSALA</t>
        </is>
      </c>
      <c r="F495" t="inlineStr">
        <is>
          <t>Övriga Aktiebolag</t>
        </is>
      </c>
      <c r="G495" t="n">
        <v>7.5</v>
      </c>
      <c r="H495" t="n">
        <v>0</v>
      </c>
      <c r="I495" t="n">
        <v>0</v>
      </c>
      <c r="J495" t="n">
        <v>0</v>
      </c>
      <c r="K495" t="n">
        <v>0</v>
      </c>
      <c r="L495" t="n">
        <v>0</v>
      </c>
      <c r="M495" t="n">
        <v>0</v>
      </c>
      <c r="N495" t="n">
        <v>0</v>
      </c>
      <c r="O495" t="n">
        <v>0</v>
      </c>
      <c r="P495" t="n">
        <v>0</v>
      </c>
      <c r="Q495" t="n">
        <v>0</v>
      </c>
      <c r="R495" s="2" t="inlineStr"/>
    </row>
    <row r="496" ht="15" customHeight="1">
      <c r="A496" t="inlineStr">
        <is>
          <t>A 51821-2021</t>
        </is>
      </c>
      <c r="B496" s="1" t="n">
        <v>44461</v>
      </c>
      <c r="C496" s="1" t="n">
        <v>45507</v>
      </c>
      <c r="D496" t="inlineStr">
        <is>
          <t>UPPSALA LÄN</t>
        </is>
      </c>
      <c r="E496" t="inlineStr">
        <is>
          <t>UPPSALA</t>
        </is>
      </c>
      <c r="F496" t="inlineStr">
        <is>
          <t>Övriga Aktiebolag</t>
        </is>
      </c>
      <c r="G496" t="n">
        <v>5.3</v>
      </c>
      <c r="H496" t="n">
        <v>0</v>
      </c>
      <c r="I496" t="n">
        <v>0</v>
      </c>
      <c r="J496" t="n">
        <v>0</v>
      </c>
      <c r="K496" t="n">
        <v>0</v>
      </c>
      <c r="L496" t="n">
        <v>0</v>
      </c>
      <c r="M496" t="n">
        <v>0</v>
      </c>
      <c r="N496" t="n">
        <v>0</v>
      </c>
      <c r="O496" t="n">
        <v>0</v>
      </c>
      <c r="P496" t="n">
        <v>0</v>
      </c>
      <c r="Q496" t="n">
        <v>0</v>
      </c>
      <c r="R496" s="2" t="inlineStr"/>
    </row>
    <row r="497" ht="15" customHeight="1">
      <c r="A497" t="inlineStr">
        <is>
          <t>A 51396-2021</t>
        </is>
      </c>
      <c r="B497" s="1" t="n">
        <v>44461</v>
      </c>
      <c r="C497" s="1" t="n">
        <v>45507</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52083-2021</t>
        </is>
      </c>
      <c r="B498" s="1" t="n">
        <v>44463</v>
      </c>
      <c r="C498" s="1" t="n">
        <v>45507</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54168-2021</t>
        </is>
      </c>
      <c r="B499" s="1" t="n">
        <v>44470</v>
      </c>
      <c r="C499" s="1" t="n">
        <v>45507</v>
      </c>
      <c r="D499" t="inlineStr">
        <is>
          <t>UPPSALA LÄN</t>
        </is>
      </c>
      <c r="E499" t="inlineStr">
        <is>
          <t>UPPSALA</t>
        </is>
      </c>
      <c r="G499" t="n">
        <v>7.5</v>
      </c>
      <c r="H499" t="n">
        <v>0</v>
      </c>
      <c r="I499" t="n">
        <v>0</v>
      </c>
      <c r="J499" t="n">
        <v>0</v>
      </c>
      <c r="K499" t="n">
        <v>0</v>
      </c>
      <c r="L499" t="n">
        <v>0</v>
      </c>
      <c r="M499" t="n">
        <v>0</v>
      </c>
      <c r="N499" t="n">
        <v>0</v>
      </c>
      <c r="O499" t="n">
        <v>0</v>
      </c>
      <c r="P499" t="n">
        <v>0</v>
      </c>
      <c r="Q499" t="n">
        <v>0</v>
      </c>
      <c r="R499" s="2" t="inlineStr"/>
    </row>
    <row r="500" ht="15" customHeight="1">
      <c r="A500" t="inlineStr">
        <is>
          <t>A 55823-2021</t>
        </is>
      </c>
      <c r="B500" s="1" t="n">
        <v>44476</v>
      </c>
      <c r="C500" s="1" t="n">
        <v>45507</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56042-2021</t>
        </is>
      </c>
      <c r="B501" s="1" t="n">
        <v>44477</v>
      </c>
      <c r="C501" s="1" t="n">
        <v>45507</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56049-2021</t>
        </is>
      </c>
      <c r="B502" s="1" t="n">
        <v>44477</v>
      </c>
      <c r="C502" s="1" t="n">
        <v>45507</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56463-2021</t>
        </is>
      </c>
      <c r="B503" s="1" t="n">
        <v>44479</v>
      </c>
      <c r="C503" s="1" t="n">
        <v>45507</v>
      </c>
      <c r="D503" t="inlineStr">
        <is>
          <t>UPPSALA LÄN</t>
        </is>
      </c>
      <c r="E503" t="inlineStr">
        <is>
          <t>UPPSALA</t>
        </is>
      </c>
      <c r="G503" t="n">
        <v>6.4</v>
      </c>
      <c r="H503" t="n">
        <v>0</v>
      </c>
      <c r="I503" t="n">
        <v>0</v>
      </c>
      <c r="J503" t="n">
        <v>0</v>
      </c>
      <c r="K503" t="n">
        <v>0</v>
      </c>
      <c r="L503" t="n">
        <v>0</v>
      </c>
      <c r="M503" t="n">
        <v>0</v>
      </c>
      <c r="N503" t="n">
        <v>0</v>
      </c>
      <c r="O503" t="n">
        <v>0</v>
      </c>
      <c r="P503" t="n">
        <v>0</v>
      </c>
      <c r="Q503" t="n">
        <v>0</v>
      </c>
      <c r="R503" s="2" t="inlineStr"/>
    </row>
    <row r="504" ht="15" customHeight="1">
      <c r="A504" t="inlineStr">
        <is>
          <t>A 56769-2021</t>
        </is>
      </c>
      <c r="B504" s="1" t="n">
        <v>44481</v>
      </c>
      <c r="C504" s="1" t="n">
        <v>45507</v>
      </c>
      <c r="D504" t="inlineStr">
        <is>
          <t>UPPSALA LÄN</t>
        </is>
      </c>
      <c r="E504" t="inlineStr">
        <is>
          <t>UPPSALA</t>
        </is>
      </c>
      <c r="G504" t="n">
        <v>3.8</v>
      </c>
      <c r="H504" t="n">
        <v>0</v>
      </c>
      <c r="I504" t="n">
        <v>0</v>
      </c>
      <c r="J504" t="n">
        <v>0</v>
      </c>
      <c r="K504" t="n">
        <v>0</v>
      </c>
      <c r="L504" t="n">
        <v>0</v>
      </c>
      <c r="M504" t="n">
        <v>0</v>
      </c>
      <c r="N504" t="n">
        <v>0</v>
      </c>
      <c r="O504" t="n">
        <v>0</v>
      </c>
      <c r="P504" t="n">
        <v>0</v>
      </c>
      <c r="Q504" t="n">
        <v>0</v>
      </c>
      <c r="R504" s="2" t="inlineStr"/>
    </row>
    <row r="505" ht="15" customHeight="1">
      <c r="A505" t="inlineStr">
        <is>
          <t>A 57647-2021</t>
        </is>
      </c>
      <c r="B505" s="1" t="n">
        <v>44484</v>
      </c>
      <c r="C505" s="1" t="n">
        <v>45507</v>
      </c>
      <c r="D505" t="inlineStr">
        <is>
          <t>UPPSALA LÄN</t>
        </is>
      </c>
      <c r="E505" t="inlineStr">
        <is>
          <t>UPPSALA</t>
        </is>
      </c>
      <c r="G505" t="n">
        <v>2.3</v>
      </c>
      <c r="H505" t="n">
        <v>0</v>
      </c>
      <c r="I505" t="n">
        <v>0</v>
      </c>
      <c r="J505" t="n">
        <v>0</v>
      </c>
      <c r="K505" t="n">
        <v>0</v>
      </c>
      <c r="L505" t="n">
        <v>0</v>
      </c>
      <c r="M505" t="n">
        <v>0</v>
      </c>
      <c r="N505" t="n">
        <v>0</v>
      </c>
      <c r="O505" t="n">
        <v>0</v>
      </c>
      <c r="P505" t="n">
        <v>0</v>
      </c>
      <c r="Q505" t="n">
        <v>0</v>
      </c>
      <c r="R505" s="2" t="inlineStr"/>
    </row>
    <row r="506" ht="15" customHeight="1">
      <c r="A506" t="inlineStr">
        <is>
          <t>A 57890-2021</t>
        </is>
      </c>
      <c r="B506" s="1" t="n">
        <v>44486</v>
      </c>
      <c r="C506" s="1" t="n">
        <v>45507</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58767-2021</t>
        </is>
      </c>
      <c r="B507" s="1" t="n">
        <v>44489</v>
      </c>
      <c r="C507" s="1" t="n">
        <v>45507</v>
      </c>
      <c r="D507" t="inlineStr">
        <is>
          <t>UPPSALA LÄN</t>
        </is>
      </c>
      <c r="E507" t="inlineStr">
        <is>
          <t>UPPSALA</t>
        </is>
      </c>
      <c r="G507" t="n">
        <v>4.8</v>
      </c>
      <c r="H507" t="n">
        <v>0</v>
      </c>
      <c r="I507" t="n">
        <v>0</v>
      </c>
      <c r="J507" t="n">
        <v>0</v>
      </c>
      <c r="K507" t="n">
        <v>0</v>
      </c>
      <c r="L507" t="n">
        <v>0</v>
      </c>
      <c r="M507" t="n">
        <v>0</v>
      </c>
      <c r="N507" t="n">
        <v>0</v>
      </c>
      <c r="O507" t="n">
        <v>0</v>
      </c>
      <c r="P507" t="n">
        <v>0</v>
      </c>
      <c r="Q507" t="n">
        <v>0</v>
      </c>
      <c r="R507" s="2" t="inlineStr"/>
    </row>
    <row r="508" ht="15" customHeight="1">
      <c r="A508" t="inlineStr">
        <is>
          <t>A 58897-2021</t>
        </is>
      </c>
      <c r="B508" s="1" t="n">
        <v>44489</v>
      </c>
      <c r="C508" s="1" t="n">
        <v>45507</v>
      </c>
      <c r="D508" t="inlineStr">
        <is>
          <t>UPPSALA LÄN</t>
        </is>
      </c>
      <c r="E508" t="inlineStr">
        <is>
          <t>UPPSALA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59241-2021</t>
        </is>
      </c>
      <c r="B509" s="1" t="n">
        <v>44490</v>
      </c>
      <c r="C509" s="1" t="n">
        <v>45507</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59484-2021</t>
        </is>
      </c>
      <c r="B510" s="1" t="n">
        <v>44491</v>
      </c>
      <c r="C510" s="1" t="n">
        <v>45507</v>
      </c>
      <c r="D510" t="inlineStr">
        <is>
          <t>UPPSALA LÄN</t>
        </is>
      </c>
      <c r="E510" t="inlineStr">
        <is>
          <t>UPPSALA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59500-2021</t>
        </is>
      </c>
      <c r="B511" s="1" t="n">
        <v>44491</v>
      </c>
      <c r="C511" s="1" t="n">
        <v>45507</v>
      </c>
      <c r="D511" t="inlineStr">
        <is>
          <t>UPPSALA LÄN</t>
        </is>
      </c>
      <c r="E511" t="inlineStr">
        <is>
          <t>UPPSALA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59479-2021</t>
        </is>
      </c>
      <c r="B512" s="1" t="n">
        <v>44491</v>
      </c>
      <c r="C512" s="1" t="n">
        <v>45507</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59881-2021</t>
        </is>
      </c>
      <c r="B513" s="1" t="n">
        <v>44494</v>
      </c>
      <c r="C513" s="1" t="n">
        <v>45507</v>
      </c>
      <c r="D513" t="inlineStr">
        <is>
          <t>UPPSALA LÄN</t>
        </is>
      </c>
      <c r="E513" t="inlineStr">
        <is>
          <t>UPPSALA</t>
        </is>
      </c>
      <c r="F513" t="inlineStr">
        <is>
          <t>Allmännings- och besparingsskogar</t>
        </is>
      </c>
      <c r="G513" t="n">
        <v>1.6</v>
      </c>
      <c r="H513" t="n">
        <v>0</v>
      </c>
      <c r="I513" t="n">
        <v>0</v>
      </c>
      <c r="J513" t="n">
        <v>0</v>
      </c>
      <c r="K513" t="n">
        <v>0</v>
      </c>
      <c r="L513" t="n">
        <v>0</v>
      </c>
      <c r="M513" t="n">
        <v>0</v>
      </c>
      <c r="N513" t="n">
        <v>0</v>
      </c>
      <c r="O513" t="n">
        <v>0</v>
      </c>
      <c r="P513" t="n">
        <v>0</v>
      </c>
      <c r="Q513" t="n">
        <v>0</v>
      </c>
      <c r="R513" s="2" t="inlineStr"/>
    </row>
    <row r="514" ht="15" customHeight="1">
      <c r="A514" t="inlineStr">
        <is>
          <t>A 60032-2021</t>
        </is>
      </c>
      <c r="B514" s="1" t="n">
        <v>44495</v>
      </c>
      <c r="C514" s="1" t="n">
        <v>45507</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61008-2021</t>
        </is>
      </c>
      <c r="B515" s="1" t="n">
        <v>44497</v>
      </c>
      <c r="C515" s="1" t="n">
        <v>45507</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60917-2021</t>
        </is>
      </c>
      <c r="B516" s="1" t="n">
        <v>44497</v>
      </c>
      <c r="C516" s="1" t="n">
        <v>45507</v>
      </c>
      <c r="D516" t="inlineStr">
        <is>
          <t>UPPSALA LÄN</t>
        </is>
      </c>
      <c r="E516" t="inlineStr">
        <is>
          <t>UPPSALA</t>
        </is>
      </c>
      <c r="G516" t="n">
        <v>3.1</v>
      </c>
      <c r="H516" t="n">
        <v>0</v>
      </c>
      <c r="I516" t="n">
        <v>0</v>
      </c>
      <c r="J516" t="n">
        <v>0</v>
      </c>
      <c r="K516" t="n">
        <v>0</v>
      </c>
      <c r="L516" t="n">
        <v>0</v>
      </c>
      <c r="M516" t="n">
        <v>0</v>
      </c>
      <c r="N516" t="n">
        <v>0</v>
      </c>
      <c r="O516" t="n">
        <v>0</v>
      </c>
      <c r="P516" t="n">
        <v>0</v>
      </c>
      <c r="Q516" t="n">
        <v>0</v>
      </c>
      <c r="R516" s="2" t="inlineStr"/>
    </row>
    <row r="517" ht="15" customHeight="1">
      <c r="A517" t="inlineStr">
        <is>
          <t>A 60925-2021</t>
        </is>
      </c>
      <c r="B517" s="1" t="n">
        <v>44497</v>
      </c>
      <c r="C517" s="1" t="n">
        <v>45507</v>
      </c>
      <c r="D517" t="inlineStr">
        <is>
          <t>UPPSALA LÄN</t>
        </is>
      </c>
      <c r="E517" t="inlineStr">
        <is>
          <t>UPPSALA</t>
        </is>
      </c>
      <c r="G517" t="n">
        <v>3.7</v>
      </c>
      <c r="H517" t="n">
        <v>0</v>
      </c>
      <c r="I517" t="n">
        <v>0</v>
      </c>
      <c r="J517" t="n">
        <v>0</v>
      </c>
      <c r="K517" t="n">
        <v>0</v>
      </c>
      <c r="L517" t="n">
        <v>0</v>
      </c>
      <c r="M517" t="n">
        <v>0</v>
      </c>
      <c r="N517" t="n">
        <v>0</v>
      </c>
      <c r="O517" t="n">
        <v>0</v>
      </c>
      <c r="P517" t="n">
        <v>0</v>
      </c>
      <c r="Q517" t="n">
        <v>0</v>
      </c>
      <c r="R517" s="2" t="inlineStr"/>
    </row>
    <row r="518" ht="15" customHeight="1">
      <c r="A518" t="inlineStr">
        <is>
          <t>A 61805-2021</t>
        </is>
      </c>
      <c r="B518" s="1" t="n">
        <v>44501</v>
      </c>
      <c r="C518" s="1" t="n">
        <v>45507</v>
      </c>
      <c r="D518" t="inlineStr">
        <is>
          <t>UPPSALA LÄN</t>
        </is>
      </c>
      <c r="E518" t="inlineStr">
        <is>
          <t>UPPSALA</t>
        </is>
      </c>
      <c r="F518" t="inlineStr">
        <is>
          <t>Bergvik skog öst AB</t>
        </is>
      </c>
      <c r="G518" t="n">
        <v>3.8</v>
      </c>
      <c r="H518" t="n">
        <v>0</v>
      </c>
      <c r="I518" t="n">
        <v>0</v>
      </c>
      <c r="J518" t="n">
        <v>0</v>
      </c>
      <c r="K518" t="n">
        <v>0</v>
      </c>
      <c r="L518" t="n">
        <v>0</v>
      </c>
      <c r="M518" t="n">
        <v>0</v>
      </c>
      <c r="N518" t="n">
        <v>0</v>
      </c>
      <c r="O518" t="n">
        <v>0</v>
      </c>
      <c r="P518" t="n">
        <v>0</v>
      </c>
      <c r="Q518" t="n">
        <v>0</v>
      </c>
      <c r="R518" s="2" t="inlineStr"/>
    </row>
    <row r="519" ht="15" customHeight="1">
      <c r="A519" t="inlineStr">
        <is>
          <t>A 62471-2021</t>
        </is>
      </c>
      <c r="B519" s="1" t="n">
        <v>44503</v>
      </c>
      <c r="C519" s="1" t="n">
        <v>45507</v>
      </c>
      <c r="D519" t="inlineStr">
        <is>
          <t>UPPSALA LÄN</t>
        </is>
      </c>
      <c r="E519" t="inlineStr">
        <is>
          <t>UPPSALA</t>
        </is>
      </c>
      <c r="G519" t="n">
        <v>2</v>
      </c>
      <c r="H519" t="n">
        <v>0</v>
      </c>
      <c r="I519" t="n">
        <v>0</v>
      </c>
      <c r="J519" t="n">
        <v>0</v>
      </c>
      <c r="K519" t="n">
        <v>0</v>
      </c>
      <c r="L519" t="n">
        <v>0</v>
      </c>
      <c r="M519" t="n">
        <v>0</v>
      </c>
      <c r="N519" t="n">
        <v>0</v>
      </c>
      <c r="O519" t="n">
        <v>0</v>
      </c>
      <c r="P519" t="n">
        <v>0</v>
      </c>
      <c r="Q519" t="n">
        <v>0</v>
      </c>
      <c r="R519" s="2" t="inlineStr"/>
    </row>
    <row r="520" ht="15" customHeight="1">
      <c r="A520" t="inlineStr">
        <is>
          <t>A 62865-2021</t>
        </is>
      </c>
      <c r="B520" s="1" t="n">
        <v>44504</v>
      </c>
      <c r="C520" s="1" t="n">
        <v>45507</v>
      </c>
      <c r="D520" t="inlineStr">
        <is>
          <t>UPPSALA LÄN</t>
        </is>
      </c>
      <c r="E520" t="inlineStr">
        <is>
          <t>UPPSALA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63011-2021</t>
        </is>
      </c>
      <c r="B521" s="1" t="n">
        <v>44504</v>
      </c>
      <c r="C521" s="1" t="n">
        <v>45507</v>
      </c>
      <c r="D521" t="inlineStr">
        <is>
          <t>UPPSALA LÄN</t>
        </is>
      </c>
      <c r="E521" t="inlineStr">
        <is>
          <t>UPPSALA</t>
        </is>
      </c>
      <c r="G521" t="n">
        <v>11.2</v>
      </c>
      <c r="H521" t="n">
        <v>0</v>
      </c>
      <c r="I521" t="n">
        <v>0</v>
      </c>
      <c r="J521" t="n">
        <v>0</v>
      </c>
      <c r="K521" t="n">
        <v>0</v>
      </c>
      <c r="L521" t="n">
        <v>0</v>
      </c>
      <c r="M521" t="n">
        <v>0</v>
      </c>
      <c r="N521" t="n">
        <v>0</v>
      </c>
      <c r="O521" t="n">
        <v>0</v>
      </c>
      <c r="P521" t="n">
        <v>0</v>
      </c>
      <c r="Q521" t="n">
        <v>0</v>
      </c>
      <c r="R521" s="2" t="inlineStr"/>
    </row>
    <row r="522" ht="15" customHeight="1">
      <c r="A522" t="inlineStr">
        <is>
          <t>A 63307-2021</t>
        </is>
      </c>
      <c r="B522" s="1" t="n">
        <v>44508</v>
      </c>
      <c r="C522" s="1" t="n">
        <v>45507</v>
      </c>
      <c r="D522" t="inlineStr">
        <is>
          <t>UPPSALA LÄN</t>
        </is>
      </c>
      <c r="E522" t="inlineStr">
        <is>
          <t>UPPSALA</t>
        </is>
      </c>
      <c r="F522" t="inlineStr">
        <is>
          <t>Bergvik skog öst AB</t>
        </is>
      </c>
      <c r="G522" t="n">
        <v>2.8</v>
      </c>
      <c r="H522" t="n">
        <v>0</v>
      </c>
      <c r="I522" t="n">
        <v>0</v>
      </c>
      <c r="J522" t="n">
        <v>0</v>
      </c>
      <c r="K522" t="n">
        <v>0</v>
      </c>
      <c r="L522" t="n">
        <v>0</v>
      </c>
      <c r="M522" t="n">
        <v>0</v>
      </c>
      <c r="N522" t="n">
        <v>0</v>
      </c>
      <c r="O522" t="n">
        <v>0</v>
      </c>
      <c r="P522" t="n">
        <v>0</v>
      </c>
      <c r="Q522" t="n">
        <v>0</v>
      </c>
      <c r="R522" s="2" t="inlineStr"/>
    </row>
    <row r="523" ht="15" customHeight="1">
      <c r="A523" t="inlineStr">
        <is>
          <t>A 64016-2021</t>
        </is>
      </c>
      <c r="B523" s="1" t="n">
        <v>44510</v>
      </c>
      <c r="C523" s="1" t="n">
        <v>45507</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64857-2021</t>
        </is>
      </c>
      <c r="B524" s="1" t="n">
        <v>44512</v>
      </c>
      <c r="C524" s="1" t="n">
        <v>45507</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64856-2021</t>
        </is>
      </c>
      <c r="B525" s="1" t="n">
        <v>44512</v>
      </c>
      <c r="C525" s="1" t="n">
        <v>45507</v>
      </c>
      <c r="D525" t="inlineStr">
        <is>
          <t>UPPSALA LÄN</t>
        </is>
      </c>
      <c r="E525" t="inlineStr">
        <is>
          <t>UPPSALA</t>
        </is>
      </c>
      <c r="G525" t="n">
        <v>4.1</v>
      </c>
      <c r="H525" t="n">
        <v>0</v>
      </c>
      <c r="I525" t="n">
        <v>0</v>
      </c>
      <c r="J525" t="n">
        <v>0</v>
      </c>
      <c r="K525" t="n">
        <v>0</v>
      </c>
      <c r="L525" t="n">
        <v>0</v>
      </c>
      <c r="M525" t="n">
        <v>0</v>
      </c>
      <c r="N525" t="n">
        <v>0</v>
      </c>
      <c r="O525" t="n">
        <v>0</v>
      </c>
      <c r="P525" t="n">
        <v>0</v>
      </c>
      <c r="Q525" t="n">
        <v>0</v>
      </c>
      <c r="R525" s="2" t="inlineStr"/>
    </row>
    <row r="526" ht="15" customHeight="1">
      <c r="A526" t="inlineStr">
        <is>
          <t>A 64858-2021</t>
        </is>
      </c>
      <c r="B526" s="1" t="n">
        <v>44512</v>
      </c>
      <c r="C526" s="1" t="n">
        <v>45507</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64855-2021</t>
        </is>
      </c>
      <c r="B527" s="1" t="n">
        <v>44512</v>
      </c>
      <c r="C527" s="1" t="n">
        <v>45507</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65132-2021</t>
        </is>
      </c>
      <c r="B528" s="1" t="n">
        <v>44515</v>
      </c>
      <c r="C528" s="1" t="n">
        <v>45507</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65659-2021</t>
        </is>
      </c>
      <c r="B529" s="1" t="n">
        <v>44516</v>
      </c>
      <c r="C529" s="1" t="n">
        <v>45507</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65695-2021</t>
        </is>
      </c>
      <c r="B530" s="1" t="n">
        <v>44516</v>
      </c>
      <c r="C530" s="1" t="n">
        <v>45507</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65809-2021</t>
        </is>
      </c>
      <c r="B531" s="1" t="n">
        <v>44517</v>
      </c>
      <c r="C531" s="1" t="n">
        <v>45507</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65811-2021</t>
        </is>
      </c>
      <c r="B532" s="1" t="n">
        <v>44517</v>
      </c>
      <c r="C532" s="1" t="n">
        <v>45507</v>
      </c>
      <c r="D532" t="inlineStr">
        <is>
          <t>UPPSALA LÄN</t>
        </is>
      </c>
      <c r="E532" t="inlineStr">
        <is>
          <t>UPPSALA</t>
        </is>
      </c>
      <c r="G532" t="n">
        <v>0.3</v>
      </c>
      <c r="H532" t="n">
        <v>0</v>
      </c>
      <c r="I532" t="n">
        <v>0</v>
      </c>
      <c r="J532" t="n">
        <v>0</v>
      </c>
      <c r="K532" t="n">
        <v>0</v>
      </c>
      <c r="L532" t="n">
        <v>0</v>
      </c>
      <c r="M532" t="n">
        <v>0</v>
      </c>
      <c r="N532" t="n">
        <v>0</v>
      </c>
      <c r="O532" t="n">
        <v>0</v>
      </c>
      <c r="P532" t="n">
        <v>0</v>
      </c>
      <c r="Q532" t="n">
        <v>0</v>
      </c>
      <c r="R532" s="2" t="inlineStr"/>
    </row>
    <row r="533" ht="15" customHeight="1">
      <c r="A533" t="inlineStr">
        <is>
          <t>A 65964-2021</t>
        </is>
      </c>
      <c r="B533" s="1" t="n">
        <v>44517</v>
      </c>
      <c r="C533" s="1" t="n">
        <v>45507</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66239-2021</t>
        </is>
      </c>
      <c r="B534" s="1" t="n">
        <v>44518</v>
      </c>
      <c r="C534" s="1" t="n">
        <v>45507</v>
      </c>
      <c r="D534" t="inlineStr">
        <is>
          <t>UPPSALA LÄN</t>
        </is>
      </c>
      <c r="E534" t="inlineStr">
        <is>
          <t>UPPSALA</t>
        </is>
      </c>
      <c r="G534" t="n">
        <v>4.2</v>
      </c>
      <c r="H534" t="n">
        <v>0</v>
      </c>
      <c r="I534" t="n">
        <v>0</v>
      </c>
      <c r="J534" t="n">
        <v>0</v>
      </c>
      <c r="K534" t="n">
        <v>0</v>
      </c>
      <c r="L534" t="n">
        <v>0</v>
      </c>
      <c r="M534" t="n">
        <v>0</v>
      </c>
      <c r="N534" t="n">
        <v>0</v>
      </c>
      <c r="O534" t="n">
        <v>0</v>
      </c>
      <c r="P534" t="n">
        <v>0</v>
      </c>
      <c r="Q534" t="n">
        <v>0</v>
      </c>
      <c r="R534" s="2" t="inlineStr"/>
    </row>
    <row r="535" ht="15" customHeight="1">
      <c r="A535" t="inlineStr">
        <is>
          <t>A 66690-2021</t>
        </is>
      </c>
      <c r="B535" s="1" t="n">
        <v>44519</v>
      </c>
      <c r="C535" s="1" t="n">
        <v>45507</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66686-2021</t>
        </is>
      </c>
      <c r="B536" s="1" t="n">
        <v>44519</v>
      </c>
      <c r="C536" s="1" t="n">
        <v>45507</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66794-2021</t>
        </is>
      </c>
      <c r="B537" s="1" t="n">
        <v>44522</v>
      </c>
      <c r="C537" s="1" t="n">
        <v>45507</v>
      </c>
      <c r="D537" t="inlineStr">
        <is>
          <t>UPPSALA LÄN</t>
        </is>
      </c>
      <c r="E537" t="inlineStr">
        <is>
          <t>UPPSALA</t>
        </is>
      </c>
      <c r="G537" t="n">
        <v>4.9</v>
      </c>
      <c r="H537" t="n">
        <v>0</v>
      </c>
      <c r="I537" t="n">
        <v>0</v>
      </c>
      <c r="J537" t="n">
        <v>0</v>
      </c>
      <c r="K537" t="n">
        <v>0</v>
      </c>
      <c r="L537" t="n">
        <v>0</v>
      </c>
      <c r="M537" t="n">
        <v>0</v>
      </c>
      <c r="N537" t="n">
        <v>0</v>
      </c>
      <c r="O537" t="n">
        <v>0</v>
      </c>
      <c r="P537" t="n">
        <v>0</v>
      </c>
      <c r="Q537" t="n">
        <v>0</v>
      </c>
      <c r="R537" s="2" t="inlineStr"/>
    </row>
    <row r="538" ht="15" customHeight="1">
      <c r="A538" t="inlineStr">
        <is>
          <t>A 66927-2021</t>
        </is>
      </c>
      <c r="B538" s="1" t="n">
        <v>44522</v>
      </c>
      <c r="C538" s="1" t="n">
        <v>45507</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66983-2021</t>
        </is>
      </c>
      <c r="B539" s="1" t="n">
        <v>44522</v>
      </c>
      <c r="C539" s="1" t="n">
        <v>45507</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67991-2021</t>
        </is>
      </c>
      <c r="B540" s="1" t="n">
        <v>44525</v>
      </c>
      <c r="C540" s="1" t="n">
        <v>45507</v>
      </c>
      <c r="D540" t="inlineStr">
        <is>
          <t>UPPSALA LÄN</t>
        </is>
      </c>
      <c r="E540" t="inlineStr">
        <is>
          <t>UPPSALA</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68696-2021</t>
        </is>
      </c>
      <c r="B541" s="1" t="n">
        <v>44526</v>
      </c>
      <c r="C541" s="1" t="n">
        <v>45507</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45507</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68296-2021</t>
        </is>
      </c>
      <c r="B543" s="1" t="n">
        <v>44526</v>
      </c>
      <c r="C543" s="1" t="n">
        <v>45507</v>
      </c>
      <c r="D543" t="inlineStr">
        <is>
          <t>UPPSALA LÄN</t>
        </is>
      </c>
      <c r="E543" t="inlineStr">
        <is>
          <t>UPPSALA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69067-2021</t>
        </is>
      </c>
      <c r="B544" s="1" t="n">
        <v>44530</v>
      </c>
      <c r="C544" s="1" t="n">
        <v>45507</v>
      </c>
      <c r="D544" t="inlineStr">
        <is>
          <t>UPPSALA LÄN</t>
        </is>
      </c>
      <c r="E544" t="inlineStr">
        <is>
          <t>UPPSALA</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69432-2021</t>
        </is>
      </c>
      <c r="B545" s="1" t="n">
        <v>44531</v>
      </c>
      <c r="C545" s="1" t="n">
        <v>45507</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69214-2021</t>
        </is>
      </c>
      <c r="B546" s="1" t="n">
        <v>44531</v>
      </c>
      <c r="C546" s="1" t="n">
        <v>45507</v>
      </c>
      <c r="D546" t="inlineStr">
        <is>
          <t>UPPSALA LÄN</t>
        </is>
      </c>
      <c r="E546" t="inlineStr">
        <is>
          <t>UPPSALA</t>
        </is>
      </c>
      <c r="F546" t="inlineStr">
        <is>
          <t>Bergvik skog öst AB</t>
        </is>
      </c>
      <c r="G546" t="n">
        <v>3.4</v>
      </c>
      <c r="H546" t="n">
        <v>0</v>
      </c>
      <c r="I546" t="n">
        <v>0</v>
      </c>
      <c r="J546" t="n">
        <v>0</v>
      </c>
      <c r="K546" t="n">
        <v>0</v>
      </c>
      <c r="L546" t="n">
        <v>0</v>
      </c>
      <c r="M546" t="n">
        <v>0</v>
      </c>
      <c r="N546" t="n">
        <v>0</v>
      </c>
      <c r="O546" t="n">
        <v>0</v>
      </c>
      <c r="P546" t="n">
        <v>0</v>
      </c>
      <c r="Q546" t="n">
        <v>0</v>
      </c>
      <c r="R546" s="2" t="inlineStr"/>
    </row>
    <row r="547" ht="15" customHeight="1">
      <c r="A547" t="inlineStr">
        <is>
          <t>A 69397-2021</t>
        </is>
      </c>
      <c r="B547" s="1" t="n">
        <v>44531</v>
      </c>
      <c r="C547" s="1" t="n">
        <v>45507</v>
      </c>
      <c r="D547" t="inlineStr">
        <is>
          <t>UPPSALA LÄN</t>
        </is>
      </c>
      <c r="E547" t="inlineStr">
        <is>
          <t>UPPSALA</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69436-2021</t>
        </is>
      </c>
      <c r="B548" s="1" t="n">
        <v>44531</v>
      </c>
      <c r="C548" s="1" t="n">
        <v>45507</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69439-2021</t>
        </is>
      </c>
      <c r="B549" s="1" t="n">
        <v>44531</v>
      </c>
      <c r="C549" s="1" t="n">
        <v>45507</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69711-2021</t>
        </is>
      </c>
      <c r="B550" s="1" t="n">
        <v>44532</v>
      </c>
      <c r="C550" s="1" t="n">
        <v>45507</v>
      </c>
      <c r="D550" t="inlineStr">
        <is>
          <t>UPPSALA LÄN</t>
        </is>
      </c>
      <c r="E550" t="inlineStr">
        <is>
          <t>UPPSALA</t>
        </is>
      </c>
      <c r="G550" t="n">
        <v>10.2</v>
      </c>
      <c r="H550" t="n">
        <v>0</v>
      </c>
      <c r="I550" t="n">
        <v>0</v>
      </c>
      <c r="J550" t="n">
        <v>0</v>
      </c>
      <c r="K550" t="n">
        <v>0</v>
      </c>
      <c r="L550" t="n">
        <v>0</v>
      </c>
      <c r="M550" t="n">
        <v>0</v>
      </c>
      <c r="N550" t="n">
        <v>0</v>
      </c>
      <c r="O550" t="n">
        <v>0</v>
      </c>
      <c r="P550" t="n">
        <v>0</v>
      </c>
      <c r="Q550" t="n">
        <v>0</v>
      </c>
      <c r="R550" s="2" t="inlineStr"/>
    </row>
    <row r="551" ht="15" customHeight="1">
      <c r="A551" t="inlineStr">
        <is>
          <t>A 69595-2021</t>
        </is>
      </c>
      <c r="B551" s="1" t="n">
        <v>44532</v>
      </c>
      <c r="C551" s="1" t="n">
        <v>45507</v>
      </c>
      <c r="D551" t="inlineStr">
        <is>
          <t>UPPSALA LÄN</t>
        </is>
      </c>
      <c r="E551" t="inlineStr">
        <is>
          <t>UPPSALA</t>
        </is>
      </c>
      <c r="G551" t="n">
        <v>3.9</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45507</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69691-2021</t>
        </is>
      </c>
      <c r="B553" s="1" t="n">
        <v>44532</v>
      </c>
      <c r="C553" s="1" t="n">
        <v>45507</v>
      </c>
      <c r="D553" t="inlineStr">
        <is>
          <t>UPPSALA LÄN</t>
        </is>
      </c>
      <c r="E553" t="inlineStr">
        <is>
          <t>UPPSALA</t>
        </is>
      </c>
      <c r="G553" t="n">
        <v>2.3</v>
      </c>
      <c r="H553" t="n">
        <v>0</v>
      </c>
      <c r="I553" t="n">
        <v>0</v>
      </c>
      <c r="J553" t="n">
        <v>0</v>
      </c>
      <c r="K553" t="n">
        <v>0</v>
      </c>
      <c r="L553" t="n">
        <v>0</v>
      </c>
      <c r="M553" t="n">
        <v>0</v>
      </c>
      <c r="N553" t="n">
        <v>0</v>
      </c>
      <c r="O553" t="n">
        <v>0</v>
      </c>
      <c r="P553" t="n">
        <v>0</v>
      </c>
      <c r="Q553" t="n">
        <v>0</v>
      </c>
      <c r="R553" s="2" t="inlineStr"/>
    </row>
    <row r="554" ht="15" customHeight="1">
      <c r="A554" t="inlineStr">
        <is>
          <t>A 70032-2021</t>
        </is>
      </c>
      <c r="B554" s="1" t="n">
        <v>44533</v>
      </c>
      <c r="C554" s="1" t="n">
        <v>45507</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70031-2021</t>
        </is>
      </c>
      <c r="B555" s="1" t="n">
        <v>44533</v>
      </c>
      <c r="C555" s="1" t="n">
        <v>45507</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70359-2021</t>
        </is>
      </c>
      <c r="B556" s="1" t="n">
        <v>44535</v>
      </c>
      <c r="C556" s="1" t="n">
        <v>45507</v>
      </c>
      <c r="D556" t="inlineStr">
        <is>
          <t>UPPSALA LÄN</t>
        </is>
      </c>
      <c r="E556" t="inlineStr">
        <is>
          <t>UPPSALA</t>
        </is>
      </c>
      <c r="G556" t="n">
        <v>3</v>
      </c>
      <c r="H556" t="n">
        <v>0</v>
      </c>
      <c r="I556" t="n">
        <v>0</v>
      </c>
      <c r="J556" t="n">
        <v>0</v>
      </c>
      <c r="K556" t="n">
        <v>0</v>
      </c>
      <c r="L556" t="n">
        <v>0</v>
      </c>
      <c r="M556" t="n">
        <v>0</v>
      </c>
      <c r="N556" t="n">
        <v>0</v>
      </c>
      <c r="O556" t="n">
        <v>0</v>
      </c>
      <c r="P556" t="n">
        <v>0</v>
      </c>
      <c r="Q556" t="n">
        <v>0</v>
      </c>
      <c r="R556" s="2" t="inlineStr"/>
    </row>
    <row r="557" ht="15" customHeight="1">
      <c r="A557" t="inlineStr">
        <is>
          <t>A 70228-2021</t>
        </is>
      </c>
      <c r="B557" s="1" t="n">
        <v>44535</v>
      </c>
      <c r="C557" s="1" t="n">
        <v>45507</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70996-2021</t>
        </is>
      </c>
      <c r="B558" s="1" t="n">
        <v>44538</v>
      </c>
      <c r="C558" s="1" t="n">
        <v>45507</v>
      </c>
      <c r="D558" t="inlineStr">
        <is>
          <t>UPPSALA LÄN</t>
        </is>
      </c>
      <c r="E558" t="inlineStr">
        <is>
          <t>UPPSALA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71563-2021</t>
        </is>
      </c>
      <c r="B559" s="1" t="n">
        <v>44540</v>
      </c>
      <c r="C559" s="1" t="n">
        <v>45507</v>
      </c>
      <c r="D559" t="inlineStr">
        <is>
          <t>UPPSALA LÄN</t>
        </is>
      </c>
      <c r="E559" t="inlineStr">
        <is>
          <t>UPPSALA</t>
        </is>
      </c>
      <c r="F559" t="inlineStr">
        <is>
          <t>Allmännings- och besparingsskogar</t>
        </is>
      </c>
      <c r="G559" t="n">
        <v>7.7</v>
      </c>
      <c r="H559" t="n">
        <v>0</v>
      </c>
      <c r="I559" t="n">
        <v>0</v>
      </c>
      <c r="J559" t="n">
        <v>0</v>
      </c>
      <c r="K559" t="n">
        <v>0</v>
      </c>
      <c r="L559" t="n">
        <v>0</v>
      </c>
      <c r="M559" t="n">
        <v>0</v>
      </c>
      <c r="N559" t="n">
        <v>0</v>
      </c>
      <c r="O559" t="n">
        <v>0</v>
      </c>
      <c r="P559" t="n">
        <v>0</v>
      </c>
      <c r="Q559" t="n">
        <v>0</v>
      </c>
      <c r="R559" s="2" t="inlineStr"/>
    </row>
    <row r="560" ht="15" customHeight="1">
      <c r="A560" t="inlineStr">
        <is>
          <t>A 71675-2021</t>
        </is>
      </c>
      <c r="B560" s="1" t="n">
        <v>44543</v>
      </c>
      <c r="C560" s="1" t="n">
        <v>45507</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71643-2021</t>
        </is>
      </c>
      <c r="B561" s="1" t="n">
        <v>44543</v>
      </c>
      <c r="C561" s="1" t="n">
        <v>45507</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71671-2021</t>
        </is>
      </c>
      <c r="B562" s="1" t="n">
        <v>44543</v>
      </c>
      <c r="C562" s="1" t="n">
        <v>45507</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72225-2021</t>
        </is>
      </c>
      <c r="B563" s="1" t="n">
        <v>44544</v>
      </c>
      <c r="C563" s="1" t="n">
        <v>45507</v>
      </c>
      <c r="D563" t="inlineStr">
        <is>
          <t>UPPSALA LÄN</t>
        </is>
      </c>
      <c r="E563" t="inlineStr">
        <is>
          <t>UPPSALA</t>
        </is>
      </c>
      <c r="G563" t="n">
        <v>6.2</v>
      </c>
      <c r="H563" t="n">
        <v>0</v>
      </c>
      <c r="I563" t="n">
        <v>0</v>
      </c>
      <c r="J563" t="n">
        <v>0</v>
      </c>
      <c r="K563" t="n">
        <v>0</v>
      </c>
      <c r="L563" t="n">
        <v>0</v>
      </c>
      <c r="M563" t="n">
        <v>0</v>
      </c>
      <c r="N563" t="n">
        <v>0</v>
      </c>
      <c r="O563" t="n">
        <v>0</v>
      </c>
      <c r="P563" t="n">
        <v>0</v>
      </c>
      <c r="Q563" t="n">
        <v>0</v>
      </c>
      <c r="R563" s="2" t="inlineStr"/>
    </row>
    <row r="564" ht="15" customHeight="1">
      <c r="A564" t="inlineStr">
        <is>
          <t>A 72224-2021</t>
        </is>
      </c>
      <c r="B564" s="1" t="n">
        <v>44544</v>
      </c>
      <c r="C564" s="1" t="n">
        <v>45507</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72973-2021</t>
        </is>
      </c>
      <c r="B565" s="1" t="n">
        <v>44548</v>
      </c>
      <c r="C565" s="1" t="n">
        <v>45507</v>
      </c>
      <c r="D565" t="inlineStr">
        <is>
          <t>UPPSALA LÄN</t>
        </is>
      </c>
      <c r="E565" t="inlineStr">
        <is>
          <t>UPPSALA</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73326-2021</t>
        </is>
      </c>
      <c r="B566" s="1" t="n">
        <v>44548</v>
      </c>
      <c r="C566" s="1" t="n">
        <v>45507</v>
      </c>
      <c r="D566" t="inlineStr">
        <is>
          <t>UPPSALA LÄN</t>
        </is>
      </c>
      <c r="E566" t="inlineStr">
        <is>
          <t>UPPSALA</t>
        </is>
      </c>
      <c r="G566" t="n">
        <v>4</v>
      </c>
      <c r="H566" t="n">
        <v>0</v>
      </c>
      <c r="I566" t="n">
        <v>0</v>
      </c>
      <c r="J566" t="n">
        <v>0</v>
      </c>
      <c r="K566" t="n">
        <v>0</v>
      </c>
      <c r="L566" t="n">
        <v>0</v>
      </c>
      <c r="M566" t="n">
        <v>0</v>
      </c>
      <c r="N566" t="n">
        <v>0</v>
      </c>
      <c r="O566" t="n">
        <v>0</v>
      </c>
      <c r="P566" t="n">
        <v>0</v>
      </c>
      <c r="Q566" t="n">
        <v>0</v>
      </c>
      <c r="R566" s="2" t="inlineStr"/>
    </row>
    <row r="567" ht="15" customHeight="1">
      <c r="A567" t="inlineStr">
        <is>
          <t>A 73044-2021</t>
        </is>
      </c>
      <c r="B567" s="1" t="n">
        <v>44550</v>
      </c>
      <c r="C567" s="1" t="n">
        <v>45507</v>
      </c>
      <c r="D567" t="inlineStr">
        <is>
          <t>UPPSALA LÄN</t>
        </is>
      </c>
      <c r="E567" t="inlineStr">
        <is>
          <t>UPPSALA</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73468-2021</t>
        </is>
      </c>
      <c r="B568" s="1" t="n">
        <v>44551</v>
      </c>
      <c r="C568" s="1" t="n">
        <v>45507</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73518-2021</t>
        </is>
      </c>
      <c r="B569" s="1" t="n">
        <v>44551</v>
      </c>
      <c r="C569" s="1" t="n">
        <v>45507</v>
      </c>
      <c r="D569" t="inlineStr">
        <is>
          <t>UPPSALA LÄN</t>
        </is>
      </c>
      <c r="E569" t="inlineStr">
        <is>
          <t>UPPSALA</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73531-2021</t>
        </is>
      </c>
      <c r="B570" s="1" t="n">
        <v>44551</v>
      </c>
      <c r="C570" s="1" t="n">
        <v>45507</v>
      </c>
      <c r="D570" t="inlineStr">
        <is>
          <t>UPPSALA LÄN</t>
        </is>
      </c>
      <c r="E570" t="inlineStr">
        <is>
          <t>UPPSALA</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74019-2021</t>
        </is>
      </c>
      <c r="B571" s="1" t="n">
        <v>44553</v>
      </c>
      <c r="C571" s="1" t="n">
        <v>45507</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74023-2021</t>
        </is>
      </c>
      <c r="B572" s="1" t="n">
        <v>44553</v>
      </c>
      <c r="C572" s="1" t="n">
        <v>45507</v>
      </c>
      <c r="D572" t="inlineStr">
        <is>
          <t>UPPSALA LÄN</t>
        </is>
      </c>
      <c r="E572" t="inlineStr">
        <is>
          <t>UPPSALA</t>
        </is>
      </c>
      <c r="G572" t="n">
        <v>5.4</v>
      </c>
      <c r="H572" t="n">
        <v>0</v>
      </c>
      <c r="I572" t="n">
        <v>0</v>
      </c>
      <c r="J572" t="n">
        <v>0</v>
      </c>
      <c r="K572" t="n">
        <v>0</v>
      </c>
      <c r="L572" t="n">
        <v>0</v>
      </c>
      <c r="M572" t="n">
        <v>0</v>
      </c>
      <c r="N572" t="n">
        <v>0</v>
      </c>
      <c r="O572" t="n">
        <v>0</v>
      </c>
      <c r="P572" t="n">
        <v>0</v>
      </c>
      <c r="Q572" t="n">
        <v>0</v>
      </c>
      <c r="R572" s="2" t="inlineStr"/>
    </row>
    <row r="573" ht="15" customHeight="1">
      <c r="A573" t="inlineStr">
        <is>
          <t>A 74493-2021</t>
        </is>
      </c>
      <c r="B573" s="1" t="n">
        <v>44560</v>
      </c>
      <c r="C573" s="1" t="n">
        <v>45507</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74495-2021</t>
        </is>
      </c>
      <c r="B574" s="1" t="n">
        <v>44560</v>
      </c>
      <c r="C574" s="1" t="n">
        <v>45507</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612-2022</t>
        </is>
      </c>
      <c r="B575" s="1" t="n">
        <v>44567</v>
      </c>
      <c r="C575" s="1" t="n">
        <v>45507</v>
      </c>
      <c r="D575" t="inlineStr">
        <is>
          <t>UPPSALA LÄN</t>
        </is>
      </c>
      <c r="E575" t="inlineStr">
        <is>
          <t>UPPSALA</t>
        </is>
      </c>
      <c r="F575" t="inlineStr">
        <is>
          <t>Holmen skog AB</t>
        </is>
      </c>
      <c r="G575" t="n">
        <v>6.6</v>
      </c>
      <c r="H575" t="n">
        <v>0</v>
      </c>
      <c r="I575" t="n">
        <v>0</v>
      </c>
      <c r="J575" t="n">
        <v>0</v>
      </c>
      <c r="K575" t="n">
        <v>0</v>
      </c>
      <c r="L575" t="n">
        <v>0</v>
      </c>
      <c r="M575" t="n">
        <v>0</v>
      </c>
      <c r="N575" t="n">
        <v>0</v>
      </c>
      <c r="O575" t="n">
        <v>0</v>
      </c>
      <c r="P575" t="n">
        <v>0</v>
      </c>
      <c r="Q575" t="n">
        <v>0</v>
      </c>
      <c r="R575" s="2" t="inlineStr"/>
    </row>
    <row r="576" ht="15" customHeight="1">
      <c r="A576" t="inlineStr">
        <is>
          <t>A 733-2022</t>
        </is>
      </c>
      <c r="B576" s="1" t="n">
        <v>44568</v>
      </c>
      <c r="C576" s="1" t="n">
        <v>45507</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752-2022</t>
        </is>
      </c>
      <c r="B577" s="1" t="n">
        <v>44569</v>
      </c>
      <c r="C577" s="1" t="n">
        <v>45507</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750-2022</t>
        </is>
      </c>
      <c r="B578" s="1" t="n">
        <v>44569</v>
      </c>
      <c r="C578" s="1" t="n">
        <v>45507</v>
      </c>
      <c r="D578" t="inlineStr">
        <is>
          <t>UPPSALA LÄN</t>
        </is>
      </c>
      <c r="E578" t="inlineStr">
        <is>
          <t>UPPSALA</t>
        </is>
      </c>
      <c r="F578" t="inlineStr">
        <is>
          <t>Holmen skog AB</t>
        </is>
      </c>
      <c r="G578" t="n">
        <v>6</v>
      </c>
      <c r="H578" t="n">
        <v>0</v>
      </c>
      <c r="I578" t="n">
        <v>0</v>
      </c>
      <c r="J578" t="n">
        <v>0</v>
      </c>
      <c r="K578" t="n">
        <v>0</v>
      </c>
      <c r="L578" t="n">
        <v>0</v>
      </c>
      <c r="M578" t="n">
        <v>0</v>
      </c>
      <c r="N578" t="n">
        <v>0</v>
      </c>
      <c r="O578" t="n">
        <v>0</v>
      </c>
      <c r="P578" t="n">
        <v>0</v>
      </c>
      <c r="Q578" t="n">
        <v>0</v>
      </c>
      <c r="R578" s="2" t="inlineStr"/>
    </row>
    <row r="579" ht="15" customHeight="1">
      <c r="A579" t="inlineStr">
        <is>
          <t>A 759-2022</t>
        </is>
      </c>
      <c r="B579" s="1" t="n">
        <v>44569</v>
      </c>
      <c r="C579" s="1" t="n">
        <v>45507</v>
      </c>
      <c r="D579" t="inlineStr">
        <is>
          <t>UPPSALA LÄN</t>
        </is>
      </c>
      <c r="E579" t="inlineStr">
        <is>
          <t>UPPSALA</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758-2022</t>
        </is>
      </c>
      <c r="B580" s="1" t="n">
        <v>44569</v>
      </c>
      <c r="C580" s="1" t="n">
        <v>45507</v>
      </c>
      <c r="D580" t="inlineStr">
        <is>
          <t>UPPSALA LÄN</t>
        </is>
      </c>
      <c r="E580" t="inlineStr">
        <is>
          <t>UPPSALA</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917-2022</t>
        </is>
      </c>
      <c r="B581" s="1" t="n">
        <v>44571</v>
      </c>
      <c r="C581" s="1" t="n">
        <v>45507</v>
      </c>
      <c r="D581" t="inlineStr">
        <is>
          <t>UPPSALA LÄN</t>
        </is>
      </c>
      <c r="E581" t="inlineStr">
        <is>
          <t>UPPSALA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874-2022</t>
        </is>
      </c>
      <c r="B582" s="1" t="n">
        <v>44571</v>
      </c>
      <c r="C582" s="1" t="n">
        <v>45507</v>
      </c>
      <c r="D582" t="inlineStr">
        <is>
          <t>UPPSALA LÄN</t>
        </is>
      </c>
      <c r="E582" t="inlineStr">
        <is>
          <t>UPPSALA</t>
        </is>
      </c>
      <c r="G582" t="n">
        <v>7.2</v>
      </c>
      <c r="H582" t="n">
        <v>0</v>
      </c>
      <c r="I582" t="n">
        <v>0</v>
      </c>
      <c r="J582" t="n">
        <v>0</v>
      </c>
      <c r="K582" t="n">
        <v>0</v>
      </c>
      <c r="L582" t="n">
        <v>0</v>
      </c>
      <c r="M582" t="n">
        <v>0</v>
      </c>
      <c r="N582" t="n">
        <v>0</v>
      </c>
      <c r="O582" t="n">
        <v>0</v>
      </c>
      <c r="P582" t="n">
        <v>0</v>
      </c>
      <c r="Q582" t="n">
        <v>0</v>
      </c>
      <c r="R582" s="2" t="inlineStr"/>
    </row>
    <row r="583" ht="15" customHeight="1">
      <c r="A583" t="inlineStr">
        <is>
          <t>A 1037-2022</t>
        </is>
      </c>
      <c r="B583" s="1" t="n">
        <v>44571</v>
      </c>
      <c r="C583" s="1" t="n">
        <v>45507</v>
      </c>
      <c r="D583" t="inlineStr">
        <is>
          <t>UPPSALA LÄN</t>
        </is>
      </c>
      <c r="E583" t="inlineStr">
        <is>
          <t>UPPSALA</t>
        </is>
      </c>
      <c r="F583" t="inlineStr">
        <is>
          <t>Holmen skog AB</t>
        </is>
      </c>
      <c r="G583" t="n">
        <v>2.7</v>
      </c>
      <c r="H583" t="n">
        <v>0</v>
      </c>
      <c r="I583" t="n">
        <v>0</v>
      </c>
      <c r="J583" t="n">
        <v>0</v>
      </c>
      <c r="K583" t="n">
        <v>0</v>
      </c>
      <c r="L583" t="n">
        <v>0</v>
      </c>
      <c r="M583" t="n">
        <v>0</v>
      </c>
      <c r="N583" t="n">
        <v>0</v>
      </c>
      <c r="O583" t="n">
        <v>0</v>
      </c>
      <c r="P583" t="n">
        <v>0</v>
      </c>
      <c r="Q583" t="n">
        <v>0</v>
      </c>
      <c r="R583" s="2" t="inlineStr"/>
    </row>
    <row r="584" ht="15" customHeight="1">
      <c r="A584" t="inlineStr">
        <is>
          <t>A 1148-2022</t>
        </is>
      </c>
      <c r="B584" s="1" t="n">
        <v>44572</v>
      </c>
      <c r="C584" s="1" t="n">
        <v>45507</v>
      </c>
      <c r="D584" t="inlineStr">
        <is>
          <t>UPPSALA LÄN</t>
        </is>
      </c>
      <c r="E584" t="inlineStr">
        <is>
          <t>UPPSALA</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1298-2022</t>
        </is>
      </c>
      <c r="B585" s="1" t="n">
        <v>44572</v>
      </c>
      <c r="C585" s="1" t="n">
        <v>45507</v>
      </c>
      <c r="D585" t="inlineStr">
        <is>
          <t>UPPSALA LÄN</t>
        </is>
      </c>
      <c r="E585" t="inlineStr">
        <is>
          <t>UPPSALA</t>
        </is>
      </c>
      <c r="F585" t="inlineStr">
        <is>
          <t>Holmen skog AB</t>
        </is>
      </c>
      <c r="G585" t="n">
        <v>5.3</v>
      </c>
      <c r="H585" t="n">
        <v>0</v>
      </c>
      <c r="I585" t="n">
        <v>0</v>
      </c>
      <c r="J585" t="n">
        <v>0</v>
      </c>
      <c r="K585" t="n">
        <v>0</v>
      </c>
      <c r="L585" t="n">
        <v>0</v>
      </c>
      <c r="M585" t="n">
        <v>0</v>
      </c>
      <c r="N585" t="n">
        <v>0</v>
      </c>
      <c r="O585" t="n">
        <v>0</v>
      </c>
      <c r="P585" t="n">
        <v>0</v>
      </c>
      <c r="Q585" t="n">
        <v>0</v>
      </c>
      <c r="R585" s="2" t="inlineStr"/>
    </row>
    <row r="586" ht="15" customHeight="1">
      <c r="A586" t="inlineStr">
        <is>
          <t>A 1731-2022</t>
        </is>
      </c>
      <c r="B586" s="1" t="n">
        <v>44574</v>
      </c>
      <c r="C586" s="1" t="n">
        <v>45507</v>
      </c>
      <c r="D586" t="inlineStr">
        <is>
          <t>UPPSALA LÄN</t>
        </is>
      </c>
      <c r="E586" t="inlineStr">
        <is>
          <t>UPPSALA</t>
        </is>
      </c>
      <c r="G586" t="n">
        <v>10.1</v>
      </c>
      <c r="H586" t="n">
        <v>0</v>
      </c>
      <c r="I586" t="n">
        <v>0</v>
      </c>
      <c r="J586" t="n">
        <v>0</v>
      </c>
      <c r="K586" t="n">
        <v>0</v>
      </c>
      <c r="L586" t="n">
        <v>0</v>
      </c>
      <c r="M586" t="n">
        <v>0</v>
      </c>
      <c r="N586" t="n">
        <v>0</v>
      </c>
      <c r="O586" t="n">
        <v>0</v>
      </c>
      <c r="P586" t="n">
        <v>0</v>
      </c>
      <c r="Q586" t="n">
        <v>0</v>
      </c>
      <c r="R586" s="2" t="inlineStr"/>
    </row>
    <row r="587" ht="15" customHeight="1">
      <c r="A587" t="inlineStr">
        <is>
          <t>A 1963-2022</t>
        </is>
      </c>
      <c r="B587" s="1" t="n">
        <v>44575</v>
      </c>
      <c r="C587" s="1" t="n">
        <v>45507</v>
      </c>
      <c r="D587" t="inlineStr">
        <is>
          <t>UPPSALA LÄN</t>
        </is>
      </c>
      <c r="E587" t="inlineStr">
        <is>
          <t>UPPSALA</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1975-2022</t>
        </is>
      </c>
      <c r="B588" s="1" t="n">
        <v>44575</v>
      </c>
      <c r="C588" s="1" t="n">
        <v>45507</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1936-2022</t>
        </is>
      </c>
      <c r="B589" s="1" t="n">
        <v>44575</v>
      </c>
      <c r="C589" s="1" t="n">
        <v>45507</v>
      </c>
      <c r="D589" t="inlineStr">
        <is>
          <t>UPPSALA LÄN</t>
        </is>
      </c>
      <c r="E589" t="inlineStr">
        <is>
          <t>UPPSALA</t>
        </is>
      </c>
      <c r="F589" t="inlineStr">
        <is>
          <t>Bergvik skog öst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1978-2022</t>
        </is>
      </c>
      <c r="B590" s="1" t="n">
        <v>44575</v>
      </c>
      <c r="C590" s="1" t="n">
        <v>45507</v>
      </c>
      <c r="D590" t="inlineStr">
        <is>
          <t>UPPSALA LÄN</t>
        </is>
      </c>
      <c r="E590" t="inlineStr">
        <is>
          <t>UPPSALA</t>
        </is>
      </c>
      <c r="G590" t="n">
        <v>1.5</v>
      </c>
      <c r="H590" t="n">
        <v>0</v>
      </c>
      <c r="I590" t="n">
        <v>0</v>
      </c>
      <c r="J590" t="n">
        <v>0</v>
      </c>
      <c r="K590" t="n">
        <v>0</v>
      </c>
      <c r="L590" t="n">
        <v>0</v>
      </c>
      <c r="M590" t="n">
        <v>0</v>
      </c>
      <c r="N590" t="n">
        <v>0</v>
      </c>
      <c r="O590" t="n">
        <v>0</v>
      </c>
      <c r="P590" t="n">
        <v>0</v>
      </c>
      <c r="Q590" t="n">
        <v>0</v>
      </c>
      <c r="R590" s="2" t="inlineStr"/>
    </row>
    <row r="591" ht="15" customHeight="1">
      <c r="A591" t="inlineStr">
        <is>
          <t>A 2017-2022</t>
        </is>
      </c>
      <c r="B591" s="1" t="n">
        <v>44575</v>
      </c>
      <c r="C591" s="1" t="n">
        <v>45507</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2228-2022</t>
        </is>
      </c>
      <c r="B592" s="1" t="n">
        <v>44578</v>
      </c>
      <c r="C592" s="1" t="n">
        <v>45507</v>
      </c>
      <c r="D592" t="inlineStr">
        <is>
          <t>UPPSALA LÄN</t>
        </is>
      </c>
      <c r="E592" t="inlineStr">
        <is>
          <t>UPPSALA</t>
        </is>
      </c>
      <c r="F592" t="inlineStr">
        <is>
          <t>Bergvik skog öst AB</t>
        </is>
      </c>
      <c r="G592" t="n">
        <v>3.9</v>
      </c>
      <c r="H592" t="n">
        <v>0</v>
      </c>
      <c r="I592" t="n">
        <v>0</v>
      </c>
      <c r="J592" t="n">
        <v>0</v>
      </c>
      <c r="K592" t="n">
        <v>0</v>
      </c>
      <c r="L592" t="n">
        <v>0</v>
      </c>
      <c r="M592" t="n">
        <v>0</v>
      </c>
      <c r="N592" t="n">
        <v>0</v>
      </c>
      <c r="O592" t="n">
        <v>0</v>
      </c>
      <c r="P592" t="n">
        <v>0</v>
      </c>
      <c r="Q592" t="n">
        <v>0</v>
      </c>
      <c r="R592" s="2" t="inlineStr"/>
    </row>
    <row r="593" ht="15" customHeight="1">
      <c r="A593" t="inlineStr">
        <is>
          <t>A 2927-2022</t>
        </is>
      </c>
      <c r="B593" s="1" t="n">
        <v>44581</v>
      </c>
      <c r="C593" s="1" t="n">
        <v>45507</v>
      </c>
      <c r="D593" t="inlineStr">
        <is>
          <t>UPPSALA LÄN</t>
        </is>
      </c>
      <c r="E593" t="inlineStr">
        <is>
          <t>UPPSALA</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3259-2022</t>
        </is>
      </c>
      <c r="B594" s="1" t="n">
        <v>44583</v>
      </c>
      <c r="C594" s="1" t="n">
        <v>45507</v>
      </c>
      <c r="D594" t="inlineStr">
        <is>
          <t>UPPSALA LÄN</t>
        </is>
      </c>
      <c r="E594" t="inlineStr">
        <is>
          <t>UPPSALA</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3261-2022</t>
        </is>
      </c>
      <c r="B595" s="1" t="n">
        <v>44583</v>
      </c>
      <c r="C595" s="1" t="n">
        <v>45507</v>
      </c>
      <c r="D595" t="inlineStr">
        <is>
          <t>UPPSALA LÄN</t>
        </is>
      </c>
      <c r="E595" t="inlineStr">
        <is>
          <t>UPPSALA</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3252-2022</t>
        </is>
      </c>
      <c r="B596" s="1" t="n">
        <v>44583</v>
      </c>
      <c r="C596" s="1" t="n">
        <v>45507</v>
      </c>
      <c r="D596" t="inlineStr">
        <is>
          <t>UPPSALA LÄN</t>
        </is>
      </c>
      <c r="E596" t="inlineStr">
        <is>
          <t>UPPSALA</t>
        </is>
      </c>
      <c r="F596" t="inlineStr">
        <is>
          <t>Holmen skog AB</t>
        </is>
      </c>
      <c r="G596" t="n">
        <v>3.7</v>
      </c>
      <c r="H596" t="n">
        <v>0</v>
      </c>
      <c r="I596" t="n">
        <v>0</v>
      </c>
      <c r="J596" t="n">
        <v>0</v>
      </c>
      <c r="K596" t="n">
        <v>0</v>
      </c>
      <c r="L596" t="n">
        <v>0</v>
      </c>
      <c r="M596" t="n">
        <v>0</v>
      </c>
      <c r="N596" t="n">
        <v>0</v>
      </c>
      <c r="O596" t="n">
        <v>0</v>
      </c>
      <c r="P596" t="n">
        <v>0</v>
      </c>
      <c r="Q596" t="n">
        <v>0</v>
      </c>
      <c r="R596" s="2" t="inlineStr"/>
    </row>
    <row r="597" ht="15" customHeight="1">
      <c r="A597" t="inlineStr">
        <is>
          <t>A 3258-2022</t>
        </is>
      </c>
      <c r="B597" s="1" t="n">
        <v>44583</v>
      </c>
      <c r="C597" s="1" t="n">
        <v>45507</v>
      </c>
      <c r="D597" t="inlineStr">
        <is>
          <t>UPPSALA LÄN</t>
        </is>
      </c>
      <c r="E597" t="inlineStr">
        <is>
          <t>UPPSALA</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3262-2022</t>
        </is>
      </c>
      <c r="B598" s="1" t="n">
        <v>44583</v>
      </c>
      <c r="C598" s="1" t="n">
        <v>45507</v>
      </c>
      <c r="D598" t="inlineStr">
        <is>
          <t>UPPSALA LÄN</t>
        </is>
      </c>
      <c r="E598" t="inlineStr">
        <is>
          <t>UPPSALA</t>
        </is>
      </c>
      <c r="F598" t="inlineStr">
        <is>
          <t>Holmen skog AB</t>
        </is>
      </c>
      <c r="G598" t="n">
        <v>5.4</v>
      </c>
      <c r="H598" t="n">
        <v>0</v>
      </c>
      <c r="I598" t="n">
        <v>0</v>
      </c>
      <c r="J598" t="n">
        <v>0</v>
      </c>
      <c r="K598" t="n">
        <v>0</v>
      </c>
      <c r="L598" t="n">
        <v>0</v>
      </c>
      <c r="M598" t="n">
        <v>0</v>
      </c>
      <c r="N598" t="n">
        <v>0</v>
      </c>
      <c r="O598" t="n">
        <v>0</v>
      </c>
      <c r="P598" t="n">
        <v>0</v>
      </c>
      <c r="Q598" t="n">
        <v>0</v>
      </c>
      <c r="R598" s="2" t="inlineStr"/>
    </row>
    <row r="599" ht="15" customHeight="1">
      <c r="A599" t="inlineStr">
        <is>
          <t>A 3255-2022</t>
        </is>
      </c>
      <c r="B599" s="1" t="n">
        <v>44583</v>
      </c>
      <c r="C599" s="1" t="n">
        <v>45507</v>
      </c>
      <c r="D599" t="inlineStr">
        <is>
          <t>UPPSALA LÄN</t>
        </is>
      </c>
      <c r="E599" t="inlineStr">
        <is>
          <t>UPPSALA</t>
        </is>
      </c>
      <c r="F599" t="inlineStr">
        <is>
          <t>Holmen skog AB</t>
        </is>
      </c>
      <c r="G599" t="n">
        <v>5.6</v>
      </c>
      <c r="H599" t="n">
        <v>0</v>
      </c>
      <c r="I599" t="n">
        <v>0</v>
      </c>
      <c r="J599" t="n">
        <v>0</v>
      </c>
      <c r="K599" t="n">
        <v>0</v>
      </c>
      <c r="L599" t="n">
        <v>0</v>
      </c>
      <c r="M599" t="n">
        <v>0</v>
      </c>
      <c r="N599" t="n">
        <v>0</v>
      </c>
      <c r="O599" t="n">
        <v>0</v>
      </c>
      <c r="P599" t="n">
        <v>0</v>
      </c>
      <c r="Q599" t="n">
        <v>0</v>
      </c>
      <c r="R599" s="2" t="inlineStr"/>
    </row>
    <row r="600" ht="15" customHeight="1">
      <c r="A600" t="inlineStr">
        <is>
          <t>A 3260-2022</t>
        </is>
      </c>
      <c r="B600" s="1" t="n">
        <v>44583</v>
      </c>
      <c r="C600" s="1" t="n">
        <v>45507</v>
      </c>
      <c r="D600" t="inlineStr">
        <is>
          <t>UPPSALA LÄN</t>
        </is>
      </c>
      <c r="E600" t="inlineStr">
        <is>
          <t>UPPSALA</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3284-2022</t>
        </is>
      </c>
      <c r="B601" s="1" t="n">
        <v>44584</v>
      </c>
      <c r="C601" s="1" t="n">
        <v>45507</v>
      </c>
      <c r="D601" t="inlineStr">
        <is>
          <t>UPPSALA LÄN</t>
        </is>
      </c>
      <c r="E601" t="inlineStr">
        <is>
          <t>UPPSALA</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3287-2022</t>
        </is>
      </c>
      <c r="B602" s="1" t="n">
        <v>44584</v>
      </c>
      <c r="C602" s="1" t="n">
        <v>45507</v>
      </c>
      <c r="D602" t="inlineStr">
        <is>
          <t>UPPSALA LÄN</t>
        </is>
      </c>
      <c r="E602" t="inlineStr">
        <is>
          <t>UPPSALA</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4059-2022</t>
        </is>
      </c>
      <c r="B603" s="1" t="n">
        <v>44588</v>
      </c>
      <c r="C603" s="1" t="n">
        <v>45507</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4312-2022</t>
        </is>
      </c>
      <c r="B604" s="1" t="n">
        <v>44588</v>
      </c>
      <c r="C604" s="1" t="n">
        <v>45507</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4444-2022</t>
        </is>
      </c>
      <c r="B605" s="1" t="n">
        <v>44589</v>
      </c>
      <c r="C605" s="1" t="n">
        <v>45507</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4929-2022</t>
        </is>
      </c>
      <c r="B606" s="1" t="n">
        <v>44593</v>
      </c>
      <c r="C606" s="1" t="n">
        <v>45507</v>
      </c>
      <c r="D606" t="inlineStr">
        <is>
          <t>UPPSALA LÄN</t>
        </is>
      </c>
      <c r="E606" t="inlineStr">
        <is>
          <t>UPPSALA</t>
        </is>
      </c>
      <c r="G606" t="n">
        <v>2.4</v>
      </c>
      <c r="H606" t="n">
        <v>0</v>
      </c>
      <c r="I606" t="n">
        <v>0</v>
      </c>
      <c r="J606" t="n">
        <v>0</v>
      </c>
      <c r="K606" t="n">
        <v>0</v>
      </c>
      <c r="L606" t="n">
        <v>0</v>
      </c>
      <c r="M606" t="n">
        <v>0</v>
      </c>
      <c r="N606" t="n">
        <v>0</v>
      </c>
      <c r="O606" t="n">
        <v>0</v>
      </c>
      <c r="P606" t="n">
        <v>0</v>
      </c>
      <c r="Q606" t="n">
        <v>0</v>
      </c>
      <c r="R606" s="2" t="inlineStr"/>
    </row>
    <row r="607" ht="15" customHeight="1">
      <c r="A607" t="inlineStr">
        <is>
          <t>A 5027-2022</t>
        </is>
      </c>
      <c r="B607" s="1" t="n">
        <v>44593</v>
      </c>
      <c r="C607" s="1" t="n">
        <v>45507</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5081-2022</t>
        </is>
      </c>
      <c r="B608" s="1" t="n">
        <v>44593</v>
      </c>
      <c r="C608" s="1" t="n">
        <v>45507</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5007-2022</t>
        </is>
      </c>
      <c r="B609" s="1" t="n">
        <v>44593</v>
      </c>
      <c r="C609" s="1" t="n">
        <v>45507</v>
      </c>
      <c r="D609" t="inlineStr">
        <is>
          <t>UPPSALA LÄN</t>
        </is>
      </c>
      <c r="E609" t="inlineStr">
        <is>
          <t>UPPSALA</t>
        </is>
      </c>
      <c r="F609" t="inlineStr">
        <is>
          <t>BillerudKorsnäs AB</t>
        </is>
      </c>
      <c r="G609" t="n">
        <v>3.6</v>
      </c>
      <c r="H609" t="n">
        <v>0</v>
      </c>
      <c r="I609" t="n">
        <v>0</v>
      </c>
      <c r="J609" t="n">
        <v>0</v>
      </c>
      <c r="K609" t="n">
        <v>0</v>
      </c>
      <c r="L609" t="n">
        <v>0</v>
      </c>
      <c r="M609" t="n">
        <v>0</v>
      </c>
      <c r="N609" t="n">
        <v>0</v>
      </c>
      <c r="O609" t="n">
        <v>0</v>
      </c>
      <c r="P609" t="n">
        <v>0</v>
      </c>
      <c r="Q609" t="n">
        <v>0</v>
      </c>
      <c r="R609" s="2" t="inlineStr"/>
    </row>
    <row r="610" ht="15" customHeight="1">
      <c r="A610" t="inlineStr">
        <is>
          <t>A 5006-2022</t>
        </is>
      </c>
      <c r="B610" s="1" t="n">
        <v>44593</v>
      </c>
      <c r="C610" s="1" t="n">
        <v>45507</v>
      </c>
      <c r="D610" t="inlineStr">
        <is>
          <t>UPPSALA LÄN</t>
        </is>
      </c>
      <c r="E610" t="inlineStr">
        <is>
          <t>UPPSALA</t>
        </is>
      </c>
      <c r="F610" t="inlineStr">
        <is>
          <t>BillerudKorsnäs AB</t>
        </is>
      </c>
      <c r="G610" t="n">
        <v>1.4</v>
      </c>
      <c r="H610" t="n">
        <v>0</v>
      </c>
      <c r="I610" t="n">
        <v>0</v>
      </c>
      <c r="J610" t="n">
        <v>0</v>
      </c>
      <c r="K610" t="n">
        <v>0</v>
      </c>
      <c r="L610" t="n">
        <v>0</v>
      </c>
      <c r="M610" t="n">
        <v>0</v>
      </c>
      <c r="N610" t="n">
        <v>0</v>
      </c>
      <c r="O610" t="n">
        <v>0</v>
      </c>
      <c r="P610" t="n">
        <v>0</v>
      </c>
      <c r="Q610" t="n">
        <v>0</v>
      </c>
      <c r="R610" s="2" t="inlineStr"/>
    </row>
    <row r="611" ht="15" customHeight="1">
      <c r="A611" t="inlineStr">
        <is>
          <t>A 5028-2022</t>
        </is>
      </c>
      <c r="B611" s="1" t="n">
        <v>44593</v>
      </c>
      <c r="C611" s="1" t="n">
        <v>45507</v>
      </c>
      <c r="D611" t="inlineStr">
        <is>
          <t>UPPSALA LÄN</t>
        </is>
      </c>
      <c r="E611" t="inlineStr">
        <is>
          <t>UPPSALA</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5309-2022</t>
        </is>
      </c>
      <c r="B612" s="1" t="n">
        <v>44594</v>
      </c>
      <c r="C612" s="1" t="n">
        <v>45507</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5189-2022</t>
        </is>
      </c>
      <c r="B613" s="1" t="n">
        <v>44594</v>
      </c>
      <c r="C613" s="1" t="n">
        <v>45507</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5924-2022</t>
        </is>
      </c>
      <c r="B614" s="1" t="n">
        <v>44598</v>
      </c>
      <c r="C614" s="1" t="n">
        <v>45507</v>
      </c>
      <c r="D614" t="inlineStr">
        <is>
          <t>UPPSALA LÄN</t>
        </is>
      </c>
      <c r="E614" t="inlineStr">
        <is>
          <t>UPPSALA</t>
        </is>
      </c>
      <c r="G614" t="n">
        <v>6.8</v>
      </c>
      <c r="H614" t="n">
        <v>0</v>
      </c>
      <c r="I614" t="n">
        <v>0</v>
      </c>
      <c r="J614" t="n">
        <v>0</v>
      </c>
      <c r="K614" t="n">
        <v>0</v>
      </c>
      <c r="L614" t="n">
        <v>0</v>
      </c>
      <c r="M614" t="n">
        <v>0</v>
      </c>
      <c r="N614" t="n">
        <v>0</v>
      </c>
      <c r="O614" t="n">
        <v>0</v>
      </c>
      <c r="P614" t="n">
        <v>0</v>
      </c>
      <c r="Q614" t="n">
        <v>0</v>
      </c>
      <c r="R614" s="2" t="inlineStr"/>
    </row>
    <row r="615" ht="15" customHeight="1">
      <c r="A615" t="inlineStr">
        <is>
          <t>A 5989-2022</t>
        </is>
      </c>
      <c r="B615" s="1" t="n">
        <v>44599</v>
      </c>
      <c r="C615" s="1" t="n">
        <v>45507</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6009-2022</t>
        </is>
      </c>
      <c r="B616" s="1" t="n">
        <v>44599</v>
      </c>
      <c r="C616" s="1" t="n">
        <v>45507</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5996-2022</t>
        </is>
      </c>
      <c r="B617" s="1" t="n">
        <v>44599</v>
      </c>
      <c r="C617" s="1" t="n">
        <v>45507</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6339-2022</t>
        </is>
      </c>
      <c r="B618" s="1" t="n">
        <v>44600</v>
      </c>
      <c r="C618" s="1" t="n">
        <v>45507</v>
      </c>
      <c r="D618" t="inlineStr">
        <is>
          <t>UPPSALA LÄN</t>
        </is>
      </c>
      <c r="E618" t="inlineStr">
        <is>
          <t>UPPSALA</t>
        </is>
      </c>
      <c r="G618" t="n">
        <v>18.7</v>
      </c>
      <c r="H618" t="n">
        <v>0</v>
      </c>
      <c r="I618" t="n">
        <v>0</v>
      </c>
      <c r="J618" t="n">
        <v>0</v>
      </c>
      <c r="K618" t="n">
        <v>0</v>
      </c>
      <c r="L618" t="n">
        <v>0</v>
      </c>
      <c r="M618" t="n">
        <v>0</v>
      </c>
      <c r="N618" t="n">
        <v>0</v>
      </c>
      <c r="O618" t="n">
        <v>0</v>
      </c>
      <c r="P618" t="n">
        <v>0</v>
      </c>
      <c r="Q618" t="n">
        <v>0</v>
      </c>
      <c r="R618" s="2" t="inlineStr"/>
    </row>
    <row r="619" ht="15" customHeight="1">
      <c r="A619" t="inlineStr">
        <is>
          <t>A 6408-2022</t>
        </is>
      </c>
      <c r="B619" s="1" t="n">
        <v>44600</v>
      </c>
      <c r="C619" s="1" t="n">
        <v>45507</v>
      </c>
      <c r="D619" t="inlineStr">
        <is>
          <t>UPPSALA LÄN</t>
        </is>
      </c>
      <c r="E619" t="inlineStr">
        <is>
          <t>UPPSALA</t>
        </is>
      </c>
      <c r="F619" t="inlineStr">
        <is>
          <t>Bergvik skog öst AB</t>
        </is>
      </c>
      <c r="G619" t="n">
        <v>1.8</v>
      </c>
      <c r="H619" t="n">
        <v>0</v>
      </c>
      <c r="I619" t="n">
        <v>0</v>
      </c>
      <c r="J619" t="n">
        <v>0</v>
      </c>
      <c r="K619" t="n">
        <v>0</v>
      </c>
      <c r="L619" t="n">
        <v>0</v>
      </c>
      <c r="M619" t="n">
        <v>0</v>
      </c>
      <c r="N619" t="n">
        <v>0</v>
      </c>
      <c r="O619" t="n">
        <v>0</v>
      </c>
      <c r="P619" t="n">
        <v>0</v>
      </c>
      <c r="Q619" t="n">
        <v>0</v>
      </c>
      <c r="R619" s="2" t="inlineStr"/>
    </row>
    <row r="620" ht="15" customHeight="1">
      <c r="A620" t="inlineStr">
        <is>
          <t>A 6717-2022</t>
        </is>
      </c>
      <c r="B620" s="1" t="n">
        <v>44602</v>
      </c>
      <c r="C620" s="1" t="n">
        <v>45507</v>
      </c>
      <c r="D620" t="inlineStr">
        <is>
          <t>UPPSALA LÄN</t>
        </is>
      </c>
      <c r="E620" t="inlineStr">
        <is>
          <t>UPPSALA</t>
        </is>
      </c>
      <c r="F620" t="inlineStr">
        <is>
          <t>Övriga Aktiebolag</t>
        </is>
      </c>
      <c r="G620" t="n">
        <v>6.7</v>
      </c>
      <c r="H620" t="n">
        <v>0</v>
      </c>
      <c r="I620" t="n">
        <v>0</v>
      </c>
      <c r="J620" t="n">
        <v>0</v>
      </c>
      <c r="K620" t="n">
        <v>0</v>
      </c>
      <c r="L620" t="n">
        <v>0</v>
      </c>
      <c r="M620" t="n">
        <v>0</v>
      </c>
      <c r="N620" t="n">
        <v>0</v>
      </c>
      <c r="O620" t="n">
        <v>0</v>
      </c>
      <c r="P620" t="n">
        <v>0</v>
      </c>
      <c r="Q620" t="n">
        <v>0</v>
      </c>
      <c r="R620" s="2" t="inlineStr"/>
    </row>
    <row r="621" ht="15" customHeight="1">
      <c r="A621" t="inlineStr">
        <is>
          <t>A 6853-2022</t>
        </is>
      </c>
      <c r="B621" s="1" t="n">
        <v>44602</v>
      </c>
      <c r="C621" s="1" t="n">
        <v>45507</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6863-2022</t>
        </is>
      </c>
      <c r="B622" s="1" t="n">
        <v>44602</v>
      </c>
      <c r="C622" s="1" t="n">
        <v>45507</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6850-2022</t>
        </is>
      </c>
      <c r="B623" s="1" t="n">
        <v>44602</v>
      </c>
      <c r="C623" s="1" t="n">
        <v>45507</v>
      </c>
      <c r="D623" t="inlineStr">
        <is>
          <t>UPPSALA LÄN</t>
        </is>
      </c>
      <c r="E623" t="inlineStr">
        <is>
          <t>UPPSALA</t>
        </is>
      </c>
      <c r="G623" t="n">
        <v>3.7</v>
      </c>
      <c r="H623" t="n">
        <v>0</v>
      </c>
      <c r="I623" t="n">
        <v>0</v>
      </c>
      <c r="J623" t="n">
        <v>0</v>
      </c>
      <c r="K623" t="n">
        <v>0</v>
      </c>
      <c r="L623" t="n">
        <v>0</v>
      </c>
      <c r="M623" t="n">
        <v>0</v>
      </c>
      <c r="N623" t="n">
        <v>0</v>
      </c>
      <c r="O623" t="n">
        <v>0</v>
      </c>
      <c r="P623" t="n">
        <v>0</v>
      </c>
      <c r="Q623" t="n">
        <v>0</v>
      </c>
      <c r="R623" s="2" t="inlineStr"/>
    </row>
    <row r="624" ht="15" customHeight="1">
      <c r="A624" t="inlineStr">
        <is>
          <t>A 6851-2022</t>
        </is>
      </c>
      <c r="B624" s="1" t="n">
        <v>44602</v>
      </c>
      <c r="C624" s="1" t="n">
        <v>45507</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6855-2022</t>
        </is>
      </c>
      <c r="B625" s="1" t="n">
        <v>44602</v>
      </c>
      <c r="C625" s="1" t="n">
        <v>45507</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6860-2022</t>
        </is>
      </c>
      <c r="B626" s="1" t="n">
        <v>44602</v>
      </c>
      <c r="C626" s="1" t="n">
        <v>45507</v>
      </c>
      <c r="D626" t="inlineStr">
        <is>
          <t>UPPSALA LÄN</t>
        </is>
      </c>
      <c r="E626" t="inlineStr">
        <is>
          <t>UPPSALA</t>
        </is>
      </c>
      <c r="G626" t="n">
        <v>14.8</v>
      </c>
      <c r="H626" t="n">
        <v>0</v>
      </c>
      <c r="I626" t="n">
        <v>0</v>
      </c>
      <c r="J626" t="n">
        <v>0</v>
      </c>
      <c r="K626" t="n">
        <v>0</v>
      </c>
      <c r="L626" t="n">
        <v>0</v>
      </c>
      <c r="M626" t="n">
        <v>0</v>
      </c>
      <c r="N626" t="n">
        <v>0</v>
      </c>
      <c r="O626" t="n">
        <v>0</v>
      </c>
      <c r="P626" t="n">
        <v>0</v>
      </c>
      <c r="Q626" t="n">
        <v>0</v>
      </c>
      <c r="R626" s="2" t="inlineStr"/>
    </row>
    <row r="627" ht="15" customHeight="1">
      <c r="A627" t="inlineStr">
        <is>
          <t>A 6989-2022</t>
        </is>
      </c>
      <c r="B627" s="1" t="n">
        <v>44603</v>
      </c>
      <c r="C627" s="1" t="n">
        <v>45507</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7040-2022</t>
        </is>
      </c>
      <c r="B628" s="1" t="n">
        <v>44603</v>
      </c>
      <c r="C628" s="1" t="n">
        <v>45507</v>
      </c>
      <c r="D628" t="inlineStr">
        <is>
          <t>UPPSALA LÄN</t>
        </is>
      </c>
      <c r="E628" t="inlineStr">
        <is>
          <t>UPPSALA</t>
        </is>
      </c>
      <c r="G628" t="n">
        <v>3.9</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45507</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7409-2022</t>
        </is>
      </c>
      <c r="B630" s="1" t="n">
        <v>44606</v>
      </c>
      <c r="C630" s="1" t="n">
        <v>45507</v>
      </c>
      <c r="D630" t="inlineStr">
        <is>
          <t>UPPSALA LÄN</t>
        </is>
      </c>
      <c r="E630" t="inlineStr">
        <is>
          <t>UPPSALA</t>
        </is>
      </c>
      <c r="G630" t="n">
        <v>4.3</v>
      </c>
      <c r="H630" t="n">
        <v>0</v>
      </c>
      <c r="I630" t="n">
        <v>0</v>
      </c>
      <c r="J630" t="n">
        <v>0</v>
      </c>
      <c r="K630" t="n">
        <v>0</v>
      </c>
      <c r="L630" t="n">
        <v>0</v>
      </c>
      <c r="M630" t="n">
        <v>0</v>
      </c>
      <c r="N630" t="n">
        <v>0</v>
      </c>
      <c r="O630" t="n">
        <v>0</v>
      </c>
      <c r="P630" t="n">
        <v>0</v>
      </c>
      <c r="Q630" t="n">
        <v>0</v>
      </c>
      <c r="R630" s="2" t="inlineStr"/>
    </row>
    <row r="631" ht="15" customHeight="1">
      <c r="A631" t="inlineStr">
        <is>
          <t>A 7899-2022</t>
        </is>
      </c>
      <c r="B631" s="1" t="n">
        <v>44608</v>
      </c>
      <c r="C631" s="1" t="n">
        <v>45507</v>
      </c>
      <c r="D631" t="inlineStr">
        <is>
          <t>UPPSALA LÄN</t>
        </is>
      </c>
      <c r="E631" t="inlineStr">
        <is>
          <t>UPPSALA</t>
        </is>
      </c>
      <c r="F631" t="inlineStr">
        <is>
          <t>Övriga Aktiebolag</t>
        </is>
      </c>
      <c r="G631" t="n">
        <v>7.1</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45507</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7996-2022</t>
        </is>
      </c>
      <c r="B633" s="1" t="n">
        <v>44609</v>
      </c>
      <c r="C633" s="1" t="n">
        <v>45507</v>
      </c>
      <c r="D633" t="inlineStr">
        <is>
          <t>UPPSALA LÄN</t>
        </is>
      </c>
      <c r="E633" t="inlineStr">
        <is>
          <t>UPPSALA</t>
        </is>
      </c>
      <c r="F633" t="inlineStr">
        <is>
          <t>Övriga Aktiebolag</t>
        </is>
      </c>
      <c r="G633" t="n">
        <v>2.9</v>
      </c>
      <c r="H633" t="n">
        <v>0</v>
      </c>
      <c r="I633" t="n">
        <v>0</v>
      </c>
      <c r="J633" t="n">
        <v>0</v>
      </c>
      <c r="K633" t="n">
        <v>0</v>
      </c>
      <c r="L633" t="n">
        <v>0</v>
      </c>
      <c r="M633" t="n">
        <v>0</v>
      </c>
      <c r="N633" t="n">
        <v>0</v>
      </c>
      <c r="O633" t="n">
        <v>0</v>
      </c>
      <c r="P633" t="n">
        <v>0</v>
      </c>
      <c r="Q633" t="n">
        <v>0</v>
      </c>
      <c r="R633" s="2" t="inlineStr"/>
    </row>
    <row r="634" ht="15" customHeight="1">
      <c r="A634" t="inlineStr">
        <is>
          <t>A 8007-2022</t>
        </is>
      </c>
      <c r="B634" s="1" t="n">
        <v>44609</v>
      </c>
      <c r="C634" s="1" t="n">
        <v>45507</v>
      </c>
      <c r="D634" t="inlineStr">
        <is>
          <t>UPPSALA LÄN</t>
        </is>
      </c>
      <c r="E634" t="inlineStr">
        <is>
          <t>UPPSALA</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8132-2022</t>
        </is>
      </c>
      <c r="B635" s="1" t="n">
        <v>44609</v>
      </c>
      <c r="C635" s="1" t="n">
        <v>45507</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8139-2022</t>
        </is>
      </c>
      <c r="B636" s="1" t="n">
        <v>44609</v>
      </c>
      <c r="C636" s="1" t="n">
        <v>45507</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8404-2022</t>
        </is>
      </c>
      <c r="B637" s="1" t="n">
        <v>44610</v>
      </c>
      <c r="C637" s="1" t="n">
        <v>45507</v>
      </c>
      <c r="D637" t="inlineStr">
        <is>
          <t>UPPSALA LÄN</t>
        </is>
      </c>
      <c r="E637" t="inlineStr">
        <is>
          <t>UPPSALA</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8475-2022</t>
        </is>
      </c>
      <c r="B638" s="1" t="n">
        <v>44610</v>
      </c>
      <c r="C638" s="1" t="n">
        <v>45507</v>
      </c>
      <c r="D638" t="inlineStr">
        <is>
          <t>UPPSALA LÄN</t>
        </is>
      </c>
      <c r="E638" t="inlineStr">
        <is>
          <t>UPPSALA</t>
        </is>
      </c>
      <c r="F638" t="inlineStr">
        <is>
          <t>Allmännings- och besparingsskogar</t>
        </is>
      </c>
      <c r="G638" t="n">
        <v>32.7</v>
      </c>
      <c r="H638" t="n">
        <v>0</v>
      </c>
      <c r="I638" t="n">
        <v>0</v>
      </c>
      <c r="J638" t="n">
        <v>0</v>
      </c>
      <c r="K638" t="n">
        <v>0</v>
      </c>
      <c r="L638" t="n">
        <v>0</v>
      </c>
      <c r="M638" t="n">
        <v>0</v>
      </c>
      <c r="N638" t="n">
        <v>0</v>
      </c>
      <c r="O638" t="n">
        <v>0</v>
      </c>
      <c r="P638" t="n">
        <v>0</v>
      </c>
      <c r="Q638" t="n">
        <v>0</v>
      </c>
      <c r="R638" s="2" t="inlineStr"/>
    </row>
    <row r="639" ht="15" customHeight="1">
      <c r="A639" t="inlineStr">
        <is>
          <t>A 8465-2022</t>
        </is>
      </c>
      <c r="B639" s="1" t="n">
        <v>44610</v>
      </c>
      <c r="C639" s="1" t="n">
        <v>45507</v>
      </c>
      <c r="D639" t="inlineStr">
        <is>
          <t>UPPSALA LÄN</t>
        </is>
      </c>
      <c r="E639" t="inlineStr">
        <is>
          <t>UPPSALA</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8451-2022</t>
        </is>
      </c>
      <c r="B640" s="1" t="n">
        <v>44612</v>
      </c>
      <c r="C640" s="1" t="n">
        <v>45507</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8877-2022</t>
        </is>
      </c>
      <c r="B641" s="1" t="n">
        <v>44614</v>
      </c>
      <c r="C641" s="1" t="n">
        <v>45507</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8933-2022</t>
        </is>
      </c>
      <c r="B642" s="1" t="n">
        <v>44614</v>
      </c>
      <c r="C642" s="1" t="n">
        <v>45507</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9206-2022</t>
        </is>
      </c>
      <c r="B643" s="1" t="n">
        <v>44616</v>
      </c>
      <c r="C643" s="1" t="n">
        <v>45507</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9242-2022</t>
        </is>
      </c>
      <c r="B644" s="1" t="n">
        <v>44616</v>
      </c>
      <c r="C644" s="1" t="n">
        <v>45507</v>
      </c>
      <c r="D644" t="inlineStr">
        <is>
          <t>UPPSALA LÄN</t>
        </is>
      </c>
      <c r="E644" t="inlineStr">
        <is>
          <t>UPPSALA</t>
        </is>
      </c>
      <c r="F644" t="inlineStr">
        <is>
          <t>Övriga Aktiebolag</t>
        </is>
      </c>
      <c r="G644" t="n">
        <v>5.9</v>
      </c>
      <c r="H644" t="n">
        <v>0</v>
      </c>
      <c r="I644" t="n">
        <v>0</v>
      </c>
      <c r="J644" t="n">
        <v>0</v>
      </c>
      <c r="K644" t="n">
        <v>0</v>
      </c>
      <c r="L644" t="n">
        <v>0</v>
      </c>
      <c r="M644" t="n">
        <v>0</v>
      </c>
      <c r="N644" t="n">
        <v>0</v>
      </c>
      <c r="O644" t="n">
        <v>0</v>
      </c>
      <c r="P644" t="n">
        <v>0</v>
      </c>
      <c r="Q644" t="n">
        <v>0</v>
      </c>
      <c r="R644" s="2" t="inlineStr"/>
    </row>
    <row r="645" ht="15" customHeight="1">
      <c r="A645" t="inlineStr">
        <is>
          <t>A 9592-2022</t>
        </is>
      </c>
      <c r="B645" s="1" t="n">
        <v>44617</v>
      </c>
      <c r="C645" s="1" t="n">
        <v>45507</v>
      </c>
      <c r="D645" t="inlineStr">
        <is>
          <t>UPPSALA LÄN</t>
        </is>
      </c>
      <c r="E645" t="inlineStr">
        <is>
          <t>UPPSALA</t>
        </is>
      </c>
      <c r="G645" t="n">
        <v>7.5</v>
      </c>
      <c r="H645" t="n">
        <v>0</v>
      </c>
      <c r="I645" t="n">
        <v>0</v>
      </c>
      <c r="J645" t="n">
        <v>0</v>
      </c>
      <c r="K645" t="n">
        <v>0</v>
      </c>
      <c r="L645" t="n">
        <v>0</v>
      </c>
      <c r="M645" t="n">
        <v>0</v>
      </c>
      <c r="N645" t="n">
        <v>0</v>
      </c>
      <c r="O645" t="n">
        <v>0</v>
      </c>
      <c r="P645" t="n">
        <v>0</v>
      </c>
      <c r="Q645" t="n">
        <v>0</v>
      </c>
      <c r="R645" s="2" t="inlineStr"/>
    </row>
    <row r="646" ht="15" customHeight="1">
      <c r="A646" t="inlineStr">
        <is>
          <t>A 10411-2022</t>
        </is>
      </c>
      <c r="B646" s="1" t="n">
        <v>44623</v>
      </c>
      <c r="C646" s="1" t="n">
        <v>45507</v>
      </c>
      <c r="D646" t="inlineStr">
        <is>
          <t>UPPSALA LÄN</t>
        </is>
      </c>
      <c r="E646" t="inlineStr">
        <is>
          <t>UPPSALA</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10383-2022</t>
        </is>
      </c>
      <c r="B647" s="1" t="n">
        <v>44623</v>
      </c>
      <c r="C647" s="1" t="n">
        <v>45507</v>
      </c>
      <c r="D647" t="inlineStr">
        <is>
          <t>UPPSALA LÄN</t>
        </is>
      </c>
      <c r="E647" t="inlineStr">
        <is>
          <t>UPPSALA</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10456-2022</t>
        </is>
      </c>
      <c r="B648" s="1" t="n">
        <v>44623</v>
      </c>
      <c r="C648" s="1" t="n">
        <v>45507</v>
      </c>
      <c r="D648" t="inlineStr">
        <is>
          <t>UPPSALA LÄN</t>
        </is>
      </c>
      <c r="E648" t="inlineStr">
        <is>
          <t>UPPSALA</t>
        </is>
      </c>
      <c r="F648" t="inlineStr">
        <is>
          <t>Övriga Aktiebolag</t>
        </is>
      </c>
      <c r="G648" t="n">
        <v>12.6</v>
      </c>
      <c r="H648" t="n">
        <v>0</v>
      </c>
      <c r="I648" t="n">
        <v>0</v>
      </c>
      <c r="J648" t="n">
        <v>0</v>
      </c>
      <c r="K648" t="n">
        <v>0</v>
      </c>
      <c r="L648" t="n">
        <v>0</v>
      </c>
      <c r="M648" t="n">
        <v>0</v>
      </c>
      <c r="N648" t="n">
        <v>0</v>
      </c>
      <c r="O648" t="n">
        <v>0</v>
      </c>
      <c r="P648" t="n">
        <v>0</v>
      </c>
      <c r="Q648" t="n">
        <v>0</v>
      </c>
      <c r="R648" s="2" t="inlineStr"/>
    </row>
    <row r="649" ht="15" customHeight="1">
      <c r="A649" t="inlineStr">
        <is>
          <t>A 10464-2022</t>
        </is>
      </c>
      <c r="B649" s="1" t="n">
        <v>44623</v>
      </c>
      <c r="C649" s="1" t="n">
        <v>45507</v>
      </c>
      <c r="D649" t="inlineStr">
        <is>
          <t>UPPSALA LÄN</t>
        </is>
      </c>
      <c r="E649" t="inlineStr">
        <is>
          <t>UPPSALA</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10565-2022</t>
        </is>
      </c>
      <c r="B650" s="1" t="n">
        <v>44624</v>
      </c>
      <c r="C650" s="1" t="n">
        <v>45507</v>
      </c>
      <c r="D650" t="inlineStr">
        <is>
          <t>UPPSALA LÄN</t>
        </is>
      </c>
      <c r="E650" t="inlineStr">
        <is>
          <t>UPPSALA</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10674-2022</t>
        </is>
      </c>
      <c r="B651" s="1" t="n">
        <v>44624</v>
      </c>
      <c r="C651" s="1" t="n">
        <v>45507</v>
      </c>
      <c r="D651" t="inlineStr">
        <is>
          <t>UPPSALA LÄN</t>
        </is>
      </c>
      <c r="E651" t="inlineStr">
        <is>
          <t>UPPSALA</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11162-2022</t>
        </is>
      </c>
      <c r="B652" s="1" t="n">
        <v>44629</v>
      </c>
      <c r="C652" s="1" t="n">
        <v>45507</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11224-2022</t>
        </is>
      </c>
      <c r="B653" s="1" t="n">
        <v>44629</v>
      </c>
      <c r="C653" s="1" t="n">
        <v>45507</v>
      </c>
      <c r="D653" t="inlineStr">
        <is>
          <t>UPPSALA LÄN</t>
        </is>
      </c>
      <c r="E653" t="inlineStr">
        <is>
          <t>UPPSALA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11787-2022</t>
        </is>
      </c>
      <c r="B654" s="1" t="n">
        <v>44634</v>
      </c>
      <c r="C654" s="1" t="n">
        <v>45507</v>
      </c>
      <c r="D654" t="inlineStr">
        <is>
          <t>UPPSALA LÄN</t>
        </is>
      </c>
      <c r="E654" t="inlineStr">
        <is>
          <t>UPPSALA</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11693-2022</t>
        </is>
      </c>
      <c r="B655" s="1" t="n">
        <v>44634</v>
      </c>
      <c r="C655" s="1" t="n">
        <v>45507</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12221-2022</t>
        </is>
      </c>
      <c r="B656" s="1" t="n">
        <v>44637</v>
      </c>
      <c r="C656" s="1" t="n">
        <v>45507</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12293-2022</t>
        </is>
      </c>
      <c r="B657" s="1" t="n">
        <v>44637</v>
      </c>
      <c r="C657" s="1" t="n">
        <v>45507</v>
      </c>
      <c r="D657" t="inlineStr">
        <is>
          <t>UPPSALA LÄN</t>
        </is>
      </c>
      <c r="E657" t="inlineStr">
        <is>
          <t>UPPSALA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13009-2022</t>
        </is>
      </c>
      <c r="B658" s="1" t="n">
        <v>44643</v>
      </c>
      <c r="C658" s="1" t="n">
        <v>45507</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13134-2022</t>
        </is>
      </c>
      <c r="B659" s="1" t="n">
        <v>44644</v>
      </c>
      <c r="C659" s="1" t="n">
        <v>45507</v>
      </c>
      <c r="D659" t="inlineStr">
        <is>
          <t>UPPSALA LÄN</t>
        </is>
      </c>
      <c r="E659" t="inlineStr">
        <is>
          <t>UPPSALA</t>
        </is>
      </c>
      <c r="F659" t="inlineStr">
        <is>
          <t>Övriga Aktiebolag</t>
        </is>
      </c>
      <c r="G659" t="n">
        <v>3.2</v>
      </c>
      <c r="H659" t="n">
        <v>0</v>
      </c>
      <c r="I659" t="n">
        <v>0</v>
      </c>
      <c r="J659" t="n">
        <v>0</v>
      </c>
      <c r="K659" t="n">
        <v>0</v>
      </c>
      <c r="L659" t="n">
        <v>0</v>
      </c>
      <c r="M659" t="n">
        <v>0</v>
      </c>
      <c r="N659" t="n">
        <v>0</v>
      </c>
      <c r="O659" t="n">
        <v>0</v>
      </c>
      <c r="P659" t="n">
        <v>0</v>
      </c>
      <c r="Q659" t="n">
        <v>0</v>
      </c>
      <c r="R659" s="2" t="inlineStr"/>
    </row>
    <row r="660" ht="15" customHeight="1">
      <c r="A660" t="inlineStr">
        <is>
          <t>A 13128-2022</t>
        </is>
      </c>
      <c r="B660" s="1" t="n">
        <v>44644</v>
      </c>
      <c r="C660" s="1" t="n">
        <v>45507</v>
      </c>
      <c r="D660" t="inlineStr">
        <is>
          <t>UPPSALA LÄN</t>
        </is>
      </c>
      <c r="E660" t="inlineStr">
        <is>
          <t>UPPSALA</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13386-2022</t>
        </is>
      </c>
      <c r="B661" s="1" t="n">
        <v>44645</v>
      </c>
      <c r="C661" s="1" t="n">
        <v>45507</v>
      </c>
      <c r="D661" t="inlineStr">
        <is>
          <t>UPPSALA LÄN</t>
        </is>
      </c>
      <c r="E661" t="inlineStr">
        <is>
          <t>UPPSALA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13343-2022</t>
        </is>
      </c>
      <c r="B662" s="1" t="n">
        <v>44645</v>
      </c>
      <c r="C662" s="1" t="n">
        <v>45507</v>
      </c>
      <c r="D662" t="inlineStr">
        <is>
          <t>UPPSALA LÄN</t>
        </is>
      </c>
      <c r="E662" t="inlineStr">
        <is>
          <t>UPPSALA</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13892-2022</t>
        </is>
      </c>
      <c r="B663" s="1" t="n">
        <v>44649</v>
      </c>
      <c r="C663" s="1" t="n">
        <v>45507</v>
      </c>
      <c r="D663" t="inlineStr">
        <is>
          <t>UPPSALA LÄN</t>
        </is>
      </c>
      <c r="E663" t="inlineStr">
        <is>
          <t>UPPSALA</t>
        </is>
      </c>
      <c r="G663" t="n">
        <v>3.3</v>
      </c>
      <c r="H663" t="n">
        <v>0</v>
      </c>
      <c r="I663" t="n">
        <v>0</v>
      </c>
      <c r="J663" t="n">
        <v>0</v>
      </c>
      <c r="K663" t="n">
        <v>0</v>
      </c>
      <c r="L663" t="n">
        <v>0</v>
      </c>
      <c r="M663" t="n">
        <v>0</v>
      </c>
      <c r="N663" t="n">
        <v>0</v>
      </c>
      <c r="O663" t="n">
        <v>0</v>
      </c>
      <c r="P663" t="n">
        <v>0</v>
      </c>
      <c r="Q663" t="n">
        <v>0</v>
      </c>
      <c r="R663" s="2" t="inlineStr"/>
    </row>
    <row r="664" ht="15" customHeight="1">
      <c r="A664" t="inlineStr">
        <is>
          <t>A 13901-2022</t>
        </is>
      </c>
      <c r="B664" s="1" t="n">
        <v>44649</v>
      </c>
      <c r="C664" s="1" t="n">
        <v>45507</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14337-2022</t>
        </is>
      </c>
      <c r="B665" s="1" t="n">
        <v>44652</v>
      </c>
      <c r="C665" s="1" t="n">
        <v>45507</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14355-2022</t>
        </is>
      </c>
      <c r="B666" s="1" t="n">
        <v>44652</v>
      </c>
      <c r="C666" s="1" t="n">
        <v>45507</v>
      </c>
      <c r="D666" t="inlineStr">
        <is>
          <t>UPPSALA LÄN</t>
        </is>
      </c>
      <c r="E666" t="inlineStr">
        <is>
          <t>UPPSALA</t>
        </is>
      </c>
      <c r="F666" t="inlineStr">
        <is>
          <t>Bergvik skog öst AB</t>
        </is>
      </c>
      <c r="G666" t="n">
        <v>7.8</v>
      </c>
      <c r="H666" t="n">
        <v>0</v>
      </c>
      <c r="I666" t="n">
        <v>0</v>
      </c>
      <c r="J666" t="n">
        <v>0</v>
      </c>
      <c r="K666" t="n">
        <v>0</v>
      </c>
      <c r="L666" t="n">
        <v>0</v>
      </c>
      <c r="M666" t="n">
        <v>0</v>
      </c>
      <c r="N666" t="n">
        <v>0</v>
      </c>
      <c r="O666" t="n">
        <v>0</v>
      </c>
      <c r="P666" t="n">
        <v>0</v>
      </c>
      <c r="Q666" t="n">
        <v>0</v>
      </c>
      <c r="R666" s="2" t="inlineStr"/>
    </row>
    <row r="667" ht="15" customHeight="1">
      <c r="A667" t="inlineStr">
        <is>
          <t>A 14340-2022</t>
        </is>
      </c>
      <c r="B667" s="1" t="n">
        <v>44652</v>
      </c>
      <c r="C667" s="1" t="n">
        <v>45507</v>
      </c>
      <c r="D667" t="inlineStr">
        <is>
          <t>UPPSALA LÄN</t>
        </is>
      </c>
      <c r="E667" t="inlineStr">
        <is>
          <t>UPPSALA</t>
        </is>
      </c>
      <c r="F667" t="inlineStr">
        <is>
          <t>Bergvik skog öst AB</t>
        </is>
      </c>
      <c r="G667" t="n">
        <v>4</v>
      </c>
      <c r="H667" t="n">
        <v>0</v>
      </c>
      <c r="I667" t="n">
        <v>0</v>
      </c>
      <c r="J667" t="n">
        <v>0</v>
      </c>
      <c r="K667" t="n">
        <v>0</v>
      </c>
      <c r="L667" t="n">
        <v>0</v>
      </c>
      <c r="M667" t="n">
        <v>0</v>
      </c>
      <c r="N667" t="n">
        <v>0</v>
      </c>
      <c r="O667" t="n">
        <v>0</v>
      </c>
      <c r="P667" t="n">
        <v>0</v>
      </c>
      <c r="Q667" t="n">
        <v>0</v>
      </c>
      <c r="R667" s="2" t="inlineStr"/>
    </row>
    <row r="668" ht="15" customHeight="1">
      <c r="A668" t="inlineStr">
        <is>
          <t>A 14622-2022</t>
        </is>
      </c>
      <c r="B668" s="1" t="n">
        <v>44655</v>
      </c>
      <c r="C668" s="1" t="n">
        <v>45507</v>
      </c>
      <c r="D668" t="inlineStr">
        <is>
          <t>UPPSALA LÄN</t>
        </is>
      </c>
      <c r="E668" t="inlineStr">
        <is>
          <t>UPPSALA</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15436-2022</t>
        </is>
      </c>
      <c r="B669" s="1" t="n">
        <v>44659</v>
      </c>
      <c r="C669" s="1" t="n">
        <v>45507</v>
      </c>
      <c r="D669" t="inlineStr">
        <is>
          <t>UPPSALA LÄN</t>
        </is>
      </c>
      <c r="E669" t="inlineStr">
        <is>
          <t>UPPSALA</t>
        </is>
      </c>
      <c r="G669" t="n">
        <v>14.4</v>
      </c>
      <c r="H669" t="n">
        <v>0</v>
      </c>
      <c r="I669" t="n">
        <v>0</v>
      </c>
      <c r="J669" t="n">
        <v>0</v>
      </c>
      <c r="K669" t="n">
        <v>0</v>
      </c>
      <c r="L669" t="n">
        <v>0</v>
      </c>
      <c r="M669" t="n">
        <v>0</v>
      </c>
      <c r="N669" t="n">
        <v>0</v>
      </c>
      <c r="O669" t="n">
        <v>0</v>
      </c>
      <c r="P669" t="n">
        <v>0</v>
      </c>
      <c r="Q669" t="n">
        <v>0</v>
      </c>
      <c r="R669" s="2" t="inlineStr"/>
    </row>
    <row r="670" ht="15" customHeight="1">
      <c r="A670" t="inlineStr">
        <is>
          <t>A 15377-2022</t>
        </is>
      </c>
      <c r="B670" s="1" t="n">
        <v>44659</v>
      </c>
      <c r="C670" s="1" t="n">
        <v>45507</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15310-2022</t>
        </is>
      </c>
      <c r="B671" s="1" t="n">
        <v>44659</v>
      </c>
      <c r="C671" s="1" t="n">
        <v>45507</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15297-2022</t>
        </is>
      </c>
      <c r="B672" s="1" t="n">
        <v>44659</v>
      </c>
      <c r="C672" s="1" t="n">
        <v>45507</v>
      </c>
      <c r="D672" t="inlineStr">
        <is>
          <t>UPPSALA LÄN</t>
        </is>
      </c>
      <c r="E672" t="inlineStr">
        <is>
          <t>UPPSALA</t>
        </is>
      </c>
      <c r="F672" t="inlineStr">
        <is>
          <t>Övriga Aktiebolag</t>
        </is>
      </c>
      <c r="G672" t="n">
        <v>6.6</v>
      </c>
      <c r="H672" t="n">
        <v>0</v>
      </c>
      <c r="I672" t="n">
        <v>0</v>
      </c>
      <c r="J672" t="n">
        <v>0</v>
      </c>
      <c r="K672" t="n">
        <v>0</v>
      </c>
      <c r="L672" t="n">
        <v>0</v>
      </c>
      <c r="M672" t="n">
        <v>0</v>
      </c>
      <c r="N672" t="n">
        <v>0</v>
      </c>
      <c r="O672" t="n">
        <v>0</v>
      </c>
      <c r="P672" t="n">
        <v>0</v>
      </c>
      <c r="Q672" t="n">
        <v>0</v>
      </c>
      <c r="R672" s="2" t="inlineStr"/>
    </row>
    <row r="673" ht="15" customHeight="1">
      <c r="A673" t="inlineStr">
        <is>
          <t>A 15583-2022</t>
        </is>
      </c>
      <c r="B673" s="1" t="n">
        <v>44662</v>
      </c>
      <c r="C673" s="1" t="n">
        <v>45507</v>
      </c>
      <c r="D673" t="inlineStr">
        <is>
          <t>UPPSALA LÄN</t>
        </is>
      </c>
      <c r="E673" t="inlineStr">
        <is>
          <t>UPPSALA</t>
        </is>
      </c>
      <c r="F673" t="inlineStr">
        <is>
          <t>Övriga Aktiebolag</t>
        </is>
      </c>
      <c r="G673" t="n">
        <v>4.3</v>
      </c>
      <c r="H673" t="n">
        <v>0</v>
      </c>
      <c r="I673" t="n">
        <v>0</v>
      </c>
      <c r="J673" t="n">
        <v>0</v>
      </c>
      <c r="K673" t="n">
        <v>0</v>
      </c>
      <c r="L673" t="n">
        <v>0</v>
      </c>
      <c r="M673" t="n">
        <v>0</v>
      </c>
      <c r="N673" t="n">
        <v>0</v>
      </c>
      <c r="O673" t="n">
        <v>0</v>
      </c>
      <c r="P673" t="n">
        <v>0</v>
      </c>
      <c r="Q673" t="n">
        <v>0</v>
      </c>
      <c r="R673" s="2" t="inlineStr"/>
    </row>
    <row r="674" ht="15" customHeight="1">
      <c r="A674" t="inlineStr">
        <is>
          <t>A 15735-2022</t>
        </is>
      </c>
      <c r="B674" s="1" t="n">
        <v>44663</v>
      </c>
      <c r="C674" s="1" t="n">
        <v>45507</v>
      </c>
      <c r="D674" t="inlineStr">
        <is>
          <t>UPPSALA LÄN</t>
        </is>
      </c>
      <c r="E674" t="inlineStr">
        <is>
          <t>UPPSALA</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16126-2022</t>
        </is>
      </c>
      <c r="B675" s="1" t="n">
        <v>44665</v>
      </c>
      <c r="C675" s="1" t="n">
        <v>45507</v>
      </c>
      <c r="D675" t="inlineStr">
        <is>
          <t>UPPSALA LÄN</t>
        </is>
      </c>
      <c r="E675" t="inlineStr">
        <is>
          <t>UPPSALA</t>
        </is>
      </c>
      <c r="F675" t="inlineStr">
        <is>
          <t>Bergvik skog öst AB</t>
        </is>
      </c>
      <c r="G675" t="n">
        <v>4.4</v>
      </c>
      <c r="H675" t="n">
        <v>0</v>
      </c>
      <c r="I675" t="n">
        <v>0</v>
      </c>
      <c r="J675" t="n">
        <v>0</v>
      </c>
      <c r="K675" t="n">
        <v>0</v>
      </c>
      <c r="L675" t="n">
        <v>0</v>
      </c>
      <c r="M675" t="n">
        <v>0</v>
      </c>
      <c r="N675" t="n">
        <v>0</v>
      </c>
      <c r="O675" t="n">
        <v>0</v>
      </c>
      <c r="P675" t="n">
        <v>0</v>
      </c>
      <c r="Q675" t="n">
        <v>0</v>
      </c>
      <c r="R675" s="2" t="inlineStr"/>
    </row>
    <row r="676" ht="15" customHeight="1">
      <c r="A676" t="inlineStr">
        <is>
          <t>A 16804-2022</t>
        </is>
      </c>
      <c r="B676" s="1" t="n">
        <v>44673</v>
      </c>
      <c r="C676" s="1" t="n">
        <v>45507</v>
      </c>
      <c r="D676" t="inlineStr">
        <is>
          <t>UPPSALA LÄN</t>
        </is>
      </c>
      <c r="E676" t="inlineStr">
        <is>
          <t>UPPSALA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16828-2022</t>
        </is>
      </c>
      <c r="B677" s="1" t="n">
        <v>44673</v>
      </c>
      <c r="C677" s="1" t="n">
        <v>45507</v>
      </c>
      <c r="D677" t="inlineStr">
        <is>
          <t>UPPSALA LÄN</t>
        </is>
      </c>
      <c r="E677" t="inlineStr">
        <is>
          <t>UPPSALA</t>
        </is>
      </c>
      <c r="F677" t="inlineStr">
        <is>
          <t>Bergvik skog öst AB</t>
        </is>
      </c>
      <c r="G677" t="n">
        <v>4.1</v>
      </c>
      <c r="H677" t="n">
        <v>0</v>
      </c>
      <c r="I677" t="n">
        <v>0</v>
      </c>
      <c r="J677" t="n">
        <v>0</v>
      </c>
      <c r="K677" t="n">
        <v>0</v>
      </c>
      <c r="L677" t="n">
        <v>0</v>
      </c>
      <c r="M677" t="n">
        <v>0</v>
      </c>
      <c r="N677" t="n">
        <v>0</v>
      </c>
      <c r="O677" t="n">
        <v>0</v>
      </c>
      <c r="P677" t="n">
        <v>0</v>
      </c>
      <c r="Q677" t="n">
        <v>0</v>
      </c>
      <c r="R677" s="2" t="inlineStr"/>
    </row>
    <row r="678" ht="15" customHeight="1">
      <c r="A678" t="inlineStr">
        <is>
          <t>A 16827-2022</t>
        </is>
      </c>
      <c r="B678" s="1" t="n">
        <v>44673</v>
      </c>
      <c r="C678" s="1" t="n">
        <v>45507</v>
      </c>
      <c r="D678" t="inlineStr">
        <is>
          <t>UPPSALA LÄN</t>
        </is>
      </c>
      <c r="E678" t="inlineStr">
        <is>
          <t>UPPSALA</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16831-2022</t>
        </is>
      </c>
      <c r="B679" s="1" t="n">
        <v>44673</v>
      </c>
      <c r="C679" s="1" t="n">
        <v>45507</v>
      </c>
      <c r="D679" t="inlineStr">
        <is>
          <t>UPPSALA LÄN</t>
        </is>
      </c>
      <c r="E679" t="inlineStr">
        <is>
          <t>UPPSALA</t>
        </is>
      </c>
      <c r="F679" t="inlineStr">
        <is>
          <t>Bergvik skog öst AB</t>
        </is>
      </c>
      <c r="G679" t="n">
        <v>5.8</v>
      </c>
      <c r="H679" t="n">
        <v>0</v>
      </c>
      <c r="I679" t="n">
        <v>0</v>
      </c>
      <c r="J679" t="n">
        <v>0</v>
      </c>
      <c r="K679" t="n">
        <v>0</v>
      </c>
      <c r="L679" t="n">
        <v>0</v>
      </c>
      <c r="M679" t="n">
        <v>0</v>
      </c>
      <c r="N679" t="n">
        <v>0</v>
      </c>
      <c r="O679" t="n">
        <v>0</v>
      </c>
      <c r="P679" t="n">
        <v>0</v>
      </c>
      <c r="Q679" t="n">
        <v>0</v>
      </c>
      <c r="R679" s="2" t="inlineStr"/>
    </row>
    <row r="680" ht="15" customHeight="1">
      <c r="A680" t="inlineStr">
        <is>
          <t>A 16826-2022</t>
        </is>
      </c>
      <c r="B680" s="1" t="n">
        <v>44673</v>
      </c>
      <c r="C680" s="1" t="n">
        <v>45507</v>
      </c>
      <c r="D680" t="inlineStr">
        <is>
          <t>UPPSALA LÄN</t>
        </is>
      </c>
      <c r="E680" t="inlineStr">
        <is>
          <t>UPPSALA</t>
        </is>
      </c>
      <c r="F680" t="inlineStr">
        <is>
          <t>Bergvik skog öst AB</t>
        </is>
      </c>
      <c r="G680" t="n">
        <v>7.1</v>
      </c>
      <c r="H680" t="n">
        <v>0</v>
      </c>
      <c r="I680" t="n">
        <v>0</v>
      </c>
      <c r="J680" t="n">
        <v>0</v>
      </c>
      <c r="K680" t="n">
        <v>0</v>
      </c>
      <c r="L680" t="n">
        <v>0</v>
      </c>
      <c r="M680" t="n">
        <v>0</v>
      </c>
      <c r="N680" t="n">
        <v>0</v>
      </c>
      <c r="O680" t="n">
        <v>0</v>
      </c>
      <c r="P680" t="n">
        <v>0</v>
      </c>
      <c r="Q680" t="n">
        <v>0</v>
      </c>
      <c r="R680" s="2" t="inlineStr"/>
    </row>
    <row r="681" ht="15" customHeight="1">
      <c r="A681" t="inlineStr">
        <is>
          <t>A 16761-2022</t>
        </is>
      </c>
      <c r="B681" s="1" t="n">
        <v>44673</v>
      </c>
      <c r="C681" s="1" t="n">
        <v>45507</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16942-2022</t>
        </is>
      </c>
      <c r="B682" s="1" t="n">
        <v>44676</v>
      </c>
      <c r="C682" s="1" t="n">
        <v>45507</v>
      </c>
      <c r="D682" t="inlineStr">
        <is>
          <t>UPPSALA LÄN</t>
        </is>
      </c>
      <c r="E682" t="inlineStr">
        <is>
          <t>UPPSALA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16892-2022</t>
        </is>
      </c>
      <c r="B683" s="1" t="n">
        <v>44676</v>
      </c>
      <c r="C683" s="1" t="n">
        <v>45507</v>
      </c>
      <c r="D683" t="inlineStr">
        <is>
          <t>UPPSALA LÄN</t>
        </is>
      </c>
      <c r="E683" t="inlineStr">
        <is>
          <t>UPPSALA</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16978-2022</t>
        </is>
      </c>
      <c r="B684" s="1" t="n">
        <v>44676</v>
      </c>
      <c r="C684" s="1" t="n">
        <v>45507</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16898-2022</t>
        </is>
      </c>
      <c r="B685" s="1" t="n">
        <v>44676</v>
      </c>
      <c r="C685" s="1" t="n">
        <v>45507</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17232-2022</t>
        </is>
      </c>
      <c r="B686" s="1" t="n">
        <v>44678</v>
      </c>
      <c r="C686" s="1" t="n">
        <v>45507</v>
      </c>
      <c r="D686" t="inlineStr">
        <is>
          <t>UPPSALA LÄN</t>
        </is>
      </c>
      <c r="E686" t="inlineStr">
        <is>
          <t>UPPSALA</t>
        </is>
      </c>
      <c r="F686" t="inlineStr">
        <is>
          <t>Övriga Aktiebolag</t>
        </is>
      </c>
      <c r="G686" t="n">
        <v>7.4</v>
      </c>
      <c r="H686" t="n">
        <v>0</v>
      </c>
      <c r="I686" t="n">
        <v>0</v>
      </c>
      <c r="J686" t="n">
        <v>0</v>
      </c>
      <c r="K686" t="n">
        <v>0</v>
      </c>
      <c r="L686" t="n">
        <v>0</v>
      </c>
      <c r="M686" t="n">
        <v>0</v>
      </c>
      <c r="N686" t="n">
        <v>0</v>
      </c>
      <c r="O686" t="n">
        <v>0</v>
      </c>
      <c r="P686" t="n">
        <v>0</v>
      </c>
      <c r="Q686" t="n">
        <v>0</v>
      </c>
      <c r="R686" s="2" t="inlineStr"/>
    </row>
    <row r="687" ht="15" customHeight="1">
      <c r="A687" t="inlineStr">
        <is>
          <t>A 17562-2022</t>
        </is>
      </c>
      <c r="B687" s="1" t="n">
        <v>44679</v>
      </c>
      <c r="C687" s="1" t="n">
        <v>45507</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17558-2022</t>
        </is>
      </c>
      <c r="B688" s="1" t="n">
        <v>44679</v>
      </c>
      <c r="C688" s="1" t="n">
        <v>45507</v>
      </c>
      <c r="D688" t="inlineStr">
        <is>
          <t>UPPSALA LÄN</t>
        </is>
      </c>
      <c r="E688" t="inlineStr">
        <is>
          <t>UPPSALA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17981-2022</t>
        </is>
      </c>
      <c r="B689" s="1" t="n">
        <v>44683</v>
      </c>
      <c r="C689" s="1" t="n">
        <v>45507</v>
      </c>
      <c r="D689" t="inlineStr">
        <is>
          <t>UPPSALA LÄN</t>
        </is>
      </c>
      <c r="E689" t="inlineStr">
        <is>
          <t>UPPSALA</t>
        </is>
      </c>
      <c r="F689" t="inlineStr">
        <is>
          <t>Bergvik skog öst AB</t>
        </is>
      </c>
      <c r="G689" t="n">
        <v>6.7</v>
      </c>
      <c r="H689" t="n">
        <v>0</v>
      </c>
      <c r="I689" t="n">
        <v>0</v>
      </c>
      <c r="J689" t="n">
        <v>0</v>
      </c>
      <c r="K689" t="n">
        <v>0</v>
      </c>
      <c r="L689" t="n">
        <v>0</v>
      </c>
      <c r="M689" t="n">
        <v>0</v>
      </c>
      <c r="N689" t="n">
        <v>0</v>
      </c>
      <c r="O689" t="n">
        <v>0</v>
      </c>
      <c r="P689" t="n">
        <v>0</v>
      </c>
      <c r="Q689" t="n">
        <v>0</v>
      </c>
      <c r="R689" s="2" t="inlineStr"/>
    </row>
    <row r="690" ht="15" customHeight="1">
      <c r="A690" t="inlineStr">
        <is>
          <t>A 18330-2022</t>
        </is>
      </c>
      <c r="B690" s="1" t="n">
        <v>44685</v>
      </c>
      <c r="C690" s="1" t="n">
        <v>45507</v>
      </c>
      <c r="D690" t="inlineStr">
        <is>
          <t>UPPSALA LÄN</t>
        </is>
      </c>
      <c r="E690" t="inlineStr">
        <is>
          <t>UPPSALA</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18521-2022</t>
        </is>
      </c>
      <c r="B691" s="1" t="n">
        <v>44686</v>
      </c>
      <c r="C691" s="1" t="n">
        <v>45507</v>
      </c>
      <c r="D691" t="inlineStr">
        <is>
          <t>UPPSALA LÄN</t>
        </is>
      </c>
      <c r="E691" t="inlineStr">
        <is>
          <t>UPPSALA</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18583-2022</t>
        </is>
      </c>
      <c r="B692" s="1" t="n">
        <v>44687</v>
      </c>
      <c r="C692" s="1" t="n">
        <v>45507</v>
      </c>
      <c r="D692" t="inlineStr">
        <is>
          <t>UPPSALA LÄN</t>
        </is>
      </c>
      <c r="E692" t="inlineStr">
        <is>
          <t>UPPSALA</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18960-2022</t>
        </is>
      </c>
      <c r="B693" s="1" t="n">
        <v>44690</v>
      </c>
      <c r="C693" s="1" t="n">
        <v>45507</v>
      </c>
      <c r="D693" t="inlineStr">
        <is>
          <t>UPPSALA LÄN</t>
        </is>
      </c>
      <c r="E693" t="inlineStr">
        <is>
          <t>UPPSALA</t>
        </is>
      </c>
      <c r="F693" t="inlineStr">
        <is>
          <t>Bergvik skog öst AB</t>
        </is>
      </c>
      <c r="G693" t="n">
        <v>2.7</v>
      </c>
      <c r="H693" t="n">
        <v>0</v>
      </c>
      <c r="I693" t="n">
        <v>0</v>
      </c>
      <c r="J693" t="n">
        <v>0</v>
      </c>
      <c r="K693" t="n">
        <v>0</v>
      </c>
      <c r="L693" t="n">
        <v>0</v>
      </c>
      <c r="M693" t="n">
        <v>0</v>
      </c>
      <c r="N693" t="n">
        <v>0</v>
      </c>
      <c r="O693" t="n">
        <v>0</v>
      </c>
      <c r="P693" t="n">
        <v>0</v>
      </c>
      <c r="Q693" t="n">
        <v>0</v>
      </c>
      <c r="R693" s="2" t="inlineStr"/>
    </row>
    <row r="694" ht="15" customHeight="1">
      <c r="A694" t="inlineStr">
        <is>
          <t>A 19034-2022</t>
        </is>
      </c>
      <c r="B694" s="1" t="n">
        <v>44691</v>
      </c>
      <c r="C694" s="1" t="n">
        <v>45507</v>
      </c>
      <c r="D694" t="inlineStr">
        <is>
          <t>UPPSALA LÄN</t>
        </is>
      </c>
      <c r="E694" t="inlineStr">
        <is>
          <t>UPPSALA</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19240-2022</t>
        </is>
      </c>
      <c r="B695" s="1" t="n">
        <v>44692</v>
      </c>
      <c r="C695" s="1" t="n">
        <v>45507</v>
      </c>
      <c r="D695" t="inlineStr">
        <is>
          <t>UPPSALA LÄN</t>
        </is>
      </c>
      <c r="E695" t="inlineStr">
        <is>
          <t>UPPSALA</t>
        </is>
      </c>
      <c r="F695" t="inlineStr">
        <is>
          <t>Bergvik skog öst AB</t>
        </is>
      </c>
      <c r="G695" t="n">
        <v>3.6</v>
      </c>
      <c r="H695" t="n">
        <v>0</v>
      </c>
      <c r="I695" t="n">
        <v>0</v>
      </c>
      <c r="J695" t="n">
        <v>0</v>
      </c>
      <c r="K695" t="n">
        <v>0</v>
      </c>
      <c r="L695" t="n">
        <v>0</v>
      </c>
      <c r="M695" t="n">
        <v>0</v>
      </c>
      <c r="N695" t="n">
        <v>0</v>
      </c>
      <c r="O695" t="n">
        <v>0</v>
      </c>
      <c r="P695" t="n">
        <v>0</v>
      </c>
      <c r="Q695" t="n">
        <v>0</v>
      </c>
      <c r="R695" s="2" t="inlineStr"/>
    </row>
    <row r="696" ht="15" customHeight="1">
      <c r="A696" t="inlineStr">
        <is>
          <t>A 19375-2022</t>
        </is>
      </c>
      <c r="B696" s="1" t="n">
        <v>44692</v>
      </c>
      <c r="C696" s="1" t="n">
        <v>45507</v>
      </c>
      <c r="D696" t="inlineStr">
        <is>
          <t>UPPSALA LÄN</t>
        </is>
      </c>
      <c r="E696" t="inlineStr">
        <is>
          <t>UPPSALA</t>
        </is>
      </c>
      <c r="F696" t="inlineStr">
        <is>
          <t>Bergvik skog öst AB</t>
        </is>
      </c>
      <c r="G696" t="n">
        <v>5</v>
      </c>
      <c r="H696" t="n">
        <v>0</v>
      </c>
      <c r="I696" t="n">
        <v>0</v>
      </c>
      <c r="J696" t="n">
        <v>0</v>
      </c>
      <c r="K696" t="n">
        <v>0</v>
      </c>
      <c r="L696" t="n">
        <v>0</v>
      </c>
      <c r="M696" t="n">
        <v>0</v>
      </c>
      <c r="N696" t="n">
        <v>0</v>
      </c>
      <c r="O696" t="n">
        <v>0</v>
      </c>
      <c r="P696" t="n">
        <v>0</v>
      </c>
      <c r="Q696" t="n">
        <v>0</v>
      </c>
      <c r="R696" s="2" t="inlineStr"/>
    </row>
    <row r="697" ht="15" customHeight="1">
      <c r="A697" t="inlineStr">
        <is>
          <t>A 19380-2022</t>
        </is>
      </c>
      <c r="B697" s="1" t="n">
        <v>44692</v>
      </c>
      <c r="C697" s="1" t="n">
        <v>45507</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19382-2022</t>
        </is>
      </c>
      <c r="B698" s="1" t="n">
        <v>44692</v>
      </c>
      <c r="C698" s="1" t="n">
        <v>45507</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20265-2022</t>
        </is>
      </c>
      <c r="B699" s="1" t="n">
        <v>44698</v>
      </c>
      <c r="C699" s="1" t="n">
        <v>45507</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20497-2022</t>
        </is>
      </c>
      <c r="B700" s="1" t="n">
        <v>44699</v>
      </c>
      <c r="C700" s="1" t="n">
        <v>45507</v>
      </c>
      <c r="D700" t="inlineStr">
        <is>
          <t>UPPSALA LÄN</t>
        </is>
      </c>
      <c r="E700" t="inlineStr">
        <is>
          <t>UPPSALA</t>
        </is>
      </c>
      <c r="F700" t="inlineStr">
        <is>
          <t>Övriga statliga verk och myndigheter</t>
        </is>
      </c>
      <c r="G700" t="n">
        <v>1</v>
      </c>
      <c r="H700" t="n">
        <v>0</v>
      </c>
      <c r="I700" t="n">
        <v>0</v>
      </c>
      <c r="J700" t="n">
        <v>0</v>
      </c>
      <c r="K700" t="n">
        <v>0</v>
      </c>
      <c r="L700" t="n">
        <v>0</v>
      </c>
      <c r="M700" t="n">
        <v>0</v>
      </c>
      <c r="N700" t="n">
        <v>0</v>
      </c>
      <c r="O700" t="n">
        <v>0</v>
      </c>
      <c r="P700" t="n">
        <v>0</v>
      </c>
      <c r="Q700" t="n">
        <v>0</v>
      </c>
      <c r="R700" s="2" t="inlineStr"/>
    </row>
    <row r="701" ht="15" customHeight="1">
      <c r="A701" t="inlineStr">
        <is>
          <t>A 20770-2022</t>
        </is>
      </c>
      <c r="B701" s="1" t="n">
        <v>44700</v>
      </c>
      <c r="C701" s="1" t="n">
        <v>45507</v>
      </c>
      <c r="D701" t="inlineStr">
        <is>
          <t>UPPSALA LÄN</t>
        </is>
      </c>
      <c r="E701" t="inlineStr">
        <is>
          <t>UPPSALA</t>
        </is>
      </c>
      <c r="G701" t="n">
        <v>3.7</v>
      </c>
      <c r="H701" t="n">
        <v>0</v>
      </c>
      <c r="I701" t="n">
        <v>0</v>
      </c>
      <c r="J701" t="n">
        <v>0</v>
      </c>
      <c r="K701" t="n">
        <v>0</v>
      </c>
      <c r="L701" t="n">
        <v>0</v>
      </c>
      <c r="M701" t="n">
        <v>0</v>
      </c>
      <c r="N701" t="n">
        <v>0</v>
      </c>
      <c r="O701" t="n">
        <v>0</v>
      </c>
      <c r="P701" t="n">
        <v>0</v>
      </c>
      <c r="Q701" t="n">
        <v>0</v>
      </c>
      <c r="R701" s="2" t="inlineStr"/>
    </row>
    <row r="702" ht="15" customHeight="1">
      <c r="A702" t="inlineStr">
        <is>
          <t>A 20764-2022</t>
        </is>
      </c>
      <c r="B702" s="1" t="n">
        <v>44700</v>
      </c>
      <c r="C702" s="1" t="n">
        <v>45507</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20938-2022</t>
        </is>
      </c>
      <c r="B703" s="1" t="n">
        <v>44701</v>
      </c>
      <c r="C703" s="1" t="n">
        <v>45507</v>
      </c>
      <c r="D703" t="inlineStr">
        <is>
          <t>UPPSALA LÄN</t>
        </is>
      </c>
      <c r="E703" t="inlineStr">
        <is>
          <t>UPPSALA</t>
        </is>
      </c>
      <c r="F703" t="inlineStr">
        <is>
          <t>Bergvik skog öst AB</t>
        </is>
      </c>
      <c r="G703" t="n">
        <v>7.2</v>
      </c>
      <c r="H703" t="n">
        <v>0</v>
      </c>
      <c r="I703" t="n">
        <v>0</v>
      </c>
      <c r="J703" t="n">
        <v>0</v>
      </c>
      <c r="K703" t="n">
        <v>0</v>
      </c>
      <c r="L703" t="n">
        <v>0</v>
      </c>
      <c r="M703" t="n">
        <v>0</v>
      </c>
      <c r="N703" t="n">
        <v>0</v>
      </c>
      <c r="O703" t="n">
        <v>0</v>
      </c>
      <c r="P703" t="n">
        <v>0</v>
      </c>
      <c r="Q703" t="n">
        <v>0</v>
      </c>
      <c r="R703" s="2" t="inlineStr"/>
    </row>
    <row r="704" ht="15" customHeight="1">
      <c r="A704" t="inlineStr">
        <is>
          <t>A 20936-2022</t>
        </is>
      </c>
      <c r="B704" s="1" t="n">
        <v>44701</v>
      </c>
      <c r="C704" s="1" t="n">
        <v>45507</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20980-2022</t>
        </is>
      </c>
      <c r="B705" s="1" t="n">
        <v>44702</v>
      </c>
      <c r="C705" s="1" t="n">
        <v>45507</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21181-2022</t>
        </is>
      </c>
      <c r="B706" s="1" t="n">
        <v>44704</v>
      </c>
      <c r="C706" s="1" t="n">
        <v>45507</v>
      </c>
      <c r="D706" t="inlineStr">
        <is>
          <t>UPPSALA LÄN</t>
        </is>
      </c>
      <c r="E706" t="inlineStr">
        <is>
          <t>UPPSALA</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21228-2022</t>
        </is>
      </c>
      <c r="B707" s="1" t="n">
        <v>44704</v>
      </c>
      <c r="C707" s="1" t="n">
        <v>45507</v>
      </c>
      <c r="D707" t="inlineStr">
        <is>
          <t>UPPSALA LÄN</t>
        </is>
      </c>
      <c r="E707" t="inlineStr">
        <is>
          <t>UPPSALA</t>
        </is>
      </c>
      <c r="G707" t="n">
        <v>0.2</v>
      </c>
      <c r="H707" t="n">
        <v>0</v>
      </c>
      <c r="I707" t="n">
        <v>0</v>
      </c>
      <c r="J707" t="n">
        <v>0</v>
      </c>
      <c r="K707" t="n">
        <v>0</v>
      </c>
      <c r="L707" t="n">
        <v>0</v>
      </c>
      <c r="M707" t="n">
        <v>0</v>
      </c>
      <c r="N707" t="n">
        <v>0</v>
      </c>
      <c r="O707" t="n">
        <v>0</v>
      </c>
      <c r="P707" t="n">
        <v>0</v>
      </c>
      <c r="Q707" t="n">
        <v>0</v>
      </c>
      <c r="R707" s="2" t="inlineStr"/>
    </row>
    <row r="708" ht="15" customHeight="1">
      <c r="A708" t="inlineStr">
        <is>
          <t>A 21387-2022</t>
        </is>
      </c>
      <c r="B708" s="1" t="n">
        <v>44705</v>
      </c>
      <c r="C708" s="1" t="n">
        <v>45507</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21391-2022</t>
        </is>
      </c>
      <c r="B709" s="1" t="n">
        <v>44705</v>
      </c>
      <c r="C709" s="1" t="n">
        <v>45507</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21394-2022</t>
        </is>
      </c>
      <c r="B710" s="1" t="n">
        <v>44705</v>
      </c>
      <c r="C710" s="1" t="n">
        <v>45507</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22021-2022</t>
        </is>
      </c>
      <c r="B711" s="1" t="n">
        <v>44711</v>
      </c>
      <c r="C711" s="1" t="n">
        <v>45507</v>
      </c>
      <c r="D711" t="inlineStr">
        <is>
          <t>UPPSALA LÄN</t>
        </is>
      </c>
      <c r="E711" t="inlineStr">
        <is>
          <t>UPPSALA</t>
        </is>
      </c>
      <c r="F711" t="inlineStr">
        <is>
          <t>Allmännings- och besparingsskogar</t>
        </is>
      </c>
      <c r="G711" t="n">
        <v>2.1</v>
      </c>
      <c r="H711" t="n">
        <v>0</v>
      </c>
      <c r="I711" t="n">
        <v>0</v>
      </c>
      <c r="J711" t="n">
        <v>0</v>
      </c>
      <c r="K711" t="n">
        <v>0</v>
      </c>
      <c r="L711" t="n">
        <v>0</v>
      </c>
      <c r="M711" t="n">
        <v>0</v>
      </c>
      <c r="N711" t="n">
        <v>0</v>
      </c>
      <c r="O711" t="n">
        <v>0</v>
      </c>
      <c r="P711" t="n">
        <v>0</v>
      </c>
      <c r="Q711" t="n">
        <v>0</v>
      </c>
      <c r="R711" s="2" t="inlineStr"/>
    </row>
    <row r="712" ht="15" customHeight="1">
      <c r="A712" t="inlineStr">
        <is>
          <t>A 22390-2022</t>
        </is>
      </c>
      <c r="B712" s="1" t="n">
        <v>44713</v>
      </c>
      <c r="C712" s="1" t="n">
        <v>45507</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22429-2022</t>
        </is>
      </c>
      <c r="B713" s="1" t="n">
        <v>44713</v>
      </c>
      <c r="C713" s="1" t="n">
        <v>45507</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22645-2022</t>
        </is>
      </c>
      <c r="B714" s="1" t="n">
        <v>44714</v>
      </c>
      <c r="C714" s="1" t="n">
        <v>45507</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23324-2022</t>
        </is>
      </c>
      <c r="B715" s="1" t="n">
        <v>44720</v>
      </c>
      <c r="C715" s="1" t="n">
        <v>45507</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23289-2022</t>
        </is>
      </c>
      <c r="B716" s="1" t="n">
        <v>44720</v>
      </c>
      <c r="C716" s="1" t="n">
        <v>45507</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23761-2022</t>
        </is>
      </c>
      <c r="B717" s="1" t="n">
        <v>44722</v>
      </c>
      <c r="C717" s="1" t="n">
        <v>45507</v>
      </c>
      <c r="D717" t="inlineStr">
        <is>
          <t>UPPSALA LÄN</t>
        </is>
      </c>
      <c r="E717" t="inlineStr">
        <is>
          <t>UPPSALA</t>
        </is>
      </c>
      <c r="F717" t="inlineStr">
        <is>
          <t>Bergvik skog öst AB</t>
        </is>
      </c>
      <c r="G717" t="n">
        <v>7.3</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v>
      </c>
      <c r="C718" s="1" t="n">
        <v>45507</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23717-2022</t>
        </is>
      </c>
      <c r="B719" s="1" t="n">
        <v>44722</v>
      </c>
      <c r="C719" s="1" t="n">
        <v>45507</v>
      </c>
      <c r="D719" t="inlineStr">
        <is>
          <t>UPPSALA LÄN</t>
        </is>
      </c>
      <c r="E719" t="inlineStr">
        <is>
          <t>UPPSALA</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23730-2022</t>
        </is>
      </c>
      <c r="B720" s="1" t="n">
        <v>44722</v>
      </c>
      <c r="C720" s="1" t="n">
        <v>45507</v>
      </c>
      <c r="D720" t="inlineStr">
        <is>
          <t>UPPSALA LÄN</t>
        </is>
      </c>
      <c r="E720" t="inlineStr">
        <is>
          <t>UPPSALA</t>
        </is>
      </c>
      <c r="F720" t="inlineStr">
        <is>
          <t>Bergvik skog öst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24420-2022</t>
        </is>
      </c>
      <c r="B721" s="1" t="n">
        <v>44726</v>
      </c>
      <c r="C721" s="1" t="n">
        <v>45507</v>
      </c>
      <c r="D721" t="inlineStr">
        <is>
          <t>UPPSALA LÄN</t>
        </is>
      </c>
      <c r="E721" t="inlineStr">
        <is>
          <t>UPPSALA</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24401-2022</t>
        </is>
      </c>
      <c r="B722" s="1" t="n">
        <v>44726</v>
      </c>
      <c r="C722" s="1" t="n">
        <v>45507</v>
      </c>
      <c r="D722" t="inlineStr">
        <is>
          <t>UPPSALA LÄN</t>
        </is>
      </c>
      <c r="E722" t="inlineStr">
        <is>
          <t>UPPSALA</t>
        </is>
      </c>
      <c r="F722" t="inlineStr">
        <is>
          <t>Bergvik skog öst AB</t>
        </is>
      </c>
      <c r="G722" t="n">
        <v>4.8</v>
      </c>
      <c r="H722" t="n">
        <v>0</v>
      </c>
      <c r="I722" t="n">
        <v>0</v>
      </c>
      <c r="J722" t="n">
        <v>0</v>
      </c>
      <c r="K722" t="n">
        <v>0</v>
      </c>
      <c r="L722" t="n">
        <v>0</v>
      </c>
      <c r="M722" t="n">
        <v>0</v>
      </c>
      <c r="N722" t="n">
        <v>0</v>
      </c>
      <c r="O722" t="n">
        <v>0</v>
      </c>
      <c r="P722" t="n">
        <v>0</v>
      </c>
      <c r="Q722" t="n">
        <v>0</v>
      </c>
      <c r="R722" s="2" t="inlineStr"/>
    </row>
    <row r="723" ht="15" customHeight="1">
      <c r="A723" t="inlineStr">
        <is>
          <t>A 24409-2022</t>
        </is>
      </c>
      <c r="B723" s="1" t="n">
        <v>44726</v>
      </c>
      <c r="C723" s="1" t="n">
        <v>45507</v>
      </c>
      <c r="D723" t="inlineStr">
        <is>
          <t>UPPSALA LÄN</t>
        </is>
      </c>
      <c r="E723" t="inlineStr">
        <is>
          <t>UPPSALA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25178-2022</t>
        </is>
      </c>
      <c r="B724" s="1" t="n">
        <v>44729</v>
      </c>
      <c r="C724" s="1" t="n">
        <v>45507</v>
      </c>
      <c r="D724" t="inlineStr">
        <is>
          <t>UPPSALA LÄN</t>
        </is>
      </c>
      <c r="E724" t="inlineStr">
        <is>
          <t>UPPSALA</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25120-2022</t>
        </is>
      </c>
      <c r="B725" s="1" t="n">
        <v>44729</v>
      </c>
      <c r="C725" s="1" t="n">
        <v>45507</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25759-2022</t>
        </is>
      </c>
      <c r="B726" s="1" t="n">
        <v>44733</v>
      </c>
      <c r="C726" s="1" t="n">
        <v>45507</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25809-2022</t>
        </is>
      </c>
      <c r="B727" s="1" t="n">
        <v>44733</v>
      </c>
      <c r="C727" s="1" t="n">
        <v>45507</v>
      </c>
      <c r="D727" t="inlineStr">
        <is>
          <t>UPPSALA LÄN</t>
        </is>
      </c>
      <c r="E727" t="inlineStr">
        <is>
          <t>UPPSALA</t>
        </is>
      </c>
      <c r="F727" t="inlineStr">
        <is>
          <t>Bergvik skog öst AB</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25745-2022</t>
        </is>
      </c>
      <c r="B728" s="1" t="n">
        <v>44733</v>
      </c>
      <c r="C728" s="1" t="n">
        <v>45507</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25776-2022</t>
        </is>
      </c>
      <c r="B729" s="1" t="n">
        <v>44733</v>
      </c>
      <c r="C729" s="1" t="n">
        <v>45507</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26609-2022</t>
        </is>
      </c>
      <c r="B730" s="1" t="n">
        <v>44739</v>
      </c>
      <c r="C730" s="1" t="n">
        <v>45507</v>
      </c>
      <c r="D730" t="inlineStr">
        <is>
          <t>UPPSALA LÄN</t>
        </is>
      </c>
      <c r="E730" t="inlineStr">
        <is>
          <t>UPPSALA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26958-2022</t>
        </is>
      </c>
      <c r="B731" s="1" t="n">
        <v>44740</v>
      </c>
      <c r="C731" s="1" t="n">
        <v>45507</v>
      </c>
      <c r="D731" t="inlineStr">
        <is>
          <t>UPPSALA LÄN</t>
        </is>
      </c>
      <c r="E731" t="inlineStr">
        <is>
          <t>UPPSALA</t>
        </is>
      </c>
      <c r="F731" t="inlineStr">
        <is>
          <t>Bergvik skog öst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v>
      </c>
      <c r="C732" s="1" t="n">
        <v>45507</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27372-2022</t>
        </is>
      </c>
      <c r="B733" s="1" t="n">
        <v>44742</v>
      </c>
      <c r="C733" s="1" t="n">
        <v>45507</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27369-2022</t>
        </is>
      </c>
      <c r="B734" s="1" t="n">
        <v>44742</v>
      </c>
      <c r="C734" s="1" t="n">
        <v>45507</v>
      </c>
      <c r="D734" t="inlineStr">
        <is>
          <t>UPPSALA LÄN</t>
        </is>
      </c>
      <c r="E734" t="inlineStr">
        <is>
          <t>UPPSALA</t>
        </is>
      </c>
      <c r="G734" t="n">
        <v>4.5</v>
      </c>
      <c r="H734" t="n">
        <v>0</v>
      </c>
      <c r="I734" t="n">
        <v>0</v>
      </c>
      <c r="J734" t="n">
        <v>0</v>
      </c>
      <c r="K734" t="n">
        <v>0</v>
      </c>
      <c r="L734" t="n">
        <v>0</v>
      </c>
      <c r="M734" t="n">
        <v>0</v>
      </c>
      <c r="N734" t="n">
        <v>0</v>
      </c>
      <c r="O734" t="n">
        <v>0</v>
      </c>
      <c r="P734" t="n">
        <v>0</v>
      </c>
      <c r="Q734" t="n">
        <v>0</v>
      </c>
      <c r="R734" s="2" t="inlineStr"/>
    </row>
    <row r="735" ht="15" customHeight="1">
      <c r="A735" t="inlineStr">
        <is>
          <t>A 27390-2022</t>
        </is>
      </c>
      <c r="B735" s="1" t="n">
        <v>44742</v>
      </c>
      <c r="C735" s="1" t="n">
        <v>45507</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27397-2022</t>
        </is>
      </c>
      <c r="B736" s="1" t="n">
        <v>44742</v>
      </c>
      <c r="C736" s="1" t="n">
        <v>45507</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27546-2022</t>
        </is>
      </c>
      <c r="B737" s="1" t="n">
        <v>44742</v>
      </c>
      <c r="C737" s="1" t="n">
        <v>45507</v>
      </c>
      <c r="D737" t="inlineStr">
        <is>
          <t>UPPSALA LÄN</t>
        </is>
      </c>
      <c r="E737" t="inlineStr">
        <is>
          <t>UPPSALA</t>
        </is>
      </c>
      <c r="G737" t="n">
        <v>3.4</v>
      </c>
      <c r="H737" t="n">
        <v>0</v>
      </c>
      <c r="I737" t="n">
        <v>0</v>
      </c>
      <c r="J737" t="n">
        <v>0</v>
      </c>
      <c r="K737" t="n">
        <v>0</v>
      </c>
      <c r="L737" t="n">
        <v>0</v>
      </c>
      <c r="M737" t="n">
        <v>0</v>
      </c>
      <c r="N737" t="n">
        <v>0</v>
      </c>
      <c r="O737" t="n">
        <v>0</v>
      </c>
      <c r="P737" t="n">
        <v>0</v>
      </c>
      <c r="Q737" t="n">
        <v>0</v>
      </c>
      <c r="R737" s="2" t="inlineStr"/>
    </row>
    <row r="738" ht="15" customHeight="1">
      <c r="A738" t="inlineStr">
        <is>
          <t>A 27543-2022</t>
        </is>
      </c>
      <c r="B738" s="1" t="n">
        <v>44742</v>
      </c>
      <c r="C738" s="1" t="n">
        <v>45507</v>
      </c>
      <c r="D738" t="inlineStr">
        <is>
          <t>UPPSALA LÄN</t>
        </is>
      </c>
      <c r="E738" t="inlineStr">
        <is>
          <t>UPPSALA</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27763-2022</t>
        </is>
      </c>
      <c r="B739" s="1" t="n">
        <v>44743</v>
      </c>
      <c r="C739" s="1" t="n">
        <v>45507</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27762-2022</t>
        </is>
      </c>
      <c r="B740" s="1" t="n">
        <v>44743</v>
      </c>
      <c r="C740" s="1" t="n">
        <v>45507</v>
      </c>
      <c r="D740" t="inlineStr">
        <is>
          <t>UPPSALA LÄN</t>
        </is>
      </c>
      <c r="E740" t="inlineStr">
        <is>
          <t>UPPSALA</t>
        </is>
      </c>
      <c r="G740" t="n">
        <v>3.5</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v>
      </c>
      <c r="C741" s="1" t="n">
        <v>45507</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v>
      </c>
      <c r="C742" s="1" t="n">
        <v>45507</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29986-2022</t>
        </is>
      </c>
      <c r="B743" s="1" t="n">
        <v>44756</v>
      </c>
      <c r="C743" s="1" t="n">
        <v>45507</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29991-2022</t>
        </is>
      </c>
      <c r="B744" s="1" t="n">
        <v>44756</v>
      </c>
      <c r="C744" s="1" t="n">
        <v>45507</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30052-2022</t>
        </is>
      </c>
      <c r="B745" s="1" t="n">
        <v>44757</v>
      </c>
      <c r="C745" s="1" t="n">
        <v>45507</v>
      </c>
      <c r="D745" t="inlineStr">
        <is>
          <t>UPPSALA LÄN</t>
        </is>
      </c>
      <c r="E745" t="inlineStr">
        <is>
          <t>UPPSALA</t>
        </is>
      </c>
      <c r="F745" t="inlineStr">
        <is>
          <t>Bergvik skog öst AB</t>
        </is>
      </c>
      <c r="G745" t="n">
        <v>9.6</v>
      </c>
      <c r="H745" t="n">
        <v>0</v>
      </c>
      <c r="I745" t="n">
        <v>0</v>
      </c>
      <c r="J745" t="n">
        <v>0</v>
      </c>
      <c r="K745" t="n">
        <v>0</v>
      </c>
      <c r="L745" t="n">
        <v>0</v>
      </c>
      <c r="M745" t="n">
        <v>0</v>
      </c>
      <c r="N745" t="n">
        <v>0</v>
      </c>
      <c r="O745" t="n">
        <v>0</v>
      </c>
      <c r="P745" t="n">
        <v>0</v>
      </c>
      <c r="Q745" t="n">
        <v>0</v>
      </c>
      <c r="R745" s="2" t="inlineStr"/>
    </row>
    <row r="746" ht="15" customHeight="1">
      <c r="A746" t="inlineStr">
        <is>
          <t>A 30580-2022</t>
        </is>
      </c>
      <c r="B746" s="1" t="n">
        <v>44762</v>
      </c>
      <c r="C746" s="1" t="n">
        <v>45507</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30783-2022</t>
        </is>
      </c>
      <c r="B747" s="1" t="n">
        <v>44764</v>
      </c>
      <c r="C747" s="1" t="n">
        <v>45507</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30775-2022</t>
        </is>
      </c>
      <c r="B748" s="1" t="n">
        <v>44764</v>
      </c>
      <c r="C748" s="1" t="n">
        <v>45507</v>
      </c>
      <c r="D748" t="inlineStr">
        <is>
          <t>UPPSALA LÄN</t>
        </is>
      </c>
      <c r="E748" t="inlineStr">
        <is>
          <t>UPPSALA</t>
        </is>
      </c>
      <c r="F748" t="inlineStr">
        <is>
          <t>Bergvik skog öst AB</t>
        </is>
      </c>
      <c r="G748" t="n">
        <v>4.5</v>
      </c>
      <c r="H748" t="n">
        <v>0</v>
      </c>
      <c r="I748" t="n">
        <v>0</v>
      </c>
      <c r="J748" t="n">
        <v>0</v>
      </c>
      <c r="K748" t="n">
        <v>0</v>
      </c>
      <c r="L748" t="n">
        <v>0</v>
      </c>
      <c r="M748" t="n">
        <v>0</v>
      </c>
      <c r="N748" t="n">
        <v>0</v>
      </c>
      <c r="O748" t="n">
        <v>0</v>
      </c>
      <c r="P748" t="n">
        <v>0</v>
      </c>
      <c r="Q748" t="n">
        <v>0</v>
      </c>
      <c r="R748" s="2" t="inlineStr"/>
    </row>
    <row r="749" ht="15" customHeight="1">
      <c r="A749" t="inlineStr">
        <is>
          <t>A 31113-2022</t>
        </is>
      </c>
      <c r="B749" s="1" t="n">
        <v>44769</v>
      </c>
      <c r="C749" s="1" t="n">
        <v>45507</v>
      </c>
      <c r="D749" t="inlineStr">
        <is>
          <t>UPPSALA LÄN</t>
        </is>
      </c>
      <c r="E749" t="inlineStr">
        <is>
          <t>UPPSALA</t>
        </is>
      </c>
      <c r="F749" t="inlineStr">
        <is>
          <t>Bergvik skog öst AB</t>
        </is>
      </c>
      <c r="G749" t="n">
        <v>4.7</v>
      </c>
      <c r="H749" t="n">
        <v>0</v>
      </c>
      <c r="I749" t="n">
        <v>0</v>
      </c>
      <c r="J749" t="n">
        <v>0</v>
      </c>
      <c r="K749" t="n">
        <v>0</v>
      </c>
      <c r="L749" t="n">
        <v>0</v>
      </c>
      <c r="M749" t="n">
        <v>0</v>
      </c>
      <c r="N749" t="n">
        <v>0</v>
      </c>
      <c r="O749" t="n">
        <v>0</v>
      </c>
      <c r="P749" t="n">
        <v>0</v>
      </c>
      <c r="Q749" t="n">
        <v>0</v>
      </c>
      <c r="R749" s="2" t="inlineStr"/>
    </row>
    <row r="750" ht="15" customHeight="1">
      <c r="A750" t="inlineStr">
        <is>
          <t>A 31263-2022</t>
        </is>
      </c>
      <c r="B750" s="1" t="n">
        <v>44771</v>
      </c>
      <c r="C750" s="1" t="n">
        <v>45507</v>
      </c>
      <c r="D750" t="inlineStr">
        <is>
          <t>UPPSALA LÄN</t>
        </is>
      </c>
      <c r="E750" t="inlineStr">
        <is>
          <t>UPPSALA</t>
        </is>
      </c>
      <c r="F750" t="inlineStr">
        <is>
          <t>Bergvik skog öst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31261-2022</t>
        </is>
      </c>
      <c r="B751" s="1" t="n">
        <v>44771</v>
      </c>
      <c r="C751" s="1" t="n">
        <v>45507</v>
      </c>
      <c r="D751" t="inlineStr">
        <is>
          <t>UPPSALA LÄN</t>
        </is>
      </c>
      <c r="E751" t="inlineStr">
        <is>
          <t>UPPSALA</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31249-2022</t>
        </is>
      </c>
      <c r="B752" s="1" t="n">
        <v>44771</v>
      </c>
      <c r="C752" s="1" t="n">
        <v>45507</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31253-2022</t>
        </is>
      </c>
      <c r="B753" s="1" t="n">
        <v>44771</v>
      </c>
      <c r="C753" s="1" t="n">
        <v>45507</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32954-2022</t>
        </is>
      </c>
      <c r="B754" s="1" t="n">
        <v>44784</v>
      </c>
      <c r="C754" s="1" t="n">
        <v>45507</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33332-2022</t>
        </is>
      </c>
      <c r="B755" s="1" t="n">
        <v>44788</v>
      </c>
      <c r="C755" s="1" t="n">
        <v>45507</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33283-2022</t>
        </is>
      </c>
      <c r="B756" s="1" t="n">
        <v>44788</v>
      </c>
      <c r="C756" s="1" t="n">
        <v>45507</v>
      </c>
      <c r="D756" t="inlineStr">
        <is>
          <t>UPPSALA LÄN</t>
        </is>
      </c>
      <c r="E756" t="inlineStr">
        <is>
          <t>UPPSALA</t>
        </is>
      </c>
      <c r="G756" t="n">
        <v>20.2</v>
      </c>
      <c r="H756" t="n">
        <v>0</v>
      </c>
      <c r="I756" t="n">
        <v>0</v>
      </c>
      <c r="J756" t="n">
        <v>0</v>
      </c>
      <c r="K756" t="n">
        <v>0</v>
      </c>
      <c r="L756" t="n">
        <v>0</v>
      </c>
      <c r="M756" t="n">
        <v>0</v>
      </c>
      <c r="N756" t="n">
        <v>0</v>
      </c>
      <c r="O756" t="n">
        <v>0</v>
      </c>
      <c r="P756" t="n">
        <v>0</v>
      </c>
      <c r="Q756" t="n">
        <v>0</v>
      </c>
      <c r="R756" s="2" t="inlineStr"/>
    </row>
    <row r="757" ht="15" customHeight="1">
      <c r="A757" t="inlineStr">
        <is>
          <t>A 34061-2022</t>
        </is>
      </c>
      <c r="B757" s="1" t="n">
        <v>44791</v>
      </c>
      <c r="C757" s="1" t="n">
        <v>45507</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34770-2022</t>
        </is>
      </c>
      <c r="B758" s="1" t="n">
        <v>44795</v>
      </c>
      <c r="C758" s="1" t="n">
        <v>45507</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35212-2022</t>
        </is>
      </c>
      <c r="B759" s="1" t="n">
        <v>44797</v>
      </c>
      <c r="C759" s="1" t="n">
        <v>45507</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35411-2022</t>
        </is>
      </c>
      <c r="B760" s="1" t="n">
        <v>44798</v>
      </c>
      <c r="C760" s="1" t="n">
        <v>45507</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35539-2022</t>
        </is>
      </c>
      <c r="B761" s="1" t="n">
        <v>44799</v>
      </c>
      <c r="C761" s="1" t="n">
        <v>45507</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35544-2022</t>
        </is>
      </c>
      <c r="B762" s="1" t="n">
        <v>44799</v>
      </c>
      <c r="C762" s="1" t="n">
        <v>45507</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35542-2022</t>
        </is>
      </c>
      <c r="B763" s="1" t="n">
        <v>44799</v>
      </c>
      <c r="C763" s="1" t="n">
        <v>45507</v>
      </c>
      <c r="D763" t="inlineStr">
        <is>
          <t>UPPSALA LÄN</t>
        </is>
      </c>
      <c r="E763" t="inlineStr">
        <is>
          <t>UPPSALA</t>
        </is>
      </c>
      <c r="G763" t="n">
        <v>3.2</v>
      </c>
      <c r="H763" t="n">
        <v>0</v>
      </c>
      <c r="I763" t="n">
        <v>0</v>
      </c>
      <c r="J763" t="n">
        <v>0</v>
      </c>
      <c r="K763" t="n">
        <v>0</v>
      </c>
      <c r="L763" t="n">
        <v>0</v>
      </c>
      <c r="M763" t="n">
        <v>0</v>
      </c>
      <c r="N763" t="n">
        <v>0</v>
      </c>
      <c r="O763" t="n">
        <v>0</v>
      </c>
      <c r="P763" t="n">
        <v>0</v>
      </c>
      <c r="Q763" t="n">
        <v>0</v>
      </c>
      <c r="R763" s="2" t="inlineStr"/>
    </row>
    <row r="764" ht="15" customHeight="1">
      <c r="A764" t="inlineStr">
        <is>
          <t>A 37187-2022</t>
        </is>
      </c>
      <c r="B764" s="1" t="n">
        <v>44806</v>
      </c>
      <c r="C764" s="1" t="n">
        <v>45507</v>
      </c>
      <c r="D764" t="inlineStr">
        <is>
          <t>UPPSALA LÄN</t>
        </is>
      </c>
      <c r="E764" t="inlineStr">
        <is>
          <t>UPPSALA</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37316-2022</t>
        </is>
      </c>
      <c r="B765" s="1" t="n">
        <v>44806</v>
      </c>
      <c r="C765" s="1" t="n">
        <v>45507</v>
      </c>
      <c r="D765" t="inlineStr">
        <is>
          <t>UPPSALA LÄN</t>
        </is>
      </c>
      <c r="E765" t="inlineStr">
        <is>
          <t>UPPSALA</t>
        </is>
      </c>
      <c r="G765" t="n">
        <v>10.6</v>
      </c>
      <c r="H765" t="n">
        <v>0</v>
      </c>
      <c r="I765" t="n">
        <v>0</v>
      </c>
      <c r="J765" t="n">
        <v>0</v>
      </c>
      <c r="K765" t="n">
        <v>0</v>
      </c>
      <c r="L765" t="n">
        <v>0</v>
      </c>
      <c r="M765" t="n">
        <v>0</v>
      </c>
      <c r="N765" t="n">
        <v>0</v>
      </c>
      <c r="O765" t="n">
        <v>0</v>
      </c>
      <c r="P765" t="n">
        <v>0</v>
      </c>
      <c r="Q765" t="n">
        <v>0</v>
      </c>
      <c r="R765" s="2" t="inlineStr"/>
    </row>
    <row r="766" ht="15" customHeight="1">
      <c r="A766" t="inlineStr">
        <is>
          <t>A 37188-2022</t>
        </is>
      </c>
      <c r="B766" s="1" t="n">
        <v>44806</v>
      </c>
      <c r="C766" s="1" t="n">
        <v>45507</v>
      </c>
      <c r="D766" t="inlineStr">
        <is>
          <t>UPPSALA LÄN</t>
        </is>
      </c>
      <c r="E766" t="inlineStr">
        <is>
          <t>UPPSALA</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37588-2022</t>
        </is>
      </c>
      <c r="B767" s="1" t="n">
        <v>44810</v>
      </c>
      <c r="C767" s="1" t="n">
        <v>45507</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37761-2022</t>
        </is>
      </c>
      <c r="B768" s="1" t="n">
        <v>44810</v>
      </c>
      <c r="C768" s="1" t="n">
        <v>45507</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37670-2022</t>
        </is>
      </c>
      <c r="B769" s="1" t="n">
        <v>44810</v>
      </c>
      <c r="C769" s="1" t="n">
        <v>45507</v>
      </c>
      <c r="D769" t="inlineStr">
        <is>
          <t>UPPSALA LÄN</t>
        </is>
      </c>
      <c r="E769" t="inlineStr">
        <is>
          <t>UPPSALA</t>
        </is>
      </c>
      <c r="G769" t="n">
        <v>2.4</v>
      </c>
      <c r="H769" t="n">
        <v>0</v>
      </c>
      <c r="I769" t="n">
        <v>0</v>
      </c>
      <c r="J769" t="n">
        <v>0</v>
      </c>
      <c r="K769" t="n">
        <v>0</v>
      </c>
      <c r="L769" t="n">
        <v>0</v>
      </c>
      <c r="M769" t="n">
        <v>0</v>
      </c>
      <c r="N769" t="n">
        <v>0</v>
      </c>
      <c r="O769" t="n">
        <v>0</v>
      </c>
      <c r="P769" t="n">
        <v>0</v>
      </c>
      <c r="Q769" t="n">
        <v>0</v>
      </c>
      <c r="R769" s="2" t="inlineStr"/>
    </row>
    <row r="770" ht="15" customHeight="1">
      <c r="A770" t="inlineStr">
        <is>
          <t>A 38078-2022</t>
        </is>
      </c>
      <c r="B770" s="1" t="n">
        <v>44811</v>
      </c>
      <c r="C770" s="1" t="n">
        <v>45507</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38524-2022</t>
        </is>
      </c>
      <c r="B771" s="1" t="n">
        <v>44813</v>
      </c>
      <c r="C771" s="1" t="n">
        <v>45507</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38865-2022</t>
        </is>
      </c>
      <c r="B772" s="1" t="n">
        <v>44816</v>
      </c>
      <c r="C772" s="1" t="n">
        <v>45507</v>
      </c>
      <c r="D772" t="inlineStr">
        <is>
          <t>UPPSALA LÄN</t>
        </is>
      </c>
      <c r="E772" t="inlineStr">
        <is>
          <t>UPPSALA</t>
        </is>
      </c>
      <c r="G772" t="n">
        <v>14.6</v>
      </c>
      <c r="H772" t="n">
        <v>0</v>
      </c>
      <c r="I772" t="n">
        <v>0</v>
      </c>
      <c r="J772" t="n">
        <v>0</v>
      </c>
      <c r="K772" t="n">
        <v>0</v>
      </c>
      <c r="L772" t="n">
        <v>0</v>
      </c>
      <c r="M772" t="n">
        <v>0</v>
      </c>
      <c r="N772" t="n">
        <v>0</v>
      </c>
      <c r="O772" t="n">
        <v>0</v>
      </c>
      <c r="P772" t="n">
        <v>0</v>
      </c>
      <c r="Q772" t="n">
        <v>0</v>
      </c>
      <c r="R772" s="2" t="inlineStr"/>
    </row>
    <row r="773" ht="15" customHeight="1">
      <c r="A773" t="inlineStr">
        <is>
          <t>A 38892-2022</t>
        </is>
      </c>
      <c r="B773" s="1" t="n">
        <v>44816</v>
      </c>
      <c r="C773" s="1" t="n">
        <v>45507</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38909-2022</t>
        </is>
      </c>
      <c r="B774" s="1" t="n">
        <v>44816</v>
      </c>
      <c r="C774" s="1" t="n">
        <v>45507</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39148-2022</t>
        </is>
      </c>
      <c r="B775" s="1" t="n">
        <v>44816</v>
      </c>
      <c r="C775" s="1" t="n">
        <v>45507</v>
      </c>
      <c r="D775" t="inlineStr">
        <is>
          <t>UPPSALA LÄN</t>
        </is>
      </c>
      <c r="E775" t="inlineStr">
        <is>
          <t>UPPSALA</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39144-2022</t>
        </is>
      </c>
      <c r="B776" s="1" t="n">
        <v>44816</v>
      </c>
      <c r="C776" s="1" t="n">
        <v>45507</v>
      </c>
      <c r="D776" t="inlineStr">
        <is>
          <t>UPPSALA LÄN</t>
        </is>
      </c>
      <c r="E776" t="inlineStr">
        <is>
          <t>UPPSALA</t>
        </is>
      </c>
      <c r="G776" t="n">
        <v>8.4</v>
      </c>
      <c r="H776" t="n">
        <v>0</v>
      </c>
      <c r="I776" t="n">
        <v>0</v>
      </c>
      <c r="J776" t="n">
        <v>0</v>
      </c>
      <c r="K776" t="n">
        <v>0</v>
      </c>
      <c r="L776" t="n">
        <v>0</v>
      </c>
      <c r="M776" t="n">
        <v>0</v>
      </c>
      <c r="N776" t="n">
        <v>0</v>
      </c>
      <c r="O776" t="n">
        <v>0</v>
      </c>
      <c r="P776" t="n">
        <v>0</v>
      </c>
      <c r="Q776" t="n">
        <v>0</v>
      </c>
      <c r="R776" s="2" t="inlineStr"/>
    </row>
    <row r="777" ht="15" customHeight="1">
      <c r="A777" t="inlineStr">
        <is>
          <t>A 39454-2022</t>
        </is>
      </c>
      <c r="B777" s="1" t="n">
        <v>44817</v>
      </c>
      <c r="C777" s="1" t="n">
        <v>45507</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39608-2022</t>
        </is>
      </c>
      <c r="B778" s="1" t="n">
        <v>44817</v>
      </c>
      <c r="C778" s="1" t="n">
        <v>45507</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39599-2022</t>
        </is>
      </c>
      <c r="B779" s="1" t="n">
        <v>44817</v>
      </c>
      <c r="C779" s="1" t="n">
        <v>45507</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v>
      </c>
      <c r="C780" s="1" t="n">
        <v>45507</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39915-2022</t>
        </is>
      </c>
      <c r="B781" s="1" t="n">
        <v>44819</v>
      </c>
      <c r="C781" s="1" t="n">
        <v>45507</v>
      </c>
      <c r="D781" t="inlineStr">
        <is>
          <t>UPPSALA LÄN</t>
        </is>
      </c>
      <c r="E781" t="inlineStr">
        <is>
          <t>UPPSALA</t>
        </is>
      </c>
      <c r="F781" t="inlineStr">
        <is>
          <t>Allmännings- och besparingsskogar</t>
        </is>
      </c>
      <c r="G781" t="n">
        <v>20.1</v>
      </c>
      <c r="H781" t="n">
        <v>0</v>
      </c>
      <c r="I781" t="n">
        <v>0</v>
      </c>
      <c r="J781" t="n">
        <v>0</v>
      </c>
      <c r="K781" t="n">
        <v>0</v>
      </c>
      <c r="L781" t="n">
        <v>0</v>
      </c>
      <c r="M781" t="n">
        <v>0</v>
      </c>
      <c r="N781" t="n">
        <v>0</v>
      </c>
      <c r="O781" t="n">
        <v>0</v>
      </c>
      <c r="P781" t="n">
        <v>0</v>
      </c>
      <c r="Q781" t="n">
        <v>0</v>
      </c>
      <c r="R781" s="2" t="inlineStr"/>
    </row>
    <row r="782" ht="15" customHeight="1">
      <c r="A782" t="inlineStr">
        <is>
          <t>A 39865-2022</t>
        </is>
      </c>
      <c r="B782" s="1" t="n">
        <v>44819</v>
      </c>
      <c r="C782" s="1" t="n">
        <v>45507</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40100-2022</t>
        </is>
      </c>
      <c r="B783" s="1" t="n">
        <v>44820</v>
      </c>
      <c r="C783" s="1" t="n">
        <v>45507</v>
      </c>
      <c r="D783" t="inlineStr">
        <is>
          <t>UPPSALA LÄN</t>
        </is>
      </c>
      <c r="E783" t="inlineStr">
        <is>
          <t>UPPSALA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42622-2022</t>
        </is>
      </c>
      <c r="B784" s="1" t="n">
        <v>44831</v>
      </c>
      <c r="C784" s="1" t="n">
        <v>45507</v>
      </c>
      <c r="D784" t="inlineStr">
        <is>
          <t>UPPSALA LÄN</t>
        </is>
      </c>
      <c r="E784" t="inlineStr">
        <is>
          <t>UPPSALA</t>
        </is>
      </c>
      <c r="G784" t="n">
        <v>2.4</v>
      </c>
      <c r="H784" t="n">
        <v>0</v>
      </c>
      <c r="I784" t="n">
        <v>0</v>
      </c>
      <c r="J784" t="n">
        <v>0</v>
      </c>
      <c r="K784" t="n">
        <v>0</v>
      </c>
      <c r="L784" t="n">
        <v>0</v>
      </c>
      <c r="M784" t="n">
        <v>0</v>
      </c>
      <c r="N784" t="n">
        <v>0</v>
      </c>
      <c r="O784" t="n">
        <v>0</v>
      </c>
      <c r="P784" t="n">
        <v>0</v>
      </c>
      <c r="Q784" t="n">
        <v>0</v>
      </c>
      <c r="R784" s="2" t="inlineStr"/>
    </row>
    <row r="785" ht="15" customHeight="1">
      <c r="A785" t="inlineStr">
        <is>
          <t>A 42772-2022</t>
        </is>
      </c>
      <c r="B785" s="1" t="n">
        <v>44832</v>
      </c>
      <c r="C785" s="1" t="n">
        <v>45507</v>
      </c>
      <c r="D785" t="inlineStr">
        <is>
          <t>UPPSALA LÄN</t>
        </is>
      </c>
      <c r="E785" t="inlineStr">
        <is>
          <t>UPPSALA</t>
        </is>
      </c>
      <c r="G785" t="n">
        <v>17.7</v>
      </c>
      <c r="H785" t="n">
        <v>0</v>
      </c>
      <c r="I785" t="n">
        <v>0</v>
      </c>
      <c r="J785" t="n">
        <v>0</v>
      </c>
      <c r="K785" t="n">
        <v>0</v>
      </c>
      <c r="L785" t="n">
        <v>0</v>
      </c>
      <c r="M785" t="n">
        <v>0</v>
      </c>
      <c r="N785" t="n">
        <v>0</v>
      </c>
      <c r="O785" t="n">
        <v>0</v>
      </c>
      <c r="P785" t="n">
        <v>0</v>
      </c>
      <c r="Q785" t="n">
        <v>0</v>
      </c>
      <c r="R785" s="2" t="inlineStr"/>
    </row>
    <row r="786" ht="15" customHeight="1">
      <c r="A786" t="inlineStr">
        <is>
          <t>A 43032-2022</t>
        </is>
      </c>
      <c r="B786" s="1" t="n">
        <v>44832</v>
      </c>
      <c r="C786" s="1" t="n">
        <v>45507</v>
      </c>
      <c r="D786" t="inlineStr">
        <is>
          <t>UPPSALA LÄN</t>
        </is>
      </c>
      <c r="E786" t="inlineStr">
        <is>
          <t>UPPSALA</t>
        </is>
      </c>
      <c r="G786" t="n">
        <v>1.5</v>
      </c>
      <c r="H786" t="n">
        <v>0</v>
      </c>
      <c r="I786" t="n">
        <v>0</v>
      </c>
      <c r="J786" t="n">
        <v>0</v>
      </c>
      <c r="K786" t="n">
        <v>0</v>
      </c>
      <c r="L786" t="n">
        <v>0</v>
      </c>
      <c r="M786" t="n">
        <v>0</v>
      </c>
      <c r="N786" t="n">
        <v>0</v>
      </c>
      <c r="O786" t="n">
        <v>0</v>
      </c>
      <c r="P786" t="n">
        <v>0</v>
      </c>
      <c r="Q786" t="n">
        <v>0</v>
      </c>
      <c r="R786" s="2" t="inlineStr"/>
    </row>
    <row r="787" ht="15" customHeight="1">
      <c r="A787" t="inlineStr">
        <is>
          <t>A 43850-2022</t>
        </is>
      </c>
      <c r="B787" s="1" t="n">
        <v>44838</v>
      </c>
      <c r="C787" s="1" t="n">
        <v>45507</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44265-2022</t>
        </is>
      </c>
      <c r="B788" s="1" t="n">
        <v>44839</v>
      </c>
      <c r="C788" s="1" t="n">
        <v>45507</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44817-2022</t>
        </is>
      </c>
      <c r="B789" s="1" t="n">
        <v>44841</v>
      </c>
      <c r="C789" s="1" t="n">
        <v>45507</v>
      </c>
      <c r="D789" t="inlineStr">
        <is>
          <t>UPPSALA LÄN</t>
        </is>
      </c>
      <c r="E789" t="inlineStr">
        <is>
          <t>UPPSALA</t>
        </is>
      </c>
      <c r="G789" t="n">
        <v>0.6</v>
      </c>
      <c r="H789" t="n">
        <v>0</v>
      </c>
      <c r="I789" t="n">
        <v>0</v>
      </c>
      <c r="J789" t="n">
        <v>0</v>
      </c>
      <c r="K789" t="n">
        <v>0</v>
      </c>
      <c r="L789" t="n">
        <v>0</v>
      </c>
      <c r="M789" t="n">
        <v>0</v>
      </c>
      <c r="N789" t="n">
        <v>0</v>
      </c>
      <c r="O789" t="n">
        <v>0</v>
      </c>
      <c r="P789" t="n">
        <v>0</v>
      </c>
      <c r="Q789" t="n">
        <v>0</v>
      </c>
      <c r="R789" s="2" t="inlineStr"/>
    </row>
    <row r="790" ht="15" customHeight="1">
      <c r="A790" t="inlineStr">
        <is>
          <t>A 45195-2022</t>
        </is>
      </c>
      <c r="B790" s="1" t="n">
        <v>44844</v>
      </c>
      <c r="C790" s="1" t="n">
        <v>45507</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45780-2022</t>
        </is>
      </c>
      <c r="B791" s="1" t="n">
        <v>44846</v>
      </c>
      <c r="C791" s="1" t="n">
        <v>45507</v>
      </c>
      <c r="D791" t="inlineStr">
        <is>
          <t>UPPSALA LÄN</t>
        </is>
      </c>
      <c r="E791" t="inlineStr">
        <is>
          <t>UPPSALA</t>
        </is>
      </c>
      <c r="G791" t="n">
        <v>5.8</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45507</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46077-2022</t>
        </is>
      </c>
      <c r="B793" s="1" t="n">
        <v>44847</v>
      </c>
      <c r="C793" s="1" t="n">
        <v>45507</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46069-2022</t>
        </is>
      </c>
      <c r="B794" s="1" t="n">
        <v>44847</v>
      </c>
      <c r="C794" s="1" t="n">
        <v>45507</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v>
      </c>
      <c r="C795" s="1" t="n">
        <v>45507</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46293-2022</t>
        </is>
      </c>
      <c r="B796" s="1" t="n">
        <v>44847</v>
      </c>
      <c r="C796" s="1" t="n">
        <v>45507</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46805-2022</t>
        </is>
      </c>
      <c r="B797" s="1" t="n">
        <v>44847</v>
      </c>
      <c r="C797" s="1" t="n">
        <v>45507</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46807-2022</t>
        </is>
      </c>
      <c r="B798" s="1" t="n">
        <v>44848</v>
      </c>
      <c r="C798" s="1" t="n">
        <v>45507</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46635-2022</t>
        </is>
      </c>
      <c r="B799" s="1" t="n">
        <v>44849</v>
      </c>
      <c r="C799" s="1" t="n">
        <v>45507</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47413-2022</t>
        </is>
      </c>
      <c r="B800" s="1" t="n">
        <v>44853</v>
      </c>
      <c r="C800" s="1" t="n">
        <v>45507</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48686-2022</t>
        </is>
      </c>
      <c r="B801" s="1" t="n">
        <v>44859</v>
      </c>
      <c r="C801" s="1" t="n">
        <v>45507</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48588-2022</t>
        </is>
      </c>
      <c r="B802" s="1" t="n">
        <v>44859</v>
      </c>
      <c r="C802" s="1" t="n">
        <v>45507</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48692-2022</t>
        </is>
      </c>
      <c r="B803" s="1" t="n">
        <v>44859</v>
      </c>
      <c r="C803" s="1" t="n">
        <v>45507</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48688-2022</t>
        </is>
      </c>
      <c r="B804" s="1" t="n">
        <v>44859</v>
      </c>
      <c r="C804" s="1" t="n">
        <v>45507</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50006-2022</t>
        </is>
      </c>
      <c r="B805" s="1" t="n">
        <v>44865</v>
      </c>
      <c r="C805" s="1" t="n">
        <v>45507</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50092-2022</t>
        </is>
      </c>
      <c r="B806" s="1" t="n">
        <v>44865</v>
      </c>
      <c r="C806" s="1" t="n">
        <v>45507</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50954-2022</t>
        </is>
      </c>
      <c r="B807" s="1" t="n">
        <v>44866</v>
      </c>
      <c r="C807" s="1" t="n">
        <v>45507</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51661-2022</t>
        </is>
      </c>
      <c r="B808" s="1" t="n">
        <v>44872</v>
      </c>
      <c r="C808" s="1" t="n">
        <v>45507</v>
      </c>
      <c r="D808" t="inlineStr">
        <is>
          <t>UPPSALA LÄN</t>
        </is>
      </c>
      <c r="E808" t="inlineStr">
        <is>
          <t>UPPSALA</t>
        </is>
      </c>
      <c r="G808" t="n">
        <v>8.9</v>
      </c>
      <c r="H808" t="n">
        <v>0</v>
      </c>
      <c r="I808" t="n">
        <v>0</v>
      </c>
      <c r="J808" t="n">
        <v>0</v>
      </c>
      <c r="K808" t="n">
        <v>0</v>
      </c>
      <c r="L808" t="n">
        <v>0</v>
      </c>
      <c r="M808" t="n">
        <v>0</v>
      </c>
      <c r="N808" t="n">
        <v>0</v>
      </c>
      <c r="O808" t="n">
        <v>0</v>
      </c>
      <c r="P808" t="n">
        <v>0</v>
      </c>
      <c r="Q808" t="n">
        <v>0</v>
      </c>
      <c r="R808" s="2" t="inlineStr"/>
    </row>
    <row r="809" ht="15" customHeight="1">
      <c r="A809" t="inlineStr">
        <is>
          <t>A 51899-2022</t>
        </is>
      </c>
      <c r="B809" s="1" t="n">
        <v>44872</v>
      </c>
      <c r="C809" s="1" t="n">
        <v>45507</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54715-2022</t>
        </is>
      </c>
      <c r="B810" s="1" t="n">
        <v>44883</v>
      </c>
      <c r="C810" s="1" t="n">
        <v>45507</v>
      </c>
      <c r="D810" t="inlineStr">
        <is>
          <t>UPPSALA LÄN</t>
        </is>
      </c>
      <c r="E810" t="inlineStr">
        <is>
          <t>UPPSALA</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54732-2022</t>
        </is>
      </c>
      <c r="B811" s="1" t="n">
        <v>44883</v>
      </c>
      <c r="C811" s="1" t="n">
        <v>45507</v>
      </c>
      <c r="D811" t="inlineStr">
        <is>
          <t>UPPSALA LÄN</t>
        </is>
      </c>
      <c r="E811" t="inlineStr">
        <is>
          <t>UPPSALA</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54813-2022</t>
        </is>
      </c>
      <c r="B812" s="1" t="n">
        <v>44883</v>
      </c>
      <c r="C812" s="1" t="n">
        <v>45507</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55021-2022</t>
        </is>
      </c>
      <c r="B813" s="1" t="n">
        <v>44886</v>
      </c>
      <c r="C813" s="1" t="n">
        <v>45507</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55040-2022</t>
        </is>
      </c>
      <c r="B814" s="1" t="n">
        <v>44886</v>
      </c>
      <c r="C814" s="1" t="n">
        <v>45507</v>
      </c>
      <c r="D814" t="inlineStr">
        <is>
          <t>UPPSALA LÄN</t>
        </is>
      </c>
      <c r="E814" t="inlineStr">
        <is>
          <t>UPPSALA</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55073-2022</t>
        </is>
      </c>
      <c r="B815" s="1" t="n">
        <v>44886</v>
      </c>
      <c r="C815" s="1" t="n">
        <v>45507</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55066-2022</t>
        </is>
      </c>
      <c r="B816" s="1" t="n">
        <v>44886</v>
      </c>
      <c r="C816" s="1" t="n">
        <v>45507</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55401-2022</t>
        </is>
      </c>
      <c r="B817" s="1" t="n">
        <v>44887</v>
      </c>
      <c r="C817" s="1" t="n">
        <v>45507</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55862-2022</t>
        </is>
      </c>
      <c r="B818" s="1" t="n">
        <v>44888</v>
      </c>
      <c r="C818" s="1" t="n">
        <v>45507</v>
      </c>
      <c r="D818" t="inlineStr">
        <is>
          <t>UPPSALA LÄN</t>
        </is>
      </c>
      <c r="E818" t="inlineStr">
        <is>
          <t>UPPSALA</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56679-2022</t>
        </is>
      </c>
      <c r="B819" s="1" t="n">
        <v>44893</v>
      </c>
      <c r="C819" s="1" t="n">
        <v>45507</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56889-2022</t>
        </is>
      </c>
      <c r="B820" s="1" t="n">
        <v>44894</v>
      </c>
      <c r="C820" s="1" t="n">
        <v>45507</v>
      </c>
      <c r="D820" t="inlineStr">
        <is>
          <t>UPPSALA LÄN</t>
        </is>
      </c>
      <c r="E820" t="inlineStr">
        <is>
          <t>UPPSALA</t>
        </is>
      </c>
      <c r="F820" t="inlineStr">
        <is>
          <t>Övriga Aktiebolag</t>
        </is>
      </c>
      <c r="G820" t="n">
        <v>21.6</v>
      </c>
      <c r="H820" t="n">
        <v>0</v>
      </c>
      <c r="I820" t="n">
        <v>0</v>
      </c>
      <c r="J820" t="n">
        <v>0</v>
      </c>
      <c r="K820" t="n">
        <v>0</v>
      </c>
      <c r="L820" t="n">
        <v>0</v>
      </c>
      <c r="M820" t="n">
        <v>0</v>
      </c>
      <c r="N820" t="n">
        <v>0</v>
      </c>
      <c r="O820" t="n">
        <v>0</v>
      </c>
      <c r="P820" t="n">
        <v>0</v>
      </c>
      <c r="Q820" t="n">
        <v>0</v>
      </c>
      <c r="R820" s="2" t="inlineStr"/>
    </row>
    <row r="821" ht="15" customHeight="1">
      <c r="A821" t="inlineStr">
        <is>
          <t>A 56795-2022</t>
        </is>
      </c>
      <c r="B821" s="1" t="n">
        <v>44894</v>
      </c>
      <c r="C821" s="1" t="n">
        <v>45507</v>
      </c>
      <c r="D821" t="inlineStr">
        <is>
          <t>UPPSALA LÄN</t>
        </is>
      </c>
      <c r="E821" t="inlineStr">
        <is>
          <t>UPPSALA</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56779-2022</t>
        </is>
      </c>
      <c r="B822" s="1" t="n">
        <v>44894</v>
      </c>
      <c r="C822" s="1" t="n">
        <v>45507</v>
      </c>
      <c r="D822" t="inlineStr">
        <is>
          <t>UPPSALA LÄN</t>
        </is>
      </c>
      <c r="E822" t="inlineStr">
        <is>
          <t>UPPSALA</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57495-2022</t>
        </is>
      </c>
      <c r="B823" s="1" t="n">
        <v>44896</v>
      </c>
      <c r="C823" s="1" t="n">
        <v>45507</v>
      </c>
      <c r="D823" t="inlineStr">
        <is>
          <t>UPPSALA LÄN</t>
        </is>
      </c>
      <c r="E823" t="inlineStr">
        <is>
          <t>UPPSALA</t>
        </is>
      </c>
      <c r="G823" t="n">
        <v>7</v>
      </c>
      <c r="H823" t="n">
        <v>0</v>
      </c>
      <c r="I823" t="n">
        <v>0</v>
      </c>
      <c r="J823" t="n">
        <v>0</v>
      </c>
      <c r="K823" t="n">
        <v>0</v>
      </c>
      <c r="L823" t="n">
        <v>0</v>
      </c>
      <c r="M823" t="n">
        <v>0</v>
      </c>
      <c r="N823" t="n">
        <v>0</v>
      </c>
      <c r="O823" t="n">
        <v>0</v>
      </c>
      <c r="P823" t="n">
        <v>0</v>
      </c>
      <c r="Q823" t="n">
        <v>0</v>
      </c>
      <c r="R823" s="2" t="inlineStr"/>
    </row>
    <row r="824" ht="15" customHeight="1">
      <c r="A824" t="inlineStr">
        <is>
          <t>A 57714-2022</t>
        </is>
      </c>
      <c r="B824" s="1" t="n">
        <v>44897</v>
      </c>
      <c r="C824" s="1" t="n">
        <v>45507</v>
      </c>
      <c r="D824" t="inlineStr">
        <is>
          <t>UPPSALA LÄN</t>
        </is>
      </c>
      <c r="E824" t="inlineStr">
        <is>
          <t>UPPSALA</t>
        </is>
      </c>
      <c r="G824" t="n">
        <v>8.9</v>
      </c>
      <c r="H824" t="n">
        <v>0</v>
      </c>
      <c r="I824" t="n">
        <v>0</v>
      </c>
      <c r="J824" t="n">
        <v>0</v>
      </c>
      <c r="K824" t="n">
        <v>0</v>
      </c>
      <c r="L824" t="n">
        <v>0</v>
      </c>
      <c r="M824" t="n">
        <v>0</v>
      </c>
      <c r="N824" t="n">
        <v>0</v>
      </c>
      <c r="O824" t="n">
        <v>0</v>
      </c>
      <c r="P824" t="n">
        <v>0</v>
      </c>
      <c r="Q824" t="n">
        <v>0</v>
      </c>
      <c r="R824" s="2" t="inlineStr"/>
    </row>
    <row r="825" ht="15" customHeight="1">
      <c r="A825" t="inlineStr">
        <is>
          <t>A 57809-2022</t>
        </is>
      </c>
      <c r="B825" s="1" t="n">
        <v>44897</v>
      </c>
      <c r="C825" s="1" t="n">
        <v>45507</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58023-2022</t>
        </is>
      </c>
      <c r="B826" s="1" t="n">
        <v>44900</v>
      </c>
      <c r="C826" s="1" t="n">
        <v>45507</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58096-2022</t>
        </is>
      </c>
      <c r="B827" s="1" t="n">
        <v>44900</v>
      </c>
      <c r="C827" s="1" t="n">
        <v>45507</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58243-2022</t>
        </is>
      </c>
      <c r="B828" s="1" t="n">
        <v>44901</v>
      </c>
      <c r="C828" s="1" t="n">
        <v>45507</v>
      </c>
      <c r="D828" t="inlineStr">
        <is>
          <t>UPPSALA LÄN</t>
        </is>
      </c>
      <c r="E828" t="inlineStr">
        <is>
          <t>UPPSALA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59133-2022</t>
        </is>
      </c>
      <c r="B829" s="1" t="n">
        <v>44904</v>
      </c>
      <c r="C829" s="1" t="n">
        <v>45507</v>
      </c>
      <c r="D829" t="inlineStr">
        <is>
          <t>UPPSALA LÄN</t>
        </is>
      </c>
      <c r="E829" t="inlineStr">
        <is>
          <t>UPPSALA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59730-2022</t>
        </is>
      </c>
      <c r="B830" s="1" t="n">
        <v>44908</v>
      </c>
      <c r="C830" s="1" t="n">
        <v>45507</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59719-2022</t>
        </is>
      </c>
      <c r="B831" s="1" t="n">
        <v>44908</v>
      </c>
      <c r="C831" s="1" t="n">
        <v>45507</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59727-2022</t>
        </is>
      </c>
      <c r="B832" s="1" t="n">
        <v>44908</v>
      </c>
      <c r="C832" s="1" t="n">
        <v>45507</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60056-2022</t>
        </is>
      </c>
      <c r="B833" s="1" t="n">
        <v>44909</v>
      </c>
      <c r="C833" s="1" t="n">
        <v>45507</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60055-2022</t>
        </is>
      </c>
      <c r="B834" s="1" t="n">
        <v>44909</v>
      </c>
      <c r="C834" s="1" t="n">
        <v>45507</v>
      </c>
      <c r="D834" t="inlineStr">
        <is>
          <t>UPPSALA LÄN</t>
        </is>
      </c>
      <c r="E834" t="inlineStr">
        <is>
          <t>UPPSALA</t>
        </is>
      </c>
      <c r="G834" t="n">
        <v>11.4</v>
      </c>
      <c r="H834" t="n">
        <v>0</v>
      </c>
      <c r="I834" t="n">
        <v>0</v>
      </c>
      <c r="J834" t="n">
        <v>0</v>
      </c>
      <c r="K834" t="n">
        <v>0</v>
      </c>
      <c r="L834" t="n">
        <v>0</v>
      </c>
      <c r="M834" t="n">
        <v>0</v>
      </c>
      <c r="N834" t="n">
        <v>0</v>
      </c>
      <c r="O834" t="n">
        <v>0</v>
      </c>
      <c r="P834" t="n">
        <v>0</v>
      </c>
      <c r="Q834" t="n">
        <v>0</v>
      </c>
      <c r="R834" s="2" t="inlineStr"/>
    </row>
    <row r="835" ht="15" customHeight="1">
      <c r="A835" t="inlineStr">
        <is>
          <t>A 60047-2022</t>
        </is>
      </c>
      <c r="B835" s="1" t="n">
        <v>44909</v>
      </c>
      <c r="C835" s="1" t="n">
        <v>45507</v>
      </c>
      <c r="D835" t="inlineStr">
        <is>
          <t>UPPSALA LÄN</t>
        </is>
      </c>
      <c r="E835" t="inlineStr">
        <is>
          <t>UPPSALA</t>
        </is>
      </c>
      <c r="F835" t="inlineStr">
        <is>
          <t>Kyrkan</t>
        </is>
      </c>
      <c r="G835" t="n">
        <v>0.7</v>
      </c>
      <c r="H835" t="n">
        <v>0</v>
      </c>
      <c r="I835" t="n">
        <v>0</v>
      </c>
      <c r="J835" t="n">
        <v>0</v>
      </c>
      <c r="K835" t="n">
        <v>0</v>
      </c>
      <c r="L835" t="n">
        <v>0</v>
      </c>
      <c r="M835" t="n">
        <v>0</v>
      </c>
      <c r="N835" t="n">
        <v>0</v>
      </c>
      <c r="O835" t="n">
        <v>0</v>
      </c>
      <c r="P835" t="n">
        <v>0</v>
      </c>
      <c r="Q835" t="n">
        <v>0</v>
      </c>
      <c r="R835" s="2" t="inlineStr"/>
    </row>
    <row r="836" ht="15" customHeight="1">
      <c r="A836" t="inlineStr">
        <is>
          <t>A 60702-2022</t>
        </is>
      </c>
      <c r="B836" s="1" t="n">
        <v>44912</v>
      </c>
      <c r="C836" s="1" t="n">
        <v>45507</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60701-2022</t>
        </is>
      </c>
      <c r="B837" s="1" t="n">
        <v>44912</v>
      </c>
      <c r="C837" s="1" t="n">
        <v>45507</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60984-2022</t>
        </is>
      </c>
      <c r="B838" s="1" t="n">
        <v>44914</v>
      </c>
      <c r="C838" s="1" t="n">
        <v>45507</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60986-2022</t>
        </is>
      </c>
      <c r="B839" s="1" t="n">
        <v>44914</v>
      </c>
      <c r="C839" s="1" t="n">
        <v>45507</v>
      </c>
      <c r="D839" t="inlineStr">
        <is>
          <t>UPPSALA LÄN</t>
        </is>
      </c>
      <c r="E839" t="inlineStr">
        <is>
          <t>UPPSALA</t>
        </is>
      </c>
      <c r="G839" t="n">
        <v>1.6</v>
      </c>
      <c r="H839" t="n">
        <v>0</v>
      </c>
      <c r="I839" t="n">
        <v>0</v>
      </c>
      <c r="J839" t="n">
        <v>0</v>
      </c>
      <c r="K839" t="n">
        <v>0</v>
      </c>
      <c r="L839" t="n">
        <v>0</v>
      </c>
      <c r="M839" t="n">
        <v>0</v>
      </c>
      <c r="N839" t="n">
        <v>0</v>
      </c>
      <c r="O839" t="n">
        <v>0</v>
      </c>
      <c r="P839" t="n">
        <v>0</v>
      </c>
      <c r="Q839" t="n">
        <v>0</v>
      </c>
      <c r="R839" s="2" t="inlineStr"/>
    </row>
    <row r="840" ht="15" customHeight="1">
      <c r="A840" t="inlineStr">
        <is>
          <t>A 60988-2022</t>
        </is>
      </c>
      <c r="B840" s="1" t="n">
        <v>44914</v>
      </c>
      <c r="C840" s="1" t="n">
        <v>45507</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61526-2022</t>
        </is>
      </c>
      <c r="B841" s="1" t="n">
        <v>44916</v>
      </c>
      <c r="C841" s="1" t="n">
        <v>45507</v>
      </c>
      <c r="D841" t="inlineStr">
        <is>
          <t>UPPSALA LÄN</t>
        </is>
      </c>
      <c r="E841" t="inlineStr">
        <is>
          <t>UPPSALA</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61578-2022</t>
        </is>
      </c>
      <c r="B842" s="1" t="n">
        <v>44916</v>
      </c>
      <c r="C842" s="1" t="n">
        <v>45507</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62311-2022</t>
        </is>
      </c>
      <c r="B843" s="1" t="n">
        <v>44916</v>
      </c>
      <c r="C843" s="1" t="n">
        <v>45507</v>
      </c>
      <c r="D843" t="inlineStr">
        <is>
          <t>UPPSALA LÄN</t>
        </is>
      </c>
      <c r="E843" t="inlineStr">
        <is>
          <t>UPPSALA</t>
        </is>
      </c>
      <c r="G843" t="n">
        <v>7.6</v>
      </c>
      <c r="H843" t="n">
        <v>0</v>
      </c>
      <c r="I843" t="n">
        <v>0</v>
      </c>
      <c r="J843" t="n">
        <v>0</v>
      </c>
      <c r="K843" t="n">
        <v>0</v>
      </c>
      <c r="L843" t="n">
        <v>0</v>
      </c>
      <c r="M843" t="n">
        <v>0</v>
      </c>
      <c r="N843" t="n">
        <v>0</v>
      </c>
      <c r="O843" t="n">
        <v>0</v>
      </c>
      <c r="P843" t="n">
        <v>0</v>
      </c>
      <c r="Q843" t="n">
        <v>0</v>
      </c>
      <c r="R843" s="2" t="inlineStr"/>
    </row>
    <row r="844" ht="15" customHeight="1">
      <c r="A844" t="inlineStr">
        <is>
          <t>A 111-2023</t>
        </is>
      </c>
      <c r="B844" s="1" t="n">
        <v>44928</v>
      </c>
      <c r="C844" s="1" t="n">
        <v>45507</v>
      </c>
      <c r="D844" t="inlineStr">
        <is>
          <t>UPPSALA LÄN</t>
        </is>
      </c>
      <c r="E844" t="inlineStr">
        <is>
          <t>UPPSALA</t>
        </is>
      </c>
      <c r="F844" t="inlineStr">
        <is>
          <t>Kommuner</t>
        </is>
      </c>
      <c r="G844" t="n">
        <v>4.8</v>
      </c>
      <c r="H844" t="n">
        <v>0</v>
      </c>
      <c r="I844" t="n">
        <v>0</v>
      </c>
      <c r="J844" t="n">
        <v>0</v>
      </c>
      <c r="K844" t="n">
        <v>0</v>
      </c>
      <c r="L844" t="n">
        <v>0</v>
      </c>
      <c r="M844" t="n">
        <v>0</v>
      </c>
      <c r="N844" t="n">
        <v>0</v>
      </c>
      <c r="O844" t="n">
        <v>0</v>
      </c>
      <c r="P844" t="n">
        <v>0</v>
      </c>
      <c r="Q844" t="n">
        <v>0</v>
      </c>
      <c r="R844" s="2" t="inlineStr"/>
    </row>
    <row r="845" ht="15" customHeight="1">
      <c r="A845" t="inlineStr">
        <is>
          <t>A 179-2023</t>
        </is>
      </c>
      <c r="B845" s="1" t="n">
        <v>44928</v>
      </c>
      <c r="C845" s="1" t="n">
        <v>45507</v>
      </c>
      <c r="D845" t="inlineStr">
        <is>
          <t>UPPSALA LÄN</t>
        </is>
      </c>
      <c r="E845" t="inlineStr">
        <is>
          <t>UPPSALA</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367-2023</t>
        </is>
      </c>
      <c r="B846" s="1" t="n">
        <v>44929</v>
      </c>
      <c r="C846" s="1" t="n">
        <v>45507</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554-2023</t>
        </is>
      </c>
      <c r="B847" s="1" t="n">
        <v>44930</v>
      </c>
      <c r="C847" s="1" t="n">
        <v>45507</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686-2023</t>
        </is>
      </c>
      <c r="B848" s="1" t="n">
        <v>44930</v>
      </c>
      <c r="C848" s="1" t="n">
        <v>45507</v>
      </c>
      <c r="D848" t="inlineStr">
        <is>
          <t>UPPSALA LÄN</t>
        </is>
      </c>
      <c r="E848" t="inlineStr">
        <is>
          <t>UPPSALA</t>
        </is>
      </c>
      <c r="F848" t="inlineStr">
        <is>
          <t>Bergvik skog öst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1032-2023</t>
        </is>
      </c>
      <c r="B849" s="1" t="n">
        <v>44935</v>
      </c>
      <c r="C849" s="1" t="n">
        <v>45507</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1357-2023</t>
        </is>
      </c>
      <c r="B850" s="1" t="n">
        <v>44936</v>
      </c>
      <c r="C850" s="1" t="n">
        <v>45507</v>
      </c>
      <c r="D850" t="inlineStr">
        <is>
          <t>UPPSALA LÄN</t>
        </is>
      </c>
      <c r="E850" t="inlineStr">
        <is>
          <t>UPPSALA</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2186-2023</t>
        </is>
      </c>
      <c r="B851" s="1" t="n">
        <v>44942</v>
      </c>
      <c r="C851" s="1" t="n">
        <v>45507</v>
      </c>
      <c r="D851" t="inlineStr">
        <is>
          <t>UPPSALA LÄN</t>
        </is>
      </c>
      <c r="E851" t="inlineStr">
        <is>
          <t>UPPSALA</t>
        </is>
      </c>
      <c r="F851" t="inlineStr">
        <is>
          <t>Bergvik skog öst AB</t>
        </is>
      </c>
      <c r="G851" t="n">
        <v>2.5</v>
      </c>
      <c r="H851" t="n">
        <v>0</v>
      </c>
      <c r="I851" t="n">
        <v>0</v>
      </c>
      <c r="J851" t="n">
        <v>0</v>
      </c>
      <c r="K851" t="n">
        <v>0</v>
      </c>
      <c r="L851" t="n">
        <v>0</v>
      </c>
      <c r="M851" t="n">
        <v>0</v>
      </c>
      <c r="N851" t="n">
        <v>0</v>
      </c>
      <c r="O851" t="n">
        <v>0</v>
      </c>
      <c r="P851" t="n">
        <v>0</v>
      </c>
      <c r="Q851" t="n">
        <v>0</v>
      </c>
      <c r="R851" s="2" t="inlineStr"/>
    </row>
    <row r="852" ht="15" customHeight="1">
      <c r="A852" t="inlineStr">
        <is>
          <t>A 2622-2023</t>
        </is>
      </c>
      <c r="B852" s="1" t="n">
        <v>44944</v>
      </c>
      <c r="C852" s="1" t="n">
        <v>45507</v>
      </c>
      <c r="D852" t="inlineStr">
        <is>
          <t>UPPSALA LÄN</t>
        </is>
      </c>
      <c r="E852" t="inlineStr">
        <is>
          <t>UPPSALA</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2624-2023</t>
        </is>
      </c>
      <c r="B853" s="1" t="n">
        <v>44944</v>
      </c>
      <c r="C853" s="1" t="n">
        <v>45507</v>
      </c>
      <c r="D853" t="inlineStr">
        <is>
          <t>UPPSALA LÄN</t>
        </is>
      </c>
      <c r="E853" t="inlineStr">
        <is>
          <t>UPPSALA</t>
        </is>
      </c>
      <c r="F853" t="inlineStr">
        <is>
          <t>Kommuner</t>
        </is>
      </c>
      <c r="G853" t="n">
        <v>2.9</v>
      </c>
      <c r="H853" t="n">
        <v>0</v>
      </c>
      <c r="I853" t="n">
        <v>0</v>
      </c>
      <c r="J853" t="n">
        <v>0</v>
      </c>
      <c r="K853" t="n">
        <v>0</v>
      </c>
      <c r="L853" t="n">
        <v>0</v>
      </c>
      <c r="M853" t="n">
        <v>0</v>
      </c>
      <c r="N853" t="n">
        <v>0</v>
      </c>
      <c r="O853" t="n">
        <v>0</v>
      </c>
      <c r="P853" t="n">
        <v>0</v>
      </c>
      <c r="Q853" t="n">
        <v>0</v>
      </c>
      <c r="R853" s="2" t="inlineStr"/>
    </row>
    <row r="854" ht="15" customHeight="1">
      <c r="A854" t="inlineStr">
        <is>
          <t>A 5362-2023</t>
        </is>
      </c>
      <c r="B854" s="1" t="n">
        <v>44944</v>
      </c>
      <c r="C854" s="1" t="n">
        <v>45507</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3214-2023</t>
        </is>
      </c>
      <c r="B855" s="1" t="n">
        <v>44944</v>
      </c>
      <c r="C855" s="1" t="n">
        <v>45507</v>
      </c>
      <c r="D855" t="inlineStr">
        <is>
          <t>UPPSALA LÄN</t>
        </is>
      </c>
      <c r="E855" t="inlineStr">
        <is>
          <t>UPPSALA</t>
        </is>
      </c>
      <c r="G855" t="n">
        <v>4.1</v>
      </c>
      <c r="H855" t="n">
        <v>0</v>
      </c>
      <c r="I855" t="n">
        <v>0</v>
      </c>
      <c r="J855" t="n">
        <v>0</v>
      </c>
      <c r="K855" t="n">
        <v>0</v>
      </c>
      <c r="L855" t="n">
        <v>0</v>
      </c>
      <c r="M855" t="n">
        <v>0</v>
      </c>
      <c r="N855" t="n">
        <v>0</v>
      </c>
      <c r="O855" t="n">
        <v>0</v>
      </c>
      <c r="P855" t="n">
        <v>0</v>
      </c>
      <c r="Q855" t="n">
        <v>0</v>
      </c>
      <c r="R855" s="2" t="inlineStr"/>
    </row>
    <row r="856" ht="15" customHeight="1">
      <c r="A856" t="inlineStr">
        <is>
          <t>A 5374-2023</t>
        </is>
      </c>
      <c r="B856" s="1" t="n">
        <v>44944</v>
      </c>
      <c r="C856" s="1" t="n">
        <v>45507</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2942-2023</t>
        </is>
      </c>
      <c r="B857" s="1" t="n">
        <v>44945</v>
      </c>
      <c r="C857" s="1" t="n">
        <v>45507</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45507</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3089-2023</t>
        </is>
      </c>
      <c r="B859" s="1" t="n">
        <v>44946</v>
      </c>
      <c r="C859" s="1" t="n">
        <v>45507</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3086-2023</t>
        </is>
      </c>
      <c r="B860" s="1" t="n">
        <v>44946</v>
      </c>
      <c r="C860" s="1" t="n">
        <v>45507</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3092-2023</t>
        </is>
      </c>
      <c r="B861" s="1" t="n">
        <v>44946</v>
      </c>
      <c r="C861" s="1" t="n">
        <v>45507</v>
      </c>
      <c r="D861" t="inlineStr">
        <is>
          <t>UPPSALA LÄN</t>
        </is>
      </c>
      <c r="E861" t="inlineStr">
        <is>
          <t>UPPSALA</t>
        </is>
      </c>
      <c r="G861" t="n">
        <v>2.7</v>
      </c>
      <c r="H861" t="n">
        <v>0</v>
      </c>
      <c r="I861" t="n">
        <v>0</v>
      </c>
      <c r="J861" t="n">
        <v>0</v>
      </c>
      <c r="K861" t="n">
        <v>0</v>
      </c>
      <c r="L861" t="n">
        <v>0</v>
      </c>
      <c r="M861" t="n">
        <v>0</v>
      </c>
      <c r="N861" t="n">
        <v>0</v>
      </c>
      <c r="O861" t="n">
        <v>0</v>
      </c>
      <c r="P861" t="n">
        <v>0</v>
      </c>
      <c r="Q861" t="n">
        <v>0</v>
      </c>
      <c r="R861" s="2" t="inlineStr"/>
    </row>
    <row r="862" ht="15" customHeight="1">
      <c r="A862" t="inlineStr">
        <is>
          <t>A 3343-2023</t>
        </is>
      </c>
      <c r="B862" s="1" t="n">
        <v>44949</v>
      </c>
      <c r="C862" s="1" t="n">
        <v>45507</v>
      </c>
      <c r="D862" t="inlineStr">
        <is>
          <t>UPPSALA LÄN</t>
        </is>
      </c>
      <c r="E862" t="inlineStr">
        <is>
          <t>UPPSALA</t>
        </is>
      </c>
      <c r="F862" t="inlineStr">
        <is>
          <t>Allmännings- och besparingsskogar</t>
        </is>
      </c>
      <c r="G862" t="n">
        <v>2.3</v>
      </c>
      <c r="H862" t="n">
        <v>0</v>
      </c>
      <c r="I862" t="n">
        <v>0</v>
      </c>
      <c r="J862" t="n">
        <v>0</v>
      </c>
      <c r="K862" t="n">
        <v>0</v>
      </c>
      <c r="L862" t="n">
        <v>0</v>
      </c>
      <c r="M862" t="n">
        <v>0</v>
      </c>
      <c r="N862" t="n">
        <v>0</v>
      </c>
      <c r="O862" t="n">
        <v>0</v>
      </c>
      <c r="P862" t="n">
        <v>0</v>
      </c>
      <c r="Q862" t="n">
        <v>0</v>
      </c>
      <c r="R862" s="2" t="inlineStr"/>
    </row>
    <row r="863" ht="15" customHeight="1">
      <c r="A863" t="inlineStr">
        <is>
          <t>A 3353-2023</t>
        </is>
      </c>
      <c r="B863" s="1" t="n">
        <v>44949</v>
      </c>
      <c r="C863" s="1" t="n">
        <v>45507</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3661-2023</t>
        </is>
      </c>
      <c r="B864" s="1" t="n">
        <v>44950</v>
      </c>
      <c r="C864" s="1" t="n">
        <v>45507</v>
      </c>
      <c r="D864" t="inlineStr">
        <is>
          <t>UPPSALA LÄN</t>
        </is>
      </c>
      <c r="E864" t="inlineStr">
        <is>
          <t>UPPSALA</t>
        </is>
      </c>
      <c r="F864" t="inlineStr">
        <is>
          <t>Allmännings- och besparingsskogar</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3940-2023</t>
        </is>
      </c>
      <c r="B865" s="1" t="n">
        <v>44952</v>
      </c>
      <c r="C865" s="1" t="n">
        <v>45507</v>
      </c>
      <c r="D865" t="inlineStr">
        <is>
          <t>UPPSALA LÄN</t>
        </is>
      </c>
      <c r="E865" t="inlineStr">
        <is>
          <t>UPPSALA</t>
        </is>
      </c>
      <c r="F865" t="inlineStr">
        <is>
          <t>Bergvik skog öst AB</t>
        </is>
      </c>
      <c r="G865" t="n">
        <v>20.6</v>
      </c>
      <c r="H865" t="n">
        <v>0</v>
      </c>
      <c r="I865" t="n">
        <v>0</v>
      </c>
      <c r="J865" t="n">
        <v>0</v>
      </c>
      <c r="K865" t="n">
        <v>0</v>
      </c>
      <c r="L865" t="n">
        <v>0</v>
      </c>
      <c r="M865" t="n">
        <v>0</v>
      </c>
      <c r="N865" t="n">
        <v>0</v>
      </c>
      <c r="O865" t="n">
        <v>0</v>
      </c>
      <c r="P865" t="n">
        <v>0</v>
      </c>
      <c r="Q865" t="n">
        <v>0</v>
      </c>
      <c r="R865" s="2" t="inlineStr"/>
    </row>
    <row r="866" ht="15" customHeight="1">
      <c r="A866" t="inlineStr">
        <is>
          <t>A 3939-2023</t>
        </is>
      </c>
      <c r="B866" s="1" t="n">
        <v>44952</v>
      </c>
      <c r="C866" s="1" t="n">
        <v>45507</v>
      </c>
      <c r="D866" t="inlineStr">
        <is>
          <t>UPPSALA LÄN</t>
        </is>
      </c>
      <c r="E866" t="inlineStr">
        <is>
          <t>UPPSALA</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5254-2023</t>
        </is>
      </c>
      <c r="B867" s="1" t="n">
        <v>44959</v>
      </c>
      <c r="C867" s="1" t="n">
        <v>45507</v>
      </c>
      <c r="D867" t="inlineStr">
        <is>
          <t>UPPSALA LÄN</t>
        </is>
      </c>
      <c r="E867" t="inlineStr">
        <is>
          <t>UPPSALA</t>
        </is>
      </c>
      <c r="G867" t="n">
        <v>2.6</v>
      </c>
      <c r="H867" t="n">
        <v>0</v>
      </c>
      <c r="I867" t="n">
        <v>0</v>
      </c>
      <c r="J867" t="n">
        <v>0</v>
      </c>
      <c r="K867" t="n">
        <v>0</v>
      </c>
      <c r="L867" t="n">
        <v>0</v>
      </c>
      <c r="M867" t="n">
        <v>0</v>
      </c>
      <c r="N867" t="n">
        <v>0</v>
      </c>
      <c r="O867" t="n">
        <v>0</v>
      </c>
      <c r="P867" t="n">
        <v>0</v>
      </c>
      <c r="Q867" t="n">
        <v>0</v>
      </c>
      <c r="R867" s="2" t="inlineStr"/>
    </row>
    <row r="868" ht="15" customHeight="1">
      <c r="A868" t="inlineStr">
        <is>
          <t>A 5258-2023</t>
        </is>
      </c>
      <c r="B868" s="1" t="n">
        <v>44959</v>
      </c>
      <c r="C868" s="1" t="n">
        <v>45507</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5247-2023</t>
        </is>
      </c>
      <c r="B869" s="1" t="n">
        <v>44959</v>
      </c>
      <c r="C869" s="1" t="n">
        <v>45507</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45507</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5682-2023</t>
        </is>
      </c>
      <c r="B871" s="1" t="n">
        <v>44960</v>
      </c>
      <c r="C871" s="1" t="n">
        <v>45507</v>
      </c>
      <c r="D871" t="inlineStr">
        <is>
          <t>UPPSALA LÄN</t>
        </is>
      </c>
      <c r="E871" t="inlineStr">
        <is>
          <t>UPPSALA</t>
        </is>
      </c>
      <c r="F871" t="inlineStr">
        <is>
          <t>Allmännings- och besparingsskogar</t>
        </is>
      </c>
      <c r="G871" t="n">
        <v>14.2</v>
      </c>
      <c r="H871" t="n">
        <v>0</v>
      </c>
      <c r="I871" t="n">
        <v>0</v>
      </c>
      <c r="J871" t="n">
        <v>0</v>
      </c>
      <c r="K871" t="n">
        <v>0</v>
      </c>
      <c r="L871" t="n">
        <v>0</v>
      </c>
      <c r="M871" t="n">
        <v>0</v>
      </c>
      <c r="N871" t="n">
        <v>0</v>
      </c>
      <c r="O871" t="n">
        <v>0</v>
      </c>
      <c r="P871" t="n">
        <v>0</v>
      </c>
      <c r="Q871" t="n">
        <v>0</v>
      </c>
      <c r="R871" s="2" t="inlineStr"/>
    </row>
    <row r="872" ht="15" customHeight="1">
      <c r="A872" t="inlineStr">
        <is>
          <t>A 5663-2023</t>
        </is>
      </c>
      <c r="B872" s="1" t="n">
        <v>44960</v>
      </c>
      <c r="C872" s="1" t="n">
        <v>45507</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5669-2023</t>
        </is>
      </c>
      <c r="B873" s="1" t="n">
        <v>44960</v>
      </c>
      <c r="C873" s="1" t="n">
        <v>45507</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5675-2023</t>
        </is>
      </c>
      <c r="B874" s="1" t="n">
        <v>44960</v>
      </c>
      <c r="C874" s="1" t="n">
        <v>45507</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6213-2023</t>
        </is>
      </c>
      <c r="B875" s="1" t="n">
        <v>44964</v>
      </c>
      <c r="C875" s="1" t="n">
        <v>45507</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6155-2023</t>
        </is>
      </c>
      <c r="B876" s="1" t="n">
        <v>44964</v>
      </c>
      <c r="C876" s="1" t="n">
        <v>45507</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6215-2023</t>
        </is>
      </c>
      <c r="B877" s="1" t="n">
        <v>44964</v>
      </c>
      <c r="C877" s="1" t="n">
        <v>45507</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6422-2023</t>
        </is>
      </c>
      <c r="B878" s="1" t="n">
        <v>44965</v>
      </c>
      <c r="C878" s="1" t="n">
        <v>45507</v>
      </c>
      <c r="D878" t="inlineStr">
        <is>
          <t>UPPSALA LÄN</t>
        </is>
      </c>
      <c r="E878" t="inlineStr">
        <is>
          <t>UPPSALA</t>
        </is>
      </c>
      <c r="G878" t="n">
        <v>3.1</v>
      </c>
      <c r="H878" t="n">
        <v>0</v>
      </c>
      <c r="I878" t="n">
        <v>0</v>
      </c>
      <c r="J878" t="n">
        <v>0</v>
      </c>
      <c r="K878" t="n">
        <v>0</v>
      </c>
      <c r="L878" t="n">
        <v>0</v>
      </c>
      <c r="M878" t="n">
        <v>0</v>
      </c>
      <c r="N878" t="n">
        <v>0</v>
      </c>
      <c r="O878" t="n">
        <v>0</v>
      </c>
      <c r="P878" t="n">
        <v>0</v>
      </c>
      <c r="Q878" t="n">
        <v>0</v>
      </c>
      <c r="R878" s="2" t="inlineStr"/>
    </row>
    <row r="879" ht="15" customHeight="1">
      <c r="A879" t="inlineStr">
        <is>
          <t>A 6423-2023</t>
        </is>
      </c>
      <c r="B879" s="1" t="n">
        <v>44965</v>
      </c>
      <c r="C879" s="1" t="n">
        <v>45507</v>
      </c>
      <c r="D879" t="inlineStr">
        <is>
          <t>UPPSALA LÄN</t>
        </is>
      </c>
      <c r="E879" t="inlineStr">
        <is>
          <t>UPPSALA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6602-2023</t>
        </is>
      </c>
      <c r="B880" s="1" t="n">
        <v>44966</v>
      </c>
      <c r="C880" s="1" t="n">
        <v>45507</v>
      </c>
      <c r="D880" t="inlineStr">
        <is>
          <t>UPPSALA LÄN</t>
        </is>
      </c>
      <c r="E880" t="inlineStr">
        <is>
          <t>UPPSALA</t>
        </is>
      </c>
      <c r="F880" t="inlineStr">
        <is>
          <t>Allmännings- och besparingsskogar</t>
        </is>
      </c>
      <c r="G880" t="n">
        <v>20.2</v>
      </c>
      <c r="H880" t="n">
        <v>0</v>
      </c>
      <c r="I880" t="n">
        <v>0</v>
      </c>
      <c r="J880" t="n">
        <v>0</v>
      </c>
      <c r="K880" t="n">
        <v>0</v>
      </c>
      <c r="L880" t="n">
        <v>0</v>
      </c>
      <c r="M880" t="n">
        <v>0</v>
      </c>
      <c r="N880" t="n">
        <v>0</v>
      </c>
      <c r="O880" t="n">
        <v>0</v>
      </c>
      <c r="P880" t="n">
        <v>0</v>
      </c>
      <c r="Q880" t="n">
        <v>0</v>
      </c>
      <c r="R880" s="2" t="inlineStr"/>
    </row>
    <row r="881" ht="15" customHeight="1">
      <c r="A881" t="inlineStr">
        <is>
          <t>A 6749-2023</t>
        </is>
      </c>
      <c r="B881" s="1" t="n">
        <v>44966</v>
      </c>
      <c r="C881" s="1" t="n">
        <v>45507</v>
      </c>
      <c r="D881" t="inlineStr">
        <is>
          <t>UPPSALA LÄN</t>
        </is>
      </c>
      <c r="E881" t="inlineStr">
        <is>
          <t>UPPSALA</t>
        </is>
      </c>
      <c r="F881" t="inlineStr">
        <is>
          <t>Allmännings- och besparingsskogar</t>
        </is>
      </c>
      <c r="G881" t="n">
        <v>13.5</v>
      </c>
      <c r="H881" t="n">
        <v>0</v>
      </c>
      <c r="I881" t="n">
        <v>0</v>
      </c>
      <c r="J881" t="n">
        <v>0</v>
      </c>
      <c r="K881" t="n">
        <v>0</v>
      </c>
      <c r="L881" t="n">
        <v>0</v>
      </c>
      <c r="M881" t="n">
        <v>0</v>
      </c>
      <c r="N881" t="n">
        <v>0</v>
      </c>
      <c r="O881" t="n">
        <v>0</v>
      </c>
      <c r="P881" t="n">
        <v>0</v>
      </c>
      <c r="Q881" t="n">
        <v>0</v>
      </c>
      <c r="R881" s="2" t="inlineStr"/>
    </row>
    <row r="882" ht="15" customHeight="1">
      <c r="A882" t="inlineStr">
        <is>
          <t>A 6930-2023</t>
        </is>
      </c>
      <c r="B882" s="1" t="n">
        <v>44967</v>
      </c>
      <c r="C882" s="1" t="n">
        <v>45507</v>
      </c>
      <c r="D882" t="inlineStr">
        <is>
          <t>UPPSALA LÄN</t>
        </is>
      </c>
      <c r="E882" t="inlineStr">
        <is>
          <t>UPPSALA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7000-2023</t>
        </is>
      </c>
      <c r="B883" s="1" t="n">
        <v>44967</v>
      </c>
      <c r="C883" s="1" t="n">
        <v>45507</v>
      </c>
      <c r="D883" t="inlineStr">
        <is>
          <t>UPPSALA LÄN</t>
        </is>
      </c>
      <c r="E883" t="inlineStr">
        <is>
          <t>UPPSALA</t>
        </is>
      </c>
      <c r="G883" t="n">
        <v>7.1</v>
      </c>
      <c r="H883" t="n">
        <v>0</v>
      </c>
      <c r="I883" t="n">
        <v>0</v>
      </c>
      <c r="J883" t="n">
        <v>0</v>
      </c>
      <c r="K883" t="n">
        <v>0</v>
      </c>
      <c r="L883" t="n">
        <v>0</v>
      </c>
      <c r="M883" t="n">
        <v>0</v>
      </c>
      <c r="N883" t="n">
        <v>0</v>
      </c>
      <c r="O883" t="n">
        <v>0</v>
      </c>
      <c r="P883" t="n">
        <v>0</v>
      </c>
      <c r="Q883" t="n">
        <v>0</v>
      </c>
      <c r="R883" s="2" t="inlineStr"/>
    </row>
    <row r="884" ht="15" customHeight="1">
      <c r="A884" t="inlineStr">
        <is>
          <t>A 6999-2023</t>
        </is>
      </c>
      <c r="B884" s="1" t="n">
        <v>44967</v>
      </c>
      <c r="C884" s="1" t="n">
        <v>45507</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6997-2023</t>
        </is>
      </c>
      <c r="B885" s="1" t="n">
        <v>44967</v>
      </c>
      <c r="C885" s="1" t="n">
        <v>45507</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7001-2023</t>
        </is>
      </c>
      <c r="B886" s="1" t="n">
        <v>44967</v>
      </c>
      <c r="C886" s="1" t="n">
        <v>45507</v>
      </c>
      <c r="D886" t="inlineStr">
        <is>
          <t>UPPSALA LÄN</t>
        </is>
      </c>
      <c r="E886" t="inlineStr">
        <is>
          <t>UPPSALA</t>
        </is>
      </c>
      <c r="G886" t="n">
        <v>4.3</v>
      </c>
      <c r="H886" t="n">
        <v>0</v>
      </c>
      <c r="I886" t="n">
        <v>0</v>
      </c>
      <c r="J886" t="n">
        <v>0</v>
      </c>
      <c r="K886" t="n">
        <v>0</v>
      </c>
      <c r="L886" t="n">
        <v>0</v>
      </c>
      <c r="M886" t="n">
        <v>0</v>
      </c>
      <c r="N886" t="n">
        <v>0</v>
      </c>
      <c r="O886" t="n">
        <v>0</v>
      </c>
      <c r="P886" t="n">
        <v>0</v>
      </c>
      <c r="Q886" t="n">
        <v>0</v>
      </c>
      <c r="R886" s="2" t="inlineStr"/>
    </row>
    <row r="887" ht="15" customHeight="1">
      <c r="A887" t="inlineStr">
        <is>
          <t>A 7002-2023</t>
        </is>
      </c>
      <c r="B887" s="1" t="n">
        <v>44967</v>
      </c>
      <c r="C887" s="1" t="n">
        <v>45507</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7611-2023</t>
        </is>
      </c>
      <c r="B888" s="1" t="n">
        <v>44967</v>
      </c>
      <c r="C888" s="1" t="n">
        <v>45507</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7607-2023</t>
        </is>
      </c>
      <c r="B889" s="1" t="n">
        <v>44967</v>
      </c>
      <c r="C889" s="1" t="n">
        <v>45507</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7058-2023</t>
        </is>
      </c>
      <c r="B890" s="1" t="n">
        <v>44969</v>
      </c>
      <c r="C890" s="1" t="n">
        <v>45507</v>
      </c>
      <c r="D890" t="inlineStr">
        <is>
          <t>UPPSALA LÄN</t>
        </is>
      </c>
      <c r="E890" t="inlineStr">
        <is>
          <t>UPPSALA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7084-2023</t>
        </is>
      </c>
      <c r="B891" s="1" t="n">
        <v>44970</v>
      </c>
      <c r="C891" s="1" t="n">
        <v>45507</v>
      </c>
      <c r="D891" t="inlineStr">
        <is>
          <t>UPPSALA LÄN</t>
        </is>
      </c>
      <c r="E891" t="inlineStr">
        <is>
          <t>UPPSALA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8384-2023</t>
        </is>
      </c>
      <c r="B892" s="1" t="n">
        <v>44971</v>
      </c>
      <c r="C892" s="1" t="n">
        <v>45507</v>
      </c>
      <c r="D892" t="inlineStr">
        <is>
          <t>UPPSALA LÄN</t>
        </is>
      </c>
      <c r="E892" t="inlineStr">
        <is>
          <t>UPPSALA</t>
        </is>
      </c>
      <c r="G892" t="n">
        <v>4</v>
      </c>
      <c r="H892" t="n">
        <v>0</v>
      </c>
      <c r="I892" t="n">
        <v>0</v>
      </c>
      <c r="J892" t="n">
        <v>0</v>
      </c>
      <c r="K892" t="n">
        <v>0</v>
      </c>
      <c r="L892" t="n">
        <v>0</v>
      </c>
      <c r="M892" t="n">
        <v>0</v>
      </c>
      <c r="N892" t="n">
        <v>0</v>
      </c>
      <c r="O892" t="n">
        <v>0</v>
      </c>
      <c r="P892" t="n">
        <v>0</v>
      </c>
      <c r="Q892" t="n">
        <v>0</v>
      </c>
      <c r="R892" s="2" t="inlineStr"/>
    </row>
    <row r="893" ht="15" customHeight="1">
      <c r="A893" t="inlineStr">
        <is>
          <t>A 8286-2023</t>
        </is>
      </c>
      <c r="B893" s="1" t="n">
        <v>44971</v>
      </c>
      <c r="C893" s="1" t="n">
        <v>45507</v>
      </c>
      <c r="D893" t="inlineStr">
        <is>
          <t>UPPSALA LÄN</t>
        </is>
      </c>
      <c r="E893" t="inlineStr">
        <is>
          <t>UPPSALA</t>
        </is>
      </c>
      <c r="G893" t="n">
        <v>9</v>
      </c>
      <c r="H893" t="n">
        <v>0</v>
      </c>
      <c r="I893" t="n">
        <v>0</v>
      </c>
      <c r="J893" t="n">
        <v>0</v>
      </c>
      <c r="K893" t="n">
        <v>0</v>
      </c>
      <c r="L893" t="n">
        <v>0</v>
      </c>
      <c r="M893" t="n">
        <v>0</v>
      </c>
      <c r="N893" t="n">
        <v>0</v>
      </c>
      <c r="O893" t="n">
        <v>0</v>
      </c>
      <c r="P893" t="n">
        <v>0</v>
      </c>
      <c r="Q893" t="n">
        <v>0</v>
      </c>
      <c r="R893" s="2" t="inlineStr"/>
    </row>
    <row r="894" ht="15" customHeight="1">
      <c r="A894" t="inlineStr">
        <is>
          <t>A 7577-2023</t>
        </is>
      </c>
      <c r="B894" s="1" t="n">
        <v>44972</v>
      </c>
      <c r="C894" s="1" t="n">
        <v>45507</v>
      </c>
      <c r="D894" t="inlineStr">
        <is>
          <t>UPPSALA LÄN</t>
        </is>
      </c>
      <c r="E894" t="inlineStr">
        <is>
          <t>UPPSALA</t>
        </is>
      </c>
      <c r="G894" t="n">
        <v>5.5</v>
      </c>
      <c r="H894" t="n">
        <v>0</v>
      </c>
      <c r="I894" t="n">
        <v>0</v>
      </c>
      <c r="J894" t="n">
        <v>0</v>
      </c>
      <c r="K894" t="n">
        <v>0</v>
      </c>
      <c r="L894" t="n">
        <v>0</v>
      </c>
      <c r="M894" t="n">
        <v>0</v>
      </c>
      <c r="N894" t="n">
        <v>0</v>
      </c>
      <c r="O894" t="n">
        <v>0</v>
      </c>
      <c r="P894" t="n">
        <v>0</v>
      </c>
      <c r="Q894" t="n">
        <v>0</v>
      </c>
      <c r="R894" s="2" t="inlineStr"/>
    </row>
    <row r="895" ht="15" customHeight="1">
      <c r="A895" t="inlineStr">
        <is>
          <t>A 7663-2023</t>
        </is>
      </c>
      <c r="B895" s="1" t="n">
        <v>44972</v>
      </c>
      <c r="C895" s="1" t="n">
        <v>45507</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7894-2023</t>
        </is>
      </c>
      <c r="B896" s="1" t="n">
        <v>44973</v>
      </c>
      <c r="C896" s="1" t="n">
        <v>45507</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8162-2023</t>
        </is>
      </c>
      <c r="B897" s="1" t="n">
        <v>44974</v>
      </c>
      <c r="C897" s="1" t="n">
        <v>45507</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8473-2023</t>
        </is>
      </c>
      <c r="B898" s="1" t="n">
        <v>44977</v>
      </c>
      <c r="C898" s="1" t="n">
        <v>45507</v>
      </c>
      <c r="D898" t="inlineStr">
        <is>
          <t>UPPSALA LÄN</t>
        </is>
      </c>
      <c r="E898" t="inlineStr">
        <is>
          <t>UPPSALA</t>
        </is>
      </c>
      <c r="F898" t="inlineStr">
        <is>
          <t>Holmen skog AB</t>
        </is>
      </c>
      <c r="G898" t="n">
        <v>3.6</v>
      </c>
      <c r="H898" t="n">
        <v>0</v>
      </c>
      <c r="I898" t="n">
        <v>0</v>
      </c>
      <c r="J898" t="n">
        <v>0</v>
      </c>
      <c r="K898" t="n">
        <v>0</v>
      </c>
      <c r="L898" t="n">
        <v>0</v>
      </c>
      <c r="M898" t="n">
        <v>0</v>
      </c>
      <c r="N898" t="n">
        <v>0</v>
      </c>
      <c r="O898" t="n">
        <v>0</v>
      </c>
      <c r="P898" t="n">
        <v>0</v>
      </c>
      <c r="Q898" t="n">
        <v>0</v>
      </c>
      <c r="R898" s="2" t="inlineStr"/>
    </row>
    <row r="899" ht="15" customHeight="1">
      <c r="A899" t="inlineStr">
        <is>
          <t>A 9426-2023</t>
        </is>
      </c>
      <c r="B899" s="1" t="n">
        <v>44977</v>
      </c>
      <c r="C899" s="1" t="n">
        <v>45507</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9398-2023</t>
        </is>
      </c>
      <c r="B900" s="1" t="n">
        <v>44977</v>
      </c>
      <c r="C900" s="1" t="n">
        <v>45507</v>
      </c>
      <c r="D900" t="inlineStr">
        <is>
          <t>UPPSALA LÄN</t>
        </is>
      </c>
      <c r="E900" t="inlineStr">
        <is>
          <t>UPPSALA</t>
        </is>
      </c>
      <c r="G900" t="n">
        <v>5.1</v>
      </c>
      <c r="H900" t="n">
        <v>0</v>
      </c>
      <c r="I900" t="n">
        <v>0</v>
      </c>
      <c r="J900" t="n">
        <v>0</v>
      </c>
      <c r="K900" t="n">
        <v>0</v>
      </c>
      <c r="L900" t="n">
        <v>0</v>
      </c>
      <c r="M900" t="n">
        <v>0</v>
      </c>
      <c r="N900" t="n">
        <v>0</v>
      </c>
      <c r="O900" t="n">
        <v>0</v>
      </c>
      <c r="P900" t="n">
        <v>0</v>
      </c>
      <c r="Q900" t="n">
        <v>0</v>
      </c>
      <c r="R900" s="2" t="inlineStr"/>
    </row>
    <row r="901" ht="15" customHeight="1">
      <c r="A901" t="inlineStr">
        <is>
          <t>A 9295-2023</t>
        </is>
      </c>
      <c r="B901" s="1" t="n">
        <v>44980</v>
      </c>
      <c r="C901" s="1" t="n">
        <v>45507</v>
      </c>
      <c r="D901" t="inlineStr">
        <is>
          <t>UPPSALA LÄN</t>
        </is>
      </c>
      <c r="E901" t="inlineStr">
        <is>
          <t>UPPSALA</t>
        </is>
      </c>
      <c r="G901" t="n">
        <v>2.1</v>
      </c>
      <c r="H901" t="n">
        <v>0</v>
      </c>
      <c r="I901" t="n">
        <v>0</v>
      </c>
      <c r="J901" t="n">
        <v>0</v>
      </c>
      <c r="K901" t="n">
        <v>0</v>
      </c>
      <c r="L901" t="n">
        <v>0</v>
      </c>
      <c r="M901" t="n">
        <v>0</v>
      </c>
      <c r="N901" t="n">
        <v>0</v>
      </c>
      <c r="O901" t="n">
        <v>0</v>
      </c>
      <c r="P901" t="n">
        <v>0</v>
      </c>
      <c r="Q901" t="n">
        <v>0</v>
      </c>
      <c r="R901" s="2" t="inlineStr"/>
    </row>
    <row r="902" ht="15" customHeight="1">
      <c r="A902" t="inlineStr">
        <is>
          <t>A 9261-2023</t>
        </is>
      </c>
      <c r="B902" s="1" t="n">
        <v>44980</v>
      </c>
      <c r="C902" s="1" t="n">
        <v>45507</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9291-2023</t>
        </is>
      </c>
      <c r="B903" s="1" t="n">
        <v>44980</v>
      </c>
      <c r="C903" s="1" t="n">
        <v>45507</v>
      </c>
      <c r="D903" t="inlineStr">
        <is>
          <t>UPPSALA LÄN</t>
        </is>
      </c>
      <c r="E903" t="inlineStr">
        <is>
          <t>UPPSALA</t>
        </is>
      </c>
      <c r="G903" t="n">
        <v>12.9</v>
      </c>
      <c r="H903" t="n">
        <v>0</v>
      </c>
      <c r="I903" t="n">
        <v>0</v>
      </c>
      <c r="J903" t="n">
        <v>0</v>
      </c>
      <c r="K903" t="n">
        <v>0</v>
      </c>
      <c r="L903" t="n">
        <v>0</v>
      </c>
      <c r="M903" t="n">
        <v>0</v>
      </c>
      <c r="N903" t="n">
        <v>0</v>
      </c>
      <c r="O903" t="n">
        <v>0</v>
      </c>
      <c r="P903" t="n">
        <v>0</v>
      </c>
      <c r="Q903" t="n">
        <v>0</v>
      </c>
      <c r="R903" s="2" t="inlineStr"/>
    </row>
    <row r="904" ht="15" customHeight="1">
      <c r="A904" t="inlineStr">
        <is>
          <t>A 9313-2023</t>
        </is>
      </c>
      <c r="B904" s="1" t="n">
        <v>44980</v>
      </c>
      <c r="C904" s="1" t="n">
        <v>45507</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9817-2023</t>
        </is>
      </c>
      <c r="B905" s="1" t="n">
        <v>44984</v>
      </c>
      <c r="C905" s="1" t="n">
        <v>45507</v>
      </c>
      <c r="D905" t="inlineStr">
        <is>
          <t>UPPSALA LÄN</t>
        </is>
      </c>
      <c r="E905" t="inlineStr">
        <is>
          <t>UPPSALA</t>
        </is>
      </c>
      <c r="F905" t="inlineStr">
        <is>
          <t>Kyrkan</t>
        </is>
      </c>
      <c r="G905" t="n">
        <v>5.3</v>
      </c>
      <c r="H905" t="n">
        <v>0</v>
      </c>
      <c r="I905" t="n">
        <v>0</v>
      </c>
      <c r="J905" t="n">
        <v>0</v>
      </c>
      <c r="K905" t="n">
        <v>0</v>
      </c>
      <c r="L905" t="n">
        <v>0</v>
      </c>
      <c r="M905" t="n">
        <v>0</v>
      </c>
      <c r="N905" t="n">
        <v>0</v>
      </c>
      <c r="O905" t="n">
        <v>0</v>
      </c>
      <c r="P905" t="n">
        <v>0</v>
      </c>
      <c r="Q905" t="n">
        <v>0</v>
      </c>
      <c r="R905" s="2" t="inlineStr"/>
    </row>
    <row r="906" ht="15" customHeight="1">
      <c r="A906" t="inlineStr">
        <is>
          <t>A 9814-2023</t>
        </is>
      </c>
      <c r="B906" s="1" t="n">
        <v>44984</v>
      </c>
      <c r="C906" s="1" t="n">
        <v>45507</v>
      </c>
      <c r="D906" t="inlineStr">
        <is>
          <t>UPPSALA LÄN</t>
        </is>
      </c>
      <c r="E906" t="inlineStr">
        <is>
          <t>UPPSALA</t>
        </is>
      </c>
      <c r="F906" t="inlineStr">
        <is>
          <t>Kyrkan</t>
        </is>
      </c>
      <c r="G906" t="n">
        <v>5</v>
      </c>
      <c r="H906" t="n">
        <v>0</v>
      </c>
      <c r="I906" t="n">
        <v>0</v>
      </c>
      <c r="J906" t="n">
        <v>0</v>
      </c>
      <c r="K906" t="n">
        <v>0</v>
      </c>
      <c r="L906" t="n">
        <v>0</v>
      </c>
      <c r="M906" t="n">
        <v>0</v>
      </c>
      <c r="N906" t="n">
        <v>0</v>
      </c>
      <c r="O906" t="n">
        <v>0</v>
      </c>
      <c r="P906" t="n">
        <v>0</v>
      </c>
      <c r="Q906" t="n">
        <v>0</v>
      </c>
      <c r="R906" s="2" t="inlineStr"/>
    </row>
    <row r="907" ht="15" customHeight="1">
      <c r="A907" t="inlineStr">
        <is>
          <t>A 9811-2023</t>
        </is>
      </c>
      <c r="B907" s="1" t="n">
        <v>44984</v>
      </c>
      <c r="C907" s="1" t="n">
        <v>45507</v>
      </c>
      <c r="D907" t="inlineStr">
        <is>
          <t>UPPSALA LÄN</t>
        </is>
      </c>
      <c r="E907" t="inlineStr">
        <is>
          <t>UPPSALA</t>
        </is>
      </c>
      <c r="G907" t="n">
        <v>5.5</v>
      </c>
      <c r="H907" t="n">
        <v>0</v>
      </c>
      <c r="I907" t="n">
        <v>0</v>
      </c>
      <c r="J907" t="n">
        <v>0</v>
      </c>
      <c r="K907" t="n">
        <v>0</v>
      </c>
      <c r="L907" t="n">
        <v>0</v>
      </c>
      <c r="M907" t="n">
        <v>0</v>
      </c>
      <c r="N907" t="n">
        <v>0</v>
      </c>
      <c r="O907" t="n">
        <v>0</v>
      </c>
      <c r="P907" t="n">
        <v>0</v>
      </c>
      <c r="Q907" t="n">
        <v>0</v>
      </c>
      <c r="R907" s="2" t="inlineStr"/>
    </row>
    <row r="908" ht="15" customHeight="1">
      <c r="A908" t="inlineStr">
        <is>
          <t>A 9820-2023</t>
        </is>
      </c>
      <c r="B908" s="1" t="n">
        <v>44984</v>
      </c>
      <c r="C908" s="1" t="n">
        <v>45507</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10005-2023</t>
        </is>
      </c>
      <c r="B909" s="1" t="n">
        <v>44985</v>
      </c>
      <c r="C909" s="1" t="n">
        <v>45507</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10669-2023</t>
        </is>
      </c>
      <c r="B910" s="1" t="n">
        <v>44988</v>
      </c>
      <c r="C910" s="1" t="n">
        <v>45507</v>
      </c>
      <c r="D910" t="inlineStr">
        <is>
          <t>UPPSALA LÄN</t>
        </is>
      </c>
      <c r="E910" t="inlineStr">
        <is>
          <t>UPPSALA</t>
        </is>
      </c>
      <c r="G910" t="n">
        <v>4.9</v>
      </c>
      <c r="H910" t="n">
        <v>0</v>
      </c>
      <c r="I910" t="n">
        <v>0</v>
      </c>
      <c r="J910" t="n">
        <v>0</v>
      </c>
      <c r="K910" t="n">
        <v>0</v>
      </c>
      <c r="L910" t="n">
        <v>0</v>
      </c>
      <c r="M910" t="n">
        <v>0</v>
      </c>
      <c r="N910" t="n">
        <v>0</v>
      </c>
      <c r="O910" t="n">
        <v>0</v>
      </c>
      <c r="P910" t="n">
        <v>0</v>
      </c>
      <c r="Q910" t="n">
        <v>0</v>
      </c>
      <c r="R910" s="2" t="inlineStr"/>
    </row>
    <row r="911" ht="15" customHeight="1">
      <c r="A911" t="inlineStr">
        <is>
          <t>A 11484-2023</t>
        </is>
      </c>
      <c r="B911" s="1" t="n">
        <v>44991</v>
      </c>
      <c r="C911" s="1" t="n">
        <v>45507</v>
      </c>
      <c r="D911" t="inlineStr">
        <is>
          <t>UPPSALA LÄN</t>
        </is>
      </c>
      <c r="E911" t="inlineStr">
        <is>
          <t>UPPSALA</t>
        </is>
      </c>
      <c r="G911" t="n">
        <v>10.3</v>
      </c>
      <c r="H911" t="n">
        <v>0</v>
      </c>
      <c r="I911" t="n">
        <v>0</v>
      </c>
      <c r="J911" t="n">
        <v>0</v>
      </c>
      <c r="K911" t="n">
        <v>0</v>
      </c>
      <c r="L911" t="n">
        <v>0</v>
      </c>
      <c r="M911" t="n">
        <v>0</v>
      </c>
      <c r="N911" t="n">
        <v>0</v>
      </c>
      <c r="O911" t="n">
        <v>0</v>
      </c>
      <c r="P911" t="n">
        <v>0</v>
      </c>
      <c r="Q911" t="n">
        <v>0</v>
      </c>
      <c r="R911" s="2" t="inlineStr"/>
    </row>
    <row r="912" ht="15" customHeight="1">
      <c r="A912" t="inlineStr">
        <is>
          <t>A 11739-2023</t>
        </is>
      </c>
      <c r="B912" s="1" t="n">
        <v>44993</v>
      </c>
      <c r="C912" s="1" t="n">
        <v>45507</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11744-2023</t>
        </is>
      </c>
      <c r="B913" s="1" t="n">
        <v>44993</v>
      </c>
      <c r="C913" s="1" t="n">
        <v>45507</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11568-2023</t>
        </is>
      </c>
      <c r="B914" s="1" t="n">
        <v>44994</v>
      </c>
      <c r="C914" s="1" t="n">
        <v>45507</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row>
    <row r="915" ht="15" customHeight="1">
      <c r="A915" t="inlineStr">
        <is>
          <t>A 12158-2023</t>
        </is>
      </c>
      <c r="B915" s="1" t="n">
        <v>44998</v>
      </c>
      <c r="C915" s="1" t="n">
        <v>45507</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12604-2023</t>
        </is>
      </c>
      <c r="B916" s="1" t="n">
        <v>45000</v>
      </c>
      <c r="C916" s="1" t="n">
        <v>45507</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12603-2023</t>
        </is>
      </c>
      <c r="B917" s="1" t="n">
        <v>45000</v>
      </c>
      <c r="C917" s="1" t="n">
        <v>45507</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12602-2023</t>
        </is>
      </c>
      <c r="B918" s="1" t="n">
        <v>45000</v>
      </c>
      <c r="C918" s="1" t="n">
        <v>45507</v>
      </c>
      <c r="D918" t="inlineStr">
        <is>
          <t>UPPSALA LÄN</t>
        </is>
      </c>
      <c r="E918" t="inlineStr">
        <is>
          <t>UPPSALA</t>
        </is>
      </c>
      <c r="G918" t="n">
        <v>2.5</v>
      </c>
      <c r="H918" t="n">
        <v>0</v>
      </c>
      <c r="I918" t="n">
        <v>0</v>
      </c>
      <c r="J918" t="n">
        <v>0</v>
      </c>
      <c r="K918" t="n">
        <v>0</v>
      </c>
      <c r="L918" t="n">
        <v>0</v>
      </c>
      <c r="M918" t="n">
        <v>0</v>
      </c>
      <c r="N918" t="n">
        <v>0</v>
      </c>
      <c r="O918" t="n">
        <v>0</v>
      </c>
      <c r="P918" t="n">
        <v>0</v>
      </c>
      <c r="Q918" t="n">
        <v>0</v>
      </c>
      <c r="R918" s="2" t="inlineStr"/>
    </row>
    <row r="919" ht="15" customHeight="1">
      <c r="A919" t="inlineStr">
        <is>
          <t>A 12703-2023</t>
        </is>
      </c>
      <c r="B919" s="1" t="n">
        <v>45000</v>
      </c>
      <c r="C919" s="1" t="n">
        <v>45507</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12606-2023</t>
        </is>
      </c>
      <c r="B920" s="1" t="n">
        <v>45000</v>
      </c>
      <c r="C920" s="1" t="n">
        <v>45507</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13526-2023</t>
        </is>
      </c>
      <c r="B921" s="1" t="n">
        <v>45006</v>
      </c>
      <c r="C921" s="1" t="n">
        <v>45507</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14253-2023</t>
        </is>
      </c>
      <c r="B922" s="1" t="n">
        <v>45009</v>
      </c>
      <c r="C922" s="1" t="n">
        <v>45507</v>
      </c>
      <c r="D922" t="inlineStr">
        <is>
          <t>UPPSALA LÄN</t>
        </is>
      </c>
      <c r="E922" t="inlineStr">
        <is>
          <t>UPPSALA</t>
        </is>
      </c>
      <c r="F922" t="inlineStr">
        <is>
          <t>Allmännings- och besparingsskogar</t>
        </is>
      </c>
      <c r="G922" t="n">
        <v>14</v>
      </c>
      <c r="H922" t="n">
        <v>0</v>
      </c>
      <c r="I922" t="n">
        <v>0</v>
      </c>
      <c r="J922" t="n">
        <v>0</v>
      </c>
      <c r="K922" t="n">
        <v>0</v>
      </c>
      <c r="L922" t="n">
        <v>0</v>
      </c>
      <c r="M922" t="n">
        <v>0</v>
      </c>
      <c r="N922" t="n">
        <v>0</v>
      </c>
      <c r="O922" t="n">
        <v>0</v>
      </c>
      <c r="P922" t="n">
        <v>0</v>
      </c>
      <c r="Q922" t="n">
        <v>0</v>
      </c>
      <c r="R922" s="2" t="inlineStr"/>
    </row>
    <row r="923" ht="15" customHeight="1">
      <c r="A923" t="inlineStr">
        <is>
          <t>A 14784-2023</t>
        </is>
      </c>
      <c r="B923" s="1" t="n">
        <v>45014</v>
      </c>
      <c r="C923" s="1" t="n">
        <v>45507</v>
      </c>
      <c r="D923" t="inlineStr">
        <is>
          <t>UPPSALA LÄN</t>
        </is>
      </c>
      <c r="E923" t="inlineStr">
        <is>
          <t>UPPSALA</t>
        </is>
      </c>
      <c r="G923" t="n">
        <v>4.7</v>
      </c>
      <c r="H923" t="n">
        <v>0</v>
      </c>
      <c r="I923" t="n">
        <v>0</v>
      </c>
      <c r="J923" t="n">
        <v>0</v>
      </c>
      <c r="K923" t="n">
        <v>0</v>
      </c>
      <c r="L923" t="n">
        <v>0</v>
      </c>
      <c r="M923" t="n">
        <v>0</v>
      </c>
      <c r="N923" t="n">
        <v>0</v>
      </c>
      <c r="O923" t="n">
        <v>0</v>
      </c>
      <c r="P923" t="n">
        <v>0</v>
      </c>
      <c r="Q923" t="n">
        <v>0</v>
      </c>
      <c r="R923" s="2" t="inlineStr"/>
    </row>
    <row r="924" ht="15" customHeight="1">
      <c r="A924" t="inlineStr">
        <is>
          <t>A 14988-2023</t>
        </is>
      </c>
      <c r="B924" s="1" t="n">
        <v>45015</v>
      </c>
      <c r="C924" s="1" t="n">
        <v>45507</v>
      </c>
      <c r="D924" t="inlineStr">
        <is>
          <t>UPPSALA LÄN</t>
        </is>
      </c>
      <c r="E924" t="inlineStr">
        <is>
          <t>UPPSALA</t>
        </is>
      </c>
      <c r="G924" t="n">
        <v>4.2</v>
      </c>
      <c r="H924" t="n">
        <v>0</v>
      </c>
      <c r="I924" t="n">
        <v>0</v>
      </c>
      <c r="J924" t="n">
        <v>0</v>
      </c>
      <c r="K924" t="n">
        <v>0</v>
      </c>
      <c r="L924" t="n">
        <v>0</v>
      </c>
      <c r="M924" t="n">
        <v>0</v>
      </c>
      <c r="N924" t="n">
        <v>0</v>
      </c>
      <c r="O924" t="n">
        <v>0</v>
      </c>
      <c r="P924" t="n">
        <v>0</v>
      </c>
      <c r="Q924" t="n">
        <v>0</v>
      </c>
      <c r="R924" s="2" t="inlineStr"/>
    </row>
    <row r="925" ht="15" customHeight="1">
      <c r="A925" t="inlineStr">
        <is>
          <t>A 15547-2023</t>
        </is>
      </c>
      <c r="B925" s="1" t="n">
        <v>45020</v>
      </c>
      <c r="C925" s="1" t="n">
        <v>45507</v>
      </c>
      <c r="D925" t="inlineStr">
        <is>
          <t>UPPSALA LÄN</t>
        </is>
      </c>
      <c r="E925" t="inlineStr">
        <is>
          <t>UPPSALA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15551-2023</t>
        </is>
      </c>
      <c r="B926" s="1" t="n">
        <v>45020</v>
      </c>
      <c r="C926" s="1" t="n">
        <v>45507</v>
      </c>
      <c r="D926" t="inlineStr">
        <is>
          <t>UPPSALA LÄN</t>
        </is>
      </c>
      <c r="E926" t="inlineStr">
        <is>
          <t>UPPSALA</t>
        </is>
      </c>
      <c r="G926" t="n">
        <v>3.3</v>
      </c>
      <c r="H926" t="n">
        <v>0</v>
      </c>
      <c r="I926" t="n">
        <v>0</v>
      </c>
      <c r="J926" t="n">
        <v>0</v>
      </c>
      <c r="K926" t="n">
        <v>0</v>
      </c>
      <c r="L926" t="n">
        <v>0</v>
      </c>
      <c r="M926" t="n">
        <v>0</v>
      </c>
      <c r="N926" t="n">
        <v>0</v>
      </c>
      <c r="O926" t="n">
        <v>0</v>
      </c>
      <c r="P926" t="n">
        <v>0</v>
      </c>
      <c r="Q926" t="n">
        <v>0</v>
      </c>
      <c r="R926" s="2" t="inlineStr"/>
    </row>
    <row r="927" ht="15" customHeight="1">
      <c r="A927" t="inlineStr">
        <is>
          <t>A 15629-2023</t>
        </is>
      </c>
      <c r="B927" s="1" t="n">
        <v>45021</v>
      </c>
      <c r="C927" s="1" t="n">
        <v>45507</v>
      </c>
      <c r="D927" t="inlineStr">
        <is>
          <t>UPPSALA LÄN</t>
        </is>
      </c>
      <c r="E927" t="inlineStr">
        <is>
          <t>UPPSALA</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16346-2023</t>
        </is>
      </c>
      <c r="B928" s="1" t="n">
        <v>45028</v>
      </c>
      <c r="C928" s="1" t="n">
        <v>45507</v>
      </c>
      <c r="D928" t="inlineStr">
        <is>
          <t>UPPSALA LÄN</t>
        </is>
      </c>
      <c r="E928" t="inlineStr">
        <is>
          <t>UPPSALA</t>
        </is>
      </c>
      <c r="F928" t="inlineStr">
        <is>
          <t>Övriga Aktiebolag</t>
        </is>
      </c>
      <c r="G928" t="n">
        <v>5.7</v>
      </c>
      <c r="H928" t="n">
        <v>0</v>
      </c>
      <c r="I928" t="n">
        <v>0</v>
      </c>
      <c r="J928" t="n">
        <v>0</v>
      </c>
      <c r="K928" t="n">
        <v>0</v>
      </c>
      <c r="L928" t="n">
        <v>0</v>
      </c>
      <c r="M928" t="n">
        <v>0</v>
      </c>
      <c r="N928" t="n">
        <v>0</v>
      </c>
      <c r="O928" t="n">
        <v>0</v>
      </c>
      <c r="P928" t="n">
        <v>0</v>
      </c>
      <c r="Q928" t="n">
        <v>0</v>
      </c>
      <c r="R928" s="2" t="inlineStr"/>
    </row>
    <row r="929" ht="15" customHeight="1">
      <c r="A929" t="inlineStr">
        <is>
          <t>A 16811-2023</t>
        </is>
      </c>
      <c r="B929" s="1" t="n">
        <v>45033</v>
      </c>
      <c r="C929" s="1" t="n">
        <v>45507</v>
      </c>
      <c r="D929" t="inlineStr">
        <is>
          <t>UPPSALA LÄN</t>
        </is>
      </c>
      <c r="E929" t="inlineStr">
        <is>
          <t>UPPSALA</t>
        </is>
      </c>
      <c r="G929" t="n">
        <v>10.1</v>
      </c>
      <c r="H929" t="n">
        <v>0</v>
      </c>
      <c r="I929" t="n">
        <v>0</v>
      </c>
      <c r="J929" t="n">
        <v>0</v>
      </c>
      <c r="K929" t="n">
        <v>0</v>
      </c>
      <c r="L929" t="n">
        <v>0</v>
      </c>
      <c r="M929" t="n">
        <v>0</v>
      </c>
      <c r="N929" t="n">
        <v>0</v>
      </c>
      <c r="O929" t="n">
        <v>0</v>
      </c>
      <c r="P929" t="n">
        <v>0</v>
      </c>
      <c r="Q929" t="n">
        <v>0</v>
      </c>
      <c r="R929" s="2" t="inlineStr"/>
    </row>
    <row r="930" ht="15" customHeight="1">
      <c r="A930" t="inlineStr">
        <is>
          <t>A 17229-2023</t>
        </is>
      </c>
      <c r="B930" s="1" t="n">
        <v>45035</v>
      </c>
      <c r="C930" s="1" t="n">
        <v>45507</v>
      </c>
      <c r="D930" t="inlineStr">
        <is>
          <t>UPPSALA LÄN</t>
        </is>
      </c>
      <c r="E930" t="inlineStr">
        <is>
          <t>UPPSALA</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17280-2023</t>
        </is>
      </c>
      <c r="B931" s="1" t="n">
        <v>45035</v>
      </c>
      <c r="C931" s="1" t="n">
        <v>45507</v>
      </c>
      <c r="D931" t="inlineStr">
        <is>
          <t>UPPSALA LÄN</t>
        </is>
      </c>
      <c r="E931" t="inlineStr">
        <is>
          <t>UPPSALA</t>
        </is>
      </c>
      <c r="G931" t="n">
        <v>5.6</v>
      </c>
      <c r="H931" t="n">
        <v>0</v>
      </c>
      <c r="I931" t="n">
        <v>0</v>
      </c>
      <c r="J931" t="n">
        <v>0</v>
      </c>
      <c r="K931" t="n">
        <v>0</v>
      </c>
      <c r="L931" t="n">
        <v>0</v>
      </c>
      <c r="M931" t="n">
        <v>0</v>
      </c>
      <c r="N931" t="n">
        <v>0</v>
      </c>
      <c r="O931" t="n">
        <v>0</v>
      </c>
      <c r="P931" t="n">
        <v>0</v>
      </c>
      <c r="Q931" t="n">
        <v>0</v>
      </c>
      <c r="R931" s="2" t="inlineStr"/>
    </row>
    <row r="932" ht="15" customHeight="1">
      <c r="A932" t="inlineStr">
        <is>
          <t>A 17277-2023</t>
        </is>
      </c>
      <c r="B932" s="1" t="n">
        <v>45035</v>
      </c>
      <c r="C932" s="1" t="n">
        <v>45507</v>
      </c>
      <c r="D932" t="inlineStr">
        <is>
          <t>UPPSALA LÄN</t>
        </is>
      </c>
      <c r="E932" t="inlineStr">
        <is>
          <t>UPPSALA</t>
        </is>
      </c>
      <c r="F932" t="inlineStr">
        <is>
          <t>Övriga Aktiebolag</t>
        </is>
      </c>
      <c r="G932" t="n">
        <v>6.1</v>
      </c>
      <c r="H932" t="n">
        <v>0</v>
      </c>
      <c r="I932" t="n">
        <v>0</v>
      </c>
      <c r="J932" t="n">
        <v>0</v>
      </c>
      <c r="K932" t="n">
        <v>0</v>
      </c>
      <c r="L932" t="n">
        <v>0</v>
      </c>
      <c r="M932" t="n">
        <v>0</v>
      </c>
      <c r="N932" t="n">
        <v>0</v>
      </c>
      <c r="O932" t="n">
        <v>0</v>
      </c>
      <c r="P932" t="n">
        <v>0</v>
      </c>
      <c r="Q932" t="n">
        <v>0</v>
      </c>
      <c r="R932" s="2" t="inlineStr"/>
    </row>
    <row r="933" ht="15" customHeight="1">
      <c r="A933" t="inlineStr">
        <is>
          <t>A 17481-2023</t>
        </is>
      </c>
      <c r="B933" s="1" t="n">
        <v>45036</v>
      </c>
      <c r="C933" s="1" t="n">
        <v>45507</v>
      </c>
      <c r="D933" t="inlineStr">
        <is>
          <t>UPPSALA LÄN</t>
        </is>
      </c>
      <c r="E933" t="inlineStr">
        <is>
          <t>UPPSALA</t>
        </is>
      </c>
      <c r="G933" t="n">
        <v>1.9</v>
      </c>
      <c r="H933" t="n">
        <v>0</v>
      </c>
      <c r="I933" t="n">
        <v>0</v>
      </c>
      <c r="J933" t="n">
        <v>0</v>
      </c>
      <c r="K933" t="n">
        <v>0</v>
      </c>
      <c r="L933" t="n">
        <v>0</v>
      </c>
      <c r="M933" t="n">
        <v>0</v>
      </c>
      <c r="N933" t="n">
        <v>0</v>
      </c>
      <c r="O933" t="n">
        <v>0</v>
      </c>
      <c r="P933" t="n">
        <v>0</v>
      </c>
      <c r="Q933" t="n">
        <v>0</v>
      </c>
      <c r="R933" s="2" t="inlineStr"/>
    </row>
    <row r="934" ht="15" customHeight="1">
      <c r="A934" t="inlineStr">
        <is>
          <t>A 17788-2023</t>
        </is>
      </c>
      <c r="B934" s="1" t="n">
        <v>45037</v>
      </c>
      <c r="C934" s="1" t="n">
        <v>45507</v>
      </c>
      <c r="D934" t="inlineStr">
        <is>
          <t>UPPSALA LÄN</t>
        </is>
      </c>
      <c r="E934" t="inlineStr">
        <is>
          <t>UPPSALA</t>
        </is>
      </c>
      <c r="F934" t="inlineStr">
        <is>
          <t>Övriga Aktiebolag</t>
        </is>
      </c>
      <c r="G934" t="n">
        <v>3.7</v>
      </c>
      <c r="H934" t="n">
        <v>0</v>
      </c>
      <c r="I934" t="n">
        <v>0</v>
      </c>
      <c r="J934" t="n">
        <v>0</v>
      </c>
      <c r="K934" t="n">
        <v>0</v>
      </c>
      <c r="L934" t="n">
        <v>0</v>
      </c>
      <c r="M934" t="n">
        <v>0</v>
      </c>
      <c r="N934" t="n">
        <v>0</v>
      </c>
      <c r="O934" t="n">
        <v>0</v>
      </c>
      <c r="P934" t="n">
        <v>0</v>
      </c>
      <c r="Q934" t="n">
        <v>0</v>
      </c>
      <c r="R934" s="2" t="inlineStr"/>
    </row>
    <row r="935" ht="15" customHeight="1">
      <c r="A935" t="inlineStr">
        <is>
          <t>A 17938-2023</t>
        </is>
      </c>
      <c r="B935" s="1" t="n">
        <v>45040</v>
      </c>
      <c r="C935" s="1" t="n">
        <v>45507</v>
      </c>
      <c r="D935" t="inlineStr">
        <is>
          <t>UPPSALA LÄN</t>
        </is>
      </c>
      <c r="E935" t="inlineStr">
        <is>
          <t>UPPSALA</t>
        </is>
      </c>
      <c r="G935" t="n">
        <v>2.9</v>
      </c>
      <c r="H935" t="n">
        <v>0</v>
      </c>
      <c r="I935" t="n">
        <v>0</v>
      </c>
      <c r="J935" t="n">
        <v>0</v>
      </c>
      <c r="K935" t="n">
        <v>0</v>
      </c>
      <c r="L935" t="n">
        <v>0</v>
      </c>
      <c r="M935" t="n">
        <v>0</v>
      </c>
      <c r="N935" t="n">
        <v>0</v>
      </c>
      <c r="O935" t="n">
        <v>0</v>
      </c>
      <c r="P935" t="n">
        <v>0</v>
      </c>
      <c r="Q935" t="n">
        <v>0</v>
      </c>
      <c r="R935" s="2" t="inlineStr"/>
    </row>
    <row r="936" ht="15" customHeight="1">
      <c r="A936" t="inlineStr">
        <is>
          <t>A 18277-2023</t>
        </is>
      </c>
      <c r="B936" s="1" t="n">
        <v>45041</v>
      </c>
      <c r="C936" s="1" t="n">
        <v>45507</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18275-2023</t>
        </is>
      </c>
      <c r="B937" s="1" t="n">
        <v>45041</v>
      </c>
      <c r="C937" s="1" t="n">
        <v>45507</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18278-2023</t>
        </is>
      </c>
      <c r="B938" s="1" t="n">
        <v>45041</v>
      </c>
      <c r="C938" s="1" t="n">
        <v>45507</v>
      </c>
      <c r="D938" t="inlineStr">
        <is>
          <t>UPPSALA LÄN</t>
        </is>
      </c>
      <c r="E938" t="inlineStr">
        <is>
          <t>UPPSALA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18276-2023</t>
        </is>
      </c>
      <c r="B939" s="1" t="n">
        <v>45041</v>
      </c>
      <c r="C939" s="1" t="n">
        <v>45507</v>
      </c>
      <c r="D939" t="inlineStr">
        <is>
          <t>UPPSALA LÄN</t>
        </is>
      </c>
      <c r="E939" t="inlineStr">
        <is>
          <t>UPPSALA</t>
        </is>
      </c>
      <c r="G939" t="n">
        <v>6.6</v>
      </c>
      <c r="H939" t="n">
        <v>0</v>
      </c>
      <c r="I939" t="n">
        <v>0</v>
      </c>
      <c r="J939" t="n">
        <v>0</v>
      </c>
      <c r="K939" t="n">
        <v>0</v>
      </c>
      <c r="L939" t="n">
        <v>0</v>
      </c>
      <c r="M939" t="n">
        <v>0</v>
      </c>
      <c r="N939" t="n">
        <v>0</v>
      </c>
      <c r="O939" t="n">
        <v>0</v>
      </c>
      <c r="P939" t="n">
        <v>0</v>
      </c>
      <c r="Q939" t="n">
        <v>0</v>
      </c>
      <c r="R939" s="2" t="inlineStr"/>
    </row>
    <row r="940" ht="15" customHeight="1">
      <c r="A940" t="inlineStr">
        <is>
          <t>A 18443-2023</t>
        </is>
      </c>
      <c r="B940" s="1" t="n">
        <v>45042</v>
      </c>
      <c r="C940" s="1" t="n">
        <v>45507</v>
      </c>
      <c r="D940" t="inlineStr">
        <is>
          <t>UPPSALA LÄN</t>
        </is>
      </c>
      <c r="E940" t="inlineStr">
        <is>
          <t>UPPSALA</t>
        </is>
      </c>
      <c r="G940" t="n">
        <v>0.4</v>
      </c>
      <c r="H940" t="n">
        <v>0</v>
      </c>
      <c r="I940" t="n">
        <v>0</v>
      </c>
      <c r="J940" t="n">
        <v>0</v>
      </c>
      <c r="K940" t="n">
        <v>0</v>
      </c>
      <c r="L940" t="n">
        <v>0</v>
      </c>
      <c r="M940" t="n">
        <v>0</v>
      </c>
      <c r="N940" t="n">
        <v>0</v>
      </c>
      <c r="O940" t="n">
        <v>0</v>
      </c>
      <c r="P940" t="n">
        <v>0</v>
      </c>
      <c r="Q940" t="n">
        <v>0</v>
      </c>
      <c r="R940" s="2" t="inlineStr"/>
    </row>
    <row r="941" ht="15" customHeight="1">
      <c r="A941" t="inlineStr">
        <is>
          <t>A 18496-2023</t>
        </is>
      </c>
      <c r="B941" s="1" t="n">
        <v>45042</v>
      </c>
      <c r="C941" s="1" t="n">
        <v>45507</v>
      </c>
      <c r="D941" t="inlineStr">
        <is>
          <t>UPPSALA LÄN</t>
        </is>
      </c>
      <c r="E941" t="inlineStr">
        <is>
          <t>UPPSALA</t>
        </is>
      </c>
      <c r="G941" t="n">
        <v>1.7</v>
      </c>
      <c r="H941" t="n">
        <v>0</v>
      </c>
      <c r="I941" t="n">
        <v>0</v>
      </c>
      <c r="J941" t="n">
        <v>0</v>
      </c>
      <c r="K941" t="n">
        <v>0</v>
      </c>
      <c r="L941" t="n">
        <v>0</v>
      </c>
      <c r="M941" t="n">
        <v>0</v>
      </c>
      <c r="N941" t="n">
        <v>0</v>
      </c>
      <c r="O941" t="n">
        <v>0</v>
      </c>
      <c r="P941" t="n">
        <v>0</v>
      </c>
      <c r="Q941" t="n">
        <v>0</v>
      </c>
      <c r="R941" s="2" t="inlineStr"/>
    </row>
    <row r="942" ht="15" customHeight="1">
      <c r="A942" t="inlineStr">
        <is>
          <t>A 18507-2023</t>
        </is>
      </c>
      <c r="B942" s="1" t="n">
        <v>45042</v>
      </c>
      <c r="C942" s="1" t="n">
        <v>45507</v>
      </c>
      <c r="D942" t="inlineStr">
        <is>
          <t>UPPSALA LÄN</t>
        </is>
      </c>
      <c r="E942" t="inlineStr">
        <is>
          <t>UPPSALA</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18472-2023</t>
        </is>
      </c>
      <c r="B943" s="1" t="n">
        <v>45042</v>
      </c>
      <c r="C943" s="1" t="n">
        <v>45507</v>
      </c>
      <c r="D943" t="inlineStr">
        <is>
          <t>UPPSALA LÄN</t>
        </is>
      </c>
      <c r="E943" t="inlineStr">
        <is>
          <t>UPPSALA</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18710-2023</t>
        </is>
      </c>
      <c r="B944" s="1" t="n">
        <v>45043</v>
      </c>
      <c r="C944" s="1" t="n">
        <v>45507</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19017-2023</t>
        </is>
      </c>
      <c r="B945" s="1" t="n">
        <v>45047</v>
      </c>
      <c r="C945" s="1" t="n">
        <v>45507</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19135-2023</t>
        </is>
      </c>
      <c r="B946" s="1" t="n">
        <v>45048</v>
      </c>
      <c r="C946" s="1" t="n">
        <v>45507</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19139-2023</t>
        </is>
      </c>
      <c r="B947" s="1" t="n">
        <v>45048</v>
      </c>
      <c r="C947" s="1" t="n">
        <v>45507</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19279-2023</t>
        </is>
      </c>
      <c r="B948" s="1" t="n">
        <v>45049</v>
      </c>
      <c r="C948" s="1" t="n">
        <v>45507</v>
      </c>
      <c r="D948" t="inlineStr">
        <is>
          <t>UPPSALA LÄN</t>
        </is>
      </c>
      <c r="E948" t="inlineStr">
        <is>
          <t>UPPSALA</t>
        </is>
      </c>
      <c r="G948" t="n">
        <v>5.8</v>
      </c>
      <c r="H948" t="n">
        <v>0</v>
      </c>
      <c r="I948" t="n">
        <v>0</v>
      </c>
      <c r="J948" t="n">
        <v>0</v>
      </c>
      <c r="K948" t="n">
        <v>0</v>
      </c>
      <c r="L948" t="n">
        <v>0</v>
      </c>
      <c r="M948" t="n">
        <v>0</v>
      </c>
      <c r="N948" t="n">
        <v>0</v>
      </c>
      <c r="O948" t="n">
        <v>0</v>
      </c>
      <c r="P948" t="n">
        <v>0</v>
      </c>
      <c r="Q948" t="n">
        <v>0</v>
      </c>
      <c r="R948" s="2" t="inlineStr"/>
    </row>
    <row r="949" ht="15" customHeight="1">
      <c r="A949" t="inlineStr">
        <is>
          <t>A 19269-2023</t>
        </is>
      </c>
      <c r="B949" s="1" t="n">
        <v>45049</v>
      </c>
      <c r="C949" s="1" t="n">
        <v>45507</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19314-2023</t>
        </is>
      </c>
      <c r="B950" s="1" t="n">
        <v>45049</v>
      </c>
      <c r="C950" s="1" t="n">
        <v>45507</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19320-2023</t>
        </is>
      </c>
      <c r="B951" s="1" t="n">
        <v>45049</v>
      </c>
      <c r="C951" s="1" t="n">
        <v>45507</v>
      </c>
      <c r="D951" t="inlineStr">
        <is>
          <t>UPPSALA LÄN</t>
        </is>
      </c>
      <c r="E951" t="inlineStr">
        <is>
          <t>UPPSALA</t>
        </is>
      </c>
      <c r="G951" t="n">
        <v>17.5</v>
      </c>
      <c r="H951" t="n">
        <v>0</v>
      </c>
      <c r="I951" t="n">
        <v>0</v>
      </c>
      <c r="J951" t="n">
        <v>0</v>
      </c>
      <c r="K951" t="n">
        <v>0</v>
      </c>
      <c r="L951" t="n">
        <v>0</v>
      </c>
      <c r="M951" t="n">
        <v>0</v>
      </c>
      <c r="N951" t="n">
        <v>0</v>
      </c>
      <c r="O951" t="n">
        <v>0</v>
      </c>
      <c r="P951" t="n">
        <v>0</v>
      </c>
      <c r="Q951" t="n">
        <v>0</v>
      </c>
      <c r="R951" s="2" t="inlineStr"/>
    </row>
    <row r="952" ht="15" customHeight="1">
      <c r="A952" t="inlineStr">
        <is>
          <t>A 19339-2023</t>
        </is>
      </c>
      <c r="B952" s="1" t="n">
        <v>45049</v>
      </c>
      <c r="C952" s="1" t="n">
        <v>45507</v>
      </c>
      <c r="D952" t="inlineStr">
        <is>
          <t>UPPSALA LÄN</t>
        </is>
      </c>
      <c r="E952" t="inlineStr">
        <is>
          <t>UPPSALA</t>
        </is>
      </c>
      <c r="G952" t="n">
        <v>6.9</v>
      </c>
      <c r="H952" t="n">
        <v>0</v>
      </c>
      <c r="I952" t="n">
        <v>0</v>
      </c>
      <c r="J952" t="n">
        <v>0</v>
      </c>
      <c r="K952" t="n">
        <v>0</v>
      </c>
      <c r="L952" t="n">
        <v>0</v>
      </c>
      <c r="M952" t="n">
        <v>0</v>
      </c>
      <c r="N952" t="n">
        <v>0</v>
      </c>
      <c r="O952" t="n">
        <v>0</v>
      </c>
      <c r="P952" t="n">
        <v>0</v>
      </c>
      <c r="Q952" t="n">
        <v>0</v>
      </c>
      <c r="R952" s="2" t="inlineStr"/>
    </row>
    <row r="953" ht="15" customHeight="1">
      <c r="A953" t="inlineStr">
        <is>
          <t>A 19380-2023</t>
        </is>
      </c>
      <c r="B953" s="1" t="n">
        <v>45049</v>
      </c>
      <c r="C953" s="1" t="n">
        <v>45507</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19411-2023</t>
        </is>
      </c>
      <c r="B954" s="1" t="n">
        <v>45049</v>
      </c>
      <c r="C954" s="1" t="n">
        <v>45507</v>
      </c>
      <c r="D954" t="inlineStr">
        <is>
          <t>UPPSALA LÄN</t>
        </is>
      </c>
      <c r="E954" t="inlineStr">
        <is>
          <t>UPPSALA</t>
        </is>
      </c>
      <c r="G954" t="n">
        <v>12.6</v>
      </c>
      <c r="H954" t="n">
        <v>0</v>
      </c>
      <c r="I954" t="n">
        <v>0</v>
      </c>
      <c r="J954" t="n">
        <v>0</v>
      </c>
      <c r="K954" t="n">
        <v>0</v>
      </c>
      <c r="L954" t="n">
        <v>0</v>
      </c>
      <c r="M954" t="n">
        <v>0</v>
      </c>
      <c r="N954" t="n">
        <v>0</v>
      </c>
      <c r="O954" t="n">
        <v>0</v>
      </c>
      <c r="P954" t="n">
        <v>0</v>
      </c>
      <c r="Q954" t="n">
        <v>0</v>
      </c>
      <c r="R954" s="2" t="inlineStr"/>
    </row>
    <row r="955" ht="15" customHeight="1">
      <c r="A955" t="inlineStr">
        <is>
          <t>A 19272-2023</t>
        </is>
      </c>
      <c r="B955" s="1" t="n">
        <v>45049</v>
      </c>
      <c r="C955" s="1" t="n">
        <v>45507</v>
      </c>
      <c r="D955" t="inlineStr">
        <is>
          <t>UPPSALA LÄN</t>
        </is>
      </c>
      <c r="E955" t="inlineStr">
        <is>
          <t>UPPSALA</t>
        </is>
      </c>
      <c r="G955" t="n">
        <v>4.9</v>
      </c>
      <c r="H955" t="n">
        <v>0</v>
      </c>
      <c r="I955" t="n">
        <v>0</v>
      </c>
      <c r="J955" t="n">
        <v>0</v>
      </c>
      <c r="K955" t="n">
        <v>0</v>
      </c>
      <c r="L955" t="n">
        <v>0</v>
      </c>
      <c r="M955" t="n">
        <v>0</v>
      </c>
      <c r="N955" t="n">
        <v>0</v>
      </c>
      <c r="O955" t="n">
        <v>0</v>
      </c>
      <c r="P955" t="n">
        <v>0</v>
      </c>
      <c r="Q955" t="n">
        <v>0</v>
      </c>
      <c r="R955" s="2" t="inlineStr"/>
    </row>
    <row r="956" ht="15" customHeight="1">
      <c r="A956" t="inlineStr">
        <is>
          <t>A 19276-2023</t>
        </is>
      </c>
      <c r="B956" s="1" t="n">
        <v>45049</v>
      </c>
      <c r="C956" s="1" t="n">
        <v>45507</v>
      </c>
      <c r="D956" t="inlineStr">
        <is>
          <t>UPPSALA LÄN</t>
        </is>
      </c>
      <c r="E956" t="inlineStr">
        <is>
          <t>UPPSALA</t>
        </is>
      </c>
      <c r="G956" t="n">
        <v>1.8</v>
      </c>
      <c r="H956" t="n">
        <v>0</v>
      </c>
      <c r="I956" t="n">
        <v>0</v>
      </c>
      <c r="J956" t="n">
        <v>0</v>
      </c>
      <c r="K956" t="n">
        <v>0</v>
      </c>
      <c r="L956" t="n">
        <v>0</v>
      </c>
      <c r="M956" t="n">
        <v>0</v>
      </c>
      <c r="N956" t="n">
        <v>0</v>
      </c>
      <c r="O956" t="n">
        <v>0</v>
      </c>
      <c r="P956" t="n">
        <v>0</v>
      </c>
      <c r="Q956" t="n">
        <v>0</v>
      </c>
      <c r="R956" s="2" t="inlineStr"/>
    </row>
    <row r="957" ht="15" customHeight="1">
      <c r="A957" t="inlineStr">
        <is>
          <t>A 19317-2023</t>
        </is>
      </c>
      <c r="B957" s="1" t="n">
        <v>45049</v>
      </c>
      <c r="C957" s="1" t="n">
        <v>45507</v>
      </c>
      <c r="D957" t="inlineStr">
        <is>
          <t>UPPSALA LÄN</t>
        </is>
      </c>
      <c r="E957" t="inlineStr">
        <is>
          <t>UPPSALA</t>
        </is>
      </c>
      <c r="G957" t="n">
        <v>15.4</v>
      </c>
      <c r="H957" t="n">
        <v>0</v>
      </c>
      <c r="I957" t="n">
        <v>0</v>
      </c>
      <c r="J957" t="n">
        <v>0</v>
      </c>
      <c r="K957" t="n">
        <v>0</v>
      </c>
      <c r="L957" t="n">
        <v>0</v>
      </c>
      <c r="M957" t="n">
        <v>0</v>
      </c>
      <c r="N957" t="n">
        <v>0</v>
      </c>
      <c r="O957" t="n">
        <v>0</v>
      </c>
      <c r="P957" t="n">
        <v>0</v>
      </c>
      <c r="Q957" t="n">
        <v>0</v>
      </c>
      <c r="R957" s="2" t="inlineStr"/>
    </row>
    <row r="958" ht="15" customHeight="1">
      <c r="A958" t="inlineStr">
        <is>
          <t>A 19409-2023</t>
        </is>
      </c>
      <c r="B958" s="1" t="n">
        <v>45049</v>
      </c>
      <c r="C958" s="1" t="n">
        <v>45507</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19455-2023</t>
        </is>
      </c>
      <c r="B959" s="1" t="n">
        <v>45050</v>
      </c>
      <c r="C959" s="1" t="n">
        <v>45507</v>
      </c>
      <c r="D959" t="inlineStr">
        <is>
          <t>UPPSALA LÄN</t>
        </is>
      </c>
      <c r="E959" t="inlineStr">
        <is>
          <t>UPPSALA</t>
        </is>
      </c>
      <c r="G959" t="n">
        <v>3.7</v>
      </c>
      <c r="H959" t="n">
        <v>0</v>
      </c>
      <c r="I959" t="n">
        <v>0</v>
      </c>
      <c r="J959" t="n">
        <v>0</v>
      </c>
      <c r="K959" t="n">
        <v>0</v>
      </c>
      <c r="L959" t="n">
        <v>0</v>
      </c>
      <c r="M959" t="n">
        <v>0</v>
      </c>
      <c r="N959" t="n">
        <v>0</v>
      </c>
      <c r="O959" t="n">
        <v>0</v>
      </c>
      <c r="P959" t="n">
        <v>0</v>
      </c>
      <c r="Q959" t="n">
        <v>0</v>
      </c>
      <c r="R959" s="2" t="inlineStr"/>
    </row>
    <row r="960" ht="15" customHeight="1">
      <c r="A960" t="inlineStr">
        <is>
          <t>A 19515-2023</t>
        </is>
      </c>
      <c r="B960" s="1" t="n">
        <v>45050</v>
      </c>
      <c r="C960" s="1" t="n">
        <v>45507</v>
      </c>
      <c r="D960" t="inlineStr">
        <is>
          <t>UPPSALA LÄN</t>
        </is>
      </c>
      <c r="E960" t="inlineStr">
        <is>
          <t>UPPSALA</t>
        </is>
      </c>
      <c r="G960" t="n">
        <v>11.2</v>
      </c>
      <c r="H960" t="n">
        <v>0</v>
      </c>
      <c r="I960" t="n">
        <v>0</v>
      </c>
      <c r="J960" t="n">
        <v>0</v>
      </c>
      <c r="K960" t="n">
        <v>0</v>
      </c>
      <c r="L960" t="n">
        <v>0</v>
      </c>
      <c r="M960" t="n">
        <v>0</v>
      </c>
      <c r="N960" t="n">
        <v>0</v>
      </c>
      <c r="O960" t="n">
        <v>0</v>
      </c>
      <c r="P960" t="n">
        <v>0</v>
      </c>
      <c r="Q960" t="n">
        <v>0</v>
      </c>
      <c r="R960" s="2" t="inlineStr"/>
    </row>
    <row r="961" ht="15" customHeight="1">
      <c r="A961" t="inlineStr">
        <is>
          <t>A 19447-2023</t>
        </is>
      </c>
      <c r="B961" s="1" t="n">
        <v>45050</v>
      </c>
      <c r="C961" s="1" t="n">
        <v>45507</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19513-2023</t>
        </is>
      </c>
      <c r="B962" s="1" t="n">
        <v>45050</v>
      </c>
      <c r="C962" s="1" t="n">
        <v>45507</v>
      </c>
      <c r="D962" t="inlineStr">
        <is>
          <t>UPPSALA LÄN</t>
        </is>
      </c>
      <c r="E962" t="inlineStr">
        <is>
          <t>UPPSALA</t>
        </is>
      </c>
      <c r="G962" t="n">
        <v>6.6</v>
      </c>
      <c r="H962" t="n">
        <v>0</v>
      </c>
      <c r="I962" t="n">
        <v>0</v>
      </c>
      <c r="J962" t="n">
        <v>0</v>
      </c>
      <c r="K962" t="n">
        <v>0</v>
      </c>
      <c r="L962" t="n">
        <v>0</v>
      </c>
      <c r="M962" t="n">
        <v>0</v>
      </c>
      <c r="N962" t="n">
        <v>0</v>
      </c>
      <c r="O962" t="n">
        <v>0</v>
      </c>
      <c r="P962" t="n">
        <v>0</v>
      </c>
      <c r="Q962" t="n">
        <v>0</v>
      </c>
      <c r="R962" s="2" t="inlineStr"/>
    </row>
    <row r="963" ht="15" customHeight="1">
      <c r="A963" t="inlineStr">
        <is>
          <t>A 19516-2023</t>
        </is>
      </c>
      <c r="B963" s="1" t="n">
        <v>45050</v>
      </c>
      <c r="C963" s="1" t="n">
        <v>45507</v>
      </c>
      <c r="D963" t="inlineStr">
        <is>
          <t>UPPSALA LÄN</t>
        </is>
      </c>
      <c r="E963" t="inlineStr">
        <is>
          <t>UPPSALA</t>
        </is>
      </c>
      <c r="G963" t="n">
        <v>4.5</v>
      </c>
      <c r="H963" t="n">
        <v>0</v>
      </c>
      <c r="I963" t="n">
        <v>0</v>
      </c>
      <c r="J963" t="n">
        <v>0</v>
      </c>
      <c r="K963" t="n">
        <v>0</v>
      </c>
      <c r="L963" t="n">
        <v>0</v>
      </c>
      <c r="M963" t="n">
        <v>0</v>
      </c>
      <c r="N963" t="n">
        <v>0</v>
      </c>
      <c r="O963" t="n">
        <v>0</v>
      </c>
      <c r="P963" t="n">
        <v>0</v>
      </c>
      <c r="Q963" t="n">
        <v>0</v>
      </c>
      <c r="R963" s="2" t="inlineStr"/>
    </row>
    <row r="964" ht="15" customHeight="1">
      <c r="A964" t="inlineStr">
        <is>
          <t>A 19920-2023</t>
        </is>
      </c>
      <c r="B964" s="1" t="n">
        <v>45054</v>
      </c>
      <c r="C964" s="1" t="n">
        <v>45507</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20087-2023</t>
        </is>
      </c>
      <c r="B965" s="1" t="n">
        <v>45055</v>
      </c>
      <c r="C965" s="1" t="n">
        <v>45507</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20102-2023</t>
        </is>
      </c>
      <c r="B966" s="1" t="n">
        <v>45055</v>
      </c>
      <c r="C966" s="1" t="n">
        <v>45507</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20105-2023</t>
        </is>
      </c>
      <c r="B967" s="1" t="n">
        <v>45055</v>
      </c>
      <c r="C967" s="1" t="n">
        <v>45507</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20206-2023</t>
        </is>
      </c>
      <c r="B968" s="1" t="n">
        <v>45055</v>
      </c>
      <c r="C968" s="1" t="n">
        <v>45507</v>
      </c>
      <c r="D968" t="inlineStr">
        <is>
          <t>UPPSALA LÄN</t>
        </is>
      </c>
      <c r="E968" t="inlineStr">
        <is>
          <t>UPPSALA</t>
        </is>
      </c>
      <c r="G968" t="n">
        <v>5.7</v>
      </c>
      <c r="H968" t="n">
        <v>0</v>
      </c>
      <c r="I968" t="n">
        <v>0</v>
      </c>
      <c r="J968" t="n">
        <v>0</v>
      </c>
      <c r="K968" t="n">
        <v>0</v>
      </c>
      <c r="L968" t="n">
        <v>0</v>
      </c>
      <c r="M968" t="n">
        <v>0</v>
      </c>
      <c r="N968" t="n">
        <v>0</v>
      </c>
      <c r="O968" t="n">
        <v>0</v>
      </c>
      <c r="P968" t="n">
        <v>0</v>
      </c>
      <c r="Q968" t="n">
        <v>0</v>
      </c>
      <c r="R968" s="2" t="inlineStr"/>
    </row>
    <row r="969" ht="15" customHeight="1">
      <c r="A969" t="inlineStr">
        <is>
          <t>A 20438-2023</t>
        </is>
      </c>
      <c r="B969" s="1" t="n">
        <v>45056</v>
      </c>
      <c r="C969" s="1" t="n">
        <v>45507</v>
      </c>
      <c r="D969" t="inlineStr">
        <is>
          <t>UPPSALA LÄN</t>
        </is>
      </c>
      <c r="E969" t="inlineStr">
        <is>
          <t>UPPSALA</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20440-2023</t>
        </is>
      </c>
      <c r="B970" s="1" t="n">
        <v>45056</v>
      </c>
      <c r="C970" s="1" t="n">
        <v>45507</v>
      </c>
      <c r="D970" t="inlineStr">
        <is>
          <t>UPPSALA LÄN</t>
        </is>
      </c>
      <c r="E970" t="inlineStr">
        <is>
          <t>UPPSALA</t>
        </is>
      </c>
      <c r="F970" t="inlineStr">
        <is>
          <t>Holmen skog AB</t>
        </is>
      </c>
      <c r="G970" t="n">
        <v>2.8</v>
      </c>
      <c r="H970" t="n">
        <v>0</v>
      </c>
      <c r="I970" t="n">
        <v>0</v>
      </c>
      <c r="J970" t="n">
        <v>0</v>
      </c>
      <c r="K970" t="n">
        <v>0</v>
      </c>
      <c r="L970" t="n">
        <v>0</v>
      </c>
      <c r="M970" t="n">
        <v>0</v>
      </c>
      <c r="N970" t="n">
        <v>0</v>
      </c>
      <c r="O970" t="n">
        <v>0</v>
      </c>
      <c r="P970" t="n">
        <v>0</v>
      </c>
      <c r="Q970" t="n">
        <v>0</v>
      </c>
      <c r="R970" s="2" t="inlineStr"/>
    </row>
    <row r="971" ht="15" customHeight="1">
      <c r="A971" t="inlineStr">
        <is>
          <t>A 20437-2023</t>
        </is>
      </c>
      <c r="B971" s="1" t="n">
        <v>45056</v>
      </c>
      <c r="C971" s="1" t="n">
        <v>45507</v>
      </c>
      <c r="D971" t="inlineStr">
        <is>
          <t>UPPSALA LÄN</t>
        </is>
      </c>
      <c r="E971" t="inlineStr">
        <is>
          <t>UPPSALA</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20550-2023</t>
        </is>
      </c>
      <c r="B972" s="1" t="n">
        <v>45057</v>
      </c>
      <c r="C972" s="1" t="n">
        <v>45507</v>
      </c>
      <c r="D972" t="inlineStr">
        <is>
          <t>UPPSALA LÄN</t>
        </is>
      </c>
      <c r="E972" t="inlineStr">
        <is>
          <t>UPPSALA</t>
        </is>
      </c>
      <c r="F972" t="inlineStr">
        <is>
          <t>Övriga Aktiebolag</t>
        </is>
      </c>
      <c r="G972" t="n">
        <v>12.2</v>
      </c>
      <c r="H972" t="n">
        <v>0</v>
      </c>
      <c r="I972" t="n">
        <v>0</v>
      </c>
      <c r="J972" t="n">
        <v>0</v>
      </c>
      <c r="K972" t="n">
        <v>0</v>
      </c>
      <c r="L972" t="n">
        <v>0</v>
      </c>
      <c r="M972" t="n">
        <v>0</v>
      </c>
      <c r="N972" t="n">
        <v>0</v>
      </c>
      <c r="O972" t="n">
        <v>0</v>
      </c>
      <c r="P972" t="n">
        <v>0</v>
      </c>
      <c r="Q972" t="n">
        <v>0</v>
      </c>
      <c r="R972" s="2" t="inlineStr"/>
    </row>
    <row r="973" ht="15" customHeight="1">
      <c r="A973" t="inlineStr">
        <is>
          <t>A 20670-2023</t>
        </is>
      </c>
      <c r="B973" s="1" t="n">
        <v>45058</v>
      </c>
      <c r="C973" s="1" t="n">
        <v>45507</v>
      </c>
      <c r="D973" t="inlineStr">
        <is>
          <t>UPPSALA LÄN</t>
        </is>
      </c>
      <c r="E973" t="inlineStr">
        <is>
          <t>UPPSALA</t>
        </is>
      </c>
      <c r="G973" t="n">
        <v>4</v>
      </c>
      <c r="H973" t="n">
        <v>0</v>
      </c>
      <c r="I973" t="n">
        <v>0</v>
      </c>
      <c r="J973" t="n">
        <v>0</v>
      </c>
      <c r="K973" t="n">
        <v>0</v>
      </c>
      <c r="L973" t="n">
        <v>0</v>
      </c>
      <c r="M973" t="n">
        <v>0</v>
      </c>
      <c r="N973" t="n">
        <v>0</v>
      </c>
      <c r="O973" t="n">
        <v>0</v>
      </c>
      <c r="P973" t="n">
        <v>0</v>
      </c>
      <c r="Q973" t="n">
        <v>0</v>
      </c>
      <c r="R973" s="2" t="inlineStr"/>
    </row>
    <row r="974" ht="15" customHeight="1">
      <c r="A974" t="inlineStr">
        <is>
          <t>A 20692-2023</t>
        </is>
      </c>
      <c r="B974" s="1" t="n">
        <v>45058</v>
      </c>
      <c r="C974" s="1" t="n">
        <v>45507</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20667-2023</t>
        </is>
      </c>
      <c r="B975" s="1" t="n">
        <v>45058</v>
      </c>
      <c r="C975" s="1" t="n">
        <v>45507</v>
      </c>
      <c r="D975" t="inlineStr">
        <is>
          <t>UPPSALA LÄN</t>
        </is>
      </c>
      <c r="E975" t="inlineStr">
        <is>
          <t>UPPSALA</t>
        </is>
      </c>
      <c r="G975" t="n">
        <v>6.8</v>
      </c>
      <c r="H975" t="n">
        <v>0</v>
      </c>
      <c r="I975" t="n">
        <v>0</v>
      </c>
      <c r="J975" t="n">
        <v>0</v>
      </c>
      <c r="K975" t="n">
        <v>0</v>
      </c>
      <c r="L975" t="n">
        <v>0</v>
      </c>
      <c r="M975" t="n">
        <v>0</v>
      </c>
      <c r="N975" t="n">
        <v>0</v>
      </c>
      <c r="O975" t="n">
        <v>0</v>
      </c>
      <c r="P975" t="n">
        <v>0</v>
      </c>
      <c r="Q975" t="n">
        <v>0</v>
      </c>
      <c r="R975" s="2" t="inlineStr"/>
    </row>
    <row r="976" ht="15" customHeight="1">
      <c r="A976" t="inlineStr">
        <is>
          <t>A 20708-2023</t>
        </is>
      </c>
      <c r="B976" s="1" t="n">
        <v>45058</v>
      </c>
      <c r="C976" s="1" t="n">
        <v>45507</v>
      </c>
      <c r="D976" t="inlineStr">
        <is>
          <t>UPPSALA LÄN</t>
        </is>
      </c>
      <c r="E976" t="inlineStr">
        <is>
          <t>UPPSALA</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20669-2023</t>
        </is>
      </c>
      <c r="B977" s="1" t="n">
        <v>45058</v>
      </c>
      <c r="C977" s="1" t="n">
        <v>45507</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20786-2023</t>
        </is>
      </c>
      <c r="B978" s="1" t="n">
        <v>45058</v>
      </c>
      <c r="C978" s="1" t="n">
        <v>45507</v>
      </c>
      <c r="D978" t="inlineStr">
        <is>
          <t>UPPSALA LÄN</t>
        </is>
      </c>
      <c r="E978" t="inlineStr">
        <is>
          <t>UPPSALA</t>
        </is>
      </c>
      <c r="G978" t="n">
        <v>4.1</v>
      </c>
      <c r="H978" t="n">
        <v>0</v>
      </c>
      <c r="I978" t="n">
        <v>0</v>
      </c>
      <c r="J978" t="n">
        <v>0</v>
      </c>
      <c r="K978" t="n">
        <v>0</v>
      </c>
      <c r="L978" t="n">
        <v>0</v>
      </c>
      <c r="M978" t="n">
        <v>0</v>
      </c>
      <c r="N978" t="n">
        <v>0</v>
      </c>
      <c r="O978" t="n">
        <v>0</v>
      </c>
      <c r="P978" t="n">
        <v>0</v>
      </c>
      <c r="Q978" t="n">
        <v>0</v>
      </c>
      <c r="R978" s="2" t="inlineStr"/>
    </row>
    <row r="979" ht="15" customHeight="1">
      <c r="A979" t="inlineStr">
        <is>
          <t>A 20900-2023</t>
        </is>
      </c>
      <c r="B979" s="1" t="n">
        <v>45060</v>
      </c>
      <c r="C979" s="1" t="n">
        <v>45507</v>
      </c>
      <c r="D979" t="inlineStr">
        <is>
          <t>UPPSALA LÄN</t>
        </is>
      </c>
      <c r="E979" t="inlineStr">
        <is>
          <t>UPPSALA</t>
        </is>
      </c>
      <c r="G979" t="n">
        <v>3.2</v>
      </c>
      <c r="H979" t="n">
        <v>0</v>
      </c>
      <c r="I979" t="n">
        <v>0</v>
      </c>
      <c r="J979" t="n">
        <v>0</v>
      </c>
      <c r="K979" t="n">
        <v>0</v>
      </c>
      <c r="L979" t="n">
        <v>0</v>
      </c>
      <c r="M979" t="n">
        <v>0</v>
      </c>
      <c r="N979" t="n">
        <v>0</v>
      </c>
      <c r="O979" t="n">
        <v>0</v>
      </c>
      <c r="P979" t="n">
        <v>0</v>
      </c>
      <c r="Q979" t="n">
        <v>0</v>
      </c>
      <c r="R979" s="2" t="inlineStr"/>
    </row>
    <row r="980" ht="15" customHeight="1">
      <c r="A980" t="inlineStr">
        <is>
          <t>A 21052-2023</t>
        </is>
      </c>
      <c r="B980" s="1" t="n">
        <v>45061</v>
      </c>
      <c r="C980" s="1" t="n">
        <v>45507</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21416-2023</t>
        </is>
      </c>
      <c r="B981" s="1" t="n">
        <v>45063</v>
      </c>
      <c r="C981" s="1" t="n">
        <v>45507</v>
      </c>
      <c r="D981" t="inlineStr">
        <is>
          <t>UPPSALA LÄN</t>
        </is>
      </c>
      <c r="E981" t="inlineStr">
        <is>
          <t>UPPSALA</t>
        </is>
      </c>
      <c r="G981" t="n">
        <v>13.9</v>
      </c>
      <c r="H981" t="n">
        <v>0</v>
      </c>
      <c r="I981" t="n">
        <v>0</v>
      </c>
      <c r="J981" t="n">
        <v>0</v>
      </c>
      <c r="K981" t="n">
        <v>0</v>
      </c>
      <c r="L981" t="n">
        <v>0</v>
      </c>
      <c r="M981" t="n">
        <v>0</v>
      </c>
      <c r="N981" t="n">
        <v>0</v>
      </c>
      <c r="O981" t="n">
        <v>0</v>
      </c>
      <c r="P981" t="n">
        <v>0</v>
      </c>
      <c r="Q981" t="n">
        <v>0</v>
      </c>
      <c r="R981" s="2" t="inlineStr"/>
    </row>
    <row r="982" ht="15" customHeight="1">
      <c r="A982" t="inlineStr">
        <is>
          <t>A 21424-2023</t>
        </is>
      </c>
      <c r="B982" s="1" t="n">
        <v>45063</v>
      </c>
      <c r="C982" s="1" t="n">
        <v>45507</v>
      </c>
      <c r="D982" t="inlineStr">
        <is>
          <t>UPPSALA LÄN</t>
        </is>
      </c>
      <c r="E982" t="inlineStr">
        <is>
          <t>UPPSALA</t>
        </is>
      </c>
      <c r="G982" t="n">
        <v>4</v>
      </c>
      <c r="H982" t="n">
        <v>0</v>
      </c>
      <c r="I982" t="n">
        <v>0</v>
      </c>
      <c r="J982" t="n">
        <v>0</v>
      </c>
      <c r="K982" t="n">
        <v>0</v>
      </c>
      <c r="L982" t="n">
        <v>0</v>
      </c>
      <c r="M982" t="n">
        <v>0</v>
      </c>
      <c r="N982" t="n">
        <v>0</v>
      </c>
      <c r="O982" t="n">
        <v>0</v>
      </c>
      <c r="P982" t="n">
        <v>0</v>
      </c>
      <c r="Q982" t="n">
        <v>0</v>
      </c>
      <c r="R982" s="2" t="inlineStr"/>
    </row>
    <row r="983" ht="15" customHeight="1">
      <c r="A983" t="inlineStr">
        <is>
          <t>A 21727-2023</t>
        </is>
      </c>
      <c r="B983" s="1" t="n">
        <v>45065</v>
      </c>
      <c r="C983" s="1" t="n">
        <v>45507</v>
      </c>
      <c r="D983" t="inlineStr">
        <is>
          <t>UPPSALA LÄN</t>
        </is>
      </c>
      <c r="E983" t="inlineStr">
        <is>
          <t>UPPSALA</t>
        </is>
      </c>
      <c r="G983" t="n">
        <v>1.5</v>
      </c>
      <c r="H983" t="n">
        <v>0</v>
      </c>
      <c r="I983" t="n">
        <v>0</v>
      </c>
      <c r="J983" t="n">
        <v>0</v>
      </c>
      <c r="K983" t="n">
        <v>0</v>
      </c>
      <c r="L983" t="n">
        <v>0</v>
      </c>
      <c r="M983" t="n">
        <v>0</v>
      </c>
      <c r="N983" t="n">
        <v>0</v>
      </c>
      <c r="O983" t="n">
        <v>0</v>
      </c>
      <c r="P983" t="n">
        <v>0</v>
      </c>
      <c r="Q983" t="n">
        <v>0</v>
      </c>
      <c r="R983" s="2" t="inlineStr"/>
    </row>
    <row r="984" ht="15" customHeight="1">
      <c r="A984" t="inlineStr">
        <is>
          <t>A 21935-2023</t>
        </is>
      </c>
      <c r="B984" s="1" t="n">
        <v>45068</v>
      </c>
      <c r="C984" s="1" t="n">
        <v>45507</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22450-2023</t>
        </is>
      </c>
      <c r="B985" s="1" t="n">
        <v>45070</v>
      </c>
      <c r="C985" s="1" t="n">
        <v>45507</v>
      </c>
      <c r="D985" t="inlineStr">
        <is>
          <t>UPPSALA LÄN</t>
        </is>
      </c>
      <c r="E985" t="inlineStr">
        <is>
          <t>UPPSALA</t>
        </is>
      </c>
      <c r="F985" t="inlineStr">
        <is>
          <t>Allmännings- och besparingsskogar</t>
        </is>
      </c>
      <c r="G985" t="n">
        <v>10</v>
      </c>
      <c r="H985" t="n">
        <v>0</v>
      </c>
      <c r="I985" t="n">
        <v>0</v>
      </c>
      <c r="J985" t="n">
        <v>0</v>
      </c>
      <c r="K985" t="n">
        <v>0</v>
      </c>
      <c r="L985" t="n">
        <v>0</v>
      </c>
      <c r="M985" t="n">
        <v>0</v>
      </c>
      <c r="N985" t="n">
        <v>0</v>
      </c>
      <c r="O985" t="n">
        <v>0</v>
      </c>
      <c r="P985" t="n">
        <v>0</v>
      </c>
      <c r="Q985" t="n">
        <v>0</v>
      </c>
      <c r="R985" s="2" t="inlineStr"/>
    </row>
    <row r="986" ht="15" customHeight="1">
      <c r="A986" t="inlineStr">
        <is>
          <t>A 23159-2023</t>
        </is>
      </c>
      <c r="B986" s="1" t="n">
        <v>45075</v>
      </c>
      <c r="C986" s="1" t="n">
        <v>45507</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23157-2023</t>
        </is>
      </c>
      <c r="B987" s="1" t="n">
        <v>45075</v>
      </c>
      <c r="C987" s="1" t="n">
        <v>45507</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23929-2023</t>
        </is>
      </c>
      <c r="B988" s="1" t="n">
        <v>45078</v>
      </c>
      <c r="C988" s="1" t="n">
        <v>45507</v>
      </c>
      <c r="D988" t="inlineStr">
        <is>
          <t>UPPSALA LÄN</t>
        </is>
      </c>
      <c r="E988" t="inlineStr">
        <is>
          <t>UPPSALA</t>
        </is>
      </c>
      <c r="G988" t="n">
        <v>12.7</v>
      </c>
      <c r="H988" t="n">
        <v>0</v>
      </c>
      <c r="I988" t="n">
        <v>0</v>
      </c>
      <c r="J988" t="n">
        <v>0</v>
      </c>
      <c r="K988" t="n">
        <v>0</v>
      </c>
      <c r="L988" t="n">
        <v>0</v>
      </c>
      <c r="M988" t="n">
        <v>0</v>
      </c>
      <c r="N988" t="n">
        <v>0</v>
      </c>
      <c r="O988" t="n">
        <v>0</v>
      </c>
      <c r="P988" t="n">
        <v>0</v>
      </c>
      <c r="Q988" t="n">
        <v>0</v>
      </c>
      <c r="R988" s="2" t="inlineStr"/>
    </row>
    <row r="989" ht="15" customHeight="1">
      <c r="A989" t="inlineStr">
        <is>
          <t>A 24012-2023</t>
        </is>
      </c>
      <c r="B989" s="1" t="n">
        <v>45078</v>
      </c>
      <c r="C989" s="1" t="n">
        <v>45507</v>
      </c>
      <c r="D989" t="inlineStr">
        <is>
          <t>UPPSALA LÄN</t>
        </is>
      </c>
      <c r="E989" t="inlineStr">
        <is>
          <t>UPPSALA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24016-2023</t>
        </is>
      </c>
      <c r="B990" s="1" t="n">
        <v>45078</v>
      </c>
      <c r="C990" s="1" t="n">
        <v>45507</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24009-2023</t>
        </is>
      </c>
      <c r="B991" s="1" t="n">
        <v>45078</v>
      </c>
      <c r="C991" s="1" t="n">
        <v>45507</v>
      </c>
      <c r="D991" t="inlineStr">
        <is>
          <t>UPPSALA LÄN</t>
        </is>
      </c>
      <c r="E991" t="inlineStr">
        <is>
          <t>UPPSALA</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24174-2023</t>
        </is>
      </c>
      <c r="B992" s="1" t="n">
        <v>45079</v>
      </c>
      <c r="C992" s="1" t="n">
        <v>45507</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24670-2023</t>
        </is>
      </c>
      <c r="B993" s="1" t="n">
        <v>45084</v>
      </c>
      <c r="C993" s="1" t="n">
        <v>45507</v>
      </c>
      <c r="D993" t="inlineStr">
        <is>
          <t>UPPSALA LÄN</t>
        </is>
      </c>
      <c r="E993" t="inlineStr">
        <is>
          <t>UPPSALA</t>
        </is>
      </c>
      <c r="F993" t="inlineStr">
        <is>
          <t>Holmen skog AB</t>
        </is>
      </c>
      <c r="G993" t="n">
        <v>4</v>
      </c>
      <c r="H993" t="n">
        <v>0</v>
      </c>
      <c r="I993" t="n">
        <v>0</v>
      </c>
      <c r="J993" t="n">
        <v>0</v>
      </c>
      <c r="K993" t="n">
        <v>0</v>
      </c>
      <c r="L993" t="n">
        <v>0</v>
      </c>
      <c r="M993" t="n">
        <v>0</v>
      </c>
      <c r="N993" t="n">
        <v>0</v>
      </c>
      <c r="O993" t="n">
        <v>0</v>
      </c>
      <c r="P993" t="n">
        <v>0</v>
      </c>
      <c r="Q993" t="n">
        <v>0</v>
      </c>
      <c r="R993" s="2" t="inlineStr"/>
    </row>
    <row r="994" ht="15" customHeight="1">
      <c r="A994" t="inlineStr">
        <is>
          <t>A 25264-2023</t>
        </is>
      </c>
      <c r="B994" s="1" t="n">
        <v>45086</v>
      </c>
      <c r="C994" s="1" t="n">
        <v>45507</v>
      </c>
      <c r="D994" t="inlineStr">
        <is>
          <t>UPPSALA LÄN</t>
        </is>
      </c>
      <c r="E994" t="inlineStr">
        <is>
          <t>UPPSALA</t>
        </is>
      </c>
      <c r="F994" t="inlineStr">
        <is>
          <t>Holmen skog AB</t>
        </is>
      </c>
      <c r="G994" t="n">
        <v>5.9</v>
      </c>
      <c r="H994" t="n">
        <v>0</v>
      </c>
      <c r="I994" t="n">
        <v>0</v>
      </c>
      <c r="J994" t="n">
        <v>0</v>
      </c>
      <c r="K994" t="n">
        <v>0</v>
      </c>
      <c r="L994" t="n">
        <v>0</v>
      </c>
      <c r="M994" t="n">
        <v>0</v>
      </c>
      <c r="N994" t="n">
        <v>0</v>
      </c>
      <c r="O994" t="n">
        <v>0</v>
      </c>
      <c r="P994" t="n">
        <v>0</v>
      </c>
      <c r="Q994" t="n">
        <v>0</v>
      </c>
      <c r="R994" s="2" t="inlineStr"/>
    </row>
    <row r="995" ht="15" customHeight="1">
      <c r="A995" t="inlineStr">
        <is>
          <t>A 25280-2023</t>
        </is>
      </c>
      <c r="B995" s="1" t="n">
        <v>45086</v>
      </c>
      <c r="C995" s="1" t="n">
        <v>45507</v>
      </c>
      <c r="D995" t="inlineStr">
        <is>
          <t>UPPSALA LÄN</t>
        </is>
      </c>
      <c r="E995" t="inlineStr">
        <is>
          <t>UPPSALA</t>
        </is>
      </c>
      <c r="F995" t="inlineStr">
        <is>
          <t>Holmen skog AB</t>
        </is>
      </c>
      <c r="G995" t="n">
        <v>3.2</v>
      </c>
      <c r="H995" t="n">
        <v>0</v>
      </c>
      <c r="I995" t="n">
        <v>0</v>
      </c>
      <c r="J995" t="n">
        <v>0</v>
      </c>
      <c r="K995" t="n">
        <v>0</v>
      </c>
      <c r="L995" t="n">
        <v>0</v>
      </c>
      <c r="M995" t="n">
        <v>0</v>
      </c>
      <c r="N995" t="n">
        <v>0</v>
      </c>
      <c r="O995" t="n">
        <v>0</v>
      </c>
      <c r="P995" t="n">
        <v>0</v>
      </c>
      <c r="Q995" t="n">
        <v>0</v>
      </c>
      <c r="R995" s="2" t="inlineStr"/>
    </row>
    <row r="996" ht="15" customHeight="1">
      <c r="A996" t="inlineStr">
        <is>
          <t>A 25380-2023</t>
        </is>
      </c>
      <c r="B996" s="1" t="n">
        <v>45089</v>
      </c>
      <c r="C996" s="1" t="n">
        <v>45507</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25381-2023</t>
        </is>
      </c>
      <c r="B997" s="1" t="n">
        <v>45089</v>
      </c>
      <c r="C997" s="1" t="n">
        <v>45507</v>
      </c>
      <c r="D997" t="inlineStr">
        <is>
          <t>UPPSALA LÄN</t>
        </is>
      </c>
      <c r="E997" t="inlineStr">
        <is>
          <t>UPPSALA</t>
        </is>
      </c>
      <c r="G997" t="n">
        <v>3.9</v>
      </c>
      <c r="H997" t="n">
        <v>0</v>
      </c>
      <c r="I997" t="n">
        <v>0</v>
      </c>
      <c r="J997" t="n">
        <v>0</v>
      </c>
      <c r="K997" t="n">
        <v>0</v>
      </c>
      <c r="L997" t="n">
        <v>0</v>
      </c>
      <c r="M997" t="n">
        <v>0</v>
      </c>
      <c r="N997" t="n">
        <v>0</v>
      </c>
      <c r="O997" t="n">
        <v>0</v>
      </c>
      <c r="P997" t="n">
        <v>0</v>
      </c>
      <c r="Q997" t="n">
        <v>0</v>
      </c>
      <c r="R997" s="2" t="inlineStr"/>
    </row>
    <row r="998" ht="15" customHeight="1">
      <c r="A998" t="inlineStr">
        <is>
          <t>A 25446-2023</t>
        </is>
      </c>
      <c r="B998" s="1" t="n">
        <v>45089</v>
      </c>
      <c r="C998" s="1" t="n">
        <v>45507</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25462-2023</t>
        </is>
      </c>
      <c r="B999" s="1" t="n">
        <v>45089</v>
      </c>
      <c r="C999" s="1" t="n">
        <v>45507</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25939-2023</t>
        </is>
      </c>
      <c r="B1000" s="1" t="n">
        <v>45090</v>
      </c>
      <c r="C1000" s="1" t="n">
        <v>45507</v>
      </c>
      <c r="D1000" t="inlineStr">
        <is>
          <t>UPPSALA LÄN</t>
        </is>
      </c>
      <c r="E1000" t="inlineStr">
        <is>
          <t>UPPSALA</t>
        </is>
      </c>
      <c r="F1000" t="inlineStr">
        <is>
          <t>Holmen skog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26208-2023</t>
        </is>
      </c>
      <c r="B1001" s="1" t="n">
        <v>45091</v>
      </c>
      <c r="C1001" s="1" t="n">
        <v>45507</v>
      </c>
      <c r="D1001" t="inlineStr">
        <is>
          <t>UPPSALA LÄN</t>
        </is>
      </c>
      <c r="E1001" t="inlineStr">
        <is>
          <t>UPPSALA</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26298-2023</t>
        </is>
      </c>
      <c r="B1002" s="1" t="n">
        <v>45091</v>
      </c>
      <c r="C1002" s="1" t="n">
        <v>45507</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26323-2023</t>
        </is>
      </c>
      <c r="B1003" s="1" t="n">
        <v>45091</v>
      </c>
      <c r="C1003" s="1" t="n">
        <v>45507</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26081-2023</t>
        </is>
      </c>
      <c r="B1004" s="1" t="n">
        <v>45091</v>
      </c>
      <c r="C1004" s="1" t="n">
        <v>45507</v>
      </c>
      <c r="D1004" t="inlineStr">
        <is>
          <t>UPPSALA LÄN</t>
        </is>
      </c>
      <c r="E1004" t="inlineStr">
        <is>
          <t>UPPSALA</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26143-2023</t>
        </is>
      </c>
      <c r="B1005" s="1" t="n">
        <v>45091</v>
      </c>
      <c r="C1005" s="1" t="n">
        <v>45507</v>
      </c>
      <c r="D1005" t="inlineStr">
        <is>
          <t>UPPSALA LÄN</t>
        </is>
      </c>
      <c r="E1005" t="inlineStr">
        <is>
          <t>UPPSALA</t>
        </is>
      </c>
      <c r="F1005" t="inlineStr">
        <is>
          <t>Holmen skog AB</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26134-2023</t>
        </is>
      </c>
      <c r="B1006" s="1" t="n">
        <v>45091</v>
      </c>
      <c r="C1006" s="1" t="n">
        <v>45507</v>
      </c>
      <c r="D1006" t="inlineStr">
        <is>
          <t>UPPSALA LÄN</t>
        </is>
      </c>
      <c r="E1006" t="inlineStr">
        <is>
          <t>UPPSALA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26759-2023</t>
        </is>
      </c>
      <c r="B1007" s="1" t="n">
        <v>45093</v>
      </c>
      <c r="C1007" s="1" t="n">
        <v>45507</v>
      </c>
      <c r="D1007" t="inlineStr">
        <is>
          <t>UPPSALA LÄN</t>
        </is>
      </c>
      <c r="E1007" t="inlineStr">
        <is>
          <t>UPPSALA</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26762-2023</t>
        </is>
      </c>
      <c r="B1008" s="1" t="n">
        <v>45093</v>
      </c>
      <c r="C1008" s="1" t="n">
        <v>45507</v>
      </c>
      <c r="D1008" t="inlineStr">
        <is>
          <t>UPPSALA LÄN</t>
        </is>
      </c>
      <c r="E1008" t="inlineStr">
        <is>
          <t>UPPSALA</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27128-2023</t>
        </is>
      </c>
      <c r="B1009" s="1" t="n">
        <v>45096</v>
      </c>
      <c r="C1009" s="1" t="n">
        <v>45507</v>
      </c>
      <c r="D1009" t="inlineStr">
        <is>
          <t>UPPSALA LÄN</t>
        </is>
      </c>
      <c r="E1009" t="inlineStr">
        <is>
          <t>UPPSALA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27068-2023</t>
        </is>
      </c>
      <c r="B1010" s="1" t="n">
        <v>45096</v>
      </c>
      <c r="C1010" s="1" t="n">
        <v>45507</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27119-2023</t>
        </is>
      </c>
      <c r="B1011" s="1" t="n">
        <v>45096</v>
      </c>
      <c r="C1011" s="1" t="n">
        <v>45507</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27123-2023</t>
        </is>
      </c>
      <c r="B1012" s="1" t="n">
        <v>45096</v>
      </c>
      <c r="C1012" s="1" t="n">
        <v>45507</v>
      </c>
      <c r="D1012" t="inlineStr">
        <is>
          <t>UPPSALA LÄN</t>
        </is>
      </c>
      <c r="E1012" t="inlineStr">
        <is>
          <t>UPPSALA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27126-2023</t>
        </is>
      </c>
      <c r="B1013" s="1" t="n">
        <v>45096</v>
      </c>
      <c r="C1013" s="1" t="n">
        <v>45507</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27104-2023</t>
        </is>
      </c>
      <c r="B1014" s="1" t="n">
        <v>45096</v>
      </c>
      <c r="C1014" s="1" t="n">
        <v>45507</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27121-2023</t>
        </is>
      </c>
      <c r="B1015" s="1" t="n">
        <v>45096</v>
      </c>
      <c r="C1015" s="1" t="n">
        <v>45507</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27125-2023</t>
        </is>
      </c>
      <c r="B1016" s="1" t="n">
        <v>45096</v>
      </c>
      <c r="C1016" s="1" t="n">
        <v>45507</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27254-2023</t>
        </is>
      </c>
      <c r="B1017" s="1" t="n">
        <v>45096</v>
      </c>
      <c r="C1017" s="1" t="n">
        <v>45507</v>
      </c>
      <c r="D1017" t="inlineStr">
        <is>
          <t>UPPSALA LÄN</t>
        </is>
      </c>
      <c r="E1017" t="inlineStr">
        <is>
          <t>UPPSALA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27467-2023</t>
        </is>
      </c>
      <c r="B1018" s="1" t="n">
        <v>45097</v>
      </c>
      <c r="C1018" s="1" t="n">
        <v>45507</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27617-2023</t>
        </is>
      </c>
      <c r="B1019" s="1" t="n">
        <v>45097</v>
      </c>
      <c r="C1019" s="1" t="n">
        <v>45507</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27622-2023</t>
        </is>
      </c>
      <c r="B1020" s="1" t="n">
        <v>45097</v>
      </c>
      <c r="C1020" s="1" t="n">
        <v>45507</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27599-2023</t>
        </is>
      </c>
      <c r="B1021" s="1" t="n">
        <v>45097</v>
      </c>
      <c r="C1021" s="1" t="n">
        <v>45507</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27620-2023</t>
        </is>
      </c>
      <c r="B1022" s="1" t="n">
        <v>45097</v>
      </c>
      <c r="C1022" s="1" t="n">
        <v>45507</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27912-2023</t>
        </is>
      </c>
      <c r="B1023" s="1" t="n">
        <v>45098</v>
      </c>
      <c r="C1023" s="1" t="n">
        <v>45507</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27903-2023</t>
        </is>
      </c>
      <c r="B1024" s="1" t="n">
        <v>45098</v>
      </c>
      <c r="C1024" s="1" t="n">
        <v>45507</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27930-2023</t>
        </is>
      </c>
      <c r="B1025" s="1" t="n">
        <v>45098</v>
      </c>
      <c r="C1025" s="1" t="n">
        <v>45507</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28186-2023</t>
        </is>
      </c>
      <c r="B1026" s="1" t="n">
        <v>45099</v>
      </c>
      <c r="C1026" s="1" t="n">
        <v>45507</v>
      </c>
      <c r="D1026" t="inlineStr">
        <is>
          <t>UPPSALA LÄN</t>
        </is>
      </c>
      <c r="E1026" t="inlineStr">
        <is>
          <t>UPPSALA</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28577-2023</t>
        </is>
      </c>
      <c r="B1027" s="1" t="n">
        <v>45103</v>
      </c>
      <c r="C1027" s="1" t="n">
        <v>45507</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28701-2023</t>
        </is>
      </c>
      <c r="B1028" s="1" t="n">
        <v>45103</v>
      </c>
      <c r="C1028" s="1" t="n">
        <v>45507</v>
      </c>
      <c r="D1028" t="inlineStr">
        <is>
          <t>UPPSALA LÄN</t>
        </is>
      </c>
      <c r="E1028" t="inlineStr">
        <is>
          <t>UPPSALA</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v>
      </c>
      <c r="C1029" s="1" t="n">
        <v>45507</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31599-2023</t>
        </is>
      </c>
      <c r="B1030" s="1" t="n">
        <v>45105</v>
      </c>
      <c r="C1030" s="1" t="n">
        <v>45507</v>
      </c>
      <c r="D1030" t="inlineStr">
        <is>
          <t>UPPSALA LÄN</t>
        </is>
      </c>
      <c r="E1030" t="inlineStr">
        <is>
          <t>UPPSALA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29282-2023</t>
        </is>
      </c>
      <c r="B1031" s="1" t="n">
        <v>45105</v>
      </c>
      <c r="C1031" s="1" t="n">
        <v>45507</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31630-2023</t>
        </is>
      </c>
      <c r="B1032" s="1" t="n">
        <v>45105</v>
      </c>
      <c r="C1032" s="1" t="n">
        <v>45507</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29579-2023</t>
        </is>
      </c>
      <c r="B1033" s="1" t="n">
        <v>45106</v>
      </c>
      <c r="C1033" s="1" t="n">
        <v>45507</v>
      </c>
      <c r="D1033" t="inlineStr">
        <is>
          <t>UPPSALA LÄN</t>
        </is>
      </c>
      <c r="E1033" t="inlineStr">
        <is>
          <t>UPPSALA</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29815-2023</t>
        </is>
      </c>
      <c r="B1034" s="1" t="n">
        <v>45107</v>
      </c>
      <c r="C1034" s="1" t="n">
        <v>45507</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29901-2023</t>
        </is>
      </c>
      <c r="B1035" s="1" t="n">
        <v>45107</v>
      </c>
      <c r="C1035" s="1" t="n">
        <v>45507</v>
      </c>
      <c r="D1035" t="inlineStr">
        <is>
          <t>UPPSALA LÄN</t>
        </is>
      </c>
      <c r="E1035" t="inlineStr">
        <is>
          <t>UPPSALA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29868-2023</t>
        </is>
      </c>
      <c r="B1036" s="1" t="n">
        <v>45107</v>
      </c>
      <c r="C1036" s="1" t="n">
        <v>45507</v>
      </c>
      <c r="D1036" t="inlineStr">
        <is>
          <t>UPPSALA LÄN</t>
        </is>
      </c>
      <c r="E1036" t="inlineStr">
        <is>
          <t>UPPSALA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29799-2023</t>
        </is>
      </c>
      <c r="B1037" s="1" t="n">
        <v>45107</v>
      </c>
      <c r="C1037" s="1" t="n">
        <v>45507</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29808-2023</t>
        </is>
      </c>
      <c r="B1038" s="1" t="n">
        <v>45107</v>
      </c>
      <c r="C1038" s="1" t="n">
        <v>45507</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29902-2023</t>
        </is>
      </c>
      <c r="B1039" s="1" t="n">
        <v>45107</v>
      </c>
      <c r="C1039" s="1" t="n">
        <v>45507</v>
      </c>
      <c r="D1039" t="inlineStr">
        <is>
          <t>UPPSALA LÄN</t>
        </is>
      </c>
      <c r="E1039" t="inlineStr">
        <is>
          <t>UPPSALA</t>
        </is>
      </c>
      <c r="F1039" t="inlineStr">
        <is>
          <t>Kyrkan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29926-2023</t>
        </is>
      </c>
      <c r="B1040" s="1" t="n">
        <v>45107</v>
      </c>
      <c r="C1040" s="1" t="n">
        <v>45507</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29927-2023</t>
        </is>
      </c>
      <c r="B1041" s="1" t="n">
        <v>45107</v>
      </c>
      <c r="C1041" s="1" t="n">
        <v>45507</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32428-2023</t>
        </is>
      </c>
      <c r="B1042" s="1" t="n">
        <v>45110</v>
      </c>
      <c r="C1042" s="1" t="n">
        <v>45507</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30629-2023</t>
        </is>
      </c>
      <c r="B1043" s="1" t="n">
        <v>45112</v>
      </c>
      <c r="C1043" s="1" t="n">
        <v>45507</v>
      </c>
      <c r="D1043" t="inlineStr">
        <is>
          <t>UPPSALA LÄN</t>
        </is>
      </c>
      <c r="E1043" t="inlineStr">
        <is>
          <t>UPPSALA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32689-2023</t>
        </is>
      </c>
      <c r="B1044" s="1" t="n">
        <v>45112</v>
      </c>
      <c r="C1044" s="1" t="n">
        <v>45507</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31157-2023</t>
        </is>
      </c>
      <c r="B1045" s="1" t="n">
        <v>45113</v>
      </c>
      <c r="C1045" s="1" t="n">
        <v>45507</v>
      </c>
      <c r="D1045" t="inlineStr">
        <is>
          <t>UPPSALA LÄN</t>
        </is>
      </c>
      <c r="E1045" t="inlineStr">
        <is>
          <t>UPPSALA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31161-2023</t>
        </is>
      </c>
      <c r="B1046" s="1" t="n">
        <v>45113</v>
      </c>
      <c r="C1046" s="1" t="n">
        <v>45507</v>
      </c>
      <c r="D1046" t="inlineStr">
        <is>
          <t>UPPSALA LÄN</t>
        </is>
      </c>
      <c r="E1046" t="inlineStr">
        <is>
          <t>UPPSALA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33689-2023</t>
        </is>
      </c>
      <c r="B1047" s="1" t="n">
        <v>45119</v>
      </c>
      <c r="C1047" s="1" t="n">
        <v>45507</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32413-2023</t>
        </is>
      </c>
      <c r="B1048" s="1" t="n">
        <v>45120</v>
      </c>
      <c r="C1048" s="1" t="n">
        <v>45507</v>
      </c>
      <c r="D1048" t="inlineStr">
        <is>
          <t>UPPSALA LÄN</t>
        </is>
      </c>
      <c r="E1048" t="inlineStr">
        <is>
          <t>UPPSALA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32640-2023</t>
        </is>
      </c>
      <c r="B1049" s="1" t="n">
        <v>45121</v>
      </c>
      <c r="C1049" s="1" t="n">
        <v>45507</v>
      </c>
      <c r="D1049" t="inlineStr">
        <is>
          <t>UPPSALA LÄN</t>
        </is>
      </c>
      <c r="E1049" t="inlineStr">
        <is>
          <t>UPPSALA</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32674-2023</t>
        </is>
      </c>
      <c r="B1050" s="1" t="n">
        <v>45121</v>
      </c>
      <c r="C1050" s="1" t="n">
        <v>45507</v>
      </c>
      <c r="D1050" t="inlineStr">
        <is>
          <t>UPPSALA LÄN</t>
        </is>
      </c>
      <c r="E1050" t="inlineStr">
        <is>
          <t>UPPSALA</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32688-2023</t>
        </is>
      </c>
      <c r="B1051" s="1" t="n">
        <v>45121</v>
      </c>
      <c r="C1051" s="1" t="n">
        <v>45507</v>
      </c>
      <c r="D1051" t="inlineStr">
        <is>
          <t>UPPSALA LÄN</t>
        </is>
      </c>
      <c r="E1051" t="inlineStr">
        <is>
          <t>UPPSALA</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32755-2023</t>
        </is>
      </c>
      <c r="B1052" s="1" t="n">
        <v>45123</v>
      </c>
      <c r="C1052" s="1" t="n">
        <v>45507</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33191-2023</t>
        </is>
      </c>
      <c r="B1053" s="1" t="n">
        <v>45127</v>
      </c>
      <c r="C1053" s="1" t="n">
        <v>45507</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33189-2023</t>
        </is>
      </c>
      <c r="B1054" s="1" t="n">
        <v>45127</v>
      </c>
      <c r="C1054" s="1" t="n">
        <v>45507</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34282-2023</t>
        </is>
      </c>
      <c r="B1055" s="1" t="n">
        <v>45128</v>
      </c>
      <c r="C1055" s="1" t="n">
        <v>45507</v>
      </c>
      <c r="D1055" t="inlineStr">
        <is>
          <t>UPPSALA LÄN</t>
        </is>
      </c>
      <c r="E1055" t="inlineStr">
        <is>
          <t>UPPSALA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45507</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33700-2023</t>
        </is>
      </c>
      <c r="B1057" s="1" t="n">
        <v>45132</v>
      </c>
      <c r="C1057" s="1" t="n">
        <v>45507</v>
      </c>
      <c r="D1057" t="inlineStr">
        <is>
          <t>UPPSALA LÄN</t>
        </is>
      </c>
      <c r="E1057" t="inlineStr">
        <is>
          <t>UPPSALA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34509-2023</t>
        </is>
      </c>
      <c r="B1058" s="1" t="n">
        <v>45133</v>
      </c>
      <c r="C1058" s="1" t="n">
        <v>45507</v>
      </c>
      <c r="D1058" t="inlineStr">
        <is>
          <t>UPPSALA LÄN</t>
        </is>
      </c>
      <c r="E1058" t="inlineStr">
        <is>
          <t>UPPSALA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33941-2023</t>
        </is>
      </c>
      <c r="B1059" s="1" t="n">
        <v>45134</v>
      </c>
      <c r="C1059" s="1" t="n">
        <v>45507</v>
      </c>
      <c r="D1059" t="inlineStr">
        <is>
          <t>UPPSALA LÄN</t>
        </is>
      </c>
      <c r="E1059" t="inlineStr">
        <is>
          <t>UPPSALA</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33982-2023</t>
        </is>
      </c>
      <c r="B1060" s="1" t="n">
        <v>45134</v>
      </c>
      <c r="C1060" s="1" t="n">
        <v>45507</v>
      </c>
      <c r="D1060" t="inlineStr">
        <is>
          <t>UPPSALA LÄN</t>
        </is>
      </c>
      <c r="E1060" t="inlineStr">
        <is>
          <t>UPPSALA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35142-2023</t>
        </is>
      </c>
      <c r="B1061" s="1" t="n">
        <v>45145</v>
      </c>
      <c r="C1061" s="1" t="n">
        <v>45507</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35471-2023</t>
        </is>
      </c>
      <c r="B1062" s="1" t="n">
        <v>45146</v>
      </c>
      <c r="C1062" s="1" t="n">
        <v>45507</v>
      </c>
      <c r="D1062" t="inlineStr">
        <is>
          <t>UPPSALA LÄN</t>
        </is>
      </c>
      <c r="E1062" t="inlineStr">
        <is>
          <t>UPPSALA</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35472-2023</t>
        </is>
      </c>
      <c r="B1063" s="1" t="n">
        <v>45146</v>
      </c>
      <c r="C1063" s="1" t="n">
        <v>45507</v>
      </c>
      <c r="D1063" t="inlineStr">
        <is>
          <t>UPPSALA LÄN</t>
        </is>
      </c>
      <c r="E1063" t="inlineStr">
        <is>
          <t>UPPSALA</t>
        </is>
      </c>
      <c r="F1063" t="inlineStr">
        <is>
          <t>Sveaskog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35473-2023</t>
        </is>
      </c>
      <c r="B1064" s="1" t="n">
        <v>45146</v>
      </c>
      <c r="C1064" s="1" t="n">
        <v>45507</v>
      </c>
      <c r="D1064" t="inlineStr">
        <is>
          <t>UPPSALA LÄN</t>
        </is>
      </c>
      <c r="E1064" t="inlineStr">
        <is>
          <t>UPPSALA</t>
        </is>
      </c>
      <c r="F1064" t="inlineStr">
        <is>
          <t>Sveaskog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35549-2023</t>
        </is>
      </c>
      <c r="B1065" s="1" t="n">
        <v>45147</v>
      </c>
      <c r="C1065" s="1" t="n">
        <v>45507</v>
      </c>
      <c r="D1065" t="inlineStr">
        <is>
          <t>UPPSALA LÄN</t>
        </is>
      </c>
      <c r="E1065" t="inlineStr">
        <is>
          <t>UPPSALA</t>
        </is>
      </c>
      <c r="F1065" t="inlineStr">
        <is>
          <t>Allmännings- och besparingsskogar</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35902-2023</t>
        </is>
      </c>
      <c r="B1066" s="1" t="n">
        <v>45148</v>
      </c>
      <c r="C1066" s="1" t="n">
        <v>45507</v>
      </c>
      <c r="D1066" t="inlineStr">
        <is>
          <t>UPPSALA LÄN</t>
        </is>
      </c>
      <c r="E1066" t="inlineStr">
        <is>
          <t>UPPSALA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35906-2023</t>
        </is>
      </c>
      <c r="B1067" s="1" t="n">
        <v>45148</v>
      </c>
      <c r="C1067" s="1" t="n">
        <v>45507</v>
      </c>
      <c r="D1067" t="inlineStr">
        <is>
          <t>UPPSALA LÄN</t>
        </is>
      </c>
      <c r="E1067" t="inlineStr">
        <is>
          <t>UPPSALA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35914-2023</t>
        </is>
      </c>
      <c r="B1068" s="1" t="n">
        <v>45148</v>
      </c>
      <c r="C1068" s="1" t="n">
        <v>45507</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35922-2023</t>
        </is>
      </c>
      <c r="B1069" s="1" t="n">
        <v>45148</v>
      </c>
      <c r="C1069" s="1" t="n">
        <v>45507</v>
      </c>
      <c r="D1069" t="inlineStr">
        <is>
          <t>UPPSALA LÄN</t>
        </is>
      </c>
      <c r="E1069" t="inlineStr">
        <is>
          <t>UPPSALA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35916-2023</t>
        </is>
      </c>
      <c r="B1070" s="1" t="n">
        <v>45148</v>
      </c>
      <c r="C1070" s="1" t="n">
        <v>45507</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36028-2023</t>
        </is>
      </c>
      <c r="B1071" s="1" t="n">
        <v>45149</v>
      </c>
      <c r="C1071" s="1" t="n">
        <v>45507</v>
      </c>
      <c r="D1071" t="inlineStr">
        <is>
          <t>UPPSALA LÄN</t>
        </is>
      </c>
      <c r="E1071" t="inlineStr">
        <is>
          <t>UPPSALA</t>
        </is>
      </c>
      <c r="F1071" t="inlineStr">
        <is>
          <t>Allmännings- och besparingsskogar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36123-2023</t>
        </is>
      </c>
      <c r="B1072" s="1" t="n">
        <v>45149</v>
      </c>
      <c r="C1072" s="1" t="n">
        <v>45507</v>
      </c>
      <c r="D1072" t="inlineStr">
        <is>
          <t>UPPSALA LÄN</t>
        </is>
      </c>
      <c r="E1072" t="inlineStr">
        <is>
          <t>UPPSALA</t>
        </is>
      </c>
      <c r="F1072" t="inlineStr">
        <is>
          <t>Allmännings- och besparingsskogar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36159-2023</t>
        </is>
      </c>
      <c r="B1073" s="1" t="n">
        <v>45149</v>
      </c>
      <c r="C1073" s="1" t="n">
        <v>45507</v>
      </c>
      <c r="D1073" t="inlineStr">
        <is>
          <t>UPPSALA LÄN</t>
        </is>
      </c>
      <c r="E1073" t="inlineStr">
        <is>
          <t>UPPSALA</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36388-2023</t>
        </is>
      </c>
      <c r="B1074" s="1" t="n">
        <v>45152</v>
      </c>
      <c r="C1074" s="1" t="n">
        <v>45507</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36392-2023</t>
        </is>
      </c>
      <c r="B1075" s="1" t="n">
        <v>45152</v>
      </c>
      <c r="C1075" s="1" t="n">
        <v>45507</v>
      </c>
      <c r="D1075" t="inlineStr">
        <is>
          <t>UPPSALA LÄN</t>
        </is>
      </c>
      <c r="E1075" t="inlineStr">
        <is>
          <t>UPPSALA</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36479-2023</t>
        </is>
      </c>
      <c r="B1076" s="1" t="n">
        <v>45152</v>
      </c>
      <c r="C1076" s="1" t="n">
        <v>45507</v>
      </c>
      <c r="D1076" t="inlineStr">
        <is>
          <t>UPPSALA LÄN</t>
        </is>
      </c>
      <c r="E1076" t="inlineStr">
        <is>
          <t>UPPSALA</t>
        </is>
      </c>
      <c r="F1076" t="inlineStr">
        <is>
          <t>Allmännings- och besparingsskogar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36478-2023</t>
        </is>
      </c>
      <c r="B1077" s="1" t="n">
        <v>45152</v>
      </c>
      <c r="C1077" s="1" t="n">
        <v>45507</v>
      </c>
      <c r="D1077" t="inlineStr">
        <is>
          <t>UPPSALA LÄN</t>
        </is>
      </c>
      <c r="E1077" t="inlineStr">
        <is>
          <t>UPPSALA</t>
        </is>
      </c>
      <c r="F1077" t="inlineStr">
        <is>
          <t>Allmännings- och besparingsskogar</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36438-2023</t>
        </is>
      </c>
      <c r="B1078" s="1" t="n">
        <v>45152</v>
      </c>
      <c r="C1078" s="1" t="n">
        <v>45507</v>
      </c>
      <c r="D1078" t="inlineStr">
        <is>
          <t>UPPSALA LÄN</t>
        </is>
      </c>
      <c r="E1078" t="inlineStr">
        <is>
          <t>UPPSALA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36738-2023</t>
        </is>
      </c>
      <c r="B1079" s="1" t="n">
        <v>45153</v>
      </c>
      <c r="C1079" s="1" t="n">
        <v>45507</v>
      </c>
      <c r="D1079" t="inlineStr">
        <is>
          <t>UPPSALA LÄN</t>
        </is>
      </c>
      <c r="E1079" t="inlineStr">
        <is>
          <t>UPPSALA</t>
        </is>
      </c>
      <c r="F1079" t="inlineStr">
        <is>
          <t>Allmännings- och besparingsskogar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36739-2023</t>
        </is>
      </c>
      <c r="B1080" s="1" t="n">
        <v>45153</v>
      </c>
      <c r="C1080" s="1" t="n">
        <v>45507</v>
      </c>
      <c r="D1080" t="inlineStr">
        <is>
          <t>UPPSALA LÄN</t>
        </is>
      </c>
      <c r="E1080" t="inlineStr">
        <is>
          <t>UPPSALA</t>
        </is>
      </c>
      <c r="F1080" t="inlineStr">
        <is>
          <t>Allmännings- och besparingsskogar</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36781-2023</t>
        </is>
      </c>
      <c r="B1081" s="1" t="n">
        <v>45154</v>
      </c>
      <c r="C1081" s="1" t="n">
        <v>45507</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36782-2023</t>
        </is>
      </c>
      <c r="B1082" s="1" t="n">
        <v>45154</v>
      </c>
      <c r="C1082" s="1" t="n">
        <v>45507</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36860-2023</t>
        </is>
      </c>
      <c r="B1083" s="1" t="n">
        <v>45154</v>
      </c>
      <c r="C1083" s="1" t="n">
        <v>45507</v>
      </c>
      <c r="D1083" t="inlineStr">
        <is>
          <t>UPPSALA LÄN</t>
        </is>
      </c>
      <c r="E1083" t="inlineStr">
        <is>
          <t>UPPSALA</t>
        </is>
      </c>
      <c r="F1083" t="inlineStr">
        <is>
          <t>Allmännings- och besparingsskogar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37626-2023</t>
        </is>
      </c>
      <c r="B1084" s="1" t="n">
        <v>45159</v>
      </c>
      <c r="C1084" s="1" t="n">
        <v>45507</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37618-2023</t>
        </is>
      </c>
      <c r="B1085" s="1" t="n">
        <v>45159</v>
      </c>
      <c r="C1085" s="1" t="n">
        <v>45507</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38016-2023</t>
        </is>
      </c>
      <c r="B1086" s="1" t="n">
        <v>45160</v>
      </c>
      <c r="C1086" s="1" t="n">
        <v>45507</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38190-2023</t>
        </is>
      </c>
      <c r="B1087" s="1" t="n">
        <v>45161</v>
      </c>
      <c r="C1087" s="1" t="n">
        <v>45507</v>
      </c>
      <c r="D1087" t="inlineStr">
        <is>
          <t>UPPSALA LÄN</t>
        </is>
      </c>
      <c r="E1087" t="inlineStr">
        <is>
          <t>UPPSALA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38493-2023</t>
        </is>
      </c>
      <c r="B1088" s="1" t="n">
        <v>45162</v>
      </c>
      <c r="C1088" s="1" t="n">
        <v>45507</v>
      </c>
      <c r="D1088" t="inlineStr">
        <is>
          <t>UPPSALA LÄN</t>
        </is>
      </c>
      <c r="E1088" t="inlineStr">
        <is>
          <t>UPPSALA</t>
        </is>
      </c>
      <c r="F1088" t="inlineStr">
        <is>
          <t>Allmännings- och besparingsskogar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38644-2023</t>
        </is>
      </c>
      <c r="B1089" s="1" t="n">
        <v>45162</v>
      </c>
      <c r="C1089" s="1" t="n">
        <v>45507</v>
      </c>
      <c r="D1089" t="inlineStr">
        <is>
          <t>UPPSALA LÄN</t>
        </is>
      </c>
      <c r="E1089" t="inlineStr">
        <is>
          <t>UPPSALA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38645-2023</t>
        </is>
      </c>
      <c r="B1090" s="1" t="n">
        <v>45162</v>
      </c>
      <c r="C1090" s="1" t="n">
        <v>45507</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38664-2023</t>
        </is>
      </c>
      <c r="B1091" s="1" t="n">
        <v>45162</v>
      </c>
      <c r="C1091" s="1" t="n">
        <v>45507</v>
      </c>
      <c r="D1091" t="inlineStr">
        <is>
          <t>UPPSALA LÄN</t>
        </is>
      </c>
      <c r="E1091" t="inlineStr">
        <is>
          <t>UPPSALA</t>
        </is>
      </c>
      <c r="F1091" t="inlineStr">
        <is>
          <t>Bergvik skog öst AB</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38663-2023</t>
        </is>
      </c>
      <c r="B1092" s="1" t="n">
        <v>45162</v>
      </c>
      <c r="C1092" s="1" t="n">
        <v>45507</v>
      </c>
      <c r="D1092" t="inlineStr">
        <is>
          <t>UPPSALA LÄN</t>
        </is>
      </c>
      <c r="E1092" t="inlineStr">
        <is>
          <t>UPPSALA</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38665-2023</t>
        </is>
      </c>
      <c r="B1093" s="1" t="n">
        <v>45162</v>
      </c>
      <c r="C1093" s="1" t="n">
        <v>45507</v>
      </c>
      <c r="D1093" t="inlineStr">
        <is>
          <t>UPPSALA LÄN</t>
        </is>
      </c>
      <c r="E1093" t="inlineStr">
        <is>
          <t>UPPSALA</t>
        </is>
      </c>
      <c r="F1093" t="inlineStr">
        <is>
          <t>Bergvik skog öst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38661-2023</t>
        </is>
      </c>
      <c r="B1094" s="1" t="n">
        <v>45162</v>
      </c>
      <c r="C1094" s="1" t="n">
        <v>45507</v>
      </c>
      <c r="D1094" t="inlineStr">
        <is>
          <t>UPPSALA LÄN</t>
        </is>
      </c>
      <c r="E1094" t="inlineStr">
        <is>
          <t>UPPSALA</t>
        </is>
      </c>
      <c r="F1094" t="inlineStr">
        <is>
          <t>Bergvik skog öst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38643-2023</t>
        </is>
      </c>
      <c r="B1095" s="1" t="n">
        <v>45162</v>
      </c>
      <c r="C1095" s="1" t="n">
        <v>45507</v>
      </c>
      <c r="D1095" t="inlineStr">
        <is>
          <t>UPPSALA LÄN</t>
        </is>
      </c>
      <c r="E1095" t="inlineStr">
        <is>
          <t>UPPSALA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38934-2023</t>
        </is>
      </c>
      <c r="B1096" s="1" t="n">
        <v>45163</v>
      </c>
      <c r="C1096" s="1" t="n">
        <v>45507</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39108-2023</t>
        </is>
      </c>
      <c r="B1097" s="1" t="n">
        <v>45164</v>
      </c>
      <c r="C1097" s="1" t="n">
        <v>45507</v>
      </c>
      <c r="D1097" t="inlineStr">
        <is>
          <t>UPPSALA LÄN</t>
        </is>
      </c>
      <c r="E1097" t="inlineStr">
        <is>
          <t>UPPSALA</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39107-2023</t>
        </is>
      </c>
      <c r="B1098" s="1" t="n">
        <v>45164</v>
      </c>
      <c r="C1098" s="1" t="n">
        <v>45507</v>
      </c>
      <c r="D1098" t="inlineStr">
        <is>
          <t>UPPSALA LÄN</t>
        </is>
      </c>
      <c r="E1098" t="inlineStr">
        <is>
          <t>UPPSALA</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39548-2023</t>
        </is>
      </c>
      <c r="B1099" s="1" t="n">
        <v>45167</v>
      </c>
      <c r="C1099" s="1" t="n">
        <v>45507</v>
      </c>
      <c r="D1099" t="inlineStr">
        <is>
          <t>UPPSALA LÄN</t>
        </is>
      </c>
      <c r="E1099" t="inlineStr">
        <is>
          <t>UPPSALA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39592-2023</t>
        </is>
      </c>
      <c r="B1100" s="1" t="n">
        <v>45167</v>
      </c>
      <c r="C1100" s="1" t="n">
        <v>45507</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39739-2023</t>
        </is>
      </c>
      <c r="B1101" s="1" t="n">
        <v>45167</v>
      </c>
      <c r="C1101" s="1" t="n">
        <v>45507</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39926-2023</t>
        </is>
      </c>
      <c r="B1102" s="1" t="n">
        <v>45168</v>
      </c>
      <c r="C1102" s="1" t="n">
        <v>45507</v>
      </c>
      <c r="D1102" t="inlineStr">
        <is>
          <t>UPPSALA LÄN</t>
        </is>
      </c>
      <c r="E1102" t="inlineStr">
        <is>
          <t>UPPSALA</t>
        </is>
      </c>
      <c r="F1102" t="inlineStr">
        <is>
          <t>Holmen skog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39918-2023</t>
        </is>
      </c>
      <c r="B1103" s="1" t="n">
        <v>45168</v>
      </c>
      <c r="C1103" s="1" t="n">
        <v>45507</v>
      </c>
      <c r="D1103" t="inlineStr">
        <is>
          <t>UPPSALA LÄN</t>
        </is>
      </c>
      <c r="E1103" t="inlineStr">
        <is>
          <t>UPPSALA</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40369-2023</t>
        </is>
      </c>
      <c r="B1104" s="1" t="n">
        <v>45169</v>
      </c>
      <c r="C1104" s="1" t="n">
        <v>45507</v>
      </c>
      <c r="D1104" t="inlineStr">
        <is>
          <t>UPPSALA LÄN</t>
        </is>
      </c>
      <c r="E1104" t="inlineStr">
        <is>
          <t>UPPSALA</t>
        </is>
      </c>
      <c r="F1104" t="inlineStr">
        <is>
          <t>Allmännings- och besparingsskogar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40312-2023</t>
        </is>
      </c>
      <c r="B1105" s="1" t="n">
        <v>45169</v>
      </c>
      <c r="C1105" s="1" t="n">
        <v>45507</v>
      </c>
      <c r="D1105" t="inlineStr">
        <is>
          <t>UPPSALA LÄN</t>
        </is>
      </c>
      <c r="E1105" t="inlineStr">
        <is>
          <t>UPPSALA</t>
        </is>
      </c>
      <c r="F1105" t="inlineStr">
        <is>
          <t>Kommuner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40124-2023</t>
        </is>
      </c>
      <c r="B1106" s="1" t="n">
        <v>45169</v>
      </c>
      <c r="C1106" s="1" t="n">
        <v>45507</v>
      </c>
      <c r="D1106" t="inlineStr">
        <is>
          <t>UPPSALA LÄN</t>
        </is>
      </c>
      <c r="E1106" t="inlineStr">
        <is>
          <t>UPPSALA</t>
        </is>
      </c>
      <c r="F1106" t="inlineStr">
        <is>
          <t>Allmännings- och besparingsskogar</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40325-2023</t>
        </is>
      </c>
      <c r="B1107" s="1" t="n">
        <v>45169</v>
      </c>
      <c r="C1107" s="1" t="n">
        <v>45507</v>
      </c>
      <c r="D1107" t="inlineStr">
        <is>
          <t>UPPSALA LÄN</t>
        </is>
      </c>
      <c r="E1107" t="inlineStr">
        <is>
          <t>UPPSALA</t>
        </is>
      </c>
      <c r="F1107" t="inlineStr">
        <is>
          <t>Kommuner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40872-2023</t>
        </is>
      </c>
      <c r="B1108" s="1" t="n">
        <v>45173</v>
      </c>
      <c r="C1108" s="1" t="n">
        <v>45507</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41002-2023</t>
        </is>
      </c>
      <c r="B1109" s="1" t="n">
        <v>45173</v>
      </c>
      <c r="C1109" s="1" t="n">
        <v>45507</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41349-2023</t>
        </is>
      </c>
      <c r="B1110" s="1" t="n">
        <v>45174</v>
      </c>
      <c r="C1110" s="1" t="n">
        <v>45507</v>
      </c>
      <c r="D1110" t="inlineStr">
        <is>
          <t>UPPSALA LÄN</t>
        </is>
      </c>
      <c r="E1110" t="inlineStr">
        <is>
          <t>UPPSALA</t>
        </is>
      </c>
      <c r="F1110" t="inlineStr">
        <is>
          <t>Allmännings- och besparingsskogar</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41346-2023</t>
        </is>
      </c>
      <c r="B1111" s="1" t="n">
        <v>45174</v>
      </c>
      <c r="C1111" s="1" t="n">
        <v>45507</v>
      </c>
      <c r="D1111" t="inlineStr">
        <is>
          <t>UPPSALA LÄN</t>
        </is>
      </c>
      <c r="E1111" t="inlineStr">
        <is>
          <t>UPPSALA</t>
        </is>
      </c>
      <c r="F1111" t="inlineStr">
        <is>
          <t>Allmännings- och besparingsskogar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41506-2023</t>
        </is>
      </c>
      <c r="B1112" s="1" t="n">
        <v>45175</v>
      </c>
      <c r="C1112" s="1" t="n">
        <v>45507</v>
      </c>
      <c r="D1112" t="inlineStr">
        <is>
          <t>UPPSALA LÄN</t>
        </is>
      </c>
      <c r="E1112" t="inlineStr">
        <is>
          <t>UPPSALA</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41541-2023</t>
        </is>
      </c>
      <c r="B1113" s="1" t="n">
        <v>45175</v>
      </c>
      <c r="C1113" s="1" t="n">
        <v>45507</v>
      </c>
      <c r="D1113" t="inlineStr">
        <is>
          <t>UPPSALA LÄN</t>
        </is>
      </c>
      <c r="E1113" t="inlineStr">
        <is>
          <t>UPPSALA</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41545-2023</t>
        </is>
      </c>
      <c r="B1114" s="1" t="n">
        <v>45175</v>
      </c>
      <c r="C1114" s="1" t="n">
        <v>45507</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41422-2023</t>
        </is>
      </c>
      <c r="B1115" s="1" t="n">
        <v>45175</v>
      </c>
      <c r="C1115" s="1" t="n">
        <v>45507</v>
      </c>
      <c r="D1115" t="inlineStr">
        <is>
          <t>UPPSALA LÄN</t>
        </is>
      </c>
      <c r="E1115" t="inlineStr">
        <is>
          <t>UPPSALA</t>
        </is>
      </c>
      <c r="F1115" t="inlineStr">
        <is>
          <t>Kyrkan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41538-2023</t>
        </is>
      </c>
      <c r="B1116" s="1" t="n">
        <v>45175</v>
      </c>
      <c r="C1116" s="1" t="n">
        <v>45507</v>
      </c>
      <c r="D1116" t="inlineStr">
        <is>
          <t>UPPSALA LÄN</t>
        </is>
      </c>
      <c r="E1116" t="inlineStr">
        <is>
          <t>UPPSALA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42283-2023</t>
        </is>
      </c>
      <c r="B1117" s="1" t="n">
        <v>45175</v>
      </c>
      <c r="C1117" s="1" t="n">
        <v>45507</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41669-2023</t>
        </is>
      </c>
      <c r="B1118" s="1" t="n">
        <v>45176</v>
      </c>
      <c r="C1118" s="1" t="n">
        <v>45507</v>
      </c>
      <c r="D1118" t="inlineStr">
        <is>
          <t>UPPSALA LÄN</t>
        </is>
      </c>
      <c r="E1118" t="inlineStr">
        <is>
          <t>UPPSALA</t>
        </is>
      </c>
      <c r="F1118" t="inlineStr">
        <is>
          <t>Övriga Aktiebolag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41802-2023</t>
        </is>
      </c>
      <c r="B1119" s="1" t="n">
        <v>45176</v>
      </c>
      <c r="C1119" s="1" t="n">
        <v>45507</v>
      </c>
      <c r="D1119" t="inlineStr">
        <is>
          <t>UPPSALA LÄN</t>
        </is>
      </c>
      <c r="E1119" t="inlineStr">
        <is>
          <t>UPPSALA</t>
        </is>
      </c>
      <c r="G1119" t="n">
        <v>23.9</v>
      </c>
      <c r="H1119" t="n">
        <v>0</v>
      </c>
      <c r="I1119" t="n">
        <v>0</v>
      </c>
      <c r="J1119" t="n">
        <v>0</v>
      </c>
      <c r="K1119" t="n">
        <v>0</v>
      </c>
      <c r="L1119" t="n">
        <v>0</v>
      </c>
      <c r="M1119" t="n">
        <v>0</v>
      </c>
      <c r="N1119" t="n">
        <v>0</v>
      </c>
      <c r="O1119" t="n">
        <v>0</v>
      </c>
      <c r="P1119" t="n">
        <v>0</v>
      </c>
      <c r="Q1119" t="n">
        <v>0</v>
      </c>
      <c r="R1119" s="2" t="inlineStr"/>
    </row>
    <row r="1120" ht="15" customHeight="1">
      <c r="A1120" t="inlineStr">
        <is>
          <t>A 41816-2023</t>
        </is>
      </c>
      <c r="B1120" s="1" t="n">
        <v>45176</v>
      </c>
      <c r="C1120" s="1" t="n">
        <v>45507</v>
      </c>
      <c r="D1120" t="inlineStr">
        <is>
          <t>UPPSALA LÄN</t>
        </is>
      </c>
      <c r="E1120" t="inlineStr">
        <is>
          <t>UPPSALA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41950-2023</t>
        </is>
      </c>
      <c r="B1121" s="1" t="n">
        <v>45177</v>
      </c>
      <c r="C1121" s="1" t="n">
        <v>45507</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42134-2023</t>
        </is>
      </c>
      <c r="B1122" s="1" t="n">
        <v>45177</v>
      </c>
      <c r="C1122" s="1" t="n">
        <v>45507</v>
      </c>
      <c r="D1122" t="inlineStr">
        <is>
          <t>UPPSALA LÄN</t>
        </is>
      </c>
      <c r="E1122" t="inlineStr">
        <is>
          <t>UPPSALA</t>
        </is>
      </c>
      <c r="F1122" t="inlineStr">
        <is>
          <t>Allmännings- och besparingsskogar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42063-2023</t>
        </is>
      </c>
      <c r="B1123" s="1" t="n">
        <v>45177</v>
      </c>
      <c r="C1123" s="1" t="n">
        <v>45507</v>
      </c>
      <c r="D1123" t="inlineStr">
        <is>
          <t>UPPSALA LÄN</t>
        </is>
      </c>
      <c r="E1123" t="inlineStr">
        <is>
          <t>UPPSALA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42131-2023</t>
        </is>
      </c>
      <c r="B1124" s="1" t="n">
        <v>45177</v>
      </c>
      <c r="C1124" s="1" t="n">
        <v>45507</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42273-2023</t>
        </is>
      </c>
      <c r="B1125" s="1" t="n">
        <v>45180</v>
      </c>
      <c r="C1125" s="1" t="n">
        <v>45507</v>
      </c>
      <c r="D1125" t="inlineStr">
        <is>
          <t>UPPSALA LÄN</t>
        </is>
      </c>
      <c r="E1125" t="inlineStr">
        <is>
          <t>UPPSALA</t>
        </is>
      </c>
      <c r="F1125" t="inlineStr">
        <is>
          <t>Bergvik skog öst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42436-2023</t>
        </is>
      </c>
      <c r="B1126" s="1" t="n">
        <v>45180</v>
      </c>
      <c r="C1126" s="1" t="n">
        <v>45507</v>
      </c>
      <c r="D1126" t="inlineStr">
        <is>
          <t>UPPSALA LÄN</t>
        </is>
      </c>
      <c r="E1126" t="inlineStr">
        <is>
          <t>UPPSALA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42282-2023</t>
        </is>
      </c>
      <c r="B1127" s="1" t="n">
        <v>45180</v>
      </c>
      <c r="C1127" s="1" t="n">
        <v>45507</v>
      </c>
      <c r="D1127" t="inlineStr">
        <is>
          <t>UPPSALA LÄN</t>
        </is>
      </c>
      <c r="E1127" t="inlineStr">
        <is>
          <t>UPPSALA</t>
        </is>
      </c>
      <c r="F1127" t="inlineStr">
        <is>
          <t>Bergvik skog öst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42274-2023</t>
        </is>
      </c>
      <c r="B1128" s="1" t="n">
        <v>45180</v>
      </c>
      <c r="C1128" s="1" t="n">
        <v>45507</v>
      </c>
      <c r="D1128" t="inlineStr">
        <is>
          <t>UPPSALA LÄN</t>
        </is>
      </c>
      <c r="E1128" t="inlineStr">
        <is>
          <t>UPPSALA</t>
        </is>
      </c>
      <c r="F1128" t="inlineStr">
        <is>
          <t>Bergvik skog öst AB</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42285-2023</t>
        </is>
      </c>
      <c r="B1129" s="1" t="n">
        <v>45180</v>
      </c>
      <c r="C1129" s="1" t="n">
        <v>45507</v>
      </c>
      <c r="D1129" t="inlineStr">
        <is>
          <t>UPPSALA LÄN</t>
        </is>
      </c>
      <c r="E1129" t="inlineStr">
        <is>
          <t>UPPSALA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42376-2023</t>
        </is>
      </c>
      <c r="B1130" s="1" t="n">
        <v>45180</v>
      </c>
      <c r="C1130" s="1" t="n">
        <v>45507</v>
      </c>
      <c r="D1130" t="inlineStr">
        <is>
          <t>UPPSALA LÄN</t>
        </is>
      </c>
      <c r="E1130" t="inlineStr">
        <is>
          <t>UPPSALA</t>
        </is>
      </c>
      <c r="F1130" t="inlineStr">
        <is>
          <t>Bergvik skog öst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42495-2023</t>
        </is>
      </c>
      <c r="B1131" s="1" t="n">
        <v>45180</v>
      </c>
      <c r="C1131" s="1" t="n">
        <v>45507</v>
      </c>
      <c r="D1131" t="inlineStr">
        <is>
          <t>UPPSALA LÄN</t>
        </is>
      </c>
      <c r="E1131" t="inlineStr">
        <is>
          <t>UPPSALA</t>
        </is>
      </c>
      <c r="F1131" t="inlineStr">
        <is>
          <t>Allmännings- och besparingsskogar</t>
        </is>
      </c>
      <c r="G1131" t="n">
        <v>13.7</v>
      </c>
      <c r="H1131" t="n">
        <v>0</v>
      </c>
      <c r="I1131" t="n">
        <v>0</v>
      </c>
      <c r="J1131" t="n">
        <v>0</v>
      </c>
      <c r="K1131" t="n">
        <v>0</v>
      </c>
      <c r="L1131" t="n">
        <v>0</v>
      </c>
      <c r="M1131" t="n">
        <v>0</v>
      </c>
      <c r="N1131" t="n">
        <v>0</v>
      </c>
      <c r="O1131" t="n">
        <v>0</v>
      </c>
      <c r="P1131" t="n">
        <v>0</v>
      </c>
      <c r="Q1131" t="n">
        <v>0</v>
      </c>
      <c r="R1131" s="2" t="inlineStr"/>
    </row>
    <row r="1132" ht="15" customHeight="1">
      <c r="A1132" t="inlineStr">
        <is>
          <t>A 42379-2023</t>
        </is>
      </c>
      <c r="B1132" s="1" t="n">
        <v>45180</v>
      </c>
      <c r="C1132" s="1" t="n">
        <v>45507</v>
      </c>
      <c r="D1132" t="inlineStr">
        <is>
          <t>UPPSALA LÄN</t>
        </is>
      </c>
      <c r="E1132" t="inlineStr">
        <is>
          <t>UPPSALA</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42528-2023</t>
        </is>
      </c>
      <c r="B1133" s="1" t="n">
        <v>45181</v>
      </c>
      <c r="C1133" s="1" t="n">
        <v>45507</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42630-2023</t>
        </is>
      </c>
      <c r="B1134" s="1" t="n">
        <v>45181</v>
      </c>
      <c r="C1134" s="1" t="n">
        <v>45507</v>
      </c>
      <c r="D1134" t="inlineStr">
        <is>
          <t>UPPSALA LÄN</t>
        </is>
      </c>
      <c r="E1134" t="inlineStr">
        <is>
          <t>UPPSALA</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42681-2023</t>
        </is>
      </c>
      <c r="B1135" s="1" t="n">
        <v>45181</v>
      </c>
      <c r="C1135" s="1" t="n">
        <v>45507</v>
      </c>
      <c r="D1135" t="inlineStr">
        <is>
          <t>UPPSALA LÄN</t>
        </is>
      </c>
      <c r="E1135" t="inlineStr">
        <is>
          <t>UPPSALA</t>
        </is>
      </c>
      <c r="F1135" t="inlineStr">
        <is>
          <t>Bergvik skog öst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42543-2023</t>
        </is>
      </c>
      <c r="B1136" s="1" t="n">
        <v>45181</v>
      </c>
      <c r="C1136" s="1" t="n">
        <v>45507</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42730-2023</t>
        </is>
      </c>
      <c r="B1137" s="1" t="n">
        <v>45181</v>
      </c>
      <c r="C1137" s="1" t="n">
        <v>45507</v>
      </c>
      <c r="D1137" t="inlineStr">
        <is>
          <t>UPPSALA LÄN</t>
        </is>
      </c>
      <c r="E1137" t="inlineStr">
        <is>
          <t>UPPSALA</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42734-2023</t>
        </is>
      </c>
      <c r="B1138" s="1" t="n">
        <v>45181</v>
      </c>
      <c r="C1138" s="1" t="n">
        <v>45507</v>
      </c>
      <c r="D1138" t="inlineStr">
        <is>
          <t>UPPSALA LÄN</t>
        </is>
      </c>
      <c r="E1138" t="inlineStr">
        <is>
          <t>UPPSALA</t>
        </is>
      </c>
      <c r="F1138" t="inlineStr">
        <is>
          <t>Bergvik skog öst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42682-2023</t>
        </is>
      </c>
      <c r="B1139" s="1" t="n">
        <v>45181</v>
      </c>
      <c r="C1139" s="1" t="n">
        <v>45507</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42722-2023</t>
        </is>
      </c>
      <c r="B1140" s="1" t="n">
        <v>45181</v>
      </c>
      <c r="C1140" s="1" t="n">
        <v>45507</v>
      </c>
      <c r="D1140" t="inlineStr">
        <is>
          <t>UPPSALA LÄN</t>
        </is>
      </c>
      <c r="E1140" t="inlineStr">
        <is>
          <t>UPPSALA</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42756-2023</t>
        </is>
      </c>
      <c r="B1141" s="1" t="n">
        <v>45181</v>
      </c>
      <c r="C1141" s="1" t="n">
        <v>45507</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42971-2023</t>
        </is>
      </c>
      <c r="B1142" s="1" t="n">
        <v>45182</v>
      </c>
      <c r="C1142" s="1" t="n">
        <v>45507</v>
      </c>
      <c r="D1142" t="inlineStr">
        <is>
          <t>UPPSALA LÄN</t>
        </is>
      </c>
      <c r="E1142" t="inlineStr">
        <is>
          <t>UPPSALA</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43026-2023</t>
        </is>
      </c>
      <c r="B1143" s="1" t="n">
        <v>45182</v>
      </c>
      <c r="C1143" s="1" t="n">
        <v>45507</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42963-2023</t>
        </is>
      </c>
      <c r="B1144" s="1" t="n">
        <v>45182</v>
      </c>
      <c r="C1144" s="1" t="n">
        <v>45507</v>
      </c>
      <c r="D1144" t="inlineStr">
        <is>
          <t>UPPSALA LÄN</t>
        </is>
      </c>
      <c r="E1144" t="inlineStr">
        <is>
          <t>UPPSALA</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42967-2023</t>
        </is>
      </c>
      <c r="B1145" s="1" t="n">
        <v>45182</v>
      </c>
      <c r="C1145" s="1" t="n">
        <v>45507</v>
      </c>
      <c r="D1145" t="inlineStr">
        <is>
          <t>UPPSALA LÄN</t>
        </is>
      </c>
      <c r="E1145" t="inlineStr">
        <is>
          <t>UPPSALA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43031-2023</t>
        </is>
      </c>
      <c r="B1146" s="1" t="n">
        <v>45182</v>
      </c>
      <c r="C1146" s="1" t="n">
        <v>45507</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43035-2023</t>
        </is>
      </c>
      <c r="B1147" s="1" t="n">
        <v>45182</v>
      </c>
      <c r="C1147" s="1" t="n">
        <v>45507</v>
      </c>
      <c r="D1147" t="inlineStr">
        <is>
          <t>UPPSALA LÄN</t>
        </is>
      </c>
      <c r="E1147" t="inlineStr">
        <is>
          <t>UPPSALA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43049-2023</t>
        </is>
      </c>
      <c r="B1148" s="1" t="n">
        <v>45182</v>
      </c>
      <c r="C1148" s="1" t="n">
        <v>45507</v>
      </c>
      <c r="D1148" t="inlineStr">
        <is>
          <t>UPPSALA LÄN</t>
        </is>
      </c>
      <c r="E1148" t="inlineStr">
        <is>
          <t>UPPSALA</t>
        </is>
      </c>
      <c r="F1148" t="inlineStr">
        <is>
          <t>Allmännings- och besparingsskogar</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42974-2023</t>
        </is>
      </c>
      <c r="B1149" s="1" t="n">
        <v>45182</v>
      </c>
      <c r="C1149" s="1" t="n">
        <v>45507</v>
      </c>
      <c r="D1149" t="inlineStr">
        <is>
          <t>UPPSALA LÄN</t>
        </is>
      </c>
      <c r="E1149" t="inlineStr">
        <is>
          <t>UPPSALA</t>
        </is>
      </c>
      <c r="F1149" t="inlineStr">
        <is>
          <t>Sveaskog</t>
        </is>
      </c>
      <c r="G1149" t="n">
        <v>3.7</v>
      </c>
      <c r="H1149" t="n">
        <v>0</v>
      </c>
      <c r="I1149" t="n">
        <v>0</v>
      </c>
      <c r="J1149" t="n">
        <v>0</v>
      </c>
      <c r="K1149" t="n">
        <v>0</v>
      </c>
      <c r="L1149" t="n">
        <v>0</v>
      </c>
      <c r="M1149" t="n">
        <v>0</v>
      </c>
      <c r="N1149" t="n">
        <v>0</v>
      </c>
      <c r="O1149" t="n">
        <v>0</v>
      </c>
      <c r="P1149" t="n">
        <v>0</v>
      </c>
      <c r="Q1149" t="n">
        <v>0</v>
      </c>
      <c r="R1149" s="2" t="inlineStr"/>
      <c r="U1149">
        <f>HYPERLINK("https://klasma.github.io/Logging_0380/knärot/A 42974-2023 karta knärot.png", "A 42974-2023")</f>
        <v/>
      </c>
      <c r="V1149">
        <f>HYPERLINK("https://klasma.github.io/Logging_0380/klagomål/A 42974-2023 FSC-klagomål.docx", "A 42974-2023")</f>
        <v/>
      </c>
      <c r="W1149">
        <f>HYPERLINK("https://klasma.github.io/Logging_0380/klagomålsmail/A 42974-2023 FSC-klagomål mail.docx", "A 42974-2023")</f>
        <v/>
      </c>
      <c r="X1149">
        <f>HYPERLINK("https://klasma.github.io/Logging_0380/tillsyn/A 42974-2023 tillsynsbegäran.docx", "A 42974-2023")</f>
        <v/>
      </c>
      <c r="Y1149">
        <f>HYPERLINK("https://klasma.github.io/Logging_0380/tillsynsmail/A 42974-2023 tillsynsbegäran mail.docx", "A 42974-2023")</f>
        <v/>
      </c>
    </row>
    <row r="1150" ht="15" customHeight="1">
      <c r="A1150" t="inlineStr">
        <is>
          <t>A 42978-2023</t>
        </is>
      </c>
      <c r="B1150" s="1" t="n">
        <v>45182</v>
      </c>
      <c r="C1150" s="1" t="n">
        <v>45507</v>
      </c>
      <c r="D1150" t="inlineStr">
        <is>
          <t>UPPSALA LÄN</t>
        </is>
      </c>
      <c r="E1150" t="inlineStr">
        <is>
          <t>UPPSALA</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43029-2023</t>
        </is>
      </c>
      <c r="B1151" s="1" t="n">
        <v>45182</v>
      </c>
      <c r="C1151" s="1" t="n">
        <v>45507</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43818-2023</t>
        </is>
      </c>
      <c r="B1152" s="1" t="n">
        <v>45182</v>
      </c>
      <c r="C1152" s="1" t="n">
        <v>45507</v>
      </c>
      <c r="D1152" t="inlineStr">
        <is>
          <t>UPPSALA LÄN</t>
        </is>
      </c>
      <c r="E1152" t="inlineStr">
        <is>
          <t>UPPSALA</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43795-2023</t>
        </is>
      </c>
      <c r="B1153" s="1" t="n">
        <v>45182</v>
      </c>
      <c r="C1153" s="1" t="n">
        <v>45507</v>
      </c>
      <c r="D1153" t="inlineStr">
        <is>
          <t>UPPSALA LÄN</t>
        </is>
      </c>
      <c r="E1153" t="inlineStr">
        <is>
          <t>UPPSALA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43316-2023</t>
        </is>
      </c>
      <c r="B1154" s="1" t="n">
        <v>45183</v>
      </c>
      <c r="C1154" s="1" t="n">
        <v>45507</v>
      </c>
      <c r="D1154" t="inlineStr">
        <is>
          <t>UPPSALA LÄN</t>
        </is>
      </c>
      <c r="E1154" t="inlineStr">
        <is>
          <t>UPPSALA</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43944-2023</t>
        </is>
      </c>
      <c r="B1155" s="1" t="n">
        <v>45187</v>
      </c>
      <c r="C1155" s="1" t="n">
        <v>45507</v>
      </c>
      <c r="D1155" t="inlineStr">
        <is>
          <t>UPPSALA LÄN</t>
        </is>
      </c>
      <c r="E1155" t="inlineStr">
        <is>
          <t>UPPSALA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43775-2023</t>
        </is>
      </c>
      <c r="B1156" s="1" t="n">
        <v>45187</v>
      </c>
      <c r="C1156" s="1" t="n">
        <v>45507</v>
      </c>
      <c r="D1156" t="inlineStr">
        <is>
          <t>UPPSALA LÄN</t>
        </is>
      </c>
      <c r="E1156" t="inlineStr">
        <is>
          <t>UPPSALA</t>
        </is>
      </c>
      <c r="F1156" t="inlineStr">
        <is>
          <t>Bergvik skog öst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43779-2023</t>
        </is>
      </c>
      <c r="B1157" s="1" t="n">
        <v>45187</v>
      </c>
      <c r="C1157" s="1" t="n">
        <v>45507</v>
      </c>
      <c r="D1157" t="inlineStr">
        <is>
          <t>UPPSALA LÄN</t>
        </is>
      </c>
      <c r="E1157" t="inlineStr">
        <is>
          <t>UPPSALA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43776-2023</t>
        </is>
      </c>
      <c r="B1158" s="1" t="n">
        <v>45187</v>
      </c>
      <c r="C1158" s="1" t="n">
        <v>45507</v>
      </c>
      <c r="D1158" t="inlineStr">
        <is>
          <t>UPPSALA LÄN</t>
        </is>
      </c>
      <c r="E1158" t="inlineStr">
        <is>
          <t>UPPSALA</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43855-2023</t>
        </is>
      </c>
      <c r="B1159" s="1" t="n">
        <v>45187</v>
      </c>
      <c r="C1159" s="1" t="n">
        <v>45507</v>
      </c>
      <c r="D1159" t="inlineStr">
        <is>
          <t>UPPSALA LÄN</t>
        </is>
      </c>
      <c r="E1159" t="inlineStr">
        <is>
          <t>UPPSALA</t>
        </is>
      </c>
      <c r="F1159" t="inlineStr">
        <is>
          <t>Bergvik skog öst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43778-2023</t>
        </is>
      </c>
      <c r="B1160" s="1" t="n">
        <v>45187</v>
      </c>
      <c r="C1160" s="1" t="n">
        <v>45507</v>
      </c>
      <c r="D1160" t="inlineStr">
        <is>
          <t>UPPSALA LÄN</t>
        </is>
      </c>
      <c r="E1160" t="inlineStr">
        <is>
          <t>UPPSALA</t>
        </is>
      </c>
      <c r="F1160" t="inlineStr">
        <is>
          <t>Bergvik skog öst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44875-2023</t>
        </is>
      </c>
      <c r="B1161" s="1" t="n">
        <v>45187</v>
      </c>
      <c r="C1161" s="1" t="n">
        <v>45507</v>
      </c>
      <c r="D1161" t="inlineStr">
        <is>
          <t>UPPSALA LÄN</t>
        </is>
      </c>
      <c r="E1161" t="inlineStr">
        <is>
          <t>UPPSALA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44080-2023</t>
        </is>
      </c>
      <c r="B1162" s="1" t="n">
        <v>45188</v>
      </c>
      <c r="C1162" s="1" t="n">
        <v>45507</v>
      </c>
      <c r="D1162" t="inlineStr">
        <is>
          <t>UPPSALA LÄN</t>
        </is>
      </c>
      <c r="E1162" t="inlineStr">
        <is>
          <t>UPPSALA</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44115-2023</t>
        </is>
      </c>
      <c r="B1163" s="1" t="n">
        <v>45188</v>
      </c>
      <c r="C1163" s="1" t="n">
        <v>45507</v>
      </c>
      <c r="D1163" t="inlineStr">
        <is>
          <t>UPPSALA LÄN</t>
        </is>
      </c>
      <c r="E1163" t="inlineStr">
        <is>
          <t>UPPSALA</t>
        </is>
      </c>
      <c r="F1163" t="inlineStr">
        <is>
          <t>Holmen skog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44232-2023</t>
        </is>
      </c>
      <c r="B1164" s="1" t="n">
        <v>45188</v>
      </c>
      <c r="C1164" s="1" t="n">
        <v>45507</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44105-2023</t>
        </is>
      </c>
      <c r="B1165" s="1" t="n">
        <v>45188</v>
      </c>
      <c r="C1165" s="1" t="n">
        <v>45507</v>
      </c>
      <c r="D1165" t="inlineStr">
        <is>
          <t>UPPSALA LÄN</t>
        </is>
      </c>
      <c r="E1165" t="inlineStr">
        <is>
          <t>UPPSALA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44333-2023</t>
        </is>
      </c>
      <c r="B1166" s="1" t="n">
        <v>45188</v>
      </c>
      <c r="C1166" s="1" t="n">
        <v>45507</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44337-2023</t>
        </is>
      </c>
      <c r="B1167" s="1" t="n">
        <v>45188</v>
      </c>
      <c r="C1167" s="1" t="n">
        <v>45507</v>
      </c>
      <c r="D1167" t="inlineStr">
        <is>
          <t>UPPSALA LÄN</t>
        </is>
      </c>
      <c r="E1167" t="inlineStr">
        <is>
          <t>UPPSALA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44257-2023</t>
        </is>
      </c>
      <c r="B1168" s="1" t="n">
        <v>45188</v>
      </c>
      <c r="C1168" s="1" t="n">
        <v>45507</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44815-2023</t>
        </is>
      </c>
      <c r="B1169" s="1" t="n">
        <v>45190</v>
      </c>
      <c r="C1169" s="1" t="n">
        <v>45507</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44830-2023</t>
        </is>
      </c>
      <c r="B1170" s="1" t="n">
        <v>45190</v>
      </c>
      <c r="C1170" s="1" t="n">
        <v>45507</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44785-2023</t>
        </is>
      </c>
      <c r="B1171" s="1" t="n">
        <v>45190</v>
      </c>
      <c r="C1171" s="1" t="n">
        <v>45507</v>
      </c>
      <c r="D1171" t="inlineStr">
        <is>
          <t>UPPSALA LÄN</t>
        </is>
      </c>
      <c r="E1171" t="inlineStr">
        <is>
          <t>UPPSALA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45244-2023</t>
        </is>
      </c>
      <c r="B1172" s="1" t="n">
        <v>45191</v>
      </c>
      <c r="C1172" s="1" t="n">
        <v>45507</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45223-2023</t>
        </is>
      </c>
      <c r="B1173" s="1" t="n">
        <v>45191</v>
      </c>
      <c r="C1173" s="1" t="n">
        <v>45507</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45489-2023</t>
        </is>
      </c>
      <c r="B1174" s="1" t="n">
        <v>45194</v>
      </c>
      <c r="C1174" s="1" t="n">
        <v>45507</v>
      </c>
      <c r="D1174" t="inlineStr">
        <is>
          <t>UPPSALA LÄN</t>
        </is>
      </c>
      <c r="E1174" t="inlineStr">
        <is>
          <t>UPPSALA</t>
        </is>
      </c>
      <c r="F1174" t="inlineStr">
        <is>
          <t>Allmännings- och besparingsskogar</t>
        </is>
      </c>
      <c r="G1174" t="n">
        <v>15.8</v>
      </c>
      <c r="H1174" t="n">
        <v>0</v>
      </c>
      <c r="I1174" t="n">
        <v>0</v>
      </c>
      <c r="J1174" t="n">
        <v>0</v>
      </c>
      <c r="K1174" t="n">
        <v>0</v>
      </c>
      <c r="L1174" t="n">
        <v>0</v>
      </c>
      <c r="M1174" t="n">
        <v>0</v>
      </c>
      <c r="N1174" t="n">
        <v>0</v>
      </c>
      <c r="O1174" t="n">
        <v>0</v>
      </c>
      <c r="P1174" t="n">
        <v>0</v>
      </c>
      <c r="Q1174" t="n">
        <v>0</v>
      </c>
      <c r="R1174" s="2" t="inlineStr"/>
    </row>
    <row r="1175" ht="15" customHeight="1">
      <c r="A1175" t="inlineStr">
        <is>
          <t>A 45575-2023</t>
        </is>
      </c>
      <c r="B1175" s="1" t="n">
        <v>45194</v>
      </c>
      <c r="C1175" s="1" t="n">
        <v>45507</v>
      </c>
      <c r="D1175" t="inlineStr">
        <is>
          <t>UPPSALA LÄN</t>
        </is>
      </c>
      <c r="E1175" t="inlineStr">
        <is>
          <t>UPPSALA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45578-2023</t>
        </is>
      </c>
      <c r="B1176" s="1" t="n">
        <v>45194</v>
      </c>
      <c r="C1176" s="1" t="n">
        <v>45507</v>
      </c>
      <c r="D1176" t="inlineStr">
        <is>
          <t>UPPSALA LÄN</t>
        </is>
      </c>
      <c r="E1176" t="inlineStr">
        <is>
          <t>UPPSALA</t>
        </is>
      </c>
      <c r="F1176" t="inlineStr">
        <is>
          <t>Bergvik skog öst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45592-2023</t>
        </is>
      </c>
      <c r="B1177" s="1" t="n">
        <v>45194</v>
      </c>
      <c r="C1177" s="1" t="n">
        <v>45507</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45662-2023</t>
        </is>
      </c>
      <c r="B1178" s="1" t="n">
        <v>45194</v>
      </c>
      <c r="C1178" s="1" t="n">
        <v>45507</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45661-2023</t>
        </is>
      </c>
      <c r="B1179" s="1" t="n">
        <v>45194</v>
      </c>
      <c r="C1179" s="1" t="n">
        <v>45507</v>
      </c>
      <c r="D1179" t="inlineStr">
        <is>
          <t>UPPSALA LÄN</t>
        </is>
      </c>
      <c r="E1179" t="inlineStr">
        <is>
          <t>UPPSALA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45892-2023</t>
        </is>
      </c>
      <c r="B1180" s="1" t="n">
        <v>45195</v>
      </c>
      <c r="C1180" s="1" t="n">
        <v>45507</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45885-2023</t>
        </is>
      </c>
      <c r="B1181" s="1" t="n">
        <v>45195</v>
      </c>
      <c r="C1181" s="1" t="n">
        <v>45507</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46335-2023</t>
        </is>
      </c>
      <c r="B1182" s="1" t="n">
        <v>45197</v>
      </c>
      <c r="C1182" s="1" t="n">
        <v>45507</v>
      </c>
      <c r="D1182" t="inlineStr">
        <is>
          <t>UPPSALA LÄN</t>
        </is>
      </c>
      <c r="E1182" t="inlineStr">
        <is>
          <t>UPPSALA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46869-2023</t>
        </is>
      </c>
      <c r="B1183" s="1" t="n">
        <v>45200</v>
      </c>
      <c r="C1183" s="1" t="n">
        <v>45507</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46995-2023</t>
        </is>
      </c>
      <c r="B1184" s="1" t="n">
        <v>45201</v>
      </c>
      <c r="C1184" s="1" t="n">
        <v>45507</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47083-2023</t>
        </is>
      </c>
      <c r="B1185" s="1" t="n">
        <v>45201</v>
      </c>
      <c r="C1185" s="1" t="n">
        <v>45507</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47221-2023</t>
        </is>
      </c>
      <c r="B1186" s="1" t="n">
        <v>45202</v>
      </c>
      <c r="C1186" s="1" t="n">
        <v>45507</v>
      </c>
      <c r="D1186" t="inlineStr">
        <is>
          <t>UPPSALA LÄN</t>
        </is>
      </c>
      <c r="E1186" t="inlineStr">
        <is>
          <t>UPPSALA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47314-2023</t>
        </is>
      </c>
      <c r="B1187" s="1" t="n">
        <v>45202</v>
      </c>
      <c r="C1187" s="1" t="n">
        <v>45507</v>
      </c>
      <c r="D1187" t="inlineStr">
        <is>
          <t>UPPSALA LÄN</t>
        </is>
      </c>
      <c r="E1187" t="inlineStr">
        <is>
          <t>UPPSALA</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47287-2023</t>
        </is>
      </c>
      <c r="B1188" s="1" t="n">
        <v>45202</v>
      </c>
      <c r="C1188" s="1" t="n">
        <v>45507</v>
      </c>
      <c r="D1188" t="inlineStr">
        <is>
          <t>UPPSALA LÄN</t>
        </is>
      </c>
      <c r="E1188" t="inlineStr">
        <is>
          <t>UPPSALA</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47316-2023</t>
        </is>
      </c>
      <c r="B1189" s="1" t="n">
        <v>45202</v>
      </c>
      <c r="C1189" s="1" t="n">
        <v>45507</v>
      </c>
      <c r="D1189" t="inlineStr">
        <is>
          <t>UPPSALA LÄN</t>
        </is>
      </c>
      <c r="E1189" t="inlineStr">
        <is>
          <t>UPPSALA</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47618-2023</t>
        </is>
      </c>
      <c r="B1190" s="1" t="n">
        <v>45203</v>
      </c>
      <c r="C1190" s="1" t="n">
        <v>45507</v>
      </c>
      <c r="D1190" t="inlineStr">
        <is>
          <t>UPPSALA LÄN</t>
        </is>
      </c>
      <c r="E1190" t="inlineStr">
        <is>
          <t>UPPSALA</t>
        </is>
      </c>
      <c r="F1190" t="inlineStr">
        <is>
          <t>Bergvik skog öst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48562-2023</t>
        </is>
      </c>
      <c r="B1191" s="1" t="n">
        <v>45208</v>
      </c>
      <c r="C1191" s="1" t="n">
        <v>45507</v>
      </c>
      <c r="D1191" t="inlineStr">
        <is>
          <t>UPPSALA LÄN</t>
        </is>
      </c>
      <c r="E1191" t="inlineStr">
        <is>
          <t>UPPSALA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48564-2023</t>
        </is>
      </c>
      <c r="B1192" s="1" t="n">
        <v>45208</v>
      </c>
      <c r="C1192" s="1" t="n">
        <v>45507</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48571-2023</t>
        </is>
      </c>
      <c r="B1193" s="1" t="n">
        <v>45208</v>
      </c>
      <c r="C1193" s="1" t="n">
        <v>45507</v>
      </c>
      <c r="D1193" t="inlineStr">
        <is>
          <t>UPPSALA LÄN</t>
        </is>
      </c>
      <c r="E1193" t="inlineStr">
        <is>
          <t>UPPSALA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48584-2023</t>
        </is>
      </c>
      <c r="B1194" s="1" t="n">
        <v>45208</v>
      </c>
      <c r="C1194" s="1" t="n">
        <v>45507</v>
      </c>
      <c r="D1194" t="inlineStr">
        <is>
          <t>UPPSALA LÄN</t>
        </is>
      </c>
      <c r="E1194" t="inlineStr">
        <is>
          <t>UPPSALA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49189-2023</t>
        </is>
      </c>
      <c r="B1195" s="1" t="n">
        <v>45210</v>
      </c>
      <c r="C1195" s="1" t="n">
        <v>45507</v>
      </c>
      <c r="D1195" t="inlineStr">
        <is>
          <t>UPPSALA LÄN</t>
        </is>
      </c>
      <c r="E1195" t="inlineStr">
        <is>
          <t>UPPSALA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49201-2023</t>
        </is>
      </c>
      <c r="B1196" s="1" t="n">
        <v>45210</v>
      </c>
      <c r="C1196" s="1" t="n">
        <v>45507</v>
      </c>
      <c r="D1196" t="inlineStr">
        <is>
          <t>UPPSALA LÄN</t>
        </is>
      </c>
      <c r="E1196" t="inlineStr">
        <is>
          <t>UPPSALA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49682-2023</t>
        </is>
      </c>
      <c r="B1197" s="1" t="n">
        <v>45212</v>
      </c>
      <c r="C1197" s="1" t="n">
        <v>45507</v>
      </c>
      <c r="D1197" t="inlineStr">
        <is>
          <t>UPPSALA LÄN</t>
        </is>
      </c>
      <c r="E1197" t="inlineStr">
        <is>
          <t>UPPSALA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49996-2023</t>
        </is>
      </c>
      <c r="B1198" s="1" t="n">
        <v>45215</v>
      </c>
      <c r="C1198" s="1" t="n">
        <v>45507</v>
      </c>
      <c r="D1198" t="inlineStr">
        <is>
          <t>UPPSALA LÄN</t>
        </is>
      </c>
      <c r="E1198" t="inlineStr">
        <is>
          <t>UPPSALA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49990-2023</t>
        </is>
      </c>
      <c r="B1199" s="1" t="n">
        <v>45215</v>
      </c>
      <c r="C1199" s="1" t="n">
        <v>45507</v>
      </c>
      <c r="D1199" t="inlineStr">
        <is>
          <t>UPPSALA LÄN</t>
        </is>
      </c>
      <c r="E1199" t="inlineStr">
        <is>
          <t>UPPSALA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50118-2023</t>
        </is>
      </c>
      <c r="B1200" s="1" t="n">
        <v>45215</v>
      </c>
      <c r="C1200" s="1" t="n">
        <v>45507</v>
      </c>
      <c r="D1200" t="inlineStr">
        <is>
          <t>UPPSALA LÄN</t>
        </is>
      </c>
      <c r="E1200" t="inlineStr">
        <is>
          <t>UPPSALA</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51843-2023</t>
        </is>
      </c>
      <c r="B1201" s="1" t="n">
        <v>45215</v>
      </c>
      <c r="C1201" s="1" t="n">
        <v>45507</v>
      </c>
      <c r="D1201" t="inlineStr">
        <is>
          <t>UPPSALA LÄN</t>
        </is>
      </c>
      <c r="E1201" t="inlineStr">
        <is>
          <t>UPPSALA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50267-2023</t>
        </is>
      </c>
      <c r="B1202" s="1" t="n">
        <v>45216</v>
      </c>
      <c r="C1202" s="1" t="n">
        <v>45507</v>
      </c>
      <c r="D1202" t="inlineStr">
        <is>
          <t>UPPSALA LÄN</t>
        </is>
      </c>
      <c r="E1202" t="inlineStr">
        <is>
          <t>UPPSALA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50473-2023</t>
        </is>
      </c>
      <c r="B1203" s="1" t="n">
        <v>45216</v>
      </c>
      <c r="C1203" s="1" t="n">
        <v>45507</v>
      </c>
      <c r="D1203" t="inlineStr">
        <is>
          <t>UPPSALA LÄN</t>
        </is>
      </c>
      <c r="E1203" t="inlineStr">
        <is>
          <t>UPPSALA</t>
        </is>
      </c>
      <c r="F1203" t="inlineStr">
        <is>
          <t>Allmännings- och besparingsskogar</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50395-2023</t>
        </is>
      </c>
      <c r="B1204" s="1" t="n">
        <v>45216</v>
      </c>
      <c r="C1204" s="1" t="n">
        <v>45507</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51016-2023</t>
        </is>
      </c>
      <c r="B1205" s="1" t="n">
        <v>45218</v>
      </c>
      <c r="C1205" s="1" t="n">
        <v>45507</v>
      </c>
      <c r="D1205" t="inlineStr">
        <is>
          <t>UPPSALA LÄN</t>
        </is>
      </c>
      <c r="E1205" t="inlineStr">
        <is>
          <t>UPPSALA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51006-2023</t>
        </is>
      </c>
      <c r="B1206" s="1" t="n">
        <v>45218</v>
      </c>
      <c r="C1206" s="1" t="n">
        <v>45507</v>
      </c>
      <c r="D1206" t="inlineStr">
        <is>
          <t>UPPSALA LÄN</t>
        </is>
      </c>
      <c r="E1206" t="inlineStr">
        <is>
          <t>UPPSALA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51542-2023</t>
        </is>
      </c>
      <c r="B1207" s="1" t="n">
        <v>45222</v>
      </c>
      <c r="C1207" s="1" t="n">
        <v>45507</v>
      </c>
      <c r="D1207" t="inlineStr">
        <is>
          <t>UPPSALA LÄN</t>
        </is>
      </c>
      <c r="E1207" t="inlineStr">
        <is>
          <t>UPPSALA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51734-2023</t>
        </is>
      </c>
      <c r="B1208" s="1" t="n">
        <v>45222</v>
      </c>
      <c r="C1208" s="1" t="n">
        <v>45507</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51731-2023</t>
        </is>
      </c>
      <c r="B1209" s="1" t="n">
        <v>45222</v>
      </c>
      <c r="C1209" s="1" t="n">
        <v>45507</v>
      </c>
      <c r="D1209" t="inlineStr">
        <is>
          <t>UPPSALA LÄN</t>
        </is>
      </c>
      <c r="E1209" t="inlineStr">
        <is>
          <t>UPPSALA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51576-2023</t>
        </is>
      </c>
      <c r="B1210" s="1" t="n">
        <v>45222</v>
      </c>
      <c r="C1210" s="1" t="n">
        <v>45507</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51697-2023</t>
        </is>
      </c>
      <c r="B1211" s="1" t="n">
        <v>45222</v>
      </c>
      <c r="C1211" s="1" t="n">
        <v>45507</v>
      </c>
      <c r="D1211" t="inlineStr">
        <is>
          <t>UPPSALA LÄN</t>
        </is>
      </c>
      <c r="E1211" t="inlineStr">
        <is>
          <t>UPPSALA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51935-2023</t>
        </is>
      </c>
      <c r="B1212" s="1" t="n">
        <v>45223</v>
      </c>
      <c r="C1212" s="1" t="n">
        <v>45507</v>
      </c>
      <c r="D1212" t="inlineStr">
        <is>
          <t>UPPSALA LÄN</t>
        </is>
      </c>
      <c r="E1212" t="inlineStr">
        <is>
          <t>UPPSALA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52273-2023</t>
        </is>
      </c>
      <c r="B1213" s="1" t="n">
        <v>45224</v>
      </c>
      <c r="C1213" s="1" t="n">
        <v>45507</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52492-2023</t>
        </is>
      </c>
      <c r="B1214" s="1" t="n">
        <v>45225</v>
      </c>
      <c r="C1214" s="1" t="n">
        <v>45507</v>
      </c>
      <c r="D1214" t="inlineStr">
        <is>
          <t>UPPSALA LÄN</t>
        </is>
      </c>
      <c r="E1214" t="inlineStr">
        <is>
          <t>UPPSALA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52503-2023</t>
        </is>
      </c>
      <c r="B1215" s="1" t="n">
        <v>45225</v>
      </c>
      <c r="C1215" s="1" t="n">
        <v>45507</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52518-2023</t>
        </is>
      </c>
      <c r="B1216" s="1" t="n">
        <v>45225</v>
      </c>
      <c r="C1216" s="1" t="n">
        <v>45507</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53893-2023</t>
        </is>
      </c>
      <c r="B1217" s="1" t="n">
        <v>45231</v>
      </c>
      <c r="C1217" s="1" t="n">
        <v>45507</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53919-2023</t>
        </is>
      </c>
      <c r="B1218" s="1" t="n">
        <v>45231</v>
      </c>
      <c r="C1218" s="1" t="n">
        <v>45507</v>
      </c>
      <c r="D1218" t="inlineStr">
        <is>
          <t>UPPSALA LÄN</t>
        </is>
      </c>
      <c r="E1218" t="inlineStr">
        <is>
          <t>UPPSALA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53982-2023</t>
        </is>
      </c>
      <c r="B1219" s="1" t="n">
        <v>45231</v>
      </c>
      <c r="C1219" s="1" t="n">
        <v>45507</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53882-2023</t>
        </is>
      </c>
      <c r="B1220" s="1" t="n">
        <v>45231</v>
      </c>
      <c r="C1220" s="1" t="n">
        <v>45507</v>
      </c>
      <c r="D1220" t="inlineStr">
        <is>
          <t>UPPSALA LÄN</t>
        </is>
      </c>
      <c r="E1220" t="inlineStr">
        <is>
          <t>UPPSALA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53900-2023</t>
        </is>
      </c>
      <c r="B1221" s="1" t="n">
        <v>45231</v>
      </c>
      <c r="C1221" s="1" t="n">
        <v>45507</v>
      </c>
      <c r="D1221" t="inlineStr">
        <is>
          <t>UPPSALA LÄN</t>
        </is>
      </c>
      <c r="E1221" t="inlineStr">
        <is>
          <t>UPPSALA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53963-2023</t>
        </is>
      </c>
      <c r="B1222" s="1" t="n">
        <v>45231</v>
      </c>
      <c r="C1222" s="1" t="n">
        <v>45507</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53967-2023</t>
        </is>
      </c>
      <c r="B1223" s="1" t="n">
        <v>45231</v>
      </c>
      <c r="C1223" s="1" t="n">
        <v>45507</v>
      </c>
      <c r="D1223" t="inlineStr">
        <is>
          <t>UPPSALA LÄN</t>
        </is>
      </c>
      <c r="E1223" t="inlineStr">
        <is>
          <t>UPPSALA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53803-2023</t>
        </is>
      </c>
      <c r="B1224" s="1" t="n">
        <v>45231</v>
      </c>
      <c r="C1224" s="1" t="n">
        <v>45507</v>
      </c>
      <c r="D1224" t="inlineStr">
        <is>
          <t>UPPSALA LÄN</t>
        </is>
      </c>
      <c r="E1224" t="inlineStr">
        <is>
          <t>UPPSALA</t>
        </is>
      </c>
      <c r="G1224" t="n">
        <v>17.6</v>
      </c>
      <c r="H1224" t="n">
        <v>0</v>
      </c>
      <c r="I1224" t="n">
        <v>0</v>
      </c>
      <c r="J1224" t="n">
        <v>0</v>
      </c>
      <c r="K1224" t="n">
        <v>0</v>
      </c>
      <c r="L1224" t="n">
        <v>0</v>
      </c>
      <c r="M1224" t="n">
        <v>0</v>
      </c>
      <c r="N1224" t="n">
        <v>0</v>
      </c>
      <c r="O1224" t="n">
        <v>0</v>
      </c>
      <c r="P1224" t="n">
        <v>0</v>
      </c>
      <c r="Q1224" t="n">
        <v>0</v>
      </c>
      <c r="R1224" s="2" t="inlineStr"/>
    </row>
    <row r="1225" ht="15" customHeight="1">
      <c r="A1225" t="inlineStr">
        <is>
          <t>A 53906-2023</t>
        </is>
      </c>
      <c r="B1225" s="1" t="n">
        <v>45231</v>
      </c>
      <c r="C1225" s="1" t="n">
        <v>45507</v>
      </c>
      <c r="D1225" t="inlineStr">
        <is>
          <t>UPPSALA LÄN</t>
        </is>
      </c>
      <c r="E1225" t="inlineStr">
        <is>
          <t>UPPSALA</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54231-2023</t>
        </is>
      </c>
      <c r="B1226" s="1" t="n">
        <v>45232</v>
      </c>
      <c r="C1226" s="1" t="n">
        <v>45507</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55529-2023</t>
        </is>
      </c>
      <c r="B1227" s="1" t="n">
        <v>45232</v>
      </c>
      <c r="C1227" s="1" t="n">
        <v>45507</v>
      </c>
      <c r="D1227" t="inlineStr">
        <is>
          <t>UPPSALA LÄN</t>
        </is>
      </c>
      <c r="E1227" t="inlineStr">
        <is>
          <t>UPPSALA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54375-2023</t>
        </is>
      </c>
      <c r="B1228" s="1" t="n">
        <v>45233</v>
      </c>
      <c r="C1228" s="1" t="n">
        <v>45507</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54474-2023</t>
        </is>
      </c>
      <c r="B1229" s="1" t="n">
        <v>45233</v>
      </c>
      <c r="C1229" s="1" t="n">
        <v>45507</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54461-2023</t>
        </is>
      </c>
      <c r="B1230" s="1" t="n">
        <v>45233</v>
      </c>
      <c r="C1230" s="1" t="n">
        <v>45507</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54808-2023</t>
        </is>
      </c>
      <c r="B1231" s="1" t="n">
        <v>45236</v>
      </c>
      <c r="C1231" s="1" t="n">
        <v>45507</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54704-2023</t>
        </is>
      </c>
      <c r="B1232" s="1" t="n">
        <v>45236</v>
      </c>
      <c r="C1232" s="1" t="n">
        <v>45507</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54783-2023</t>
        </is>
      </c>
      <c r="B1233" s="1" t="n">
        <v>45236</v>
      </c>
      <c r="C1233" s="1" t="n">
        <v>45507</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55598-2023</t>
        </is>
      </c>
      <c r="B1234" s="1" t="n">
        <v>45238</v>
      </c>
      <c r="C1234" s="1" t="n">
        <v>45507</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56084-2023</t>
        </is>
      </c>
      <c r="B1235" s="1" t="n">
        <v>45240</v>
      </c>
      <c r="C1235" s="1" t="n">
        <v>45507</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56082-2023</t>
        </is>
      </c>
      <c r="B1236" s="1" t="n">
        <v>45240</v>
      </c>
      <c r="C1236" s="1" t="n">
        <v>45507</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56105-2023</t>
        </is>
      </c>
      <c r="B1237" s="1" t="n">
        <v>45240</v>
      </c>
      <c r="C1237" s="1" t="n">
        <v>45507</v>
      </c>
      <c r="D1237" t="inlineStr">
        <is>
          <t>UPPSALA LÄN</t>
        </is>
      </c>
      <c r="E1237" t="inlineStr">
        <is>
          <t>UPPSALA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56077-2023</t>
        </is>
      </c>
      <c r="B1238" s="1" t="n">
        <v>45240</v>
      </c>
      <c r="C1238" s="1" t="n">
        <v>45507</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56278-2023</t>
        </is>
      </c>
      <c r="B1239" s="1" t="n">
        <v>45241</v>
      </c>
      <c r="C1239" s="1" t="n">
        <v>45507</v>
      </c>
      <c r="D1239" t="inlineStr">
        <is>
          <t>UPPSALA LÄN</t>
        </is>
      </c>
      <c r="E1239" t="inlineStr">
        <is>
          <t>UPPSALA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56642-2023</t>
        </is>
      </c>
      <c r="B1240" s="1" t="n">
        <v>45243</v>
      </c>
      <c r="C1240" s="1" t="n">
        <v>45507</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56852-2023</t>
        </is>
      </c>
      <c r="B1241" s="1" t="n">
        <v>45244</v>
      </c>
      <c r="C1241" s="1" t="n">
        <v>45507</v>
      </c>
      <c r="D1241" t="inlineStr">
        <is>
          <t>UPPSALA LÄN</t>
        </is>
      </c>
      <c r="E1241" t="inlineStr">
        <is>
          <t>UPPSALA</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56872-2023</t>
        </is>
      </c>
      <c r="B1242" s="1" t="n">
        <v>45244</v>
      </c>
      <c r="C1242" s="1" t="n">
        <v>45507</v>
      </c>
      <c r="D1242" t="inlineStr">
        <is>
          <t>UPPSALA LÄN</t>
        </is>
      </c>
      <c r="E1242" t="inlineStr">
        <is>
          <t>UPPSALA</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57186-2023</t>
        </is>
      </c>
      <c r="B1243" s="1" t="n">
        <v>45245</v>
      </c>
      <c r="C1243" s="1" t="n">
        <v>45507</v>
      </c>
      <c r="D1243" t="inlineStr">
        <is>
          <t>UPPSALA LÄN</t>
        </is>
      </c>
      <c r="E1243" t="inlineStr">
        <is>
          <t>UPPSALA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57182-2023</t>
        </is>
      </c>
      <c r="B1244" s="1" t="n">
        <v>45245</v>
      </c>
      <c r="C1244" s="1" t="n">
        <v>45507</v>
      </c>
      <c r="D1244" t="inlineStr">
        <is>
          <t>UPPSALA LÄN</t>
        </is>
      </c>
      <c r="E1244" t="inlineStr">
        <is>
          <t>UPPSALA</t>
        </is>
      </c>
      <c r="F1244" t="inlineStr">
        <is>
          <t>Övriga Aktiebolag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59240-2023</t>
        </is>
      </c>
      <c r="B1245" s="1" t="n">
        <v>45253</v>
      </c>
      <c r="C1245" s="1" t="n">
        <v>45507</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59511-2023</t>
        </is>
      </c>
      <c r="B1246" s="1" t="n">
        <v>45254</v>
      </c>
      <c r="C1246" s="1" t="n">
        <v>45507</v>
      </c>
      <c r="D1246" t="inlineStr">
        <is>
          <t>UPPSALA LÄN</t>
        </is>
      </c>
      <c r="E1246" t="inlineStr">
        <is>
          <t>UPPSALA</t>
        </is>
      </c>
      <c r="G1246" t="n">
        <v>14.6</v>
      </c>
      <c r="H1246" t="n">
        <v>0</v>
      </c>
      <c r="I1246" t="n">
        <v>0</v>
      </c>
      <c r="J1246" t="n">
        <v>0</v>
      </c>
      <c r="K1246" t="n">
        <v>0</v>
      </c>
      <c r="L1246" t="n">
        <v>0</v>
      </c>
      <c r="M1246" t="n">
        <v>0</v>
      </c>
      <c r="N1246" t="n">
        <v>0</v>
      </c>
      <c r="O1246" t="n">
        <v>0</v>
      </c>
      <c r="P1246" t="n">
        <v>0</v>
      </c>
      <c r="Q1246" t="n">
        <v>0</v>
      </c>
      <c r="R1246" s="2" t="inlineStr"/>
    </row>
    <row r="1247" ht="15" customHeight="1">
      <c r="A1247" t="inlineStr">
        <is>
          <t>A 59521-2023</t>
        </is>
      </c>
      <c r="B1247" s="1" t="n">
        <v>45254</v>
      </c>
      <c r="C1247" s="1" t="n">
        <v>45507</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59564-2023</t>
        </is>
      </c>
      <c r="B1248" s="1" t="n">
        <v>45254</v>
      </c>
      <c r="C1248" s="1" t="n">
        <v>45507</v>
      </c>
      <c r="D1248" t="inlineStr">
        <is>
          <t>UPPSALA LÄN</t>
        </is>
      </c>
      <c r="E1248" t="inlineStr">
        <is>
          <t>UPPSALA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59570-2023</t>
        </is>
      </c>
      <c r="B1249" s="1" t="n">
        <v>45254</v>
      </c>
      <c r="C1249" s="1" t="n">
        <v>45507</v>
      </c>
      <c r="D1249" t="inlineStr">
        <is>
          <t>UPPSALA LÄN</t>
        </is>
      </c>
      <c r="E1249" t="inlineStr">
        <is>
          <t>UPPSALA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59585-2023</t>
        </is>
      </c>
      <c r="B1250" s="1" t="n">
        <v>45254</v>
      </c>
      <c r="C1250" s="1" t="n">
        <v>45507</v>
      </c>
      <c r="D1250" t="inlineStr">
        <is>
          <t>UPPSALA LÄN</t>
        </is>
      </c>
      <c r="E1250" t="inlineStr">
        <is>
          <t>UPPSALA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59489-2023</t>
        </is>
      </c>
      <c r="B1251" s="1" t="n">
        <v>45254</v>
      </c>
      <c r="C1251" s="1" t="n">
        <v>45507</v>
      </c>
      <c r="D1251" t="inlineStr">
        <is>
          <t>UPPSALA LÄN</t>
        </is>
      </c>
      <c r="E1251" t="inlineStr">
        <is>
          <t>UPPSALA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59856-2023</t>
        </is>
      </c>
      <c r="B1252" s="1" t="n">
        <v>45257</v>
      </c>
      <c r="C1252" s="1" t="n">
        <v>45507</v>
      </c>
      <c r="D1252" t="inlineStr">
        <is>
          <t>UPPSALA LÄN</t>
        </is>
      </c>
      <c r="E1252" t="inlineStr">
        <is>
          <t>UPPSALA</t>
        </is>
      </c>
      <c r="F1252" t="inlineStr">
        <is>
          <t>Allmännings- och besparingsskogar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59810-2023</t>
        </is>
      </c>
      <c r="B1253" s="1" t="n">
        <v>45257</v>
      </c>
      <c r="C1253" s="1" t="n">
        <v>45507</v>
      </c>
      <c r="D1253" t="inlineStr">
        <is>
          <t>UPPSALA LÄN</t>
        </is>
      </c>
      <c r="E1253" t="inlineStr">
        <is>
          <t>UPPSALA</t>
        </is>
      </c>
      <c r="F1253" t="inlineStr">
        <is>
          <t>Allmännings- och besparingsskogar</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60444-2023</t>
        </is>
      </c>
      <c r="B1254" s="1" t="n">
        <v>45259</v>
      </c>
      <c r="C1254" s="1" t="n">
        <v>45507</v>
      </c>
      <c r="D1254" t="inlineStr">
        <is>
          <t>UPPSALA LÄN</t>
        </is>
      </c>
      <c r="E1254" t="inlineStr">
        <is>
          <t>UPPSALA</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60447-2023</t>
        </is>
      </c>
      <c r="B1255" s="1" t="n">
        <v>45259</v>
      </c>
      <c r="C1255" s="1" t="n">
        <v>45507</v>
      </c>
      <c r="D1255" t="inlineStr">
        <is>
          <t>UPPSALA LÄN</t>
        </is>
      </c>
      <c r="E1255" t="inlineStr">
        <is>
          <t>UPPSALA</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60714-2023</t>
        </is>
      </c>
      <c r="B1256" s="1" t="n">
        <v>45259</v>
      </c>
      <c r="C1256" s="1" t="n">
        <v>45507</v>
      </c>
      <c r="D1256" t="inlineStr">
        <is>
          <t>UPPSALA LÄN</t>
        </is>
      </c>
      <c r="E1256" t="inlineStr">
        <is>
          <t>UPPSALA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60814-2023</t>
        </is>
      </c>
      <c r="B1257" s="1" t="n">
        <v>45259</v>
      </c>
      <c r="C1257" s="1" t="n">
        <v>45507</v>
      </c>
      <c r="D1257" t="inlineStr">
        <is>
          <t>UPPSALA LÄN</t>
        </is>
      </c>
      <c r="E1257" t="inlineStr">
        <is>
          <t>UPPSALA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60781-2023</t>
        </is>
      </c>
      <c r="B1258" s="1" t="n">
        <v>45259</v>
      </c>
      <c r="C1258" s="1" t="n">
        <v>45507</v>
      </c>
      <c r="D1258" t="inlineStr">
        <is>
          <t>UPPSALA LÄN</t>
        </is>
      </c>
      <c r="E1258" t="inlineStr">
        <is>
          <t>UPPSALA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61067-2023</t>
        </is>
      </c>
      <c r="B1259" s="1" t="n">
        <v>45259</v>
      </c>
      <c r="C1259" s="1" t="n">
        <v>45507</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61066-2023</t>
        </is>
      </c>
      <c r="B1260" s="1" t="n">
        <v>45259</v>
      </c>
      <c r="C1260" s="1" t="n">
        <v>45507</v>
      </c>
      <c r="D1260" t="inlineStr">
        <is>
          <t>UPPSALA LÄN</t>
        </is>
      </c>
      <c r="E1260" t="inlineStr">
        <is>
          <t>UPPSALA</t>
        </is>
      </c>
      <c r="F1260" t="inlineStr">
        <is>
          <t>Övriga Aktiebolag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60707-2023</t>
        </is>
      </c>
      <c r="B1261" s="1" t="n">
        <v>45260</v>
      </c>
      <c r="C1261" s="1" t="n">
        <v>45507</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61947-2023</t>
        </is>
      </c>
      <c r="B1262" s="1" t="n">
        <v>45266</v>
      </c>
      <c r="C1262" s="1" t="n">
        <v>45507</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62287-2023</t>
        </is>
      </c>
      <c r="B1263" s="1" t="n">
        <v>45267</v>
      </c>
      <c r="C1263" s="1" t="n">
        <v>45507</v>
      </c>
      <c r="D1263" t="inlineStr">
        <is>
          <t>UPPSALA LÄN</t>
        </is>
      </c>
      <c r="E1263" t="inlineStr">
        <is>
          <t>UPPSALA</t>
        </is>
      </c>
      <c r="F1263" t="inlineStr">
        <is>
          <t>Allmännings- och besparingsskogar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62627-2023</t>
        </is>
      </c>
      <c r="B1264" s="1" t="n">
        <v>45268</v>
      </c>
      <c r="C1264" s="1" t="n">
        <v>45507</v>
      </c>
      <c r="D1264" t="inlineStr">
        <is>
          <t>UPPSALA LÄN</t>
        </is>
      </c>
      <c r="E1264" t="inlineStr">
        <is>
          <t>UPPSALA</t>
        </is>
      </c>
      <c r="G1264" t="n">
        <v>7.6</v>
      </c>
      <c r="H1264" t="n">
        <v>0</v>
      </c>
      <c r="I1264" t="n">
        <v>0</v>
      </c>
      <c r="J1264" t="n">
        <v>0</v>
      </c>
      <c r="K1264" t="n">
        <v>0</v>
      </c>
      <c r="L1264" t="n">
        <v>0</v>
      </c>
      <c r="M1264" t="n">
        <v>0</v>
      </c>
      <c r="N1264" t="n">
        <v>0</v>
      </c>
      <c r="O1264" t="n">
        <v>0</v>
      </c>
      <c r="P1264" t="n">
        <v>0</v>
      </c>
      <c r="Q1264" t="n">
        <v>0</v>
      </c>
      <c r="R1264" s="2" t="inlineStr"/>
      <c r="U1264">
        <f>HYPERLINK("https://klasma.github.io/Logging_0380/knärot/A 62627-2023 karta knärot.png", "A 62627-2023")</f>
        <v/>
      </c>
      <c r="V1264">
        <f>HYPERLINK("https://klasma.github.io/Logging_0380/klagomål/A 62627-2023 FSC-klagomål.docx", "A 62627-2023")</f>
        <v/>
      </c>
      <c r="W1264">
        <f>HYPERLINK("https://klasma.github.io/Logging_0380/klagomålsmail/A 62627-2023 FSC-klagomål mail.docx", "A 62627-2023")</f>
        <v/>
      </c>
      <c r="X1264">
        <f>HYPERLINK("https://klasma.github.io/Logging_0380/tillsyn/A 62627-2023 tillsynsbegäran.docx", "A 62627-2023")</f>
        <v/>
      </c>
      <c r="Y1264">
        <f>HYPERLINK("https://klasma.github.io/Logging_0380/tillsynsmail/A 62627-2023 tillsynsbegäran mail.docx", "A 62627-2023")</f>
        <v/>
      </c>
    </row>
    <row r="1265" ht="15" customHeight="1">
      <c r="A1265" t="inlineStr">
        <is>
          <t>A 62636-2023</t>
        </is>
      </c>
      <c r="B1265" s="1" t="n">
        <v>45268</v>
      </c>
      <c r="C1265" s="1" t="n">
        <v>45507</v>
      </c>
      <c r="D1265" t="inlineStr">
        <is>
          <t>UPPSALA LÄN</t>
        </is>
      </c>
      <c r="E1265" t="inlineStr">
        <is>
          <t>UPPSALA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62691-2023</t>
        </is>
      </c>
      <c r="B1266" s="1" t="n">
        <v>45268</v>
      </c>
      <c r="C1266" s="1" t="n">
        <v>45507</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62694-2023</t>
        </is>
      </c>
      <c r="B1267" s="1" t="n">
        <v>45268</v>
      </c>
      <c r="C1267" s="1" t="n">
        <v>45507</v>
      </c>
      <c r="D1267" t="inlineStr">
        <is>
          <t>UPPSALA LÄN</t>
        </is>
      </c>
      <c r="E1267" t="inlineStr">
        <is>
          <t>UPPSALA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62714-2023</t>
        </is>
      </c>
      <c r="B1268" s="1" t="n">
        <v>45271</v>
      </c>
      <c r="C1268" s="1" t="n">
        <v>45507</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63163-2023</t>
        </is>
      </c>
      <c r="B1269" s="1" t="n">
        <v>45273</v>
      </c>
      <c r="C1269" s="1" t="n">
        <v>45507</v>
      </c>
      <c r="D1269" t="inlineStr">
        <is>
          <t>UPPSALA LÄN</t>
        </is>
      </c>
      <c r="E1269" t="inlineStr">
        <is>
          <t>UPPSALA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63578-2023</t>
        </is>
      </c>
      <c r="B1270" s="1" t="n">
        <v>45275</v>
      </c>
      <c r="C1270" s="1" t="n">
        <v>45507</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63579-2023</t>
        </is>
      </c>
      <c r="B1271" s="1" t="n">
        <v>45275</v>
      </c>
      <c r="C1271" s="1" t="n">
        <v>45507</v>
      </c>
      <c r="D1271" t="inlineStr">
        <is>
          <t>UPPSALA LÄN</t>
        </is>
      </c>
      <c r="E1271" t="inlineStr">
        <is>
          <t>UPPSALA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63576-2023</t>
        </is>
      </c>
      <c r="B1272" s="1" t="n">
        <v>45275</v>
      </c>
      <c r="C1272" s="1" t="n">
        <v>45507</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63588-2023</t>
        </is>
      </c>
      <c r="B1273" s="1" t="n">
        <v>45275</v>
      </c>
      <c r="C1273" s="1" t="n">
        <v>45507</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63698-2023</t>
        </is>
      </c>
      <c r="B1274" s="1" t="n">
        <v>45275</v>
      </c>
      <c r="C1274" s="1" t="n">
        <v>45507</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64079-2023</t>
        </is>
      </c>
      <c r="B1275" s="1" t="n">
        <v>45279</v>
      </c>
      <c r="C1275" s="1" t="n">
        <v>45507</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64806-2023</t>
        </is>
      </c>
      <c r="B1276" s="1" t="n">
        <v>45282</v>
      </c>
      <c r="C1276" s="1" t="n">
        <v>45507</v>
      </c>
      <c r="D1276" t="inlineStr">
        <is>
          <t>UPPSALA LÄN</t>
        </is>
      </c>
      <c r="E1276" t="inlineStr">
        <is>
          <t>UPPSALA</t>
        </is>
      </c>
      <c r="F1276" t="inlineStr">
        <is>
          <t>Kyrkan</t>
        </is>
      </c>
      <c r="G1276" t="n">
        <v>19.3</v>
      </c>
      <c r="H1276" t="n">
        <v>0</v>
      </c>
      <c r="I1276" t="n">
        <v>0</v>
      </c>
      <c r="J1276" t="n">
        <v>0</v>
      </c>
      <c r="K1276" t="n">
        <v>0</v>
      </c>
      <c r="L1276" t="n">
        <v>0</v>
      </c>
      <c r="M1276" t="n">
        <v>0</v>
      </c>
      <c r="N1276" t="n">
        <v>0</v>
      </c>
      <c r="O1276" t="n">
        <v>0</v>
      </c>
      <c r="P1276" t="n">
        <v>0</v>
      </c>
      <c r="Q1276" t="n">
        <v>0</v>
      </c>
      <c r="R1276" s="2" t="inlineStr"/>
    </row>
    <row r="1277" ht="15" customHeight="1">
      <c r="A1277" t="inlineStr">
        <is>
          <t>A 64880-2023</t>
        </is>
      </c>
      <c r="B1277" s="1" t="n">
        <v>45282</v>
      </c>
      <c r="C1277" s="1" t="n">
        <v>45507</v>
      </c>
      <c r="D1277" t="inlineStr">
        <is>
          <t>UPPSALA LÄN</t>
        </is>
      </c>
      <c r="E1277" t="inlineStr">
        <is>
          <t>UPPSALA</t>
        </is>
      </c>
      <c r="F1277" t="inlineStr">
        <is>
          <t>Kommuner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65149-2023</t>
        </is>
      </c>
      <c r="B1278" s="1" t="n">
        <v>45288</v>
      </c>
      <c r="C1278" s="1" t="n">
        <v>45507</v>
      </c>
      <c r="D1278" t="inlineStr">
        <is>
          <t>UPPSALA LÄN</t>
        </is>
      </c>
      <c r="E1278" t="inlineStr">
        <is>
          <t>UPPSALA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45-2024</t>
        </is>
      </c>
      <c r="B1279" s="1" t="n">
        <v>45293</v>
      </c>
      <c r="C1279" s="1" t="n">
        <v>45507</v>
      </c>
      <c r="D1279" t="inlineStr">
        <is>
          <t>UPPSALA LÄN</t>
        </is>
      </c>
      <c r="E1279" t="inlineStr">
        <is>
          <t>UPPSALA</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43-2024</t>
        </is>
      </c>
      <c r="B1280" s="1" t="n">
        <v>45293</v>
      </c>
      <c r="C1280" s="1" t="n">
        <v>45507</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179-2024</t>
        </is>
      </c>
      <c r="B1281" s="1" t="n">
        <v>45294</v>
      </c>
      <c r="C1281" s="1" t="n">
        <v>45507</v>
      </c>
      <c r="D1281" t="inlineStr">
        <is>
          <t>UPPSALA LÄN</t>
        </is>
      </c>
      <c r="E1281" t="inlineStr">
        <is>
          <t>UPPSALA</t>
        </is>
      </c>
      <c r="F1281" t="inlineStr">
        <is>
          <t>Bergvik skog öst AB</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341-2024</t>
        </is>
      </c>
      <c r="B1282" s="1" t="n">
        <v>45295</v>
      </c>
      <c r="C1282" s="1" t="n">
        <v>45507</v>
      </c>
      <c r="D1282" t="inlineStr">
        <is>
          <t>UPPSALA LÄN</t>
        </is>
      </c>
      <c r="E1282" t="inlineStr">
        <is>
          <t>UPPSALA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358-2024</t>
        </is>
      </c>
      <c r="B1283" s="1" t="n">
        <v>45295</v>
      </c>
      <c r="C1283" s="1" t="n">
        <v>45507</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446-2024</t>
        </is>
      </c>
      <c r="B1284" s="1" t="n">
        <v>45296</v>
      </c>
      <c r="C1284" s="1" t="n">
        <v>45507</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449-2024</t>
        </is>
      </c>
      <c r="B1285" s="1" t="n">
        <v>45296</v>
      </c>
      <c r="C1285" s="1" t="n">
        <v>45507</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c r="U1285">
        <f>HYPERLINK("https://klasma.github.io/Logging_0380/knärot/A 449-2024 karta knärot.png", "A 449-2024")</f>
        <v/>
      </c>
      <c r="V1285">
        <f>HYPERLINK("https://klasma.github.io/Logging_0380/klagomål/A 449-2024 FSC-klagomål.docx", "A 449-2024")</f>
        <v/>
      </c>
      <c r="W1285">
        <f>HYPERLINK("https://klasma.github.io/Logging_0380/klagomålsmail/A 449-2024 FSC-klagomål mail.docx", "A 449-2024")</f>
        <v/>
      </c>
      <c r="X1285">
        <f>HYPERLINK("https://klasma.github.io/Logging_0380/tillsyn/A 449-2024 tillsynsbegäran.docx", "A 449-2024")</f>
        <v/>
      </c>
      <c r="Y1285">
        <f>HYPERLINK("https://klasma.github.io/Logging_0380/tillsynsmail/A 449-2024 tillsynsbegäran mail.docx", "A 449-2024")</f>
        <v/>
      </c>
    </row>
    <row r="1286" ht="15" customHeight="1">
      <c r="A1286" t="inlineStr">
        <is>
          <t>A 600-2024</t>
        </is>
      </c>
      <c r="B1286" s="1" t="n">
        <v>45299</v>
      </c>
      <c r="C1286" s="1" t="n">
        <v>45507</v>
      </c>
      <c r="D1286" t="inlineStr">
        <is>
          <t>UPPSALA LÄN</t>
        </is>
      </c>
      <c r="E1286" t="inlineStr">
        <is>
          <t>UPPSALA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787-2024</t>
        </is>
      </c>
      <c r="B1287" s="1" t="n">
        <v>45300</v>
      </c>
      <c r="C1287" s="1" t="n">
        <v>45507</v>
      </c>
      <c r="D1287" t="inlineStr">
        <is>
          <t>UPPSALA LÄN</t>
        </is>
      </c>
      <c r="E1287" t="inlineStr">
        <is>
          <t>UPPSALA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784-2024</t>
        </is>
      </c>
      <c r="B1288" s="1" t="n">
        <v>45300</v>
      </c>
      <c r="C1288" s="1" t="n">
        <v>45507</v>
      </c>
      <c r="D1288" t="inlineStr">
        <is>
          <t>UPPSALA LÄN</t>
        </is>
      </c>
      <c r="E1288" t="inlineStr">
        <is>
          <t>UPPSALA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781-2024</t>
        </is>
      </c>
      <c r="B1289" s="1" t="n">
        <v>45300</v>
      </c>
      <c r="C1289" s="1" t="n">
        <v>45507</v>
      </c>
      <c r="D1289" t="inlineStr">
        <is>
          <t>UPPSALA LÄN</t>
        </is>
      </c>
      <c r="E1289" t="inlineStr">
        <is>
          <t>UPPSALA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1825-2024</t>
        </is>
      </c>
      <c r="B1290" s="1" t="n">
        <v>45307</v>
      </c>
      <c r="C1290" s="1" t="n">
        <v>45507</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1806-2024</t>
        </is>
      </c>
      <c r="B1291" s="1" t="n">
        <v>45307</v>
      </c>
      <c r="C1291" s="1" t="n">
        <v>45507</v>
      </c>
      <c r="D1291" t="inlineStr">
        <is>
          <t>UPPSALA LÄN</t>
        </is>
      </c>
      <c r="E1291" t="inlineStr">
        <is>
          <t>UPPSALA</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1838-2024</t>
        </is>
      </c>
      <c r="B1292" s="1" t="n">
        <v>45307</v>
      </c>
      <c r="C1292" s="1" t="n">
        <v>45507</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1994-2024</t>
        </is>
      </c>
      <c r="B1293" s="1" t="n">
        <v>45308</v>
      </c>
      <c r="C1293" s="1" t="n">
        <v>45507</v>
      </c>
      <c r="D1293" t="inlineStr">
        <is>
          <t>UPPSALA LÄN</t>
        </is>
      </c>
      <c r="E1293" t="inlineStr">
        <is>
          <t>UPPSALA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2294-2024</t>
        </is>
      </c>
      <c r="B1294" s="1" t="n">
        <v>45310</v>
      </c>
      <c r="C1294" s="1" t="n">
        <v>45507</v>
      </c>
      <c r="D1294" t="inlineStr">
        <is>
          <t>UPPSALA LÄN</t>
        </is>
      </c>
      <c r="E1294" t="inlineStr">
        <is>
          <t>UPPSALA</t>
        </is>
      </c>
      <c r="F1294" t="inlineStr">
        <is>
          <t>Allmännings- och besparingsskogar</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2327-2024</t>
        </is>
      </c>
      <c r="B1295" s="1" t="n">
        <v>45310</v>
      </c>
      <c r="C1295" s="1" t="n">
        <v>45507</v>
      </c>
      <c r="D1295" t="inlineStr">
        <is>
          <t>UPPSALA LÄN</t>
        </is>
      </c>
      <c r="E1295" t="inlineStr">
        <is>
          <t>UPPSALA</t>
        </is>
      </c>
      <c r="F1295" t="inlineStr">
        <is>
          <t>Kyrkan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2339-2024</t>
        </is>
      </c>
      <c r="B1296" s="1" t="n">
        <v>45310</v>
      </c>
      <c r="C1296" s="1" t="n">
        <v>45507</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2357-2024</t>
        </is>
      </c>
      <c r="B1297" s="1" t="n">
        <v>45310</v>
      </c>
      <c r="C1297" s="1" t="n">
        <v>45507</v>
      </c>
      <c r="D1297" t="inlineStr">
        <is>
          <t>UPPSALA LÄN</t>
        </is>
      </c>
      <c r="E1297" t="inlineStr">
        <is>
          <t>UPPSALA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2729-2024</t>
        </is>
      </c>
      <c r="B1298" s="1" t="n">
        <v>45314</v>
      </c>
      <c r="C1298" s="1" t="n">
        <v>45507</v>
      </c>
      <c r="D1298" t="inlineStr">
        <is>
          <t>UPPSALA LÄN</t>
        </is>
      </c>
      <c r="E1298" t="inlineStr">
        <is>
          <t>UPPSALA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2740-2024</t>
        </is>
      </c>
      <c r="B1299" s="1" t="n">
        <v>45314</v>
      </c>
      <c r="C1299" s="1" t="n">
        <v>45507</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2735-2024</t>
        </is>
      </c>
      <c r="B1300" s="1" t="n">
        <v>45314</v>
      </c>
      <c r="C1300" s="1" t="n">
        <v>45507</v>
      </c>
      <c r="D1300" t="inlineStr">
        <is>
          <t>UPPSALA LÄN</t>
        </is>
      </c>
      <c r="E1300" t="inlineStr">
        <is>
          <t>UPPSALA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2769-2024</t>
        </is>
      </c>
      <c r="B1301" s="1" t="n">
        <v>45314</v>
      </c>
      <c r="C1301" s="1" t="n">
        <v>45507</v>
      </c>
      <c r="D1301" t="inlineStr">
        <is>
          <t>UPPSALA LÄN</t>
        </is>
      </c>
      <c r="E1301" t="inlineStr">
        <is>
          <t>UPPSALA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2785-2024</t>
        </is>
      </c>
      <c r="B1302" s="1" t="n">
        <v>45314</v>
      </c>
      <c r="C1302" s="1" t="n">
        <v>45507</v>
      </c>
      <c r="D1302" t="inlineStr">
        <is>
          <t>UPPSALA LÄN</t>
        </is>
      </c>
      <c r="E1302" t="inlineStr">
        <is>
          <t>UPPSALA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3175-2024</t>
        </is>
      </c>
      <c r="B1303" s="1" t="n">
        <v>45316</v>
      </c>
      <c r="C1303" s="1" t="n">
        <v>45507</v>
      </c>
      <c r="D1303" t="inlineStr">
        <is>
          <t>UPPSALA LÄN</t>
        </is>
      </c>
      <c r="E1303" t="inlineStr">
        <is>
          <t>UPPSALA</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3183-2024</t>
        </is>
      </c>
      <c r="B1304" s="1" t="n">
        <v>45316</v>
      </c>
      <c r="C1304" s="1" t="n">
        <v>45507</v>
      </c>
      <c r="D1304" t="inlineStr">
        <is>
          <t>UPPSALA LÄN</t>
        </is>
      </c>
      <c r="E1304" t="inlineStr">
        <is>
          <t>UPPSALA</t>
        </is>
      </c>
      <c r="F1304" t="inlineStr">
        <is>
          <t>Bergvik skog öst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3261-2024</t>
        </is>
      </c>
      <c r="B1305" s="1" t="n">
        <v>45317</v>
      </c>
      <c r="C1305" s="1" t="n">
        <v>45507</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3260-2024</t>
        </is>
      </c>
      <c r="B1306" s="1" t="n">
        <v>45317</v>
      </c>
      <c r="C1306" s="1" t="n">
        <v>45507</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3813-2024</t>
        </is>
      </c>
      <c r="B1307" s="1" t="n">
        <v>45321</v>
      </c>
      <c r="C1307" s="1" t="n">
        <v>45507</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4065-2024</t>
        </is>
      </c>
      <c r="B1308" s="1" t="n">
        <v>45323</v>
      </c>
      <c r="C1308" s="1" t="n">
        <v>45507</v>
      </c>
      <c r="D1308" t="inlineStr">
        <is>
          <t>UPPSALA LÄN</t>
        </is>
      </c>
      <c r="E1308" t="inlineStr">
        <is>
          <t>UPPSALA</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4216-2024</t>
        </is>
      </c>
      <c r="B1309" s="1" t="n">
        <v>45324</v>
      </c>
      <c r="C1309" s="1" t="n">
        <v>45507</v>
      </c>
      <c r="D1309" t="inlineStr">
        <is>
          <t>UPPSALA LÄN</t>
        </is>
      </c>
      <c r="E1309" t="inlineStr">
        <is>
          <t>UPPSALA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4412-2024</t>
        </is>
      </c>
      <c r="B1310" s="1" t="n">
        <v>45327</v>
      </c>
      <c r="C1310" s="1" t="n">
        <v>45507</v>
      </c>
      <c r="D1310" t="inlineStr">
        <is>
          <t>UPPSALA LÄN</t>
        </is>
      </c>
      <c r="E1310" t="inlineStr">
        <is>
          <t>UPPSALA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4425-2024</t>
        </is>
      </c>
      <c r="B1311" s="1" t="n">
        <v>45327</v>
      </c>
      <c r="C1311" s="1" t="n">
        <v>45507</v>
      </c>
      <c r="D1311" t="inlineStr">
        <is>
          <t>UPPSALA LÄN</t>
        </is>
      </c>
      <c r="E1311" t="inlineStr">
        <is>
          <t>UPPSALA</t>
        </is>
      </c>
      <c r="F1311" t="inlineStr">
        <is>
          <t>Allmännings- och besparingsskogar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4461-2024</t>
        </is>
      </c>
      <c r="B1312" s="1" t="n">
        <v>45327</v>
      </c>
      <c r="C1312" s="1" t="n">
        <v>45507</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v>
      </c>
      <c r="C1313" s="1" t="n">
        <v>45507</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4509-2024</t>
        </is>
      </c>
      <c r="B1314" s="1" t="n">
        <v>45327</v>
      </c>
      <c r="C1314" s="1" t="n">
        <v>45507</v>
      </c>
      <c r="D1314" t="inlineStr">
        <is>
          <t>UPPSALA LÄN</t>
        </is>
      </c>
      <c r="E1314" t="inlineStr">
        <is>
          <t>UPPSALA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4980-2024</t>
        </is>
      </c>
      <c r="B1315" s="1" t="n">
        <v>45329</v>
      </c>
      <c r="C1315" s="1" t="n">
        <v>45507</v>
      </c>
      <c r="D1315" t="inlineStr">
        <is>
          <t>UPPSALA LÄN</t>
        </is>
      </c>
      <c r="E1315" t="inlineStr">
        <is>
          <t>UPPSALA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5185-2024</t>
        </is>
      </c>
      <c r="B1316" s="1" t="n">
        <v>45330</v>
      </c>
      <c r="C1316" s="1" t="n">
        <v>45507</v>
      </c>
      <c r="D1316" t="inlineStr">
        <is>
          <t>UPPSALA LÄN</t>
        </is>
      </c>
      <c r="E1316" t="inlineStr">
        <is>
          <t>UPPSALA</t>
        </is>
      </c>
      <c r="F1316" t="inlineStr">
        <is>
          <t>Övriga Aktiebolag</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5475-2024</t>
        </is>
      </c>
      <c r="B1317" s="1" t="n">
        <v>45333</v>
      </c>
      <c r="C1317" s="1" t="n">
        <v>45507</v>
      </c>
      <c r="D1317" t="inlineStr">
        <is>
          <t>UPPSALA LÄN</t>
        </is>
      </c>
      <c r="E1317" t="inlineStr">
        <is>
          <t>UPPSALA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5848-2024</t>
        </is>
      </c>
      <c r="B1318" s="1" t="n">
        <v>45335</v>
      </c>
      <c r="C1318" s="1" t="n">
        <v>45507</v>
      </c>
      <c r="D1318" t="inlineStr">
        <is>
          <t>UPPSALA LÄN</t>
        </is>
      </c>
      <c r="E1318" t="inlineStr">
        <is>
          <t>UPPSALA</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5899-2024</t>
        </is>
      </c>
      <c r="B1319" s="1" t="n">
        <v>45335</v>
      </c>
      <c r="C1319" s="1" t="n">
        <v>45507</v>
      </c>
      <c r="D1319" t="inlineStr">
        <is>
          <t>UPPSALA LÄN</t>
        </is>
      </c>
      <c r="E1319" t="inlineStr">
        <is>
          <t>UPPSALA</t>
        </is>
      </c>
      <c r="F1319" t="inlineStr">
        <is>
          <t>Allmännings- och besparingsskogar</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5876-2024</t>
        </is>
      </c>
      <c r="B1320" s="1" t="n">
        <v>45335</v>
      </c>
      <c r="C1320" s="1" t="n">
        <v>45507</v>
      </c>
      <c r="D1320" t="inlineStr">
        <is>
          <t>UPPSALA LÄN</t>
        </is>
      </c>
      <c r="E1320" t="inlineStr">
        <is>
          <t>UPPSALA</t>
        </is>
      </c>
      <c r="F1320" t="inlineStr">
        <is>
          <t>Kyrkan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5896-2024</t>
        </is>
      </c>
      <c r="B1321" s="1" t="n">
        <v>45335</v>
      </c>
      <c r="C1321" s="1" t="n">
        <v>45507</v>
      </c>
      <c r="D1321" t="inlineStr">
        <is>
          <t>UPPSALA LÄN</t>
        </is>
      </c>
      <c r="E1321" t="inlineStr">
        <is>
          <t>UPPSALA</t>
        </is>
      </c>
      <c r="F1321" t="inlineStr">
        <is>
          <t>Allmännings- och besparingsskogar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5974-2024</t>
        </is>
      </c>
      <c r="B1322" s="1" t="n">
        <v>45336</v>
      </c>
      <c r="C1322" s="1" t="n">
        <v>45507</v>
      </c>
      <c r="D1322" t="inlineStr">
        <is>
          <t>UPPSALA LÄN</t>
        </is>
      </c>
      <c r="E1322" t="inlineStr">
        <is>
          <t>UPPSALA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5975-2024</t>
        </is>
      </c>
      <c r="B1323" s="1" t="n">
        <v>45336</v>
      </c>
      <c r="C1323" s="1" t="n">
        <v>45507</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6024-2024</t>
        </is>
      </c>
      <c r="B1324" s="1" t="n">
        <v>45336</v>
      </c>
      <c r="C1324" s="1" t="n">
        <v>45507</v>
      </c>
      <c r="D1324" t="inlineStr">
        <is>
          <t>UPPSALA LÄN</t>
        </is>
      </c>
      <c r="E1324" t="inlineStr">
        <is>
          <t>UPPSALA</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6199-2024</t>
        </is>
      </c>
      <c r="B1325" s="1" t="n">
        <v>45337</v>
      </c>
      <c r="C1325" s="1" t="n">
        <v>45507</v>
      </c>
      <c r="D1325" t="inlineStr">
        <is>
          <t>UPPSALA LÄN</t>
        </is>
      </c>
      <c r="E1325" t="inlineStr">
        <is>
          <t>UPPSALA</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6211-2024</t>
        </is>
      </c>
      <c r="B1326" s="1" t="n">
        <v>45337</v>
      </c>
      <c r="C1326" s="1" t="n">
        <v>45507</v>
      </c>
      <c r="D1326" t="inlineStr">
        <is>
          <t>UPPSALA LÄN</t>
        </is>
      </c>
      <c r="E1326" t="inlineStr">
        <is>
          <t>UPPSALA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6098-2024</t>
        </is>
      </c>
      <c r="B1327" s="1" t="n">
        <v>45337</v>
      </c>
      <c r="C1327" s="1" t="n">
        <v>45507</v>
      </c>
      <c r="D1327" t="inlineStr">
        <is>
          <t>UPPSALA LÄN</t>
        </is>
      </c>
      <c r="E1327" t="inlineStr">
        <is>
          <t>UPPSALA</t>
        </is>
      </c>
      <c r="F1327" t="inlineStr">
        <is>
          <t>Övriga Aktiebolag</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6363-2024</t>
        </is>
      </c>
      <c r="B1328" s="1" t="n">
        <v>45338</v>
      </c>
      <c r="C1328" s="1" t="n">
        <v>45507</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6501-2024</t>
        </is>
      </c>
      <c r="B1329" s="1" t="n">
        <v>45339</v>
      </c>
      <c r="C1329" s="1" t="n">
        <v>45507</v>
      </c>
      <c r="D1329" t="inlineStr">
        <is>
          <t>UPPSALA LÄN</t>
        </is>
      </c>
      <c r="E1329" t="inlineStr">
        <is>
          <t>UPPSALA</t>
        </is>
      </c>
      <c r="F1329" t="inlineStr">
        <is>
          <t>Bergvik skog öst AB</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6506-2024</t>
        </is>
      </c>
      <c r="B1330" s="1" t="n">
        <v>45339</v>
      </c>
      <c r="C1330" s="1" t="n">
        <v>45507</v>
      </c>
      <c r="D1330" t="inlineStr">
        <is>
          <t>UPPSALA LÄN</t>
        </is>
      </c>
      <c r="E1330" t="inlineStr">
        <is>
          <t>UPPSALA</t>
        </is>
      </c>
      <c r="F1330" t="inlineStr">
        <is>
          <t>Bergvik skog öst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6505-2024</t>
        </is>
      </c>
      <c r="B1331" s="1" t="n">
        <v>45339</v>
      </c>
      <c r="C1331" s="1" t="n">
        <v>45507</v>
      </c>
      <c r="D1331" t="inlineStr">
        <is>
          <t>UPPSALA LÄN</t>
        </is>
      </c>
      <c r="E1331" t="inlineStr">
        <is>
          <t>UPPSALA</t>
        </is>
      </c>
      <c r="F1331" t="inlineStr">
        <is>
          <t>Bergvik skog öst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6500-2024</t>
        </is>
      </c>
      <c r="B1332" s="1" t="n">
        <v>45339</v>
      </c>
      <c r="C1332" s="1" t="n">
        <v>45507</v>
      </c>
      <c r="D1332" t="inlineStr">
        <is>
          <t>UPPSALA LÄN</t>
        </is>
      </c>
      <c r="E1332" t="inlineStr">
        <is>
          <t>UPPSALA</t>
        </is>
      </c>
      <c r="F1332" t="inlineStr">
        <is>
          <t>Bergvik skog öst AB</t>
        </is>
      </c>
      <c r="G1332" t="n">
        <v>23.7</v>
      </c>
      <c r="H1332" t="n">
        <v>0</v>
      </c>
      <c r="I1332" t="n">
        <v>0</v>
      </c>
      <c r="J1332" t="n">
        <v>0</v>
      </c>
      <c r="K1332" t="n">
        <v>0</v>
      </c>
      <c r="L1332" t="n">
        <v>0</v>
      </c>
      <c r="M1332" t="n">
        <v>0</v>
      </c>
      <c r="N1332" t="n">
        <v>0</v>
      </c>
      <c r="O1332" t="n">
        <v>0</v>
      </c>
      <c r="P1332" t="n">
        <v>0</v>
      </c>
      <c r="Q1332" t="n">
        <v>0</v>
      </c>
      <c r="R1332" s="2" t="inlineStr"/>
    </row>
    <row r="1333" ht="15" customHeight="1">
      <c r="A1333" t="inlineStr">
        <is>
          <t>A 6504-2024</t>
        </is>
      </c>
      <c r="B1333" s="1" t="n">
        <v>45339</v>
      </c>
      <c r="C1333" s="1" t="n">
        <v>45507</v>
      </c>
      <c r="D1333" t="inlineStr">
        <is>
          <t>UPPSALA LÄN</t>
        </is>
      </c>
      <c r="E1333" t="inlineStr">
        <is>
          <t>UPPSALA</t>
        </is>
      </c>
      <c r="F1333" t="inlineStr">
        <is>
          <t>Bergvik skog öst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6503-2024</t>
        </is>
      </c>
      <c r="B1334" s="1" t="n">
        <v>45339</v>
      </c>
      <c r="C1334" s="1" t="n">
        <v>45507</v>
      </c>
      <c r="D1334" t="inlineStr">
        <is>
          <t>UPPSALA LÄN</t>
        </is>
      </c>
      <c r="E1334" t="inlineStr">
        <is>
          <t>UPPSALA</t>
        </is>
      </c>
      <c r="F1334" t="inlineStr">
        <is>
          <t>Bergvik skog öst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6507-2024</t>
        </is>
      </c>
      <c r="B1335" s="1" t="n">
        <v>45339</v>
      </c>
      <c r="C1335" s="1" t="n">
        <v>45507</v>
      </c>
      <c r="D1335" t="inlineStr">
        <is>
          <t>UPPSALA LÄN</t>
        </is>
      </c>
      <c r="E1335" t="inlineStr">
        <is>
          <t>UPPSALA</t>
        </is>
      </c>
      <c r="F1335" t="inlineStr">
        <is>
          <t>Bergvik skog öst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6628-2024</t>
        </is>
      </c>
      <c r="B1336" s="1" t="n">
        <v>45341</v>
      </c>
      <c r="C1336" s="1" t="n">
        <v>45507</v>
      </c>
      <c r="D1336" t="inlineStr">
        <is>
          <t>UPPSALA LÄN</t>
        </is>
      </c>
      <c r="E1336" t="inlineStr">
        <is>
          <t>UPPSALA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6630-2024</t>
        </is>
      </c>
      <c r="B1337" s="1" t="n">
        <v>45341</v>
      </c>
      <c r="C1337" s="1" t="n">
        <v>45507</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6650-2024</t>
        </is>
      </c>
      <c r="B1338" s="1" t="n">
        <v>45341</v>
      </c>
      <c r="C1338" s="1" t="n">
        <v>45507</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6676-2024</t>
        </is>
      </c>
      <c r="B1339" s="1" t="n">
        <v>45341</v>
      </c>
      <c r="C1339" s="1" t="n">
        <v>45507</v>
      </c>
      <c r="D1339" t="inlineStr">
        <is>
          <t>UPPSALA LÄN</t>
        </is>
      </c>
      <c r="E1339" t="inlineStr">
        <is>
          <t>UPPSALA</t>
        </is>
      </c>
      <c r="F1339" t="inlineStr">
        <is>
          <t>Bergvik skog öst AB</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6609-2024</t>
        </is>
      </c>
      <c r="B1340" s="1" t="n">
        <v>45341</v>
      </c>
      <c r="C1340" s="1" t="n">
        <v>45507</v>
      </c>
      <c r="D1340" t="inlineStr">
        <is>
          <t>UPPSALA LÄN</t>
        </is>
      </c>
      <c r="E1340" t="inlineStr">
        <is>
          <t>UPPSALA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6679-2024</t>
        </is>
      </c>
      <c r="B1341" s="1" t="n">
        <v>45341</v>
      </c>
      <c r="C1341" s="1" t="n">
        <v>45507</v>
      </c>
      <c r="D1341" t="inlineStr">
        <is>
          <t>UPPSALA LÄN</t>
        </is>
      </c>
      <c r="E1341" t="inlineStr">
        <is>
          <t>UPPSALA</t>
        </is>
      </c>
      <c r="F1341" t="inlineStr">
        <is>
          <t>Bergvik skog öst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6677-2024</t>
        </is>
      </c>
      <c r="B1342" s="1" t="n">
        <v>45341</v>
      </c>
      <c r="C1342" s="1" t="n">
        <v>45507</v>
      </c>
      <c r="D1342" t="inlineStr">
        <is>
          <t>UPPSALA LÄN</t>
        </is>
      </c>
      <c r="E1342" t="inlineStr">
        <is>
          <t>UPPSALA</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6678-2024</t>
        </is>
      </c>
      <c r="B1343" s="1" t="n">
        <v>45341</v>
      </c>
      <c r="C1343" s="1" t="n">
        <v>45507</v>
      </c>
      <c r="D1343" t="inlineStr">
        <is>
          <t>UPPSALA LÄN</t>
        </is>
      </c>
      <c r="E1343" t="inlineStr">
        <is>
          <t>UPPSALA</t>
        </is>
      </c>
      <c r="F1343" t="inlineStr">
        <is>
          <t>Bergvik skog öst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6966-2024</t>
        </is>
      </c>
      <c r="B1344" s="1" t="n">
        <v>45343</v>
      </c>
      <c r="C1344" s="1" t="n">
        <v>45507</v>
      </c>
      <c r="D1344" t="inlineStr">
        <is>
          <t>UPPSALA LÄN</t>
        </is>
      </c>
      <c r="E1344" t="inlineStr">
        <is>
          <t>UPPSALA</t>
        </is>
      </c>
      <c r="F1344" t="inlineStr">
        <is>
          <t>Holmen skog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7253-2024</t>
        </is>
      </c>
      <c r="B1345" s="1" t="n">
        <v>45344</v>
      </c>
      <c r="C1345" s="1" t="n">
        <v>45507</v>
      </c>
      <c r="D1345" t="inlineStr">
        <is>
          <t>UPPSALA LÄN</t>
        </is>
      </c>
      <c r="E1345" t="inlineStr">
        <is>
          <t>UPPSALA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7158-2024</t>
        </is>
      </c>
      <c r="B1346" s="1" t="n">
        <v>45344</v>
      </c>
      <c r="C1346" s="1" t="n">
        <v>45507</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7175-2024</t>
        </is>
      </c>
      <c r="B1347" s="1" t="n">
        <v>45344</v>
      </c>
      <c r="C1347" s="1" t="n">
        <v>45507</v>
      </c>
      <c r="D1347" t="inlineStr">
        <is>
          <t>UPPSALA LÄN</t>
        </is>
      </c>
      <c r="E1347" t="inlineStr">
        <is>
          <t>UPPSALA</t>
        </is>
      </c>
      <c r="F1347" t="inlineStr">
        <is>
          <t>Kyrkan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7275-2024</t>
        </is>
      </c>
      <c r="B1348" s="1" t="n">
        <v>45344</v>
      </c>
      <c r="C1348" s="1" t="n">
        <v>45507</v>
      </c>
      <c r="D1348" t="inlineStr">
        <is>
          <t>UPPSALA LÄN</t>
        </is>
      </c>
      <c r="E1348" t="inlineStr">
        <is>
          <t>UPPSALA</t>
        </is>
      </c>
      <c r="F1348" t="inlineStr">
        <is>
          <t>Bergvik skog öst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v>
      </c>
      <c r="C1349" s="1" t="n">
        <v>45507</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7274-2024</t>
        </is>
      </c>
      <c r="B1350" s="1" t="n">
        <v>45344</v>
      </c>
      <c r="C1350" s="1" t="n">
        <v>45507</v>
      </c>
      <c r="D1350" t="inlineStr">
        <is>
          <t>UPPSALA LÄN</t>
        </is>
      </c>
      <c r="E1350" t="inlineStr">
        <is>
          <t>UPPSALA</t>
        </is>
      </c>
      <c r="F1350" t="inlineStr">
        <is>
          <t>Bergvik skog öst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7278-2024</t>
        </is>
      </c>
      <c r="B1351" s="1" t="n">
        <v>45344</v>
      </c>
      <c r="C1351" s="1" t="n">
        <v>45507</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7276-2024</t>
        </is>
      </c>
      <c r="B1352" s="1" t="n">
        <v>45344</v>
      </c>
      <c r="C1352" s="1" t="n">
        <v>45507</v>
      </c>
      <c r="D1352" t="inlineStr">
        <is>
          <t>UPPSALA LÄN</t>
        </is>
      </c>
      <c r="E1352" t="inlineStr">
        <is>
          <t>UPPSALA</t>
        </is>
      </c>
      <c r="F1352" t="inlineStr">
        <is>
          <t>Bergvik skog öst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7389-2024</t>
        </is>
      </c>
      <c r="B1353" s="1" t="n">
        <v>45345</v>
      </c>
      <c r="C1353" s="1" t="n">
        <v>45507</v>
      </c>
      <c r="D1353" t="inlineStr">
        <is>
          <t>UPPSALA LÄN</t>
        </is>
      </c>
      <c r="E1353" t="inlineStr">
        <is>
          <t>UPPSALA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7390-2024</t>
        </is>
      </c>
      <c r="B1354" s="1" t="n">
        <v>45345</v>
      </c>
      <c r="C1354" s="1" t="n">
        <v>45507</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7400-2024</t>
        </is>
      </c>
      <c r="B1355" s="1" t="n">
        <v>45345</v>
      </c>
      <c r="C1355" s="1" t="n">
        <v>45507</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7388-2024</t>
        </is>
      </c>
      <c r="B1356" s="1" t="n">
        <v>45345</v>
      </c>
      <c r="C1356" s="1" t="n">
        <v>45507</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7407-2024</t>
        </is>
      </c>
      <c r="B1357" s="1" t="n">
        <v>45345</v>
      </c>
      <c r="C1357" s="1" t="n">
        <v>45507</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7403-2024</t>
        </is>
      </c>
      <c r="B1358" s="1" t="n">
        <v>45345</v>
      </c>
      <c r="C1358" s="1" t="n">
        <v>45507</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7649-2024</t>
        </is>
      </c>
      <c r="B1359" s="1" t="n">
        <v>45348</v>
      </c>
      <c r="C1359" s="1" t="n">
        <v>45507</v>
      </c>
      <c r="D1359" t="inlineStr">
        <is>
          <t>UPPSALA LÄN</t>
        </is>
      </c>
      <c r="E1359" t="inlineStr">
        <is>
          <t>UPPSALA</t>
        </is>
      </c>
      <c r="F1359" t="inlineStr">
        <is>
          <t>Kyrkan</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7654-2024</t>
        </is>
      </c>
      <c r="B1360" s="1" t="n">
        <v>45348</v>
      </c>
      <c r="C1360" s="1" t="n">
        <v>45507</v>
      </c>
      <c r="D1360" t="inlineStr">
        <is>
          <t>UPPSALA LÄN</t>
        </is>
      </c>
      <c r="E1360" t="inlineStr">
        <is>
          <t>UPPSALA</t>
        </is>
      </c>
      <c r="F1360" t="inlineStr">
        <is>
          <t>Kyrkan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7732-2024</t>
        </is>
      </c>
      <c r="B1361" s="1" t="n">
        <v>45349</v>
      </c>
      <c r="C1361" s="1" t="n">
        <v>45507</v>
      </c>
      <c r="D1361" t="inlineStr">
        <is>
          <t>UPPSALA LÄN</t>
        </is>
      </c>
      <c r="E1361" t="inlineStr">
        <is>
          <t>UPPSALA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7727-2024</t>
        </is>
      </c>
      <c r="B1362" s="1" t="n">
        <v>45349</v>
      </c>
      <c r="C1362" s="1" t="n">
        <v>45507</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7750-2024</t>
        </is>
      </c>
      <c r="B1363" s="1" t="n">
        <v>45349</v>
      </c>
      <c r="C1363" s="1" t="n">
        <v>45507</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7974-2024</t>
        </is>
      </c>
      <c r="B1364" s="1" t="n">
        <v>45350</v>
      </c>
      <c r="C1364" s="1" t="n">
        <v>45507</v>
      </c>
      <c r="D1364" t="inlineStr">
        <is>
          <t>UPPSALA LÄN</t>
        </is>
      </c>
      <c r="E1364" t="inlineStr">
        <is>
          <t>UPPSALA</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8132-2024</t>
        </is>
      </c>
      <c r="B1365" s="1" t="n">
        <v>45351</v>
      </c>
      <c r="C1365" s="1" t="n">
        <v>45507</v>
      </c>
      <c r="D1365" t="inlineStr">
        <is>
          <t>UPPSALA LÄN</t>
        </is>
      </c>
      <c r="E1365" t="inlineStr">
        <is>
          <t>UPPSALA</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8109-2024</t>
        </is>
      </c>
      <c r="B1366" s="1" t="n">
        <v>45351</v>
      </c>
      <c r="C1366" s="1" t="n">
        <v>45507</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8672-2024</t>
        </is>
      </c>
      <c r="B1367" s="1" t="n">
        <v>45352</v>
      </c>
      <c r="C1367" s="1" t="n">
        <v>45507</v>
      </c>
      <c r="D1367" t="inlineStr">
        <is>
          <t>UPPSALA LÄN</t>
        </is>
      </c>
      <c r="E1367" t="inlineStr">
        <is>
          <t>UPPSALA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8338-2024</t>
        </is>
      </c>
      <c r="B1368" s="1" t="n">
        <v>45352</v>
      </c>
      <c r="C1368" s="1" t="n">
        <v>45507</v>
      </c>
      <c r="D1368" t="inlineStr">
        <is>
          <t>UPPSALA LÄN</t>
        </is>
      </c>
      <c r="E1368" t="inlineStr">
        <is>
          <t>UPPSALA</t>
        </is>
      </c>
      <c r="F1368" t="inlineStr">
        <is>
          <t>Kyrkan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9235-2024</t>
        </is>
      </c>
      <c r="B1369" s="1" t="n">
        <v>45357</v>
      </c>
      <c r="C1369" s="1" t="n">
        <v>45507</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9201-2024</t>
        </is>
      </c>
      <c r="B1370" s="1" t="n">
        <v>45358</v>
      </c>
      <c r="C1370" s="1" t="n">
        <v>45507</v>
      </c>
      <c r="D1370" t="inlineStr">
        <is>
          <t>UPPSALA LÄN</t>
        </is>
      </c>
      <c r="E1370" t="inlineStr">
        <is>
          <t>UPPSALA</t>
        </is>
      </c>
      <c r="F1370" t="inlineStr">
        <is>
          <t>Allmännings- och besparingsskogar</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9195-2024</t>
        </is>
      </c>
      <c r="B1371" s="1" t="n">
        <v>45358</v>
      </c>
      <c r="C1371" s="1" t="n">
        <v>45507</v>
      </c>
      <c r="D1371" t="inlineStr">
        <is>
          <t>UPPSALA LÄN</t>
        </is>
      </c>
      <c r="E1371" t="inlineStr">
        <is>
          <t>UPPSALA</t>
        </is>
      </c>
      <c r="F1371" t="inlineStr">
        <is>
          <t>Allmännings- och besparingsskogar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9255-2024</t>
        </is>
      </c>
      <c r="B1372" s="1" t="n">
        <v>45358</v>
      </c>
      <c r="C1372" s="1" t="n">
        <v>45507</v>
      </c>
      <c r="D1372" t="inlineStr">
        <is>
          <t>UPPSALA LÄN</t>
        </is>
      </c>
      <c r="E1372" t="inlineStr">
        <is>
          <t>UPPSALA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9428-2024</t>
        </is>
      </c>
      <c r="B1373" s="1" t="n">
        <v>45359</v>
      </c>
      <c r="C1373" s="1" t="n">
        <v>45507</v>
      </c>
      <c r="D1373" t="inlineStr">
        <is>
          <t>UPPSALA LÄN</t>
        </is>
      </c>
      <c r="E1373" t="inlineStr">
        <is>
          <t>UPPSALA</t>
        </is>
      </c>
      <c r="F1373" t="inlineStr">
        <is>
          <t>Bergvik skog öst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9453-2024</t>
        </is>
      </c>
      <c r="B1374" s="1" t="n">
        <v>45359</v>
      </c>
      <c r="C1374" s="1" t="n">
        <v>45507</v>
      </c>
      <c r="D1374" t="inlineStr">
        <is>
          <t>UPPSALA LÄN</t>
        </is>
      </c>
      <c r="E1374" t="inlineStr">
        <is>
          <t>UPPSALA</t>
        </is>
      </c>
      <c r="F1374" t="inlineStr">
        <is>
          <t>Bergvik skog öst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9608-2024</t>
        </is>
      </c>
      <c r="B1375" s="1" t="n">
        <v>45361</v>
      </c>
      <c r="C1375" s="1" t="n">
        <v>45507</v>
      </c>
      <c r="D1375" t="inlineStr">
        <is>
          <t>UPPSALA LÄN</t>
        </is>
      </c>
      <c r="E1375" t="inlineStr">
        <is>
          <t>UPPSALA</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9609-2024</t>
        </is>
      </c>
      <c r="B1376" s="1" t="n">
        <v>45361</v>
      </c>
      <c r="C1376" s="1" t="n">
        <v>45507</v>
      </c>
      <c r="D1376" t="inlineStr">
        <is>
          <t>UPPSALA LÄN</t>
        </is>
      </c>
      <c r="E1376" t="inlineStr">
        <is>
          <t>UPPSALA</t>
        </is>
      </c>
      <c r="F1376" t="inlineStr">
        <is>
          <t>Bergvik skog öst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9610-2024</t>
        </is>
      </c>
      <c r="B1377" s="1" t="n">
        <v>45361</v>
      </c>
      <c r="C1377" s="1" t="n">
        <v>45507</v>
      </c>
      <c r="D1377" t="inlineStr">
        <is>
          <t>UPPSALA LÄN</t>
        </is>
      </c>
      <c r="E1377" t="inlineStr">
        <is>
          <t>UPPSALA</t>
        </is>
      </c>
      <c r="F1377" t="inlineStr">
        <is>
          <t>Bergvik skog öst AB</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9625-2024</t>
        </is>
      </c>
      <c r="B1378" s="1" t="n">
        <v>45361</v>
      </c>
      <c r="C1378" s="1" t="n">
        <v>45507</v>
      </c>
      <c r="D1378" t="inlineStr">
        <is>
          <t>UPPSALA LÄN</t>
        </is>
      </c>
      <c r="E1378" t="inlineStr">
        <is>
          <t>UPPSALA</t>
        </is>
      </c>
      <c r="F1378" t="inlineStr">
        <is>
          <t>Bergvik skog öst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9611-2024</t>
        </is>
      </c>
      <c r="B1379" s="1" t="n">
        <v>45361</v>
      </c>
      <c r="C1379" s="1" t="n">
        <v>45507</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9735-2024</t>
        </is>
      </c>
      <c r="B1380" s="1" t="n">
        <v>45362</v>
      </c>
      <c r="C1380" s="1" t="n">
        <v>45507</v>
      </c>
      <c r="D1380" t="inlineStr">
        <is>
          <t>UPPSALA LÄN</t>
        </is>
      </c>
      <c r="E1380" t="inlineStr">
        <is>
          <t>UPPSALA</t>
        </is>
      </c>
      <c r="F1380" t="inlineStr">
        <is>
          <t>Bergvik skog öst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9675-2024</t>
        </is>
      </c>
      <c r="B1381" s="1" t="n">
        <v>45362</v>
      </c>
      <c r="C1381" s="1" t="n">
        <v>45507</v>
      </c>
      <c r="D1381" t="inlineStr">
        <is>
          <t>UPPSALA LÄN</t>
        </is>
      </c>
      <c r="E1381" t="inlineStr">
        <is>
          <t>UPPSALA</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9914-2024</t>
        </is>
      </c>
      <c r="B1382" s="1" t="n">
        <v>45363</v>
      </c>
      <c r="C1382" s="1" t="n">
        <v>45507</v>
      </c>
      <c r="D1382" t="inlineStr">
        <is>
          <t>UPPSALA LÄN</t>
        </is>
      </c>
      <c r="E1382" t="inlineStr">
        <is>
          <t>UPPSALA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9917-2024</t>
        </is>
      </c>
      <c r="B1383" s="1" t="n">
        <v>45363</v>
      </c>
      <c r="C1383" s="1" t="n">
        <v>45507</v>
      </c>
      <c r="D1383" t="inlineStr">
        <is>
          <t>UPPSALA LÄN</t>
        </is>
      </c>
      <c r="E1383" t="inlineStr">
        <is>
          <t>UPPSALA</t>
        </is>
      </c>
      <c r="F1383" t="inlineStr">
        <is>
          <t>Bergvik skog väst AB</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10086-2024</t>
        </is>
      </c>
      <c r="B1384" s="1" t="n">
        <v>45364</v>
      </c>
      <c r="C1384" s="1" t="n">
        <v>45507</v>
      </c>
      <c r="D1384" t="inlineStr">
        <is>
          <t>UPPSALA LÄN</t>
        </is>
      </c>
      <c r="E1384" t="inlineStr">
        <is>
          <t>UPPSALA</t>
        </is>
      </c>
      <c r="F1384" t="inlineStr">
        <is>
          <t>Bergvik skog öst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10146-2024</t>
        </is>
      </c>
      <c r="B1385" s="1" t="n">
        <v>45364</v>
      </c>
      <c r="C1385" s="1" t="n">
        <v>45507</v>
      </c>
      <c r="D1385" t="inlineStr">
        <is>
          <t>UPPSALA LÄN</t>
        </is>
      </c>
      <c r="E1385" t="inlineStr">
        <is>
          <t>UPPSALA</t>
        </is>
      </c>
      <c r="F1385" t="inlineStr">
        <is>
          <t>Bergvik skog öst AB</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10477-2024</t>
        </is>
      </c>
      <c r="B1386" s="1" t="n">
        <v>45366</v>
      </c>
      <c r="C1386" s="1" t="n">
        <v>45507</v>
      </c>
      <c r="D1386" t="inlineStr">
        <is>
          <t>UPPSALA LÄN</t>
        </is>
      </c>
      <c r="E1386" t="inlineStr">
        <is>
          <t>UPPSALA</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10474-2024</t>
        </is>
      </c>
      <c r="B1387" s="1" t="n">
        <v>45366</v>
      </c>
      <c r="C1387" s="1" t="n">
        <v>45507</v>
      </c>
      <c r="D1387" t="inlineStr">
        <is>
          <t>UPPSALA LÄN</t>
        </is>
      </c>
      <c r="E1387" t="inlineStr">
        <is>
          <t>UPPSALA</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10650-2024</t>
        </is>
      </c>
      <c r="B1388" s="1" t="n">
        <v>45368</v>
      </c>
      <c r="C1388" s="1" t="n">
        <v>45507</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10651-2024</t>
        </is>
      </c>
      <c r="B1389" s="1" t="n">
        <v>45368</v>
      </c>
      <c r="C1389" s="1" t="n">
        <v>45507</v>
      </c>
      <c r="D1389" t="inlineStr">
        <is>
          <t>UPPSALA LÄN</t>
        </is>
      </c>
      <c r="E1389" t="inlineStr">
        <is>
          <t>UPPSALA</t>
        </is>
      </c>
      <c r="F1389" t="inlineStr">
        <is>
          <t>Bergvik skog öst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10653-2024</t>
        </is>
      </c>
      <c r="B1390" s="1" t="n">
        <v>45368</v>
      </c>
      <c r="C1390" s="1" t="n">
        <v>45507</v>
      </c>
      <c r="D1390" t="inlineStr">
        <is>
          <t>UPPSALA LÄN</t>
        </is>
      </c>
      <c r="E1390" t="inlineStr">
        <is>
          <t>UPPSALA</t>
        </is>
      </c>
      <c r="F1390" t="inlineStr">
        <is>
          <t>Bergvik skog öst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10652-2024</t>
        </is>
      </c>
      <c r="B1391" s="1" t="n">
        <v>45368</v>
      </c>
      <c r="C1391" s="1" t="n">
        <v>45507</v>
      </c>
      <c r="D1391" t="inlineStr">
        <is>
          <t>UPPSALA LÄN</t>
        </is>
      </c>
      <c r="E1391" t="inlineStr">
        <is>
          <t>UPPSALA</t>
        </is>
      </c>
      <c r="F1391" t="inlineStr">
        <is>
          <t>Bergvik skog öst AB</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10827-2024</t>
        </is>
      </c>
      <c r="B1392" s="1" t="n">
        <v>45369</v>
      </c>
      <c r="C1392" s="1" t="n">
        <v>45507</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10782-2024</t>
        </is>
      </c>
      <c r="B1393" s="1" t="n">
        <v>45369</v>
      </c>
      <c r="C1393" s="1" t="n">
        <v>45507</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11169-2024</t>
        </is>
      </c>
      <c r="B1394" s="1" t="n">
        <v>45371</v>
      </c>
      <c r="C1394" s="1" t="n">
        <v>45507</v>
      </c>
      <c r="D1394" t="inlineStr">
        <is>
          <t>UPPSALA LÄN</t>
        </is>
      </c>
      <c r="E1394" t="inlineStr">
        <is>
          <t>UPPSALA</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11173-2024</t>
        </is>
      </c>
      <c r="B1395" s="1" t="n">
        <v>45371</v>
      </c>
      <c r="C1395" s="1" t="n">
        <v>45507</v>
      </c>
      <c r="D1395" t="inlineStr">
        <is>
          <t>UPPSALA LÄN</t>
        </is>
      </c>
      <c r="E1395" t="inlineStr">
        <is>
          <t>UPPSALA</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11159-2024</t>
        </is>
      </c>
      <c r="B1396" s="1" t="n">
        <v>45371</v>
      </c>
      <c r="C1396" s="1" t="n">
        <v>45507</v>
      </c>
      <c r="D1396" t="inlineStr">
        <is>
          <t>UPPSALA LÄN</t>
        </is>
      </c>
      <c r="E1396" t="inlineStr">
        <is>
          <t>UPPSALA</t>
        </is>
      </c>
      <c r="F1396" t="inlineStr">
        <is>
          <t>Bergvik skog öst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11191-2024</t>
        </is>
      </c>
      <c r="B1397" s="1" t="n">
        <v>45371</v>
      </c>
      <c r="C1397" s="1" t="n">
        <v>45507</v>
      </c>
      <c r="D1397" t="inlineStr">
        <is>
          <t>UPPSALA LÄN</t>
        </is>
      </c>
      <c r="E1397" t="inlineStr">
        <is>
          <t>UPPSALA</t>
        </is>
      </c>
      <c r="F1397" t="inlineStr">
        <is>
          <t>Allmännings- och besparingsskogar</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11166-2024</t>
        </is>
      </c>
      <c r="B1398" s="1" t="n">
        <v>45371</v>
      </c>
      <c r="C1398" s="1" t="n">
        <v>45507</v>
      </c>
      <c r="D1398" t="inlineStr">
        <is>
          <t>UPPSALA LÄN</t>
        </is>
      </c>
      <c r="E1398" t="inlineStr">
        <is>
          <t>UPPSALA</t>
        </is>
      </c>
      <c r="F1398" t="inlineStr">
        <is>
          <t>Bergvik skog öst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11201-2024</t>
        </is>
      </c>
      <c r="B1399" s="1" t="n">
        <v>45371</v>
      </c>
      <c r="C1399" s="1" t="n">
        <v>45507</v>
      </c>
      <c r="D1399" t="inlineStr">
        <is>
          <t>UPPSALA LÄN</t>
        </is>
      </c>
      <c r="E1399" t="inlineStr">
        <is>
          <t>UPPSALA</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11277-2024</t>
        </is>
      </c>
      <c r="B1400" s="1" t="n">
        <v>45371</v>
      </c>
      <c r="C1400" s="1" t="n">
        <v>45507</v>
      </c>
      <c r="D1400" t="inlineStr">
        <is>
          <t>UPPSALA LÄN</t>
        </is>
      </c>
      <c r="E1400" t="inlineStr">
        <is>
          <t>UPPSALA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11289-2024</t>
        </is>
      </c>
      <c r="B1401" s="1" t="n">
        <v>45371</v>
      </c>
      <c r="C1401" s="1" t="n">
        <v>45507</v>
      </c>
      <c r="D1401" t="inlineStr">
        <is>
          <t>UPPSALA LÄN</t>
        </is>
      </c>
      <c r="E1401" t="inlineStr">
        <is>
          <t>UPPSALA</t>
        </is>
      </c>
      <c r="F1401" t="inlineStr">
        <is>
          <t>Allmännings- och besparingsskogar</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11200-2024</t>
        </is>
      </c>
      <c r="B1402" s="1" t="n">
        <v>45371</v>
      </c>
      <c r="C1402" s="1" t="n">
        <v>45507</v>
      </c>
      <c r="D1402" t="inlineStr">
        <is>
          <t>UPPSALA LÄN</t>
        </is>
      </c>
      <c r="E1402" t="inlineStr">
        <is>
          <t>UPPSALA</t>
        </is>
      </c>
      <c r="F1402" t="inlineStr">
        <is>
          <t>Allmännings- och besparingsskogar</t>
        </is>
      </c>
      <c r="G1402" t="n">
        <v>22.8</v>
      </c>
      <c r="H1402" t="n">
        <v>0</v>
      </c>
      <c r="I1402" t="n">
        <v>0</v>
      </c>
      <c r="J1402" t="n">
        <v>0</v>
      </c>
      <c r="K1402" t="n">
        <v>0</v>
      </c>
      <c r="L1402" t="n">
        <v>0</v>
      </c>
      <c r="M1402" t="n">
        <v>0</v>
      </c>
      <c r="N1402" t="n">
        <v>0</v>
      </c>
      <c r="O1402" t="n">
        <v>0</v>
      </c>
      <c r="P1402" t="n">
        <v>0</v>
      </c>
      <c r="Q1402" t="n">
        <v>0</v>
      </c>
      <c r="R1402" s="2" t="inlineStr"/>
    </row>
    <row r="1403" ht="15" customHeight="1">
      <c r="A1403" t="inlineStr">
        <is>
          <t>A 11260-2024</t>
        </is>
      </c>
      <c r="B1403" s="1" t="n">
        <v>45371</v>
      </c>
      <c r="C1403" s="1" t="n">
        <v>45507</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11457-2024</t>
        </is>
      </c>
      <c r="B1404" s="1" t="n">
        <v>45372</v>
      </c>
      <c r="C1404" s="1" t="n">
        <v>45507</v>
      </c>
      <c r="D1404" t="inlineStr">
        <is>
          <t>UPPSALA LÄN</t>
        </is>
      </c>
      <c r="E1404" t="inlineStr">
        <is>
          <t>UPPSALA</t>
        </is>
      </c>
      <c r="F1404" t="inlineStr">
        <is>
          <t>Bergvik skog öst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11677-2024</t>
        </is>
      </c>
      <c r="B1405" s="1" t="n">
        <v>45373</v>
      </c>
      <c r="C1405" s="1" t="n">
        <v>45507</v>
      </c>
      <c r="D1405" t="inlineStr">
        <is>
          <t>UPPSALA LÄN</t>
        </is>
      </c>
      <c r="E1405" t="inlineStr">
        <is>
          <t>UPPSALA</t>
        </is>
      </c>
      <c r="F1405" t="inlineStr">
        <is>
          <t>Holmen skog AB</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11719-2024</t>
        </is>
      </c>
      <c r="B1406" s="1" t="n">
        <v>45373</v>
      </c>
      <c r="C1406" s="1" t="n">
        <v>45507</v>
      </c>
      <c r="D1406" t="inlineStr">
        <is>
          <t>UPPSALA LÄN</t>
        </is>
      </c>
      <c r="E1406" t="inlineStr">
        <is>
          <t>UPPSALA</t>
        </is>
      </c>
      <c r="F1406" t="inlineStr">
        <is>
          <t>Holmen skog AB</t>
        </is>
      </c>
      <c r="G1406" t="n">
        <v>18.3</v>
      </c>
      <c r="H1406" t="n">
        <v>0</v>
      </c>
      <c r="I1406" t="n">
        <v>0</v>
      </c>
      <c r="J1406" t="n">
        <v>0</v>
      </c>
      <c r="K1406" t="n">
        <v>0</v>
      </c>
      <c r="L1406" t="n">
        <v>0</v>
      </c>
      <c r="M1406" t="n">
        <v>0</v>
      </c>
      <c r="N1406" t="n">
        <v>0</v>
      </c>
      <c r="O1406" t="n">
        <v>0</v>
      </c>
      <c r="P1406" t="n">
        <v>0</v>
      </c>
      <c r="Q1406" t="n">
        <v>0</v>
      </c>
      <c r="R1406" s="2" t="inlineStr"/>
    </row>
    <row r="1407" ht="15" customHeight="1">
      <c r="A1407" t="inlineStr">
        <is>
          <t>A 12345-2024</t>
        </is>
      </c>
      <c r="B1407" s="1" t="n">
        <v>45378</v>
      </c>
      <c r="C1407" s="1" t="n">
        <v>45507</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12346-2024</t>
        </is>
      </c>
      <c r="B1408" s="1" t="n">
        <v>45378</v>
      </c>
      <c r="C1408" s="1" t="n">
        <v>45507</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12347-2024</t>
        </is>
      </c>
      <c r="B1409" s="1" t="n">
        <v>45378</v>
      </c>
      <c r="C1409" s="1" t="n">
        <v>45507</v>
      </c>
      <c r="D1409" t="inlineStr">
        <is>
          <t>UPPSALA LÄN</t>
        </is>
      </c>
      <c r="E1409" t="inlineStr">
        <is>
          <t>UPPSALA</t>
        </is>
      </c>
      <c r="F1409" t="inlineStr">
        <is>
          <t>Bergvik skog öst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12507-2024</t>
        </is>
      </c>
      <c r="B1410" s="1" t="n">
        <v>45379</v>
      </c>
      <c r="C1410" s="1" t="n">
        <v>45507</v>
      </c>
      <c r="D1410" t="inlineStr">
        <is>
          <t>UPPSALA LÄN</t>
        </is>
      </c>
      <c r="E1410" t="inlineStr">
        <is>
          <t>UPPSALA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13100-2024</t>
        </is>
      </c>
      <c r="B1411" s="1" t="n">
        <v>45385</v>
      </c>
      <c r="C1411" s="1" t="n">
        <v>45507</v>
      </c>
      <c r="D1411" t="inlineStr">
        <is>
          <t>UPPSALA LÄN</t>
        </is>
      </c>
      <c r="E1411" t="inlineStr">
        <is>
          <t>UPPSALA</t>
        </is>
      </c>
      <c r="F1411" t="inlineStr">
        <is>
          <t>Holmen skog AB</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13305-2024</t>
        </is>
      </c>
      <c r="B1412" s="1" t="n">
        <v>45386</v>
      </c>
      <c r="C1412" s="1" t="n">
        <v>45507</v>
      </c>
      <c r="D1412" t="inlineStr">
        <is>
          <t>UPPSALA LÄN</t>
        </is>
      </c>
      <c r="E1412" t="inlineStr">
        <is>
          <t>UPPSALA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13303-2024</t>
        </is>
      </c>
      <c r="B1413" s="1" t="n">
        <v>45386</v>
      </c>
      <c r="C1413" s="1" t="n">
        <v>45507</v>
      </c>
      <c r="D1413" t="inlineStr">
        <is>
          <t>UPPSALA LÄN</t>
        </is>
      </c>
      <c r="E1413" t="inlineStr">
        <is>
          <t>UPPSALA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13302-2024</t>
        </is>
      </c>
      <c r="B1414" s="1" t="n">
        <v>45386</v>
      </c>
      <c r="C1414" s="1" t="n">
        <v>45507</v>
      </c>
      <c r="D1414" t="inlineStr">
        <is>
          <t>UPPSALA LÄN</t>
        </is>
      </c>
      <c r="E1414" t="inlineStr">
        <is>
          <t>UPPSALA</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13379-2024</t>
        </is>
      </c>
      <c r="B1415" s="1" t="n">
        <v>45387</v>
      </c>
      <c r="C1415" s="1" t="n">
        <v>45507</v>
      </c>
      <c r="D1415" t="inlineStr">
        <is>
          <t>UPPSALA LÄN</t>
        </is>
      </c>
      <c r="E1415" t="inlineStr">
        <is>
          <t>UPPSALA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13644-2024</t>
        </is>
      </c>
      <c r="B1416" s="1" t="n">
        <v>45390</v>
      </c>
      <c r="C1416" s="1" t="n">
        <v>45507</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13799-2024</t>
        </is>
      </c>
      <c r="B1417" s="1" t="n">
        <v>45391</v>
      </c>
      <c r="C1417" s="1" t="n">
        <v>45507</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14533-2024</t>
        </is>
      </c>
      <c r="B1418" s="1" t="n">
        <v>45394</v>
      </c>
      <c r="C1418" s="1" t="n">
        <v>45507</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14401-2024</t>
        </is>
      </c>
      <c r="B1419" s="1" t="n">
        <v>45394</v>
      </c>
      <c r="C1419" s="1" t="n">
        <v>45507</v>
      </c>
      <c r="D1419" t="inlineStr">
        <is>
          <t>UPPSALA LÄN</t>
        </is>
      </c>
      <c r="E1419" t="inlineStr">
        <is>
          <t>UPPSALA</t>
        </is>
      </c>
      <c r="F1419" t="inlineStr">
        <is>
          <t>Övriga statliga verk och myndigheter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14528-2024</t>
        </is>
      </c>
      <c r="B1420" s="1" t="n">
        <v>45394</v>
      </c>
      <c r="C1420" s="1" t="n">
        <v>45507</v>
      </c>
      <c r="D1420" t="inlineStr">
        <is>
          <t>UPPSALA LÄN</t>
        </is>
      </c>
      <c r="E1420" t="inlineStr">
        <is>
          <t>UPPSALA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14404-2024</t>
        </is>
      </c>
      <c r="B1421" s="1" t="n">
        <v>45394</v>
      </c>
      <c r="C1421" s="1" t="n">
        <v>45507</v>
      </c>
      <c r="D1421" t="inlineStr">
        <is>
          <t>UPPSALA LÄN</t>
        </is>
      </c>
      <c r="E1421" t="inlineStr">
        <is>
          <t>UPPSALA</t>
        </is>
      </c>
      <c r="F1421" t="inlineStr">
        <is>
          <t>Övriga statliga verk och myndigheter</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14523-2024</t>
        </is>
      </c>
      <c r="B1422" s="1" t="n">
        <v>45394</v>
      </c>
      <c r="C1422" s="1" t="n">
        <v>45507</v>
      </c>
      <c r="D1422" t="inlineStr">
        <is>
          <t>UPPSALA LÄN</t>
        </is>
      </c>
      <c r="E1422" t="inlineStr">
        <is>
          <t>UPPSALA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14643-2024</t>
        </is>
      </c>
      <c r="B1423" s="1" t="n">
        <v>45397</v>
      </c>
      <c r="C1423" s="1" t="n">
        <v>45507</v>
      </c>
      <c r="D1423" t="inlineStr">
        <is>
          <t>UPPSALA LÄN</t>
        </is>
      </c>
      <c r="E1423" t="inlineStr">
        <is>
          <t>UPPSALA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14672-2024</t>
        </is>
      </c>
      <c r="B1424" s="1" t="n">
        <v>45397</v>
      </c>
      <c r="C1424" s="1" t="n">
        <v>45507</v>
      </c>
      <c r="D1424" t="inlineStr">
        <is>
          <t>UPPSALA LÄN</t>
        </is>
      </c>
      <c r="E1424" t="inlineStr">
        <is>
          <t>UPPSALA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15254-2024</t>
        </is>
      </c>
      <c r="B1425" s="1" t="n">
        <v>45400</v>
      </c>
      <c r="C1425" s="1" t="n">
        <v>45507</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15255-2024</t>
        </is>
      </c>
      <c r="B1426" s="1" t="n">
        <v>45400</v>
      </c>
      <c r="C1426" s="1" t="n">
        <v>45507</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15544-2024</t>
        </is>
      </c>
      <c r="B1427" s="1" t="n">
        <v>45401</v>
      </c>
      <c r="C1427" s="1" t="n">
        <v>45507</v>
      </c>
      <c r="D1427" t="inlineStr">
        <is>
          <t>UPPSALA LÄN</t>
        </is>
      </c>
      <c r="E1427" t="inlineStr">
        <is>
          <t>UPPSALA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16434-2024</t>
        </is>
      </c>
      <c r="B1428" s="1" t="n">
        <v>45407</v>
      </c>
      <c r="C1428" s="1" t="n">
        <v>45507</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16324-2024</t>
        </is>
      </c>
      <c r="B1429" s="1" t="n">
        <v>45407</v>
      </c>
      <c r="C1429" s="1" t="n">
        <v>45507</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17146-2024</t>
        </is>
      </c>
      <c r="B1430" s="1" t="n">
        <v>45412</v>
      </c>
      <c r="C1430" s="1" t="n">
        <v>45507</v>
      </c>
      <c r="D1430" t="inlineStr">
        <is>
          <t>UPPSALA LÄN</t>
        </is>
      </c>
      <c r="E1430" t="inlineStr">
        <is>
          <t>UPPSALA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17287-2024</t>
        </is>
      </c>
      <c r="B1431" s="1" t="n">
        <v>45414</v>
      </c>
      <c r="C1431" s="1" t="n">
        <v>45507</v>
      </c>
      <c r="D1431" t="inlineStr">
        <is>
          <t>UPPSALA LÄN</t>
        </is>
      </c>
      <c r="E1431" t="inlineStr">
        <is>
          <t>UPPSALA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17761-2024</t>
        </is>
      </c>
      <c r="B1432" s="1" t="n">
        <v>45418</v>
      </c>
      <c r="C1432" s="1" t="n">
        <v>45507</v>
      </c>
      <c r="D1432" t="inlineStr">
        <is>
          <t>UPPSALA LÄN</t>
        </is>
      </c>
      <c r="E1432" t="inlineStr">
        <is>
          <t>UPPSALA</t>
        </is>
      </c>
      <c r="F1432" t="inlineStr">
        <is>
          <t>Holmen skog AB</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18069-2024</t>
        </is>
      </c>
      <c r="B1433" s="1" t="n">
        <v>45420</v>
      </c>
      <c r="C1433" s="1" t="n">
        <v>45507</v>
      </c>
      <c r="D1433" t="inlineStr">
        <is>
          <t>UPPSALA LÄN</t>
        </is>
      </c>
      <c r="E1433" t="inlineStr">
        <is>
          <t>UPPSALA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18354-2024</t>
        </is>
      </c>
      <c r="B1434" s="1" t="n">
        <v>45422</v>
      </c>
      <c r="C1434" s="1" t="n">
        <v>45507</v>
      </c>
      <c r="D1434" t="inlineStr">
        <is>
          <t>UPPSALA LÄN</t>
        </is>
      </c>
      <c r="E1434" t="inlineStr">
        <is>
          <t>UPPSALA</t>
        </is>
      </c>
      <c r="F1434" t="inlineStr">
        <is>
          <t>Holmen skog AB</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18607-2024</t>
        </is>
      </c>
      <c r="B1435" s="1" t="n">
        <v>45426</v>
      </c>
      <c r="C1435" s="1" t="n">
        <v>45507</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18677-2024</t>
        </is>
      </c>
      <c r="B1436" s="1" t="n">
        <v>45426</v>
      </c>
      <c r="C1436" s="1" t="n">
        <v>45507</v>
      </c>
      <c r="D1436" t="inlineStr">
        <is>
          <t>UPPSALA LÄN</t>
        </is>
      </c>
      <c r="E1436" t="inlineStr">
        <is>
          <t>UPPSALA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18667-2024</t>
        </is>
      </c>
      <c r="B1437" s="1" t="n">
        <v>45426</v>
      </c>
      <c r="C1437" s="1" t="n">
        <v>45507</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18670-2024</t>
        </is>
      </c>
      <c r="B1438" s="1" t="n">
        <v>45426</v>
      </c>
      <c r="C1438" s="1" t="n">
        <v>45507</v>
      </c>
      <c r="D1438" t="inlineStr">
        <is>
          <t>UPPSALA LÄN</t>
        </is>
      </c>
      <c r="E1438" t="inlineStr">
        <is>
          <t>UPPSALA</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18675-2024</t>
        </is>
      </c>
      <c r="B1439" s="1" t="n">
        <v>45426</v>
      </c>
      <c r="C1439" s="1" t="n">
        <v>45507</v>
      </c>
      <c r="D1439" t="inlineStr">
        <is>
          <t>UPPSALA LÄN</t>
        </is>
      </c>
      <c r="E1439" t="inlineStr">
        <is>
          <t>UPPSALA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18808-2024</t>
        </is>
      </c>
      <c r="B1440" s="1" t="n">
        <v>45426</v>
      </c>
      <c r="C1440" s="1" t="n">
        <v>45507</v>
      </c>
      <c r="D1440" t="inlineStr">
        <is>
          <t>UPPSALA LÄN</t>
        </is>
      </c>
      <c r="E1440" t="inlineStr">
        <is>
          <t>UPPSALA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18668-2024</t>
        </is>
      </c>
      <c r="B1441" s="1" t="n">
        <v>45426</v>
      </c>
      <c r="C1441" s="1" t="n">
        <v>45507</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19164-2024</t>
        </is>
      </c>
      <c r="B1442" s="1" t="n">
        <v>45428</v>
      </c>
      <c r="C1442" s="1" t="n">
        <v>45507</v>
      </c>
      <c r="D1442" t="inlineStr">
        <is>
          <t>UPPSALA LÄN</t>
        </is>
      </c>
      <c r="E1442" t="inlineStr">
        <is>
          <t>UPPSALA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19126-2024</t>
        </is>
      </c>
      <c r="B1443" s="1" t="n">
        <v>45428</v>
      </c>
      <c r="C1443" s="1" t="n">
        <v>45507</v>
      </c>
      <c r="D1443" t="inlineStr">
        <is>
          <t>UPPSALA LÄN</t>
        </is>
      </c>
      <c r="E1443" t="inlineStr">
        <is>
          <t>UPPSALA</t>
        </is>
      </c>
      <c r="F1443" t="inlineStr">
        <is>
          <t>Allmännings- och besparingsskogar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19414-2024</t>
        </is>
      </c>
      <c r="B1444" s="1" t="n">
        <v>45429</v>
      </c>
      <c r="C1444" s="1" t="n">
        <v>45507</v>
      </c>
      <c r="D1444" t="inlineStr">
        <is>
          <t>UPPSALA LÄN</t>
        </is>
      </c>
      <c r="E1444" t="inlineStr">
        <is>
          <t>UPPSALA</t>
        </is>
      </c>
      <c r="F1444" t="inlineStr">
        <is>
          <t>Kyrkan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19539-2024</t>
        </is>
      </c>
      <c r="B1445" s="1" t="n">
        <v>45429</v>
      </c>
      <c r="C1445" s="1" t="n">
        <v>45507</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20466-2024</t>
        </is>
      </c>
      <c r="B1446" s="1" t="n">
        <v>45435</v>
      </c>
      <c r="C1446" s="1" t="n">
        <v>45507</v>
      </c>
      <c r="D1446" t="inlineStr">
        <is>
          <t>UPPSALA LÄN</t>
        </is>
      </c>
      <c r="E1446" t="inlineStr">
        <is>
          <t>UPPSALA</t>
        </is>
      </c>
      <c r="F1446" t="inlineStr">
        <is>
          <t>Holmen skog AB</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20297-2024</t>
        </is>
      </c>
      <c r="B1447" s="1" t="n">
        <v>45435</v>
      </c>
      <c r="C1447" s="1" t="n">
        <v>45507</v>
      </c>
      <c r="D1447" t="inlineStr">
        <is>
          <t>UPPSALA LÄN</t>
        </is>
      </c>
      <c r="E1447" t="inlineStr">
        <is>
          <t>UPPSALA</t>
        </is>
      </c>
      <c r="F1447" t="inlineStr">
        <is>
          <t>Kyrkan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20301-2024</t>
        </is>
      </c>
      <c r="B1448" s="1" t="n">
        <v>45435</v>
      </c>
      <c r="C1448" s="1" t="n">
        <v>45507</v>
      </c>
      <c r="D1448" t="inlineStr">
        <is>
          <t>UPPSALA LÄN</t>
        </is>
      </c>
      <c r="E1448" t="inlineStr">
        <is>
          <t>UPPSALA</t>
        </is>
      </c>
      <c r="F1448" t="inlineStr">
        <is>
          <t>Kyrkan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20375-2024</t>
        </is>
      </c>
      <c r="B1449" s="1" t="n">
        <v>45435</v>
      </c>
      <c r="C1449" s="1" t="n">
        <v>45507</v>
      </c>
      <c r="D1449" t="inlineStr">
        <is>
          <t>UPPSALA LÄN</t>
        </is>
      </c>
      <c r="E1449" t="inlineStr">
        <is>
          <t>UPPSALA</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20459-2024</t>
        </is>
      </c>
      <c r="B1450" s="1" t="n">
        <v>45435</v>
      </c>
      <c r="C1450" s="1" t="n">
        <v>45507</v>
      </c>
      <c r="D1450" t="inlineStr">
        <is>
          <t>UPPSALA LÄN</t>
        </is>
      </c>
      <c r="E1450" t="inlineStr">
        <is>
          <t>UPPSALA</t>
        </is>
      </c>
      <c r="F1450" t="inlineStr">
        <is>
          <t>Kyrkan</t>
        </is>
      </c>
      <c r="G1450" t="n">
        <v>15.8</v>
      </c>
      <c r="H1450" t="n">
        <v>0</v>
      </c>
      <c r="I1450" t="n">
        <v>0</v>
      </c>
      <c r="J1450" t="n">
        <v>0</v>
      </c>
      <c r="K1450" t="n">
        <v>0</v>
      </c>
      <c r="L1450" t="n">
        <v>0</v>
      </c>
      <c r="M1450" t="n">
        <v>0</v>
      </c>
      <c r="N1450" t="n">
        <v>0</v>
      </c>
      <c r="O1450" t="n">
        <v>0</v>
      </c>
      <c r="P1450" t="n">
        <v>0</v>
      </c>
      <c r="Q1450" t="n">
        <v>0</v>
      </c>
      <c r="R1450" s="2" t="inlineStr"/>
    </row>
    <row r="1451" ht="15" customHeight="1">
      <c r="A1451" t="inlineStr">
        <is>
          <t>A 20458-2024</t>
        </is>
      </c>
      <c r="B1451" s="1" t="n">
        <v>45435</v>
      </c>
      <c r="C1451" s="1" t="n">
        <v>45507</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20711-2024</t>
        </is>
      </c>
      <c r="B1452" s="1" t="n">
        <v>45436</v>
      </c>
      <c r="C1452" s="1" t="n">
        <v>45507</v>
      </c>
      <c r="D1452" t="inlineStr">
        <is>
          <t>UPPSALA LÄN</t>
        </is>
      </c>
      <c r="E1452" t="inlineStr">
        <is>
          <t>UPPSALA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20851-2024</t>
        </is>
      </c>
      <c r="B1453" s="1" t="n">
        <v>45439</v>
      </c>
      <c r="C1453" s="1" t="n">
        <v>45507</v>
      </c>
      <c r="D1453" t="inlineStr">
        <is>
          <t>UPPSALA LÄN</t>
        </is>
      </c>
      <c r="E1453" t="inlineStr">
        <is>
          <t>UPPSALA</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21015-2024</t>
        </is>
      </c>
      <c r="B1454" s="1" t="n">
        <v>45439</v>
      </c>
      <c r="C1454" s="1" t="n">
        <v>45507</v>
      </c>
      <c r="D1454" t="inlineStr">
        <is>
          <t>UPPSALA LÄN</t>
        </is>
      </c>
      <c r="E1454" t="inlineStr">
        <is>
          <t>UPPSALA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20903-2024</t>
        </is>
      </c>
      <c r="B1455" s="1" t="n">
        <v>45439</v>
      </c>
      <c r="C1455" s="1" t="n">
        <v>45507</v>
      </c>
      <c r="D1455" t="inlineStr">
        <is>
          <t>UPPSALA LÄN</t>
        </is>
      </c>
      <c r="E1455" t="inlineStr">
        <is>
          <t>UPPSALA</t>
        </is>
      </c>
      <c r="F1455" t="inlineStr">
        <is>
          <t>Holmen skog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21182-2024</t>
        </is>
      </c>
      <c r="B1456" s="1" t="n">
        <v>45440</v>
      </c>
      <c r="C1456" s="1" t="n">
        <v>45507</v>
      </c>
      <c r="D1456" t="inlineStr">
        <is>
          <t>UPPSALA LÄN</t>
        </is>
      </c>
      <c r="E1456" t="inlineStr">
        <is>
          <t>UPPSALA</t>
        </is>
      </c>
      <c r="F1456" t="inlineStr">
        <is>
          <t>Holmen skog AB</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21310-2024</t>
        </is>
      </c>
      <c r="B1457" s="1" t="n">
        <v>45440</v>
      </c>
      <c r="C1457" s="1" t="n">
        <v>45507</v>
      </c>
      <c r="D1457" t="inlineStr">
        <is>
          <t>UPPSALA LÄN</t>
        </is>
      </c>
      <c r="E1457" t="inlineStr">
        <is>
          <t>UPPSALA</t>
        </is>
      </c>
      <c r="F1457" t="inlineStr">
        <is>
          <t>Holmen skog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21526-2024</t>
        </is>
      </c>
      <c r="B1458" s="1" t="n">
        <v>45441</v>
      </c>
      <c r="C1458" s="1" t="n">
        <v>45507</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21555-2024</t>
        </is>
      </c>
      <c r="B1459" s="1" t="n">
        <v>45441</v>
      </c>
      <c r="C1459" s="1" t="n">
        <v>45507</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21657-2024</t>
        </is>
      </c>
      <c r="B1460" s="1" t="n">
        <v>45442</v>
      </c>
      <c r="C1460" s="1" t="n">
        <v>45507</v>
      </c>
      <c r="D1460" t="inlineStr">
        <is>
          <t>UPPSALA LÄN</t>
        </is>
      </c>
      <c r="E1460" t="inlineStr">
        <is>
          <t>UPPSALA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21786-2024</t>
        </is>
      </c>
      <c r="B1461" s="1" t="n">
        <v>45442</v>
      </c>
      <c r="C1461" s="1" t="n">
        <v>45507</v>
      </c>
      <c r="D1461" t="inlineStr">
        <is>
          <t>UPPSALA LÄN</t>
        </is>
      </c>
      <c r="E1461" t="inlineStr">
        <is>
          <t>UPPSALA</t>
        </is>
      </c>
      <c r="F1461" t="inlineStr">
        <is>
          <t>Allmännings- och besparingsskogar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21641-2024</t>
        </is>
      </c>
      <c r="B1462" s="1" t="n">
        <v>45442</v>
      </c>
      <c r="C1462" s="1" t="n">
        <v>45507</v>
      </c>
      <c r="D1462" t="inlineStr">
        <is>
          <t>UPPSALA LÄN</t>
        </is>
      </c>
      <c r="E1462" t="inlineStr">
        <is>
          <t>UPPSALA</t>
        </is>
      </c>
      <c r="F1462" t="inlineStr">
        <is>
          <t>Kyrkan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21859-2024</t>
        </is>
      </c>
      <c r="B1463" s="1" t="n">
        <v>45443</v>
      </c>
      <c r="C1463" s="1" t="n">
        <v>45507</v>
      </c>
      <c r="D1463" t="inlineStr">
        <is>
          <t>UPPSALA LÄN</t>
        </is>
      </c>
      <c r="E1463" t="inlineStr">
        <is>
          <t>UPPSALA</t>
        </is>
      </c>
      <c r="F1463" t="inlineStr">
        <is>
          <t>Kyrkan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22431-2024</t>
        </is>
      </c>
      <c r="B1464" s="1" t="n">
        <v>45446</v>
      </c>
      <c r="C1464" s="1" t="n">
        <v>45507</v>
      </c>
      <c r="D1464" t="inlineStr">
        <is>
          <t>UPPSALA LÄN</t>
        </is>
      </c>
      <c r="E1464" t="inlineStr">
        <is>
          <t>UPPSALA</t>
        </is>
      </c>
      <c r="F1464" t="inlineStr">
        <is>
          <t>Bergvik skog öst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22437-2024</t>
        </is>
      </c>
      <c r="B1465" s="1" t="n">
        <v>45446</v>
      </c>
      <c r="C1465" s="1" t="n">
        <v>45507</v>
      </c>
      <c r="D1465" t="inlineStr">
        <is>
          <t>UPPSALA LÄN</t>
        </is>
      </c>
      <c r="E1465" t="inlineStr">
        <is>
          <t>UPPSALA</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22433-2024</t>
        </is>
      </c>
      <c r="B1466" s="1" t="n">
        <v>45446</v>
      </c>
      <c r="C1466" s="1" t="n">
        <v>45507</v>
      </c>
      <c r="D1466" t="inlineStr">
        <is>
          <t>UPPSALA LÄN</t>
        </is>
      </c>
      <c r="E1466" t="inlineStr">
        <is>
          <t>UPPSALA</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22432-2024</t>
        </is>
      </c>
      <c r="B1467" s="1" t="n">
        <v>45446</v>
      </c>
      <c r="C1467" s="1" t="n">
        <v>45507</v>
      </c>
      <c r="D1467" t="inlineStr">
        <is>
          <t>UPPSALA LÄN</t>
        </is>
      </c>
      <c r="E1467" t="inlineStr">
        <is>
          <t>UPPSALA</t>
        </is>
      </c>
      <c r="F1467" t="inlineStr">
        <is>
          <t>Bergvik skog öst AB</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22900-2024</t>
        </is>
      </c>
      <c r="B1468" s="1" t="n">
        <v>45448</v>
      </c>
      <c r="C1468" s="1" t="n">
        <v>45507</v>
      </c>
      <c r="D1468" t="inlineStr">
        <is>
          <t>UPPSALA LÄN</t>
        </is>
      </c>
      <c r="E1468" t="inlineStr">
        <is>
          <t>UPPSALA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23291-2024</t>
        </is>
      </c>
      <c r="B1469" s="1" t="n">
        <v>45453</v>
      </c>
      <c r="C1469" s="1" t="n">
        <v>45507</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23494-2024</t>
        </is>
      </c>
      <c r="B1470" s="1" t="n">
        <v>45453</v>
      </c>
      <c r="C1470" s="1" t="n">
        <v>45507</v>
      </c>
      <c r="D1470" t="inlineStr">
        <is>
          <t>UPPSALA LÄN</t>
        </is>
      </c>
      <c r="E1470" t="inlineStr">
        <is>
          <t>UPPSALA</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24098-2024</t>
        </is>
      </c>
      <c r="B1471" s="1" t="n">
        <v>45456</v>
      </c>
      <c r="C1471" s="1" t="n">
        <v>45507</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24091-2024</t>
        </is>
      </c>
      <c r="B1472" s="1" t="n">
        <v>45456</v>
      </c>
      <c r="C1472" s="1" t="n">
        <v>45507</v>
      </c>
      <c r="D1472" t="inlineStr">
        <is>
          <t>UPPSALA LÄN</t>
        </is>
      </c>
      <c r="E1472" t="inlineStr">
        <is>
          <t>UPPSALA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24787-2024</t>
        </is>
      </c>
      <c r="B1473" s="1" t="n">
        <v>45460</v>
      </c>
      <c r="C1473" s="1" t="n">
        <v>45507</v>
      </c>
      <c r="D1473" t="inlineStr">
        <is>
          <t>UPPSALA LÄN</t>
        </is>
      </c>
      <c r="E1473" t="inlineStr">
        <is>
          <t>UPPSALA</t>
        </is>
      </c>
      <c r="F1473" t="inlineStr">
        <is>
          <t>Övriga Aktiebolag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45507</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25537-2024</t>
        </is>
      </c>
      <c r="B1475" s="1" t="n">
        <v>45463</v>
      </c>
      <c r="C1475" s="1" t="n">
        <v>45507</v>
      </c>
      <c r="D1475" t="inlineStr">
        <is>
          <t>UPPSALA LÄN</t>
        </is>
      </c>
      <c r="E1475" t="inlineStr">
        <is>
          <t>UPPSALA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25536-2024</t>
        </is>
      </c>
      <c r="B1476" s="1" t="n">
        <v>45463</v>
      </c>
      <c r="C1476" s="1" t="n">
        <v>45507</v>
      </c>
      <c r="D1476" t="inlineStr">
        <is>
          <t>UPPSALA LÄN</t>
        </is>
      </c>
      <c r="E1476" t="inlineStr">
        <is>
          <t>UPPSALA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25487-2024</t>
        </is>
      </c>
      <c r="B1477" s="1" t="n">
        <v>45463</v>
      </c>
      <c r="C1477" s="1" t="n">
        <v>45507</v>
      </c>
      <c r="D1477" t="inlineStr">
        <is>
          <t>UPPSALA LÄN</t>
        </is>
      </c>
      <c r="E1477" t="inlineStr">
        <is>
          <t>UPPSALA</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25403-2024</t>
        </is>
      </c>
      <c r="B1478" s="1" t="n">
        <v>45463</v>
      </c>
      <c r="C1478" s="1" t="n">
        <v>45507</v>
      </c>
      <c r="D1478" t="inlineStr">
        <is>
          <t>UPPSALA LÄN</t>
        </is>
      </c>
      <c r="E1478" t="inlineStr">
        <is>
          <t>UPPSALA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25490-2024</t>
        </is>
      </c>
      <c r="B1479" s="1" t="n">
        <v>45463</v>
      </c>
      <c r="C1479" s="1" t="n">
        <v>45507</v>
      </c>
      <c r="D1479" t="inlineStr">
        <is>
          <t>UPPSALA LÄN</t>
        </is>
      </c>
      <c r="E1479" t="inlineStr">
        <is>
          <t>UPPSALA</t>
        </is>
      </c>
      <c r="F1479" t="inlineStr">
        <is>
          <t>Övriga Aktiebolag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26099-2024</t>
        </is>
      </c>
      <c r="B1480" s="1" t="n">
        <v>45468</v>
      </c>
      <c r="C1480" s="1" t="n">
        <v>45507</v>
      </c>
      <c r="D1480" t="inlineStr">
        <is>
          <t>UPPSALA LÄN</t>
        </is>
      </c>
      <c r="E1480" t="inlineStr">
        <is>
          <t>UPPSALA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27476-2024</t>
        </is>
      </c>
      <c r="B1481" s="1" t="n">
        <v>45474</v>
      </c>
      <c r="C1481" s="1" t="n">
        <v>45507</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27473-2024</t>
        </is>
      </c>
      <c r="B1482" s="1" t="n">
        <v>45474</v>
      </c>
      <c r="C1482" s="1" t="n">
        <v>45507</v>
      </c>
      <c r="D1482" t="inlineStr">
        <is>
          <t>UPPSALA LÄN</t>
        </is>
      </c>
      <c r="E1482" t="inlineStr">
        <is>
          <t>UPPSALA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27442-2024</t>
        </is>
      </c>
      <c r="B1483" s="1" t="n">
        <v>45474</v>
      </c>
      <c r="C1483" s="1" t="n">
        <v>45507</v>
      </c>
      <c r="D1483" t="inlineStr">
        <is>
          <t>UPPSALA LÄN</t>
        </is>
      </c>
      <c r="E1483" t="inlineStr">
        <is>
          <t>UPPSALA</t>
        </is>
      </c>
      <c r="F1483" t="inlineStr">
        <is>
          <t>Holmen skog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27474-2024</t>
        </is>
      </c>
      <c r="B1484" s="1" t="n">
        <v>45474</v>
      </c>
      <c r="C1484" s="1" t="n">
        <v>45507</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27498-2024</t>
        </is>
      </c>
      <c r="B1485" s="1" t="n">
        <v>45474</v>
      </c>
      <c r="C1485" s="1" t="n">
        <v>45507</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27857-2024</t>
        </is>
      </c>
      <c r="B1486" s="1" t="n">
        <v>45475</v>
      </c>
      <c r="C1486" s="1" t="n">
        <v>45507</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27994-2024</t>
        </is>
      </c>
      <c r="B1487" s="1" t="n">
        <v>45476</v>
      </c>
      <c r="C1487" s="1" t="n">
        <v>45507</v>
      </c>
      <c r="D1487" t="inlineStr">
        <is>
          <t>UPPSALA LÄN</t>
        </is>
      </c>
      <c r="E1487" t="inlineStr">
        <is>
          <t>UPPSALA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27981-2024</t>
        </is>
      </c>
      <c r="B1488" s="1" t="n">
        <v>45476</v>
      </c>
      <c r="C1488" s="1" t="n">
        <v>45507</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27973-2024</t>
        </is>
      </c>
      <c r="B1489" s="1" t="n">
        <v>45476</v>
      </c>
      <c r="C1489" s="1" t="n">
        <v>45507</v>
      </c>
      <c r="D1489" t="inlineStr">
        <is>
          <t>UPPSALA LÄN</t>
        </is>
      </c>
      <c r="E1489" t="inlineStr">
        <is>
          <t>UPPSALA</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28453-2024</t>
        </is>
      </c>
      <c r="B1490" s="1" t="n">
        <v>45477</v>
      </c>
      <c r="C1490" s="1" t="n">
        <v>45507</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28825-2024</t>
        </is>
      </c>
      <c r="B1491" s="1" t="n">
        <v>45478</v>
      </c>
      <c r="C1491" s="1" t="n">
        <v>45507</v>
      </c>
      <c r="D1491" t="inlineStr">
        <is>
          <t>UPPSALA LÄN</t>
        </is>
      </c>
      <c r="E1491" t="inlineStr">
        <is>
          <t>UPPSALA</t>
        </is>
      </c>
      <c r="F1491" t="inlineStr">
        <is>
          <t>Holmen skog AB</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28782-2024</t>
        </is>
      </c>
      <c r="B1492" s="1" t="n">
        <v>45478</v>
      </c>
      <c r="C1492" s="1" t="n">
        <v>45507</v>
      </c>
      <c r="D1492" t="inlineStr">
        <is>
          <t>UPPSALA LÄN</t>
        </is>
      </c>
      <c r="E1492" t="inlineStr">
        <is>
          <t>UPPSALA</t>
        </is>
      </c>
      <c r="F1492" t="inlineStr">
        <is>
          <t>Holmen skog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29082-2024</t>
        </is>
      </c>
      <c r="B1493" s="1" t="n">
        <v>45481</v>
      </c>
      <c r="C1493" s="1" t="n">
        <v>45507</v>
      </c>
      <c r="D1493" t="inlineStr">
        <is>
          <t>UPPSALA LÄN</t>
        </is>
      </c>
      <c r="E1493" t="inlineStr">
        <is>
          <t>UPPSALA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29081-2024</t>
        </is>
      </c>
      <c r="B1494" s="1" t="n">
        <v>45481</v>
      </c>
      <c r="C1494" s="1" t="n">
        <v>45507</v>
      </c>
      <c r="D1494" t="inlineStr">
        <is>
          <t>UPPSALA LÄN</t>
        </is>
      </c>
      <c r="E1494" t="inlineStr">
        <is>
          <t>UPPSALA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29164-2024</t>
        </is>
      </c>
      <c r="B1495" s="1" t="n">
        <v>45482</v>
      </c>
      <c r="C1495" s="1" t="n">
        <v>45507</v>
      </c>
      <c r="D1495" t="inlineStr">
        <is>
          <t>UPPSALA LÄN</t>
        </is>
      </c>
      <c r="E1495" t="inlineStr">
        <is>
          <t>UPPSALA</t>
        </is>
      </c>
      <c r="F1495" t="inlineStr">
        <is>
          <t>Allmännings- och besparingsskogar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30079-2024</t>
        </is>
      </c>
      <c r="B1496" s="1" t="n">
        <v>45489</v>
      </c>
      <c r="C1496" s="1" t="n">
        <v>45507</v>
      </c>
      <c r="D1496" t="inlineStr">
        <is>
          <t>UPPSALA LÄN</t>
        </is>
      </c>
      <c r="E1496" t="inlineStr">
        <is>
          <t>UPPSALA</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45507</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c r="A1498" t="inlineStr">
        <is>
          <t>A 31073-2024</t>
        </is>
      </c>
      <c r="B1498" s="1" t="n">
        <v>45502</v>
      </c>
      <c r="C1498" s="1" t="n">
        <v>45507</v>
      </c>
      <c r="D1498" t="inlineStr">
        <is>
          <t>UPPSALA LÄN</t>
        </is>
      </c>
      <c r="E1498" t="inlineStr">
        <is>
          <t>UPPSALA</t>
        </is>
      </c>
      <c r="G1498" t="n">
        <v>12.9</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2024-08-03T10:34:49Z</dcterms:created>
  <dcterms:modified xmlns:dcterms="http://purl.org/dc/terms/" xmlns:xsi="http://www.w3.org/2001/XMLSchema-instance" xsi:type="dcterms:W3CDTF">2024-08-03T10:34:50Z</dcterms:modified>
</cp:coreProperties>
</file>