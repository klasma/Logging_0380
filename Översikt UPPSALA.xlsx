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45340</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45340</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45340</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45340</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45340</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45340</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45340</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45340</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45340</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45340</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45340</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45340</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45340</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45340</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45340</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45340</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45340</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45340</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45340</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45340</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45340</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45340</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45340</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45340</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45340</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45340</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45340</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45340</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45340</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45340</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45340</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45340</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45340</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45340</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45340</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45340</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45340</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45340</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45340</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45340</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45340</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45340</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45340</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45340</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45340</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45340</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45340</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45340</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45340</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45340</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45340</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45340</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45340</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45340</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45340</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45340</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45340</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45340</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45340</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45340</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45340</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45340</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45340</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45340</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45340</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45340</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45340</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45340</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45340</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45340</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45340</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45340</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45340</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45340</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45340</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45340</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45340</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45340</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45340</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45340</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45340</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45340</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45340</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45340</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45340</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45340</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45340</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45340</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45340</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45340</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45340</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45340</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45340</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45340</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45340</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45340</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45340</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45340</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45340</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45340</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45340</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45340</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45340</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45340</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45340</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45340</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45340</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45340</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45340</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45340</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45340</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45340</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45340</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45340</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45340</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45340</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45340</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45340</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45340</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45340</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45340</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45340</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45340</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45340</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45340</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45340</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45340</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45340</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45340</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45340</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45340</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45340</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45340</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45340</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45340</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45340</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45340</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45340</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45340</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45340</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45340</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34956-2018</t>
        </is>
      </c>
      <c r="B145" s="1" t="n">
        <v>43321</v>
      </c>
      <c r="C145" s="1" t="n">
        <v>45340</v>
      </c>
      <c r="D145" t="inlineStr">
        <is>
          <t>UPPSALA LÄN</t>
        </is>
      </c>
      <c r="E145" t="inlineStr">
        <is>
          <t>UPPSALA</t>
        </is>
      </c>
      <c r="G145" t="n">
        <v>7.9</v>
      </c>
      <c r="H145" t="n">
        <v>0</v>
      </c>
      <c r="I145" t="n">
        <v>0</v>
      </c>
      <c r="J145" t="n">
        <v>0</v>
      </c>
      <c r="K145" t="n">
        <v>0</v>
      </c>
      <c r="L145" t="n">
        <v>0</v>
      </c>
      <c r="M145" t="n">
        <v>0</v>
      </c>
      <c r="N145" t="n">
        <v>0</v>
      </c>
      <c r="O145" t="n">
        <v>0</v>
      </c>
      <c r="P145" t="n">
        <v>0</v>
      </c>
      <c r="Q145" t="n">
        <v>0</v>
      </c>
      <c r="R145" s="2" t="inlineStr"/>
    </row>
    <row r="146" ht="15" customHeight="1">
      <c r="A146" t="inlineStr">
        <is>
          <t>A 34957-2018</t>
        </is>
      </c>
      <c r="B146" s="1" t="n">
        <v>43321</v>
      </c>
      <c r="C146" s="1" t="n">
        <v>45340</v>
      </c>
      <c r="D146" t="inlineStr">
        <is>
          <t>UPPSALA LÄN</t>
        </is>
      </c>
      <c r="E146" t="inlineStr">
        <is>
          <t>UPPSALA</t>
        </is>
      </c>
      <c r="G146" t="n">
        <v>13.2</v>
      </c>
      <c r="H146" t="n">
        <v>0</v>
      </c>
      <c r="I146" t="n">
        <v>0</v>
      </c>
      <c r="J146" t="n">
        <v>0</v>
      </c>
      <c r="K146" t="n">
        <v>0</v>
      </c>
      <c r="L146" t="n">
        <v>0</v>
      </c>
      <c r="M146" t="n">
        <v>0</v>
      </c>
      <c r="N146" t="n">
        <v>0</v>
      </c>
      <c r="O146" t="n">
        <v>0</v>
      </c>
      <c r="P146" t="n">
        <v>0</v>
      </c>
      <c r="Q146" t="n">
        <v>0</v>
      </c>
      <c r="R146" s="2" t="inlineStr"/>
    </row>
    <row r="147" ht="15" customHeight="1">
      <c r="A147" t="inlineStr">
        <is>
          <t>A 38599-2018</t>
        </is>
      </c>
      <c r="B147" s="1" t="n">
        <v>43335</v>
      </c>
      <c r="C147" s="1" t="n">
        <v>45340</v>
      </c>
      <c r="D147" t="inlineStr">
        <is>
          <t>UPPSALA LÄN</t>
        </is>
      </c>
      <c r="E147" t="inlineStr">
        <is>
          <t>UPPSALA</t>
        </is>
      </c>
      <c r="G147" t="n">
        <v>1.4</v>
      </c>
      <c r="H147" t="n">
        <v>0</v>
      </c>
      <c r="I147" t="n">
        <v>0</v>
      </c>
      <c r="J147" t="n">
        <v>0</v>
      </c>
      <c r="K147" t="n">
        <v>0</v>
      </c>
      <c r="L147" t="n">
        <v>0</v>
      </c>
      <c r="M147" t="n">
        <v>0</v>
      </c>
      <c r="N147" t="n">
        <v>0</v>
      </c>
      <c r="O147" t="n">
        <v>0</v>
      </c>
      <c r="P147" t="n">
        <v>0</v>
      </c>
      <c r="Q147" t="n">
        <v>0</v>
      </c>
      <c r="R147" s="2" t="inlineStr"/>
    </row>
    <row r="148" ht="15" customHeight="1">
      <c r="A148" t="inlineStr">
        <is>
          <t>A 39217-2018</t>
        </is>
      </c>
      <c r="B148" s="1" t="n">
        <v>43341</v>
      </c>
      <c r="C148" s="1" t="n">
        <v>45340</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41580-2018</t>
        </is>
      </c>
      <c r="B149" s="1" t="n">
        <v>43347</v>
      </c>
      <c r="C149" s="1" t="n">
        <v>45340</v>
      </c>
      <c r="D149" t="inlineStr">
        <is>
          <t>UPPSALA LÄN</t>
        </is>
      </c>
      <c r="E149" t="inlineStr">
        <is>
          <t>UPPSALA</t>
        </is>
      </c>
      <c r="G149" t="n">
        <v>1.6</v>
      </c>
      <c r="H149" t="n">
        <v>0</v>
      </c>
      <c r="I149" t="n">
        <v>0</v>
      </c>
      <c r="J149" t="n">
        <v>0</v>
      </c>
      <c r="K149" t="n">
        <v>0</v>
      </c>
      <c r="L149" t="n">
        <v>0</v>
      </c>
      <c r="M149" t="n">
        <v>0</v>
      </c>
      <c r="N149" t="n">
        <v>0</v>
      </c>
      <c r="O149" t="n">
        <v>0</v>
      </c>
      <c r="P149" t="n">
        <v>0</v>
      </c>
      <c r="Q149" t="n">
        <v>0</v>
      </c>
      <c r="R149" s="2" t="inlineStr"/>
    </row>
    <row r="150" ht="15" customHeight="1">
      <c r="A150" t="inlineStr">
        <is>
          <t>A 44234-2018</t>
        </is>
      </c>
      <c r="B150" s="1" t="n">
        <v>43355</v>
      </c>
      <c r="C150" s="1" t="n">
        <v>45340</v>
      </c>
      <c r="D150" t="inlineStr">
        <is>
          <t>UPPSALA LÄN</t>
        </is>
      </c>
      <c r="E150" t="inlineStr">
        <is>
          <t>UPPSALA</t>
        </is>
      </c>
      <c r="G150" t="n">
        <v>1.1</v>
      </c>
      <c r="H150" t="n">
        <v>0</v>
      </c>
      <c r="I150" t="n">
        <v>0</v>
      </c>
      <c r="J150" t="n">
        <v>0</v>
      </c>
      <c r="K150" t="n">
        <v>0</v>
      </c>
      <c r="L150" t="n">
        <v>0</v>
      </c>
      <c r="M150" t="n">
        <v>0</v>
      </c>
      <c r="N150" t="n">
        <v>0</v>
      </c>
      <c r="O150" t="n">
        <v>0</v>
      </c>
      <c r="P150" t="n">
        <v>0</v>
      </c>
      <c r="Q150" t="n">
        <v>0</v>
      </c>
      <c r="R150" s="2" t="inlineStr"/>
    </row>
    <row r="151" ht="15" customHeight="1">
      <c r="A151" t="inlineStr">
        <is>
          <t>A 44178-2018</t>
        </is>
      </c>
      <c r="B151" s="1" t="n">
        <v>43360</v>
      </c>
      <c r="C151" s="1" t="n">
        <v>45340</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49847-2018</t>
        </is>
      </c>
      <c r="B152" s="1" t="n">
        <v>43377</v>
      </c>
      <c r="C152" s="1" t="n">
        <v>45340</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51192-2018</t>
        </is>
      </c>
      <c r="B153" s="1" t="n">
        <v>43378</v>
      </c>
      <c r="C153" s="1" t="n">
        <v>45340</v>
      </c>
      <c r="D153" t="inlineStr">
        <is>
          <t>UPPSALA LÄN</t>
        </is>
      </c>
      <c r="E153" t="inlineStr">
        <is>
          <t>UPPSALA</t>
        </is>
      </c>
      <c r="F153" t="inlineStr">
        <is>
          <t>Allmännings- och besparingsskogar</t>
        </is>
      </c>
      <c r="G153" t="n">
        <v>5.6</v>
      </c>
      <c r="H153" t="n">
        <v>0</v>
      </c>
      <c r="I153" t="n">
        <v>0</v>
      </c>
      <c r="J153" t="n">
        <v>0</v>
      </c>
      <c r="K153" t="n">
        <v>0</v>
      </c>
      <c r="L153" t="n">
        <v>0</v>
      </c>
      <c r="M153" t="n">
        <v>0</v>
      </c>
      <c r="N153" t="n">
        <v>0</v>
      </c>
      <c r="O153" t="n">
        <v>0</v>
      </c>
      <c r="P153" t="n">
        <v>0</v>
      </c>
      <c r="Q153" t="n">
        <v>0</v>
      </c>
      <c r="R153" s="2" t="inlineStr"/>
    </row>
    <row r="154" ht="15" customHeight="1">
      <c r="A154" t="inlineStr">
        <is>
          <t>A 50380-2018</t>
        </is>
      </c>
      <c r="B154" s="1" t="n">
        <v>43378</v>
      </c>
      <c r="C154" s="1" t="n">
        <v>45340</v>
      </c>
      <c r="D154" t="inlineStr">
        <is>
          <t>UPPSALA LÄN</t>
        </is>
      </c>
      <c r="E154" t="inlineStr">
        <is>
          <t>UPPSALA</t>
        </is>
      </c>
      <c r="G154" t="n">
        <v>10.8</v>
      </c>
      <c r="H154" t="n">
        <v>0</v>
      </c>
      <c r="I154" t="n">
        <v>0</v>
      </c>
      <c r="J154" t="n">
        <v>0</v>
      </c>
      <c r="K154" t="n">
        <v>0</v>
      </c>
      <c r="L154" t="n">
        <v>0</v>
      </c>
      <c r="M154" t="n">
        <v>0</v>
      </c>
      <c r="N154" t="n">
        <v>0</v>
      </c>
      <c r="O154" t="n">
        <v>0</v>
      </c>
      <c r="P154" t="n">
        <v>0</v>
      </c>
      <c r="Q154" t="n">
        <v>0</v>
      </c>
      <c r="R154" s="2" t="inlineStr"/>
    </row>
    <row r="155" ht="15" customHeight="1">
      <c r="A155" t="inlineStr">
        <is>
          <t>A 51187-2018</t>
        </is>
      </c>
      <c r="B155" s="1" t="n">
        <v>43378</v>
      </c>
      <c r="C155" s="1" t="n">
        <v>45340</v>
      </c>
      <c r="D155" t="inlineStr">
        <is>
          <t>UPPSALA LÄN</t>
        </is>
      </c>
      <c r="E155" t="inlineStr">
        <is>
          <t>UPPSALA</t>
        </is>
      </c>
      <c r="F155" t="inlineStr">
        <is>
          <t>Allmännings- och besparingsskogar</t>
        </is>
      </c>
      <c r="G155" t="n">
        <v>21.1</v>
      </c>
      <c r="H155" t="n">
        <v>0</v>
      </c>
      <c r="I155" t="n">
        <v>0</v>
      </c>
      <c r="J155" t="n">
        <v>0</v>
      </c>
      <c r="K155" t="n">
        <v>0</v>
      </c>
      <c r="L155" t="n">
        <v>0</v>
      </c>
      <c r="M155" t="n">
        <v>0</v>
      </c>
      <c r="N155" t="n">
        <v>0</v>
      </c>
      <c r="O155" t="n">
        <v>0</v>
      </c>
      <c r="P155" t="n">
        <v>0</v>
      </c>
      <c r="Q155" t="n">
        <v>0</v>
      </c>
      <c r="R155" s="2" t="inlineStr"/>
    </row>
    <row r="156" ht="15" customHeight="1">
      <c r="A156" t="inlineStr">
        <is>
          <t>A 51664-2018</t>
        </is>
      </c>
      <c r="B156" s="1" t="n">
        <v>43381</v>
      </c>
      <c r="C156" s="1" t="n">
        <v>45340</v>
      </c>
      <c r="D156" t="inlineStr">
        <is>
          <t>UPPSALA LÄN</t>
        </is>
      </c>
      <c r="E156" t="inlineStr">
        <is>
          <t>UPPSALA</t>
        </is>
      </c>
      <c r="F156" t="inlineStr">
        <is>
          <t>Övriga statliga verk och myndigheter</t>
        </is>
      </c>
      <c r="G156" t="n">
        <v>0.4</v>
      </c>
      <c r="H156" t="n">
        <v>0</v>
      </c>
      <c r="I156" t="n">
        <v>0</v>
      </c>
      <c r="J156" t="n">
        <v>0</v>
      </c>
      <c r="K156" t="n">
        <v>0</v>
      </c>
      <c r="L156" t="n">
        <v>0</v>
      </c>
      <c r="M156" t="n">
        <v>0</v>
      </c>
      <c r="N156" t="n">
        <v>0</v>
      </c>
      <c r="O156" t="n">
        <v>0</v>
      </c>
      <c r="P156" t="n">
        <v>0</v>
      </c>
      <c r="Q156" t="n">
        <v>0</v>
      </c>
      <c r="R156" s="2" t="inlineStr"/>
    </row>
    <row r="157" ht="15" customHeight="1">
      <c r="A157" t="inlineStr">
        <is>
          <t>A 51656-2018</t>
        </is>
      </c>
      <c r="B157" s="1" t="n">
        <v>43381</v>
      </c>
      <c r="C157" s="1" t="n">
        <v>45340</v>
      </c>
      <c r="D157" t="inlineStr">
        <is>
          <t>UPPSALA LÄN</t>
        </is>
      </c>
      <c r="E157" t="inlineStr">
        <is>
          <t>UPPSALA</t>
        </is>
      </c>
      <c r="F157" t="inlineStr">
        <is>
          <t>Övriga statliga verk och myndigheter</t>
        </is>
      </c>
      <c r="G157" t="n">
        <v>1.2</v>
      </c>
      <c r="H157" t="n">
        <v>0</v>
      </c>
      <c r="I157" t="n">
        <v>0</v>
      </c>
      <c r="J157" t="n">
        <v>0</v>
      </c>
      <c r="K157" t="n">
        <v>0</v>
      </c>
      <c r="L157" t="n">
        <v>0</v>
      </c>
      <c r="M157" t="n">
        <v>0</v>
      </c>
      <c r="N157" t="n">
        <v>0</v>
      </c>
      <c r="O157" t="n">
        <v>0</v>
      </c>
      <c r="P157" t="n">
        <v>0</v>
      </c>
      <c r="Q157" t="n">
        <v>0</v>
      </c>
      <c r="R157" s="2" t="inlineStr"/>
    </row>
    <row r="158" ht="15" customHeight="1">
      <c r="A158" t="inlineStr">
        <is>
          <t>A 52762-2018</t>
        </is>
      </c>
      <c r="B158" s="1" t="n">
        <v>43389</v>
      </c>
      <c r="C158" s="1" t="n">
        <v>45340</v>
      </c>
      <c r="D158" t="inlineStr">
        <is>
          <t>UPPSALA LÄN</t>
        </is>
      </c>
      <c r="E158" t="inlineStr">
        <is>
          <t>UPPSALA</t>
        </is>
      </c>
      <c r="G158" t="n">
        <v>8</v>
      </c>
      <c r="H158" t="n">
        <v>0</v>
      </c>
      <c r="I158" t="n">
        <v>0</v>
      </c>
      <c r="J158" t="n">
        <v>0</v>
      </c>
      <c r="K158" t="n">
        <v>0</v>
      </c>
      <c r="L158" t="n">
        <v>0</v>
      </c>
      <c r="M158" t="n">
        <v>0</v>
      </c>
      <c r="N158" t="n">
        <v>0</v>
      </c>
      <c r="O158" t="n">
        <v>0</v>
      </c>
      <c r="P158" t="n">
        <v>0</v>
      </c>
      <c r="Q158" t="n">
        <v>0</v>
      </c>
      <c r="R158" s="2" t="inlineStr"/>
    </row>
    <row r="159" ht="15" customHeight="1">
      <c r="A159" t="inlineStr">
        <is>
          <t>A 56382-2018</t>
        </is>
      </c>
      <c r="B159" s="1" t="n">
        <v>43395</v>
      </c>
      <c r="C159" s="1" t="n">
        <v>45340</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55829-2018</t>
        </is>
      </c>
      <c r="B160" s="1" t="n">
        <v>43398</v>
      </c>
      <c r="C160" s="1" t="n">
        <v>45340</v>
      </c>
      <c r="D160" t="inlineStr">
        <is>
          <t>UPPSALA LÄN</t>
        </is>
      </c>
      <c r="E160" t="inlineStr">
        <is>
          <t>UPPSALA</t>
        </is>
      </c>
      <c r="F160" t="inlineStr">
        <is>
          <t>Bergvik skog öst AB</t>
        </is>
      </c>
      <c r="G160" t="n">
        <v>4.6</v>
      </c>
      <c r="H160" t="n">
        <v>0</v>
      </c>
      <c r="I160" t="n">
        <v>0</v>
      </c>
      <c r="J160" t="n">
        <v>0</v>
      </c>
      <c r="K160" t="n">
        <v>0</v>
      </c>
      <c r="L160" t="n">
        <v>0</v>
      </c>
      <c r="M160" t="n">
        <v>0</v>
      </c>
      <c r="N160" t="n">
        <v>0</v>
      </c>
      <c r="O160" t="n">
        <v>0</v>
      </c>
      <c r="P160" t="n">
        <v>0</v>
      </c>
      <c r="Q160" t="n">
        <v>0</v>
      </c>
      <c r="R160" s="2" t="inlineStr"/>
    </row>
    <row r="161" ht="15" customHeight="1">
      <c r="A161" t="inlineStr">
        <is>
          <t>A 60554-2018</t>
        </is>
      </c>
      <c r="B161" s="1" t="n">
        <v>43407</v>
      </c>
      <c r="C161" s="1" t="n">
        <v>45340</v>
      </c>
      <c r="D161" t="inlineStr">
        <is>
          <t>UPPSALA LÄN</t>
        </is>
      </c>
      <c r="E161" t="inlineStr">
        <is>
          <t>UPPSALA</t>
        </is>
      </c>
      <c r="G161" t="n">
        <v>5.4</v>
      </c>
      <c r="H161" t="n">
        <v>0</v>
      </c>
      <c r="I161" t="n">
        <v>0</v>
      </c>
      <c r="J161" t="n">
        <v>0</v>
      </c>
      <c r="K161" t="n">
        <v>0</v>
      </c>
      <c r="L161" t="n">
        <v>0</v>
      </c>
      <c r="M161" t="n">
        <v>0</v>
      </c>
      <c r="N161" t="n">
        <v>0</v>
      </c>
      <c r="O161" t="n">
        <v>0</v>
      </c>
      <c r="P161" t="n">
        <v>0</v>
      </c>
      <c r="Q161" t="n">
        <v>0</v>
      </c>
      <c r="R161" s="2" t="inlineStr"/>
    </row>
    <row r="162" ht="15" customHeight="1">
      <c r="A162" t="inlineStr">
        <is>
          <t>A 59095-2018</t>
        </is>
      </c>
      <c r="B162" s="1" t="n">
        <v>43411</v>
      </c>
      <c r="C162" s="1" t="n">
        <v>45340</v>
      </c>
      <c r="D162" t="inlineStr">
        <is>
          <t>UPPSALA LÄN</t>
        </is>
      </c>
      <c r="E162" t="inlineStr">
        <is>
          <t>UPPSALA</t>
        </is>
      </c>
      <c r="F162" t="inlineStr">
        <is>
          <t>Allmännings- och besparingsskogar</t>
        </is>
      </c>
      <c r="G162" t="n">
        <v>18.7</v>
      </c>
      <c r="H162" t="n">
        <v>0</v>
      </c>
      <c r="I162" t="n">
        <v>0</v>
      </c>
      <c r="J162" t="n">
        <v>0</v>
      </c>
      <c r="K162" t="n">
        <v>0</v>
      </c>
      <c r="L162" t="n">
        <v>0</v>
      </c>
      <c r="M162" t="n">
        <v>0</v>
      </c>
      <c r="N162" t="n">
        <v>0</v>
      </c>
      <c r="O162" t="n">
        <v>0</v>
      </c>
      <c r="P162" t="n">
        <v>0</v>
      </c>
      <c r="Q162" t="n">
        <v>0</v>
      </c>
      <c r="R162" s="2" t="inlineStr"/>
    </row>
    <row r="163" ht="15" customHeight="1">
      <c r="A163" t="inlineStr">
        <is>
          <t>A 63084-2018</t>
        </is>
      </c>
      <c r="B163" s="1" t="n">
        <v>43418</v>
      </c>
      <c r="C163" s="1" t="n">
        <v>45340</v>
      </c>
      <c r="D163" t="inlineStr">
        <is>
          <t>UPPSALA LÄN</t>
        </is>
      </c>
      <c r="E163" t="inlineStr">
        <is>
          <t>UPPSALA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60396-2018</t>
        </is>
      </c>
      <c r="B164" s="1" t="n">
        <v>43420</v>
      </c>
      <c r="C164" s="1" t="n">
        <v>45340</v>
      </c>
      <c r="D164" t="inlineStr">
        <is>
          <t>UPPSALA LÄN</t>
        </is>
      </c>
      <c r="E164" t="inlineStr">
        <is>
          <t>UPPSALA</t>
        </is>
      </c>
      <c r="F164" t="inlineStr">
        <is>
          <t>Bergvik skog öst AB</t>
        </is>
      </c>
      <c r="G164" t="n">
        <v>3.5</v>
      </c>
      <c r="H164" t="n">
        <v>0</v>
      </c>
      <c r="I164" t="n">
        <v>0</v>
      </c>
      <c r="J164" t="n">
        <v>0</v>
      </c>
      <c r="K164" t="n">
        <v>0</v>
      </c>
      <c r="L164" t="n">
        <v>0</v>
      </c>
      <c r="M164" t="n">
        <v>0</v>
      </c>
      <c r="N164" t="n">
        <v>0</v>
      </c>
      <c r="O164" t="n">
        <v>0</v>
      </c>
      <c r="P164" t="n">
        <v>0</v>
      </c>
      <c r="Q164" t="n">
        <v>0</v>
      </c>
      <c r="R164" s="2" t="inlineStr"/>
    </row>
    <row r="165" ht="15" customHeight="1">
      <c r="A165" t="inlineStr">
        <is>
          <t>A 61154-2018</t>
        </is>
      </c>
      <c r="B165" s="1" t="n">
        <v>43423</v>
      </c>
      <c r="C165" s="1" t="n">
        <v>45340</v>
      </c>
      <c r="D165" t="inlineStr">
        <is>
          <t>UPPSALA LÄN</t>
        </is>
      </c>
      <c r="E165" t="inlineStr">
        <is>
          <t>UPPSALA</t>
        </is>
      </c>
      <c r="G165" t="n">
        <v>3.8</v>
      </c>
      <c r="H165" t="n">
        <v>0</v>
      </c>
      <c r="I165" t="n">
        <v>0</v>
      </c>
      <c r="J165" t="n">
        <v>0</v>
      </c>
      <c r="K165" t="n">
        <v>0</v>
      </c>
      <c r="L165" t="n">
        <v>0</v>
      </c>
      <c r="M165" t="n">
        <v>0</v>
      </c>
      <c r="N165" t="n">
        <v>0</v>
      </c>
      <c r="O165" t="n">
        <v>0</v>
      </c>
      <c r="P165" t="n">
        <v>0</v>
      </c>
      <c r="Q165" t="n">
        <v>0</v>
      </c>
      <c r="R165" s="2" t="inlineStr"/>
    </row>
    <row r="166" ht="15" customHeight="1">
      <c r="A166" t="inlineStr">
        <is>
          <t>A 61230-2018</t>
        </is>
      </c>
      <c r="B166" s="1" t="n">
        <v>43423</v>
      </c>
      <c r="C166" s="1" t="n">
        <v>45340</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61542-2018</t>
        </is>
      </c>
      <c r="B167" s="1" t="n">
        <v>43424</v>
      </c>
      <c r="C167" s="1" t="n">
        <v>45340</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61437-2018</t>
        </is>
      </c>
      <c r="B168" s="1" t="n">
        <v>43424</v>
      </c>
      <c r="C168" s="1" t="n">
        <v>45340</v>
      </c>
      <c r="D168" t="inlineStr">
        <is>
          <t>UPPSALA LÄN</t>
        </is>
      </c>
      <c r="E168" t="inlineStr">
        <is>
          <t>UPPSALA</t>
        </is>
      </c>
      <c r="G168" t="n">
        <v>0.2</v>
      </c>
      <c r="H168" t="n">
        <v>0</v>
      </c>
      <c r="I168" t="n">
        <v>0</v>
      </c>
      <c r="J168" t="n">
        <v>0</v>
      </c>
      <c r="K168" t="n">
        <v>0</v>
      </c>
      <c r="L168" t="n">
        <v>0</v>
      </c>
      <c r="M168" t="n">
        <v>0</v>
      </c>
      <c r="N168" t="n">
        <v>0</v>
      </c>
      <c r="O168" t="n">
        <v>0</v>
      </c>
      <c r="P168" t="n">
        <v>0</v>
      </c>
      <c r="Q168" t="n">
        <v>0</v>
      </c>
      <c r="R168" s="2" t="inlineStr"/>
    </row>
    <row r="169" ht="15" customHeight="1">
      <c r="A169" t="inlineStr">
        <is>
          <t>A 61537-2018</t>
        </is>
      </c>
      <c r="B169" s="1" t="n">
        <v>43424</v>
      </c>
      <c r="C169" s="1" t="n">
        <v>45340</v>
      </c>
      <c r="D169" t="inlineStr">
        <is>
          <t>UPPSALA LÄN</t>
        </is>
      </c>
      <c r="E169" t="inlineStr">
        <is>
          <t>UPPSALA</t>
        </is>
      </c>
      <c r="F169" t="inlineStr">
        <is>
          <t>Bergvik skog öst AB</t>
        </is>
      </c>
      <c r="G169" t="n">
        <v>3.1</v>
      </c>
      <c r="H169" t="n">
        <v>0</v>
      </c>
      <c r="I169" t="n">
        <v>0</v>
      </c>
      <c r="J169" t="n">
        <v>0</v>
      </c>
      <c r="K169" t="n">
        <v>0</v>
      </c>
      <c r="L169" t="n">
        <v>0</v>
      </c>
      <c r="M169" t="n">
        <v>0</v>
      </c>
      <c r="N169" t="n">
        <v>0</v>
      </c>
      <c r="O169" t="n">
        <v>0</v>
      </c>
      <c r="P169" t="n">
        <v>0</v>
      </c>
      <c r="Q169" t="n">
        <v>0</v>
      </c>
      <c r="R169" s="2" t="inlineStr"/>
    </row>
    <row r="170" ht="15" customHeight="1">
      <c r="A170" t="inlineStr">
        <is>
          <t>A 66329-2018</t>
        </is>
      </c>
      <c r="B170" s="1" t="n">
        <v>43427</v>
      </c>
      <c r="C170" s="1" t="n">
        <v>45340</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63962-2018</t>
        </is>
      </c>
      <c r="B171" s="1" t="n">
        <v>43430</v>
      </c>
      <c r="C171" s="1" t="n">
        <v>45340</v>
      </c>
      <c r="D171" t="inlineStr">
        <is>
          <t>UPPSALA LÄN</t>
        </is>
      </c>
      <c r="E171" t="inlineStr">
        <is>
          <t>UPPSALA</t>
        </is>
      </c>
      <c r="G171" t="n">
        <v>2.9</v>
      </c>
      <c r="H171" t="n">
        <v>0</v>
      </c>
      <c r="I171" t="n">
        <v>0</v>
      </c>
      <c r="J171" t="n">
        <v>0</v>
      </c>
      <c r="K171" t="n">
        <v>0</v>
      </c>
      <c r="L171" t="n">
        <v>0</v>
      </c>
      <c r="M171" t="n">
        <v>0</v>
      </c>
      <c r="N171" t="n">
        <v>0</v>
      </c>
      <c r="O171" t="n">
        <v>0</v>
      </c>
      <c r="P171" t="n">
        <v>0</v>
      </c>
      <c r="Q171" t="n">
        <v>0</v>
      </c>
      <c r="R171" s="2" t="inlineStr"/>
    </row>
    <row r="172" ht="15" customHeight="1">
      <c r="A172" t="inlineStr">
        <is>
          <t>A 64854-2018</t>
        </is>
      </c>
      <c r="B172" s="1" t="n">
        <v>43431</v>
      </c>
      <c r="C172" s="1" t="n">
        <v>45340</v>
      </c>
      <c r="D172" t="inlineStr">
        <is>
          <t>UPPSALA LÄN</t>
        </is>
      </c>
      <c r="E172" t="inlineStr">
        <is>
          <t>UPPSALA</t>
        </is>
      </c>
      <c r="G172" t="n">
        <v>4.4</v>
      </c>
      <c r="H172" t="n">
        <v>0</v>
      </c>
      <c r="I172" t="n">
        <v>0</v>
      </c>
      <c r="J172" t="n">
        <v>0</v>
      </c>
      <c r="K172" t="n">
        <v>0</v>
      </c>
      <c r="L172" t="n">
        <v>0</v>
      </c>
      <c r="M172" t="n">
        <v>0</v>
      </c>
      <c r="N172" t="n">
        <v>0</v>
      </c>
      <c r="O172" t="n">
        <v>0</v>
      </c>
      <c r="P172" t="n">
        <v>0</v>
      </c>
      <c r="Q172" t="n">
        <v>0</v>
      </c>
      <c r="R172" s="2" t="inlineStr"/>
    </row>
    <row r="173" ht="15" customHeight="1">
      <c r="A173" t="inlineStr">
        <is>
          <t>A 65389-2018</t>
        </is>
      </c>
      <c r="B173" s="1" t="n">
        <v>43433</v>
      </c>
      <c r="C173" s="1" t="n">
        <v>45340</v>
      </c>
      <c r="D173" t="inlineStr">
        <is>
          <t>UPPSALA LÄN</t>
        </is>
      </c>
      <c r="E173" t="inlineStr">
        <is>
          <t>UPPSALA</t>
        </is>
      </c>
      <c r="G173" t="n">
        <v>1.1</v>
      </c>
      <c r="H173" t="n">
        <v>0</v>
      </c>
      <c r="I173" t="n">
        <v>0</v>
      </c>
      <c r="J173" t="n">
        <v>0</v>
      </c>
      <c r="K173" t="n">
        <v>0</v>
      </c>
      <c r="L173" t="n">
        <v>0</v>
      </c>
      <c r="M173" t="n">
        <v>0</v>
      </c>
      <c r="N173" t="n">
        <v>0</v>
      </c>
      <c r="O173" t="n">
        <v>0</v>
      </c>
      <c r="P173" t="n">
        <v>0</v>
      </c>
      <c r="Q173" t="n">
        <v>0</v>
      </c>
      <c r="R173" s="2" t="inlineStr"/>
    </row>
    <row r="174" ht="15" customHeight="1">
      <c r="A174" t="inlineStr">
        <is>
          <t>A 65590-2018</t>
        </is>
      </c>
      <c r="B174" s="1" t="n">
        <v>43433</v>
      </c>
      <c r="C174" s="1" t="n">
        <v>45340</v>
      </c>
      <c r="D174" t="inlineStr">
        <is>
          <t>UPPSALA LÄN</t>
        </is>
      </c>
      <c r="E174" t="inlineStr">
        <is>
          <t>UPPSALA</t>
        </is>
      </c>
      <c r="G174" t="n">
        <v>5.5</v>
      </c>
      <c r="H174" t="n">
        <v>0</v>
      </c>
      <c r="I174" t="n">
        <v>0</v>
      </c>
      <c r="J174" t="n">
        <v>0</v>
      </c>
      <c r="K174" t="n">
        <v>0</v>
      </c>
      <c r="L174" t="n">
        <v>0</v>
      </c>
      <c r="M174" t="n">
        <v>0</v>
      </c>
      <c r="N174" t="n">
        <v>0</v>
      </c>
      <c r="O174" t="n">
        <v>0</v>
      </c>
      <c r="P174" t="n">
        <v>0</v>
      </c>
      <c r="Q174" t="n">
        <v>0</v>
      </c>
      <c r="R174" s="2" t="inlineStr"/>
    </row>
    <row r="175" ht="15" customHeight="1">
      <c r="A175" t="inlineStr">
        <is>
          <t>A 65785-2018</t>
        </is>
      </c>
      <c r="B175" s="1" t="n">
        <v>43433</v>
      </c>
      <c r="C175" s="1" t="n">
        <v>45340</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65486-2018</t>
        </is>
      </c>
      <c r="B176" s="1" t="n">
        <v>43433</v>
      </c>
      <c r="C176" s="1" t="n">
        <v>45340</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67906-2018</t>
        </is>
      </c>
      <c r="B177" s="1" t="n">
        <v>43436</v>
      </c>
      <c r="C177" s="1" t="n">
        <v>45340</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67910-2018</t>
        </is>
      </c>
      <c r="B178" s="1" t="n">
        <v>43436</v>
      </c>
      <c r="C178" s="1" t="n">
        <v>45340</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66589-2018</t>
        </is>
      </c>
      <c r="B179" s="1" t="n">
        <v>43437</v>
      </c>
      <c r="C179" s="1" t="n">
        <v>45340</v>
      </c>
      <c r="D179" t="inlineStr">
        <is>
          <t>UPPSALA LÄN</t>
        </is>
      </c>
      <c r="E179" t="inlineStr">
        <is>
          <t>UPPSALA</t>
        </is>
      </c>
      <c r="G179" t="n">
        <v>4.7</v>
      </c>
      <c r="H179" t="n">
        <v>0</v>
      </c>
      <c r="I179" t="n">
        <v>0</v>
      </c>
      <c r="J179" t="n">
        <v>0</v>
      </c>
      <c r="K179" t="n">
        <v>0</v>
      </c>
      <c r="L179" t="n">
        <v>0</v>
      </c>
      <c r="M179" t="n">
        <v>0</v>
      </c>
      <c r="N179" t="n">
        <v>0</v>
      </c>
      <c r="O179" t="n">
        <v>0</v>
      </c>
      <c r="P179" t="n">
        <v>0</v>
      </c>
      <c r="Q179" t="n">
        <v>0</v>
      </c>
      <c r="R179" s="2" t="inlineStr"/>
    </row>
    <row r="180" ht="15" customHeight="1">
      <c r="A180" t="inlineStr">
        <is>
          <t>A 67431-2018</t>
        </is>
      </c>
      <c r="B180" s="1" t="n">
        <v>43439</v>
      </c>
      <c r="C180" s="1" t="n">
        <v>45340</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69939-2018</t>
        </is>
      </c>
      <c r="B181" s="1" t="n">
        <v>43444</v>
      </c>
      <c r="C181" s="1" t="n">
        <v>45340</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69019-2018</t>
        </is>
      </c>
      <c r="B182" s="1" t="n">
        <v>43445</v>
      </c>
      <c r="C182" s="1" t="n">
        <v>45340</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69515-2018</t>
        </is>
      </c>
      <c r="B183" s="1" t="n">
        <v>43446</v>
      </c>
      <c r="C183" s="1" t="n">
        <v>45340</v>
      </c>
      <c r="D183" t="inlineStr">
        <is>
          <t>UPPSALA LÄN</t>
        </is>
      </c>
      <c r="E183" t="inlineStr">
        <is>
          <t>UPPSALA</t>
        </is>
      </c>
      <c r="G183" t="n">
        <v>0.4</v>
      </c>
      <c r="H183" t="n">
        <v>0</v>
      </c>
      <c r="I183" t="n">
        <v>0</v>
      </c>
      <c r="J183" t="n">
        <v>0</v>
      </c>
      <c r="K183" t="n">
        <v>0</v>
      </c>
      <c r="L183" t="n">
        <v>0</v>
      </c>
      <c r="M183" t="n">
        <v>0</v>
      </c>
      <c r="N183" t="n">
        <v>0</v>
      </c>
      <c r="O183" t="n">
        <v>0</v>
      </c>
      <c r="P183" t="n">
        <v>0</v>
      </c>
      <c r="Q183" t="n">
        <v>0</v>
      </c>
      <c r="R183" s="2" t="inlineStr"/>
    </row>
    <row r="184" ht="15" customHeight="1">
      <c r="A184" t="inlineStr">
        <is>
          <t>A 69517-2018</t>
        </is>
      </c>
      <c r="B184" s="1" t="n">
        <v>43446</v>
      </c>
      <c r="C184" s="1" t="n">
        <v>45340</v>
      </c>
      <c r="D184" t="inlineStr">
        <is>
          <t>UPPSALA LÄN</t>
        </is>
      </c>
      <c r="E184" t="inlineStr">
        <is>
          <t>UPPSALA</t>
        </is>
      </c>
      <c r="G184" t="n">
        <v>1</v>
      </c>
      <c r="H184" t="n">
        <v>0</v>
      </c>
      <c r="I184" t="n">
        <v>0</v>
      </c>
      <c r="J184" t="n">
        <v>0</v>
      </c>
      <c r="K184" t="n">
        <v>0</v>
      </c>
      <c r="L184" t="n">
        <v>0</v>
      </c>
      <c r="M184" t="n">
        <v>0</v>
      </c>
      <c r="N184" t="n">
        <v>0</v>
      </c>
      <c r="O184" t="n">
        <v>0</v>
      </c>
      <c r="P184" t="n">
        <v>0</v>
      </c>
      <c r="Q184" t="n">
        <v>0</v>
      </c>
      <c r="R184" s="2" t="inlineStr"/>
    </row>
    <row r="185" ht="15" customHeight="1">
      <c r="A185" t="inlineStr">
        <is>
          <t>A 69884-2018</t>
        </is>
      </c>
      <c r="B185" s="1" t="n">
        <v>43447</v>
      </c>
      <c r="C185" s="1" t="n">
        <v>45340</v>
      </c>
      <c r="D185" t="inlineStr">
        <is>
          <t>UPPSALA LÄN</t>
        </is>
      </c>
      <c r="E185" t="inlineStr">
        <is>
          <t>UPPSALA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69890-2018</t>
        </is>
      </c>
      <c r="B186" s="1" t="n">
        <v>43447</v>
      </c>
      <c r="C186" s="1" t="n">
        <v>45340</v>
      </c>
      <c r="D186" t="inlineStr">
        <is>
          <t>UPPSALA LÄN</t>
        </is>
      </c>
      <c r="E186" t="inlineStr">
        <is>
          <t>UPPSALA</t>
        </is>
      </c>
      <c r="G186" t="n">
        <v>1.9</v>
      </c>
      <c r="H186" t="n">
        <v>0</v>
      </c>
      <c r="I186" t="n">
        <v>0</v>
      </c>
      <c r="J186" t="n">
        <v>0</v>
      </c>
      <c r="K186" t="n">
        <v>0</v>
      </c>
      <c r="L186" t="n">
        <v>0</v>
      </c>
      <c r="M186" t="n">
        <v>0</v>
      </c>
      <c r="N186" t="n">
        <v>0</v>
      </c>
      <c r="O186" t="n">
        <v>0</v>
      </c>
      <c r="P186" t="n">
        <v>0</v>
      </c>
      <c r="Q186" t="n">
        <v>0</v>
      </c>
      <c r="R186" s="2" t="inlineStr"/>
    </row>
    <row r="187" ht="15" customHeight="1">
      <c r="A187" t="inlineStr">
        <is>
          <t>A 69703-2018</t>
        </is>
      </c>
      <c r="B187" s="1" t="n">
        <v>43447</v>
      </c>
      <c r="C187" s="1" t="n">
        <v>45340</v>
      </c>
      <c r="D187" t="inlineStr">
        <is>
          <t>UPPSALA LÄN</t>
        </is>
      </c>
      <c r="E187" t="inlineStr">
        <is>
          <t>UPPSALA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71256-2018</t>
        </is>
      </c>
      <c r="B188" s="1" t="n">
        <v>43451</v>
      </c>
      <c r="C188" s="1" t="n">
        <v>45340</v>
      </c>
      <c r="D188" t="inlineStr">
        <is>
          <t>UPPSALA LÄN</t>
        </is>
      </c>
      <c r="E188" t="inlineStr">
        <is>
          <t>UPPSALA</t>
        </is>
      </c>
      <c r="G188" t="n">
        <v>3.4</v>
      </c>
      <c r="H188" t="n">
        <v>0</v>
      </c>
      <c r="I188" t="n">
        <v>0</v>
      </c>
      <c r="J188" t="n">
        <v>0</v>
      </c>
      <c r="K188" t="n">
        <v>0</v>
      </c>
      <c r="L188" t="n">
        <v>0</v>
      </c>
      <c r="M188" t="n">
        <v>0</v>
      </c>
      <c r="N188" t="n">
        <v>0</v>
      </c>
      <c r="O188" t="n">
        <v>0</v>
      </c>
      <c r="P188" t="n">
        <v>0</v>
      </c>
      <c r="Q188" t="n">
        <v>0</v>
      </c>
      <c r="R188" s="2" t="inlineStr"/>
    </row>
    <row r="189" ht="15" customHeight="1">
      <c r="A189" t="inlineStr">
        <is>
          <t>A 71279-2018</t>
        </is>
      </c>
      <c r="B189" s="1" t="n">
        <v>43451</v>
      </c>
      <c r="C189" s="1" t="n">
        <v>45340</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71413-2018</t>
        </is>
      </c>
      <c r="B190" s="1" t="n">
        <v>43451</v>
      </c>
      <c r="C190" s="1" t="n">
        <v>45340</v>
      </c>
      <c r="D190" t="inlineStr">
        <is>
          <t>UPPSALA LÄN</t>
        </is>
      </c>
      <c r="E190" t="inlineStr">
        <is>
          <t>UPPSALA</t>
        </is>
      </c>
      <c r="G190" t="n">
        <v>5.5</v>
      </c>
      <c r="H190" t="n">
        <v>0</v>
      </c>
      <c r="I190" t="n">
        <v>0</v>
      </c>
      <c r="J190" t="n">
        <v>0</v>
      </c>
      <c r="K190" t="n">
        <v>0</v>
      </c>
      <c r="L190" t="n">
        <v>0</v>
      </c>
      <c r="M190" t="n">
        <v>0</v>
      </c>
      <c r="N190" t="n">
        <v>0</v>
      </c>
      <c r="O190" t="n">
        <v>0</v>
      </c>
      <c r="P190" t="n">
        <v>0</v>
      </c>
      <c r="Q190" t="n">
        <v>0</v>
      </c>
      <c r="R190" s="2" t="inlineStr"/>
    </row>
    <row r="191" ht="15" customHeight="1">
      <c r="A191" t="inlineStr">
        <is>
          <t>A 70953-2018</t>
        </is>
      </c>
      <c r="B191" s="1" t="n">
        <v>43452</v>
      </c>
      <c r="C191" s="1" t="n">
        <v>45340</v>
      </c>
      <c r="D191" t="inlineStr">
        <is>
          <t>UPPSALA LÄN</t>
        </is>
      </c>
      <c r="E191" t="inlineStr">
        <is>
          <t>UPPSALA</t>
        </is>
      </c>
      <c r="G191" t="n">
        <v>1</v>
      </c>
      <c r="H191" t="n">
        <v>0</v>
      </c>
      <c r="I191" t="n">
        <v>0</v>
      </c>
      <c r="J191" t="n">
        <v>0</v>
      </c>
      <c r="K191" t="n">
        <v>0</v>
      </c>
      <c r="L191" t="n">
        <v>0</v>
      </c>
      <c r="M191" t="n">
        <v>0</v>
      </c>
      <c r="N191" t="n">
        <v>0</v>
      </c>
      <c r="O191" t="n">
        <v>0</v>
      </c>
      <c r="P191" t="n">
        <v>0</v>
      </c>
      <c r="Q191" t="n">
        <v>0</v>
      </c>
      <c r="R191" s="2" t="inlineStr"/>
    </row>
    <row r="192" ht="15" customHeight="1">
      <c r="A192" t="inlineStr">
        <is>
          <t>A 71556-2018</t>
        </is>
      </c>
      <c r="B192" s="1" t="n">
        <v>43452</v>
      </c>
      <c r="C192" s="1" t="n">
        <v>45340</v>
      </c>
      <c r="D192" t="inlineStr">
        <is>
          <t>UPPSALA LÄN</t>
        </is>
      </c>
      <c r="E192" t="inlineStr">
        <is>
          <t>UPPSALA</t>
        </is>
      </c>
      <c r="G192" t="n">
        <v>2.4</v>
      </c>
      <c r="H192" t="n">
        <v>0</v>
      </c>
      <c r="I192" t="n">
        <v>0</v>
      </c>
      <c r="J192" t="n">
        <v>0</v>
      </c>
      <c r="K192" t="n">
        <v>0</v>
      </c>
      <c r="L192" t="n">
        <v>0</v>
      </c>
      <c r="M192" t="n">
        <v>0</v>
      </c>
      <c r="N192" t="n">
        <v>0</v>
      </c>
      <c r="O192" t="n">
        <v>0</v>
      </c>
      <c r="P192" t="n">
        <v>0</v>
      </c>
      <c r="Q192" t="n">
        <v>0</v>
      </c>
      <c r="R192" s="2" t="inlineStr"/>
    </row>
    <row r="193" ht="15" customHeight="1">
      <c r="A193" t="inlineStr">
        <is>
          <t>A 72072-2018</t>
        </is>
      </c>
      <c r="B193" s="1" t="n">
        <v>43455</v>
      </c>
      <c r="C193" s="1" t="n">
        <v>45340</v>
      </c>
      <c r="D193" t="inlineStr">
        <is>
          <t>UPPSALA LÄN</t>
        </is>
      </c>
      <c r="E193" t="inlineStr">
        <is>
          <t>UPPSALA</t>
        </is>
      </c>
      <c r="G193" t="n">
        <v>29.4</v>
      </c>
      <c r="H193" t="n">
        <v>0</v>
      </c>
      <c r="I193" t="n">
        <v>0</v>
      </c>
      <c r="J193" t="n">
        <v>0</v>
      </c>
      <c r="K193" t="n">
        <v>0</v>
      </c>
      <c r="L193" t="n">
        <v>0</v>
      </c>
      <c r="M193" t="n">
        <v>0</v>
      </c>
      <c r="N193" t="n">
        <v>0</v>
      </c>
      <c r="O193" t="n">
        <v>0</v>
      </c>
      <c r="P193" t="n">
        <v>0</v>
      </c>
      <c r="Q193" t="n">
        <v>0</v>
      </c>
      <c r="R193" s="2" t="inlineStr"/>
    </row>
    <row r="194" ht="15" customHeight="1">
      <c r="A194" t="inlineStr">
        <is>
          <t>A 72001-2018</t>
        </is>
      </c>
      <c r="B194" s="1" t="n">
        <v>43455</v>
      </c>
      <c r="C194" s="1" t="n">
        <v>45340</v>
      </c>
      <c r="D194" t="inlineStr">
        <is>
          <t>UPPSALA LÄN</t>
        </is>
      </c>
      <c r="E194" t="inlineStr">
        <is>
          <t>UPPSALA</t>
        </is>
      </c>
      <c r="G194" t="n">
        <v>4.7</v>
      </c>
      <c r="H194" t="n">
        <v>0</v>
      </c>
      <c r="I194" t="n">
        <v>0</v>
      </c>
      <c r="J194" t="n">
        <v>0</v>
      </c>
      <c r="K194" t="n">
        <v>0</v>
      </c>
      <c r="L194" t="n">
        <v>0</v>
      </c>
      <c r="M194" t="n">
        <v>0</v>
      </c>
      <c r="N194" t="n">
        <v>0</v>
      </c>
      <c r="O194" t="n">
        <v>0</v>
      </c>
      <c r="P194" t="n">
        <v>0</v>
      </c>
      <c r="Q194" t="n">
        <v>0</v>
      </c>
      <c r="R194" s="2" t="inlineStr"/>
    </row>
    <row r="195" ht="15" customHeight="1">
      <c r="A195" t="inlineStr">
        <is>
          <t>A 72047-2018</t>
        </is>
      </c>
      <c r="B195" s="1" t="n">
        <v>43455</v>
      </c>
      <c r="C195" s="1" t="n">
        <v>45340</v>
      </c>
      <c r="D195" t="inlineStr">
        <is>
          <t>UPPSALA LÄN</t>
        </is>
      </c>
      <c r="E195" t="inlineStr">
        <is>
          <t>UPPSALA</t>
        </is>
      </c>
      <c r="G195" t="n">
        <v>55.2</v>
      </c>
      <c r="H195" t="n">
        <v>0</v>
      </c>
      <c r="I195" t="n">
        <v>0</v>
      </c>
      <c r="J195" t="n">
        <v>0</v>
      </c>
      <c r="K195" t="n">
        <v>0</v>
      </c>
      <c r="L195" t="n">
        <v>0</v>
      </c>
      <c r="M195" t="n">
        <v>0</v>
      </c>
      <c r="N195" t="n">
        <v>0</v>
      </c>
      <c r="O195" t="n">
        <v>0</v>
      </c>
      <c r="P195" t="n">
        <v>0</v>
      </c>
      <c r="Q195" t="n">
        <v>0</v>
      </c>
      <c r="R195" s="2" t="inlineStr"/>
    </row>
    <row r="196" ht="15" customHeight="1">
      <c r="A196" t="inlineStr">
        <is>
          <t>A 72075-2018</t>
        </is>
      </c>
      <c r="B196" s="1" t="n">
        <v>43455</v>
      </c>
      <c r="C196" s="1" t="n">
        <v>45340</v>
      </c>
      <c r="D196" t="inlineStr">
        <is>
          <t>UPPSALA LÄN</t>
        </is>
      </c>
      <c r="E196" t="inlineStr">
        <is>
          <t>UPPSALA</t>
        </is>
      </c>
      <c r="G196" t="n">
        <v>13.4</v>
      </c>
      <c r="H196" t="n">
        <v>0</v>
      </c>
      <c r="I196" t="n">
        <v>0</v>
      </c>
      <c r="J196" t="n">
        <v>0</v>
      </c>
      <c r="K196" t="n">
        <v>0</v>
      </c>
      <c r="L196" t="n">
        <v>0</v>
      </c>
      <c r="M196" t="n">
        <v>0</v>
      </c>
      <c r="N196" t="n">
        <v>0</v>
      </c>
      <c r="O196" t="n">
        <v>0</v>
      </c>
      <c r="P196" t="n">
        <v>0</v>
      </c>
      <c r="Q196" t="n">
        <v>0</v>
      </c>
      <c r="R196" s="2" t="inlineStr"/>
    </row>
    <row r="197" ht="15" customHeight="1">
      <c r="A197" t="inlineStr">
        <is>
          <t>A 72346-2018</t>
        </is>
      </c>
      <c r="B197" s="1" t="n">
        <v>43460</v>
      </c>
      <c r="C197" s="1" t="n">
        <v>45340</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72644-2018</t>
        </is>
      </c>
      <c r="B198" s="1" t="n">
        <v>43464</v>
      </c>
      <c r="C198" s="1" t="n">
        <v>45340</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505-2019</t>
        </is>
      </c>
      <c r="B199" s="1" t="n">
        <v>43468</v>
      </c>
      <c r="C199" s="1" t="n">
        <v>45340</v>
      </c>
      <c r="D199" t="inlineStr">
        <is>
          <t>UPPSALA LÄN</t>
        </is>
      </c>
      <c r="E199" t="inlineStr">
        <is>
          <t>UPPSALA</t>
        </is>
      </c>
      <c r="G199" t="n">
        <v>1</v>
      </c>
      <c r="H199" t="n">
        <v>0</v>
      </c>
      <c r="I199" t="n">
        <v>0</v>
      </c>
      <c r="J199" t="n">
        <v>0</v>
      </c>
      <c r="K199" t="n">
        <v>0</v>
      </c>
      <c r="L199" t="n">
        <v>0</v>
      </c>
      <c r="M199" t="n">
        <v>0</v>
      </c>
      <c r="N199" t="n">
        <v>0</v>
      </c>
      <c r="O199" t="n">
        <v>0</v>
      </c>
      <c r="P199" t="n">
        <v>0</v>
      </c>
      <c r="Q199" t="n">
        <v>0</v>
      </c>
      <c r="R199" s="2" t="inlineStr"/>
    </row>
    <row r="200" ht="15" customHeight="1">
      <c r="A200" t="inlineStr">
        <is>
          <t>A 836-2019</t>
        </is>
      </c>
      <c r="B200" s="1" t="n">
        <v>43472</v>
      </c>
      <c r="C200" s="1" t="n">
        <v>45340</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944-2019</t>
        </is>
      </c>
      <c r="B201" s="1" t="n">
        <v>43472</v>
      </c>
      <c r="C201" s="1" t="n">
        <v>45340</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767-2019</t>
        </is>
      </c>
      <c r="B202" s="1" t="n">
        <v>43472</v>
      </c>
      <c r="C202" s="1" t="n">
        <v>45340</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793-2019</t>
        </is>
      </c>
      <c r="B203" s="1" t="n">
        <v>43472</v>
      </c>
      <c r="C203" s="1" t="n">
        <v>45340</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1178-2019</t>
        </is>
      </c>
      <c r="B204" s="1" t="n">
        <v>43473</v>
      </c>
      <c r="C204" s="1" t="n">
        <v>45340</v>
      </c>
      <c r="D204" t="inlineStr">
        <is>
          <t>UPPSALA LÄN</t>
        </is>
      </c>
      <c r="E204" t="inlineStr">
        <is>
          <t>UPPSALA</t>
        </is>
      </c>
      <c r="F204" t="inlineStr">
        <is>
          <t>Kommuner</t>
        </is>
      </c>
      <c r="G204" t="n">
        <v>17.6</v>
      </c>
      <c r="H204" t="n">
        <v>0</v>
      </c>
      <c r="I204" t="n">
        <v>0</v>
      </c>
      <c r="J204" t="n">
        <v>0</v>
      </c>
      <c r="K204" t="n">
        <v>0</v>
      </c>
      <c r="L204" t="n">
        <v>0</v>
      </c>
      <c r="M204" t="n">
        <v>0</v>
      </c>
      <c r="N204" t="n">
        <v>0</v>
      </c>
      <c r="O204" t="n">
        <v>0</v>
      </c>
      <c r="P204" t="n">
        <v>0</v>
      </c>
      <c r="Q204" t="n">
        <v>0</v>
      </c>
      <c r="R204" s="2" t="inlineStr"/>
    </row>
    <row r="205" ht="15" customHeight="1">
      <c r="A205" t="inlineStr">
        <is>
          <t>A 3035-2019</t>
        </is>
      </c>
      <c r="B205" s="1" t="n">
        <v>43473</v>
      </c>
      <c r="C205" s="1" t="n">
        <v>45340</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1314-2019</t>
        </is>
      </c>
      <c r="B206" s="1" t="n">
        <v>43473</v>
      </c>
      <c r="C206" s="1" t="n">
        <v>45340</v>
      </c>
      <c r="D206" t="inlineStr">
        <is>
          <t>UPPSALA LÄN</t>
        </is>
      </c>
      <c r="E206" t="inlineStr">
        <is>
          <t>UPPSALA</t>
        </is>
      </c>
      <c r="G206" t="n">
        <v>5.4</v>
      </c>
      <c r="H206" t="n">
        <v>0</v>
      </c>
      <c r="I206" t="n">
        <v>0</v>
      </c>
      <c r="J206" t="n">
        <v>0</v>
      </c>
      <c r="K206" t="n">
        <v>0</v>
      </c>
      <c r="L206" t="n">
        <v>0</v>
      </c>
      <c r="M206" t="n">
        <v>0</v>
      </c>
      <c r="N206" t="n">
        <v>0</v>
      </c>
      <c r="O206" t="n">
        <v>0</v>
      </c>
      <c r="P206" t="n">
        <v>0</v>
      </c>
      <c r="Q206" t="n">
        <v>0</v>
      </c>
      <c r="R206" s="2" t="inlineStr"/>
    </row>
    <row r="207" ht="15" customHeight="1">
      <c r="A207" t="inlineStr">
        <is>
          <t>A 1472-2019</t>
        </is>
      </c>
      <c r="B207" s="1" t="n">
        <v>43473</v>
      </c>
      <c r="C207" s="1" t="n">
        <v>45340</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1515-2019</t>
        </is>
      </c>
      <c r="B208" s="1" t="n">
        <v>43473</v>
      </c>
      <c r="C208" s="1" t="n">
        <v>45340</v>
      </c>
      <c r="D208" t="inlineStr">
        <is>
          <t>UPPSALA LÄN</t>
        </is>
      </c>
      <c r="E208" t="inlineStr">
        <is>
          <t>UPPSALA</t>
        </is>
      </c>
      <c r="G208" t="n">
        <v>27.9</v>
      </c>
      <c r="H208" t="n">
        <v>0</v>
      </c>
      <c r="I208" t="n">
        <v>0</v>
      </c>
      <c r="J208" t="n">
        <v>0</v>
      </c>
      <c r="K208" t="n">
        <v>0</v>
      </c>
      <c r="L208" t="n">
        <v>0</v>
      </c>
      <c r="M208" t="n">
        <v>0</v>
      </c>
      <c r="N208" t="n">
        <v>0</v>
      </c>
      <c r="O208" t="n">
        <v>0</v>
      </c>
      <c r="P208" t="n">
        <v>0</v>
      </c>
      <c r="Q208" t="n">
        <v>0</v>
      </c>
      <c r="R208" s="2" t="inlineStr"/>
    </row>
    <row r="209" ht="15" customHeight="1">
      <c r="A209" t="inlineStr">
        <is>
          <t>A 1486-2019</t>
        </is>
      </c>
      <c r="B209" s="1" t="n">
        <v>43473</v>
      </c>
      <c r="C209" s="1" t="n">
        <v>45340</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1526-2019</t>
        </is>
      </c>
      <c r="B210" s="1" t="n">
        <v>43473</v>
      </c>
      <c r="C210" s="1" t="n">
        <v>45340</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1453-2019</t>
        </is>
      </c>
      <c r="B211" s="1" t="n">
        <v>43473</v>
      </c>
      <c r="C211" s="1" t="n">
        <v>45340</v>
      </c>
      <c r="D211" t="inlineStr">
        <is>
          <t>UPPSALA LÄN</t>
        </is>
      </c>
      <c r="E211" t="inlineStr">
        <is>
          <t>UPPSALA</t>
        </is>
      </c>
      <c r="G211" t="n">
        <v>5.8</v>
      </c>
      <c r="H211" t="n">
        <v>0</v>
      </c>
      <c r="I211" t="n">
        <v>0</v>
      </c>
      <c r="J211" t="n">
        <v>0</v>
      </c>
      <c r="K211" t="n">
        <v>0</v>
      </c>
      <c r="L211" t="n">
        <v>0</v>
      </c>
      <c r="M211" t="n">
        <v>0</v>
      </c>
      <c r="N211" t="n">
        <v>0</v>
      </c>
      <c r="O211" t="n">
        <v>0</v>
      </c>
      <c r="P211" t="n">
        <v>0</v>
      </c>
      <c r="Q211" t="n">
        <v>0</v>
      </c>
      <c r="R211" s="2" t="inlineStr"/>
    </row>
    <row r="212" ht="15" customHeight="1">
      <c r="A212" t="inlineStr">
        <is>
          <t>A 1876-2019</t>
        </is>
      </c>
      <c r="B212" s="1" t="n">
        <v>43474</v>
      </c>
      <c r="C212" s="1" t="n">
        <v>45340</v>
      </c>
      <c r="D212" t="inlineStr">
        <is>
          <t>UPPSALA LÄN</t>
        </is>
      </c>
      <c r="E212" t="inlineStr">
        <is>
          <t>UPPSALA</t>
        </is>
      </c>
      <c r="G212" t="n">
        <v>6.2</v>
      </c>
      <c r="H212" t="n">
        <v>0</v>
      </c>
      <c r="I212" t="n">
        <v>0</v>
      </c>
      <c r="J212" t="n">
        <v>0</v>
      </c>
      <c r="K212" t="n">
        <v>0</v>
      </c>
      <c r="L212" t="n">
        <v>0</v>
      </c>
      <c r="M212" t="n">
        <v>0</v>
      </c>
      <c r="N212" t="n">
        <v>0</v>
      </c>
      <c r="O212" t="n">
        <v>0</v>
      </c>
      <c r="P212" t="n">
        <v>0</v>
      </c>
      <c r="Q212" t="n">
        <v>0</v>
      </c>
      <c r="R212" s="2" t="inlineStr"/>
    </row>
    <row r="213" ht="15" customHeight="1">
      <c r="A213" t="inlineStr">
        <is>
          <t>A 1604-2019</t>
        </is>
      </c>
      <c r="B213" s="1" t="n">
        <v>43474</v>
      </c>
      <c r="C213" s="1" t="n">
        <v>45340</v>
      </c>
      <c r="D213" t="inlineStr">
        <is>
          <t>UPPSALA LÄN</t>
        </is>
      </c>
      <c r="E213" t="inlineStr">
        <is>
          <t>UPPSALA</t>
        </is>
      </c>
      <c r="G213" t="n">
        <v>2.9</v>
      </c>
      <c r="H213" t="n">
        <v>0</v>
      </c>
      <c r="I213" t="n">
        <v>0</v>
      </c>
      <c r="J213" t="n">
        <v>0</v>
      </c>
      <c r="K213" t="n">
        <v>0</v>
      </c>
      <c r="L213" t="n">
        <v>0</v>
      </c>
      <c r="M213" t="n">
        <v>0</v>
      </c>
      <c r="N213" t="n">
        <v>0</v>
      </c>
      <c r="O213" t="n">
        <v>0</v>
      </c>
      <c r="P213" t="n">
        <v>0</v>
      </c>
      <c r="Q213" t="n">
        <v>0</v>
      </c>
      <c r="R213" s="2" t="inlineStr"/>
    </row>
    <row r="214" ht="15" customHeight="1">
      <c r="A214" t="inlineStr">
        <is>
          <t>A 2044-2019</t>
        </is>
      </c>
      <c r="B214" s="1" t="n">
        <v>43475</v>
      </c>
      <c r="C214" s="1" t="n">
        <v>45340</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1998-2019</t>
        </is>
      </c>
      <c r="B215" s="1" t="n">
        <v>43475</v>
      </c>
      <c r="C215" s="1" t="n">
        <v>45340</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2179-2019</t>
        </is>
      </c>
      <c r="B216" s="1" t="n">
        <v>43475</v>
      </c>
      <c r="C216" s="1" t="n">
        <v>45340</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2593-2019</t>
        </is>
      </c>
      <c r="B217" s="1" t="n">
        <v>43476</v>
      </c>
      <c r="C217" s="1" t="n">
        <v>45340</v>
      </c>
      <c r="D217" t="inlineStr">
        <is>
          <t>UPPSALA LÄN</t>
        </is>
      </c>
      <c r="E217" t="inlineStr">
        <is>
          <t>UPPSALA</t>
        </is>
      </c>
      <c r="G217" t="n">
        <v>6.2</v>
      </c>
      <c r="H217" t="n">
        <v>0</v>
      </c>
      <c r="I217" t="n">
        <v>0</v>
      </c>
      <c r="J217" t="n">
        <v>0</v>
      </c>
      <c r="K217" t="n">
        <v>0</v>
      </c>
      <c r="L217" t="n">
        <v>0</v>
      </c>
      <c r="M217" t="n">
        <v>0</v>
      </c>
      <c r="N217" t="n">
        <v>0</v>
      </c>
      <c r="O217" t="n">
        <v>0</v>
      </c>
      <c r="P217" t="n">
        <v>0</v>
      </c>
      <c r="Q217" t="n">
        <v>0</v>
      </c>
      <c r="R217" s="2" t="inlineStr"/>
    </row>
    <row r="218" ht="15" customHeight="1">
      <c r="A218" t="inlineStr">
        <is>
          <t>A 2884-2019</t>
        </is>
      </c>
      <c r="B218" s="1" t="n">
        <v>43479</v>
      </c>
      <c r="C218" s="1" t="n">
        <v>45340</v>
      </c>
      <c r="D218" t="inlineStr">
        <is>
          <t>UPPSALA LÄN</t>
        </is>
      </c>
      <c r="E218" t="inlineStr">
        <is>
          <t>UPPSALA</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3112-2019</t>
        </is>
      </c>
      <c r="B219" s="1" t="n">
        <v>43479</v>
      </c>
      <c r="C219" s="1" t="n">
        <v>45340</v>
      </c>
      <c r="D219" t="inlineStr">
        <is>
          <t>UPPSALA LÄN</t>
        </is>
      </c>
      <c r="E219" t="inlineStr">
        <is>
          <t>UPPSALA</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2673-2019</t>
        </is>
      </c>
      <c r="B220" s="1" t="n">
        <v>43479</v>
      </c>
      <c r="C220" s="1" t="n">
        <v>45340</v>
      </c>
      <c r="D220" t="inlineStr">
        <is>
          <t>UPPSALA LÄN</t>
        </is>
      </c>
      <c r="E220" t="inlineStr">
        <is>
          <t>UPPSALA</t>
        </is>
      </c>
      <c r="G220" t="n">
        <v>8.5</v>
      </c>
      <c r="H220" t="n">
        <v>0</v>
      </c>
      <c r="I220" t="n">
        <v>0</v>
      </c>
      <c r="J220" t="n">
        <v>0</v>
      </c>
      <c r="K220" t="n">
        <v>0</v>
      </c>
      <c r="L220" t="n">
        <v>0</v>
      </c>
      <c r="M220" t="n">
        <v>0</v>
      </c>
      <c r="N220" t="n">
        <v>0</v>
      </c>
      <c r="O220" t="n">
        <v>0</v>
      </c>
      <c r="P220" t="n">
        <v>0</v>
      </c>
      <c r="Q220" t="n">
        <v>0</v>
      </c>
      <c r="R220" s="2" t="inlineStr"/>
    </row>
    <row r="221" ht="15" customHeight="1">
      <c r="A221" t="inlineStr">
        <is>
          <t>A 2779-2019</t>
        </is>
      </c>
      <c r="B221" s="1" t="n">
        <v>43479</v>
      </c>
      <c r="C221" s="1" t="n">
        <v>45340</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2880-2019</t>
        </is>
      </c>
      <c r="B222" s="1" t="n">
        <v>43479</v>
      </c>
      <c r="C222" s="1" t="n">
        <v>45340</v>
      </c>
      <c r="D222" t="inlineStr">
        <is>
          <t>UPPSALA LÄN</t>
        </is>
      </c>
      <c r="E222" t="inlineStr">
        <is>
          <t>UPPSALA</t>
        </is>
      </c>
      <c r="F222" t="inlineStr">
        <is>
          <t>Kommuner</t>
        </is>
      </c>
      <c r="G222" t="n">
        <v>1</v>
      </c>
      <c r="H222" t="n">
        <v>0</v>
      </c>
      <c r="I222" t="n">
        <v>0</v>
      </c>
      <c r="J222" t="n">
        <v>0</v>
      </c>
      <c r="K222" t="n">
        <v>0</v>
      </c>
      <c r="L222" t="n">
        <v>0</v>
      </c>
      <c r="M222" t="n">
        <v>0</v>
      </c>
      <c r="N222" t="n">
        <v>0</v>
      </c>
      <c r="O222" t="n">
        <v>0</v>
      </c>
      <c r="P222" t="n">
        <v>0</v>
      </c>
      <c r="Q222" t="n">
        <v>0</v>
      </c>
      <c r="R222" s="2" t="inlineStr"/>
    </row>
    <row r="223" ht="15" customHeight="1">
      <c r="A223" t="inlineStr">
        <is>
          <t>A 3215-2019</t>
        </is>
      </c>
      <c r="B223" s="1" t="n">
        <v>43480</v>
      </c>
      <c r="C223" s="1" t="n">
        <v>45340</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3187-2019</t>
        </is>
      </c>
      <c r="B224" s="1" t="n">
        <v>43480</v>
      </c>
      <c r="C224" s="1" t="n">
        <v>45340</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3417-2019</t>
        </is>
      </c>
      <c r="B225" s="1" t="n">
        <v>43481</v>
      </c>
      <c r="C225" s="1" t="n">
        <v>45340</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3548-2019</t>
        </is>
      </c>
      <c r="B226" s="1" t="n">
        <v>43481</v>
      </c>
      <c r="C226" s="1" t="n">
        <v>45340</v>
      </c>
      <c r="D226" t="inlineStr">
        <is>
          <t>UPPSALA LÄN</t>
        </is>
      </c>
      <c r="E226" t="inlineStr">
        <is>
          <t>UPPSALA</t>
        </is>
      </c>
      <c r="G226" t="n">
        <v>12.2</v>
      </c>
      <c r="H226" t="n">
        <v>0</v>
      </c>
      <c r="I226" t="n">
        <v>0</v>
      </c>
      <c r="J226" t="n">
        <v>0</v>
      </c>
      <c r="K226" t="n">
        <v>0</v>
      </c>
      <c r="L226" t="n">
        <v>0</v>
      </c>
      <c r="M226" t="n">
        <v>0</v>
      </c>
      <c r="N226" t="n">
        <v>0</v>
      </c>
      <c r="O226" t="n">
        <v>0</v>
      </c>
      <c r="P226" t="n">
        <v>0</v>
      </c>
      <c r="Q226" t="n">
        <v>0</v>
      </c>
      <c r="R226" s="2" t="inlineStr"/>
    </row>
    <row r="227" ht="15" customHeight="1">
      <c r="A227" t="inlineStr">
        <is>
          <t>A 3761-2019</t>
        </is>
      </c>
      <c r="B227" s="1" t="n">
        <v>43481</v>
      </c>
      <c r="C227" s="1" t="n">
        <v>45340</v>
      </c>
      <c r="D227" t="inlineStr">
        <is>
          <t>UPPSALA LÄN</t>
        </is>
      </c>
      <c r="E227" t="inlineStr">
        <is>
          <t>UPPSALA</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3752-2019</t>
        </is>
      </c>
      <c r="B228" s="1" t="n">
        <v>43481</v>
      </c>
      <c r="C228" s="1" t="n">
        <v>45340</v>
      </c>
      <c r="D228" t="inlineStr">
        <is>
          <t>UPPSALA LÄN</t>
        </is>
      </c>
      <c r="E228" t="inlineStr">
        <is>
          <t>UPPSALA</t>
        </is>
      </c>
      <c r="G228" t="n">
        <v>2.7</v>
      </c>
      <c r="H228" t="n">
        <v>0</v>
      </c>
      <c r="I228" t="n">
        <v>0</v>
      </c>
      <c r="J228" t="n">
        <v>0</v>
      </c>
      <c r="K228" t="n">
        <v>0</v>
      </c>
      <c r="L228" t="n">
        <v>0</v>
      </c>
      <c r="M228" t="n">
        <v>0</v>
      </c>
      <c r="N228" t="n">
        <v>0</v>
      </c>
      <c r="O228" t="n">
        <v>0</v>
      </c>
      <c r="P228" t="n">
        <v>0</v>
      </c>
      <c r="Q228" t="n">
        <v>0</v>
      </c>
      <c r="R228" s="2" t="inlineStr"/>
    </row>
    <row r="229" ht="15" customHeight="1">
      <c r="A229" t="inlineStr">
        <is>
          <t>A 3745-2019</t>
        </is>
      </c>
      <c r="B229" s="1" t="n">
        <v>43481</v>
      </c>
      <c r="C229" s="1" t="n">
        <v>45340</v>
      </c>
      <c r="D229" t="inlineStr">
        <is>
          <t>UPPSALA LÄN</t>
        </is>
      </c>
      <c r="E229" t="inlineStr">
        <is>
          <t>UPPSALA</t>
        </is>
      </c>
      <c r="G229" t="n">
        <v>10.9</v>
      </c>
      <c r="H229" t="n">
        <v>0</v>
      </c>
      <c r="I229" t="n">
        <v>0</v>
      </c>
      <c r="J229" t="n">
        <v>0</v>
      </c>
      <c r="K229" t="n">
        <v>0</v>
      </c>
      <c r="L229" t="n">
        <v>0</v>
      </c>
      <c r="M229" t="n">
        <v>0</v>
      </c>
      <c r="N229" t="n">
        <v>0</v>
      </c>
      <c r="O229" t="n">
        <v>0</v>
      </c>
      <c r="P229" t="n">
        <v>0</v>
      </c>
      <c r="Q229" t="n">
        <v>0</v>
      </c>
      <c r="R229" s="2" t="inlineStr"/>
    </row>
    <row r="230" ht="15" customHeight="1">
      <c r="A230" t="inlineStr">
        <is>
          <t>A 3896-2019</t>
        </is>
      </c>
      <c r="B230" s="1" t="n">
        <v>43482</v>
      </c>
      <c r="C230" s="1" t="n">
        <v>45340</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4074-2019</t>
        </is>
      </c>
      <c r="B231" s="1" t="n">
        <v>43482</v>
      </c>
      <c r="C231" s="1" t="n">
        <v>45340</v>
      </c>
      <c r="D231" t="inlineStr">
        <is>
          <t>UPPSALA LÄN</t>
        </is>
      </c>
      <c r="E231" t="inlineStr">
        <is>
          <t>UPPSALA</t>
        </is>
      </c>
      <c r="G231" t="n">
        <v>1.8</v>
      </c>
      <c r="H231" t="n">
        <v>0</v>
      </c>
      <c r="I231" t="n">
        <v>0</v>
      </c>
      <c r="J231" t="n">
        <v>0</v>
      </c>
      <c r="K231" t="n">
        <v>0</v>
      </c>
      <c r="L231" t="n">
        <v>0</v>
      </c>
      <c r="M231" t="n">
        <v>0</v>
      </c>
      <c r="N231" t="n">
        <v>0</v>
      </c>
      <c r="O231" t="n">
        <v>0</v>
      </c>
      <c r="P231" t="n">
        <v>0</v>
      </c>
      <c r="Q231" t="n">
        <v>0</v>
      </c>
      <c r="R231" s="2" t="inlineStr"/>
    </row>
    <row r="232" ht="15" customHeight="1">
      <c r="A232" t="inlineStr">
        <is>
          <t>A 4070-2019</t>
        </is>
      </c>
      <c r="B232" s="1" t="n">
        <v>43482</v>
      </c>
      <c r="C232" s="1" t="n">
        <v>45340</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3921-2019</t>
        </is>
      </c>
      <c r="B233" s="1" t="n">
        <v>43482</v>
      </c>
      <c r="C233" s="1" t="n">
        <v>45340</v>
      </c>
      <c r="D233" t="inlineStr">
        <is>
          <t>UPPSALA LÄN</t>
        </is>
      </c>
      <c r="E233" t="inlineStr">
        <is>
          <t>UPPSALA</t>
        </is>
      </c>
      <c r="G233" t="n">
        <v>1.7</v>
      </c>
      <c r="H233" t="n">
        <v>0</v>
      </c>
      <c r="I233" t="n">
        <v>0</v>
      </c>
      <c r="J233" t="n">
        <v>0</v>
      </c>
      <c r="K233" t="n">
        <v>0</v>
      </c>
      <c r="L233" t="n">
        <v>0</v>
      </c>
      <c r="M233" t="n">
        <v>0</v>
      </c>
      <c r="N233" t="n">
        <v>0</v>
      </c>
      <c r="O233" t="n">
        <v>0</v>
      </c>
      <c r="P233" t="n">
        <v>0</v>
      </c>
      <c r="Q233" t="n">
        <v>0</v>
      </c>
      <c r="R233" s="2" t="inlineStr"/>
    </row>
    <row r="234" ht="15" customHeight="1">
      <c r="A234" t="inlineStr">
        <is>
          <t>A 4078-2019</t>
        </is>
      </c>
      <c r="B234" s="1" t="n">
        <v>43482</v>
      </c>
      <c r="C234" s="1" t="n">
        <v>45340</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3955-2019</t>
        </is>
      </c>
      <c r="B235" s="1" t="n">
        <v>43482</v>
      </c>
      <c r="C235" s="1" t="n">
        <v>45340</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3829-2019</t>
        </is>
      </c>
      <c r="B236" s="1" t="n">
        <v>43482</v>
      </c>
      <c r="C236" s="1" t="n">
        <v>45340</v>
      </c>
      <c r="D236" t="inlineStr">
        <is>
          <t>UPPSALA LÄN</t>
        </is>
      </c>
      <c r="E236" t="inlineStr">
        <is>
          <t>UPPSALA</t>
        </is>
      </c>
      <c r="G236" t="n">
        <v>2.5</v>
      </c>
      <c r="H236" t="n">
        <v>0</v>
      </c>
      <c r="I236" t="n">
        <v>0</v>
      </c>
      <c r="J236" t="n">
        <v>0</v>
      </c>
      <c r="K236" t="n">
        <v>0</v>
      </c>
      <c r="L236" t="n">
        <v>0</v>
      </c>
      <c r="M236" t="n">
        <v>0</v>
      </c>
      <c r="N236" t="n">
        <v>0</v>
      </c>
      <c r="O236" t="n">
        <v>0</v>
      </c>
      <c r="P236" t="n">
        <v>0</v>
      </c>
      <c r="Q236" t="n">
        <v>0</v>
      </c>
      <c r="R236" s="2" t="inlineStr"/>
    </row>
    <row r="237" ht="15" customHeight="1">
      <c r="A237" t="inlineStr">
        <is>
          <t>A 4423-2019</t>
        </is>
      </c>
      <c r="B237" s="1" t="n">
        <v>43485</v>
      </c>
      <c r="C237" s="1" t="n">
        <v>45340</v>
      </c>
      <c r="D237" t="inlineStr">
        <is>
          <t>UPPSALA LÄN</t>
        </is>
      </c>
      <c r="E237" t="inlineStr">
        <is>
          <t>UPPSALA</t>
        </is>
      </c>
      <c r="G237" t="n">
        <v>2.5</v>
      </c>
      <c r="H237" t="n">
        <v>0</v>
      </c>
      <c r="I237" t="n">
        <v>0</v>
      </c>
      <c r="J237" t="n">
        <v>0</v>
      </c>
      <c r="K237" t="n">
        <v>0</v>
      </c>
      <c r="L237" t="n">
        <v>0</v>
      </c>
      <c r="M237" t="n">
        <v>0</v>
      </c>
      <c r="N237" t="n">
        <v>0</v>
      </c>
      <c r="O237" t="n">
        <v>0</v>
      </c>
      <c r="P237" t="n">
        <v>0</v>
      </c>
      <c r="Q237" t="n">
        <v>0</v>
      </c>
      <c r="R237" s="2" t="inlineStr"/>
    </row>
    <row r="238" ht="15" customHeight="1">
      <c r="A238" t="inlineStr">
        <is>
          <t>A 4908-2019</t>
        </is>
      </c>
      <c r="B238" s="1" t="n">
        <v>43486</v>
      </c>
      <c r="C238" s="1" t="n">
        <v>45340</v>
      </c>
      <c r="D238" t="inlineStr">
        <is>
          <t>UPPSALA LÄN</t>
        </is>
      </c>
      <c r="E238" t="inlineStr">
        <is>
          <t>UPPSALA</t>
        </is>
      </c>
      <c r="F238" t="inlineStr">
        <is>
          <t>Allmännings- och besparingsskogar</t>
        </is>
      </c>
      <c r="G238" t="n">
        <v>23.7</v>
      </c>
      <c r="H238" t="n">
        <v>0</v>
      </c>
      <c r="I238" t="n">
        <v>0</v>
      </c>
      <c r="J238" t="n">
        <v>0</v>
      </c>
      <c r="K238" t="n">
        <v>0</v>
      </c>
      <c r="L238" t="n">
        <v>0</v>
      </c>
      <c r="M238" t="n">
        <v>0</v>
      </c>
      <c r="N238" t="n">
        <v>0</v>
      </c>
      <c r="O238" t="n">
        <v>0</v>
      </c>
      <c r="P238" t="n">
        <v>0</v>
      </c>
      <c r="Q238" t="n">
        <v>0</v>
      </c>
      <c r="R238" s="2" t="inlineStr"/>
    </row>
    <row r="239" ht="15" customHeight="1">
      <c r="A239" t="inlineStr">
        <is>
          <t>A 4578-2019</t>
        </is>
      </c>
      <c r="B239" s="1" t="n">
        <v>43486</v>
      </c>
      <c r="C239" s="1" t="n">
        <v>45340</v>
      </c>
      <c r="D239" t="inlineStr">
        <is>
          <t>UPPSALA LÄN</t>
        </is>
      </c>
      <c r="E239" t="inlineStr">
        <is>
          <t>UPPSALA</t>
        </is>
      </c>
      <c r="G239" t="n">
        <v>3.2</v>
      </c>
      <c r="H239" t="n">
        <v>0</v>
      </c>
      <c r="I239" t="n">
        <v>0</v>
      </c>
      <c r="J239" t="n">
        <v>0</v>
      </c>
      <c r="K239" t="n">
        <v>0</v>
      </c>
      <c r="L239" t="n">
        <v>0</v>
      </c>
      <c r="M239" t="n">
        <v>0</v>
      </c>
      <c r="N239" t="n">
        <v>0</v>
      </c>
      <c r="O239" t="n">
        <v>0</v>
      </c>
      <c r="P239" t="n">
        <v>0</v>
      </c>
      <c r="Q239" t="n">
        <v>0</v>
      </c>
      <c r="R239" s="2" t="inlineStr"/>
    </row>
    <row r="240" ht="15" customHeight="1">
      <c r="A240" t="inlineStr">
        <is>
          <t>A 4759-2019</t>
        </is>
      </c>
      <c r="B240" s="1" t="n">
        <v>43486</v>
      </c>
      <c r="C240" s="1" t="n">
        <v>45340</v>
      </c>
      <c r="D240" t="inlineStr">
        <is>
          <t>UPPSALA LÄN</t>
        </is>
      </c>
      <c r="E240" t="inlineStr">
        <is>
          <t>UPPSALA</t>
        </is>
      </c>
      <c r="G240" t="n">
        <v>5.1</v>
      </c>
      <c r="H240" t="n">
        <v>0</v>
      </c>
      <c r="I240" t="n">
        <v>0</v>
      </c>
      <c r="J240" t="n">
        <v>0</v>
      </c>
      <c r="K240" t="n">
        <v>0</v>
      </c>
      <c r="L240" t="n">
        <v>0</v>
      </c>
      <c r="M240" t="n">
        <v>0</v>
      </c>
      <c r="N240" t="n">
        <v>0</v>
      </c>
      <c r="O240" t="n">
        <v>0</v>
      </c>
      <c r="P240" t="n">
        <v>0</v>
      </c>
      <c r="Q240" t="n">
        <v>0</v>
      </c>
      <c r="R240" s="2" t="inlineStr"/>
    </row>
    <row r="241" ht="15" customHeight="1">
      <c r="A241" t="inlineStr">
        <is>
          <t>A 5047-2019</t>
        </is>
      </c>
      <c r="B241" s="1" t="n">
        <v>43487</v>
      </c>
      <c r="C241" s="1" t="n">
        <v>45340</v>
      </c>
      <c r="D241" t="inlineStr">
        <is>
          <t>UPPSALA LÄN</t>
        </is>
      </c>
      <c r="E241" t="inlineStr">
        <is>
          <t>UPPSALA</t>
        </is>
      </c>
      <c r="G241" t="n">
        <v>3.9</v>
      </c>
      <c r="H241" t="n">
        <v>0</v>
      </c>
      <c r="I241" t="n">
        <v>0</v>
      </c>
      <c r="J241" t="n">
        <v>0</v>
      </c>
      <c r="K241" t="n">
        <v>0</v>
      </c>
      <c r="L241" t="n">
        <v>0</v>
      </c>
      <c r="M241" t="n">
        <v>0</v>
      </c>
      <c r="N241" t="n">
        <v>0</v>
      </c>
      <c r="O241" t="n">
        <v>0</v>
      </c>
      <c r="P241" t="n">
        <v>0</v>
      </c>
      <c r="Q241" t="n">
        <v>0</v>
      </c>
      <c r="R241" s="2" t="inlineStr"/>
    </row>
    <row r="242" ht="15" customHeight="1">
      <c r="A242" t="inlineStr">
        <is>
          <t>A 5055-2019</t>
        </is>
      </c>
      <c r="B242" s="1" t="n">
        <v>43487</v>
      </c>
      <c r="C242" s="1" t="n">
        <v>45340</v>
      </c>
      <c r="D242" t="inlineStr">
        <is>
          <t>UPPSALA LÄN</t>
        </is>
      </c>
      <c r="E242" t="inlineStr">
        <is>
          <t>UPPSALA</t>
        </is>
      </c>
      <c r="G242" t="n">
        <v>1.9</v>
      </c>
      <c r="H242" t="n">
        <v>0</v>
      </c>
      <c r="I242" t="n">
        <v>0</v>
      </c>
      <c r="J242" t="n">
        <v>0</v>
      </c>
      <c r="K242" t="n">
        <v>0</v>
      </c>
      <c r="L242" t="n">
        <v>0</v>
      </c>
      <c r="M242" t="n">
        <v>0</v>
      </c>
      <c r="N242" t="n">
        <v>0</v>
      </c>
      <c r="O242" t="n">
        <v>0</v>
      </c>
      <c r="P242" t="n">
        <v>0</v>
      </c>
      <c r="Q242" t="n">
        <v>0</v>
      </c>
      <c r="R242" s="2" t="inlineStr"/>
    </row>
    <row r="243" ht="15" customHeight="1">
      <c r="A243" t="inlineStr">
        <is>
          <t>A 5400-2019</t>
        </is>
      </c>
      <c r="B243" s="1" t="n">
        <v>43488</v>
      </c>
      <c r="C243" s="1" t="n">
        <v>45340</v>
      </c>
      <c r="D243" t="inlineStr">
        <is>
          <t>UPPSALA LÄN</t>
        </is>
      </c>
      <c r="E243" t="inlineStr">
        <is>
          <t>UPPSALA</t>
        </is>
      </c>
      <c r="F243" t="inlineStr">
        <is>
          <t>Allmännings- och besparingsskogar</t>
        </is>
      </c>
      <c r="G243" t="n">
        <v>2.8</v>
      </c>
      <c r="H243" t="n">
        <v>0</v>
      </c>
      <c r="I243" t="n">
        <v>0</v>
      </c>
      <c r="J243" t="n">
        <v>0</v>
      </c>
      <c r="K243" t="n">
        <v>0</v>
      </c>
      <c r="L243" t="n">
        <v>0</v>
      </c>
      <c r="M243" t="n">
        <v>0</v>
      </c>
      <c r="N243" t="n">
        <v>0</v>
      </c>
      <c r="O243" t="n">
        <v>0</v>
      </c>
      <c r="P243" t="n">
        <v>0</v>
      </c>
      <c r="Q243" t="n">
        <v>0</v>
      </c>
      <c r="R243" s="2" t="inlineStr"/>
    </row>
    <row r="244" ht="15" customHeight="1">
      <c r="A244" t="inlineStr">
        <is>
          <t>A 5399-2019</t>
        </is>
      </c>
      <c r="B244" s="1" t="n">
        <v>43488</v>
      </c>
      <c r="C244" s="1" t="n">
        <v>45340</v>
      </c>
      <c r="D244" t="inlineStr">
        <is>
          <t>UPPSALA LÄN</t>
        </is>
      </c>
      <c r="E244" t="inlineStr">
        <is>
          <t>UPPSALA</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5255-2019</t>
        </is>
      </c>
      <c r="B245" s="1" t="n">
        <v>43488</v>
      </c>
      <c r="C245" s="1" t="n">
        <v>45340</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5961-2019</t>
        </is>
      </c>
      <c r="B246" s="1" t="n">
        <v>43492</v>
      </c>
      <c r="C246" s="1" t="n">
        <v>45340</v>
      </c>
      <c r="D246" t="inlineStr">
        <is>
          <t>UPPSALA LÄN</t>
        </is>
      </c>
      <c r="E246" t="inlineStr">
        <is>
          <t>UPPSALA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6300-2019</t>
        </is>
      </c>
      <c r="B247" s="1" t="n">
        <v>43493</v>
      </c>
      <c r="C247" s="1" t="n">
        <v>45340</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6314-2019</t>
        </is>
      </c>
      <c r="B248" s="1" t="n">
        <v>43493</v>
      </c>
      <c r="C248" s="1" t="n">
        <v>45340</v>
      </c>
      <c r="D248" t="inlineStr">
        <is>
          <t>UPPSALA LÄN</t>
        </is>
      </c>
      <c r="E248" t="inlineStr">
        <is>
          <t>UPPSALA</t>
        </is>
      </c>
      <c r="G248" t="n">
        <v>1.7</v>
      </c>
      <c r="H248" t="n">
        <v>0</v>
      </c>
      <c r="I248" t="n">
        <v>0</v>
      </c>
      <c r="J248" t="n">
        <v>0</v>
      </c>
      <c r="K248" t="n">
        <v>0</v>
      </c>
      <c r="L248" t="n">
        <v>0</v>
      </c>
      <c r="M248" t="n">
        <v>0</v>
      </c>
      <c r="N248" t="n">
        <v>0</v>
      </c>
      <c r="O248" t="n">
        <v>0</v>
      </c>
      <c r="P248" t="n">
        <v>0</v>
      </c>
      <c r="Q248" t="n">
        <v>0</v>
      </c>
      <c r="R248" s="2" t="inlineStr"/>
    </row>
    <row r="249" ht="15" customHeight="1">
      <c r="A249" t="inlineStr">
        <is>
          <t>A 7220-2019</t>
        </is>
      </c>
      <c r="B249" s="1" t="n">
        <v>43496</v>
      </c>
      <c r="C249" s="1" t="n">
        <v>45340</v>
      </c>
      <c r="D249" t="inlineStr">
        <is>
          <t>UPPSALA LÄN</t>
        </is>
      </c>
      <c r="E249" t="inlineStr">
        <is>
          <t>UPPSALA</t>
        </is>
      </c>
      <c r="G249" t="n">
        <v>2.7</v>
      </c>
      <c r="H249" t="n">
        <v>0</v>
      </c>
      <c r="I249" t="n">
        <v>0</v>
      </c>
      <c r="J249" t="n">
        <v>0</v>
      </c>
      <c r="K249" t="n">
        <v>0</v>
      </c>
      <c r="L249" t="n">
        <v>0</v>
      </c>
      <c r="M249" t="n">
        <v>0</v>
      </c>
      <c r="N249" t="n">
        <v>0</v>
      </c>
      <c r="O249" t="n">
        <v>0</v>
      </c>
      <c r="P249" t="n">
        <v>0</v>
      </c>
      <c r="Q249" t="n">
        <v>0</v>
      </c>
      <c r="R249" s="2" t="inlineStr"/>
    </row>
    <row r="250" ht="15" customHeight="1">
      <c r="A250" t="inlineStr">
        <is>
          <t>A 7136-2019</t>
        </is>
      </c>
      <c r="B250" s="1" t="n">
        <v>43496</v>
      </c>
      <c r="C250" s="1" t="n">
        <v>45340</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7591-2019</t>
        </is>
      </c>
      <c r="B251" s="1" t="n">
        <v>43498</v>
      </c>
      <c r="C251" s="1" t="n">
        <v>45340</v>
      </c>
      <c r="D251" t="inlineStr">
        <is>
          <t>UPPSALA LÄN</t>
        </is>
      </c>
      <c r="E251" t="inlineStr">
        <is>
          <t>UPPSALA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7864-2019</t>
        </is>
      </c>
      <c r="B252" s="1" t="n">
        <v>43500</v>
      </c>
      <c r="C252" s="1" t="n">
        <v>45340</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7942-2019</t>
        </is>
      </c>
      <c r="B253" s="1" t="n">
        <v>43500</v>
      </c>
      <c r="C253" s="1" t="n">
        <v>45340</v>
      </c>
      <c r="D253" t="inlineStr">
        <is>
          <t>UPPSALA LÄN</t>
        </is>
      </c>
      <c r="E253" t="inlineStr">
        <is>
          <t>UPPSALA</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7857-2019</t>
        </is>
      </c>
      <c r="B254" s="1" t="n">
        <v>43500</v>
      </c>
      <c r="C254" s="1" t="n">
        <v>45340</v>
      </c>
      <c r="D254" t="inlineStr">
        <is>
          <t>UPPSALA LÄN</t>
        </is>
      </c>
      <c r="E254" t="inlineStr">
        <is>
          <t>UPPSALA</t>
        </is>
      </c>
      <c r="G254" t="n">
        <v>3.6</v>
      </c>
      <c r="H254" t="n">
        <v>0</v>
      </c>
      <c r="I254" t="n">
        <v>0</v>
      </c>
      <c r="J254" t="n">
        <v>0</v>
      </c>
      <c r="K254" t="n">
        <v>0</v>
      </c>
      <c r="L254" t="n">
        <v>0</v>
      </c>
      <c r="M254" t="n">
        <v>0</v>
      </c>
      <c r="N254" t="n">
        <v>0</v>
      </c>
      <c r="O254" t="n">
        <v>0</v>
      </c>
      <c r="P254" t="n">
        <v>0</v>
      </c>
      <c r="Q254" t="n">
        <v>0</v>
      </c>
      <c r="R254" s="2" t="inlineStr"/>
    </row>
    <row r="255" ht="15" customHeight="1">
      <c r="A255" t="inlineStr">
        <is>
          <t>A 7964-2019</t>
        </is>
      </c>
      <c r="B255" s="1" t="n">
        <v>43500</v>
      </c>
      <c r="C255" s="1" t="n">
        <v>45340</v>
      </c>
      <c r="D255" t="inlineStr">
        <is>
          <t>UPPSALA LÄN</t>
        </is>
      </c>
      <c r="E255" t="inlineStr">
        <is>
          <t>UPPSALA</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7871-2019</t>
        </is>
      </c>
      <c r="B256" s="1" t="n">
        <v>43500</v>
      </c>
      <c r="C256" s="1" t="n">
        <v>45340</v>
      </c>
      <c r="D256" t="inlineStr">
        <is>
          <t>UPPSALA LÄN</t>
        </is>
      </c>
      <c r="E256" t="inlineStr">
        <is>
          <t>UPPSALA</t>
        </is>
      </c>
      <c r="G256" t="n">
        <v>2.3</v>
      </c>
      <c r="H256" t="n">
        <v>0</v>
      </c>
      <c r="I256" t="n">
        <v>0</v>
      </c>
      <c r="J256" t="n">
        <v>0</v>
      </c>
      <c r="K256" t="n">
        <v>0</v>
      </c>
      <c r="L256" t="n">
        <v>0</v>
      </c>
      <c r="M256" t="n">
        <v>0</v>
      </c>
      <c r="N256" t="n">
        <v>0</v>
      </c>
      <c r="O256" t="n">
        <v>0</v>
      </c>
      <c r="P256" t="n">
        <v>0</v>
      </c>
      <c r="Q256" t="n">
        <v>0</v>
      </c>
      <c r="R256" s="2" t="inlineStr"/>
    </row>
    <row r="257" ht="15" customHeight="1">
      <c r="A257" t="inlineStr">
        <is>
          <t>A 8722-2019</t>
        </is>
      </c>
      <c r="B257" s="1" t="n">
        <v>43503</v>
      </c>
      <c r="C257" s="1" t="n">
        <v>45340</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8992-2019</t>
        </is>
      </c>
      <c r="B258" s="1" t="n">
        <v>43504</v>
      </c>
      <c r="C258" s="1" t="n">
        <v>45340</v>
      </c>
      <c r="D258" t="inlineStr">
        <is>
          <t>UPPSALA LÄN</t>
        </is>
      </c>
      <c r="E258" t="inlineStr">
        <is>
          <t>UPPSALA</t>
        </is>
      </c>
      <c r="G258" t="n">
        <v>2.1</v>
      </c>
      <c r="H258" t="n">
        <v>0</v>
      </c>
      <c r="I258" t="n">
        <v>0</v>
      </c>
      <c r="J258" t="n">
        <v>0</v>
      </c>
      <c r="K258" t="n">
        <v>0</v>
      </c>
      <c r="L258" t="n">
        <v>0</v>
      </c>
      <c r="M258" t="n">
        <v>0</v>
      </c>
      <c r="N258" t="n">
        <v>0</v>
      </c>
      <c r="O258" t="n">
        <v>0</v>
      </c>
      <c r="P258" t="n">
        <v>0</v>
      </c>
      <c r="Q258" t="n">
        <v>0</v>
      </c>
      <c r="R258" s="2" t="inlineStr"/>
    </row>
    <row r="259" ht="15" customHeight="1">
      <c r="A259" t="inlineStr">
        <is>
          <t>A 9472-2019</t>
        </is>
      </c>
      <c r="B259" s="1" t="n">
        <v>43507</v>
      </c>
      <c r="C259" s="1" t="n">
        <v>45340</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9287-2019</t>
        </is>
      </c>
      <c r="B260" s="1" t="n">
        <v>43507</v>
      </c>
      <c r="C260" s="1" t="n">
        <v>45340</v>
      </c>
      <c r="D260" t="inlineStr">
        <is>
          <t>UPPSALA LÄN</t>
        </is>
      </c>
      <c r="E260" t="inlineStr">
        <is>
          <t>UPPSALA</t>
        </is>
      </c>
      <c r="G260" t="n">
        <v>0.9</v>
      </c>
      <c r="H260" t="n">
        <v>0</v>
      </c>
      <c r="I260" t="n">
        <v>0</v>
      </c>
      <c r="J260" t="n">
        <v>0</v>
      </c>
      <c r="K260" t="n">
        <v>0</v>
      </c>
      <c r="L260" t="n">
        <v>0</v>
      </c>
      <c r="M260" t="n">
        <v>0</v>
      </c>
      <c r="N260" t="n">
        <v>0</v>
      </c>
      <c r="O260" t="n">
        <v>0</v>
      </c>
      <c r="P260" t="n">
        <v>0</v>
      </c>
      <c r="Q260" t="n">
        <v>0</v>
      </c>
      <c r="R260" s="2" t="inlineStr"/>
    </row>
    <row r="261" ht="15" customHeight="1">
      <c r="A261" t="inlineStr">
        <is>
          <t>A 9574-2019</t>
        </is>
      </c>
      <c r="B261" s="1" t="n">
        <v>43508</v>
      </c>
      <c r="C261" s="1" t="n">
        <v>45340</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9957-2019</t>
        </is>
      </c>
      <c r="B262" s="1" t="n">
        <v>43509</v>
      </c>
      <c r="C262" s="1" t="n">
        <v>45340</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10335-2019</t>
        </is>
      </c>
      <c r="B263" s="1" t="n">
        <v>43511</v>
      </c>
      <c r="C263" s="1" t="n">
        <v>45340</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10255-2019</t>
        </is>
      </c>
      <c r="B264" s="1" t="n">
        <v>43511</v>
      </c>
      <c r="C264" s="1" t="n">
        <v>45340</v>
      </c>
      <c r="D264" t="inlineStr">
        <is>
          <t>UPPSALA LÄN</t>
        </is>
      </c>
      <c r="E264" t="inlineStr">
        <is>
          <t>UPPSALA</t>
        </is>
      </c>
      <c r="G264" t="n">
        <v>3.3</v>
      </c>
      <c r="H264" t="n">
        <v>0</v>
      </c>
      <c r="I264" t="n">
        <v>0</v>
      </c>
      <c r="J264" t="n">
        <v>0</v>
      </c>
      <c r="K264" t="n">
        <v>0</v>
      </c>
      <c r="L264" t="n">
        <v>0</v>
      </c>
      <c r="M264" t="n">
        <v>0</v>
      </c>
      <c r="N264" t="n">
        <v>0</v>
      </c>
      <c r="O264" t="n">
        <v>0</v>
      </c>
      <c r="P264" t="n">
        <v>0</v>
      </c>
      <c r="Q264" t="n">
        <v>0</v>
      </c>
      <c r="R264" s="2" t="inlineStr"/>
    </row>
    <row r="265" ht="15" customHeight="1">
      <c r="A265" t="inlineStr">
        <is>
          <t>A 10419-2019</t>
        </is>
      </c>
      <c r="B265" s="1" t="n">
        <v>43511</v>
      </c>
      <c r="C265" s="1" t="n">
        <v>45340</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10344-2019</t>
        </is>
      </c>
      <c r="B266" s="1" t="n">
        <v>43511</v>
      </c>
      <c r="C266" s="1" t="n">
        <v>45340</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10434-2019</t>
        </is>
      </c>
      <c r="B267" s="1" t="n">
        <v>43511</v>
      </c>
      <c r="C267" s="1" t="n">
        <v>45340</v>
      </c>
      <c r="D267" t="inlineStr">
        <is>
          <t>UPPSALA LÄN</t>
        </is>
      </c>
      <c r="E267" t="inlineStr">
        <is>
          <t>UPPSALA</t>
        </is>
      </c>
      <c r="G267" t="n">
        <v>14.2</v>
      </c>
      <c r="H267" t="n">
        <v>0</v>
      </c>
      <c r="I267" t="n">
        <v>0</v>
      </c>
      <c r="J267" t="n">
        <v>0</v>
      </c>
      <c r="K267" t="n">
        <v>0</v>
      </c>
      <c r="L267" t="n">
        <v>0</v>
      </c>
      <c r="M267" t="n">
        <v>0</v>
      </c>
      <c r="N267" t="n">
        <v>0</v>
      </c>
      <c r="O267" t="n">
        <v>0</v>
      </c>
      <c r="P267" t="n">
        <v>0</v>
      </c>
      <c r="Q267" t="n">
        <v>0</v>
      </c>
      <c r="R267" s="2" t="inlineStr"/>
    </row>
    <row r="268" ht="15" customHeight="1">
      <c r="A268" t="inlineStr">
        <is>
          <t>A 11248-2019</t>
        </is>
      </c>
      <c r="B268" s="1" t="n">
        <v>43516</v>
      </c>
      <c r="C268" s="1" t="n">
        <v>45340</v>
      </c>
      <c r="D268" t="inlineStr">
        <is>
          <t>UPPSALA LÄN</t>
        </is>
      </c>
      <c r="E268" t="inlineStr">
        <is>
          <t>UPPSALA</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11522-2019</t>
        </is>
      </c>
      <c r="B269" s="1" t="n">
        <v>43517</v>
      </c>
      <c r="C269" s="1" t="n">
        <v>45340</v>
      </c>
      <c r="D269" t="inlineStr">
        <is>
          <t>UPPSALA LÄN</t>
        </is>
      </c>
      <c r="E269" t="inlineStr">
        <is>
          <t>UPPSALA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11498-2019</t>
        </is>
      </c>
      <c r="B270" s="1" t="n">
        <v>43517</v>
      </c>
      <c r="C270" s="1" t="n">
        <v>45340</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11520-2019</t>
        </is>
      </c>
      <c r="B271" s="1" t="n">
        <v>43517</v>
      </c>
      <c r="C271" s="1" t="n">
        <v>45340</v>
      </c>
      <c r="D271" t="inlineStr">
        <is>
          <t>UPPSALA LÄN</t>
        </is>
      </c>
      <c r="E271" t="inlineStr">
        <is>
          <t>UPPSALA</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11521-2019</t>
        </is>
      </c>
      <c r="B272" s="1" t="n">
        <v>43517</v>
      </c>
      <c r="C272" s="1" t="n">
        <v>45340</v>
      </c>
      <c r="D272" t="inlineStr">
        <is>
          <t>UPPSALA LÄN</t>
        </is>
      </c>
      <c r="E272" t="inlineStr">
        <is>
          <t>UPPSALA</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12481-2019</t>
        </is>
      </c>
      <c r="B273" s="1" t="n">
        <v>43523</v>
      </c>
      <c r="C273" s="1" t="n">
        <v>45340</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13302-2019</t>
        </is>
      </c>
      <c r="B274" s="1" t="n">
        <v>43528</v>
      </c>
      <c r="C274" s="1" t="n">
        <v>45340</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13011-2019</t>
        </is>
      </c>
      <c r="B275" s="1" t="n">
        <v>43528</v>
      </c>
      <c r="C275" s="1" t="n">
        <v>45340</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13766-2019</t>
        </is>
      </c>
      <c r="B276" s="1" t="n">
        <v>43531</v>
      </c>
      <c r="C276" s="1" t="n">
        <v>45340</v>
      </c>
      <c r="D276" t="inlineStr">
        <is>
          <t>UPPSALA LÄN</t>
        </is>
      </c>
      <c r="E276" t="inlineStr">
        <is>
          <t>UPPSALA</t>
        </is>
      </c>
      <c r="G276" t="n">
        <v>6.7</v>
      </c>
      <c r="H276" t="n">
        <v>0</v>
      </c>
      <c r="I276" t="n">
        <v>0</v>
      </c>
      <c r="J276" t="n">
        <v>0</v>
      </c>
      <c r="K276" t="n">
        <v>0</v>
      </c>
      <c r="L276" t="n">
        <v>0</v>
      </c>
      <c r="M276" t="n">
        <v>0</v>
      </c>
      <c r="N276" t="n">
        <v>0</v>
      </c>
      <c r="O276" t="n">
        <v>0</v>
      </c>
      <c r="P276" t="n">
        <v>0</v>
      </c>
      <c r="Q276" t="n">
        <v>0</v>
      </c>
      <c r="R276" s="2" t="inlineStr"/>
    </row>
    <row r="277" ht="15" customHeight="1">
      <c r="A277" t="inlineStr">
        <is>
          <t>A 13927-2019</t>
        </is>
      </c>
      <c r="B277" s="1" t="n">
        <v>43531</v>
      </c>
      <c r="C277" s="1" t="n">
        <v>45340</v>
      </c>
      <c r="D277" t="inlineStr">
        <is>
          <t>UPPSALA LÄN</t>
        </is>
      </c>
      <c r="E277" t="inlineStr">
        <is>
          <t>UPPSALA</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13733-2019</t>
        </is>
      </c>
      <c r="B278" s="1" t="n">
        <v>43531</v>
      </c>
      <c r="C278" s="1" t="n">
        <v>45340</v>
      </c>
      <c r="D278" t="inlineStr">
        <is>
          <t>UPPSALA LÄN</t>
        </is>
      </c>
      <c r="E278" t="inlineStr">
        <is>
          <t>UPPSALA</t>
        </is>
      </c>
      <c r="G278" t="n">
        <v>5.2</v>
      </c>
      <c r="H278" t="n">
        <v>0</v>
      </c>
      <c r="I278" t="n">
        <v>0</v>
      </c>
      <c r="J278" t="n">
        <v>0</v>
      </c>
      <c r="K278" t="n">
        <v>0</v>
      </c>
      <c r="L278" t="n">
        <v>0</v>
      </c>
      <c r="M278" t="n">
        <v>0</v>
      </c>
      <c r="N278" t="n">
        <v>0</v>
      </c>
      <c r="O278" t="n">
        <v>0</v>
      </c>
      <c r="P278" t="n">
        <v>0</v>
      </c>
      <c r="Q278" t="n">
        <v>0</v>
      </c>
      <c r="R278" s="2" t="inlineStr"/>
    </row>
    <row r="279" ht="15" customHeight="1">
      <c r="A279" t="inlineStr">
        <is>
          <t>A 14059-2019</t>
        </is>
      </c>
      <c r="B279" s="1" t="n">
        <v>43532</v>
      </c>
      <c r="C279" s="1" t="n">
        <v>45340</v>
      </c>
      <c r="D279" t="inlineStr">
        <is>
          <t>UPPSALA LÄN</t>
        </is>
      </c>
      <c r="E279" t="inlineStr">
        <is>
          <t>UPPSALA</t>
        </is>
      </c>
      <c r="F279" t="inlineStr">
        <is>
          <t>Holmen skog AB</t>
        </is>
      </c>
      <c r="G279" t="n">
        <v>2</v>
      </c>
      <c r="H279" t="n">
        <v>0</v>
      </c>
      <c r="I279" t="n">
        <v>0</v>
      </c>
      <c r="J279" t="n">
        <v>0</v>
      </c>
      <c r="K279" t="n">
        <v>0</v>
      </c>
      <c r="L279" t="n">
        <v>0</v>
      </c>
      <c r="M279" t="n">
        <v>0</v>
      </c>
      <c r="N279" t="n">
        <v>0</v>
      </c>
      <c r="O279" t="n">
        <v>0</v>
      </c>
      <c r="P279" t="n">
        <v>0</v>
      </c>
      <c r="Q279" t="n">
        <v>0</v>
      </c>
      <c r="R279" s="2" t="inlineStr"/>
    </row>
    <row r="280" ht="15" customHeight="1">
      <c r="A280" t="inlineStr">
        <is>
          <t>A 14255-2019</t>
        </is>
      </c>
      <c r="B280" s="1" t="n">
        <v>43535</v>
      </c>
      <c r="C280" s="1" t="n">
        <v>45340</v>
      </c>
      <c r="D280" t="inlineStr">
        <is>
          <t>UPPSALA LÄN</t>
        </is>
      </c>
      <c r="E280" t="inlineStr">
        <is>
          <t>UPPSALA</t>
        </is>
      </c>
      <c r="G280" t="n">
        <v>5.5</v>
      </c>
      <c r="H280" t="n">
        <v>0</v>
      </c>
      <c r="I280" t="n">
        <v>0</v>
      </c>
      <c r="J280" t="n">
        <v>0</v>
      </c>
      <c r="K280" t="n">
        <v>0</v>
      </c>
      <c r="L280" t="n">
        <v>0</v>
      </c>
      <c r="M280" t="n">
        <v>0</v>
      </c>
      <c r="N280" t="n">
        <v>0</v>
      </c>
      <c r="O280" t="n">
        <v>0</v>
      </c>
      <c r="P280" t="n">
        <v>0</v>
      </c>
      <c r="Q280" t="n">
        <v>0</v>
      </c>
      <c r="R280" s="2" t="inlineStr"/>
    </row>
    <row r="281" ht="15" customHeight="1">
      <c r="A281" t="inlineStr">
        <is>
          <t>A 14407-2019</t>
        </is>
      </c>
      <c r="B281" s="1" t="n">
        <v>43536</v>
      </c>
      <c r="C281" s="1" t="n">
        <v>45340</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14963-2019</t>
        </is>
      </c>
      <c r="B282" s="1" t="n">
        <v>43538</v>
      </c>
      <c r="C282" s="1" t="n">
        <v>45340</v>
      </c>
      <c r="D282" t="inlineStr">
        <is>
          <t>UPPSALA LÄN</t>
        </is>
      </c>
      <c r="E282" t="inlineStr">
        <is>
          <t>UPPSALA</t>
        </is>
      </c>
      <c r="F282" t="inlineStr">
        <is>
          <t>Holmen skog AB</t>
        </is>
      </c>
      <c r="G282" t="n">
        <v>3.3</v>
      </c>
      <c r="H282" t="n">
        <v>0</v>
      </c>
      <c r="I282" t="n">
        <v>0</v>
      </c>
      <c r="J282" t="n">
        <v>0</v>
      </c>
      <c r="K282" t="n">
        <v>0</v>
      </c>
      <c r="L282" t="n">
        <v>0</v>
      </c>
      <c r="M282" t="n">
        <v>0</v>
      </c>
      <c r="N282" t="n">
        <v>0</v>
      </c>
      <c r="O282" t="n">
        <v>0</v>
      </c>
      <c r="P282" t="n">
        <v>0</v>
      </c>
      <c r="Q282" t="n">
        <v>0</v>
      </c>
      <c r="R282" s="2" t="inlineStr"/>
    </row>
    <row r="283" ht="15" customHeight="1">
      <c r="A283" t="inlineStr">
        <is>
          <t>A 14956-2019</t>
        </is>
      </c>
      <c r="B283" s="1" t="n">
        <v>43538</v>
      </c>
      <c r="C283" s="1" t="n">
        <v>45340</v>
      </c>
      <c r="D283" t="inlineStr">
        <is>
          <t>UPPSALA LÄN</t>
        </is>
      </c>
      <c r="E283" t="inlineStr">
        <is>
          <t>UPPSALA</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15995-2019</t>
        </is>
      </c>
      <c r="B284" s="1" t="n">
        <v>43544</v>
      </c>
      <c r="C284" s="1" t="n">
        <v>45340</v>
      </c>
      <c r="D284" t="inlineStr">
        <is>
          <t>UPPSALA LÄN</t>
        </is>
      </c>
      <c r="E284" t="inlineStr">
        <is>
          <t>UPPSALA</t>
        </is>
      </c>
      <c r="G284" t="n">
        <v>16.5</v>
      </c>
      <c r="H284" t="n">
        <v>0</v>
      </c>
      <c r="I284" t="n">
        <v>0</v>
      </c>
      <c r="J284" t="n">
        <v>0</v>
      </c>
      <c r="K284" t="n">
        <v>0</v>
      </c>
      <c r="L284" t="n">
        <v>0</v>
      </c>
      <c r="M284" t="n">
        <v>0</v>
      </c>
      <c r="N284" t="n">
        <v>0</v>
      </c>
      <c r="O284" t="n">
        <v>0</v>
      </c>
      <c r="P284" t="n">
        <v>0</v>
      </c>
      <c r="Q284" t="n">
        <v>0</v>
      </c>
      <c r="R284" s="2" t="inlineStr"/>
    </row>
    <row r="285" ht="15" customHeight="1">
      <c r="A285" t="inlineStr">
        <is>
          <t>A 16887-2019</t>
        </is>
      </c>
      <c r="B285" s="1" t="n">
        <v>43550</v>
      </c>
      <c r="C285" s="1" t="n">
        <v>45340</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17351-2019</t>
        </is>
      </c>
      <c r="B286" s="1" t="n">
        <v>43552</v>
      </c>
      <c r="C286" s="1" t="n">
        <v>45340</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17534-2019</t>
        </is>
      </c>
      <c r="B287" s="1" t="n">
        <v>43553</v>
      </c>
      <c r="C287" s="1" t="n">
        <v>45340</v>
      </c>
      <c r="D287" t="inlineStr">
        <is>
          <t>UPPSALA LÄN</t>
        </is>
      </c>
      <c r="E287" t="inlineStr">
        <is>
          <t>UPPSALA</t>
        </is>
      </c>
      <c r="G287" t="n">
        <v>3.7</v>
      </c>
      <c r="H287" t="n">
        <v>0</v>
      </c>
      <c r="I287" t="n">
        <v>0</v>
      </c>
      <c r="J287" t="n">
        <v>0</v>
      </c>
      <c r="K287" t="n">
        <v>0</v>
      </c>
      <c r="L287" t="n">
        <v>0</v>
      </c>
      <c r="M287" t="n">
        <v>0</v>
      </c>
      <c r="N287" t="n">
        <v>0</v>
      </c>
      <c r="O287" t="n">
        <v>0</v>
      </c>
      <c r="P287" t="n">
        <v>0</v>
      </c>
      <c r="Q287" t="n">
        <v>0</v>
      </c>
      <c r="R287" s="2" t="inlineStr"/>
    </row>
    <row r="288" ht="15" customHeight="1">
      <c r="A288" t="inlineStr">
        <is>
          <t>A 17438-2019</t>
        </is>
      </c>
      <c r="B288" s="1" t="n">
        <v>43553</v>
      </c>
      <c r="C288" s="1" t="n">
        <v>45340</v>
      </c>
      <c r="D288" t="inlineStr">
        <is>
          <t>UPPSALA LÄN</t>
        </is>
      </c>
      <c r="E288" t="inlineStr">
        <is>
          <t>UPPSALA</t>
        </is>
      </c>
      <c r="F288" t="inlineStr">
        <is>
          <t>Allmännings- och besparingsskogar</t>
        </is>
      </c>
      <c r="G288" t="n">
        <v>3.6</v>
      </c>
      <c r="H288" t="n">
        <v>0</v>
      </c>
      <c r="I288" t="n">
        <v>0</v>
      </c>
      <c r="J288" t="n">
        <v>0</v>
      </c>
      <c r="K288" t="n">
        <v>0</v>
      </c>
      <c r="L288" t="n">
        <v>0</v>
      </c>
      <c r="M288" t="n">
        <v>0</v>
      </c>
      <c r="N288" t="n">
        <v>0</v>
      </c>
      <c r="O288" t="n">
        <v>0</v>
      </c>
      <c r="P288" t="n">
        <v>0</v>
      </c>
      <c r="Q288" t="n">
        <v>0</v>
      </c>
      <c r="R288" s="2" t="inlineStr"/>
    </row>
    <row r="289" ht="15" customHeight="1">
      <c r="A289" t="inlineStr">
        <is>
          <t>A 17828-2019</t>
        </is>
      </c>
      <c r="B289" s="1" t="n">
        <v>43556</v>
      </c>
      <c r="C289" s="1" t="n">
        <v>45340</v>
      </c>
      <c r="D289" t="inlineStr">
        <is>
          <t>UPPSALA LÄN</t>
        </is>
      </c>
      <c r="E289" t="inlineStr">
        <is>
          <t>UPPSALA</t>
        </is>
      </c>
      <c r="G289" t="n">
        <v>2.8</v>
      </c>
      <c r="H289" t="n">
        <v>0</v>
      </c>
      <c r="I289" t="n">
        <v>0</v>
      </c>
      <c r="J289" t="n">
        <v>0</v>
      </c>
      <c r="K289" t="n">
        <v>0</v>
      </c>
      <c r="L289" t="n">
        <v>0</v>
      </c>
      <c r="M289" t="n">
        <v>0</v>
      </c>
      <c r="N289" t="n">
        <v>0</v>
      </c>
      <c r="O289" t="n">
        <v>0</v>
      </c>
      <c r="P289" t="n">
        <v>0</v>
      </c>
      <c r="Q289" t="n">
        <v>0</v>
      </c>
      <c r="R289" s="2" t="inlineStr"/>
    </row>
    <row r="290" ht="15" customHeight="1">
      <c r="A290" t="inlineStr">
        <is>
          <t>A 18446-2019</t>
        </is>
      </c>
      <c r="B290" s="1" t="n">
        <v>43559</v>
      </c>
      <c r="C290" s="1" t="n">
        <v>45340</v>
      </c>
      <c r="D290" t="inlineStr">
        <is>
          <t>UPPSALA LÄN</t>
        </is>
      </c>
      <c r="E290" t="inlineStr">
        <is>
          <t>UPPSALA</t>
        </is>
      </c>
      <c r="G290" t="n">
        <v>9.1</v>
      </c>
      <c r="H290" t="n">
        <v>0</v>
      </c>
      <c r="I290" t="n">
        <v>0</v>
      </c>
      <c r="J290" t="n">
        <v>0</v>
      </c>
      <c r="K290" t="n">
        <v>0</v>
      </c>
      <c r="L290" t="n">
        <v>0</v>
      </c>
      <c r="M290" t="n">
        <v>0</v>
      </c>
      <c r="N290" t="n">
        <v>0</v>
      </c>
      <c r="O290" t="n">
        <v>0</v>
      </c>
      <c r="P290" t="n">
        <v>0</v>
      </c>
      <c r="Q290" t="n">
        <v>0</v>
      </c>
      <c r="R290" s="2" t="inlineStr"/>
    </row>
    <row r="291" ht="15" customHeight="1">
      <c r="A291" t="inlineStr">
        <is>
          <t>A 18554-2019</t>
        </is>
      </c>
      <c r="B291" s="1" t="n">
        <v>43559</v>
      </c>
      <c r="C291" s="1" t="n">
        <v>45340</v>
      </c>
      <c r="D291" t="inlineStr">
        <is>
          <t>UPPSALA LÄN</t>
        </is>
      </c>
      <c r="E291" t="inlineStr">
        <is>
          <t>UPPSALA</t>
        </is>
      </c>
      <c r="G291" t="n">
        <v>5.6</v>
      </c>
      <c r="H291" t="n">
        <v>0</v>
      </c>
      <c r="I291" t="n">
        <v>0</v>
      </c>
      <c r="J291" t="n">
        <v>0</v>
      </c>
      <c r="K291" t="n">
        <v>0</v>
      </c>
      <c r="L291" t="n">
        <v>0</v>
      </c>
      <c r="M291" t="n">
        <v>0</v>
      </c>
      <c r="N291" t="n">
        <v>0</v>
      </c>
      <c r="O291" t="n">
        <v>0</v>
      </c>
      <c r="P291" t="n">
        <v>0</v>
      </c>
      <c r="Q291" t="n">
        <v>0</v>
      </c>
      <c r="R291" s="2" t="inlineStr"/>
    </row>
    <row r="292" ht="15" customHeight="1">
      <c r="A292" t="inlineStr">
        <is>
          <t>A 18810-2019</t>
        </is>
      </c>
      <c r="B292" s="1" t="n">
        <v>43560</v>
      </c>
      <c r="C292" s="1" t="n">
        <v>45340</v>
      </c>
      <c r="D292" t="inlineStr">
        <is>
          <t>UPPSALA LÄN</t>
        </is>
      </c>
      <c r="E292" t="inlineStr">
        <is>
          <t>UPPSALA</t>
        </is>
      </c>
      <c r="G292" t="n">
        <v>4</v>
      </c>
      <c r="H292" t="n">
        <v>0</v>
      </c>
      <c r="I292" t="n">
        <v>0</v>
      </c>
      <c r="J292" t="n">
        <v>0</v>
      </c>
      <c r="K292" t="n">
        <v>0</v>
      </c>
      <c r="L292" t="n">
        <v>0</v>
      </c>
      <c r="M292" t="n">
        <v>0</v>
      </c>
      <c r="N292" t="n">
        <v>0</v>
      </c>
      <c r="O292" t="n">
        <v>0</v>
      </c>
      <c r="P292" t="n">
        <v>0</v>
      </c>
      <c r="Q292" t="n">
        <v>0</v>
      </c>
      <c r="R292" s="2" t="inlineStr"/>
    </row>
    <row r="293" ht="15" customHeight="1">
      <c r="A293" t="inlineStr">
        <is>
          <t>A 20011-2019</t>
        </is>
      </c>
      <c r="B293" s="1" t="n">
        <v>43570</v>
      </c>
      <c r="C293" s="1" t="n">
        <v>45340</v>
      </c>
      <c r="D293" t="inlineStr">
        <is>
          <t>UPPSALA LÄN</t>
        </is>
      </c>
      <c r="E293" t="inlineStr">
        <is>
          <t>UPPSALA</t>
        </is>
      </c>
      <c r="G293" t="n">
        <v>6.3</v>
      </c>
      <c r="H293" t="n">
        <v>0</v>
      </c>
      <c r="I293" t="n">
        <v>0</v>
      </c>
      <c r="J293" t="n">
        <v>0</v>
      </c>
      <c r="K293" t="n">
        <v>0</v>
      </c>
      <c r="L293" t="n">
        <v>0</v>
      </c>
      <c r="M293" t="n">
        <v>0</v>
      </c>
      <c r="N293" t="n">
        <v>0</v>
      </c>
      <c r="O293" t="n">
        <v>0</v>
      </c>
      <c r="P293" t="n">
        <v>0</v>
      </c>
      <c r="Q293" t="n">
        <v>0</v>
      </c>
      <c r="R293" s="2" t="inlineStr"/>
    </row>
    <row r="294" ht="15" customHeight="1">
      <c r="A294" t="inlineStr">
        <is>
          <t>A 21087-2019</t>
        </is>
      </c>
      <c r="B294" s="1" t="n">
        <v>43578</v>
      </c>
      <c r="C294" s="1" t="n">
        <v>45340</v>
      </c>
      <c r="D294" t="inlineStr">
        <is>
          <t>UPPSALA LÄN</t>
        </is>
      </c>
      <c r="E294" t="inlineStr">
        <is>
          <t>UPPSALA</t>
        </is>
      </c>
      <c r="G294" t="n">
        <v>1.8</v>
      </c>
      <c r="H294" t="n">
        <v>0</v>
      </c>
      <c r="I294" t="n">
        <v>0</v>
      </c>
      <c r="J294" t="n">
        <v>0</v>
      </c>
      <c r="K294" t="n">
        <v>0</v>
      </c>
      <c r="L294" t="n">
        <v>0</v>
      </c>
      <c r="M294" t="n">
        <v>0</v>
      </c>
      <c r="N294" t="n">
        <v>0</v>
      </c>
      <c r="O294" t="n">
        <v>0</v>
      </c>
      <c r="P294" t="n">
        <v>0</v>
      </c>
      <c r="Q294" t="n">
        <v>0</v>
      </c>
      <c r="R294" s="2" t="inlineStr"/>
    </row>
    <row r="295" ht="15" customHeight="1">
      <c r="A295" t="inlineStr">
        <is>
          <t>A 21082-2019</t>
        </is>
      </c>
      <c r="B295" s="1" t="n">
        <v>43578</v>
      </c>
      <c r="C295" s="1" t="n">
        <v>45340</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21862-2019</t>
        </is>
      </c>
      <c r="B296" s="1" t="n">
        <v>43583</v>
      </c>
      <c r="C296" s="1" t="n">
        <v>45340</v>
      </c>
      <c r="D296" t="inlineStr">
        <is>
          <t>UPPSALA LÄN</t>
        </is>
      </c>
      <c r="E296" t="inlineStr">
        <is>
          <t>UPPSALA</t>
        </is>
      </c>
      <c r="G296" t="n">
        <v>9.5</v>
      </c>
      <c r="H296" t="n">
        <v>0</v>
      </c>
      <c r="I296" t="n">
        <v>0</v>
      </c>
      <c r="J296" t="n">
        <v>0</v>
      </c>
      <c r="K296" t="n">
        <v>0</v>
      </c>
      <c r="L296" t="n">
        <v>0</v>
      </c>
      <c r="M296" t="n">
        <v>0</v>
      </c>
      <c r="N296" t="n">
        <v>0</v>
      </c>
      <c r="O296" t="n">
        <v>0</v>
      </c>
      <c r="P296" t="n">
        <v>0</v>
      </c>
      <c r="Q296" t="n">
        <v>0</v>
      </c>
      <c r="R296" s="2" t="inlineStr"/>
    </row>
    <row r="297" ht="15" customHeight="1">
      <c r="A297" t="inlineStr">
        <is>
          <t>A 22153-2019</t>
        </is>
      </c>
      <c r="B297" s="1" t="n">
        <v>43585</v>
      </c>
      <c r="C297" s="1" t="n">
        <v>45340</v>
      </c>
      <c r="D297" t="inlineStr">
        <is>
          <t>UPPSALA LÄN</t>
        </is>
      </c>
      <c r="E297" t="inlineStr">
        <is>
          <t>UPPSALA</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23042-2019</t>
        </is>
      </c>
      <c r="B298" s="1" t="n">
        <v>43591</v>
      </c>
      <c r="C298" s="1" t="n">
        <v>45340</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23262-2019</t>
        </is>
      </c>
      <c r="B299" s="1" t="n">
        <v>43592</v>
      </c>
      <c r="C299" s="1" t="n">
        <v>45340</v>
      </c>
      <c r="D299" t="inlineStr">
        <is>
          <t>UPPSALA LÄN</t>
        </is>
      </c>
      <c r="E299" t="inlineStr">
        <is>
          <t>UPPSALA</t>
        </is>
      </c>
      <c r="F299" t="inlineStr">
        <is>
          <t>Kyrkan</t>
        </is>
      </c>
      <c r="G299" t="n">
        <v>7.6</v>
      </c>
      <c r="H299" t="n">
        <v>0</v>
      </c>
      <c r="I299" t="n">
        <v>0</v>
      </c>
      <c r="J299" t="n">
        <v>0</v>
      </c>
      <c r="K299" t="n">
        <v>0</v>
      </c>
      <c r="L299" t="n">
        <v>0</v>
      </c>
      <c r="M299" t="n">
        <v>0</v>
      </c>
      <c r="N299" t="n">
        <v>0</v>
      </c>
      <c r="O299" t="n">
        <v>0</v>
      </c>
      <c r="P299" t="n">
        <v>0</v>
      </c>
      <c r="Q299" t="n">
        <v>0</v>
      </c>
      <c r="R299" s="2" t="inlineStr"/>
    </row>
    <row r="300" ht="15" customHeight="1">
      <c r="A300" t="inlineStr">
        <is>
          <t>A 24998-2019</t>
        </is>
      </c>
      <c r="B300" s="1" t="n">
        <v>43600</v>
      </c>
      <c r="C300" s="1" t="n">
        <v>45340</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25164-2019</t>
        </is>
      </c>
      <c r="B301" s="1" t="n">
        <v>43605</v>
      </c>
      <c r="C301" s="1" t="n">
        <v>45340</v>
      </c>
      <c r="D301" t="inlineStr">
        <is>
          <t>UPPSALA LÄN</t>
        </is>
      </c>
      <c r="E301" t="inlineStr">
        <is>
          <t>UPPSALA</t>
        </is>
      </c>
      <c r="G301" t="n">
        <v>1.6</v>
      </c>
      <c r="H301" t="n">
        <v>0</v>
      </c>
      <c r="I301" t="n">
        <v>0</v>
      </c>
      <c r="J301" t="n">
        <v>0</v>
      </c>
      <c r="K301" t="n">
        <v>0</v>
      </c>
      <c r="L301" t="n">
        <v>0</v>
      </c>
      <c r="M301" t="n">
        <v>0</v>
      </c>
      <c r="N301" t="n">
        <v>0</v>
      </c>
      <c r="O301" t="n">
        <v>0</v>
      </c>
      <c r="P301" t="n">
        <v>0</v>
      </c>
      <c r="Q301" t="n">
        <v>0</v>
      </c>
      <c r="R301" s="2" t="inlineStr"/>
    </row>
    <row r="302" ht="15" customHeight="1">
      <c r="A302" t="inlineStr">
        <is>
          <t>A 25157-2019</t>
        </is>
      </c>
      <c r="B302" s="1" t="n">
        <v>43605</v>
      </c>
      <c r="C302" s="1" t="n">
        <v>45340</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25667-2019</t>
        </is>
      </c>
      <c r="B303" s="1" t="n">
        <v>43607</v>
      </c>
      <c r="C303" s="1" t="n">
        <v>45340</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29105-2019</t>
        </is>
      </c>
      <c r="B304" s="1" t="n">
        <v>43628</v>
      </c>
      <c r="C304" s="1" t="n">
        <v>45340</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29183-2019</t>
        </is>
      </c>
      <c r="B305" s="1" t="n">
        <v>43628</v>
      </c>
      <c r="C305" s="1" t="n">
        <v>45340</v>
      </c>
      <c r="D305" t="inlineStr">
        <is>
          <t>UPPSALA LÄN</t>
        </is>
      </c>
      <c r="E305" t="inlineStr">
        <is>
          <t>UPPSALA</t>
        </is>
      </c>
      <c r="F305" t="inlineStr">
        <is>
          <t>Allmännings- och besparingsskogar</t>
        </is>
      </c>
      <c r="G305" t="n">
        <v>6.3</v>
      </c>
      <c r="H305" t="n">
        <v>0</v>
      </c>
      <c r="I305" t="n">
        <v>0</v>
      </c>
      <c r="J305" t="n">
        <v>0</v>
      </c>
      <c r="K305" t="n">
        <v>0</v>
      </c>
      <c r="L305" t="n">
        <v>0</v>
      </c>
      <c r="M305" t="n">
        <v>0</v>
      </c>
      <c r="N305" t="n">
        <v>0</v>
      </c>
      <c r="O305" t="n">
        <v>0</v>
      </c>
      <c r="P305" t="n">
        <v>0</v>
      </c>
      <c r="Q305" t="n">
        <v>0</v>
      </c>
      <c r="R305" s="2" t="inlineStr"/>
    </row>
    <row r="306" ht="15" customHeight="1">
      <c r="A306" t="inlineStr">
        <is>
          <t>A 29081-2019</t>
        </is>
      </c>
      <c r="B306" s="1" t="n">
        <v>43628</v>
      </c>
      <c r="C306" s="1" t="n">
        <v>45340</v>
      </c>
      <c r="D306" t="inlineStr">
        <is>
          <t>UPPSALA LÄN</t>
        </is>
      </c>
      <c r="E306" t="inlineStr">
        <is>
          <t>UPPSALA</t>
        </is>
      </c>
      <c r="G306" t="n">
        <v>8.4</v>
      </c>
      <c r="H306" t="n">
        <v>0</v>
      </c>
      <c r="I306" t="n">
        <v>0</v>
      </c>
      <c r="J306" t="n">
        <v>0</v>
      </c>
      <c r="K306" t="n">
        <v>0</v>
      </c>
      <c r="L306" t="n">
        <v>0</v>
      </c>
      <c r="M306" t="n">
        <v>0</v>
      </c>
      <c r="N306" t="n">
        <v>0</v>
      </c>
      <c r="O306" t="n">
        <v>0</v>
      </c>
      <c r="P306" t="n">
        <v>0</v>
      </c>
      <c r="Q306" t="n">
        <v>0</v>
      </c>
      <c r="R306" s="2" t="inlineStr"/>
    </row>
    <row r="307" ht="15" customHeight="1">
      <c r="A307" t="inlineStr">
        <is>
          <t>A 29719-2019</t>
        </is>
      </c>
      <c r="B307" s="1" t="n">
        <v>43630</v>
      </c>
      <c r="C307" s="1" t="n">
        <v>45340</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29713-2019</t>
        </is>
      </c>
      <c r="B308" s="1" t="n">
        <v>43630</v>
      </c>
      <c r="C308" s="1" t="n">
        <v>45340</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32558-2019</t>
        </is>
      </c>
      <c r="B309" s="1" t="n">
        <v>43647</v>
      </c>
      <c r="C309" s="1" t="n">
        <v>45340</v>
      </c>
      <c r="D309" t="inlineStr">
        <is>
          <t>UPPSALA LÄN</t>
        </is>
      </c>
      <c r="E309" t="inlineStr">
        <is>
          <t>UPPSALA</t>
        </is>
      </c>
      <c r="G309" t="n">
        <v>4.2</v>
      </c>
      <c r="H309" t="n">
        <v>0</v>
      </c>
      <c r="I309" t="n">
        <v>0</v>
      </c>
      <c r="J309" t="n">
        <v>0</v>
      </c>
      <c r="K309" t="n">
        <v>0</v>
      </c>
      <c r="L309" t="n">
        <v>0</v>
      </c>
      <c r="M309" t="n">
        <v>0</v>
      </c>
      <c r="N309" t="n">
        <v>0</v>
      </c>
      <c r="O309" t="n">
        <v>0</v>
      </c>
      <c r="P309" t="n">
        <v>0</v>
      </c>
      <c r="Q309" t="n">
        <v>0</v>
      </c>
      <c r="R309" s="2" t="inlineStr"/>
    </row>
    <row r="310" ht="15" customHeight="1">
      <c r="A310" t="inlineStr">
        <is>
          <t>A 34560-2019</t>
        </is>
      </c>
      <c r="B310" s="1" t="n">
        <v>43647</v>
      </c>
      <c r="C310" s="1" t="n">
        <v>45340</v>
      </c>
      <c r="D310" t="inlineStr">
        <is>
          <t>UPPSALA LÄN</t>
        </is>
      </c>
      <c r="E310" t="inlineStr">
        <is>
          <t>UPPSALA</t>
        </is>
      </c>
      <c r="G310" t="n">
        <v>8.6</v>
      </c>
      <c r="H310" t="n">
        <v>0</v>
      </c>
      <c r="I310" t="n">
        <v>0</v>
      </c>
      <c r="J310" t="n">
        <v>0</v>
      </c>
      <c r="K310" t="n">
        <v>0</v>
      </c>
      <c r="L310" t="n">
        <v>0</v>
      </c>
      <c r="M310" t="n">
        <v>0</v>
      </c>
      <c r="N310" t="n">
        <v>0</v>
      </c>
      <c r="O310" t="n">
        <v>0</v>
      </c>
      <c r="P310" t="n">
        <v>0</v>
      </c>
      <c r="Q310" t="n">
        <v>0</v>
      </c>
      <c r="R310" s="2" t="inlineStr"/>
    </row>
    <row r="311" ht="15" customHeight="1">
      <c r="A311" t="inlineStr">
        <is>
          <t>A 32830-2019</t>
        </is>
      </c>
      <c r="B311" s="1" t="n">
        <v>43648</v>
      </c>
      <c r="C311" s="1" t="n">
        <v>45340</v>
      </c>
      <c r="D311" t="inlineStr">
        <is>
          <t>UPPSALA LÄN</t>
        </is>
      </c>
      <c r="E311" t="inlineStr">
        <is>
          <t>UPPSALA</t>
        </is>
      </c>
      <c r="G311" t="n">
        <v>13.6</v>
      </c>
      <c r="H311" t="n">
        <v>0</v>
      </c>
      <c r="I311" t="n">
        <v>0</v>
      </c>
      <c r="J311" t="n">
        <v>0</v>
      </c>
      <c r="K311" t="n">
        <v>0</v>
      </c>
      <c r="L311" t="n">
        <v>0</v>
      </c>
      <c r="M311" t="n">
        <v>0</v>
      </c>
      <c r="N311" t="n">
        <v>0</v>
      </c>
      <c r="O311" t="n">
        <v>0</v>
      </c>
      <c r="P311" t="n">
        <v>0</v>
      </c>
      <c r="Q311" t="n">
        <v>0</v>
      </c>
      <c r="R311" s="2" t="inlineStr"/>
    </row>
    <row r="312" ht="15" customHeight="1">
      <c r="A312" t="inlineStr">
        <is>
          <t>A 33602-2019</t>
        </is>
      </c>
      <c r="B312" s="1" t="n">
        <v>43651</v>
      </c>
      <c r="C312" s="1" t="n">
        <v>45340</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33614-2019</t>
        </is>
      </c>
      <c r="B313" s="1" t="n">
        <v>43651</v>
      </c>
      <c r="C313" s="1" t="n">
        <v>45340</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33615-2019</t>
        </is>
      </c>
      <c r="B314" s="1" t="n">
        <v>43651</v>
      </c>
      <c r="C314" s="1" t="n">
        <v>45340</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33596-2019</t>
        </is>
      </c>
      <c r="B315" s="1" t="n">
        <v>43651</v>
      </c>
      <c r="C315" s="1" t="n">
        <v>45340</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34007-2019</t>
        </is>
      </c>
      <c r="B316" s="1" t="n">
        <v>43654</v>
      </c>
      <c r="C316" s="1" t="n">
        <v>45340</v>
      </c>
      <c r="D316" t="inlineStr">
        <is>
          <t>UPPSALA LÄN</t>
        </is>
      </c>
      <c r="E316" t="inlineStr">
        <is>
          <t>UPPSALA</t>
        </is>
      </c>
      <c r="G316" t="n">
        <v>2</v>
      </c>
      <c r="H316" t="n">
        <v>0</v>
      </c>
      <c r="I316" t="n">
        <v>0</v>
      </c>
      <c r="J316" t="n">
        <v>0</v>
      </c>
      <c r="K316" t="n">
        <v>0</v>
      </c>
      <c r="L316" t="n">
        <v>0</v>
      </c>
      <c r="M316" t="n">
        <v>0</v>
      </c>
      <c r="N316" t="n">
        <v>0</v>
      </c>
      <c r="O316" t="n">
        <v>0</v>
      </c>
      <c r="P316" t="n">
        <v>0</v>
      </c>
      <c r="Q316" t="n">
        <v>0</v>
      </c>
      <c r="R316" s="2" t="inlineStr"/>
    </row>
    <row r="317" ht="15" customHeight="1">
      <c r="A317" t="inlineStr">
        <is>
          <t>A 34063-2019</t>
        </is>
      </c>
      <c r="B317" s="1" t="n">
        <v>43654</v>
      </c>
      <c r="C317" s="1" t="n">
        <v>45340</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34331-2019</t>
        </is>
      </c>
      <c r="B318" s="1" t="n">
        <v>43656</v>
      </c>
      <c r="C318" s="1" t="n">
        <v>45340</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36345-2019</t>
        </is>
      </c>
      <c r="B319" s="1" t="n">
        <v>43661</v>
      </c>
      <c r="C319" s="1" t="n">
        <v>45340</v>
      </c>
      <c r="D319" t="inlineStr">
        <is>
          <t>UPPSALA LÄN</t>
        </is>
      </c>
      <c r="E319" t="inlineStr">
        <is>
          <t>UPPSALA</t>
        </is>
      </c>
      <c r="G319" t="n">
        <v>5.3</v>
      </c>
      <c r="H319" t="n">
        <v>0</v>
      </c>
      <c r="I319" t="n">
        <v>0</v>
      </c>
      <c r="J319" t="n">
        <v>0</v>
      </c>
      <c r="K319" t="n">
        <v>0</v>
      </c>
      <c r="L319" t="n">
        <v>0</v>
      </c>
      <c r="M319" t="n">
        <v>0</v>
      </c>
      <c r="N319" t="n">
        <v>0</v>
      </c>
      <c r="O319" t="n">
        <v>0</v>
      </c>
      <c r="P319" t="n">
        <v>0</v>
      </c>
      <c r="Q319" t="n">
        <v>0</v>
      </c>
      <c r="R319" s="2" t="inlineStr"/>
    </row>
    <row r="320" ht="15" customHeight="1">
      <c r="A320" t="inlineStr">
        <is>
          <t>A 36394-2019</t>
        </is>
      </c>
      <c r="B320" s="1" t="n">
        <v>43663</v>
      </c>
      <c r="C320" s="1" t="n">
        <v>45340</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37234-2019</t>
        </is>
      </c>
      <c r="B321" s="1" t="n">
        <v>43677</v>
      </c>
      <c r="C321" s="1" t="n">
        <v>45340</v>
      </c>
      <c r="D321" t="inlineStr">
        <is>
          <t>UPPSALA LÄN</t>
        </is>
      </c>
      <c r="E321" t="inlineStr">
        <is>
          <t>UPPSALA</t>
        </is>
      </c>
      <c r="G321" t="n">
        <v>3.2</v>
      </c>
      <c r="H321" t="n">
        <v>0</v>
      </c>
      <c r="I321" t="n">
        <v>0</v>
      </c>
      <c r="J321" t="n">
        <v>0</v>
      </c>
      <c r="K321" t="n">
        <v>0</v>
      </c>
      <c r="L321" t="n">
        <v>0</v>
      </c>
      <c r="M321" t="n">
        <v>0</v>
      </c>
      <c r="N321" t="n">
        <v>0</v>
      </c>
      <c r="O321" t="n">
        <v>0</v>
      </c>
      <c r="P321" t="n">
        <v>0</v>
      </c>
      <c r="Q321" t="n">
        <v>0</v>
      </c>
      <c r="R321" s="2" t="inlineStr"/>
    </row>
    <row r="322" ht="15" customHeight="1">
      <c r="A322" t="inlineStr">
        <is>
          <t>A 37711-2019</t>
        </is>
      </c>
      <c r="B322" s="1" t="n">
        <v>43682</v>
      </c>
      <c r="C322" s="1" t="n">
        <v>45340</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38684-2019</t>
        </is>
      </c>
      <c r="B323" s="1" t="n">
        <v>43686</v>
      </c>
      <c r="C323" s="1" t="n">
        <v>45340</v>
      </c>
      <c r="D323" t="inlineStr">
        <is>
          <t>UPPSALA LÄN</t>
        </is>
      </c>
      <c r="E323" t="inlineStr">
        <is>
          <t>UPPSALA</t>
        </is>
      </c>
      <c r="G323" t="n">
        <v>0.4</v>
      </c>
      <c r="H323" t="n">
        <v>0</v>
      </c>
      <c r="I323" t="n">
        <v>0</v>
      </c>
      <c r="J323" t="n">
        <v>0</v>
      </c>
      <c r="K323" t="n">
        <v>0</v>
      </c>
      <c r="L323" t="n">
        <v>0</v>
      </c>
      <c r="M323" t="n">
        <v>0</v>
      </c>
      <c r="N323" t="n">
        <v>0</v>
      </c>
      <c r="O323" t="n">
        <v>0</v>
      </c>
      <c r="P323" t="n">
        <v>0</v>
      </c>
      <c r="Q323" t="n">
        <v>0</v>
      </c>
      <c r="R323" s="2" t="inlineStr"/>
    </row>
    <row r="324" ht="15" customHeight="1">
      <c r="A324" t="inlineStr">
        <is>
          <t>A 40151-2019</t>
        </is>
      </c>
      <c r="B324" s="1" t="n">
        <v>43693</v>
      </c>
      <c r="C324" s="1" t="n">
        <v>45340</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41609-2019</t>
        </is>
      </c>
      <c r="B325" s="1" t="n">
        <v>43696</v>
      </c>
      <c r="C325" s="1" t="n">
        <v>45340</v>
      </c>
      <c r="D325" t="inlineStr">
        <is>
          <t>UPPSALA LÄN</t>
        </is>
      </c>
      <c r="E325" t="inlineStr">
        <is>
          <t>UPPSALA</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41653-2019</t>
        </is>
      </c>
      <c r="B326" s="1" t="n">
        <v>43696</v>
      </c>
      <c r="C326" s="1" t="n">
        <v>45340</v>
      </c>
      <c r="D326" t="inlineStr">
        <is>
          <t>UPPSALA LÄN</t>
        </is>
      </c>
      <c r="E326" t="inlineStr">
        <is>
          <t>UPPSALA</t>
        </is>
      </c>
      <c r="G326" t="n">
        <v>5.2</v>
      </c>
      <c r="H326" t="n">
        <v>0</v>
      </c>
      <c r="I326" t="n">
        <v>0</v>
      </c>
      <c r="J326" t="n">
        <v>0</v>
      </c>
      <c r="K326" t="n">
        <v>0</v>
      </c>
      <c r="L326" t="n">
        <v>0</v>
      </c>
      <c r="M326" t="n">
        <v>0</v>
      </c>
      <c r="N326" t="n">
        <v>0</v>
      </c>
      <c r="O326" t="n">
        <v>0</v>
      </c>
      <c r="P326" t="n">
        <v>0</v>
      </c>
      <c r="Q326" t="n">
        <v>0</v>
      </c>
      <c r="R326" s="2" t="inlineStr"/>
    </row>
    <row r="327" ht="15" customHeight="1">
      <c r="A327" t="inlineStr">
        <is>
          <t>A 41524-2019</t>
        </is>
      </c>
      <c r="B327" s="1" t="n">
        <v>43699</v>
      </c>
      <c r="C327" s="1" t="n">
        <v>45340</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41535-2019</t>
        </is>
      </c>
      <c r="B328" s="1" t="n">
        <v>43699</v>
      </c>
      <c r="C328" s="1" t="n">
        <v>45340</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41695-2019</t>
        </is>
      </c>
      <c r="B329" s="1" t="n">
        <v>43699</v>
      </c>
      <c r="C329" s="1" t="n">
        <v>45340</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42111-2019</t>
        </is>
      </c>
      <c r="B330" s="1" t="n">
        <v>43703</v>
      </c>
      <c r="C330" s="1" t="n">
        <v>45340</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42986-2019</t>
        </is>
      </c>
      <c r="B331" s="1" t="n">
        <v>43705</v>
      </c>
      <c r="C331" s="1" t="n">
        <v>45340</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43222-2019</t>
        </is>
      </c>
      <c r="B332" s="1" t="n">
        <v>43706</v>
      </c>
      <c r="C332" s="1" t="n">
        <v>45340</v>
      </c>
      <c r="D332" t="inlineStr">
        <is>
          <t>UPPSALA LÄN</t>
        </is>
      </c>
      <c r="E332" t="inlineStr">
        <is>
          <t>UPPSALA</t>
        </is>
      </c>
      <c r="F332" t="inlineStr">
        <is>
          <t>Bergvik skog öst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43410-2019</t>
        </is>
      </c>
      <c r="B333" s="1" t="n">
        <v>43706</v>
      </c>
      <c r="C333" s="1" t="n">
        <v>45340</v>
      </c>
      <c r="D333" t="inlineStr">
        <is>
          <t>UPPSALA LÄN</t>
        </is>
      </c>
      <c r="E333" t="inlineStr">
        <is>
          <t>UPPSALA</t>
        </is>
      </c>
      <c r="F333" t="inlineStr">
        <is>
          <t>Övriga statliga verk och myndigheter</t>
        </is>
      </c>
      <c r="G333" t="n">
        <v>8.6</v>
      </c>
      <c r="H333" t="n">
        <v>0</v>
      </c>
      <c r="I333" t="n">
        <v>0</v>
      </c>
      <c r="J333" t="n">
        <v>0</v>
      </c>
      <c r="K333" t="n">
        <v>0</v>
      </c>
      <c r="L333" t="n">
        <v>0</v>
      </c>
      <c r="M333" t="n">
        <v>0</v>
      </c>
      <c r="N333" t="n">
        <v>0</v>
      </c>
      <c r="O333" t="n">
        <v>0</v>
      </c>
      <c r="P333" t="n">
        <v>0</v>
      </c>
      <c r="Q333" t="n">
        <v>0</v>
      </c>
      <c r="R333" s="2" t="inlineStr"/>
    </row>
    <row r="334" ht="15" customHeight="1">
      <c r="A334" t="inlineStr">
        <is>
          <t>A 43715-2019</t>
        </is>
      </c>
      <c r="B334" s="1" t="n">
        <v>43706</v>
      </c>
      <c r="C334" s="1" t="n">
        <v>45340</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43224-2019</t>
        </is>
      </c>
      <c r="B335" s="1" t="n">
        <v>43706</v>
      </c>
      <c r="C335" s="1" t="n">
        <v>45340</v>
      </c>
      <c r="D335" t="inlineStr">
        <is>
          <t>UPPSALA LÄN</t>
        </is>
      </c>
      <c r="E335" t="inlineStr">
        <is>
          <t>UPPSALA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43435-2019</t>
        </is>
      </c>
      <c r="B336" s="1" t="n">
        <v>43706</v>
      </c>
      <c r="C336" s="1" t="n">
        <v>45340</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43722-2019</t>
        </is>
      </c>
      <c r="B337" s="1" t="n">
        <v>43706</v>
      </c>
      <c r="C337" s="1" t="n">
        <v>45340</v>
      </c>
      <c r="D337" t="inlineStr">
        <is>
          <t>UPPSALA LÄN</t>
        </is>
      </c>
      <c r="E337" t="inlineStr">
        <is>
          <t>UPPSALA</t>
        </is>
      </c>
      <c r="F337" t="inlineStr">
        <is>
          <t>Övriga statliga verk och myndigheter</t>
        </is>
      </c>
      <c r="G337" t="n">
        <v>0.6</v>
      </c>
      <c r="H337" t="n">
        <v>0</v>
      </c>
      <c r="I337" t="n">
        <v>0</v>
      </c>
      <c r="J337" t="n">
        <v>0</v>
      </c>
      <c r="K337" t="n">
        <v>0</v>
      </c>
      <c r="L337" t="n">
        <v>0</v>
      </c>
      <c r="M337" t="n">
        <v>0</v>
      </c>
      <c r="N337" t="n">
        <v>0</v>
      </c>
      <c r="O337" t="n">
        <v>0</v>
      </c>
      <c r="P337" t="n">
        <v>0</v>
      </c>
      <c r="Q337" t="n">
        <v>0</v>
      </c>
      <c r="R337" s="2" t="inlineStr"/>
    </row>
    <row r="338" ht="15" customHeight="1">
      <c r="A338" t="inlineStr">
        <is>
          <t>A 43704-2019</t>
        </is>
      </c>
      <c r="B338" s="1" t="n">
        <v>43707</v>
      </c>
      <c r="C338" s="1" t="n">
        <v>45340</v>
      </c>
      <c r="D338" t="inlineStr">
        <is>
          <t>UPPSALA LÄN</t>
        </is>
      </c>
      <c r="E338" t="inlineStr">
        <is>
          <t>UPPSALA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43725-2019</t>
        </is>
      </c>
      <c r="B339" s="1" t="n">
        <v>43707</v>
      </c>
      <c r="C339" s="1" t="n">
        <v>45340</v>
      </c>
      <c r="D339" t="inlineStr">
        <is>
          <t>UPPSALA LÄN</t>
        </is>
      </c>
      <c r="E339" t="inlineStr">
        <is>
          <t>UPPSALA</t>
        </is>
      </c>
      <c r="G339" t="n">
        <v>1.4</v>
      </c>
      <c r="H339" t="n">
        <v>0</v>
      </c>
      <c r="I339" t="n">
        <v>0</v>
      </c>
      <c r="J339" t="n">
        <v>0</v>
      </c>
      <c r="K339" t="n">
        <v>0</v>
      </c>
      <c r="L339" t="n">
        <v>0</v>
      </c>
      <c r="M339" t="n">
        <v>0</v>
      </c>
      <c r="N339" t="n">
        <v>0</v>
      </c>
      <c r="O339" t="n">
        <v>0</v>
      </c>
      <c r="P339" t="n">
        <v>0</v>
      </c>
      <c r="Q339" t="n">
        <v>0</v>
      </c>
      <c r="R339" s="2" t="inlineStr"/>
    </row>
    <row r="340" ht="15" customHeight="1">
      <c r="A340" t="inlineStr">
        <is>
          <t>A 44109-2019</t>
        </is>
      </c>
      <c r="B340" s="1" t="n">
        <v>43707</v>
      </c>
      <c r="C340" s="1" t="n">
        <v>45340</v>
      </c>
      <c r="D340" t="inlineStr">
        <is>
          <t>UPPSALA LÄN</t>
        </is>
      </c>
      <c r="E340" t="inlineStr">
        <is>
          <t>UPPSALA</t>
        </is>
      </c>
      <c r="F340" t="inlineStr">
        <is>
          <t>Allmännings- och besparingsskogar</t>
        </is>
      </c>
      <c r="G340" t="n">
        <v>81.3</v>
      </c>
      <c r="H340" t="n">
        <v>0</v>
      </c>
      <c r="I340" t="n">
        <v>0</v>
      </c>
      <c r="J340" t="n">
        <v>0</v>
      </c>
      <c r="K340" t="n">
        <v>0</v>
      </c>
      <c r="L340" t="n">
        <v>0</v>
      </c>
      <c r="M340" t="n">
        <v>0</v>
      </c>
      <c r="N340" t="n">
        <v>0</v>
      </c>
      <c r="O340" t="n">
        <v>0</v>
      </c>
      <c r="P340" t="n">
        <v>0</v>
      </c>
      <c r="Q340" t="n">
        <v>0</v>
      </c>
      <c r="R340" s="2" t="inlineStr"/>
    </row>
    <row r="341" ht="15" customHeight="1">
      <c r="A341" t="inlineStr">
        <is>
          <t>A 43713-2019</t>
        </is>
      </c>
      <c r="B341" s="1" t="n">
        <v>43707</v>
      </c>
      <c r="C341" s="1" t="n">
        <v>45340</v>
      </c>
      <c r="D341" t="inlineStr">
        <is>
          <t>UPPSALA LÄN</t>
        </is>
      </c>
      <c r="E341" t="inlineStr">
        <is>
          <t>UPPSALA</t>
        </is>
      </c>
      <c r="F341" t="inlineStr">
        <is>
          <t>Bergvik skog öst AB</t>
        </is>
      </c>
      <c r="G341" t="n">
        <v>7.9</v>
      </c>
      <c r="H341" t="n">
        <v>0</v>
      </c>
      <c r="I341" t="n">
        <v>0</v>
      </c>
      <c r="J341" t="n">
        <v>0</v>
      </c>
      <c r="K341" t="n">
        <v>0</v>
      </c>
      <c r="L341" t="n">
        <v>0</v>
      </c>
      <c r="M341" t="n">
        <v>0</v>
      </c>
      <c r="N341" t="n">
        <v>0</v>
      </c>
      <c r="O341" t="n">
        <v>0</v>
      </c>
      <c r="P341" t="n">
        <v>0</v>
      </c>
      <c r="Q341" t="n">
        <v>0</v>
      </c>
      <c r="R341" s="2" t="inlineStr"/>
    </row>
    <row r="342" ht="15" customHeight="1">
      <c r="A342" t="inlineStr">
        <is>
          <t>A 43853-2019</t>
        </is>
      </c>
      <c r="B342" s="1" t="n">
        <v>43707</v>
      </c>
      <c r="C342" s="1" t="n">
        <v>45340</v>
      </c>
      <c r="D342" t="inlineStr">
        <is>
          <t>UPPSALA LÄN</t>
        </is>
      </c>
      <c r="E342" t="inlineStr">
        <is>
          <t>UPPSALA</t>
        </is>
      </c>
      <c r="F342" t="inlineStr">
        <is>
          <t>Övriga statliga verk och myndigheter</t>
        </is>
      </c>
      <c r="G342" t="n">
        <v>1.8</v>
      </c>
      <c r="H342" t="n">
        <v>0</v>
      </c>
      <c r="I342" t="n">
        <v>0</v>
      </c>
      <c r="J342" t="n">
        <v>0</v>
      </c>
      <c r="K342" t="n">
        <v>0</v>
      </c>
      <c r="L342" t="n">
        <v>0</v>
      </c>
      <c r="M342" t="n">
        <v>0</v>
      </c>
      <c r="N342" t="n">
        <v>0</v>
      </c>
      <c r="O342" t="n">
        <v>0</v>
      </c>
      <c r="P342" t="n">
        <v>0</v>
      </c>
      <c r="Q342" t="n">
        <v>0</v>
      </c>
      <c r="R342" s="2" t="inlineStr"/>
    </row>
    <row r="343" ht="15" customHeight="1">
      <c r="A343" t="inlineStr">
        <is>
          <t>A 44141-2019</t>
        </is>
      </c>
      <c r="B343" s="1" t="n">
        <v>43710</v>
      </c>
      <c r="C343" s="1" t="n">
        <v>45340</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44701-2019</t>
        </is>
      </c>
      <c r="B344" s="1" t="n">
        <v>43712</v>
      </c>
      <c r="C344" s="1" t="n">
        <v>45340</v>
      </c>
      <c r="D344" t="inlineStr">
        <is>
          <t>UPPSALA LÄN</t>
        </is>
      </c>
      <c r="E344" t="inlineStr">
        <is>
          <t>UPPSALA</t>
        </is>
      </c>
      <c r="G344" t="n">
        <v>3.4</v>
      </c>
      <c r="H344" t="n">
        <v>0</v>
      </c>
      <c r="I344" t="n">
        <v>0</v>
      </c>
      <c r="J344" t="n">
        <v>0</v>
      </c>
      <c r="K344" t="n">
        <v>0</v>
      </c>
      <c r="L344" t="n">
        <v>0</v>
      </c>
      <c r="M344" t="n">
        <v>0</v>
      </c>
      <c r="N344" t="n">
        <v>0</v>
      </c>
      <c r="O344" t="n">
        <v>0</v>
      </c>
      <c r="P344" t="n">
        <v>0</v>
      </c>
      <c r="Q344" t="n">
        <v>0</v>
      </c>
      <c r="R344" s="2" t="inlineStr"/>
    </row>
    <row r="345" ht="15" customHeight="1">
      <c r="A345" t="inlineStr">
        <is>
          <t>A 44687-2019</t>
        </is>
      </c>
      <c r="B345" s="1" t="n">
        <v>43712</v>
      </c>
      <c r="C345" s="1" t="n">
        <v>45340</v>
      </c>
      <c r="D345" t="inlineStr">
        <is>
          <t>UPPSALA LÄN</t>
        </is>
      </c>
      <c r="E345" t="inlineStr">
        <is>
          <t>UPPSALA</t>
        </is>
      </c>
      <c r="G345" t="n">
        <v>3.3</v>
      </c>
      <c r="H345" t="n">
        <v>0</v>
      </c>
      <c r="I345" t="n">
        <v>0</v>
      </c>
      <c r="J345" t="n">
        <v>0</v>
      </c>
      <c r="K345" t="n">
        <v>0</v>
      </c>
      <c r="L345" t="n">
        <v>0</v>
      </c>
      <c r="M345" t="n">
        <v>0</v>
      </c>
      <c r="N345" t="n">
        <v>0</v>
      </c>
      <c r="O345" t="n">
        <v>0</v>
      </c>
      <c r="P345" t="n">
        <v>0</v>
      </c>
      <c r="Q345" t="n">
        <v>0</v>
      </c>
      <c r="R345" s="2" t="inlineStr"/>
    </row>
    <row r="346" ht="15" customHeight="1">
      <c r="A346" t="inlineStr">
        <is>
          <t>A 45010-2019</t>
        </is>
      </c>
      <c r="B346" s="1" t="n">
        <v>43713</v>
      </c>
      <c r="C346" s="1" t="n">
        <v>45340</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45574-2019</t>
        </is>
      </c>
      <c r="B347" s="1" t="n">
        <v>43716</v>
      </c>
      <c r="C347" s="1" t="n">
        <v>45340</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46311-2019</t>
        </is>
      </c>
      <c r="B348" s="1" t="n">
        <v>43718</v>
      </c>
      <c r="C348" s="1" t="n">
        <v>45340</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46307-2019</t>
        </is>
      </c>
      <c r="B349" s="1" t="n">
        <v>43718</v>
      </c>
      <c r="C349" s="1" t="n">
        <v>45340</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46151-2019</t>
        </is>
      </c>
      <c r="B350" s="1" t="n">
        <v>43718</v>
      </c>
      <c r="C350" s="1" t="n">
        <v>45340</v>
      </c>
      <c r="D350" t="inlineStr">
        <is>
          <t>UPPSALA LÄN</t>
        </is>
      </c>
      <c r="E350" t="inlineStr">
        <is>
          <t>UPPSALA</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46157-2019</t>
        </is>
      </c>
      <c r="B351" s="1" t="n">
        <v>43718</v>
      </c>
      <c r="C351" s="1" t="n">
        <v>45340</v>
      </c>
      <c r="D351" t="inlineStr">
        <is>
          <t>UPPSALA LÄN</t>
        </is>
      </c>
      <c r="E351" t="inlineStr">
        <is>
          <t>UPPSALA</t>
        </is>
      </c>
      <c r="F351" t="inlineStr">
        <is>
          <t>Övriga Aktiebolag</t>
        </is>
      </c>
      <c r="G351" t="n">
        <v>4.5</v>
      </c>
      <c r="H351" t="n">
        <v>0</v>
      </c>
      <c r="I351" t="n">
        <v>0</v>
      </c>
      <c r="J351" t="n">
        <v>0</v>
      </c>
      <c r="K351" t="n">
        <v>0</v>
      </c>
      <c r="L351" t="n">
        <v>0</v>
      </c>
      <c r="M351" t="n">
        <v>0</v>
      </c>
      <c r="N351" t="n">
        <v>0</v>
      </c>
      <c r="O351" t="n">
        <v>0</v>
      </c>
      <c r="P351" t="n">
        <v>0</v>
      </c>
      <c r="Q351" t="n">
        <v>0</v>
      </c>
      <c r="R351" s="2" t="inlineStr"/>
    </row>
    <row r="352" ht="15" customHeight="1">
      <c r="A352" t="inlineStr">
        <is>
          <t>A 46310-2019</t>
        </is>
      </c>
      <c r="B352" s="1" t="n">
        <v>43718</v>
      </c>
      <c r="C352" s="1" t="n">
        <v>45340</v>
      </c>
      <c r="D352" t="inlineStr">
        <is>
          <t>UPPSALA LÄN</t>
        </is>
      </c>
      <c r="E352" t="inlineStr">
        <is>
          <t>UPPSALA</t>
        </is>
      </c>
      <c r="G352" t="n">
        <v>7</v>
      </c>
      <c r="H352" t="n">
        <v>0</v>
      </c>
      <c r="I352" t="n">
        <v>0</v>
      </c>
      <c r="J352" t="n">
        <v>0</v>
      </c>
      <c r="K352" t="n">
        <v>0</v>
      </c>
      <c r="L352" t="n">
        <v>0</v>
      </c>
      <c r="M352" t="n">
        <v>0</v>
      </c>
      <c r="N352" t="n">
        <v>0</v>
      </c>
      <c r="O352" t="n">
        <v>0</v>
      </c>
      <c r="P352" t="n">
        <v>0</v>
      </c>
      <c r="Q352" t="n">
        <v>0</v>
      </c>
      <c r="R352" s="2" t="inlineStr"/>
    </row>
    <row r="353" ht="15" customHeight="1">
      <c r="A353" t="inlineStr">
        <is>
          <t>A 46147-2019</t>
        </is>
      </c>
      <c r="B353" s="1" t="n">
        <v>43718</v>
      </c>
      <c r="C353" s="1" t="n">
        <v>45340</v>
      </c>
      <c r="D353" t="inlineStr">
        <is>
          <t>UPPSALA LÄN</t>
        </is>
      </c>
      <c r="E353" t="inlineStr">
        <is>
          <t>UPPSALA</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46877-2019</t>
        </is>
      </c>
      <c r="B354" s="1" t="n">
        <v>43720</v>
      </c>
      <c r="C354" s="1" t="n">
        <v>45340</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46896-2019</t>
        </is>
      </c>
      <c r="B355" s="1" t="n">
        <v>43720</v>
      </c>
      <c r="C355" s="1" t="n">
        <v>45340</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48485-2019</t>
        </is>
      </c>
      <c r="B356" s="1" t="n">
        <v>43727</v>
      </c>
      <c r="C356" s="1" t="n">
        <v>45340</v>
      </c>
      <c r="D356" t="inlineStr">
        <is>
          <t>UPPSALA LÄN</t>
        </is>
      </c>
      <c r="E356" t="inlineStr">
        <is>
          <t>UPPSALA</t>
        </is>
      </c>
      <c r="G356" t="n">
        <v>3</v>
      </c>
      <c r="H356" t="n">
        <v>0</v>
      </c>
      <c r="I356" t="n">
        <v>0</v>
      </c>
      <c r="J356" t="n">
        <v>0</v>
      </c>
      <c r="K356" t="n">
        <v>0</v>
      </c>
      <c r="L356" t="n">
        <v>0</v>
      </c>
      <c r="M356" t="n">
        <v>0</v>
      </c>
      <c r="N356" t="n">
        <v>0</v>
      </c>
      <c r="O356" t="n">
        <v>0</v>
      </c>
      <c r="P356" t="n">
        <v>0</v>
      </c>
      <c r="Q356" t="n">
        <v>0</v>
      </c>
      <c r="R356" s="2" t="inlineStr"/>
    </row>
    <row r="357" ht="15" customHeight="1">
      <c r="A357" t="inlineStr">
        <is>
          <t>A 49567-2019</t>
        </is>
      </c>
      <c r="B357" s="1" t="n">
        <v>43730</v>
      </c>
      <c r="C357" s="1" t="n">
        <v>45340</v>
      </c>
      <c r="D357" t="inlineStr">
        <is>
          <t>UPPSALA LÄN</t>
        </is>
      </c>
      <c r="E357" t="inlineStr">
        <is>
          <t>UPPSALA</t>
        </is>
      </c>
      <c r="G357" t="n">
        <v>6</v>
      </c>
      <c r="H357" t="n">
        <v>0</v>
      </c>
      <c r="I357" t="n">
        <v>0</v>
      </c>
      <c r="J357" t="n">
        <v>0</v>
      </c>
      <c r="K357" t="n">
        <v>0</v>
      </c>
      <c r="L357" t="n">
        <v>0</v>
      </c>
      <c r="M357" t="n">
        <v>0</v>
      </c>
      <c r="N357" t="n">
        <v>0</v>
      </c>
      <c r="O357" t="n">
        <v>0</v>
      </c>
      <c r="P357" t="n">
        <v>0</v>
      </c>
      <c r="Q357" t="n">
        <v>0</v>
      </c>
      <c r="R357" s="2" t="inlineStr"/>
    </row>
    <row r="358" ht="15" customHeight="1">
      <c r="A358" t="inlineStr">
        <is>
          <t>A 50180-2019</t>
        </is>
      </c>
      <c r="B358" s="1" t="n">
        <v>43733</v>
      </c>
      <c r="C358" s="1" t="n">
        <v>45340</v>
      </c>
      <c r="D358" t="inlineStr">
        <is>
          <t>UPPSALA LÄN</t>
        </is>
      </c>
      <c r="E358" t="inlineStr">
        <is>
          <t>UPPSALA</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50387-2019</t>
        </is>
      </c>
      <c r="B359" s="1" t="n">
        <v>43735</v>
      </c>
      <c r="C359" s="1" t="n">
        <v>45340</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50415-2019</t>
        </is>
      </c>
      <c r="B360" s="1" t="n">
        <v>43735</v>
      </c>
      <c r="C360" s="1" t="n">
        <v>45340</v>
      </c>
      <c r="D360" t="inlineStr">
        <is>
          <t>UPPSALA LÄN</t>
        </is>
      </c>
      <c r="E360" t="inlineStr">
        <is>
          <t>UPPSALA</t>
        </is>
      </c>
      <c r="F360" t="inlineStr">
        <is>
          <t>Kyrkan</t>
        </is>
      </c>
      <c r="G360" t="n">
        <v>13.6</v>
      </c>
      <c r="H360" t="n">
        <v>0</v>
      </c>
      <c r="I360" t="n">
        <v>0</v>
      </c>
      <c r="J360" t="n">
        <v>0</v>
      </c>
      <c r="K360" t="n">
        <v>0</v>
      </c>
      <c r="L360" t="n">
        <v>0</v>
      </c>
      <c r="M360" t="n">
        <v>0</v>
      </c>
      <c r="N360" t="n">
        <v>0</v>
      </c>
      <c r="O360" t="n">
        <v>0</v>
      </c>
      <c r="P360" t="n">
        <v>0</v>
      </c>
      <c r="Q360" t="n">
        <v>0</v>
      </c>
      <c r="R360" s="2" t="inlineStr"/>
    </row>
    <row r="361" ht="15" customHeight="1">
      <c r="A361" t="inlineStr">
        <is>
          <t>A 50616-2019</t>
        </is>
      </c>
      <c r="B361" s="1" t="n">
        <v>43736</v>
      </c>
      <c r="C361" s="1" t="n">
        <v>45340</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52386-2019</t>
        </is>
      </c>
      <c r="B362" s="1" t="n">
        <v>43745</v>
      </c>
      <c r="C362" s="1" t="n">
        <v>45340</v>
      </c>
      <c r="D362" t="inlineStr">
        <is>
          <t>UPPSALA LÄN</t>
        </is>
      </c>
      <c r="E362" t="inlineStr">
        <is>
          <t>UPPSALA</t>
        </is>
      </c>
      <c r="G362" t="n">
        <v>15.7</v>
      </c>
      <c r="H362" t="n">
        <v>0</v>
      </c>
      <c r="I362" t="n">
        <v>0</v>
      </c>
      <c r="J362" t="n">
        <v>0</v>
      </c>
      <c r="K362" t="n">
        <v>0</v>
      </c>
      <c r="L362" t="n">
        <v>0</v>
      </c>
      <c r="M362" t="n">
        <v>0</v>
      </c>
      <c r="N362" t="n">
        <v>0</v>
      </c>
      <c r="O362" t="n">
        <v>0</v>
      </c>
      <c r="P362" t="n">
        <v>0</v>
      </c>
      <c r="Q362" t="n">
        <v>0</v>
      </c>
      <c r="R362" s="2" t="inlineStr"/>
    </row>
    <row r="363" ht="15" customHeight="1">
      <c r="A363" t="inlineStr">
        <is>
          <t>A 52419-2019</t>
        </is>
      </c>
      <c r="B363" s="1" t="n">
        <v>43745</v>
      </c>
      <c r="C363" s="1" t="n">
        <v>45340</v>
      </c>
      <c r="D363" t="inlineStr">
        <is>
          <t>UPPSALA LÄN</t>
        </is>
      </c>
      <c r="E363" t="inlineStr">
        <is>
          <t>UPPSALA</t>
        </is>
      </c>
      <c r="F363" t="inlineStr">
        <is>
          <t>Allmännings- och besparingsskogar</t>
        </is>
      </c>
      <c r="G363" t="n">
        <v>5.3</v>
      </c>
      <c r="H363" t="n">
        <v>0</v>
      </c>
      <c r="I363" t="n">
        <v>0</v>
      </c>
      <c r="J363" t="n">
        <v>0</v>
      </c>
      <c r="K363" t="n">
        <v>0</v>
      </c>
      <c r="L363" t="n">
        <v>0</v>
      </c>
      <c r="M363" t="n">
        <v>0</v>
      </c>
      <c r="N363" t="n">
        <v>0</v>
      </c>
      <c r="O363" t="n">
        <v>0</v>
      </c>
      <c r="P363" t="n">
        <v>0</v>
      </c>
      <c r="Q363" t="n">
        <v>0</v>
      </c>
      <c r="R363" s="2" t="inlineStr"/>
    </row>
    <row r="364" ht="15" customHeight="1">
      <c r="A364" t="inlineStr">
        <is>
          <t>A 52950-2019</t>
        </is>
      </c>
      <c r="B364" s="1" t="n">
        <v>43747</v>
      </c>
      <c r="C364" s="1" t="n">
        <v>45340</v>
      </c>
      <c r="D364" t="inlineStr">
        <is>
          <t>UPPSALA LÄN</t>
        </is>
      </c>
      <c r="E364" t="inlineStr">
        <is>
          <t>UPPSALA</t>
        </is>
      </c>
      <c r="G364" t="n">
        <v>0.2</v>
      </c>
      <c r="H364" t="n">
        <v>0</v>
      </c>
      <c r="I364" t="n">
        <v>0</v>
      </c>
      <c r="J364" t="n">
        <v>0</v>
      </c>
      <c r="K364" t="n">
        <v>0</v>
      </c>
      <c r="L364" t="n">
        <v>0</v>
      </c>
      <c r="M364" t="n">
        <v>0</v>
      </c>
      <c r="N364" t="n">
        <v>0</v>
      </c>
      <c r="O364" t="n">
        <v>0</v>
      </c>
      <c r="P364" t="n">
        <v>0</v>
      </c>
      <c r="Q364" t="n">
        <v>0</v>
      </c>
      <c r="R364" s="2" t="inlineStr"/>
    </row>
    <row r="365" ht="15" customHeight="1">
      <c r="A365" t="inlineStr">
        <is>
          <t>A 53303-2019</t>
        </is>
      </c>
      <c r="B365" s="1" t="n">
        <v>43747</v>
      </c>
      <c r="C365" s="1" t="n">
        <v>45340</v>
      </c>
      <c r="D365" t="inlineStr">
        <is>
          <t>UPPSALA LÄN</t>
        </is>
      </c>
      <c r="E365" t="inlineStr">
        <is>
          <t>UPPSALA</t>
        </is>
      </c>
      <c r="F365" t="inlineStr">
        <is>
          <t>Allmännings- och besparingsskogar</t>
        </is>
      </c>
      <c r="G365" t="n">
        <v>17.5</v>
      </c>
      <c r="H365" t="n">
        <v>0</v>
      </c>
      <c r="I365" t="n">
        <v>0</v>
      </c>
      <c r="J365" t="n">
        <v>0</v>
      </c>
      <c r="K365" t="n">
        <v>0</v>
      </c>
      <c r="L365" t="n">
        <v>0</v>
      </c>
      <c r="M365" t="n">
        <v>0</v>
      </c>
      <c r="N365" t="n">
        <v>0</v>
      </c>
      <c r="O365" t="n">
        <v>0</v>
      </c>
      <c r="P365" t="n">
        <v>0</v>
      </c>
      <c r="Q365" t="n">
        <v>0</v>
      </c>
      <c r="R365" s="2" t="inlineStr"/>
    </row>
    <row r="366" ht="15" customHeight="1">
      <c r="A366" t="inlineStr">
        <is>
          <t>A 53316-2019</t>
        </is>
      </c>
      <c r="B366" s="1" t="n">
        <v>43748</v>
      </c>
      <c r="C366" s="1" t="n">
        <v>45340</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54757-2019</t>
        </is>
      </c>
      <c r="B367" s="1" t="n">
        <v>43755</v>
      </c>
      <c r="C367" s="1" t="n">
        <v>45340</v>
      </c>
      <c r="D367" t="inlineStr">
        <is>
          <t>UPPSALA LÄN</t>
        </is>
      </c>
      <c r="E367" t="inlineStr">
        <is>
          <t>UPPSALA</t>
        </is>
      </c>
      <c r="F367" t="inlineStr">
        <is>
          <t>Övriga statliga verk och myndigheter</t>
        </is>
      </c>
      <c r="G367" t="n">
        <v>1.5</v>
      </c>
      <c r="H367" t="n">
        <v>0</v>
      </c>
      <c r="I367" t="n">
        <v>0</v>
      </c>
      <c r="J367" t="n">
        <v>0</v>
      </c>
      <c r="K367" t="n">
        <v>0</v>
      </c>
      <c r="L367" t="n">
        <v>0</v>
      </c>
      <c r="M367" t="n">
        <v>0</v>
      </c>
      <c r="N367" t="n">
        <v>0</v>
      </c>
      <c r="O367" t="n">
        <v>0</v>
      </c>
      <c r="P367" t="n">
        <v>0</v>
      </c>
      <c r="Q367" t="n">
        <v>0</v>
      </c>
      <c r="R367" s="2" t="inlineStr"/>
    </row>
    <row r="368" ht="15" customHeight="1">
      <c r="A368" t="inlineStr">
        <is>
          <t>A 56041-2019</t>
        </is>
      </c>
      <c r="B368" s="1" t="n">
        <v>43759</v>
      </c>
      <c r="C368" s="1" t="n">
        <v>45340</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56634-2019</t>
        </is>
      </c>
      <c r="B369" s="1" t="n">
        <v>43763</v>
      </c>
      <c r="C369" s="1" t="n">
        <v>45340</v>
      </c>
      <c r="D369" t="inlineStr">
        <is>
          <t>UPPSALA LÄN</t>
        </is>
      </c>
      <c r="E369" t="inlineStr">
        <is>
          <t>UPPSALA</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58445-2019</t>
        </is>
      </c>
      <c r="B370" s="1" t="n">
        <v>43773</v>
      </c>
      <c r="C370" s="1" t="n">
        <v>45340</v>
      </c>
      <c r="D370" t="inlineStr">
        <is>
          <t>UPPSALA LÄN</t>
        </is>
      </c>
      <c r="E370" t="inlineStr">
        <is>
          <t>UPPSALA</t>
        </is>
      </c>
      <c r="G370" t="n">
        <v>5</v>
      </c>
      <c r="H370" t="n">
        <v>0</v>
      </c>
      <c r="I370" t="n">
        <v>0</v>
      </c>
      <c r="J370" t="n">
        <v>0</v>
      </c>
      <c r="K370" t="n">
        <v>0</v>
      </c>
      <c r="L370" t="n">
        <v>0</v>
      </c>
      <c r="M370" t="n">
        <v>0</v>
      </c>
      <c r="N370" t="n">
        <v>0</v>
      </c>
      <c r="O370" t="n">
        <v>0</v>
      </c>
      <c r="P370" t="n">
        <v>0</v>
      </c>
      <c r="Q370" t="n">
        <v>0</v>
      </c>
      <c r="R370" s="2" t="inlineStr"/>
    </row>
    <row r="371" ht="15" customHeight="1">
      <c r="A371" t="inlineStr">
        <is>
          <t>A 58527-2019</t>
        </is>
      </c>
      <c r="B371" s="1" t="n">
        <v>43773</v>
      </c>
      <c r="C371" s="1" t="n">
        <v>45340</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58903-2019</t>
        </is>
      </c>
      <c r="B372" s="1" t="n">
        <v>43773</v>
      </c>
      <c r="C372" s="1" t="n">
        <v>45340</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60011-2019</t>
        </is>
      </c>
      <c r="B373" s="1" t="n">
        <v>43777</v>
      </c>
      <c r="C373" s="1" t="n">
        <v>45340</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60159-2019</t>
        </is>
      </c>
      <c r="B374" s="1" t="n">
        <v>43777</v>
      </c>
      <c r="C374" s="1" t="n">
        <v>45340</v>
      </c>
      <c r="D374" t="inlineStr">
        <is>
          <t>UPPSALA LÄN</t>
        </is>
      </c>
      <c r="E374" t="inlineStr">
        <is>
          <t>UPPSALA</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60163-2019</t>
        </is>
      </c>
      <c r="B375" s="1" t="n">
        <v>43780</v>
      </c>
      <c r="C375" s="1" t="n">
        <v>45340</v>
      </c>
      <c r="D375" t="inlineStr">
        <is>
          <t>UPPSALA LÄN</t>
        </is>
      </c>
      <c r="E375" t="inlineStr">
        <is>
          <t>UPPSALA</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60579-2019</t>
        </is>
      </c>
      <c r="B376" s="1" t="n">
        <v>43780</v>
      </c>
      <c r="C376" s="1" t="n">
        <v>45340</v>
      </c>
      <c r="D376" t="inlineStr">
        <is>
          <t>UPPSALA LÄN</t>
        </is>
      </c>
      <c r="E376" t="inlineStr">
        <is>
          <t>UPPSALA</t>
        </is>
      </c>
      <c r="F376" t="inlineStr">
        <is>
          <t>Övriga Aktiebolag</t>
        </is>
      </c>
      <c r="G376" t="n">
        <v>3.8</v>
      </c>
      <c r="H376" t="n">
        <v>0</v>
      </c>
      <c r="I376" t="n">
        <v>0</v>
      </c>
      <c r="J376" t="n">
        <v>0</v>
      </c>
      <c r="K376" t="n">
        <v>0</v>
      </c>
      <c r="L376" t="n">
        <v>0</v>
      </c>
      <c r="M376" t="n">
        <v>0</v>
      </c>
      <c r="N376" t="n">
        <v>0</v>
      </c>
      <c r="O376" t="n">
        <v>0</v>
      </c>
      <c r="P376" t="n">
        <v>0</v>
      </c>
      <c r="Q376" t="n">
        <v>0</v>
      </c>
      <c r="R376" s="2" t="inlineStr"/>
    </row>
    <row r="377" ht="15" customHeight="1">
      <c r="A377" t="inlineStr">
        <is>
          <t>A 62308-2019</t>
        </is>
      </c>
      <c r="B377" s="1" t="n">
        <v>43782</v>
      </c>
      <c r="C377" s="1" t="n">
        <v>45340</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61667-2019</t>
        </is>
      </c>
      <c r="B378" s="1" t="n">
        <v>43784</v>
      </c>
      <c r="C378" s="1" t="n">
        <v>45340</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63145-2019</t>
        </is>
      </c>
      <c r="B379" s="1" t="n">
        <v>43791</v>
      </c>
      <c r="C379" s="1" t="n">
        <v>45340</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63091-2019</t>
        </is>
      </c>
      <c r="B380" s="1" t="n">
        <v>43791</v>
      </c>
      <c r="C380" s="1" t="n">
        <v>45340</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63099-2019</t>
        </is>
      </c>
      <c r="B381" s="1" t="n">
        <v>43791</v>
      </c>
      <c r="C381" s="1" t="n">
        <v>45340</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63118-2019</t>
        </is>
      </c>
      <c r="B382" s="1" t="n">
        <v>43791</v>
      </c>
      <c r="C382" s="1" t="n">
        <v>45340</v>
      </c>
      <c r="D382" t="inlineStr">
        <is>
          <t>UPPSALA LÄN</t>
        </is>
      </c>
      <c r="E382" t="inlineStr">
        <is>
          <t>UPPSALA</t>
        </is>
      </c>
      <c r="G382" t="n">
        <v>2.7</v>
      </c>
      <c r="H382" t="n">
        <v>0</v>
      </c>
      <c r="I382" t="n">
        <v>0</v>
      </c>
      <c r="J382" t="n">
        <v>0</v>
      </c>
      <c r="K382" t="n">
        <v>0</v>
      </c>
      <c r="L382" t="n">
        <v>0</v>
      </c>
      <c r="M382" t="n">
        <v>0</v>
      </c>
      <c r="N382" t="n">
        <v>0</v>
      </c>
      <c r="O382" t="n">
        <v>0</v>
      </c>
      <c r="P382" t="n">
        <v>0</v>
      </c>
      <c r="Q382" t="n">
        <v>0</v>
      </c>
      <c r="R382" s="2" t="inlineStr"/>
    </row>
    <row r="383" ht="15" customHeight="1">
      <c r="A383" t="inlineStr">
        <is>
          <t>A 63589-2019</t>
        </is>
      </c>
      <c r="B383" s="1" t="n">
        <v>43795</v>
      </c>
      <c r="C383" s="1" t="n">
        <v>45340</v>
      </c>
      <c r="D383" t="inlineStr">
        <is>
          <t>UPPSALA LÄN</t>
        </is>
      </c>
      <c r="E383" t="inlineStr">
        <is>
          <t>UPPSALA</t>
        </is>
      </c>
      <c r="G383" t="n">
        <v>3.8</v>
      </c>
      <c r="H383" t="n">
        <v>0</v>
      </c>
      <c r="I383" t="n">
        <v>0</v>
      </c>
      <c r="J383" t="n">
        <v>0</v>
      </c>
      <c r="K383" t="n">
        <v>0</v>
      </c>
      <c r="L383" t="n">
        <v>0</v>
      </c>
      <c r="M383" t="n">
        <v>0</v>
      </c>
      <c r="N383" t="n">
        <v>0</v>
      </c>
      <c r="O383" t="n">
        <v>0</v>
      </c>
      <c r="P383" t="n">
        <v>0</v>
      </c>
      <c r="Q383" t="n">
        <v>0</v>
      </c>
      <c r="R383" s="2" t="inlineStr"/>
    </row>
    <row r="384" ht="15" customHeight="1">
      <c r="A384" t="inlineStr">
        <is>
          <t>A 63757-2019</t>
        </is>
      </c>
      <c r="B384" s="1" t="n">
        <v>43795</v>
      </c>
      <c r="C384" s="1" t="n">
        <v>45340</v>
      </c>
      <c r="D384" t="inlineStr">
        <is>
          <t>UPPSALA LÄN</t>
        </is>
      </c>
      <c r="E384" t="inlineStr">
        <is>
          <t>UPPSALA</t>
        </is>
      </c>
      <c r="G384" t="n">
        <v>6.9</v>
      </c>
      <c r="H384" t="n">
        <v>0</v>
      </c>
      <c r="I384" t="n">
        <v>0</v>
      </c>
      <c r="J384" t="n">
        <v>0</v>
      </c>
      <c r="K384" t="n">
        <v>0</v>
      </c>
      <c r="L384" t="n">
        <v>0</v>
      </c>
      <c r="M384" t="n">
        <v>0</v>
      </c>
      <c r="N384" t="n">
        <v>0</v>
      </c>
      <c r="O384" t="n">
        <v>0</v>
      </c>
      <c r="P384" t="n">
        <v>0</v>
      </c>
      <c r="Q384" t="n">
        <v>0</v>
      </c>
      <c r="R384" s="2" t="inlineStr"/>
    </row>
    <row r="385" ht="15" customHeight="1">
      <c r="A385" t="inlineStr">
        <is>
          <t>A 63756-2019</t>
        </is>
      </c>
      <c r="B385" s="1" t="n">
        <v>43795</v>
      </c>
      <c r="C385" s="1" t="n">
        <v>45340</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64836-2019</t>
        </is>
      </c>
      <c r="B386" s="1" t="n">
        <v>43801</v>
      </c>
      <c r="C386" s="1" t="n">
        <v>45340</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64834-2019</t>
        </is>
      </c>
      <c r="B387" s="1" t="n">
        <v>43801</v>
      </c>
      <c r="C387" s="1" t="n">
        <v>45340</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65527-2019</t>
        </is>
      </c>
      <c r="B388" s="1" t="n">
        <v>43803</v>
      </c>
      <c r="C388" s="1" t="n">
        <v>45340</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65668-2019</t>
        </is>
      </c>
      <c r="B389" s="1" t="n">
        <v>43804</v>
      </c>
      <c r="C389" s="1" t="n">
        <v>45340</v>
      </c>
      <c r="D389" t="inlineStr">
        <is>
          <t>UPPSALA LÄN</t>
        </is>
      </c>
      <c r="E389" t="inlineStr">
        <is>
          <t>UPPSALA</t>
        </is>
      </c>
      <c r="G389" t="n">
        <v>7.6</v>
      </c>
      <c r="H389" t="n">
        <v>0</v>
      </c>
      <c r="I389" t="n">
        <v>0</v>
      </c>
      <c r="J389" t="n">
        <v>0</v>
      </c>
      <c r="K389" t="n">
        <v>0</v>
      </c>
      <c r="L389" t="n">
        <v>0</v>
      </c>
      <c r="M389" t="n">
        <v>0</v>
      </c>
      <c r="N389" t="n">
        <v>0</v>
      </c>
      <c r="O389" t="n">
        <v>0</v>
      </c>
      <c r="P389" t="n">
        <v>0</v>
      </c>
      <c r="Q389" t="n">
        <v>0</v>
      </c>
      <c r="R389" s="2" t="inlineStr"/>
    </row>
    <row r="390" ht="15" customHeight="1">
      <c r="A390" t="inlineStr">
        <is>
          <t>A 66167-2019</t>
        </is>
      </c>
      <c r="B390" s="1" t="n">
        <v>43808</v>
      </c>
      <c r="C390" s="1" t="n">
        <v>45340</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66270-2019</t>
        </is>
      </c>
      <c r="B391" s="1" t="n">
        <v>43808</v>
      </c>
      <c r="C391" s="1" t="n">
        <v>45340</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67108-2019</t>
        </is>
      </c>
      <c r="B392" s="1" t="n">
        <v>43811</v>
      </c>
      <c r="C392" s="1" t="n">
        <v>45340</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67281-2019</t>
        </is>
      </c>
      <c r="B393" s="1" t="n">
        <v>43812</v>
      </c>
      <c r="C393" s="1" t="n">
        <v>45340</v>
      </c>
      <c r="D393" t="inlineStr">
        <is>
          <t>UPPSALA LÄN</t>
        </is>
      </c>
      <c r="E393" t="inlineStr">
        <is>
          <t>UPPSALA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67508-2019</t>
        </is>
      </c>
      <c r="B394" s="1" t="n">
        <v>43814</v>
      </c>
      <c r="C394" s="1" t="n">
        <v>45340</v>
      </c>
      <c r="D394" t="inlineStr">
        <is>
          <t>UPPSALA LÄN</t>
        </is>
      </c>
      <c r="E394" t="inlineStr">
        <is>
          <t>UPPSALA</t>
        </is>
      </c>
      <c r="F394" t="inlineStr">
        <is>
          <t>Allmännings- och besparingsskogar</t>
        </is>
      </c>
      <c r="G394" t="n">
        <v>4.9</v>
      </c>
      <c r="H394" t="n">
        <v>0</v>
      </c>
      <c r="I394" t="n">
        <v>0</v>
      </c>
      <c r="J394" t="n">
        <v>0</v>
      </c>
      <c r="K394" t="n">
        <v>0</v>
      </c>
      <c r="L394" t="n">
        <v>0</v>
      </c>
      <c r="M394" t="n">
        <v>0</v>
      </c>
      <c r="N394" t="n">
        <v>0</v>
      </c>
      <c r="O394" t="n">
        <v>0</v>
      </c>
      <c r="P394" t="n">
        <v>0</v>
      </c>
      <c r="Q394" t="n">
        <v>0</v>
      </c>
      <c r="R394" s="2" t="inlineStr"/>
    </row>
    <row r="395" ht="15" customHeight="1">
      <c r="A395" t="inlineStr">
        <is>
          <t>A 67504-2019</t>
        </is>
      </c>
      <c r="B395" s="1" t="n">
        <v>43814</v>
      </c>
      <c r="C395" s="1" t="n">
        <v>45340</v>
      </c>
      <c r="D395" t="inlineStr">
        <is>
          <t>UPPSALA LÄN</t>
        </is>
      </c>
      <c r="E395" t="inlineStr">
        <is>
          <t>UPPSALA</t>
        </is>
      </c>
      <c r="F395" t="inlineStr">
        <is>
          <t>Allmännings- och besparingsskogar</t>
        </is>
      </c>
      <c r="G395" t="n">
        <v>21.9</v>
      </c>
      <c r="H395" t="n">
        <v>0</v>
      </c>
      <c r="I395" t="n">
        <v>0</v>
      </c>
      <c r="J395" t="n">
        <v>0</v>
      </c>
      <c r="K395" t="n">
        <v>0</v>
      </c>
      <c r="L395" t="n">
        <v>0</v>
      </c>
      <c r="M395" t="n">
        <v>0</v>
      </c>
      <c r="N395" t="n">
        <v>0</v>
      </c>
      <c r="O395" t="n">
        <v>0</v>
      </c>
      <c r="P395" t="n">
        <v>0</v>
      </c>
      <c r="Q395" t="n">
        <v>0</v>
      </c>
      <c r="R395" s="2" t="inlineStr"/>
    </row>
    <row r="396" ht="15" customHeight="1">
      <c r="A396" t="inlineStr">
        <is>
          <t>A 67720-2019</t>
        </is>
      </c>
      <c r="B396" s="1" t="n">
        <v>43815</v>
      </c>
      <c r="C396" s="1" t="n">
        <v>45340</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67592-2019</t>
        </is>
      </c>
      <c r="B397" s="1" t="n">
        <v>43815</v>
      </c>
      <c r="C397" s="1" t="n">
        <v>45340</v>
      </c>
      <c r="D397" t="inlineStr">
        <is>
          <t>UPPSALA LÄN</t>
        </is>
      </c>
      <c r="E397" t="inlineStr">
        <is>
          <t>UPPSALA</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68264-2019</t>
        </is>
      </c>
      <c r="B398" s="1" t="n">
        <v>43817</v>
      </c>
      <c r="C398" s="1" t="n">
        <v>45340</v>
      </c>
      <c r="D398" t="inlineStr">
        <is>
          <t>UPPSALA LÄN</t>
        </is>
      </c>
      <c r="E398" t="inlineStr">
        <is>
          <t>UPPSALA</t>
        </is>
      </c>
      <c r="G398" t="n">
        <v>2.9</v>
      </c>
      <c r="H398" t="n">
        <v>0</v>
      </c>
      <c r="I398" t="n">
        <v>0</v>
      </c>
      <c r="J398" t="n">
        <v>0</v>
      </c>
      <c r="K398" t="n">
        <v>0</v>
      </c>
      <c r="L398" t="n">
        <v>0</v>
      </c>
      <c r="M398" t="n">
        <v>0</v>
      </c>
      <c r="N398" t="n">
        <v>0</v>
      </c>
      <c r="O398" t="n">
        <v>0</v>
      </c>
      <c r="P398" t="n">
        <v>0</v>
      </c>
      <c r="Q398" t="n">
        <v>0</v>
      </c>
      <c r="R398" s="2" t="inlineStr"/>
    </row>
    <row r="399" ht="15" customHeight="1">
      <c r="A399" t="inlineStr">
        <is>
          <t>A 68265-2019</t>
        </is>
      </c>
      <c r="B399" s="1" t="n">
        <v>43817</v>
      </c>
      <c r="C399" s="1" t="n">
        <v>45340</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68317-2019</t>
        </is>
      </c>
      <c r="B400" s="1" t="n">
        <v>43818</v>
      </c>
      <c r="C400" s="1" t="n">
        <v>45340</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68316-2019</t>
        </is>
      </c>
      <c r="B401" s="1" t="n">
        <v>43818</v>
      </c>
      <c r="C401" s="1" t="n">
        <v>45340</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68908-2019</t>
        </is>
      </c>
      <c r="B402" s="1" t="n">
        <v>43822</v>
      </c>
      <c r="C402" s="1" t="n">
        <v>45340</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529-2020</t>
        </is>
      </c>
      <c r="B403" s="1" t="n">
        <v>43837</v>
      </c>
      <c r="C403" s="1" t="n">
        <v>45340</v>
      </c>
      <c r="D403" t="inlineStr">
        <is>
          <t>UPPSALA LÄN</t>
        </is>
      </c>
      <c r="E403" t="inlineStr">
        <is>
          <t>UPPSALA</t>
        </is>
      </c>
      <c r="G403" t="n">
        <v>1.6</v>
      </c>
      <c r="H403" t="n">
        <v>0</v>
      </c>
      <c r="I403" t="n">
        <v>0</v>
      </c>
      <c r="J403" t="n">
        <v>0</v>
      </c>
      <c r="K403" t="n">
        <v>0</v>
      </c>
      <c r="L403" t="n">
        <v>0</v>
      </c>
      <c r="M403" t="n">
        <v>0</v>
      </c>
      <c r="N403" t="n">
        <v>0</v>
      </c>
      <c r="O403" t="n">
        <v>0</v>
      </c>
      <c r="P403" t="n">
        <v>0</v>
      </c>
      <c r="Q403" t="n">
        <v>0</v>
      </c>
      <c r="R403" s="2" t="inlineStr"/>
    </row>
    <row r="404" ht="15" customHeight="1">
      <c r="A404" t="inlineStr">
        <is>
          <t>A 1891-2020</t>
        </is>
      </c>
      <c r="B404" s="1" t="n">
        <v>43837</v>
      </c>
      <c r="C404" s="1" t="n">
        <v>45340</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701-2020</t>
        </is>
      </c>
      <c r="B405" s="1" t="n">
        <v>43838</v>
      </c>
      <c r="C405" s="1" t="n">
        <v>45340</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1171-2020</t>
        </is>
      </c>
      <c r="B406" s="1" t="n">
        <v>43840</v>
      </c>
      <c r="C406" s="1" t="n">
        <v>45340</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1688-2020</t>
        </is>
      </c>
      <c r="B407" s="1" t="n">
        <v>43844</v>
      </c>
      <c r="C407" s="1" t="n">
        <v>45340</v>
      </c>
      <c r="D407" t="inlineStr">
        <is>
          <t>UPPSALA LÄN</t>
        </is>
      </c>
      <c r="E407" t="inlineStr">
        <is>
          <t>UPPSALA</t>
        </is>
      </c>
      <c r="G407" t="n">
        <v>1.5</v>
      </c>
      <c r="H407" t="n">
        <v>0</v>
      </c>
      <c r="I407" t="n">
        <v>0</v>
      </c>
      <c r="J407" t="n">
        <v>0</v>
      </c>
      <c r="K407" t="n">
        <v>0</v>
      </c>
      <c r="L407" t="n">
        <v>0</v>
      </c>
      <c r="M407" t="n">
        <v>0</v>
      </c>
      <c r="N407" t="n">
        <v>0</v>
      </c>
      <c r="O407" t="n">
        <v>0</v>
      </c>
      <c r="P407" t="n">
        <v>0</v>
      </c>
      <c r="Q407" t="n">
        <v>0</v>
      </c>
      <c r="R407" s="2" t="inlineStr"/>
    </row>
    <row r="408" ht="15" customHeight="1">
      <c r="A408" t="inlineStr">
        <is>
          <t>A 2162-2020</t>
        </is>
      </c>
      <c r="B408" s="1" t="n">
        <v>43846</v>
      </c>
      <c r="C408" s="1" t="n">
        <v>45340</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2895-2020</t>
        </is>
      </c>
      <c r="B409" s="1" t="n">
        <v>43850</v>
      </c>
      <c r="C409" s="1" t="n">
        <v>45340</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3693-2020</t>
        </is>
      </c>
      <c r="B410" s="1" t="n">
        <v>43853</v>
      </c>
      <c r="C410" s="1" t="n">
        <v>45340</v>
      </c>
      <c r="D410" t="inlineStr">
        <is>
          <t>UPPSALA LÄN</t>
        </is>
      </c>
      <c r="E410" t="inlineStr">
        <is>
          <t>UPPSALA</t>
        </is>
      </c>
      <c r="F410" t="inlineStr">
        <is>
          <t>Bergvik skog öst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3516-2020</t>
        </is>
      </c>
      <c r="B411" s="1" t="n">
        <v>43853</v>
      </c>
      <c r="C411" s="1" t="n">
        <v>45340</v>
      </c>
      <c r="D411" t="inlineStr">
        <is>
          <t>UPPSALA LÄN</t>
        </is>
      </c>
      <c r="E411" t="inlineStr">
        <is>
          <t>UPPSALA</t>
        </is>
      </c>
      <c r="G411" t="n">
        <v>9.4</v>
      </c>
      <c r="H411" t="n">
        <v>0</v>
      </c>
      <c r="I411" t="n">
        <v>0</v>
      </c>
      <c r="J411" t="n">
        <v>0</v>
      </c>
      <c r="K411" t="n">
        <v>0</v>
      </c>
      <c r="L411" t="n">
        <v>0</v>
      </c>
      <c r="M411" t="n">
        <v>0</v>
      </c>
      <c r="N411" t="n">
        <v>0</v>
      </c>
      <c r="O411" t="n">
        <v>0</v>
      </c>
      <c r="P411" t="n">
        <v>0</v>
      </c>
      <c r="Q411" t="n">
        <v>0</v>
      </c>
      <c r="R411" s="2" t="inlineStr"/>
    </row>
    <row r="412" ht="15" customHeight="1">
      <c r="A412" t="inlineStr">
        <is>
          <t>A 6313-2020</t>
        </is>
      </c>
      <c r="B412" s="1" t="n">
        <v>43866</v>
      </c>
      <c r="C412" s="1" t="n">
        <v>45340</v>
      </c>
      <c r="D412" t="inlineStr">
        <is>
          <t>UPPSALA LÄN</t>
        </is>
      </c>
      <c r="E412" t="inlineStr">
        <is>
          <t>UPPSALA</t>
        </is>
      </c>
      <c r="F412" t="inlineStr">
        <is>
          <t>Övriga statliga verk och myndigheter</t>
        </is>
      </c>
      <c r="G412" t="n">
        <v>3.4</v>
      </c>
      <c r="H412" t="n">
        <v>0</v>
      </c>
      <c r="I412" t="n">
        <v>0</v>
      </c>
      <c r="J412" t="n">
        <v>0</v>
      </c>
      <c r="K412" t="n">
        <v>0</v>
      </c>
      <c r="L412" t="n">
        <v>0</v>
      </c>
      <c r="M412" t="n">
        <v>0</v>
      </c>
      <c r="N412" t="n">
        <v>0</v>
      </c>
      <c r="O412" t="n">
        <v>0</v>
      </c>
      <c r="P412" t="n">
        <v>0</v>
      </c>
      <c r="Q412" t="n">
        <v>0</v>
      </c>
      <c r="R412" s="2" t="inlineStr"/>
    </row>
    <row r="413" ht="15" customHeight="1">
      <c r="A413" t="inlineStr">
        <is>
          <t>A 6315-2020</t>
        </is>
      </c>
      <c r="B413" s="1" t="n">
        <v>43866</v>
      </c>
      <c r="C413" s="1" t="n">
        <v>45340</v>
      </c>
      <c r="D413" t="inlineStr">
        <is>
          <t>UPPSALA LÄN</t>
        </is>
      </c>
      <c r="E413" t="inlineStr">
        <is>
          <t>UPPSALA</t>
        </is>
      </c>
      <c r="F413" t="inlineStr">
        <is>
          <t>Övriga statliga verk och myndigheter</t>
        </is>
      </c>
      <c r="G413" t="n">
        <v>1.9</v>
      </c>
      <c r="H413" t="n">
        <v>0</v>
      </c>
      <c r="I413" t="n">
        <v>0</v>
      </c>
      <c r="J413" t="n">
        <v>0</v>
      </c>
      <c r="K413" t="n">
        <v>0</v>
      </c>
      <c r="L413" t="n">
        <v>0</v>
      </c>
      <c r="M413" t="n">
        <v>0</v>
      </c>
      <c r="N413" t="n">
        <v>0</v>
      </c>
      <c r="O413" t="n">
        <v>0</v>
      </c>
      <c r="P413" t="n">
        <v>0</v>
      </c>
      <c r="Q413" t="n">
        <v>0</v>
      </c>
      <c r="R413" s="2" t="inlineStr"/>
    </row>
    <row r="414" ht="15" customHeight="1">
      <c r="A414" t="inlineStr">
        <is>
          <t>A 6655-2020</t>
        </is>
      </c>
      <c r="B414" s="1" t="n">
        <v>43867</v>
      </c>
      <c r="C414" s="1" t="n">
        <v>45340</v>
      </c>
      <c r="D414" t="inlineStr">
        <is>
          <t>UPPSALA LÄN</t>
        </is>
      </c>
      <c r="E414" t="inlineStr">
        <is>
          <t>UPPSALA</t>
        </is>
      </c>
      <c r="G414" t="n">
        <v>7.3</v>
      </c>
      <c r="H414" t="n">
        <v>0</v>
      </c>
      <c r="I414" t="n">
        <v>0</v>
      </c>
      <c r="J414" t="n">
        <v>0</v>
      </c>
      <c r="K414" t="n">
        <v>0</v>
      </c>
      <c r="L414" t="n">
        <v>0</v>
      </c>
      <c r="M414" t="n">
        <v>0</v>
      </c>
      <c r="N414" t="n">
        <v>0</v>
      </c>
      <c r="O414" t="n">
        <v>0</v>
      </c>
      <c r="P414" t="n">
        <v>0</v>
      </c>
      <c r="Q414" t="n">
        <v>0</v>
      </c>
      <c r="R414" s="2" t="inlineStr"/>
    </row>
    <row r="415" ht="15" customHeight="1">
      <c r="A415" t="inlineStr">
        <is>
          <t>A 8261-2020</t>
        </is>
      </c>
      <c r="B415" s="1" t="n">
        <v>43874</v>
      </c>
      <c r="C415" s="1" t="n">
        <v>45340</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8646-2020</t>
        </is>
      </c>
      <c r="B416" s="1" t="n">
        <v>43878</v>
      </c>
      <c r="C416" s="1" t="n">
        <v>45340</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8678-2020</t>
        </is>
      </c>
      <c r="B417" s="1" t="n">
        <v>43878</v>
      </c>
      <c r="C417" s="1" t="n">
        <v>45340</v>
      </c>
      <c r="D417" t="inlineStr">
        <is>
          <t>UPPSALA LÄN</t>
        </is>
      </c>
      <c r="E417" t="inlineStr">
        <is>
          <t>UPPSALA</t>
        </is>
      </c>
      <c r="G417" t="n">
        <v>1.8</v>
      </c>
      <c r="H417" t="n">
        <v>0</v>
      </c>
      <c r="I417" t="n">
        <v>0</v>
      </c>
      <c r="J417" t="n">
        <v>0</v>
      </c>
      <c r="K417" t="n">
        <v>0</v>
      </c>
      <c r="L417" t="n">
        <v>0</v>
      </c>
      <c r="M417" t="n">
        <v>0</v>
      </c>
      <c r="N417" t="n">
        <v>0</v>
      </c>
      <c r="O417" t="n">
        <v>0</v>
      </c>
      <c r="P417" t="n">
        <v>0</v>
      </c>
      <c r="Q417" t="n">
        <v>0</v>
      </c>
      <c r="R417" s="2" t="inlineStr"/>
    </row>
    <row r="418" ht="15" customHeight="1">
      <c r="A418" t="inlineStr">
        <is>
          <t>A 8902-2020</t>
        </is>
      </c>
      <c r="B418" s="1" t="n">
        <v>43878</v>
      </c>
      <c r="C418" s="1" t="n">
        <v>45340</v>
      </c>
      <c r="D418" t="inlineStr">
        <is>
          <t>UPPSALA LÄN</t>
        </is>
      </c>
      <c r="E418" t="inlineStr">
        <is>
          <t>UPPSALA</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9011-2020</t>
        </is>
      </c>
      <c r="B419" s="1" t="n">
        <v>43879</v>
      </c>
      <c r="C419" s="1" t="n">
        <v>45340</v>
      </c>
      <c r="D419" t="inlineStr">
        <is>
          <t>UPPSALA LÄN</t>
        </is>
      </c>
      <c r="E419" t="inlineStr">
        <is>
          <t>UPPSALA</t>
        </is>
      </c>
      <c r="F419" t="inlineStr">
        <is>
          <t>Övriga statliga verk och myndigheter</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9084-2020</t>
        </is>
      </c>
      <c r="B420" s="1" t="n">
        <v>43879</v>
      </c>
      <c r="C420" s="1" t="n">
        <v>45340</v>
      </c>
      <c r="D420" t="inlineStr">
        <is>
          <t>UPPSALA LÄN</t>
        </is>
      </c>
      <c r="E420" t="inlineStr">
        <is>
          <t>UPPSALA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9257-2020</t>
        </is>
      </c>
      <c r="B421" s="1" t="n">
        <v>43879</v>
      </c>
      <c r="C421" s="1" t="n">
        <v>45340</v>
      </c>
      <c r="D421" t="inlineStr">
        <is>
          <t>UPPSALA LÄN</t>
        </is>
      </c>
      <c r="E421" t="inlineStr">
        <is>
          <t>UPPSALA</t>
        </is>
      </c>
      <c r="F421" t="inlineStr">
        <is>
          <t>Bergvik skog öst AB</t>
        </is>
      </c>
      <c r="G421" t="n">
        <v>5.8</v>
      </c>
      <c r="H421" t="n">
        <v>0</v>
      </c>
      <c r="I421" t="n">
        <v>0</v>
      </c>
      <c r="J421" t="n">
        <v>0</v>
      </c>
      <c r="K421" t="n">
        <v>0</v>
      </c>
      <c r="L421" t="n">
        <v>0</v>
      </c>
      <c r="M421" t="n">
        <v>0</v>
      </c>
      <c r="N421" t="n">
        <v>0</v>
      </c>
      <c r="O421" t="n">
        <v>0</v>
      </c>
      <c r="P421" t="n">
        <v>0</v>
      </c>
      <c r="Q421" t="n">
        <v>0</v>
      </c>
      <c r="R421" s="2" t="inlineStr"/>
    </row>
    <row r="422" ht="15" customHeight="1">
      <c r="A422" t="inlineStr">
        <is>
          <t>A 9658-2020</t>
        </is>
      </c>
      <c r="B422" s="1" t="n">
        <v>43881</v>
      </c>
      <c r="C422" s="1" t="n">
        <v>45340</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10003-2020</t>
        </is>
      </c>
      <c r="B423" s="1" t="n">
        <v>43882</v>
      </c>
      <c r="C423" s="1" t="n">
        <v>45340</v>
      </c>
      <c r="D423" t="inlineStr">
        <is>
          <t>UPPSALA LÄN</t>
        </is>
      </c>
      <c r="E423" t="inlineStr">
        <is>
          <t>UPPSALA</t>
        </is>
      </c>
      <c r="F423" t="inlineStr">
        <is>
          <t>Kyrkan</t>
        </is>
      </c>
      <c r="G423" t="n">
        <v>5.2</v>
      </c>
      <c r="H423" t="n">
        <v>0</v>
      </c>
      <c r="I423" t="n">
        <v>0</v>
      </c>
      <c r="J423" t="n">
        <v>0</v>
      </c>
      <c r="K423" t="n">
        <v>0</v>
      </c>
      <c r="L423" t="n">
        <v>0</v>
      </c>
      <c r="M423" t="n">
        <v>0</v>
      </c>
      <c r="N423" t="n">
        <v>0</v>
      </c>
      <c r="O423" t="n">
        <v>0</v>
      </c>
      <c r="P423" t="n">
        <v>0</v>
      </c>
      <c r="Q423" t="n">
        <v>0</v>
      </c>
      <c r="R423" s="2" t="inlineStr"/>
    </row>
    <row r="424" ht="15" customHeight="1">
      <c r="A424" t="inlineStr">
        <is>
          <t>A 9949-2020</t>
        </is>
      </c>
      <c r="B424" s="1" t="n">
        <v>43882</v>
      </c>
      <c r="C424" s="1" t="n">
        <v>45340</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10033-2020</t>
        </is>
      </c>
      <c r="B425" s="1" t="n">
        <v>43882</v>
      </c>
      <c r="C425" s="1" t="n">
        <v>45340</v>
      </c>
      <c r="D425" t="inlineStr">
        <is>
          <t>UPPSALA LÄN</t>
        </is>
      </c>
      <c r="E425" t="inlineStr">
        <is>
          <t>UPPSALA</t>
        </is>
      </c>
      <c r="G425" t="n">
        <v>4.6</v>
      </c>
      <c r="H425" t="n">
        <v>0</v>
      </c>
      <c r="I425" t="n">
        <v>0</v>
      </c>
      <c r="J425" t="n">
        <v>0</v>
      </c>
      <c r="K425" t="n">
        <v>0</v>
      </c>
      <c r="L425" t="n">
        <v>0</v>
      </c>
      <c r="M425" t="n">
        <v>0</v>
      </c>
      <c r="N425" t="n">
        <v>0</v>
      </c>
      <c r="O425" t="n">
        <v>0</v>
      </c>
      <c r="P425" t="n">
        <v>0</v>
      </c>
      <c r="Q425" t="n">
        <v>0</v>
      </c>
      <c r="R425" s="2" t="inlineStr"/>
    </row>
    <row r="426" ht="15" customHeight="1">
      <c r="A426" t="inlineStr">
        <is>
          <t>A 10478-2020</t>
        </is>
      </c>
      <c r="B426" s="1" t="n">
        <v>43886</v>
      </c>
      <c r="C426" s="1" t="n">
        <v>45340</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11540-2020</t>
        </is>
      </c>
      <c r="B427" s="1" t="n">
        <v>43887</v>
      </c>
      <c r="C427" s="1" t="n">
        <v>45340</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11174-2020</t>
        </is>
      </c>
      <c r="B428" s="1" t="n">
        <v>43891</v>
      </c>
      <c r="C428" s="1" t="n">
        <v>45340</v>
      </c>
      <c r="D428" t="inlineStr">
        <is>
          <t>UPPSALA LÄN</t>
        </is>
      </c>
      <c r="E428" t="inlineStr">
        <is>
          <t>UPPSALA</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12626-2020</t>
        </is>
      </c>
      <c r="B429" s="1" t="n">
        <v>43892</v>
      </c>
      <c r="C429" s="1" t="n">
        <v>45340</v>
      </c>
      <c r="D429" t="inlineStr">
        <is>
          <t>UPPSALA LÄN</t>
        </is>
      </c>
      <c r="E429" t="inlineStr">
        <is>
          <t>UPPSALA</t>
        </is>
      </c>
      <c r="G429" t="n">
        <v>11.4</v>
      </c>
      <c r="H429" t="n">
        <v>0</v>
      </c>
      <c r="I429" t="n">
        <v>0</v>
      </c>
      <c r="J429" t="n">
        <v>0</v>
      </c>
      <c r="K429" t="n">
        <v>0</v>
      </c>
      <c r="L429" t="n">
        <v>0</v>
      </c>
      <c r="M429" t="n">
        <v>0</v>
      </c>
      <c r="N429" t="n">
        <v>0</v>
      </c>
      <c r="O429" t="n">
        <v>0</v>
      </c>
      <c r="P429" t="n">
        <v>0</v>
      </c>
      <c r="Q429" t="n">
        <v>0</v>
      </c>
      <c r="R429" s="2" t="inlineStr"/>
    </row>
    <row r="430" ht="15" customHeight="1">
      <c r="A430" t="inlineStr">
        <is>
          <t>A 11336-2020</t>
        </is>
      </c>
      <c r="B430" s="1" t="n">
        <v>43892</v>
      </c>
      <c r="C430" s="1" t="n">
        <v>45340</v>
      </c>
      <c r="D430" t="inlineStr">
        <is>
          <t>UPPSALA LÄN</t>
        </is>
      </c>
      <c r="E430" t="inlineStr">
        <is>
          <t>UPPSALA</t>
        </is>
      </c>
      <c r="F430" t="inlineStr">
        <is>
          <t>Kyrkan</t>
        </is>
      </c>
      <c r="G430" t="n">
        <v>3.2</v>
      </c>
      <c r="H430" t="n">
        <v>0</v>
      </c>
      <c r="I430" t="n">
        <v>0</v>
      </c>
      <c r="J430" t="n">
        <v>0</v>
      </c>
      <c r="K430" t="n">
        <v>0</v>
      </c>
      <c r="L430" t="n">
        <v>0</v>
      </c>
      <c r="M430" t="n">
        <v>0</v>
      </c>
      <c r="N430" t="n">
        <v>0</v>
      </c>
      <c r="O430" t="n">
        <v>0</v>
      </c>
      <c r="P430" t="n">
        <v>0</v>
      </c>
      <c r="Q430" t="n">
        <v>0</v>
      </c>
      <c r="R430" s="2" t="inlineStr"/>
    </row>
    <row r="431" ht="15" customHeight="1">
      <c r="A431" t="inlineStr">
        <is>
          <t>A 11320-2020</t>
        </is>
      </c>
      <c r="B431" s="1" t="n">
        <v>43892</v>
      </c>
      <c r="C431" s="1" t="n">
        <v>45340</v>
      </c>
      <c r="D431" t="inlineStr">
        <is>
          <t>UPPSALA LÄN</t>
        </is>
      </c>
      <c r="E431" t="inlineStr">
        <is>
          <t>UPPSALA</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12028-2020</t>
        </is>
      </c>
      <c r="B432" s="1" t="n">
        <v>43894</v>
      </c>
      <c r="C432" s="1" t="n">
        <v>45340</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12055-2020</t>
        </is>
      </c>
      <c r="B433" s="1" t="n">
        <v>43894</v>
      </c>
      <c r="C433" s="1" t="n">
        <v>45340</v>
      </c>
      <c r="D433" t="inlineStr">
        <is>
          <t>UPPSALA LÄN</t>
        </is>
      </c>
      <c r="E433" t="inlineStr">
        <is>
          <t>UPPSALA</t>
        </is>
      </c>
      <c r="G433" t="n">
        <v>6.2</v>
      </c>
      <c r="H433" t="n">
        <v>0</v>
      </c>
      <c r="I433" t="n">
        <v>0</v>
      </c>
      <c r="J433" t="n">
        <v>0</v>
      </c>
      <c r="K433" t="n">
        <v>0</v>
      </c>
      <c r="L433" t="n">
        <v>0</v>
      </c>
      <c r="M433" t="n">
        <v>0</v>
      </c>
      <c r="N433" t="n">
        <v>0</v>
      </c>
      <c r="O433" t="n">
        <v>0</v>
      </c>
      <c r="P433" t="n">
        <v>0</v>
      </c>
      <c r="Q433" t="n">
        <v>0</v>
      </c>
      <c r="R433" s="2" t="inlineStr"/>
    </row>
    <row r="434" ht="15" customHeight="1">
      <c r="A434" t="inlineStr">
        <is>
          <t>A 12848-2020</t>
        </is>
      </c>
      <c r="B434" s="1" t="n">
        <v>43899</v>
      </c>
      <c r="C434" s="1" t="n">
        <v>45340</v>
      </c>
      <c r="D434" t="inlineStr">
        <is>
          <t>UPPSALA LÄN</t>
        </is>
      </c>
      <c r="E434" t="inlineStr">
        <is>
          <t>UPPSALA</t>
        </is>
      </c>
      <c r="G434" t="n">
        <v>10.3</v>
      </c>
      <c r="H434" t="n">
        <v>0</v>
      </c>
      <c r="I434" t="n">
        <v>0</v>
      </c>
      <c r="J434" t="n">
        <v>0</v>
      </c>
      <c r="K434" t="n">
        <v>0</v>
      </c>
      <c r="L434" t="n">
        <v>0</v>
      </c>
      <c r="M434" t="n">
        <v>0</v>
      </c>
      <c r="N434" t="n">
        <v>0</v>
      </c>
      <c r="O434" t="n">
        <v>0</v>
      </c>
      <c r="P434" t="n">
        <v>0</v>
      </c>
      <c r="Q434" t="n">
        <v>0</v>
      </c>
      <c r="R434" s="2" t="inlineStr"/>
    </row>
    <row r="435" ht="15" customHeight="1">
      <c r="A435" t="inlineStr">
        <is>
          <t>A 12781-2020</t>
        </is>
      </c>
      <c r="B435" s="1" t="n">
        <v>43899</v>
      </c>
      <c r="C435" s="1" t="n">
        <v>45340</v>
      </c>
      <c r="D435" t="inlineStr">
        <is>
          <t>UPPSALA LÄN</t>
        </is>
      </c>
      <c r="E435" t="inlineStr">
        <is>
          <t>UPPSALA</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13636-2020</t>
        </is>
      </c>
      <c r="B436" s="1" t="n">
        <v>43903</v>
      </c>
      <c r="C436" s="1" t="n">
        <v>45340</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14469-2020</t>
        </is>
      </c>
      <c r="B437" s="1" t="n">
        <v>43908</v>
      </c>
      <c r="C437" s="1" t="n">
        <v>45340</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14423-2020</t>
        </is>
      </c>
      <c r="B438" s="1" t="n">
        <v>43908</v>
      </c>
      <c r="C438" s="1" t="n">
        <v>45340</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14472-2020</t>
        </is>
      </c>
      <c r="B439" s="1" t="n">
        <v>43908</v>
      </c>
      <c r="C439" s="1" t="n">
        <v>45340</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14427-2020</t>
        </is>
      </c>
      <c r="B440" s="1" t="n">
        <v>43908</v>
      </c>
      <c r="C440" s="1" t="n">
        <v>45340</v>
      </c>
      <c r="D440" t="inlineStr">
        <is>
          <t>UPPSALA LÄN</t>
        </is>
      </c>
      <c r="E440" t="inlineStr">
        <is>
          <t>UPPSALA</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15344-2020</t>
        </is>
      </c>
      <c r="B441" s="1" t="n">
        <v>43913</v>
      </c>
      <c r="C441" s="1" t="n">
        <v>45340</v>
      </c>
      <c r="D441" t="inlineStr">
        <is>
          <t>UPPSALA LÄN</t>
        </is>
      </c>
      <c r="E441" t="inlineStr">
        <is>
          <t>UPPSALA</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18106-2020</t>
        </is>
      </c>
      <c r="B442" s="1" t="n">
        <v>43927</v>
      </c>
      <c r="C442" s="1" t="n">
        <v>45340</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18114-2020</t>
        </is>
      </c>
      <c r="B443" s="1" t="n">
        <v>43927</v>
      </c>
      <c r="C443" s="1" t="n">
        <v>45340</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18469-2020</t>
        </is>
      </c>
      <c r="B444" s="1" t="n">
        <v>43929</v>
      </c>
      <c r="C444" s="1" t="n">
        <v>45340</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19210-2020</t>
        </is>
      </c>
      <c r="B445" s="1" t="n">
        <v>43937</v>
      </c>
      <c r="C445" s="1" t="n">
        <v>45340</v>
      </c>
      <c r="D445" t="inlineStr">
        <is>
          <t>UPPSALA LÄN</t>
        </is>
      </c>
      <c r="E445" t="inlineStr">
        <is>
          <t>UPPSALA</t>
        </is>
      </c>
      <c r="G445" t="n">
        <v>3.7</v>
      </c>
      <c r="H445" t="n">
        <v>0</v>
      </c>
      <c r="I445" t="n">
        <v>0</v>
      </c>
      <c r="J445" t="n">
        <v>0</v>
      </c>
      <c r="K445" t="n">
        <v>0</v>
      </c>
      <c r="L445" t="n">
        <v>0</v>
      </c>
      <c r="M445" t="n">
        <v>0</v>
      </c>
      <c r="N445" t="n">
        <v>0</v>
      </c>
      <c r="O445" t="n">
        <v>0</v>
      </c>
      <c r="P445" t="n">
        <v>0</v>
      </c>
      <c r="Q445" t="n">
        <v>0</v>
      </c>
      <c r="R445" s="2" t="inlineStr"/>
    </row>
    <row r="446" ht="15" customHeight="1">
      <c r="A446" t="inlineStr">
        <is>
          <t>A 20218-2020</t>
        </is>
      </c>
      <c r="B446" s="1" t="n">
        <v>43944</v>
      </c>
      <c r="C446" s="1" t="n">
        <v>45340</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20506-2020</t>
        </is>
      </c>
      <c r="B447" s="1" t="n">
        <v>43948</v>
      </c>
      <c r="C447" s="1" t="n">
        <v>45340</v>
      </c>
      <c r="D447" t="inlineStr">
        <is>
          <t>UPPSALA LÄN</t>
        </is>
      </c>
      <c r="E447" t="inlineStr">
        <is>
          <t>UPPSALA</t>
        </is>
      </c>
      <c r="G447" t="n">
        <v>1.1</v>
      </c>
      <c r="H447" t="n">
        <v>0</v>
      </c>
      <c r="I447" t="n">
        <v>0</v>
      </c>
      <c r="J447" t="n">
        <v>0</v>
      </c>
      <c r="K447" t="n">
        <v>0</v>
      </c>
      <c r="L447" t="n">
        <v>0</v>
      </c>
      <c r="M447" t="n">
        <v>0</v>
      </c>
      <c r="N447" t="n">
        <v>0</v>
      </c>
      <c r="O447" t="n">
        <v>0</v>
      </c>
      <c r="P447" t="n">
        <v>0</v>
      </c>
      <c r="Q447" t="n">
        <v>0</v>
      </c>
      <c r="R447" s="2" t="inlineStr"/>
    </row>
    <row r="448" ht="15" customHeight="1">
      <c r="A448" t="inlineStr">
        <is>
          <t>A 20490-2020</t>
        </is>
      </c>
      <c r="B448" s="1" t="n">
        <v>43948</v>
      </c>
      <c r="C448" s="1" t="n">
        <v>45340</v>
      </c>
      <c r="D448" t="inlineStr">
        <is>
          <t>UPPSALA LÄN</t>
        </is>
      </c>
      <c r="E448" t="inlineStr">
        <is>
          <t>UPPSALA</t>
        </is>
      </c>
      <c r="G448" t="n">
        <v>2.8</v>
      </c>
      <c r="H448" t="n">
        <v>0</v>
      </c>
      <c r="I448" t="n">
        <v>0</v>
      </c>
      <c r="J448" t="n">
        <v>0</v>
      </c>
      <c r="K448" t="n">
        <v>0</v>
      </c>
      <c r="L448" t="n">
        <v>0</v>
      </c>
      <c r="M448" t="n">
        <v>0</v>
      </c>
      <c r="N448" t="n">
        <v>0</v>
      </c>
      <c r="O448" t="n">
        <v>0</v>
      </c>
      <c r="P448" t="n">
        <v>0</v>
      </c>
      <c r="Q448" t="n">
        <v>0</v>
      </c>
      <c r="R448" s="2" t="inlineStr"/>
    </row>
    <row r="449" ht="15" customHeight="1">
      <c r="A449" t="inlineStr">
        <is>
          <t>A 20960-2020</t>
        </is>
      </c>
      <c r="B449" s="1" t="n">
        <v>43950</v>
      </c>
      <c r="C449" s="1" t="n">
        <v>45340</v>
      </c>
      <c r="D449" t="inlineStr">
        <is>
          <t>UPPSALA LÄN</t>
        </is>
      </c>
      <c r="E449" t="inlineStr">
        <is>
          <t>UPPSALA</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24300-2020</t>
        </is>
      </c>
      <c r="B450" s="1" t="n">
        <v>43973</v>
      </c>
      <c r="C450" s="1" t="n">
        <v>45340</v>
      </c>
      <c r="D450" t="inlineStr">
        <is>
          <t>UPPSALA LÄN</t>
        </is>
      </c>
      <c r="E450" t="inlineStr">
        <is>
          <t>UPPSALA</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24287-2020</t>
        </is>
      </c>
      <c r="B451" s="1" t="n">
        <v>43976</v>
      </c>
      <c r="C451" s="1" t="n">
        <v>45340</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25798-2020</t>
        </is>
      </c>
      <c r="B452" s="1" t="n">
        <v>43984</v>
      </c>
      <c r="C452" s="1" t="n">
        <v>45340</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26488-2020</t>
        </is>
      </c>
      <c r="B453" s="1" t="n">
        <v>43987</v>
      </c>
      <c r="C453" s="1" t="n">
        <v>45340</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26492-2020</t>
        </is>
      </c>
      <c r="B454" s="1" t="n">
        <v>43987</v>
      </c>
      <c r="C454" s="1" t="n">
        <v>45340</v>
      </c>
      <c r="D454" t="inlineStr">
        <is>
          <t>UPPSALA LÄN</t>
        </is>
      </c>
      <c r="E454" t="inlineStr">
        <is>
          <t>UPPSALA</t>
        </is>
      </c>
      <c r="G454" t="n">
        <v>9.5</v>
      </c>
      <c r="H454" t="n">
        <v>0</v>
      </c>
      <c r="I454" t="n">
        <v>0</v>
      </c>
      <c r="J454" t="n">
        <v>0</v>
      </c>
      <c r="K454" t="n">
        <v>0</v>
      </c>
      <c r="L454" t="n">
        <v>0</v>
      </c>
      <c r="M454" t="n">
        <v>0</v>
      </c>
      <c r="N454" t="n">
        <v>0</v>
      </c>
      <c r="O454" t="n">
        <v>0</v>
      </c>
      <c r="P454" t="n">
        <v>0</v>
      </c>
      <c r="Q454" t="n">
        <v>0</v>
      </c>
      <c r="R454" s="2" t="inlineStr"/>
    </row>
    <row r="455" ht="15" customHeight="1">
      <c r="A455" t="inlineStr">
        <is>
          <t>A 26856-2020</t>
        </is>
      </c>
      <c r="B455" s="1" t="n">
        <v>43990</v>
      </c>
      <c r="C455" s="1" t="n">
        <v>45340</v>
      </c>
      <c r="D455" t="inlineStr">
        <is>
          <t>UPPSALA LÄN</t>
        </is>
      </c>
      <c r="E455" t="inlineStr">
        <is>
          <t>UPPSALA</t>
        </is>
      </c>
      <c r="G455" t="n">
        <v>1.5</v>
      </c>
      <c r="H455" t="n">
        <v>0</v>
      </c>
      <c r="I455" t="n">
        <v>0</v>
      </c>
      <c r="J455" t="n">
        <v>0</v>
      </c>
      <c r="K455" t="n">
        <v>0</v>
      </c>
      <c r="L455" t="n">
        <v>0</v>
      </c>
      <c r="M455" t="n">
        <v>0</v>
      </c>
      <c r="N455" t="n">
        <v>0</v>
      </c>
      <c r="O455" t="n">
        <v>0</v>
      </c>
      <c r="P455" t="n">
        <v>0</v>
      </c>
      <c r="Q455" t="n">
        <v>0</v>
      </c>
      <c r="R455" s="2" t="inlineStr"/>
    </row>
    <row r="456" ht="15" customHeight="1">
      <c r="A456" t="inlineStr">
        <is>
          <t>A 28565-2020</t>
        </is>
      </c>
      <c r="B456" s="1" t="n">
        <v>43999</v>
      </c>
      <c r="C456" s="1" t="n">
        <v>45340</v>
      </c>
      <c r="D456" t="inlineStr">
        <is>
          <t>UPPSALA LÄN</t>
        </is>
      </c>
      <c r="E456" t="inlineStr">
        <is>
          <t>UPPSALA</t>
        </is>
      </c>
      <c r="G456" t="n">
        <v>2.7</v>
      </c>
      <c r="H456" t="n">
        <v>0</v>
      </c>
      <c r="I456" t="n">
        <v>0</v>
      </c>
      <c r="J456" t="n">
        <v>0</v>
      </c>
      <c r="K456" t="n">
        <v>0</v>
      </c>
      <c r="L456" t="n">
        <v>0</v>
      </c>
      <c r="M456" t="n">
        <v>0</v>
      </c>
      <c r="N456" t="n">
        <v>0</v>
      </c>
      <c r="O456" t="n">
        <v>0</v>
      </c>
      <c r="P456" t="n">
        <v>0</v>
      </c>
      <c r="Q456" t="n">
        <v>0</v>
      </c>
      <c r="R456" s="2" t="inlineStr"/>
    </row>
    <row r="457" ht="15" customHeight="1">
      <c r="A457" t="inlineStr">
        <is>
          <t>A 28514-2020</t>
        </is>
      </c>
      <c r="B457" s="1" t="n">
        <v>43999</v>
      </c>
      <c r="C457" s="1" t="n">
        <v>45340</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28993-2020</t>
        </is>
      </c>
      <c r="B458" s="1" t="n">
        <v>44000</v>
      </c>
      <c r="C458" s="1" t="n">
        <v>45340</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29034-2020</t>
        </is>
      </c>
      <c r="B459" s="1" t="n">
        <v>44000</v>
      </c>
      <c r="C459" s="1" t="n">
        <v>45340</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30196-2020</t>
        </is>
      </c>
      <c r="B460" s="1" t="n">
        <v>44007</v>
      </c>
      <c r="C460" s="1" t="n">
        <v>45340</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30208-2020</t>
        </is>
      </c>
      <c r="B461" s="1" t="n">
        <v>44007</v>
      </c>
      <c r="C461" s="1" t="n">
        <v>45340</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31219-2020</t>
        </is>
      </c>
      <c r="B462" s="1" t="n">
        <v>44012</v>
      </c>
      <c r="C462" s="1" t="n">
        <v>45340</v>
      </c>
      <c r="D462" t="inlineStr">
        <is>
          <t>UPPSALA LÄN</t>
        </is>
      </c>
      <c r="E462" t="inlineStr">
        <is>
          <t>UPPSALA</t>
        </is>
      </c>
      <c r="F462" t="inlineStr">
        <is>
          <t>Bergvik skog öst AB</t>
        </is>
      </c>
      <c r="G462" t="n">
        <v>7.4</v>
      </c>
      <c r="H462" t="n">
        <v>0</v>
      </c>
      <c r="I462" t="n">
        <v>0</v>
      </c>
      <c r="J462" t="n">
        <v>0</v>
      </c>
      <c r="K462" t="n">
        <v>0</v>
      </c>
      <c r="L462" t="n">
        <v>0</v>
      </c>
      <c r="M462" t="n">
        <v>0</v>
      </c>
      <c r="N462" t="n">
        <v>0</v>
      </c>
      <c r="O462" t="n">
        <v>0</v>
      </c>
      <c r="P462" t="n">
        <v>0</v>
      </c>
      <c r="Q462" t="n">
        <v>0</v>
      </c>
      <c r="R462" s="2" t="inlineStr"/>
    </row>
    <row r="463" ht="15" customHeight="1">
      <c r="A463" t="inlineStr">
        <is>
          <t>A 31430-2020</t>
        </is>
      </c>
      <c r="B463" s="1" t="n">
        <v>44013</v>
      </c>
      <c r="C463" s="1" t="n">
        <v>45340</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31932-2020</t>
        </is>
      </c>
      <c r="B464" s="1" t="n">
        <v>44014</v>
      </c>
      <c r="C464" s="1" t="n">
        <v>45340</v>
      </c>
      <c r="D464" t="inlineStr">
        <is>
          <t>UPPSALA LÄN</t>
        </is>
      </c>
      <c r="E464" t="inlineStr">
        <is>
          <t>UPPSALA</t>
        </is>
      </c>
      <c r="G464" t="n">
        <v>5.6</v>
      </c>
      <c r="H464" t="n">
        <v>0</v>
      </c>
      <c r="I464" t="n">
        <v>0</v>
      </c>
      <c r="J464" t="n">
        <v>0</v>
      </c>
      <c r="K464" t="n">
        <v>0</v>
      </c>
      <c r="L464" t="n">
        <v>0</v>
      </c>
      <c r="M464" t="n">
        <v>0</v>
      </c>
      <c r="N464" t="n">
        <v>0</v>
      </c>
      <c r="O464" t="n">
        <v>0</v>
      </c>
      <c r="P464" t="n">
        <v>0</v>
      </c>
      <c r="Q464" t="n">
        <v>0</v>
      </c>
      <c r="R464" s="2" t="inlineStr"/>
    </row>
    <row r="465" ht="15" customHeight="1">
      <c r="A465" t="inlineStr">
        <is>
          <t>A 32235-2020</t>
        </is>
      </c>
      <c r="B465" s="1" t="n">
        <v>44015</v>
      </c>
      <c r="C465" s="1" t="n">
        <v>45340</v>
      </c>
      <c r="D465" t="inlineStr">
        <is>
          <t>UPPSALA LÄN</t>
        </is>
      </c>
      <c r="E465" t="inlineStr">
        <is>
          <t>UPPSALA</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32340-2020</t>
        </is>
      </c>
      <c r="B466" s="1" t="n">
        <v>44016</v>
      </c>
      <c r="C466" s="1" t="n">
        <v>45340</v>
      </c>
      <c r="D466" t="inlineStr">
        <is>
          <t>UPPSALA LÄN</t>
        </is>
      </c>
      <c r="E466" t="inlineStr">
        <is>
          <t>UPPSALA</t>
        </is>
      </c>
      <c r="F466" t="inlineStr">
        <is>
          <t>Bergvik skog öst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32608-2020</t>
        </is>
      </c>
      <c r="B467" s="1" t="n">
        <v>44019</v>
      </c>
      <c r="C467" s="1" t="n">
        <v>45340</v>
      </c>
      <c r="D467" t="inlineStr">
        <is>
          <t>UPPSALA LÄN</t>
        </is>
      </c>
      <c r="E467" t="inlineStr">
        <is>
          <t>UPPSALA</t>
        </is>
      </c>
      <c r="F467" t="inlineStr">
        <is>
          <t>Bergvik skog öst AB</t>
        </is>
      </c>
      <c r="G467" t="n">
        <v>5.7</v>
      </c>
      <c r="H467" t="n">
        <v>0</v>
      </c>
      <c r="I467" t="n">
        <v>0</v>
      </c>
      <c r="J467" t="n">
        <v>0</v>
      </c>
      <c r="K467" t="n">
        <v>0</v>
      </c>
      <c r="L467" t="n">
        <v>0</v>
      </c>
      <c r="M467" t="n">
        <v>0</v>
      </c>
      <c r="N467" t="n">
        <v>0</v>
      </c>
      <c r="O467" t="n">
        <v>0</v>
      </c>
      <c r="P467" t="n">
        <v>0</v>
      </c>
      <c r="Q467" t="n">
        <v>0</v>
      </c>
      <c r="R467" s="2" t="inlineStr"/>
    </row>
    <row r="468" ht="15" customHeight="1">
      <c r="A468" t="inlineStr">
        <is>
          <t>A 33658-2020</t>
        </is>
      </c>
      <c r="B468" s="1" t="n">
        <v>44026</v>
      </c>
      <c r="C468" s="1" t="n">
        <v>45340</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34205-2020</t>
        </is>
      </c>
      <c r="B469" s="1" t="n">
        <v>44029</v>
      </c>
      <c r="C469" s="1" t="n">
        <v>45340</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34565-2020</t>
        </is>
      </c>
      <c r="B470" s="1" t="n">
        <v>44033</v>
      </c>
      <c r="C470" s="1" t="n">
        <v>45340</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34753-2020</t>
        </is>
      </c>
      <c r="B471" s="1" t="n">
        <v>44035</v>
      </c>
      <c r="C471" s="1" t="n">
        <v>45340</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34749-2020</t>
        </is>
      </c>
      <c r="B472" s="1" t="n">
        <v>44035</v>
      </c>
      <c r="C472" s="1" t="n">
        <v>45340</v>
      </c>
      <c r="D472" t="inlineStr">
        <is>
          <t>UPPSALA LÄN</t>
        </is>
      </c>
      <c r="E472" t="inlineStr">
        <is>
          <t>UPPSALA</t>
        </is>
      </c>
      <c r="G472" t="n">
        <v>5.5</v>
      </c>
      <c r="H472" t="n">
        <v>0</v>
      </c>
      <c r="I472" t="n">
        <v>0</v>
      </c>
      <c r="J472" t="n">
        <v>0</v>
      </c>
      <c r="K472" t="n">
        <v>0</v>
      </c>
      <c r="L472" t="n">
        <v>0</v>
      </c>
      <c r="M472" t="n">
        <v>0</v>
      </c>
      <c r="N472" t="n">
        <v>0</v>
      </c>
      <c r="O472" t="n">
        <v>0</v>
      </c>
      <c r="P472" t="n">
        <v>0</v>
      </c>
      <c r="Q472" t="n">
        <v>0</v>
      </c>
      <c r="R472" s="2" t="inlineStr"/>
    </row>
    <row r="473" ht="15" customHeight="1">
      <c r="A473" t="inlineStr">
        <is>
          <t>A 35281-2020</t>
        </is>
      </c>
      <c r="B473" s="1" t="n">
        <v>44041</v>
      </c>
      <c r="C473" s="1" t="n">
        <v>45340</v>
      </c>
      <c r="D473" t="inlineStr">
        <is>
          <t>UPPSALA LÄN</t>
        </is>
      </c>
      <c r="E473" t="inlineStr">
        <is>
          <t>UPPSALA</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36035-2020</t>
        </is>
      </c>
      <c r="B474" s="1" t="n">
        <v>44048</v>
      </c>
      <c r="C474" s="1" t="n">
        <v>45340</v>
      </c>
      <c r="D474" t="inlineStr">
        <is>
          <t>UPPSALA LÄN</t>
        </is>
      </c>
      <c r="E474" t="inlineStr">
        <is>
          <t>UPPSALA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36202-2020</t>
        </is>
      </c>
      <c r="B475" s="1" t="n">
        <v>44048</v>
      </c>
      <c r="C475" s="1" t="n">
        <v>45340</v>
      </c>
      <c r="D475" t="inlineStr">
        <is>
          <t>UPPSALA LÄN</t>
        </is>
      </c>
      <c r="E475" t="inlineStr">
        <is>
          <t>UPPSALA</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36198-2020</t>
        </is>
      </c>
      <c r="B476" s="1" t="n">
        <v>44048</v>
      </c>
      <c r="C476" s="1" t="n">
        <v>45340</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36350-2020</t>
        </is>
      </c>
      <c r="B477" s="1" t="n">
        <v>44049</v>
      </c>
      <c r="C477" s="1" t="n">
        <v>45340</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36512-2020</t>
        </is>
      </c>
      <c r="B478" s="1" t="n">
        <v>44050</v>
      </c>
      <c r="C478" s="1" t="n">
        <v>45340</v>
      </c>
      <c r="D478" t="inlineStr">
        <is>
          <t>UPPSALA LÄN</t>
        </is>
      </c>
      <c r="E478" t="inlineStr">
        <is>
          <t>UPPSALA</t>
        </is>
      </c>
      <c r="G478" t="n">
        <v>5.8</v>
      </c>
      <c r="H478" t="n">
        <v>0</v>
      </c>
      <c r="I478" t="n">
        <v>0</v>
      </c>
      <c r="J478" t="n">
        <v>0</v>
      </c>
      <c r="K478" t="n">
        <v>0</v>
      </c>
      <c r="L478" t="n">
        <v>0</v>
      </c>
      <c r="M478" t="n">
        <v>0</v>
      </c>
      <c r="N478" t="n">
        <v>0</v>
      </c>
      <c r="O478" t="n">
        <v>0</v>
      </c>
      <c r="P478" t="n">
        <v>0</v>
      </c>
      <c r="Q478" t="n">
        <v>0</v>
      </c>
      <c r="R478" s="2" t="inlineStr"/>
    </row>
    <row r="479" ht="15" customHeight="1">
      <c r="A479" t="inlineStr">
        <is>
          <t>A 37276-2020</t>
        </is>
      </c>
      <c r="B479" s="1" t="n">
        <v>44055</v>
      </c>
      <c r="C479" s="1" t="n">
        <v>45340</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37669-2020</t>
        </is>
      </c>
      <c r="B480" s="1" t="n">
        <v>44056</v>
      </c>
      <c r="C480" s="1" t="n">
        <v>45340</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39233-2020</t>
        </is>
      </c>
      <c r="B481" s="1" t="n">
        <v>44063</v>
      </c>
      <c r="C481" s="1" t="n">
        <v>45340</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39178-2020</t>
        </is>
      </c>
      <c r="B482" s="1" t="n">
        <v>44063</v>
      </c>
      <c r="C482" s="1" t="n">
        <v>45340</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39236-2020</t>
        </is>
      </c>
      <c r="B483" s="1" t="n">
        <v>44063</v>
      </c>
      <c r="C483" s="1" t="n">
        <v>45340</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39272-2020</t>
        </is>
      </c>
      <c r="B484" s="1" t="n">
        <v>44063</v>
      </c>
      <c r="C484" s="1" t="n">
        <v>45340</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40894-2020</t>
        </is>
      </c>
      <c r="B485" s="1" t="n">
        <v>44070</v>
      </c>
      <c r="C485" s="1" t="n">
        <v>45340</v>
      </c>
      <c r="D485" t="inlineStr">
        <is>
          <t>UPPSALA LÄN</t>
        </is>
      </c>
      <c r="E485" t="inlineStr">
        <is>
          <t>UPPSALA</t>
        </is>
      </c>
      <c r="G485" t="n">
        <v>7.1</v>
      </c>
      <c r="H485" t="n">
        <v>0</v>
      </c>
      <c r="I485" t="n">
        <v>0</v>
      </c>
      <c r="J485" t="n">
        <v>0</v>
      </c>
      <c r="K485" t="n">
        <v>0</v>
      </c>
      <c r="L485" t="n">
        <v>0</v>
      </c>
      <c r="M485" t="n">
        <v>0</v>
      </c>
      <c r="N485" t="n">
        <v>0</v>
      </c>
      <c r="O485" t="n">
        <v>0</v>
      </c>
      <c r="P485" t="n">
        <v>0</v>
      </c>
      <c r="Q485" t="n">
        <v>0</v>
      </c>
      <c r="R485" s="2" t="inlineStr"/>
    </row>
    <row r="486" ht="15" customHeight="1">
      <c r="A486" t="inlineStr">
        <is>
          <t>A 42341-2020</t>
        </is>
      </c>
      <c r="B486" s="1" t="n">
        <v>44076</v>
      </c>
      <c r="C486" s="1" t="n">
        <v>45340</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43192-2020</t>
        </is>
      </c>
      <c r="B487" s="1" t="n">
        <v>44081</v>
      </c>
      <c r="C487" s="1" t="n">
        <v>45340</v>
      </c>
      <c r="D487" t="inlineStr">
        <is>
          <t>UPPSALA LÄN</t>
        </is>
      </c>
      <c r="E487" t="inlineStr">
        <is>
          <t>UPPSALA</t>
        </is>
      </c>
      <c r="G487" t="n">
        <v>16.5</v>
      </c>
      <c r="H487" t="n">
        <v>0</v>
      </c>
      <c r="I487" t="n">
        <v>0</v>
      </c>
      <c r="J487" t="n">
        <v>0</v>
      </c>
      <c r="K487" t="n">
        <v>0</v>
      </c>
      <c r="L487" t="n">
        <v>0</v>
      </c>
      <c r="M487" t="n">
        <v>0</v>
      </c>
      <c r="N487" t="n">
        <v>0</v>
      </c>
      <c r="O487" t="n">
        <v>0</v>
      </c>
      <c r="P487" t="n">
        <v>0</v>
      </c>
      <c r="Q487" t="n">
        <v>0</v>
      </c>
      <c r="R487" s="2" t="inlineStr"/>
    </row>
    <row r="488" ht="15" customHeight="1">
      <c r="A488" t="inlineStr">
        <is>
          <t>A 43968-2020</t>
        </is>
      </c>
      <c r="B488" s="1" t="n">
        <v>44083</v>
      </c>
      <c r="C488" s="1" t="n">
        <v>45340</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45930-2020</t>
        </is>
      </c>
      <c r="B489" s="1" t="n">
        <v>44091</v>
      </c>
      <c r="C489" s="1" t="n">
        <v>45340</v>
      </c>
      <c r="D489" t="inlineStr">
        <is>
          <t>UPPSALA LÄN</t>
        </is>
      </c>
      <c r="E489" t="inlineStr">
        <is>
          <t>UPPSALA</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46633-2020</t>
        </is>
      </c>
      <c r="B490" s="1" t="n">
        <v>44095</v>
      </c>
      <c r="C490" s="1" t="n">
        <v>45340</v>
      </c>
      <c r="D490" t="inlineStr">
        <is>
          <t>UPPSALA LÄN</t>
        </is>
      </c>
      <c r="E490" t="inlineStr">
        <is>
          <t>UPPSALA</t>
        </is>
      </c>
      <c r="G490" t="n">
        <v>4.2</v>
      </c>
      <c r="H490" t="n">
        <v>0</v>
      </c>
      <c r="I490" t="n">
        <v>0</v>
      </c>
      <c r="J490" t="n">
        <v>0</v>
      </c>
      <c r="K490" t="n">
        <v>0</v>
      </c>
      <c r="L490" t="n">
        <v>0</v>
      </c>
      <c r="M490" t="n">
        <v>0</v>
      </c>
      <c r="N490" t="n">
        <v>0</v>
      </c>
      <c r="O490" t="n">
        <v>0</v>
      </c>
      <c r="P490" t="n">
        <v>0</v>
      </c>
      <c r="Q490" t="n">
        <v>0</v>
      </c>
      <c r="R490" s="2" t="inlineStr"/>
    </row>
    <row r="491" ht="15" customHeight="1">
      <c r="A491" t="inlineStr">
        <is>
          <t>A 46647-2020</t>
        </is>
      </c>
      <c r="B491" s="1" t="n">
        <v>44095</v>
      </c>
      <c r="C491" s="1" t="n">
        <v>45340</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48786-2020</t>
        </is>
      </c>
      <c r="B492" s="1" t="n">
        <v>44103</v>
      </c>
      <c r="C492" s="1" t="n">
        <v>45340</v>
      </c>
      <c r="D492" t="inlineStr">
        <is>
          <t>UPPSALA LÄN</t>
        </is>
      </c>
      <c r="E492" t="inlineStr">
        <is>
          <t>UPPSALA</t>
        </is>
      </c>
      <c r="G492" t="n">
        <v>0.4</v>
      </c>
      <c r="H492" t="n">
        <v>0</v>
      </c>
      <c r="I492" t="n">
        <v>0</v>
      </c>
      <c r="J492" t="n">
        <v>0</v>
      </c>
      <c r="K492" t="n">
        <v>0</v>
      </c>
      <c r="L492" t="n">
        <v>0</v>
      </c>
      <c r="M492" t="n">
        <v>0</v>
      </c>
      <c r="N492" t="n">
        <v>0</v>
      </c>
      <c r="O492" t="n">
        <v>0</v>
      </c>
      <c r="P492" t="n">
        <v>0</v>
      </c>
      <c r="Q492" t="n">
        <v>0</v>
      </c>
      <c r="R492" s="2" t="inlineStr"/>
    </row>
    <row r="493" ht="15" customHeight="1">
      <c r="A493" t="inlineStr">
        <is>
          <t>A 49363-2020</t>
        </is>
      </c>
      <c r="B493" s="1" t="n">
        <v>44105</v>
      </c>
      <c r="C493" s="1" t="n">
        <v>45340</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49409-2020</t>
        </is>
      </c>
      <c r="B494" s="1" t="n">
        <v>44105</v>
      </c>
      <c r="C494" s="1" t="n">
        <v>45340</v>
      </c>
      <c r="D494" t="inlineStr">
        <is>
          <t>UPPSALA LÄN</t>
        </is>
      </c>
      <c r="E494" t="inlineStr">
        <is>
          <t>UPPSALA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49404-2020</t>
        </is>
      </c>
      <c r="B495" s="1" t="n">
        <v>44105</v>
      </c>
      <c r="C495" s="1" t="n">
        <v>45340</v>
      </c>
      <c r="D495" t="inlineStr">
        <is>
          <t>UPPSALA LÄN</t>
        </is>
      </c>
      <c r="E495" t="inlineStr">
        <is>
          <t>UPPSALA</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49821-2020</t>
        </is>
      </c>
      <c r="B496" s="1" t="n">
        <v>44106</v>
      </c>
      <c r="C496" s="1" t="n">
        <v>45340</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row>
    <row r="497" ht="15" customHeight="1">
      <c r="A497" t="inlineStr">
        <is>
          <t>A 49931-2020</t>
        </is>
      </c>
      <c r="B497" s="1" t="n">
        <v>44109</v>
      </c>
      <c r="C497" s="1" t="n">
        <v>45340</v>
      </c>
      <c r="D497" t="inlineStr">
        <is>
          <t>UPPSALA LÄN</t>
        </is>
      </c>
      <c r="E497" t="inlineStr">
        <is>
          <t>UPPSALA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52717-2020</t>
        </is>
      </c>
      <c r="B498" s="1" t="n">
        <v>44119</v>
      </c>
      <c r="C498" s="1" t="n">
        <v>45340</v>
      </c>
      <c r="D498" t="inlineStr">
        <is>
          <t>UPPSALA LÄN</t>
        </is>
      </c>
      <c r="E498" t="inlineStr">
        <is>
          <t>UPPSALA</t>
        </is>
      </c>
      <c r="G498" t="n">
        <v>2.8</v>
      </c>
      <c r="H498" t="n">
        <v>0</v>
      </c>
      <c r="I498" t="n">
        <v>0</v>
      </c>
      <c r="J498" t="n">
        <v>0</v>
      </c>
      <c r="K498" t="n">
        <v>0</v>
      </c>
      <c r="L498" t="n">
        <v>0</v>
      </c>
      <c r="M498" t="n">
        <v>0</v>
      </c>
      <c r="N498" t="n">
        <v>0</v>
      </c>
      <c r="O498" t="n">
        <v>0</v>
      </c>
      <c r="P498" t="n">
        <v>0</v>
      </c>
      <c r="Q498" t="n">
        <v>0</v>
      </c>
      <c r="R498" s="2" t="inlineStr"/>
    </row>
    <row r="499" ht="15" customHeight="1">
      <c r="A499" t="inlineStr">
        <is>
          <t>A 53346-2020</t>
        </is>
      </c>
      <c r="B499" s="1" t="n">
        <v>44123</v>
      </c>
      <c r="C499" s="1" t="n">
        <v>45340</v>
      </c>
      <c r="D499" t="inlineStr">
        <is>
          <t>UPPSALA LÄN</t>
        </is>
      </c>
      <c r="E499" t="inlineStr">
        <is>
          <t>UPPSALA</t>
        </is>
      </c>
      <c r="G499" t="n">
        <v>1.4</v>
      </c>
      <c r="H499" t="n">
        <v>0</v>
      </c>
      <c r="I499" t="n">
        <v>0</v>
      </c>
      <c r="J499" t="n">
        <v>0</v>
      </c>
      <c r="K499" t="n">
        <v>0</v>
      </c>
      <c r="L499" t="n">
        <v>0</v>
      </c>
      <c r="M499" t="n">
        <v>0</v>
      </c>
      <c r="N499" t="n">
        <v>0</v>
      </c>
      <c r="O499" t="n">
        <v>0</v>
      </c>
      <c r="P499" t="n">
        <v>0</v>
      </c>
      <c r="Q499" t="n">
        <v>0</v>
      </c>
      <c r="R499" s="2" t="inlineStr"/>
    </row>
    <row r="500" ht="15" customHeight="1">
      <c r="A500" t="inlineStr">
        <is>
          <t>A 53379-2020</t>
        </is>
      </c>
      <c r="B500" s="1" t="n">
        <v>44123</v>
      </c>
      <c r="C500" s="1" t="n">
        <v>45340</v>
      </c>
      <c r="D500" t="inlineStr">
        <is>
          <t>UPPSALA LÄN</t>
        </is>
      </c>
      <c r="E500" t="inlineStr">
        <is>
          <t>UPPSALA</t>
        </is>
      </c>
      <c r="G500" t="n">
        <v>2.6</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45340</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55220-2020</t>
        </is>
      </c>
      <c r="B502" s="1" t="n">
        <v>44130</v>
      </c>
      <c r="C502" s="1" t="n">
        <v>45340</v>
      </c>
      <c r="D502" t="inlineStr">
        <is>
          <t>UPPSALA LÄN</t>
        </is>
      </c>
      <c r="E502" t="inlineStr">
        <is>
          <t>UPPSALA</t>
        </is>
      </c>
      <c r="G502" t="n">
        <v>2.8</v>
      </c>
      <c r="H502" t="n">
        <v>0</v>
      </c>
      <c r="I502" t="n">
        <v>0</v>
      </c>
      <c r="J502" t="n">
        <v>0</v>
      </c>
      <c r="K502" t="n">
        <v>0</v>
      </c>
      <c r="L502" t="n">
        <v>0</v>
      </c>
      <c r="M502" t="n">
        <v>0</v>
      </c>
      <c r="N502" t="n">
        <v>0</v>
      </c>
      <c r="O502" t="n">
        <v>0</v>
      </c>
      <c r="P502" t="n">
        <v>0</v>
      </c>
      <c r="Q502" t="n">
        <v>0</v>
      </c>
      <c r="R502" s="2" t="inlineStr"/>
    </row>
    <row r="503" ht="15" customHeight="1">
      <c r="A503" t="inlineStr">
        <is>
          <t>A 55953-2020</t>
        </is>
      </c>
      <c r="B503" s="1" t="n">
        <v>44131</v>
      </c>
      <c r="C503" s="1" t="n">
        <v>45340</v>
      </c>
      <c r="D503" t="inlineStr">
        <is>
          <t>UPPSALA LÄN</t>
        </is>
      </c>
      <c r="E503" t="inlineStr">
        <is>
          <t>UPPSALA</t>
        </is>
      </c>
      <c r="F503" t="inlineStr">
        <is>
          <t>Allmännings- och besparingsskogar</t>
        </is>
      </c>
      <c r="G503" t="n">
        <v>74.40000000000001</v>
      </c>
      <c r="H503" t="n">
        <v>0</v>
      </c>
      <c r="I503" t="n">
        <v>0</v>
      </c>
      <c r="J503" t="n">
        <v>0</v>
      </c>
      <c r="K503" t="n">
        <v>0</v>
      </c>
      <c r="L503" t="n">
        <v>0</v>
      </c>
      <c r="M503" t="n">
        <v>0</v>
      </c>
      <c r="N503" t="n">
        <v>0</v>
      </c>
      <c r="O503" t="n">
        <v>0</v>
      </c>
      <c r="P503" t="n">
        <v>0</v>
      </c>
      <c r="Q503" t="n">
        <v>0</v>
      </c>
      <c r="R503" s="2" t="inlineStr"/>
    </row>
    <row r="504" ht="15" customHeight="1">
      <c r="A504" t="inlineStr">
        <is>
          <t>A 56097-2020</t>
        </is>
      </c>
      <c r="B504" s="1" t="n">
        <v>44131</v>
      </c>
      <c r="C504" s="1" t="n">
        <v>45340</v>
      </c>
      <c r="D504" t="inlineStr">
        <is>
          <t>UPPSALA LÄN</t>
        </is>
      </c>
      <c r="E504" t="inlineStr">
        <is>
          <t>UPPSALA</t>
        </is>
      </c>
      <c r="F504" t="inlineStr">
        <is>
          <t>Allmännings- och besparingsskogar</t>
        </is>
      </c>
      <c r="G504" t="n">
        <v>10.6</v>
      </c>
      <c r="H504" t="n">
        <v>0</v>
      </c>
      <c r="I504" t="n">
        <v>0</v>
      </c>
      <c r="J504" t="n">
        <v>0</v>
      </c>
      <c r="K504" t="n">
        <v>0</v>
      </c>
      <c r="L504" t="n">
        <v>0</v>
      </c>
      <c r="M504" t="n">
        <v>0</v>
      </c>
      <c r="N504" t="n">
        <v>0</v>
      </c>
      <c r="O504" t="n">
        <v>0</v>
      </c>
      <c r="P504" t="n">
        <v>0</v>
      </c>
      <c r="Q504" t="n">
        <v>0</v>
      </c>
      <c r="R504" s="2" t="inlineStr"/>
    </row>
    <row r="505" ht="15" customHeight="1">
      <c r="A505" t="inlineStr">
        <is>
          <t>A 56466-2020</t>
        </is>
      </c>
      <c r="B505" s="1" t="n">
        <v>44134</v>
      </c>
      <c r="C505" s="1" t="n">
        <v>45340</v>
      </c>
      <c r="D505" t="inlineStr">
        <is>
          <t>UPPSALA LÄN</t>
        </is>
      </c>
      <c r="E505" t="inlineStr">
        <is>
          <t>UPPSALA</t>
        </is>
      </c>
      <c r="F505" t="inlineStr">
        <is>
          <t>Övriga Aktiebolag</t>
        </is>
      </c>
      <c r="G505" t="n">
        <v>3.3</v>
      </c>
      <c r="H505" t="n">
        <v>0</v>
      </c>
      <c r="I505" t="n">
        <v>0</v>
      </c>
      <c r="J505" t="n">
        <v>0</v>
      </c>
      <c r="K505" t="n">
        <v>0</v>
      </c>
      <c r="L505" t="n">
        <v>0</v>
      </c>
      <c r="M505" t="n">
        <v>0</v>
      </c>
      <c r="N505" t="n">
        <v>0</v>
      </c>
      <c r="O505" t="n">
        <v>0</v>
      </c>
      <c r="P505" t="n">
        <v>0</v>
      </c>
      <c r="Q505" t="n">
        <v>0</v>
      </c>
      <c r="R505" s="2" t="inlineStr"/>
    </row>
    <row r="506" ht="15" customHeight="1">
      <c r="A506" t="inlineStr">
        <is>
          <t>A 57041-2020</t>
        </is>
      </c>
      <c r="B506" s="1" t="n">
        <v>44137</v>
      </c>
      <c r="C506" s="1" t="n">
        <v>45340</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57271-2020</t>
        </is>
      </c>
      <c r="B507" s="1" t="n">
        <v>44139</v>
      </c>
      <c r="C507" s="1" t="n">
        <v>45340</v>
      </c>
      <c r="D507" t="inlineStr">
        <is>
          <t>UPPSALA LÄN</t>
        </is>
      </c>
      <c r="E507" t="inlineStr">
        <is>
          <t>UPPSALA</t>
        </is>
      </c>
      <c r="G507" t="n">
        <v>3.8</v>
      </c>
      <c r="H507" t="n">
        <v>0</v>
      </c>
      <c r="I507" t="n">
        <v>0</v>
      </c>
      <c r="J507" t="n">
        <v>0</v>
      </c>
      <c r="K507" t="n">
        <v>0</v>
      </c>
      <c r="L507" t="n">
        <v>0</v>
      </c>
      <c r="M507" t="n">
        <v>0</v>
      </c>
      <c r="N507" t="n">
        <v>0</v>
      </c>
      <c r="O507" t="n">
        <v>0</v>
      </c>
      <c r="P507" t="n">
        <v>0</v>
      </c>
      <c r="Q507" t="n">
        <v>0</v>
      </c>
      <c r="R507" s="2" t="inlineStr"/>
    </row>
    <row r="508" ht="15" customHeight="1">
      <c r="A508" t="inlineStr">
        <is>
          <t>A 57451-2020</t>
        </is>
      </c>
      <c r="B508" s="1" t="n">
        <v>44139</v>
      </c>
      <c r="C508" s="1" t="n">
        <v>45340</v>
      </c>
      <c r="D508" t="inlineStr">
        <is>
          <t>UPPSALA LÄN</t>
        </is>
      </c>
      <c r="E508" t="inlineStr">
        <is>
          <t>UPPSALA</t>
        </is>
      </c>
      <c r="G508" t="n">
        <v>1.5</v>
      </c>
      <c r="H508" t="n">
        <v>0</v>
      </c>
      <c r="I508" t="n">
        <v>0</v>
      </c>
      <c r="J508" t="n">
        <v>0</v>
      </c>
      <c r="K508" t="n">
        <v>0</v>
      </c>
      <c r="L508" t="n">
        <v>0</v>
      </c>
      <c r="M508" t="n">
        <v>0</v>
      </c>
      <c r="N508" t="n">
        <v>0</v>
      </c>
      <c r="O508" t="n">
        <v>0</v>
      </c>
      <c r="P508" t="n">
        <v>0</v>
      </c>
      <c r="Q508" t="n">
        <v>0</v>
      </c>
      <c r="R508" s="2" t="inlineStr"/>
    </row>
    <row r="509" ht="15" customHeight="1">
      <c r="A509" t="inlineStr">
        <is>
          <t>A 57466-2020</t>
        </is>
      </c>
      <c r="B509" s="1" t="n">
        <v>44139</v>
      </c>
      <c r="C509" s="1" t="n">
        <v>45340</v>
      </c>
      <c r="D509" t="inlineStr">
        <is>
          <t>UPPSALA LÄN</t>
        </is>
      </c>
      <c r="E509" t="inlineStr">
        <is>
          <t>UPPSALA</t>
        </is>
      </c>
      <c r="G509" t="n">
        <v>2.5</v>
      </c>
      <c r="H509" t="n">
        <v>0</v>
      </c>
      <c r="I509" t="n">
        <v>0</v>
      </c>
      <c r="J509" t="n">
        <v>0</v>
      </c>
      <c r="K509" t="n">
        <v>0</v>
      </c>
      <c r="L509" t="n">
        <v>0</v>
      </c>
      <c r="M509" t="n">
        <v>0</v>
      </c>
      <c r="N509" t="n">
        <v>0</v>
      </c>
      <c r="O509" t="n">
        <v>0</v>
      </c>
      <c r="P509" t="n">
        <v>0</v>
      </c>
      <c r="Q509" t="n">
        <v>0</v>
      </c>
      <c r="R509" s="2" t="inlineStr"/>
    </row>
    <row r="510" ht="15" customHeight="1">
      <c r="A510" t="inlineStr">
        <is>
          <t>A 58070-2020</t>
        </is>
      </c>
      <c r="B510" s="1" t="n">
        <v>44140</v>
      </c>
      <c r="C510" s="1" t="n">
        <v>45340</v>
      </c>
      <c r="D510" t="inlineStr">
        <is>
          <t>UPPSALA LÄN</t>
        </is>
      </c>
      <c r="E510" t="inlineStr">
        <is>
          <t>UPPSALA</t>
        </is>
      </c>
      <c r="G510" t="n">
        <v>4</v>
      </c>
      <c r="H510" t="n">
        <v>0</v>
      </c>
      <c r="I510" t="n">
        <v>0</v>
      </c>
      <c r="J510" t="n">
        <v>0</v>
      </c>
      <c r="K510" t="n">
        <v>0</v>
      </c>
      <c r="L510" t="n">
        <v>0</v>
      </c>
      <c r="M510" t="n">
        <v>0</v>
      </c>
      <c r="N510" t="n">
        <v>0</v>
      </c>
      <c r="O510" t="n">
        <v>0</v>
      </c>
      <c r="P510" t="n">
        <v>0</v>
      </c>
      <c r="Q510" t="n">
        <v>0</v>
      </c>
      <c r="R510" s="2" t="inlineStr"/>
    </row>
    <row r="511" ht="15" customHeight="1">
      <c r="A511" t="inlineStr">
        <is>
          <t>A 58058-2020</t>
        </is>
      </c>
      <c r="B511" s="1" t="n">
        <v>44144</v>
      </c>
      <c r="C511" s="1" t="n">
        <v>45340</v>
      </c>
      <c r="D511" t="inlineStr">
        <is>
          <t>UPPSALA LÄN</t>
        </is>
      </c>
      <c r="E511" t="inlineStr">
        <is>
          <t>UPPSALA</t>
        </is>
      </c>
      <c r="G511" t="n">
        <v>4.4</v>
      </c>
      <c r="H511" t="n">
        <v>0</v>
      </c>
      <c r="I511" t="n">
        <v>0</v>
      </c>
      <c r="J511" t="n">
        <v>0</v>
      </c>
      <c r="K511" t="n">
        <v>0</v>
      </c>
      <c r="L511" t="n">
        <v>0</v>
      </c>
      <c r="M511" t="n">
        <v>0</v>
      </c>
      <c r="N511" t="n">
        <v>0</v>
      </c>
      <c r="O511" t="n">
        <v>0</v>
      </c>
      <c r="P511" t="n">
        <v>0</v>
      </c>
      <c r="Q511" t="n">
        <v>0</v>
      </c>
      <c r="R511" s="2" t="inlineStr"/>
    </row>
    <row r="512" ht="15" customHeight="1">
      <c r="A512" t="inlineStr">
        <is>
          <t>A 58056-2020</t>
        </is>
      </c>
      <c r="B512" s="1" t="n">
        <v>44144</v>
      </c>
      <c r="C512" s="1" t="n">
        <v>45340</v>
      </c>
      <c r="D512" t="inlineStr">
        <is>
          <t>UPPSALA LÄN</t>
        </is>
      </c>
      <c r="E512" t="inlineStr">
        <is>
          <t>UPPSALA</t>
        </is>
      </c>
      <c r="G512" t="n">
        <v>5.5</v>
      </c>
      <c r="H512" t="n">
        <v>0</v>
      </c>
      <c r="I512" t="n">
        <v>0</v>
      </c>
      <c r="J512" t="n">
        <v>0</v>
      </c>
      <c r="K512" t="n">
        <v>0</v>
      </c>
      <c r="L512" t="n">
        <v>0</v>
      </c>
      <c r="M512" t="n">
        <v>0</v>
      </c>
      <c r="N512" t="n">
        <v>0</v>
      </c>
      <c r="O512" t="n">
        <v>0</v>
      </c>
      <c r="P512" t="n">
        <v>0</v>
      </c>
      <c r="Q512" t="n">
        <v>0</v>
      </c>
      <c r="R512" s="2" t="inlineStr"/>
    </row>
    <row r="513" ht="15" customHeight="1">
      <c r="A513" t="inlineStr">
        <is>
          <t>A 58288-2020</t>
        </is>
      </c>
      <c r="B513" s="1" t="n">
        <v>44144</v>
      </c>
      <c r="C513" s="1" t="n">
        <v>45340</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58928-2020</t>
        </is>
      </c>
      <c r="B514" s="1" t="n">
        <v>44146</v>
      </c>
      <c r="C514" s="1" t="n">
        <v>45340</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59952-2020</t>
        </is>
      </c>
      <c r="B515" s="1" t="n">
        <v>44151</v>
      </c>
      <c r="C515" s="1" t="n">
        <v>45340</v>
      </c>
      <c r="D515" t="inlineStr">
        <is>
          <t>UPPSALA LÄN</t>
        </is>
      </c>
      <c r="E515" t="inlineStr">
        <is>
          <t>UPPSALA</t>
        </is>
      </c>
      <c r="G515" t="n">
        <v>25.8</v>
      </c>
      <c r="H515" t="n">
        <v>0</v>
      </c>
      <c r="I515" t="n">
        <v>0</v>
      </c>
      <c r="J515" t="n">
        <v>0</v>
      </c>
      <c r="K515" t="n">
        <v>0</v>
      </c>
      <c r="L515" t="n">
        <v>0</v>
      </c>
      <c r="M515" t="n">
        <v>0</v>
      </c>
      <c r="N515" t="n">
        <v>0</v>
      </c>
      <c r="O515" t="n">
        <v>0</v>
      </c>
      <c r="P515" t="n">
        <v>0</v>
      </c>
      <c r="Q515" t="n">
        <v>0</v>
      </c>
      <c r="R515" s="2" t="inlineStr"/>
    </row>
    <row r="516" ht="15" customHeight="1">
      <c r="A516" t="inlineStr">
        <is>
          <t>A 60702-2020</t>
        </is>
      </c>
      <c r="B516" s="1" t="n">
        <v>44153</v>
      </c>
      <c r="C516" s="1" t="n">
        <v>45340</v>
      </c>
      <c r="D516" t="inlineStr">
        <is>
          <t>UPPSALA LÄN</t>
        </is>
      </c>
      <c r="E516" t="inlineStr">
        <is>
          <t>UPPSALA</t>
        </is>
      </c>
      <c r="F516" t="inlineStr">
        <is>
          <t>Övriga statliga verk och myndigheter</t>
        </is>
      </c>
      <c r="G516" t="n">
        <v>1.4</v>
      </c>
      <c r="H516" t="n">
        <v>0</v>
      </c>
      <c r="I516" t="n">
        <v>0</v>
      </c>
      <c r="J516" t="n">
        <v>0</v>
      </c>
      <c r="K516" t="n">
        <v>0</v>
      </c>
      <c r="L516" t="n">
        <v>0</v>
      </c>
      <c r="M516" t="n">
        <v>0</v>
      </c>
      <c r="N516" t="n">
        <v>0</v>
      </c>
      <c r="O516" t="n">
        <v>0</v>
      </c>
      <c r="P516" t="n">
        <v>0</v>
      </c>
      <c r="Q516" t="n">
        <v>0</v>
      </c>
      <c r="R516" s="2" t="inlineStr"/>
    </row>
    <row r="517" ht="15" customHeight="1">
      <c r="A517" t="inlineStr">
        <is>
          <t>A 61265-2020</t>
        </is>
      </c>
      <c r="B517" s="1" t="n">
        <v>44155</v>
      </c>
      <c r="C517" s="1" t="n">
        <v>45340</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61271-2020</t>
        </is>
      </c>
      <c r="B518" s="1" t="n">
        <v>44155</v>
      </c>
      <c r="C518" s="1" t="n">
        <v>45340</v>
      </c>
      <c r="D518" t="inlineStr">
        <is>
          <t>UPPSALA LÄN</t>
        </is>
      </c>
      <c r="E518" t="inlineStr">
        <is>
          <t>UPPSALA</t>
        </is>
      </c>
      <c r="G518" t="n">
        <v>3.5</v>
      </c>
      <c r="H518" t="n">
        <v>0</v>
      </c>
      <c r="I518" t="n">
        <v>0</v>
      </c>
      <c r="J518" t="n">
        <v>0</v>
      </c>
      <c r="K518" t="n">
        <v>0</v>
      </c>
      <c r="L518" t="n">
        <v>0</v>
      </c>
      <c r="M518" t="n">
        <v>0</v>
      </c>
      <c r="N518" t="n">
        <v>0</v>
      </c>
      <c r="O518" t="n">
        <v>0</v>
      </c>
      <c r="P518" t="n">
        <v>0</v>
      </c>
      <c r="Q518" t="n">
        <v>0</v>
      </c>
      <c r="R518" s="2" t="inlineStr"/>
    </row>
    <row r="519" ht="15" customHeight="1">
      <c r="A519" t="inlineStr">
        <is>
          <t>A 62094-2020</t>
        </is>
      </c>
      <c r="B519" s="1" t="n">
        <v>44159</v>
      </c>
      <c r="C519" s="1" t="n">
        <v>45340</v>
      </c>
      <c r="D519" t="inlineStr">
        <is>
          <t>UPPSALA LÄN</t>
        </is>
      </c>
      <c r="E519" t="inlineStr">
        <is>
          <t>UPPSALA</t>
        </is>
      </c>
      <c r="F519" t="inlineStr">
        <is>
          <t>Bergvik skog öst AB</t>
        </is>
      </c>
      <c r="G519" t="n">
        <v>3.4</v>
      </c>
      <c r="H519" t="n">
        <v>0</v>
      </c>
      <c r="I519" t="n">
        <v>0</v>
      </c>
      <c r="J519" t="n">
        <v>0</v>
      </c>
      <c r="K519" t="n">
        <v>0</v>
      </c>
      <c r="L519" t="n">
        <v>0</v>
      </c>
      <c r="M519" t="n">
        <v>0</v>
      </c>
      <c r="N519" t="n">
        <v>0</v>
      </c>
      <c r="O519" t="n">
        <v>0</v>
      </c>
      <c r="P519" t="n">
        <v>0</v>
      </c>
      <c r="Q519" t="n">
        <v>0</v>
      </c>
      <c r="R519" s="2" t="inlineStr"/>
    </row>
    <row r="520" ht="15" customHeight="1">
      <c r="A520" t="inlineStr">
        <is>
          <t>A 62352-2020</t>
        </is>
      </c>
      <c r="B520" s="1" t="n">
        <v>44159</v>
      </c>
      <c r="C520" s="1" t="n">
        <v>45340</v>
      </c>
      <c r="D520" t="inlineStr">
        <is>
          <t>UPPSALA LÄN</t>
        </is>
      </c>
      <c r="E520" t="inlineStr">
        <is>
          <t>UPPSALA</t>
        </is>
      </c>
      <c r="F520" t="inlineStr">
        <is>
          <t>Allmännings- och besparingsskogar</t>
        </is>
      </c>
      <c r="G520" t="n">
        <v>12.9</v>
      </c>
      <c r="H520" t="n">
        <v>0</v>
      </c>
      <c r="I520" t="n">
        <v>0</v>
      </c>
      <c r="J520" t="n">
        <v>0</v>
      </c>
      <c r="K520" t="n">
        <v>0</v>
      </c>
      <c r="L520" t="n">
        <v>0</v>
      </c>
      <c r="M520" t="n">
        <v>0</v>
      </c>
      <c r="N520" t="n">
        <v>0</v>
      </c>
      <c r="O520" t="n">
        <v>0</v>
      </c>
      <c r="P520" t="n">
        <v>0</v>
      </c>
      <c r="Q520" t="n">
        <v>0</v>
      </c>
      <c r="R520" s="2" t="inlineStr"/>
    </row>
    <row r="521" ht="15" customHeight="1">
      <c r="A521" t="inlineStr">
        <is>
          <t>A 62504-2020</t>
        </is>
      </c>
      <c r="B521" s="1" t="n">
        <v>44160</v>
      </c>
      <c r="C521" s="1" t="n">
        <v>45340</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62729-2020</t>
        </is>
      </c>
      <c r="B522" s="1" t="n">
        <v>44161</v>
      </c>
      <c r="C522" s="1" t="n">
        <v>45340</v>
      </c>
      <c r="D522" t="inlineStr">
        <is>
          <t>UPPSALA LÄN</t>
        </is>
      </c>
      <c r="E522" t="inlineStr">
        <is>
          <t>UPPSALA</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62655-2020</t>
        </is>
      </c>
      <c r="B523" s="1" t="n">
        <v>44161</v>
      </c>
      <c r="C523" s="1" t="n">
        <v>45340</v>
      </c>
      <c r="D523" t="inlineStr">
        <is>
          <t>UPPSALA LÄN</t>
        </is>
      </c>
      <c r="E523" t="inlineStr">
        <is>
          <t>UPPSALA</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63145-2020</t>
        </is>
      </c>
      <c r="B524" s="1" t="n">
        <v>44162</v>
      </c>
      <c r="C524" s="1" t="n">
        <v>45340</v>
      </c>
      <c r="D524" t="inlineStr">
        <is>
          <t>UPPSALA LÄN</t>
        </is>
      </c>
      <c r="E524" t="inlineStr">
        <is>
          <t>UPPSALA</t>
        </is>
      </c>
      <c r="G524" t="n">
        <v>2.6</v>
      </c>
      <c r="H524" t="n">
        <v>0</v>
      </c>
      <c r="I524" t="n">
        <v>0</v>
      </c>
      <c r="J524" t="n">
        <v>0</v>
      </c>
      <c r="K524" t="n">
        <v>0</v>
      </c>
      <c r="L524" t="n">
        <v>0</v>
      </c>
      <c r="M524" t="n">
        <v>0</v>
      </c>
      <c r="N524" t="n">
        <v>0</v>
      </c>
      <c r="O524" t="n">
        <v>0</v>
      </c>
      <c r="P524" t="n">
        <v>0</v>
      </c>
      <c r="Q524" t="n">
        <v>0</v>
      </c>
      <c r="R524" s="2" t="inlineStr"/>
    </row>
    <row r="525" ht="15" customHeight="1">
      <c r="A525" t="inlineStr">
        <is>
          <t>A 63529-2020</t>
        </is>
      </c>
      <c r="B525" s="1" t="n">
        <v>44165</v>
      </c>
      <c r="C525" s="1" t="n">
        <v>45340</v>
      </c>
      <c r="D525" t="inlineStr">
        <is>
          <t>UPPSALA LÄN</t>
        </is>
      </c>
      <c r="E525" t="inlineStr">
        <is>
          <t>UPPSALA</t>
        </is>
      </c>
      <c r="F525" t="inlineStr">
        <is>
          <t>Övriga statliga verk och myndigheter</t>
        </is>
      </c>
      <c r="G525" t="n">
        <v>2.4</v>
      </c>
      <c r="H525" t="n">
        <v>0</v>
      </c>
      <c r="I525" t="n">
        <v>0</v>
      </c>
      <c r="J525" t="n">
        <v>0</v>
      </c>
      <c r="K525" t="n">
        <v>0</v>
      </c>
      <c r="L525" t="n">
        <v>0</v>
      </c>
      <c r="M525" t="n">
        <v>0</v>
      </c>
      <c r="N525" t="n">
        <v>0</v>
      </c>
      <c r="O525" t="n">
        <v>0</v>
      </c>
      <c r="P525" t="n">
        <v>0</v>
      </c>
      <c r="Q525" t="n">
        <v>0</v>
      </c>
      <c r="R525" s="2" t="inlineStr"/>
    </row>
    <row r="526" ht="15" customHeight="1">
      <c r="A526" t="inlineStr">
        <is>
          <t>A 63749-2020</t>
        </is>
      </c>
      <c r="B526" s="1" t="n">
        <v>44166</v>
      </c>
      <c r="C526" s="1" t="n">
        <v>45340</v>
      </c>
      <c r="D526" t="inlineStr">
        <is>
          <t>UPPSALA LÄN</t>
        </is>
      </c>
      <c r="E526" t="inlineStr">
        <is>
          <t>UPPSALA</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64128-2020</t>
        </is>
      </c>
      <c r="B527" s="1" t="n">
        <v>44167</v>
      </c>
      <c r="C527" s="1" t="n">
        <v>45340</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64353-2020</t>
        </is>
      </c>
      <c r="B528" s="1" t="n">
        <v>44168</v>
      </c>
      <c r="C528" s="1" t="n">
        <v>45340</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64333-2020</t>
        </is>
      </c>
      <c r="B529" s="1" t="n">
        <v>44168</v>
      </c>
      <c r="C529" s="1" t="n">
        <v>45340</v>
      </c>
      <c r="D529" t="inlineStr">
        <is>
          <t>UPPSALA LÄN</t>
        </is>
      </c>
      <c r="E529" t="inlineStr">
        <is>
          <t>UPPSALA</t>
        </is>
      </c>
      <c r="G529" t="n">
        <v>7.1</v>
      </c>
      <c r="H529" t="n">
        <v>0</v>
      </c>
      <c r="I529" t="n">
        <v>0</v>
      </c>
      <c r="J529" t="n">
        <v>0</v>
      </c>
      <c r="K529" t="n">
        <v>0</v>
      </c>
      <c r="L529" t="n">
        <v>0</v>
      </c>
      <c r="M529" t="n">
        <v>0</v>
      </c>
      <c r="N529" t="n">
        <v>0</v>
      </c>
      <c r="O529" t="n">
        <v>0</v>
      </c>
      <c r="P529" t="n">
        <v>0</v>
      </c>
      <c r="Q529" t="n">
        <v>0</v>
      </c>
      <c r="R529" s="2" t="inlineStr"/>
    </row>
    <row r="530" ht="15" customHeight="1">
      <c r="A530" t="inlineStr">
        <is>
          <t>A 66984-2020</t>
        </is>
      </c>
      <c r="B530" s="1" t="n">
        <v>44180</v>
      </c>
      <c r="C530" s="1" t="n">
        <v>45340</v>
      </c>
      <c r="D530" t="inlineStr">
        <is>
          <t>UPPSALA LÄN</t>
        </is>
      </c>
      <c r="E530" t="inlineStr">
        <is>
          <t>UPPSALA</t>
        </is>
      </c>
      <c r="F530" t="inlineStr">
        <is>
          <t>Övriga statliga verk och myndigheter</t>
        </is>
      </c>
      <c r="G530" t="n">
        <v>2.1</v>
      </c>
      <c r="H530" t="n">
        <v>0</v>
      </c>
      <c r="I530" t="n">
        <v>0</v>
      </c>
      <c r="J530" t="n">
        <v>0</v>
      </c>
      <c r="K530" t="n">
        <v>0</v>
      </c>
      <c r="L530" t="n">
        <v>0</v>
      </c>
      <c r="M530" t="n">
        <v>0</v>
      </c>
      <c r="N530" t="n">
        <v>0</v>
      </c>
      <c r="O530" t="n">
        <v>0</v>
      </c>
      <c r="P530" t="n">
        <v>0</v>
      </c>
      <c r="Q530" t="n">
        <v>0</v>
      </c>
      <c r="R530" s="2" t="inlineStr"/>
    </row>
    <row r="531" ht="15" customHeight="1">
      <c r="A531" t="inlineStr">
        <is>
          <t>A 265-2021</t>
        </is>
      </c>
      <c r="B531" s="1" t="n">
        <v>44200</v>
      </c>
      <c r="C531" s="1" t="n">
        <v>45340</v>
      </c>
      <c r="D531" t="inlineStr">
        <is>
          <t>UPPSALA LÄN</t>
        </is>
      </c>
      <c r="E531" t="inlineStr">
        <is>
          <t>UPPSALA</t>
        </is>
      </c>
      <c r="G531" t="n">
        <v>3.1</v>
      </c>
      <c r="H531" t="n">
        <v>0</v>
      </c>
      <c r="I531" t="n">
        <v>0</v>
      </c>
      <c r="J531" t="n">
        <v>0</v>
      </c>
      <c r="K531" t="n">
        <v>0</v>
      </c>
      <c r="L531" t="n">
        <v>0</v>
      </c>
      <c r="M531" t="n">
        <v>0</v>
      </c>
      <c r="N531" t="n">
        <v>0</v>
      </c>
      <c r="O531" t="n">
        <v>0</v>
      </c>
      <c r="P531" t="n">
        <v>0</v>
      </c>
      <c r="Q531" t="n">
        <v>0</v>
      </c>
      <c r="R531" s="2" t="inlineStr"/>
    </row>
    <row r="532" ht="15" customHeight="1">
      <c r="A532" t="inlineStr">
        <is>
          <t>A 1020-2021</t>
        </is>
      </c>
      <c r="B532" s="1" t="n">
        <v>44207</v>
      </c>
      <c r="C532" s="1" t="n">
        <v>45340</v>
      </c>
      <c r="D532" t="inlineStr">
        <is>
          <t>UPPSALA LÄN</t>
        </is>
      </c>
      <c r="E532" t="inlineStr">
        <is>
          <t>UPPSALA</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45340</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1617-2021</t>
        </is>
      </c>
      <c r="B534" s="1" t="n">
        <v>44209</v>
      </c>
      <c r="C534" s="1" t="n">
        <v>45340</v>
      </c>
      <c r="D534" t="inlineStr">
        <is>
          <t>UPPSALA LÄN</t>
        </is>
      </c>
      <c r="E534" t="inlineStr">
        <is>
          <t>UPPSALA</t>
        </is>
      </c>
      <c r="G534" t="n">
        <v>2.5</v>
      </c>
      <c r="H534" t="n">
        <v>0</v>
      </c>
      <c r="I534" t="n">
        <v>0</v>
      </c>
      <c r="J534" t="n">
        <v>0</v>
      </c>
      <c r="K534" t="n">
        <v>0</v>
      </c>
      <c r="L534" t="n">
        <v>0</v>
      </c>
      <c r="M534" t="n">
        <v>0</v>
      </c>
      <c r="N534" t="n">
        <v>0</v>
      </c>
      <c r="O534" t="n">
        <v>0</v>
      </c>
      <c r="P534" t="n">
        <v>0</v>
      </c>
      <c r="Q534" t="n">
        <v>0</v>
      </c>
      <c r="R534" s="2" t="inlineStr"/>
    </row>
    <row r="535" ht="15" customHeight="1">
      <c r="A535" t="inlineStr">
        <is>
          <t>A 1855-2021</t>
        </is>
      </c>
      <c r="B535" s="1" t="n">
        <v>44210</v>
      </c>
      <c r="C535" s="1" t="n">
        <v>45340</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2169-2021</t>
        </is>
      </c>
      <c r="B536" s="1" t="n">
        <v>44211</v>
      </c>
      <c r="C536" s="1" t="n">
        <v>45340</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3864-2021</t>
        </is>
      </c>
      <c r="B537" s="1" t="n">
        <v>44216</v>
      </c>
      <c r="C537" s="1" t="n">
        <v>45340</v>
      </c>
      <c r="D537" t="inlineStr">
        <is>
          <t>UPPSALA LÄN</t>
        </is>
      </c>
      <c r="E537" t="inlineStr">
        <is>
          <t>UPPSALA</t>
        </is>
      </c>
      <c r="G537" t="n">
        <v>2.9</v>
      </c>
      <c r="H537" t="n">
        <v>0</v>
      </c>
      <c r="I537" t="n">
        <v>0</v>
      </c>
      <c r="J537" t="n">
        <v>0</v>
      </c>
      <c r="K537" t="n">
        <v>0</v>
      </c>
      <c r="L537" t="n">
        <v>0</v>
      </c>
      <c r="M537" t="n">
        <v>0</v>
      </c>
      <c r="N537" t="n">
        <v>0</v>
      </c>
      <c r="O537" t="n">
        <v>0</v>
      </c>
      <c r="P537" t="n">
        <v>0</v>
      </c>
      <c r="Q537" t="n">
        <v>0</v>
      </c>
      <c r="R537" s="2" t="inlineStr"/>
    </row>
    <row r="538" ht="15" customHeight="1">
      <c r="A538" t="inlineStr">
        <is>
          <t>A 3874-2021</t>
        </is>
      </c>
      <c r="B538" s="1" t="n">
        <v>44216</v>
      </c>
      <c r="C538" s="1" t="n">
        <v>45340</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3955-2021</t>
        </is>
      </c>
      <c r="B539" s="1" t="n">
        <v>44222</v>
      </c>
      <c r="C539" s="1" t="n">
        <v>45340</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4875-2021</t>
        </is>
      </c>
      <c r="B540" s="1" t="n">
        <v>44223</v>
      </c>
      <c r="C540" s="1" t="n">
        <v>45340</v>
      </c>
      <c r="D540" t="inlineStr">
        <is>
          <t>UPPSALA LÄN</t>
        </is>
      </c>
      <c r="E540" t="inlineStr">
        <is>
          <t>UPPSALA</t>
        </is>
      </c>
      <c r="G540" t="n">
        <v>0.4</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45340</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8114-2021</t>
        </is>
      </c>
      <c r="B542" s="1" t="n">
        <v>44243</v>
      </c>
      <c r="C542" s="1" t="n">
        <v>45340</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8494-2021</t>
        </is>
      </c>
      <c r="B543" s="1" t="n">
        <v>44245</v>
      </c>
      <c r="C543" s="1" t="n">
        <v>45340</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9700-2021</t>
        </is>
      </c>
      <c r="B544" s="1" t="n">
        <v>44252</v>
      </c>
      <c r="C544" s="1" t="n">
        <v>45340</v>
      </c>
      <c r="D544" t="inlineStr">
        <is>
          <t>UPPSALA LÄN</t>
        </is>
      </c>
      <c r="E544" t="inlineStr">
        <is>
          <t>UPPSALA</t>
        </is>
      </c>
      <c r="G544" t="n">
        <v>3.3</v>
      </c>
      <c r="H544" t="n">
        <v>0</v>
      </c>
      <c r="I544" t="n">
        <v>0</v>
      </c>
      <c r="J544" t="n">
        <v>0</v>
      </c>
      <c r="K544" t="n">
        <v>0</v>
      </c>
      <c r="L544" t="n">
        <v>0</v>
      </c>
      <c r="M544" t="n">
        <v>0</v>
      </c>
      <c r="N544" t="n">
        <v>0</v>
      </c>
      <c r="O544" t="n">
        <v>0</v>
      </c>
      <c r="P544" t="n">
        <v>0</v>
      </c>
      <c r="Q544" t="n">
        <v>0</v>
      </c>
      <c r="R544" s="2" t="inlineStr"/>
    </row>
    <row r="545" ht="15" customHeight="1">
      <c r="A545" t="inlineStr">
        <is>
          <t>A 9712-2021</t>
        </is>
      </c>
      <c r="B545" s="1" t="n">
        <v>44252</v>
      </c>
      <c r="C545" s="1" t="n">
        <v>45340</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12225-2021</t>
        </is>
      </c>
      <c r="B546" s="1" t="n">
        <v>44266</v>
      </c>
      <c r="C546" s="1" t="n">
        <v>45340</v>
      </c>
      <c r="D546" t="inlineStr">
        <is>
          <t>UPPSALA LÄN</t>
        </is>
      </c>
      <c r="E546" t="inlineStr">
        <is>
          <t>UPPSALA</t>
        </is>
      </c>
      <c r="F546" t="inlineStr">
        <is>
          <t>Bergvik skog öst AB</t>
        </is>
      </c>
      <c r="G546" t="n">
        <v>4.8</v>
      </c>
      <c r="H546" t="n">
        <v>0</v>
      </c>
      <c r="I546" t="n">
        <v>0</v>
      </c>
      <c r="J546" t="n">
        <v>0</v>
      </c>
      <c r="K546" t="n">
        <v>0</v>
      </c>
      <c r="L546" t="n">
        <v>0</v>
      </c>
      <c r="M546" t="n">
        <v>0</v>
      </c>
      <c r="N546" t="n">
        <v>0</v>
      </c>
      <c r="O546" t="n">
        <v>0</v>
      </c>
      <c r="P546" t="n">
        <v>0</v>
      </c>
      <c r="Q546" t="n">
        <v>0</v>
      </c>
      <c r="R546" s="2" t="inlineStr"/>
    </row>
    <row r="547" ht="15" customHeight="1">
      <c r="A547" t="inlineStr">
        <is>
          <t>A 12152-2021</t>
        </is>
      </c>
      <c r="B547" s="1" t="n">
        <v>44266</v>
      </c>
      <c r="C547" s="1" t="n">
        <v>45340</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12172-2021</t>
        </is>
      </c>
      <c r="B548" s="1" t="n">
        <v>44266</v>
      </c>
      <c r="C548" s="1" t="n">
        <v>45340</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12194-2021</t>
        </is>
      </c>
      <c r="B549" s="1" t="n">
        <v>44266</v>
      </c>
      <c r="C549" s="1" t="n">
        <v>45340</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12313-2021</t>
        </is>
      </c>
      <c r="B550" s="1" t="n">
        <v>44266</v>
      </c>
      <c r="C550" s="1" t="n">
        <v>45340</v>
      </c>
      <c r="D550" t="inlineStr">
        <is>
          <t>UPPSALA LÄN</t>
        </is>
      </c>
      <c r="E550" t="inlineStr">
        <is>
          <t>UPPSALA</t>
        </is>
      </c>
      <c r="G550" t="n">
        <v>23.6</v>
      </c>
      <c r="H550" t="n">
        <v>0</v>
      </c>
      <c r="I550" t="n">
        <v>0</v>
      </c>
      <c r="J550" t="n">
        <v>0</v>
      </c>
      <c r="K550" t="n">
        <v>0</v>
      </c>
      <c r="L550" t="n">
        <v>0</v>
      </c>
      <c r="M550" t="n">
        <v>0</v>
      </c>
      <c r="N550" t="n">
        <v>0</v>
      </c>
      <c r="O550" t="n">
        <v>0</v>
      </c>
      <c r="P550" t="n">
        <v>0</v>
      </c>
      <c r="Q550" t="n">
        <v>0</v>
      </c>
      <c r="R550" s="2" t="inlineStr"/>
    </row>
    <row r="551" ht="15" customHeight="1">
      <c r="A551" t="inlineStr">
        <is>
          <t>A 13010-2021</t>
        </is>
      </c>
      <c r="B551" s="1" t="n">
        <v>44271</v>
      </c>
      <c r="C551" s="1" t="n">
        <v>45340</v>
      </c>
      <c r="D551" t="inlineStr">
        <is>
          <t>UPPSALA LÄN</t>
        </is>
      </c>
      <c r="E551" t="inlineStr">
        <is>
          <t>UPPSALA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13420-2021</t>
        </is>
      </c>
      <c r="B552" s="1" t="n">
        <v>44273</v>
      </c>
      <c r="C552" s="1" t="n">
        <v>45340</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14026-2021</t>
        </is>
      </c>
      <c r="B553" s="1" t="n">
        <v>44277</v>
      </c>
      <c r="C553" s="1" t="n">
        <v>45340</v>
      </c>
      <c r="D553" t="inlineStr">
        <is>
          <t>UPPSALA LÄN</t>
        </is>
      </c>
      <c r="E553" t="inlineStr">
        <is>
          <t>UPPSALA</t>
        </is>
      </c>
      <c r="G553" t="n">
        <v>3.5</v>
      </c>
      <c r="H553" t="n">
        <v>0</v>
      </c>
      <c r="I553" t="n">
        <v>0</v>
      </c>
      <c r="J553" t="n">
        <v>0</v>
      </c>
      <c r="K553" t="n">
        <v>0</v>
      </c>
      <c r="L553" t="n">
        <v>0</v>
      </c>
      <c r="M553" t="n">
        <v>0</v>
      </c>
      <c r="N553" t="n">
        <v>0</v>
      </c>
      <c r="O553" t="n">
        <v>0</v>
      </c>
      <c r="P553" t="n">
        <v>0</v>
      </c>
      <c r="Q553" t="n">
        <v>0</v>
      </c>
      <c r="R553" s="2" t="inlineStr"/>
    </row>
    <row r="554" ht="15" customHeight="1">
      <c r="A554" t="inlineStr">
        <is>
          <t>A 14022-2021</t>
        </is>
      </c>
      <c r="B554" s="1" t="n">
        <v>44277</v>
      </c>
      <c r="C554" s="1" t="n">
        <v>45340</v>
      </c>
      <c r="D554" t="inlineStr">
        <is>
          <t>UPPSALA LÄN</t>
        </is>
      </c>
      <c r="E554" t="inlineStr">
        <is>
          <t>UPPSALA</t>
        </is>
      </c>
      <c r="G554" t="n">
        <v>11.1</v>
      </c>
      <c r="H554" t="n">
        <v>0</v>
      </c>
      <c r="I554" t="n">
        <v>0</v>
      </c>
      <c r="J554" t="n">
        <v>0</v>
      </c>
      <c r="K554" t="n">
        <v>0</v>
      </c>
      <c r="L554" t="n">
        <v>0</v>
      </c>
      <c r="M554" t="n">
        <v>0</v>
      </c>
      <c r="N554" t="n">
        <v>0</v>
      </c>
      <c r="O554" t="n">
        <v>0</v>
      </c>
      <c r="P554" t="n">
        <v>0</v>
      </c>
      <c r="Q554" t="n">
        <v>0</v>
      </c>
      <c r="R554" s="2" t="inlineStr"/>
    </row>
    <row r="555" ht="15" customHeight="1">
      <c r="A555" t="inlineStr">
        <is>
          <t>A 14341-2021</t>
        </is>
      </c>
      <c r="B555" s="1" t="n">
        <v>44279</v>
      </c>
      <c r="C555" s="1" t="n">
        <v>45340</v>
      </c>
      <c r="D555" t="inlineStr">
        <is>
          <t>UPPSALA LÄN</t>
        </is>
      </c>
      <c r="E555" t="inlineStr">
        <is>
          <t>UPPSALA</t>
        </is>
      </c>
      <c r="G555" t="n">
        <v>8.9</v>
      </c>
      <c r="H555" t="n">
        <v>0</v>
      </c>
      <c r="I555" t="n">
        <v>0</v>
      </c>
      <c r="J555" t="n">
        <v>0</v>
      </c>
      <c r="K555" t="n">
        <v>0</v>
      </c>
      <c r="L555" t="n">
        <v>0</v>
      </c>
      <c r="M555" t="n">
        <v>0</v>
      </c>
      <c r="N555" t="n">
        <v>0</v>
      </c>
      <c r="O555" t="n">
        <v>0</v>
      </c>
      <c r="P555" t="n">
        <v>0</v>
      </c>
      <c r="Q555" t="n">
        <v>0</v>
      </c>
      <c r="R555" s="2" t="inlineStr"/>
    </row>
    <row r="556" ht="15" customHeight="1">
      <c r="A556" t="inlineStr">
        <is>
          <t>A 14941-2021</t>
        </is>
      </c>
      <c r="B556" s="1" t="n">
        <v>44281</v>
      </c>
      <c r="C556" s="1" t="n">
        <v>45340</v>
      </c>
      <c r="D556" t="inlineStr">
        <is>
          <t>UPPSALA LÄN</t>
        </is>
      </c>
      <c r="E556" t="inlineStr">
        <is>
          <t>UPPSALA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15816-2021</t>
        </is>
      </c>
      <c r="B557" s="1" t="n">
        <v>44286</v>
      </c>
      <c r="C557" s="1" t="n">
        <v>45340</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15820-2021</t>
        </is>
      </c>
      <c r="B558" s="1" t="n">
        <v>44286</v>
      </c>
      <c r="C558" s="1" t="n">
        <v>45340</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16592-2021</t>
        </is>
      </c>
      <c r="B559" s="1" t="n">
        <v>44294</v>
      </c>
      <c r="C559" s="1" t="n">
        <v>45340</v>
      </c>
      <c r="D559" t="inlineStr">
        <is>
          <t>UPPSALA LÄN</t>
        </is>
      </c>
      <c r="E559" t="inlineStr">
        <is>
          <t>UPPSALA</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16615-2021</t>
        </is>
      </c>
      <c r="B560" s="1" t="n">
        <v>44294</v>
      </c>
      <c r="C560" s="1" t="n">
        <v>45340</v>
      </c>
      <c r="D560" t="inlineStr">
        <is>
          <t>UPPSALA LÄN</t>
        </is>
      </c>
      <c r="E560" t="inlineStr">
        <is>
          <t>UPPSALA</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16684-2021</t>
        </is>
      </c>
      <c r="B561" s="1" t="n">
        <v>44294</v>
      </c>
      <c r="C561" s="1" t="n">
        <v>45340</v>
      </c>
      <c r="D561" t="inlineStr">
        <is>
          <t>UPPSALA LÄN</t>
        </is>
      </c>
      <c r="E561" t="inlineStr">
        <is>
          <t>UPPSALA</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17262-2021</t>
        </is>
      </c>
      <c r="B562" s="1" t="n">
        <v>44297</v>
      </c>
      <c r="C562" s="1" t="n">
        <v>45340</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17250-2021</t>
        </is>
      </c>
      <c r="B563" s="1" t="n">
        <v>44297</v>
      </c>
      <c r="C563" s="1" t="n">
        <v>45340</v>
      </c>
      <c r="D563" t="inlineStr">
        <is>
          <t>UPPSALA LÄN</t>
        </is>
      </c>
      <c r="E563" t="inlineStr">
        <is>
          <t>UPPSALA</t>
        </is>
      </c>
      <c r="G563" t="n">
        <v>3.6</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45340</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18906-2021</t>
        </is>
      </c>
      <c r="B565" s="1" t="n">
        <v>44308</v>
      </c>
      <c r="C565" s="1" t="n">
        <v>45340</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19927-2021</t>
        </is>
      </c>
      <c r="B566" s="1" t="n">
        <v>44313</v>
      </c>
      <c r="C566" s="1" t="n">
        <v>45340</v>
      </c>
      <c r="D566" t="inlineStr">
        <is>
          <t>UPPSALA LÄN</t>
        </is>
      </c>
      <c r="E566" t="inlineStr">
        <is>
          <t>UPPSALA</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19947-2021</t>
        </is>
      </c>
      <c r="B567" s="1" t="n">
        <v>44313</v>
      </c>
      <c r="C567" s="1" t="n">
        <v>45340</v>
      </c>
      <c r="D567" t="inlineStr">
        <is>
          <t>UPPSALA LÄN</t>
        </is>
      </c>
      <c r="E567" t="inlineStr">
        <is>
          <t>UPPSALA</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20276-2021</t>
        </is>
      </c>
      <c r="B568" s="1" t="n">
        <v>44314</v>
      </c>
      <c r="C568" s="1" t="n">
        <v>45340</v>
      </c>
      <c r="D568" t="inlineStr">
        <is>
          <t>UPPSALA LÄN</t>
        </is>
      </c>
      <c r="E568" t="inlineStr">
        <is>
          <t>UPPSALA</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20271-2021</t>
        </is>
      </c>
      <c r="B569" s="1" t="n">
        <v>44314</v>
      </c>
      <c r="C569" s="1" t="n">
        <v>45340</v>
      </c>
      <c r="D569" t="inlineStr">
        <is>
          <t>UPPSALA LÄN</t>
        </is>
      </c>
      <c r="E569" t="inlineStr">
        <is>
          <t>UPPSALA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20609-2021</t>
        </is>
      </c>
      <c r="B570" s="1" t="n">
        <v>44316</v>
      </c>
      <c r="C570" s="1" t="n">
        <v>45340</v>
      </c>
      <c r="D570" t="inlineStr">
        <is>
          <t>UPPSALA LÄN</t>
        </is>
      </c>
      <c r="E570" t="inlineStr">
        <is>
          <t>UPPSALA</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v>
      </c>
      <c r="C571" s="1" t="n">
        <v>45340</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22946-2021</t>
        </is>
      </c>
      <c r="B572" s="1" t="n">
        <v>44328</v>
      </c>
      <c r="C572" s="1" t="n">
        <v>45340</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23877-2021</t>
        </is>
      </c>
      <c r="B573" s="1" t="n">
        <v>44335</v>
      </c>
      <c r="C573" s="1" t="n">
        <v>45340</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25613-2021</t>
        </is>
      </c>
      <c r="B574" s="1" t="n">
        <v>44343</v>
      </c>
      <c r="C574" s="1" t="n">
        <v>45340</v>
      </c>
      <c r="D574" t="inlineStr">
        <is>
          <t>UPPSALA LÄN</t>
        </is>
      </c>
      <c r="E574" t="inlineStr">
        <is>
          <t>UPPSALA</t>
        </is>
      </c>
      <c r="G574" t="n">
        <v>2.1</v>
      </c>
      <c r="H574" t="n">
        <v>0</v>
      </c>
      <c r="I574" t="n">
        <v>0</v>
      </c>
      <c r="J574" t="n">
        <v>0</v>
      </c>
      <c r="K574" t="n">
        <v>0</v>
      </c>
      <c r="L574" t="n">
        <v>0</v>
      </c>
      <c r="M574" t="n">
        <v>0</v>
      </c>
      <c r="N574" t="n">
        <v>0</v>
      </c>
      <c r="O574" t="n">
        <v>0</v>
      </c>
      <c r="P574" t="n">
        <v>0</v>
      </c>
      <c r="Q574" t="n">
        <v>0</v>
      </c>
      <c r="R574" s="2" t="inlineStr"/>
    </row>
    <row r="575" ht="15" customHeight="1">
      <c r="A575" t="inlineStr">
        <is>
          <t>A 26785-2021</t>
        </is>
      </c>
      <c r="B575" s="1" t="n">
        <v>44349</v>
      </c>
      <c r="C575" s="1" t="n">
        <v>45340</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27365-2021</t>
        </is>
      </c>
      <c r="B576" s="1" t="n">
        <v>44351</v>
      </c>
      <c r="C576" s="1" t="n">
        <v>45340</v>
      </c>
      <c r="D576" t="inlineStr">
        <is>
          <t>UPPSALA LÄN</t>
        </is>
      </c>
      <c r="E576" t="inlineStr">
        <is>
          <t>UPPSALA</t>
        </is>
      </c>
      <c r="F576" t="inlineStr">
        <is>
          <t>Allmännings- och besparingsskogar</t>
        </is>
      </c>
      <c r="G576" t="n">
        <v>20.5</v>
      </c>
      <c r="H576" t="n">
        <v>0</v>
      </c>
      <c r="I576" t="n">
        <v>0</v>
      </c>
      <c r="J576" t="n">
        <v>0</v>
      </c>
      <c r="K576" t="n">
        <v>0</v>
      </c>
      <c r="L576" t="n">
        <v>0</v>
      </c>
      <c r="M576" t="n">
        <v>0</v>
      </c>
      <c r="N576" t="n">
        <v>0</v>
      </c>
      <c r="O576" t="n">
        <v>0</v>
      </c>
      <c r="P576" t="n">
        <v>0</v>
      </c>
      <c r="Q576" t="n">
        <v>0</v>
      </c>
      <c r="R576" s="2" t="inlineStr"/>
    </row>
    <row r="577" ht="15" customHeight="1">
      <c r="A577" t="inlineStr">
        <is>
          <t>A 28694-2021</t>
        </is>
      </c>
      <c r="B577" s="1" t="n">
        <v>44357</v>
      </c>
      <c r="C577" s="1" t="n">
        <v>45340</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29145-2021</t>
        </is>
      </c>
      <c r="B578" s="1" t="n">
        <v>44358</v>
      </c>
      <c r="C578" s="1" t="n">
        <v>45340</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30655-2021</t>
        </is>
      </c>
      <c r="B579" s="1" t="n">
        <v>44365</v>
      </c>
      <c r="C579" s="1" t="n">
        <v>45340</v>
      </c>
      <c r="D579" t="inlineStr">
        <is>
          <t>UPPSALA LÄN</t>
        </is>
      </c>
      <c r="E579" t="inlineStr">
        <is>
          <t>UPPSALA</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30656-2021</t>
        </is>
      </c>
      <c r="B580" s="1" t="n">
        <v>44365</v>
      </c>
      <c r="C580" s="1" t="n">
        <v>45340</v>
      </c>
      <c r="D580" t="inlineStr">
        <is>
          <t>UPPSALA LÄN</t>
        </is>
      </c>
      <c r="E580" t="inlineStr">
        <is>
          <t>UPPSALA</t>
        </is>
      </c>
      <c r="G580" t="n">
        <v>6.7</v>
      </c>
      <c r="H580" t="n">
        <v>0</v>
      </c>
      <c r="I580" t="n">
        <v>0</v>
      </c>
      <c r="J580" t="n">
        <v>0</v>
      </c>
      <c r="K580" t="n">
        <v>0</v>
      </c>
      <c r="L580" t="n">
        <v>0</v>
      </c>
      <c r="M580" t="n">
        <v>0</v>
      </c>
      <c r="N580" t="n">
        <v>0</v>
      </c>
      <c r="O580" t="n">
        <v>0</v>
      </c>
      <c r="P580" t="n">
        <v>0</v>
      </c>
      <c r="Q580" t="n">
        <v>0</v>
      </c>
      <c r="R580" s="2" t="inlineStr"/>
    </row>
    <row r="581" ht="15" customHeight="1">
      <c r="A581" t="inlineStr">
        <is>
          <t>A 31646-2021</t>
        </is>
      </c>
      <c r="B581" s="1" t="n">
        <v>44369</v>
      </c>
      <c r="C581" s="1" t="n">
        <v>45340</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31662-2021</t>
        </is>
      </c>
      <c r="B582" s="1" t="n">
        <v>44369</v>
      </c>
      <c r="C582" s="1" t="n">
        <v>45340</v>
      </c>
      <c r="D582" t="inlineStr">
        <is>
          <t>UPPSALA LÄN</t>
        </is>
      </c>
      <c r="E582" t="inlineStr">
        <is>
          <t>UPPSALA</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31829-2021</t>
        </is>
      </c>
      <c r="B583" s="1" t="n">
        <v>44370</v>
      </c>
      <c r="C583" s="1" t="n">
        <v>45340</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32276-2021</t>
        </is>
      </c>
      <c r="B584" s="1" t="n">
        <v>44371</v>
      </c>
      <c r="C584" s="1" t="n">
        <v>45340</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32428-2021</t>
        </is>
      </c>
      <c r="B585" s="1" t="n">
        <v>44371</v>
      </c>
      <c r="C585" s="1" t="n">
        <v>45340</v>
      </c>
      <c r="D585" t="inlineStr">
        <is>
          <t>UPPSALA LÄN</t>
        </is>
      </c>
      <c r="E585" t="inlineStr">
        <is>
          <t>UPPSALA</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32955-2021</t>
        </is>
      </c>
      <c r="B586" s="1" t="n">
        <v>44376</v>
      </c>
      <c r="C586" s="1" t="n">
        <v>45340</v>
      </c>
      <c r="D586" t="inlineStr">
        <is>
          <t>UPPSALA LÄN</t>
        </is>
      </c>
      <c r="E586" t="inlineStr">
        <is>
          <t>UPPSALA</t>
        </is>
      </c>
      <c r="F586" t="inlineStr">
        <is>
          <t>Bergvik skog öst AB</t>
        </is>
      </c>
      <c r="G586" t="n">
        <v>10</v>
      </c>
      <c r="H586" t="n">
        <v>0</v>
      </c>
      <c r="I586" t="n">
        <v>0</v>
      </c>
      <c r="J586" t="n">
        <v>0</v>
      </c>
      <c r="K586" t="n">
        <v>0</v>
      </c>
      <c r="L586" t="n">
        <v>0</v>
      </c>
      <c r="M586" t="n">
        <v>0</v>
      </c>
      <c r="N586" t="n">
        <v>0</v>
      </c>
      <c r="O586" t="n">
        <v>0</v>
      </c>
      <c r="P586" t="n">
        <v>0</v>
      </c>
      <c r="Q586" t="n">
        <v>0</v>
      </c>
      <c r="R586" s="2" t="inlineStr"/>
    </row>
    <row r="587" ht="15" customHeight="1">
      <c r="A587" t="inlineStr">
        <is>
          <t>A 33797-2021</t>
        </is>
      </c>
      <c r="B587" s="1" t="n">
        <v>44378</v>
      </c>
      <c r="C587" s="1" t="n">
        <v>45340</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33920-2021</t>
        </is>
      </c>
      <c r="B588" s="1" t="n">
        <v>44378</v>
      </c>
      <c r="C588" s="1" t="n">
        <v>45340</v>
      </c>
      <c r="D588" t="inlineStr">
        <is>
          <t>UPPSALA LÄN</t>
        </is>
      </c>
      <c r="E588" t="inlineStr">
        <is>
          <t>UPPSALA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34020-2021</t>
        </is>
      </c>
      <c r="B589" s="1" t="n">
        <v>44379</v>
      </c>
      <c r="C589" s="1" t="n">
        <v>45340</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34039-2021</t>
        </is>
      </c>
      <c r="B590" s="1" t="n">
        <v>44379</v>
      </c>
      <c r="C590" s="1" t="n">
        <v>45340</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34043-2021</t>
        </is>
      </c>
      <c r="B591" s="1" t="n">
        <v>44379</v>
      </c>
      <c r="C591" s="1" t="n">
        <v>45340</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34265-2021</t>
        </is>
      </c>
      <c r="B592" s="1" t="n">
        <v>44379</v>
      </c>
      <c r="C592" s="1" t="n">
        <v>45340</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34249-2021</t>
        </is>
      </c>
      <c r="B593" s="1" t="n">
        <v>44379</v>
      </c>
      <c r="C593" s="1" t="n">
        <v>45340</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34243-2021</t>
        </is>
      </c>
      <c r="B594" s="1" t="n">
        <v>44379</v>
      </c>
      <c r="C594" s="1" t="n">
        <v>45340</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34263-2021</t>
        </is>
      </c>
      <c r="B595" s="1" t="n">
        <v>44379</v>
      </c>
      <c r="C595" s="1" t="n">
        <v>45340</v>
      </c>
      <c r="D595" t="inlineStr">
        <is>
          <t>UPPSALA LÄN</t>
        </is>
      </c>
      <c r="E595" t="inlineStr">
        <is>
          <t>UPPSALA</t>
        </is>
      </c>
      <c r="G595" t="n">
        <v>5.8</v>
      </c>
      <c r="H595" t="n">
        <v>0</v>
      </c>
      <c r="I595" t="n">
        <v>0</v>
      </c>
      <c r="J595" t="n">
        <v>0</v>
      </c>
      <c r="K595" t="n">
        <v>0</v>
      </c>
      <c r="L595" t="n">
        <v>0</v>
      </c>
      <c r="M595" t="n">
        <v>0</v>
      </c>
      <c r="N595" t="n">
        <v>0</v>
      </c>
      <c r="O595" t="n">
        <v>0</v>
      </c>
      <c r="P595" t="n">
        <v>0</v>
      </c>
      <c r="Q595" t="n">
        <v>0</v>
      </c>
      <c r="R595" s="2" t="inlineStr"/>
    </row>
    <row r="596" ht="15" customHeight="1">
      <c r="A596" t="inlineStr">
        <is>
          <t>A 34838-2021</t>
        </is>
      </c>
      <c r="B596" s="1" t="n">
        <v>44383</v>
      </c>
      <c r="C596" s="1" t="n">
        <v>45340</v>
      </c>
      <c r="D596" t="inlineStr">
        <is>
          <t>UPPSALA LÄN</t>
        </is>
      </c>
      <c r="E596" t="inlineStr">
        <is>
          <t>UPPSALA</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34825-2021</t>
        </is>
      </c>
      <c r="B597" s="1" t="n">
        <v>44383</v>
      </c>
      <c r="C597" s="1" t="n">
        <v>45340</v>
      </c>
      <c r="D597" t="inlineStr">
        <is>
          <t>UPPSALA LÄN</t>
        </is>
      </c>
      <c r="E597" t="inlineStr">
        <is>
          <t>UPPSALA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35630-2021</t>
        </is>
      </c>
      <c r="B598" s="1" t="n">
        <v>44386</v>
      </c>
      <c r="C598" s="1" t="n">
        <v>45340</v>
      </c>
      <c r="D598" t="inlineStr">
        <is>
          <t>UPPSALA LÄN</t>
        </is>
      </c>
      <c r="E598" t="inlineStr">
        <is>
          <t>UPPSALA</t>
        </is>
      </c>
      <c r="G598" t="n">
        <v>6</v>
      </c>
      <c r="H598" t="n">
        <v>0</v>
      </c>
      <c r="I598" t="n">
        <v>0</v>
      </c>
      <c r="J598" t="n">
        <v>0</v>
      </c>
      <c r="K598" t="n">
        <v>0</v>
      </c>
      <c r="L598" t="n">
        <v>0</v>
      </c>
      <c r="M598" t="n">
        <v>0</v>
      </c>
      <c r="N598" t="n">
        <v>0</v>
      </c>
      <c r="O598" t="n">
        <v>0</v>
      </c>
      <c r="P598" t="n">
        <v>0</v>
      </c>
      <c r="Q598" t="n">
        <v>0</v>
      </c>
      <c r="R598" s="2" t="inlineStr"/>
    </row>
    <row r="599" ht="15" customHeight="1">
      <c r="A599" t="inlineStr">
        <is>
          <t>A 36304-2021</t>
        </is>
      </c>
      <c r="B599" s="1" t="n">
        <v>44390</v>
      </c>
      <c r="C599" s="1" t="n">
        <v>45340</v>
      </c>
      <c r="D599" t="inlineStr">
        <is>
          <t>UPPSALA LÄN</t>
        </is>
      </c>
      <c r="E599" t="inlineStr">
        <is>
          <t>UPPSALA</t>
        </is>
      </c>
      <c r="G599" t="n">
        <v>7.4</v>
      </c>
      <c r="H599" t="n">
        <v>0</v>
      </c>
      <c r="I599" t="n">
        <v>0</v>
      </c>
      <c r="J599" t="n">
        <v>0</v>
      </c>
      <c r="K599" t="n">
        <v>0</v>
      </c>
      <c r="L599" t="n">
        <v>0</v>
      </c>
      <c r="M599" t="n">
        <v>0</v>
      </c>
      <c r="N599" t="n">
        <v>0</v>
      </c>
      <c r="O599" t="n">
        <v>0</v>
      </c>
      <c r="P599" t="n">
        <v>0</v>
      </c>
      <c r="Q599" t="n">
        <v>0</v>
      </c>
      <c r="R599" s="2" t="inlineStr"/>
    </row>
    <row r="600" ht="15" customHeight="1">
      <c r="A600" t="inlineStr">
        <is>
          <t>A 36721-2021</t>
        </is>
      </c>
      <c r="B600" s="1" t="n">
        <v>44392</v>
      </c>
      <c r="C600" s="1" t="n">
        <v>45340</v>
      </c>
      <c r="D600" t="inlineStr">
        <is>
          <t>UPPSALA LÄN</t>
        </is>
      </c>
      <c r="E600" t="inlineStr">
        <is>
          <t>UPPSALA</t>
        </is>
      </c>
      <c r="F600" t="inlineStr">
        <is>
          <t>Bergvik skog öst AB</t>
        </is>
      </c>
      <c r="G600" t="n">
        <v>5.8</v>
      </c>
      <c r="H600" t="n">
        <v>0</v>
      </c>
      <c r="I600" t="n">
        <v>0</v>
      </c>
      <c r="J600" t="n">
        <v>0</v>
      </c>
      <c r="K600" t="n">
        <v>0</v>
      </c>
      <c r="L600" t="n">
        <v>0</v>
      </c>
      <c r="M600" t="n">
        <v>0</v>
      </c>
      <c r="N600" t="n">
        <v>0</v>
      </c>
      <c r="O600" t="n">
        <v>0</v>
      </c>
      <c r="P600" t="n">
        <v>0</v>
      </c>
      <c r="Q600" t="n">
        <v>0</v>
      </c>
      <c r="R600" s="2" t="inlineStr"/>
    </row>
    <row r="601" ht="15" customHeight="1">
      <c r="A601" t="inlineStr">
        <is>
          <t>A 36998-2021</t>
        </is>
      </c>
      <c r="B601" s="1" t="n">
        <v>44393</v>
      </c>
      <c r="C601" s="1" t="n">
        <v>45340</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37162-2021</t>
        </is>
      </c>
      <c r="B602" s="1" t="n">
        <v>44395</v>
      </c>
      <c r="C602" s="1" t="n">
        <v>45340</v>
      </c>
      <c r="D602" t="inlineStr">
        <is>
          <t>UPPSALA LÄN</t>
        </is>
      </c>
      <c r="E602" t="inlineStr">
        <is>
          <t>UPPSALA</t>
        </is>
      </c>
      <c r="G602" t="n">
        <v>3.5</v>
      </c>
      <c r="H602" t="n">
        <v>0</v>
      </c>
      <c r="I602" t="n">
        <v>0</v>
      </c>
      <c r="J602" t="n">
        <v>0</v>
      </c>
      <c r="K602" t="n">
        <v>0</v>
      </c>
      <c r="L602" t="n">
        <v>0</v>
      </c>
      <c r="M602" t="n">
        <v>0</v>
      </c>
      <c r="N602" t="n">
        <v>0</v>
      </c>
      <c r="O602" t="n">
        <v>0</v>
      </c>
      <c r="P602" t="n">
        <v>0</v>
      </c>
      <c r="Q602" t="n">
        <v>0</v>
      </c>
      <c r="R602" s="2" t="inlineStr"/>
    </row>
    <row r="603" ht="15" customHeight="1">
      <c r="A603" t="inlineStr">
        <is>
          <t>A 37763-2021</t>
        </is>
      </c>
      <c r="B603" s="1" t="n">
        <v>44400</v>
      </c>
      <c r="C603" s="1" t="n">
        <v>45340</v>
      </c>
      <c r="D603" t="inlineStr">
        <is>
          <t>UPPSALA LÄN</t>
        </is>
      </c>
      <c r="E603" t="inlineStr">
        <is>
          <t>UPPSALA</t>
        </is>
      </c>
      <c r="F603" t="inlineStr">
        <is>
          <t>Bergvik skog öst AB</t>
        </is>
      </c>
      <c r="G603" t="n">
        <v>1</v>
      </c>
      <c r="H603" t="n">
        <v>0</v>
      </c>
      <c r="I603" t="n">
        <v>0</v>
      </c>
      <c r="J603" t="n">
        <v>0</v>
      </c>
      <c r="K603" t="n">
        <v>0</v>
      </c>
      <c r="L603" t="n">
        <v>0</v>
      </c>
      <c r="M603" t="n">
        <v>0</v>
      </c>
      <c r="N603" t="n">
        <v>0</v>
      </c>
      <c r="O603" t="n">
        <v>0</v>
      </c>
      <c r="P603" t="n">
        <v>0</v>
      </c>
      <c r="Q603" t="n">
        <v>0</v>
      </c>
      <c r="R603" s="2" t="inlineStr"/>
    </row>
    <row r="604" ht="15" customHeight="1">
      <c r="A604" t="inlineStr">
        <is>
          <t>A 37819-2021</t>
        </is>
      </c>
      <c r="B604" s="1" t="n">
        <v>44403</v>
      </c>
      <c r="C604" s="1" t="n">
        <v>45340</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37820-2021</t>
        </is>
      </c>
      <c r="B605" s="1" t="n">
        <v>44403</v>
      </c>
      <c r="C605" s="1" t="n">
        <v>45340</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38469-2021</t>
        </is>
      </c>
      <c r="B606" s="1" t="n">
        <v>44407</v>
      </c>
      <c r="C606" s="1" t="n">
        <v>45340</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38463-2021</t>
        </is>
      </c>
      <c r="B607" s="1" t="n">
        <v>44407</v>
      </c>
      <c r="C607" s="1" t="n">
        <v>45340</v>
      </c>
      <c r="D607" t="inlineStr">
        <is>
          <t>UPPSALA LÄN</t>
        </is>
      </c>
      <c r="E607" t="inlineStr">
        <is>
          <t>UPPSALA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40500-2021</t>
        </is>
      </c>
      <c r="B608" s="1" t="n">
        <v>44420</v>
      </c>
      <c r="C608" s="1" t="n">
        <v>45340</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40507-2021</t>
        </is>
      </c>
      <c r="B609" s="1" t="n">
        <v>44420</v>
      </c>
      <c r="C609" s="1" t="n">
        <v>45340</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42124-2021</t>
        </is>
      </c>
      <c r="B610" s="1" t="n">
        <v>44426</v>
      </c>
      <c r="C610" s="1" t="n">
        <v>45340</v>
      </c>
      <c r="D610" t="inlineStr">
        <is>
          <t>UPPSALA LÄN</t>
        </is>
      </c>
      <c r="E610" t="inlineStr">
        <is>
          <t>UPPSALA</t>
        </is>
      </c>
      <c r="G610" t="n">
        <v>6.3</v>
      </c>
      <c r="H610" t="n">
        <v>0</v>
      </c>
      <c r="I610" t="n">
        <v>0</v>
      </c>
      <c r="J610" t="n">
        <v>0</v>
      </c>
      <c r="K610" t="n">
        <v>0</v>
      </c>
      <c r="L610" t="n">
        <v>0</v>
      </c>
      <c r="M610" t="n">
        <v>0</v>
      </c>
      <c r="N610" t="n">
        <v>0</v>
      </c>
      <c r="O610" t="n">
        <v>0</v>
      </c>
      <c r="P610" t="n">
        <v>0</v>
      </c>
      <c r="Q610" t="n">
        <v>0</v>
      </c>
      <c r="R610" s="2" t="inlineStr"/>
    </row>
    <row r="611" ht="15" customHeight="1">
      <c r="A611" t="inlineStr">
        <is>
          <t>A 42294-2021</t>
        </is>
      </c>
      <c r="B611" s="1" t="n">
        <v>44427</v>
      </c>
      <c r="C611" s="1" t="n">
        <v>45340</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44315-2021</t>
        </is>
      </c>
      <c r="B612" s="1" t="n">
        <v>44435</v>
      </c>
      <c r="C612" s="1" t="n">
        <v>45340</v>
      </c>
      <c r="D612" t="inlineStr">
        <is>
          <t>UPPSALA LÄN</t>
        </is>
      </c>
      <c r="E612" t="inlineStr">
        <is>
          <t>UPPSALA</t>
        </is>
      </c>
      <c r="G612" t="n">
        <v>5.2</v>
      </c>
      <c r="H612" t="n">
        <v>0</v>
      </c>
      <c r="I612" t="n">
        <v>0</v>
      </c>
      <c r="J612" t="n">
        <v>0</v>
      </c>
      <c r="K612" t="n">
        <v>0</v>
      </c>
      <c r="L612" t="n">
        <v>0</v>
      </c>
      <c r="M612" t="n">
        <v>0</v>
      </c>
      <c r="N612" t="n">
        <v>0</v>
      </c>
      <c r="O612" t="n">
        <v>0</v>
      </c>
      <c r="P612" t="n">
        <v>0</v>
      </c>
      <c r="Q612" t="n">
        <v>0</v>
      </c>
      <c r="R612" s="2" t="inlineStr"/>
    </row>
    <row r="613" ht="15" customHeight="1">
      <c r="A613" t="inlineStr">
        <is>
          <t>A 44781-2021</t>
        </is>
      </c>
      <c r="B613" s="1" t="n">
        <v>44438</v>
      </c>
      <c r="C613" s="1" t="n">
        <v>45340</v>
      </c>
      <c r="D613" t="inlineStr">
        <is>
          <t>UPPSALA LÄN</t>
        </is>
      </c>
      <c r="E613" t="inlineStr">
        <is>
          <t>UPPSALA</t>
        </is>
      </c>
      <c r="F613" t="inlineStr">
        <is>
          <t>Sveaskog</t>
        </is>
      </c>
      <c r="G613" t="n">
        <v>0.1</v>
      </c>
      <c r="H613" t="n">
        <v>0</v>
      </c>
      <c r="I613" t="n">
        <v>0</v>
      </c>
      <c r="J613" t="n">
        <v>0</v>
      </c>
      <c r="K613" t="n">
        <v>0</v>
      </c>
      <c r="L613" t="n">
        <v>0</v>
      </c>
      <c r="M613" t="n">
        <v>0</v>
      </c>
      <c r="N613" t="n">
        <v>0</v>
      </c>
      <c r="O613" t="n">
        <v>0</v>
      </c>
      <c r="P613" t="n">
        <v>0</v>
      </c>
      <c r="Q613" t="n">
        <v>0</v>
      </c>
      <c r="R613" s="2" t="inlineStr"/>
    </row>
    <row r="614" ht="15" customHeight="1">
      <c r="A614" t="inlineStr">
        <is>
          <t>A 46097-2021</t>
        </is>
      </c>
      <c r="B614" s="1" t="n">
        <v>44442</v>
      </c>
      <c r="C614" s="1" t="n">
        <v>45340</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46099-2021</t>
        </is>
      </c>
      <c r="B615" s="1" t="n">
        <v>44442</v>
      </c>
      <c r="C615" s="1" t="n">
        <v>45340</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46553-2021</t>
        </is>
      </c>
      <c r="B616" s="1" t="n">
        <v>44445</v>
      </c>
      <c r="C616" s="1" t="n">
        <v>45340</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46920-2021</t>
        </is>
      </c>
      <c r="B617" s="1" t="n">
        <v>44446</v>
      </c>
      <c r="C617" s="1" t="n">
        <v>45340</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46916-2021</t>
        </is>
      </c>
      <c r="B618" s="1" t="n">
        <v>44446</v>
      </c>
      <c r="C618" s="1" t="n">
        <v>45340</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47367-2021</t>
        </is>
      </c>
      <c r="B619" s="1" t="n">
        <v>44447</v>
      </c>
      <c r="C619" s="1" t="n">
        <v>45340</v>
      </c>
      <c r="D619" t="inlineStr">
        <is>
          <t>UPPSALA LÄN</t>
        </is>
      </c>
      <c r="E619" t="inlineStr">
        <is>
          <t>UPPSALA</t>
        </is>
      </c>
      <c r="G619" t="n">
        <v>3.8</v>
      </c>
      <c r="H619" t="n">
        <v>0</v>
      </c>
      <c r="I619" t="n">
        <v>0</v>
      </c>
      <c r="J619" t="n">
        <v>0</v>
      </c>
      <c r="K619" t="n">
        <v>0</v>
      </c>
      <c r="L619" t="n">
        <v>0</v>
      </c>
      <c r="M619" t="n">
        <v>0</v>
      </c>
      <c r="N619" t="n">
        <v>0</v>
      </c>
      <c r="O619" t="n">
        <v>0</v>
      </c>
      <c r="P619" t="n">
        <v>0</v>
      </c>
      <c r="Q619" t="n">
        <v>0</v>
      </c>
      <c r="R619" s="2" t="inlineStr"/>
    </row>
    <row r="620" ht="15" customHeight="1">
      <c r="A620" t="inlineStr">
        <is>
          <t>A 48918-2021</t>
        </is>
      </c>
      <c r="B620" s="1" t="n">
        <v>44453</v>
      </c>
      <c r="C620" s="1" t="n">
        <v>45340</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49274-2021</t>
        </is>
      </c>
      <c r="B621" s="1" t="n">
        <v>44454</v>
      </c>
      <c r="C621" s="1" t="n">
        <v>45340</v>
      </c>
      <c r="D621" t="inlineStr">
        <is>
          <t>UPPSALA LÄN</t>
        </is>
      </c>
      <c r="E621" t="inlineStr">
        <is>
          <t>UPPSALA</t>
        </is>
      </c>
      <c r="G621" t="n">
        <v>8.5</v>
      </c>
      <c r="H621" t="n">
        <v>0</v>
      </c>
      <c r="I621" t="n">
        <v>0</v>
      </c>
      <c r="J621" t="n">
        <v>0</v>
      </c>
      <c r="K621" t="n">
        <v>0</v>
      </c>
      <c r="L621" t="n">
        <v>0</v>
      </c>
      <c r="M621" t="n">
        <v>0</v>
      </c>
      <c r="N621" t="n">
        <v>0</v>
      </c>
      <c r="O621" t="n">
        <v>0</v>
      </c>
      <c r="P621" t="n">
        <v>0</v>
      </c>
      <c r="Q621" t="n">
        <v>0</v>
      </c>
      <c r="R621" s="2" t="inlineStr"/>
    </row>
    <row r="622" ht="15" customHeight="1">
      <c r="A622" t="inlineStr">
        <is>
          <t>A 51050-2021</t>
        </is>
      </c>
      <c r="B622" s="1" t="n">
        <v>44459</v>
      </c>
      <c r="C622" s="1" t="n">
        <v>45340</v>
      </c>
      <c r="D622" t="inlineStr">
        <is>
          <t>UPPSALA LÄN</t>
        </is>
      </c>
      <c r="E622" t="inlineStr">
        <is>
          <t>UPPSALA</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51821-2021</t>
        </is>
      </c>
      <c r="B623" s="1" t="n">
        <v>44461</v>
      </c>
      <c r="C623" s="1" t="n">
        <v>45340</v>
      </c>
      <c r="D623" t="inlineStr">
        <is>
          <t>UPPSALA LÄN</t>
        </is>
      </c>
      <c r="E623" t="inlineStr">
        <is>
          <t>UPPSALA</t>
        </is>
      </c>
      <c r="F623" t="inlineStr">
        <is>
          <t>Övriga Aktiebolag</t>
        </is>
      </c>
      <c r="G623" t="n">
        <v>5.3</v>
      </c>
      <c r="H623" t="n">
        <v>0</v>
      </c>
      <c r="I623" t="n">
        <v>0</v>
      </c>
      <c r="J623" t="n">
        <v>0</v>
      </c>
      <c r="K623" t="n">
        <v>0</v>
      </c>
      <c r="L623" t="n">
        <v>0</v>
      </c>
      <c r="M623" t="n">
        <v>0</v>
      </c>
      <c r="N623" t="n">
        <v>0</v>
      </c>
      <c r="O623" t="n">
        <v>0</v>
      </c>
      <c r="P623" t="n">
        <v>0</v>
      </c>
      <c r="Q623" t="n">
        <v>0</v>
      </c>
      <c r="R623" s="2" t="inlineStr"/>
    </row>
    <row r="624" ht="15" customHeight="1">
      <c r="A624" t="inlineStr">
        <is>
          <t>A 51396-2021</t>
        </is>
      </c>
      <c r="B624" s="1" t="n">
        <v>44461</v>
      </c>
      <c r="C624" s="1" t="n">
        <v>45340</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52083-2021</t>
        </is>
      </c>
      <c r="B625" s="1" t="n">
        <v>44463</v>
      </c>
      <c r="C625" s="1" t="n">
        <v>45340</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54168-2021</t>
        </is>
      </c>
      <c r="B626" s="1" t="n">
        <v>44470</v>
      </c>
      <c r="C626" s="1" t="n">
        <v>45340</v>
      </c>
      <c r="D626" t="inlineStr">
        <is>
          <t>UPPSALA LÄN</t>
        </is>
      </c>
      <c r="E626" t="inlineStr">
        <is>
          <t>UPPSALA</t>
        </is>
      </c>
      <c r="G626" t="n">
        <v>7.5</v>
      </c>
      <c r="H626" t="n">
        <v>0</v>
      </c>
      <c r="I626" t="n">
        <v>0</v>
      </c>
      <c r="J626" t="n">
        <v>0</v>
      </c>
      <c r="K626" t="n">
        <v>0</v>
      </c>
      <c r="L626" t="n">
        <v>0</v>
      </c>
      <c r="M626" t="n">
        <v>0</v>
      </c>
      <c r="N626" t="n">
        <v>0</v>
      </c>
      <c r="O626" t="n">
        <v>0</v>
      </c>
      <c r="P626" t="n">
        <v>0</v>
      </c>
      <c r="Q626" t="n">
        <v>0</v>
      </c>
      <c r="R626" s="2" t="inlineStr"/>
    </row>
    <row r="627" ht="15" customHeight="1">
      <c r="A627" t="inlineStr">
        <is>
          <t>A 55823-2021</t>
        </is>
      </c>
      <c r="B627" s="1" t="n">
        <v>44476</v>
      </c>
      <c r="C627" s="1" t="n">
        <v>45340</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56042-2021</t>
        </is>
      </c>
      <c r="B628" s="1" t="n">
        <v>44477</v>
      </c>
      <c r="C628" s="1" t="n">
        <v>45340</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56049-2021</t>
        </is>
      </c>
      <c r="B629" s="1" t="n">
        <v>44477</v>
      </c>
      <c r="C629" s="1" t="n">
        <v>45340</v>
      </c>
      <c r="D629" t="inlineStr">
        <is>
          <t>UPPSALA LÄN</t>
        </is>
      </c>
      <c r="E629" t="inlineStr">
        <is>
          <t>UPPSALA</t>
        </is>
      </c>
      <c r="G629" t="n">
        <v>1.4</v>
      </c>
      <c r="H629" t="n">
        <v>0</v>
      </c>
      <c r="I629" t="n">
        <v>0</v>
      </c>
      <c r="J629" t="n">
        <v>0</v>
      </c>
      <c r="K629" t="n">
        <v>0</v>
      </c>
      <c r="L629" t="n">
        <v>0</v>
      </c>
      <c r="M629" t="n">
        <v>0</v>
      </c>
      <c r="N629" t="n">
        <v>0</v>
      </c>
      <c r="O629" t="n">
        <v>0</v>
      </c>
      <c r="P629" t="n">
        <v>0</v>
      </c>
      <c r="Q629" t="n">
        <v>0</v>
      </c>
      <c r="R629" s="2" t="inlineStr"/>
    </row>
    <row r="630" ht="15" customHeight="1">
      <c r="A630" t="inlineStr">
        <is>
          <t>A 56463-2021</t>
        </is>
      </c>
      <c r="B630" s="1" t="n">
        <v>44479</v>
      </c>
      <c r="C630" s="1" t="n">
        <v>45340</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56769-2021</t>
        </is>
      </c>
      <c r="B631" s="1" t="n">
        <v>44481</v>
      </c>
      <c r="C631" s="1" t="n">
        <v>45340</v>
      </c>
      <c r="D631" t="inlineStr">
        <is>
          <t>UPPSALA LÄN</t>
        </is>
      </c>
      <c r="E631" t="inlineStr">
        <is>
          <t>UPPSALA</t>
        </is>
      </c>
      <c r="G631" t="n">
        <v>3.8</v>
      </c>
      <c r="H631" t="n">
        <v>0</v>
      </c>
      <c r="I631" t="n">
        <v>0</v>
      </c>
      <c r="J631" t="n">
        <v>0</v>
      </c>
      <c r="K631" t="n">
        <v>0</v>
      </c>
      <c r="L631" t="n">
        <v>0</v>
      </c>
      <c r="M631" t="n">
        <v>0</v>
      </c>
      <c r="N631" t="n">
        <v>0</v>
      </c>
      <c r="O631" t="n">
        <v>0</v>
      </c>
      <c r="P631" t="n">
        <v>0</v>
      </c>
      <c r="Q631" t="n">
        <v>0</v>
      </c>
      <c r="R631" s="2" t="inlineStr"/>
    </row>
    <row r="632" ht="15" customHeight="1">
      <c r="A632" t="inlineStr">
        <is>
          <t>A 57647-2021</t>
        </is>
      </c>
      <c r="B632" s="1" t="n">
        <v>44484</v>
      </c>
      <c r="C632" s="1" t="n">
        <v>45340</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57890-2021</t>
        </is>
      </c>
      <c r="B633" s="1" t="n">
        <v>44486</v>
      </c>
      <c r="C633" s="1" t="n">
        <v>45340</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58767-2021</t>
        </is>
      </c>
      <c r="B634" s="1" t="n">
        <v>44489</v>
      </c>
      <c r="C634" s="1" t="n">
        <v>45340</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58897-2021</t>
        </is>
      </c>
      <c r="B635" s="1" t="n">
        <v>44489</v>
      </c>
      <c r="C635" s="1" t="n">
        <v>45340</v>
      </c>
      <c r="D635" t="inlineStr">
        <is>
          <t>UPPSALA LÄN</t>
        </is>
      </c>
      <c r="E635" t="inlineStr">
        <is>
          <t>UPPSALA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59241-2021</t>
        </is>
      </c>
      <c r="B636" s="1" t="n">
        <v>44490</v>
      </c>
      <c r="C636" s="1" t="n">
        <v>45340</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59484-2021</t>
        </is>
      </c>
      <c r="B637" s="1" t="n">
        <v>44491</v>
      </c>
      <c r="C637" s="1" t="n">
        <v>45340</v>
      </c>
      <c r="D637" t="inlineStr">
        <is>
          <t>UPPSALA LÄN</t>
        </is>
      </c>
      <c r="E637" t="inlineStr">
        <is>
          <t>UPPSALA</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59500-2021</t>
        </is>
      </c>
      <c r="B638" s="1" t="n">
        <v>44491</v>
      </c>
      <c r="C638" s="1" t="n">
        <v>45340</v>
      </c>
      <c r="D638" t="inlineStr">
        <is>
          <t>UPPSALA LÄN</t>
        </is>
      </c>
      <c r="E638" t="inlineStr">
        <is>
          <t>UPPSALA</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59479-2021</t>
        </is>
      </c>
      <c r="B639" s="1" t="n">
        <v>44491</v>
      </c>
      <c r="C639" s="1" t="n">
        <v>45340</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59881-2021</t>
        </is>
      </c>
      <c r="B640" s="1" t="n">
        <v>44494</v>
      </c>
      <c r="C640" s="1" t="n">
        <v>45340</v>
      </c>
      <c r="D640" t="inlineStr">
        <is>
          <t>UPPSALA LÄN</t>
        </is>
      </c>
      <c r="E640" t="inlineStr">
        <is>
          <t>UPPSALA</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60032-2021</t>
        </is>
      </c>
      <c r="B641" s="1" t="n">
        <v>44495</v>
      </c>
      <c r="C641" s="1" t="n">
        <v>45340</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61008-2021</t>
        </is>
      </c>
      <c r="B642" s="1" t="n">
        <v>44497</v>
      </c>
      <c r="C642" s="1" t="n">
        <v>45340</v>
      </c>
      <c r="D642" t="inlineStr">
        <is>
          <t>UPPSALA LÄN</t>
        </is>
      </c>
      <c r="E642" t="inlineStr">
        <is>
          <t>UPPSALA</t>
        </is>
      </c>
      <c r="G642" t="n">
        <v>6.3</v>
      </c>
      <c r="H642" t="n">
        <v>0</v>
      </c>
      <c r="I642" t="n">
        <v>0</v>
      </c>
      <c r="J642" t="n">
        <v>0</v>
      </c>
      <c r="K642" t="n">
        <v>0</v>
      </c>
      <c r="L642" t="n">
        <v>0</v>
      </c>
      <c r="M642" t="n">
        <v>0</v>
      </c>
      <c r="N642" t="n">
        <v>0</v>
      </c>
      <c r="O642" t="n">
        <v>0</v>
      </c>
      <c r="P642" t="n">
        <v>0</v>
      </c>
      <c r="Q642" t="n">
        <v>0</v>
      </c>
      <c r="R642" s="2" t="inlineStr"/>
    </row>
    <row r="643" ht="15" customHeight="1">
      <c r="A643" t="inlineStr">
        <is>
          <t>A 60917-2021</t>
        </is>
      </c>
      <c r="B643" s="1" t="n">
        <v>44497</v>
      </c>
      <c r="C643" s="1" t="n">
        <v>45340</v>
      </c>
      <c r="D643" t="inlineStr">
        <is>
          <t>UPPSALA LÄN</t>
        </is>
      </c>
      <c r="E643" t="inlineStr">
        <is>
          <t>UPPSALA</t>
        </is>
      </c>
      <c r="G643" t="n">
        <v>3.1</v>
      </c>
      <c r="H643" t="n">
        <v>0</v>
      </c>
      <c r="I643" t="n">
        <v>0</v>
      </c>
      <c r="J643" t="n">
        <v>0</v>
      </c>
      <c r="K643" t="n">
        <v>0</v>
      </c>
      <c r="L643" t="n">
        <v>0</v>
      </c>
      <c r="M643" t="n">
        <v>0</v>
      </c>
      <c r="N643" t="n">
        <v>0</v>
      </c>
      <c r="O643" t="n">
        <v>0</v>
      </c>
      <c r="P643" t="n">
        <v>0</v>
      </c>
      <c r="Q643" t="n">
        <v>0</v>
      </c>
      <c r="R643" s="2" t="inlineStr"/>
    </row>
    <row r="644" ht="15" customHeight="1">
      <c r="A644" t="inlineStr">
        <is>
          <t>A 60925-2021</t>
        </is>
      </c>
      <c r="B644" s="1" t="n">
        <v>44497</v>
      </c>
      <c r="C644" s="1" t="n">
        <v>45340</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61805-2021</t>
        </is>
      </c>
      <c r="B645" s="1" t="n">
        <v>44501</v>
      </c>
      <c r="C645" s="1" t="n">
        <v>45340</v>
      </c>
      <c r="D645" t="inlineStr">
        <is>
          <t>UPPSALA LÄN</t>
        </is>
      </c>
      <c r="E645" t="inlineStr">
        <is>
          <t>UPPSALA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62471-2021</t>
        </is>
      </c>
      <c r="B646" s="1" t="n">
        <v>44503</v>
      </c>
      <c r="C646" s="1" t="n">
        <v>45340</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62865-2021</t>
        </is>
      </c>
      <c r="B647" s="1" t="n">
        <v>44504</v>
      </c>
      <c r="C647" s="1" t="n">
        <v>45340</v>
      </c>
      <c r="D647" t="inlineStr">
        <is>
          <t>UPPSALA LÄN</t>
        </is>
      </c>
      <c r="E647" t="inlineStr">
        <is>
          <t>UPPSALA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63011-2021</t>
        </is>
      </c>
      <c r="B648" s="1" t="n">
        <v>44504</v>
      </c>
      <c r="C648" s="1" t="n">
        <v>45340</v>
      </c>
      <c r="D648" t="inlineStr">
        <is>
          <t>UPPSALA LÄN</t>
        </is>
      </c>
      <c r="E648" t="inlineStr">
        <is>
          <t>UPPSALA</t>
        </is>
      </c>
      <c r="G648" t="n">
        <v>11.2</v>
      </c>
      <c r="H648" t="n">
        <v>0</v>
      </c>
      <c r="I648" t="n">
        <v>0</v>
      </c>
      <c r="J648" t="n">
        <v>0</v>
      </c>
      <c r="K648" t="n">
        <v>0</v>
      </c>
      <c r="L648" t="n">
        <v>0</v>
      </c>
      <c r="M648" t="n">
        <v>0</v>
      </c>
      <c r="N648" t="n">
        <v>0</v>
      </c>
      <c r="O648" t="n">
        <v>0</v>
      </c>
      <c r="P648" t="n">
        <v>0</v>
      </c>
      <c r="Q648" t="n">
        <v>0</v>
      </c>
      <c r="R648" s="2" t="inlineStr"/>
    </row>
    <row r="649" ht="15" customHeight="1">
      <c r="A649" t="inlineStr">
        <is>
          <t>A 63307-2021</t>
        </is>
      </c>
      <c r="B649" s="1" t="n">
        <v>44508</v>
      </c>
      <c r="C649" s="1" t="n">
        <v>45340</v>
      </c>
      <c r="D649" t="inlineStr">
        <is>
          <t>UPPSALA LÄN</t>
        </is>
      </c>
      <c r="E649" t="inlineStr">
        <is>
          <t>UPPSALA</t>
        </is>
      </c>
      <c r="F649" t="inlineStr">
        <is>
          <t>Bergvik skog öst AB</t>
        </is>
      </c>
      <c r="G649" t="n">
        <v>2.8</v>
      </c>
      <c r="H649" t="n">
        <v>0</v>
      </c>
      <c r="I649" t="n">
        <v>0</v>
      </c>
      <c r="J649" t="n">
        <v>0</v>
      </c>
      <c r="K649" t="n">
        <v>0</v>
      </c>
      <c r="L649" t="n">
        <v>0</v>
      </c>
      <c r="M649" t="n">
        <v>0</v>
      </c>
      <c r="N649" t="n">
        <v>0</v>
      </c>
      <c r="O649" t="n">
        <v>0</v>
      </c>
      <c r="P649" t="n">
        <v>0</v>
      </c>
      <c r="Q649" t="n">
        <v>0</v>
      </c>
      <c r="R649" s="2" t="inlineStr"/>
    </row>
    <row r="650" ht="15" customHeight="1">
      <c r="A650" t="inlineStr">
        <is>
          <t>A 64016-2021</t>
        </is>
      </c>
      <c r="B650" s="1" t="n">
        <v>44510</v>
      </c>
      <c r="C650" s="1" t="n">
        <v>45340</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64857-2021</t>
        </is>
      </c>
      <c r="B651" s="1" t="n">
        <v>44512</v>
      </c>
      <c r="C651" s="1" t="n">
        <v>45340</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64856-2021</t>
        </is>
      </c>
      <c r="B652" s="1" t="n">
        <v>44512</v>
      </c>
      <c r="C652" s="1" t="n">
        <v>45340</v>
      </c>
      <c r="D652" t="inlineStr">
        <is>
          <t>UPPSALA LÄN</t>
        </is>
      </c>
      <c r="E652" t="inlineStr">
        <is>
          <t>UPPSALA</t>
        </is>
      </c>
      <c r="G652" t="n">
        <v>4.1</v>
      </c>
      <c r="H652" t="n">
        <v>0</v>
      </c>
      <c r="I652" t="n">
        <v>0</v>
      </c>
      <c r="J652" t="n">
        <v>0</v>
      </c>
      <c r="K652" t="n">
        <v>0</v>
      </c>
      <c r="L652" t="n">
        <v>0</v>
      </c>
      <c r="M652" t="n">
        <v>0</v>
      </c>
      <c r="N652" t="n">
        <v>0</v>
      </c>
      <c r="O652" t="n">
        <v>0</v>
      </c>
      <c r="P652" t="n">
        <v>0</v>
      </c>
      <c r="Q652" t="n">
        <v>0</v>
      </c>
      <c r="R652" s="2" t="inlineStr"/>
    </row>
    <row r="653" ht="15" customHeight="1">
      <c r="A653" t="inlineStr">
        <is>
          <t>A 64858-2021</t>
        </is>
      </c>
      <c r="B653" s="1" t="n">
        <v>44512</v>
      </c>
      <c r="C653" s="1" t="n">
        <v>45340</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64855-2021</t>
        </is>
      </c>
      <c r="B654" s="1" t="n">
        <v>44512</v>
      </c>
      <c r="C654" s="1" t="n">
        <v>45340</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65132-2021</t>
        </is>
      </c>
      <c r="B655" s="1" t="n">
        <v>44515</v>
      </c>
      <c r="C655" s="1" t="n">
        <v>45340</v>
      </c>
      <c r="D655" t="inlineStr">
        <is>
          <t>UPPSALA LÄN</t>
        </is>
      </c>
      <c r="E655" t="inlineStr">
        <is>
          <t>UPPSALA</t>
        </is>
      </c>
      <c r="G655" t="n">
        <v>1.9</v>
      </c>
      <c r="H655" t="n">
        <v>0</v>
      </c>
      <c r="I655" t="n">
        <v>0</v>
      </c>
      <c r="J655" t="n">
        <v>0</v>
      </c>
      <c r="K655" t="n">
        <v>0</v>
      </c>
      <c r="L655" t="n">
        <v>0</v>
      </c>
      <c r="M655" t="n">
        <v>0</v>
      </c>
      <c r="N655" t="n">
        <v>0</v>
      </c>
      <c r="O655" t="n">
        <v>0</v>
      </c>
      <c r="P655" t="n">
        <v>0</v>
      </c>
      <c r="Q655" t="n">
        <v>0</v>
      </c>
      <c r="R655" s="2" t="inlineStr"/>
    </row>
    <row r="656" ht="15" customHeight="1">
      <c r="A656" t="inlineStr">
        <is>
          <t>A 65659-2021</t>
        </is>
      </c>
      <c r="B656" s="1" t="n">
        <v>44516</v>
      </c>
      <c r="C656" s="1" t="n">
        <v>45340</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65695-2021</t>
        </is>
      </c>
      <c r="B657" s="1" t="n">
        <v>44516</v>
      </c>
      <c r="C657" s="1" t="n">
        <v>45340</v>
      </c>
      <c r="D657" t="inlineStr">
        <is>
          <t>UPPSALA LÄN</t>
        </is>
      </c>
      <c r="E657" t="inlineStr">
        <is>
          <t>UPPSALA</t>
        </is>
      </c>
      <c r="G657" t="n">
        <v>0.7</v>
      </c>
      <c r="H657" t="n">
        <v>0</v>
      </c>
      <c r="I657" t="n">
        <v>0</v>
      </c>
      <c r="J657" t="n">
        <v>0</v>
      </c>
      <c r="K657" t="n">
        <v>0</v>
      </c>
      <c r="L657" t="n">
        <v>0</v>
      </c>
      <c r="M657" t="n">
        <v>0</v>
      </c>
      <c r="N657" t="n">
        <v>0</v>
      </c>
      <c r="O657" t="n">
        <v>0</v>
      </c>
      <c r="P657" t="n">
        <v>0</v>
      </c>
      <c r="Q657" t="n">
        <v>0</v>
      </c>
      <c r="R657" s="2" t="inlineStr"/>
    </row>
    <row r="658" ht="15" customHeight="1">
      <c r="A658" t="inlineStr">
        <is>
          <t>A 65809-2021</t>
        </is>
      </c>
      <c r="B658" s="1" t="n">
        <v>44517</v>
      </c>
      <c r="C658" s="1" t="n">
        <v>45340</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65811-2021</t>
        </is>
      </c>
      <c r="B659" s="1" t="n">
        <v>44517</v>
      </c>
      <c r="C659" s="1" t="n">
        <v>45340</v>
      </c>
      <c r="D659" t="inlineStr">
        <is>
          <t>UPPSALA LÄN</t>
        </is>
      </c>
      <c r="E659" t="inlineStr">
        <is>
          <t>UPPSALA</t>
        </is>
      </c>
      <c r="G659" t="n">
        <v>0.3</v>
      </c>
      <c r="H659" t="n">
        <v>0</v>
      </c>
      <c r="I659" t="n">
        <v>0</v>
      </c>
      <c r="J659" t="n">
        <v>0</v>
      </c>
      <c r="K659" t="n">
        <v>0</v>
      </c>
      <c r="L659" t="n">
        <v>0</v>
      </c>
      <c r="M659" t="n">
        <v>0</v>
      </c>
      <c r="N659" t="n">
        <v>0</v>
      </c>
      <c r="O659" t="n">
        <v>0</v>
      </c>
      <c r="P659" t="n">
        <v>0</v>
      </c>
      <c r="Q659" t="n">
        <v>0</v>
      </c>
      <c r="R659" s="2" t="inlineStr"/>
    </row>
    <row r="660" ht="15" customHeight="1">
      <c r="A660" t="inlineStr">
        <is>
          <t>A 65964-2021</t>
        </is>
      </c>
      <c r="B660" s="1" t="n">
        <v>44517</v>
      </c>
      <c r="C660" s="1" t="n">
        <v>45340</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66239-2021</t>
        </is>
      </c>
      <c r="B661" s="1" t="n">
        <v>44518</v>
      </c>
      <c r="C661" s="1" t="n">
        <v>45340</v>
      </c>
      <c r="D661" t="inlineStr">
        <is>
          <t>UPPSALA LÄN</t>
        </is>
      </c>
      <c r="E661" t="inlineStr">
        <is>
          <t>UPPSALA</t>
        </is>
      </c>
      <c r="G661" t="n">
        <v>4.2</v>
      </c>
      <c r="H661" t="n">
        <v>0</v>
      </c>
      <c r="I661" t="n">
        <v>0</v>
      </c>
      <c r="J661" t="n">
        <v>0</v>
      </c>
      <c r="K661" t="n">
        <v>0</v>
      </c>
      <c r="L661" t="n">
        <v>0</v>
      </c>
      <c r="M661" t="n">
        <v>0</v>
      </c>
      <c r="N661" t="n">
        <v>0</v>
      </c>
      <c r="O661" t="n">
        <v>0</v>
      </c>
      <c r="P661" t="n">
        <v>0</v>
      </c>
      <c r="Q661" t="n">
        <v>0</v>
      </c>
      <c r="R661" s="2" t="inlineStr"/>
    </row>
    <row r="662" ht="15" customHeight="1">
      <c r="A662" t="inlineStr">
        <is>
          <t>A 66690-2021</t>
        </is>
      </c>
      <c r="B662" s="1" t="n">
        <v>44519</v>
      </c>
      <c r="C662" s="1" t="n">
        <v>45340</v>
      </c>
      <c r="D662" t="inlineStr">
        <is>
          <t>UPPSALA LÄN</t>
        </is>
      </c>
      <c r="E662" t="inlineStr">
        <is>
          <t>UPPSALA</t>
        </is>
      </c>
      <c r="G662" t="n">
        <v>2.2</v>
      </c>
      <c r="H662" t="n">
        <v>0</v>
      </c>
      <c r="I662" t="n">
        <v>0</v>
      </c>
      <c r="J662" t="n">
        <v>0</v>
      </c>
      <c r="K662" t="n">
        <v>0</v>
      </c>
      <c r="L662" t="n">
        <v>0</v>
      </c>
      <c r="M662" t="n">
        <v>0</v>
      </c>
      <c r="N662" t="n">
        <v>0</v>
      </c>
      <c r="O662" t="n">
        <v>0</v>
      </c>
      <c r="P662" t="n">
        <v>0</v>
      </c>
      <c r="Q662" t="n">
        <v>0</v>
      </c>
      <c r="R662" s="2" t="inlineStr"/>
    </row>
    <row r="663" ht="15" customHeight="1">
      <c r="A663" t="inlineStr">
        <is>
          <t>A 66686-2021</t>
        </is>
      </c>
      <c r="B663" s="1" t="n">
        <v>44519</v>
      </c>
      <c r="C663" s="1" t="n">
        <v>45340</v>
      </c>
      <c r="D663" t="inlineStr">
        <is>
          <t>UPPSALA LÄN</t>
        </is>
      </c>
      <c r="E663" t="inlineStr">
        <is>
          <t>UPPSALA</t>
        </is>
      </c>
      <c r="G663" t="n">
        <v>6.4</v>
      </c>
      <c r="H663" t="n">
        <v>0</v>
      </c>
      <c r="I663" t="n">
        <v>0</v>
      </c>
      <c r="J663" t="n">
        <v>0</v>
      </c>
      <c r="K663" t="n">
        <v>0</v>
      </c>
      <c r="L663" t="n">
        <v>0</v>
      </c>
      <c r="M663" t="n">
        <v>0</v>
      </c>
      <c r="N663" t="n">
        <v>0</v>
      </c>
      <c r="O663" t="n">
        <v>0</v>
      </c>
      <c r="P663" t="n">
        <v>0</v>
      </c>
      <c r="Q663" t="n">
        <v>0</v>
      </c>
      <c r="R663" s="2" t="inlineStr"/>
    </row>
    <row r="664" ht="15" customHeight="1">
      <c r="A664" t="inlineStr">
        <is>
          <t>A 66794-2021</t>
        </is>
      </c>
      <c r="B664" s="1" t="n">
        <v>44522</v>
      </c>
      <c r="C664" s="1" t="n">
        <v>45340</v>
      </c>
      <c r="D664" t="inlineStr">
        <is>
          <t>UPPSALA LÄN</t>
        </is>
      </c>
      <c r="E664" t="inlineStr">
        <is>
          <t>UPPSALA</t>
        </is>
      </c>
      <c r="G664" t="n">
        <v>4.9</v>
      </c>
      <c r="H664" t="n">
        <v>0</v>
      </c>
      <c r="I664" t="n">
        <v>0</v>
      </c>
      <c r="J664" t="n">
        <v>0</v>
      </c>
      <c r="K664" t="n">
        <v>0</v>
      </c>
      <c r="L664" t="n">
        <v>0</v>
      </c>
      <c r="M664" t="n">
        <v>0</v>
      </c>
      <c r="N664" t="n">
        <v>0</v>
      </c>
      <c r="O664" t="n">
        <v>0</v>
      </c>
      <c r="P664" t="n">
        <v>0</v>
      </c>
      <c r="Q664" t="n">
        <v>0</v>
      </c>
      <c r="R664" s="2" t="inlineStr"/>
    </row>
    <row r="665" ht="15" customHeight="1">
      <c r="A665" t="inlineStr">
        <is>
          <t>A 66927-2021</t>
        </is>
      </c>
      <c r="B665" s="1" t="n">
        <v>44522</v>
      </c>
      <c r="C665" s="1" t="n">
        <v>45340</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66983-2021</t>
        </is>
      </c>
      <c r="B666" s="1" t="n">
        <v>44522</v>
      </c>
      <c r="C666" s="1" t="n">
        <v>45340</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67991-2021</t>
        </is>
      </c>
      <c r="B667" s="1" t="n">
        <v>44525</v>
      </c>
      <c r="C667" s="1" t="n">
        <v>45340</v>
      </c>
      <c r="D667" t="inlineStr">
        <is>
          <t>UPPSALA LÄN</t>
        </is>
      </c>
      <c r="E667" t="inlineStr">
        <is>
          <t>UPPSALA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68696-2021</t>
        </is>
      </c>
      <c r="B668" s="1" t="n">
        <v>44526</v>
      </c>
      <c r="C668" s="1" t="n">
        <v>45340</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68139-2021</t>
        </is>
      </c>
      <c r="B669" s="1" t="n">
        <v>44526</v>
      </c>
      <c r="C669" s="1" t="n">
        <v>45340</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68296-2021</t>
        </is>
      </c>
      <c r="B670" s="1" t="n">
        <v>44526</v>
      </c>
      <c r="C670" s="1" t="n">
        <v>45340</v>
      </c>
      <c r="D670" t="inlineStr">
        <is>
          <t>UPPSALA LÄN</t>
        </is>
      </c>
      <c r="E670" t="inlineStr">
        <is>
          <t>UPPSALA</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69067-2021</t>
        </is>
      </c>
      <c r="B671" s="1" t="n">
        <v>44530</v>
      </c>
      <c r="C671" s="1" t="n">
        <v>45340</v>
      </c>
      <c r="D671" t="inlineStr">
        <is>
          <t>UPPSALA LÄN</t>
        </is>
      </c>
      <c r="E671" t="inlineStr">
        <is>
          <t>UPPSALA</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69432-2021</t>
        </is>
      </c>
      <c r="B672" s="1" t="n">
        <v>44531</v>
      </c>
      <c r="C672" s="1" t="n">
        <v>45340</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69214-2021</t>
        </is>
      </c>
      <c r="B673" s="1" t="n">
        <v>44531</v>
      </c>
      <c r="C673" s="1" t="n">
        <v>45340</v>
      </c>
      <c r="D673" t="inlineStr">
        <is>
          <t>UPPSALA LÄN</t>
        </is>
      </c>
      <c r="E673" t="inlineStr">
        <is>
          <t>UPPSALA</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69397-2021</t>
        </is>
      </c>
      <c r="B674" s="1" t="n">
        <v>44531</v>
      </c>
      <c r="C674" s="1" t="n">
        <v>45340</v>
      </c>
      <c r="D674" t="inlineStr">
        <is>
          <t>UPPSALA LÄN</t>
        </is>
      </c>
      <c r="E674" t="inlineStr">
        <is>
          <t>UPPSALA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69436-2021</t>
        </is>
      </c>
      <c r="B675" s="1" t="n">
        <v>44531</v>
      </c>
      <c r="C675" s="1" t="n">
        <v>45340</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69439-2021</t>
        </is>
      </c>
      <c r="B676" s="1" t="n">
        <v>44531</v>
      </c>
      <c r="C676" s="1" t="n">
        <v>45340</v>
      </c>
      <c r="D676" t="inlineStr">
        <is>
          <t>UPPSALA LÄN</t>
        </is>
      </c>
      <c r="E676" t="inlineStr">
        <is>
          <t>UPPSALA</t>
        </is>
      </c>
      <c r="G676" t="n">
        <v>2</v>
      </c>
      <c r="H676" t="n">
        <v>0</v>
      </c>
      <c r="I676" t="n">
        <v>0</v>
      </c>
      <c r="J676" t="n">
        <v>0</v>
      </c>
      <c r="K676" t="n">
        <v>0</v>
      </c>
      <c r="L676" t="n">
        <v>0</v>
      </c>
      <c r="M676" t="n">
        <v>0</v>
      </c>
      <c r="N676" t="n">
        <v>0</v>
      </c>
      <c r="O676" t="n">
        <v>0</v>
      </c>
      <c r="P676" t="n">
        <v>0</v>
      </c>
      <c r="Q676" t="n">
        <v>0</v>
      </c>
      <c r="R676" s="2" t="inlineStr"/>
    </row>
    <row r="677" ht="15" customHeight="1">
      <c r="A677" t="inlineStr">
        <is>
          <t>A 69711-2021</t>
        </is>
      </c>
      <c r="B677" s="1" t="n">
        <v>44532</v>
      </c>
      <c r="C677" s="1" t="n">
        <v>45340</v>
      </c>
      <c r="D677" t="inlineStr">
        <is>
          <t>UPPSALA LÄN</t>
        </is>
      </c>
      <c r="E677" t="inlineStr">
        <is>
          <t>UPPSALA</t>
        </is>
      </c>
      <c r="G677" t="n">
        <v>10.2</v>
      </c>
      <c r="H677" t="n">
        <v>0</v>
      </c>
      <c r="I677" t="n">
        <v>0</v>
      </c>
      <c r="J677" t="n">
        <v>0</v>
      </c>
      <c r="K677" t="n">
        <v>0</v>
      </c>
      <c r="L677" t="n">
        <v>0</v>
      </c>
      <c r="M677" t="n">
        <v>0</v>
      </c>
      <c r="N677" t="n">
        <v>0</v>
      </c>
      <c r="O677" t="n">
        <v>0</v>
      </c>
      <c r="P677" t="n">
        <v>0</v>
      </c>
      <c r="Q677" t="n">
        <v>0</v>
      </c>
      <c r="R677" s="2" t="inlineStr"/>
    </row>
    <row r="678" ht="15" customHeight="1">
      <c r="A678" t="inlineStr">
        <is>
          <t>A 69595-2021</t>
        </is>
      </c>
      <c r="B678" s="1" t="n">
        <v>44532</v>
      </c>
      <c r="C678" s="1" t="n">
        <v>45340</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45340</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69691-2021</t>
        </is>
      </c>
      <c r="B680" s="1" t="n">
        <v>44532</v>
      </c>
      <c r="C680" s="1" t="n">
        <v>45340</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70032-2021</t>
        </is>
      </c>
      <c r="B681" s="1" t="n">
        <v>44533</v>
      </c>
      <c r="C681" s="1" t="n">
        <v>45340</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70031-2021</t>
        </is>
      </c>
      <c r="B682" s="1" t="n">
        <v>44533</v>
      </c>
      <c r="C682" s="1" t="n">
        <v>45340</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70359-2021</t>
        </is>
      </c>
      <c r="B683" s="1" t="n">
        <v>44535</v>
      </c>
      <c r="C683" s="1" t="n">
        <v>45340</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70228-2021</t>
        </is>
      </c>
      <c r="B684" s="1" t="n">
        <v>44535</v>
      </c>
      <c r="C684" s="1" t="n">
        <v>45340</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70996-2021</t>
        </is>
      </c>
      <c r="B685" s="1" t="n">
        <v>44538</v>
      </c>
      <c r="C685" s="1" t="n">
        <v>45340</v>
      </c>
      <c r="D685" t="inlineStr">
        <is>
          <t>UPPSALA LÄN</t>
        </is>
      </c>
      <c r="E685" t="inlineStr">
        <is>
          <t>UPPSALA</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71563-2021</t>
        </is>
      </c>
      <c r="B686" s="1" t="n">
        <v>44540</v>
      </c>
      <c r="C686" s="1" t="n">
        <v>45340</v>
      </c>
      <c r="D686" t="inlineStr">
        <is>
          <t>UPPSALA LÄN</t>
        </is>
      </c>
      <c r="E686" t="inlineStr">
        <is>
          <t>UPPSALA</t>
        </is>
      </c>
      <c r="F686" t="inlineStr">
        <is>
          <t>Allmännings- och besparingsskogar</t>
        </is>
      </c>
      <c r="G686" t="n">
        <v>7.7</v>
      </c>
      <c r="H686" t="n">
        <v>0</v>
      </c>
      <c r="I686" t="n">
        <v>0</v>
      </c>
      <c r="J686" t="n">
        <v>0</v>
      </c>
      <c r="K686" t="n">
        <v>0</v>
      </c>
      <c r="L686" t="n">
        <v>0</v>
      </c>
      <c r="M686" t="n">
        <v>0</v>
      </c>
      <c r="N686" t="n">
        <v>0</v>
      </c>
      <c r="O686" t="n">
        <v>0</v>
      </c>
      <c r="P686" t="n">
        <v>0</v>
      </c>
      <c r="Q686" t="n">
        <v>0</v>
      </c>
      <c r="R686" s="2" t="inlineStr"/>
    </row>
    <row r="687" ht="15" customHeight="1">
      <c r="A687" t="inlineStr">
        <is>
          <t>A 71675-2021</t>
        </is>
      </c>
      <c r="B687" s="1" t="n">
        <v>44543</v>
      </c>
      <c r="C687" s="1" t="n">
        <v>45340</v>
      </c>
      <c r="D687" t="inlineStr">
        <is>
          <t>UPPSALA LÄN</t>
        </is>
      </c>
      <c r="E687" t="inlineStr">
        <is>
          <t>UPPSALA</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71643-2021</t>
        </is>
      </c>
      <c r="B688" s="1" t="n">
        <v>44543</v>
      </c>
      <c r="C688" s="1" t="n">
        <v>45340</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71671-2021</t>
        </is>
      </c>
      <c r="B689" s="1" t="n">
        <v>44543</v>
      </c>
      <c r="C689" s="1" t="n">
        <v>45340</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72225-2021</t>
        </is>
      </c>
      <c r="B690" s="1" t="n">
        <v>44544</v>
      </c>
      <c r="C690" s="1" t="n">
        <v>45340</v>
      </c>
      <c r="D690" t="inlineStr">
        <is>
          <t>UPPSALA LÄN</t>
        </is>
      </c>
      <c r="E690" t="inlineStr">
        <is>
          <t>UPPSALA</t>
        </is>
      </c>
      <c r="G690" t="n">
        <v>6.2</v>
      </c>
      <c r="H690" t="n">
        <v>0</v>
      </c>
      <c r="I690" t="n">
        <v>0</v>
      </c>
      <c r="J690" t="n">
        <v>0</v>
      </c>
      <c r="K690" t="n">
        <v>0</v>
      </c>
      <c r="L690" t="n">
        <v>0</v>
      </c>
      <c r="M690" t="n">
        <v>0</v>
      </c>
      <c r="N690" t="n">
        <v>0</v>
      </c>
      <c r="O690" t="n">
        <v>0</v>
      </c>
      <c r="P690" t="n">
        <v>0</v>
      </c>
      <c r="Q690" t="n">
        <v>0</v>
      </c>
      <c r="R690" s="2" t="inlineStr"/>
    </row>
    <row r="691" ht="15" customHeight="1">
      <c r="A691" t="inlineStr">
        <is>
          <t>A 72224-2021</t>
        </is>
      </c>
      <c r="B691" s="1" t="n">
        <v>44544</v>
      </c>
      <c r="C691" s="1" t="n">
        <v>45340</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72973-2021</t>
        </is>
      </c>
      <c r="B692" s="1" t="n">
        <v>44548</v>
      </c>
      <c r="C692" s="1" t="n">
        <v>45340</v>
      </c>
      <c r="D692" t="inlineStr">
        <is>
          <t>UPPSALA LÄN</t>
        </is>
      </c>
      <c r="E692" t="inlineStr">
        <is>
          <t>UPPSALA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73326-2021</t>
        </is>
      </c>
      <c r="B693" s="1" t="n">
        <v>44548</v>
      </c>
      <c r="C693" s="1" t="n">
        <v>45340</v>
      </c>
      <c r="D693" t="inlineStr">
        <is>
          <t>UPPSALA LÄN</t>
        </is>
      </c>
      <c r="E693" t="inlineStr">
        <is>
          <t>UPPSALA</t>
        </is>
      </c>
      <c r="G693" t="n">
        <v>4</v>
      </c>
      <c r="H693" t="n">
        <v>0</v>
      </c>
      <c r="I693" t="n">
        <v>0</v>
      </c>
      <c r="J693" t="n">
        <v>0</v>
      </c>
      <c r="K693" t="n">
        <v>0</v>
      </c>
      <c r="L693" t="n">
        <v>0</v>
      </c>
      <c r="M693" t="n">
        <v>0</v>
      </c>
      <c r="N693" t="n">
        <v>0</v>
      </c>
      <c r="O693" t="n">
        <v>0</v>
      </c>
      <c r="P693" t="n">
        <v>0</v>
      </c>
      <c r="Q693" t="n">
        <v>0</v>
      </c>
      <c r="R693" s="2" t="inlineStr"/>
    </row>
    <row r="694" ht="15" customHeight="1">
      <c r="A694" t="inlineStr">
        <is>
          <t>A 73044-2021</t>
        </is>
      </c>
      <c r="B694" s="1" t="n">
        <v>44550</v>
      </c>
      <c r="C694" s="1" t="n">
        <v>45340</v>
      </c>
      <c r="D694" t="inlineStr">
        <is>
          <t>UPPSALA LÄN</t>
        </is>
      </c>
      <c r="E694" t="inlineStr">
        <is>
          <t>UPPSALA</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73468-2021</t>
        </is>
      </c>
      <c r="B695" s="1" t="n">
        <v>44551</v>
      </c>
      <c r="C695" s="1" t="n">
        <v>45340</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73518-2021</t>
        </is>
      </c>
      <c r="B696" s="1" t="n">
        <v>44551</v>
      </c>
      <c r="C696" s="1" t="n">
        <v>45340</v>
      </c>
      <c r="D696" t="inlineStr">
        <is>
          <t>UPPSALA LÄN</t>
        </is>
      </c>
      <c r="E696" t="inlineStr">
        <is>
          <t>UPPSALA</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73531-2021</t>
        </is>
      </c>
      <c r="B697" s="1" t="n">
        <v>44551</v>
      </c>
      <c r="C697" s="1" t="n">
        <v>45340</v>
      </c>
      <c r="D697" t="inlineStr">
        <is>
          <t>UPPSALA LÄN</t>
        </is>
      </c>
      <c r="E697" t="inlineStr">
        <is>
          <t>UPPSALA</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74019-2021</t>
        </is>
      </c>
      <c r="B698" s="1" t="n">
        <v>44553</v>
      </c>
      <c r="C698" s="1" t="n">
        <v>45340</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74023-2021</t>
        </is>
      </c>
      <c r="B699" s="1" t="n">
        <v>44553</v>
      </c>
      <c r="C699" s="1" t="n">
        <v>45340</v>
      </c>
      <c r="D699" t="inlineStr">
        <is>
          <t>UPPSALA LÄN</t>
        </is>
      </c>
      <c r="E699" t="inlineStr">
        <is>
          <t>UPPSALA</t>
        </is>
      </c>
      <c r="G699" t="n">
        <v>5.4</v>
      </c>
      <c r="H699" t="n">
        <v>0</v>
      </c>
      <c r="I699" t="n">
        <v>0</v>
      </c>
      <c r="J699" t="n">
        <v>0</v>
      </c>
      <c r="K699" t="n">
        <v>0</v>
      </c>
      <c r="L699" t="n">
        <v>0</v>
      </c>
      <c r="M699" t="n">
        <v>0</v>
      </c>
      <c r="N699" t="n">
        <v>0</v>
      </c>
      <c r="O699" t="n">
        <v>0</v>
      </c>
      <c r="P699" t="n">
        <v>0</v>
      </c>
      <c r="Q699" t="n">
        <v>0</v>
      </c>
      <c r="R699" s="2" t="inlineStr"/>
    </row>
    <row r="700" ht="15" customHeight="1">
      <c r="A700" t="inlineStr">
        <is>
          <t>A 74493-2021</t>
        </is>
      </c>
      <c r="B700" s="1" t="n">
        <v>44560</v>
      </c>
      <c r="C700" s="1" t="n">
        <v>45340</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74495-2021</t>
        </is>
      </c>
      <c r="B701" s="1" t="n">
        <v>44560</v>
      </c>
      <c r="C701" s="1" t="n">
        <v>45340</v>
      </c>
      <c r="D701" t="inlineStr">
        <is>
          <t>UPPSALA LÄN</t>
        </is>
      </c>
      <c r="E701" t="inlineStr">
        <is>
          <t>UPPSALA</t>
        </is>
      </c>
      <c r="G701" t="n">
        <v>1.9</v>
      </c>
      <c r="H701" t="n">
        <v>0</v>
      </c>
      <c r="I701" t="n">
        <v>0</v>
      </c>
      <c r="J701" t="n">
        <v>0</v>
      </c>
      <c r="K701" t="n">
        <v>0</v>
      </c>
      <c r="L701" t="n">
        <v>0</v>
      </c>
      <c r="M701" t="n">
        <v>0</v>
      </c>
      <c r="N701" t="n">
        <v>0</v>
      </c>
      <c r="O701" t="n">
        <v>0</v>
      </c>
      <c r="P701" t="n">
        <v>0</v>
      </c>
      <c r="Q701" t="n">
        <v>0</v>
      </c>
      <c r="R701" s="2" t="inlineStr"/>
    </row>
    <row r="702" ht="15" customHeight="1">
      <c r="A702" t="inlineStr">
        <is>
          <t>A 612-2022</t>
        </is>
      </c>
      <c r="B702" s="1" t="n">
        <v>44567</v>
      </c>
      <c r="C702" s="1" t="n">
        <v>45340</v>
      </c>
      <c r="D702" t="inlineStr">
        <is>
          <t>UPPSALA LÄN</t>
        </is>
      </c>
      <c r="E702" t="inlineStr">
        <is>
          <t>UPPSALA</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733-2022</t>
        </is>
      </c>
      <c r="B703" s="1" t="n">
        <v>44568</v>
      </c>
      <c r="C703" s="1" t="n">
        <v>45340</v>
      </c>
      <c r="D703" t="inlineStr">
        <is>
          <t>UPPSALA LÄN</t>
        </is>
      </c>
      <c r="E703" t="inlineStr">
        <is>
          <t>UPPSALA</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752-2022</t>
        </is>
      </c>
      <c r="B704" s="1" t="n">
        <v>44569</v>
      </c>
      <c r="C704" s="1" t="n">
        <v>45340</v>
      </c>
      <c r="D704" t="inlineStr">
        <is>
          <t>UPPSALA LÄN</t>
        </is>
      </c>
      <c r="E704" t="inlineStr">
        <is>
          <t>UPPSALA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750-2022</t>
        </is>
      </c>
      <c r="B705" s="1" t="n">
        <v>44569</v>
      </c>
      <c r="C705" s="1" t="n">
        <v>45340</v>
      </c>
      <c r="D705" t="inlineStr">
        <is>
          <t>UPPSALA LÄN</t>
        </is>
      </c>
      <c r="E705" t="inlineStr">
        <is>
          <t>UPPSALA</t>
        </is>
      </c>
      <c r="F705" t="inlineStr">
        <is>
          <t>Holmen skog AB</t>
        </is>
      </c>
      <c r="G705" t="n">
        <v>6</v>
      </c>
      <c r="H705" t="n">
        <v>0</v>
      </c>
      <c r="I705" t="n">
        <v>0</v>
      </c>
      <c r="J705" t="n">
        <v>0</v>
      </c>
      <c r="K705" t="n">
        <v>0</v>
      </c>
      <c r="L705" t="n">
        <v>0</v>
      </c>
      <c r="M705" t="n">
        <v>0</v>
      </c>
      <c r="N705" t="n">
        <v>0</v>
      </c>
      <c r="O705" t="n">
        <v>0</v>
      </c>
      <c r="P705" t="n">
        <v>0</v>
      </c>
      <c r="Q705" t="n">
        <v>0</v>
      </c>
      <c r="R705" s="2" t="inlineStr"/>
    </row>
    <row r="706" ht="15" customHeight="1">
      <c r="A706" t="inlineStr">
        <is>
          <t>A 759-2022</t>
        </is>
      </c>
      <c r="B706" s="1" t="n">
        <v>44569</v>
      </c>
      <c r="C706" s="1" t="n">
        <v>45340</v>
      </c>
      <c r="D706" t="inlineStr">
        <is>
          <t>UPPSALA LÄN</t>
        </is>
      </c>
      <c r="E706" t="inlineStr">
        <is>
          <t>UPPSALA</t>
        </is>
      </c>
      <c r="F706" t="inlineStr">
        <is>
          <t>Holmen skog AB</t>
        </is>
      </c>
      <c r="G706" t="n">
        <v>3.6</v>
      </c>
      <c r="H706" t="n">
        <v>0</v>
      </c>
      <c r="I706" t="n">
        <v>0</v>
      </c>
      <c r="J706" t="n">
        <v>0</v>
      </c>
      <c r="K706" t="n">
        <v>0</v>
      </c>
      <c r="L706" t="n">
        <v>0</v>
      </c>
      <c r="M706" t="n">
        <v>0</v>
      </c>
      <c r="N706" t="n">
        <v>0</v>
      </c>
      <c r="O706" t="n">
        <v>0</v>
      </c>
      <c r="P706" t="n">
        <v>0</v>
      </c>
      <c r="Q706" t="n">
        <v>0</v>
      </c>
      <c r="R706" s="2" t="inlineStr"/>
    </row>
    <row r="707" ht="15" customHeight="1">
      <c r="A707" t="inlineStr">
        <is>
          <t>A 758-2022</t>
        </is>
      </c>
      <c r="B707" s="1" t="n">
        <v>44569</v>
      </c>
      <c r="C707" s="1" t="n">
        <v>45340</v>
      </c>
      <c r="D707" t="inlineStr">
        <is>
          <t>UPPSALA LÄN</t>
        </is>
      </c>
      <c r="E707" t="inlineStr">
        <is>
          <t>UPPSALA</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917-2022</t>
        </is>
      </c>
      <c r="B708" s="1" t="n">
        <v>44571</v>
      </c>
      <c r="C708" s="1" t="n">
        <v>45340</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874-2022</t>
        </is>
      </c>
      <c r="B709" s="1" t="n">
        <v>44571</v>
      </c>
      <c r="C709" s="1" t="n">
        <v>45340</v>
      </c>
      <c r="D709" t="inlineStr">
        <is>
          <t>UPPSALA LÄN</t>
        </is>
      </c>
      <c r="E709" t="inlineStr">
        <is>
          <t>UPPSALA</t>
        </is>
      </c>
      <c r="G709" t="n">
        <v>7.2</v>
      </c>
      <c r="H709" t="n">
        <v>0</v>
      </c>
      <c r="I709" t="n">
        <v>0</v>
      </c>
      <c r="J709" t="n">
        <v>0</v>
      </c>
      <c r="K709" t="n">
        <v>0</v>
      </c>
      <c r="L709" t="n">
        <v>0</v>
      </c>
      <c r="M709" t="n">
        <v>0</v>
      </c>
      <c r="N709" t="n">
        <v>0</v>
      </c>
      <c r="O709" t="n">
        <v>0</v>
      </c>
      <c r="P709" t="n">
        <v>0</v>
      </c>
      <c r="Q709" t="n">
        <v>0</v>
      </c>
      <c r="R709" s="2" t="inlineStr"/>
    </row>
    <row r="710" ht="15" customHeight="1">
      <c r="A710" t="inlineStr">
        <is>
          <t>A 1037-2022</t>
        </is>
      </c>
      <c r="B710" s="1" t="n">
        <v>44571</v>
      </c>
      <c r="C710" s="1" t="n">
        <v>45340</v>
      </c>
      <c r="D710" t="inlineStr">
        <is>
          <t>UPPSALA LÄN</t>
        </is>
      </c>
      <c r="E710" t="inlineStr">
        <is>
          <t>UPPSALA</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1148-2022</t>
        </is>
      </c>
      <c r="B711" s="1" t="n">
        <v>44572</v>
      </c>
      <c r="C711" s="1" t="n">
        <v>45340</v>
      </c>
      <c r="D711" t="inlineStr">
        <is>
          <t>UPPSALA LÄN</t>
        </is>
      </c>
      <c r="E711" t="inlineStr">
        <is>
          <t>UPPSALA</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1298-2022</t>
        </is>
      </c>
      <c r="B712" s="1" t="n">
        <v>44572</v>
      </c>
      <c r="C712" s="1" t="n">
        <v>45340</v>
      </c>
      <c r="D712" t="inlineStr">
        <is>
          <t>UPPSALA LÄN</t>
        </is>
      </c>
      <c r="E712" t="inlineStr">
        <is>
          <t>UPPSALA</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1731-2022</t>
        </is>
      </c>
      <c r="B713" s="1" t="n">
        <v>44574</v>
      </c>
      <c r="C713" s="1" t="n">
        <v>45340</v>
      </c>
      <c r="D713" t="inlineStr">
        <is>
          <t>UPPSALA LÄN</t>
        </is>
      </c>
      <c r="E713" t="inlineStr">
        <is>
          <t>UPPSALA</t>
        </is>
      </c>
      <c r="G713" t="n">
        <v>10.1</v>
      </c>
      <c r="H713" t="n">
        <v>0</v>
      </c>
      <c r="I713" t="n">
        <v>0</v>
      </c>
      <c r="J713" t="n">
        <v>0</v>
      </c>
      <c r="K713" t="n">
        <v>0</v>
      </c>
      <c r="L713" t="n">
        <v>0</v>
      </c>
      <c r="M713" t="n">
        <v>0</v>
      </c>
      <c r="N713" t="n">
        <v>0</v>
      </c>
      <c r="O713" t="n">
        <v>0</v>
      </c>
      <c r="P713" t="n">
        <v>0</v>
      </c>
      <c r="Q713" t="n">
        <v>0</v>
      </c>
      <c r="R713" s="2" t="inlineStr"/>
    </row>
    <row r="714" ht="15" customHeight="1">
      <c r="A714" t="inlineStr">
        <is>
          <t>A 1963-2022</t>
        </is>
      </c>
      <c r="B714" s="1" t="n">
        <v>44575</v>
      </c>
      <c r="C714" s="1" t="n">
        <v>45340</v>
      </c>
      <c r="D714" t="inlineStr">
        <is>
          <t>UPPSALA LÄN</t>
        </is>
      </c>
      <c r="E714" t="inlineStr">
        <is>
          <t>UPPSALA</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1975-2022</t>
        </is>
      </c>
      <c r="B715" s="1" t="n">
        <v>44575</v>
      </c>
      <c r="C715" s="1" t="n">
        <v>45340</v>
      </c>
      <c r="D715" t="inlineStr">
        <is>
          <t>UPPSALA LÄN</t>
        </is>
      </c>
      <c r="E715" t="inlineStr">
        <is>
          <t>UPPSALA</t>
        </is>
      </c>
      <c r="G715" t="n">
        <v>3.9</v>
      </c>
      <c r="H715" t="n">
        <v>0</v>
      </c>
      <c r="I715" t="n">
        <v>0</v>
      </c>
      <c r="J715" t="n">
        <v>0</v>
      </c>
      <c r="K715" t="n">
        <v>0</v>
      </c>
      <c r="L715" t="n">
        <v>0</v>
      </c>
      <c r="M715" t="n">
        <v>0</v>
      </c>
      <c r="N715" t="n">
        <v>0</v>
      </c>
      <c r="O715" t="n">
        <v>0</v>
      </c>
      <c r="P715" t="n">
        <v>0</v>
      </c>
      <c r="Q715" t="n">
        <v>0</v>
      </c>
      <c r="R715" s="2" t="inlineStr"/>
    </row>
    <row r="716" ht="15" customHeight="1">
      <c r="A716" t="inlineStr">
        <is>
          <t>A 1936-2022</t>
        </is>
      </c>
      <c r="B716" s="1" t="n">
        <v>44575</v>
      </c>
      <c r="C716" s="1" t="n">
        <v>45340</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1978-2022</t>
        </is>
      </c>
      <c r="B717" s="1" t="n">
        <v>44575</v>
      </c>
      <c r="C717" s="1" t="n">
        <v>45340</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2017-2022</t>
        </is>
      </c>
      <c r="B718" s="1" t="n">
        <v>44575</v>
      </c>
      <c r="C718" s="1" t="n">
        <v>45340</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2228-2022</t>
        </is>
      </c>
      <c r="B719" s="1" t="n">
        <v>44578</v>
      </c>
      <c r="C719" s="1" t="n">
        <v>45340</v>
      </c>
      <c r="D719" t="inlineStr">
        <is>
          <t>UPPSALA LÄN</t>
        </is>
      </c>
      <c r="E719" t="inlineStr">
        <is>
          <t>UPPSALA</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2927-2022</t>
        </is>
      </c>
      <c r="B720" s="1" t="n">
        <v>44581</v>
      </c>
      <c r="C720" s="1" t="n">
        <v>45340</v>
      </c>
      <c r="D720" t="inlineStr">
        <is>
          <t>UPPSALA LÄN</t>
        </is>
      </c>
      <c r="E720" t="inlineStr">
        <is>
          <t>UPPSALA</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3259-2022</t>
        </is>
      </c>
      <c r="B721" s="1" t="n">
        <v>44583</v>
      </c>
      <c r="C721" s="1" t="n">
        <v>45340</v>
      </c>
      <c r="D721" t="inlineStr">
        <is>
          <t>UPPSALA LÄN</t>
        </is>
      </c>
      <c r="E721" t="inlineStr">
        <is>
          <t>UPPSALA</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3261-2022</t>
        </is>
      </c>
      <c r="B722" s="1" t="n">
        <v>44583</v>
      </c>
      <c r="C722" s="1" t="n">
        <v>45340</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3252-2022</t>
        </is>
      </c>
      <c r="B723" s="1" t="n">
        <v>44583</v>
      </c>
      <c r="C723" s="1" t="n">
        <v>45340</v>
      </c>
      <c r="D723" t="inlineStr">
        <is>
          <t>UPPSALA LÄN</t>
        </is>
      </c>
      <c r="E723" t="inlineStr">
        <is>
          <t>UPPSALA</t>
        </is>
      </c>
      <c r="F723" t="inlineStr">
        <is>
          <t>Holmen skog AB</t>
        </is>
      </c>
      <c r="G723" t="n">
        <v>3.7</v>
      </c>
      <c r="H723" t="n">
        <v>0</v>
      </c>
      <c r="I723" t="n">
        <v>0</v>
      </c>
      <c r="J723" t="n">
        <v>0</v>
      </c>
      <c r="K723" t="n">
        <v>0</v>
      </c>
      <c r="L723" t="n">
        <v>0</v>
      </c>
      <c r="M723" t="n">
        <v>0</v>
      </c>
      <c r="N723" t="n">
        <v>0</v>
      </c>
      <c r="O723" t="n">
        <v>0</v>
      </c>
      <c r="P723" t="n">
        <v>0</v>
      </c>
      <c r="Q723" t="n">
        <v>0</v>
      </c>
      <c r="R723" s="2" t="inlineStr"/>
    </row>
    <row r="724" ht="15" customHeight="1">
      <c r="A724" t="inlineStr">
        <is>
          <t>A 3258-2022</t>
        </is>
      </c>
      <c r="B724" s="1" t="n">
        <v>44583</v>
      </c>
      <c r="C724" s="1" t="n">
        <v>45340</v>
      </c>
      <c r="D724" t="inlineStr">
        <is>
          <t>UPPSALA LÄN</t>
        </is>
      </c>
      <c r="E724" t="inlineStr">
        <is>
          <t>UPPSALA</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3262-2022</t>
        </is>
      </c>
      <c r="B725" s="1" t="n">
        <v>44583</v>
      </c>
      <c r="C725" s="1" t="n">
        <v>45340</v>
      </c>
      <c r="D725" t="inlineStr">
        <is>
          <t>UPPSALA LÄN</t>
        </is>
      </c>
      <c r="E725" t="inlineStr">
        <is>
          <t>UPPSALA</t>
        </is>
      </c>
      <c r="F725" t="inlineStr">
        <is>
          <t>Holmen skog AB</t>
        </is>
      </c>
      <c r="G725" t="n">
        <v>5.4</v>
      </c>
      <c r="H725" t="n">
        <v>0</v>
      </c>
      <c r="I725" t="n">
        <v>0</v>
      </c>
      <c r="J725" t="n">
        <v>0</v>
      </c>
      <c r="K725" t="n">
        <v>0</v>
      </c>
      <c r="L725" t="n">
        <v>0</v>
      </c>
      <c r="M725" t="n">
        <v>0</v>
      </c>
      <c r="N725" t="n">
        <v>0</v>
      </c>
      <c r="O725" t="n">
        <v>0</v>
      </c>
      <c r="P725" t="n">
        <v>0</v>
      </c>
      <c r="Q725" t="n">
        <v>0</v>
      </c>
      <c r="R725" s="2" t="inlineStr"/>
    </row>
    <row r="726" ht="15" customHeight="1">
      <c r="A726" t="inlineStr">
        <is>
          <t>A 3255-2022</t>
        </is>
      </c>
      <c r="B726" s="1" t="n">
        <v>44583</v>
      </c>
      <c r="C726" s="1" t="n">
        <v>45340</v>
      </c>
      <c r="D726" t="inlineStr">
        <is>
          <t>UPPSALA LÄN</t>
        </is>
      </c>
      <c r="E726" t="inlineStr">
        <is>
          <t>UPPSALA</t>
        </is>
      </c>
      <c r="F726" t="inlineStr">
        <is>
          <t>Holmen skog AB</t>
        </is>
      </c>
      <c r="G726" t="n">
        <v>5.6</v>
      </c>
      <c r="H726" t="n">
        <v>0</v>
      </c>
      <c r="I726" t="n">
        <v>0</v>
      </c>
      <c r="J726" t="n">
        <v>0</v>
      </c>
      <c r="K726" t="n">
        <v>0</v>
      </c>
      <c r="L726" t="n">
        <v>0</v>
      </c>
      <c r="M726" t="n">
        <v>0</v>
      </c>
      <c r="N726" t="n">
        <v>0</v>
      </c>
      <c r="O726" t="n">
        <v>0</v>
      </c>
      <c r="P726" t="n">
        <v>0</v>
      </c>
      <c r="Q726" t="n">
        <v>0</v>
      </c>
      <c r="R726" s="2" t="inlineStr"/>
    </row>
    <row r="727" ht="15" customHeight="1">
      <c r="A727" t="inlineStr">
        <is>
          <t>A 3260-2022</t>
        </is>
      </c>
      <c r="B727" s="1" t="n">
        <v>44583</v>
      </c>
      <c r="C727" s="1" t="n">
        <v>45340</v>
      </c>
      <c r="D727" t="inlineStr">
        <is>
          <t>UPPSALA LÄN</t>
        </is>
      </c>
      <c r="E727" t="inlineStr">
        <is>
          <t>UPPSALA</t>
        </is>
      </c>
      <c r="F727" t="inlineStr">
        <is>
          <t>Holmen skog AB</t>
        </is>
      </c>
      <c r="G727" t="n">
        <v>0.5</v>
      </c>
      <c r="H727" t="n">
        <v>0</v>
      </c>
      <c r="I727" t="n">
        <v>0</v>
      </c>
      <c r="J727" t="n">
        <v>0</v>
      </c>
      <c r="K727" t="n">
        <v>0</v>
      </c>
      <c r="L727" t="n">
        <v>0</v>
      </c>
      <c r="M727" t="n">
        <v>0</v>
      </c>
      <c r="N727" t="n">
        <v>0</v>
      </c>
      <c r="O727" t="n">
        <v>0</v>
      </c>
      <c r="P727" t="n">
        <v>0</v>
      </c>
      <c r="Q727" t="n">
        <v>0</v>
      </c>
      <c r="R727" s="2" t="inlineStr"/>
    </row>
    <row r="728" ht="15" customHeight="1">
      <c r="A728" t="inlineStr">
        <is>
          <t>A 3284-2022</t>
        </is>
      </c>
      <c r="B728" s="1" t="n">
        <v>44584</v>
      </c>
      <c r="C728" s="1" t="n">
        <v>45340</v>
      </c>
      <c r="D728" t="inlineStr">
        <is>
          <t>UPPSALA LÄN</t>
        </is>
      </c>
      <c r="E728" t="inlineStr">
        <is>
          <t>UPPSALA</t>
        </is>
      </c>
      <c r="F728" t="inlineStr">
        <is>
          <t>Holmen skog AB</t>
        </is>
      </c>
      <c r="G728" t="n">
        <v>3</v>
      </c>
      <c r="H728" t="n">
        <v>0</v>
      </c>
      <c r="I728" t="n">
        <v>0</v>
      </c>
      <c r="J728" t="n">
        <v>0</v>
      </c>
      <c r="K728" t="n">
        <v>0</v>
      </c>
      <c r="L728" t="n">
        <v>0</v>
      </c>
      <c r="M728" t="n">
        <v>0</v>
      </c>
      <c r="N728" t="n">
        <v>0</v>
      </c>
      <c r="O728" t="n">
        <v>0</v>
      </c>
      <c r="P728" t="n">
        <v>0</v>
      </c>
      <c r="Q728" t="n">
        <v>0</v>
      </c>
      <c r="R728" s="2" t="inlineStr"/>
    </row>
    <row r="729" ht="15" customHeight="1">
      <c r="A729" t="inlineStr">
        <is>
          <t>A 3287-2022</t>
        </is>
      </c>
      <c r="B729" s="1" t="n">
        <v>44584</v>
      </c>
      <c r="C729" s="1" t="n">
        <v>45340</v>
      </c>
      <c r="D729" t="inlineStr">
        <is>
          <t>UPPSALA LÄN</t>
        </is>
      </c>
      <c r="E729" t="inlineStr">
        <is>
          <t>UPPSALA</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4059-2022</t>
        </is>
      </c>
      <c r="B730" s="1" t="n">
        <v>44588</v>
      </c>
      <c r="C730" s="1" t="n">
        <v>45340</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4312-2022</t>
        </is>
      </c>
      <c r="B731" s="1" t="n">
        <v>44588</v>
      </c>
      <c r="C731" s="1" t="n">
        <v>45340</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4444-2022</t>
        </is>
      </c>
      <c r="B732" s="1" t="n">
        <v>44589</v>
      </c>
      <c r="C732" s="1" t="n">
        <v>45340</v>
      </c>
      <c r="D732" t="inlineStr">
        <is>
          <t>UPPSALA LÄN</t>
        </is>
      </c>
      <c r="E732" t="inlineStr">
        <is>
          <t>UPPSALA</t>
        </is>
      </c>
      <c r="G732" t="n">
        <v>3.2</v>
      </c>
      <c r="H732" t="n">
        <v>0</v>
      </c>
      <c r="I732" t="n">
        <v>0</v>
      </c>
      <c r="J732" t="n">
        <v>0</v>
      </c>
      <c r="K732" t="n">
        <v>0</v>
      </c>
      <c r="L732" t="n">
        <v>0</v>
      </c>
      <c r="M732" t="n">
        <v>0</v>
      </c>
      <c r="N732" t="n">
        <v>0</v>
      </c>
      <c r="O732" t="n">
        <v>0</v>
      </c>
      <c r="P732" t="n">
        <v>0</v>
      </c>
      <c r="Q732" t="n">
        <v>0</v>
      </c>
      <c r="R732" s="2" t="inlineStr"/>
    </row>
    <row r="733" ht="15" customHeight="1">
      <c r="A733" t="inlineStr">
        <is>
          <t>A 4929-2022</t>
        </is>
      </c>
      <c r="B733" s="1" t="n">
        <v>44593</v>
      </c>
      <c r="C733" s="1" t="n">
        <v>45340</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5027-2022</t>
        </is>
      </c>
      <c r="B734" s="1" t="n">
        <v>44593</v>
      </c>
      <c r="C734" s="1" t="n">
        <v>45340</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5081-2022</t>
        </is>
      </c>
      <c r="B735" s="1" t="n">
        <v>44593</v>
      </c>
      <c r="C735" s="1" t="n">
        <v>45340</v>
      </c>
      <c r="D735" t="inlineStr">
        <is>
          <t>UPPSALA LÄN</t>
        </is>
      </c>
      <c r="E735" t="inlineStr">
        <is>
          <t>UPPSALA</t>
        </is>
      </c>
      <c r="G735" t="n">
        <v>3</v>
      </c>
      <c r="H735" t="n">
        <v>0</v>
      </c>
      <c r="I735" t="n">
        <v>0</v>
      </c>
      <c r="J735" t="n">
        <v>0</v>
      </c>
      <c r="K735" t="n">
        <v>0</v>
      </c>
      <c r="L735" t="n">
        <v>0</v>
      </c>
      <c r="M735" t="n">
        <v>0</v>
      </c>
      <c r="N735" t="n">
        <v>0</v>
      </c>
      <c r="O735" t="n">
        <v>0</v>
      </c>
      <c r="P735" t="n">
        <v>0</v>
      </c>
      <c r="Q735" t="n">
        <v>0</v>
      </c>
      <c r="R735" s="2" t="inlineStr"/>
    </row>
    <row r="736" ht="15" customHeight="1">
      <c r="A736" t="inlineStr">
        <is>
          <t>A 5007-2022</t>
        </is>
      </c>
      <c r="B736" s="1" t="n">
        <v>44593</v>
      </c>
      <c r="C736" s="1" t="n">
        <v>45340</v>
      </c>
      <c r="D736" t="inlineStr">
        <is>
          <t>UPPSALA LÄN</t>
        </is>
      </c>
      <c r="E736" t="inlineStr">
        <is>
          <t>UPPSALA</t>
        </is>
      </c>
      <c r="F736" t="inlineStr">
        <is>
          <t>BillerudKorsnäs AB</t>
        </is>
      </c>
      <c r="G736" t="n">
        <v>3.6</v>
      </c>
      <c r="H736" t="n">
        <v>0</v>
      </c>
      <c r="I736" t="n">
        <v>0</v>
      </c>
      <c r="J736" t="n">
        <v>0</v>
      </c>
      <c r="K736" t="n">
        <v>0</v>
      </c>
      <c r="L736" t="n">
        <v>0</v>
      </c>
      <c r="M736" t="n">
        <v>0</v>
      </c>
      <c r="N736" t="n">
        <v>0</v>
      </c>
      <c r="O736" t="n">
        <v>0</v>
      </c>
      <c r="P736" t="n">
        <v>0</v>
      </c>
      <c r="Q736" t="n">
        <v>0</v>
      </c>
      <c r="R736" s="2" t="inlineStr"/>
    </row>
    <row r="737" ht="15" customHeight="1">
      <c r="A737" t="inlineStr">
        <is>
          <t>A 5006-2022</t>
        </is>
      </c>
      <c r="B737" s="1" t="n">
        <v>44593</v>
      </c>
      <c r="C737" s="1" t="n">
        <v>45340</v>
      </c>
      <c r="D737" t="inlineStr">
        <is>
          <t>UPPSALA LÄN</t>
        </is>
      </c>
      <c r="E737" t="inlineStr">
        <is>
          <t>UPPSALA</t>
        </is>
      </c>
      <c r="F737" t="inlineStr">
        <is>
          <t>BillerudKorsnäs AB</t>
        </is>
      </c>
      <c r="G737" t="n">
        <v>1.4</v>
      </c>
      <c r="H737" t="n">
        <v>0</v>
      </c>
      <c r="I737" t="n">
        <v>0</v>
      </c>
      <c r="J737" t="n">
        <v>0</v>
      </c>
      <c r="K737" t="n">
        <v>0</v>
      </c>
      <c r="L737" t="n">
        <v>0</v>
      </c>
      <c r="M737" t="n">
        <v>0</v>
      </c>
      <c r="N737" t="n">
        <v>0</v>
      </c>
      <c r="O737" t="n">
        <v>0</v>
      </c>
      <c r="P737" t="n">
        <v>0</v>
      </c>
      <c r="Q737" t="n">
        <v>0</v>
      </c>
      <c r="R737" s="2" t="inlineStr"/>
    </row>
    <row r="738" ht="15" customHeight="1">
      <c r="A738" t="inlineStr">
        <is>
          <t>A 5028-2022</t>
        </is>
      </c>
      <c r="B738" s="1" t="n">
        <v>44593</v>
      </c>
      <c r="C738" s="1" t="n">
        <v>45340</v>
      </c>
      <c r="D738" t="inlineStr">
        <is>
          <t>UPPSALA LÄN</t>
        </is>
      </c>
      <c r="E738" t="inlineStr">
        <is>
          <t>UPPSALA</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5309-2022</t>
        </is>
      </c>
      <c r="B739" s="1" t="n">
        <v>44594</v>
      </c>
      <c r="C739" s="1" t="n">
        <v>45340</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5189-2022</t>
        </is>
      </c>
      <c r="B740" s="1" t="n">
        <v>44594</v>
      </c>
      <c r="C740" s="1" t="n">
        <v>45340</v>
      </c>
      <c r="D740" t="inlineStr">
        <is>
          <t>UPPSALA LÄN</t>
        </is>
      </c>
      <c r="E740" t="inlineStr">
        <is>
          <t>UPPSALA</t>
        </is>
      </c>
      <c r="G740" t="n">
        <v>5.9</v>
      </c>
      <c r="H740" t="n">
        <v>0</v>
      </c>
      <c r="I740" t="n">
        <v>0</v>
      </c>
      <c r="J740" t="n">
        <v>0</v>
      </c>
      <c r="K740" t="n">
        <v>0</v>
      </c>
      <c r="L740" t="n">
        <v>0</v>
      </c>
      <c r="M740" t="n">
        <v>0</v>
      </c>
      <c r="N740" t="n">
        <v>0</v>
      </c>
      <c r="O740" t="n">
        <v>0</v>
      </c>
      <c r="P740" t="n">
        <v>0</v>
      </c>
      <c r="Q740" t="n">
        <v>0</v>
      </c>
      <c r="R740" s="2" t="inlineStr"/>
    </row>
    <row r="741" ht="15" customHeight="1">
      <c r="A741" t="inlineStr">
        <is>
          <t>A 5924-2022</t>
        </is>
      </c>
      <c r="B741" s="1" t="n">
        <v>44598</v>
      </c>
      <c r="C741" s="1" t="n">
        <v>45340</v>
      </c>
      <c r="D741" t="inlineStr">
        <is>
          <t>UPPSALA LÄN</t>
        </is>
      </c>
      <c r="E741" t="inlineStr">
        <is>
          <t>UPPSALA</t>
        </is>
      </c>
      <c r="G741" t="n">
        <v>6.8</v>
      </c>
      <c r="H741" t="n">
        <v>0</v>
      </c>
      <c r="I741" t="n">
        <v>0</v>
      </c>
      <c r="J741" t="n">
        <v>0</v>
      </c>
      <c r="K741" t="n">
        <v>0</v>
      </c>
      <c r="L741" t="n">
        <v>0</v>
      </c>
      <c r="M741" t="n">
        <v>0</v>
      </c>
      <c r="N741" t="n">
        <v>0</v>
      </c>
      <c r="O741" t="n">
        <v>0</v>
      </c>
      <c r="P741" t="n">
        <v>0</v>
      </c>
      <c r="Q741" t="n">
        <v>0</v>
      </c>
      <c r="R741" s="2" t="inlineStr"/>
    </row>
    <row r="742" ht="15" customHeight="1">
      <c r="A742" t="inlineStr">
        <is>
          <t>A 5989-2022</t>
        </is>
      </c>
      <c r="B742" s="1" t="n">
        <v>44599</v>
      </c>
      <c r="C742" s="1" t="n">
        <v>45340</v>
      </c>
      <c r="D742" t="inlineStr">
        <is>
          <t>UPPSALA LÄN</t>
        </is>
      </c>
      <c r="E742" t="inlineStr">
        <is>
          <t>UPPSALA</t>
        </is>
      </c>
      <c r="G742" t="n">
        <v>2.8</v>
      </c>
      <c r="H742" t="n">
        <v>0</v>
      </c>
      <c r="I742" t="n">
        <v>0</v>
      </c>
      <c r="J742" t="n">
        <v>0</v>
      </c>
      <c r="K742" t="n">
        <v>0</v>
      </c>
      <c r="L742" t="n">
        <v>0</v>
      </c>
      <c r="M742" t="n">
        <v>0</v>
      </c>
      <c r="N742" t="n">
        <v>0</v>
      </c>
      <c r="O742" t="n">
        <v>0</v>
      </c>
      <c r="P742" t="n">
        <v>0</v>
      </c>
      <c r="Q742" t="n">
        <v>0</v>
      </c>
      <c r="R742" s="2" t="inlineStr"/>
    </row>
    <row r="743" ht="15" customHeight="1">
      <c r="A743" t="inlineStr">
        <is>
          <t>A 6009-2022</t>
        </is>
      </c>
      <c r="B743" s="1" t="n">
        <v>44599</v>
      </c>
      <c r="C743" s="1" t="n">
        <v>45340</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5996-2022</t>
        </is>
      </c>
      <c r="B744" s="1" t="n">
        <v>44599</v>
      </c>
      <c r="C744" s="1" t="n">
        <v>45340</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6339-2022</t>
        </is>
      </c>
      <c r="B745" s="1" t="n">
        <v>44600</v>
      </c>
      <c r="C745" s="1" t="n">
        <v>45340</v>
      </c>
      <c r="D745" t="inlineStr">
        <is>
          <t>UPPSALA LÄN</t>
        </is>
      </c>
      <c r="E745" t="inlineStr">
        <is>
          <t>UPPSALA</t>
        </is>
      </c>
      <c r="G745" t="n">
        <v>18.7</v>
      </c>
      <c r="H745" t="n">
        <v>0</v>
      </c>
      <c r="I745" t="n">
        <v>0</v>
      </c>
      <c r="J745" t="n">
        <v>0</v>
      </c>
      <c r="K745" t="n">
        <v>0</v>
      </c>
      <c r="L745" t="n">
        <v>0</v>
      </c>
      <c r="M745" t="n">
        <v>0</v>
      </c>
      <c r="N745" t="n">
        <v>0</v>
      </c>
      <c r="O745" t="n">
        <v>0</v>
      </c>
      <c r="P745" t="n">
        <v>0</v>
      </c>
      <c r="Q745" t="n">
        <v>0</v>
      </c>
      <c r="R745" s="2" t="inlineStr"/>
    </row>
    <row r="746" ht="15" customHeight="1">
      <c r="A746" t="inlineStr">
        <is>
          <t>A 6408-2022</t>
        </is>
      </c>
      <c r="B746" s="1" t="n">
        <v>44600</v>
      </c>
      <c r="C746" s="1" t="n">
        <v>45340</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6717-2022</t>
        </is>
      </c>
      <c r="B747" s="1" t="n">
        <v>44602</v>
      </c>
      <c r="C747" s="1" t="n">
        <v>45340</v>
      </c>
      <c r="D747" t="inlineStr">
        <is>
          <t>UPPSALA LÄN</t>
        </is>
      </c>
      <c r="E747" t="inlineStr">
        <is>
          <t>UPPSALA</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6853-2022</t>
        </is>
      </c>
      <c r="B748" s="1" t="n">
        <v>44602</v>
      </c>
      <c r="C748" s="1" t="n">
        <v>45340</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6863-2022</t>
        </is>
      </c>
      <c r="B749" s="1" t="n">
        <v>44602</v>
      </c>
      <c r="C749" s="1" t="n">
        <v>45340</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6850-2022</t>
        </is>
      </c>
      <c r="B750" s="1" t="n">
        <v>44602</v>
      </c>
      <c r="C750" s="1" t="n">
        <v>45340</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6851-2022</t>
        </is>
      </c>
      <c r="B751" s="1" t="n">
        <v>44602</v>
      </c>
      <c r="C751" s="1" t="n">
        <v>45340</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6855-2022</t>
        </is>
      </c>
      <c r="B752" s="1" t="n">
        <v>44602</v>
      </c>
      <c r="C752" s="1" t="n">
        <v>45340</v>
      </c>
      <c r="D752" t="inlineStr">
        <is>
          <t>UPPSALA LÄN</t>
        </is>
      </c>
      <c r="E752" t="inlineStr">
        <is>
          <t>UPPSALA</t>
        </is>
      </c>
      <c r="G752" t="n">
        <v>4.6</v>
      </c>
      <c r="H752" t="n">
        <v>0</v>
      </c>
      <c r="I752" t="n">
        <v>0</v>
      </c>
      <c r="J752" t="n">
        <v>0</v>
      </c>
      <c r="K752" t="n">
        <v>0</v>
      </c>
      <c r="L752" t="n">
        <v>0</v>
      </c>
      <c r="M752" t="n">
        <v>0</v>
      </c>
      <c r="N752" t="n">
        <v>0</v>
      </c>
      <c r="O752" t="n">
        <v>0</v>
      </c>
      <c r="P752" t="n">
        <v>0</v>
      </c>
      <c r="Q752" t="n">
        <v>0</v>
      </c>
      <c r="R752" s="2" t="inlineStr"/>
    </row>
    <row r="753" ht="15" customHeight="1">
      <c r="A753" t="inlineStr">
        <is>
          <t>A 6860-2022</t>
        </is>
      </c>
      <c r="B753" s="1" t="n">
        <v>44602</v>
      </c>
      <c r="C753" s="1" t="n">
        <v>45340</v>
      </c>
      <c r="D753" t="inlineStr">
        <is>
          <t>UPPSALA LÄN</t>
        </is>
      </c>
      <c r="E753" t="inlineStr">
        <is>
          <t>UPPSALA</t>
        </is>
      </c>
      <c r="G753" t="n">
        <v>14.8</v>
      </c>
      <c r="H753" t="n">
        <v>0</v>
      </c>
      <c r="I753" t="n">
        <v>0</v>
      </c>
      <c r="J753" t="n">
        <v>0</v>
      </c>
      <c r="K753" t="n">
        <v>0</v>
      </c>
      <c r="L753" t="n">
        <v>0</v>
      </c>
      <c r="M753" t="n">
        <v>0</v>
      </c>
      <c r="N753" t="n">
        <v>0</v>
      </c>
      <c r="O753" t="n">
        <v>0</v>
      </c>
      <c r="P753" t="n">
        <v>0</v>
      </c>
      <c r="Q753" t="n">
        <v>0</v>
      </c>
      <c r="R753" s="2" t="inlineStr"/>
    </row>
    <row r="754" ht="15" customHeight="1">
      <c r="A754" t="inlineStr">
        <is>
          <t>A 6989-2022</t>
        </is>
      </c>
      <c r="B754" s="1" t="n">
        <v>44603</v>
      </c>
      <c r="C754" s="1" t="n">
        <v>45340</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7040-2022</t>
        </is>
      </c>
      <c r="B755" s="1" t="n">
        <v>44603</v>
      </c>
      <c r="C755" s="1" t="n">
        <v>45340</v>
      </c>
      <c r="D755" t="inlineStr">
        <is>
          <t>UPPSALA LÄN</t>
        </is>
      </c>
      <c r="E755" t="inlineStr">
        <is>
          <t>UPPSALA</t>
        </is>
      </c>
      <c r="G755" t="n">
        <v>3.9</v>
      </c>
      <c r="H755" t="n">
        <v>0</v>
      </c>
      <c r="I755" t="n">
        <v>0</v>
      </c>
      <c r="J755" t="n">
        <v>0</v>
      </c>
      <c r="K755" t="n">
        <v>0</v>
      </c>
      <c r="L755" t="n">
        <v>0</v>
      </c>
      <c r="M755" t="n">
        <v>0</v>
      </c>
      <c r="N755" t="n">
        <v>0</v>
      </c>
      <c r="O755" t="n">
        <v>0</v>
      </c>
      <c r="P755" t="n">
        <v>0</v>
      </c>
      <c r="Q755" t="n">
        <v>0</v>
      </c>
      <c r="R755" s="2" t="inlineStr"/>
    </row>
    <row r="756" ht="15" customHeight="1">
      <c r="A756" t="inlineStr">
        <is>
          <t>A 7124-2022</t>
        </is>
      </c>
      <c r="B756" s="1" t="n">
        <v>44603</v>
      </c>
      <c r="C756" s="1" t="n">
        <v>45340</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7409-2022</t>
        </is>
      </c>
      <c r="B757" s="1" t="n">
        <v>44606</v>
      </c>
      <c r="C757" s="1" t="n">
        <v>45340</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7899-2022</t>
        </is>
      </c>
      <c r="B758" s="1" t="n">
        <v>44608</v>
      </c>
      <c r="C758" s="1" t="n">
        <v>45340</v>
      </c>
      <c r="D758" t="inlineStr">
        <is>
          <t>UPPSALA LÄN</t>
        </is>
      </c>
      <c r="E758" t="inlineStr">
        <is>
          <t>UPPSALA</t>
        </is>
      </c>
      <c r="F758" t="inlineStr">
        <is>
          <t>Övriga Aktiebolag</t>
        </is>
      </c>
      <c r="G758" t="n">
        <v>7.1</v>
      </c>
      <c r="H758" t="n">
        <v>0</v>
      </c>
      <c r="I758" t="n">
        <v>0</v>
      </c>
      <c r="J758" t="n">
        <v>0</v>
      </c>
      <c r="K758" t="n">
        <v>0</v>
      </c>
      <c r="L758" t="n">
        <v>0</v>
      </c>
      <c r="M758" t="n">
        <v>0</v>
      </c>
      <c r="N758" t="n">
        <v>0</v>
      </c>
      <c r="O758" t="n">
        <v>0</v>
      </c>
      <c r="P758" t="n">
        <v>0</v>
      </c>
      <c r="Q758" t="n">
        <v>0</v>
      </c>
      <c r="R758" s="2" t="inlineStr"/>
    </row>
    <row r="759" ht="15" customHeight="1">
      <c r="A759" t="inlineStr">
        <is>
          <t>A 8090-2022</t>
        </is>
      </c>
      <c r="B759" s="1" t="n">
        <v>44608</v>
      </c>
      <c r="C759" s="1" t="n">
        <v>45340</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7996-2022</t>
        </is>
      </c>
      <c r="B760" s="1" t="n">
        <v>44609</v>
      </c>
      <c r="C760" s="1" t="n">
        <v>45340</v>
      </c>
      <c r="D760" t="inlineStr">
        <is>
          <t>UPPSALA LÄN</t>
        </is>
      </c>
      <c r="E760" t="inlineStr">
        <is>
          <t>UPPSALA</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8007-2022</t>
        </is>
      </c>
      <c r="B761" s="1" t="n">
        <v>44609</v>
      </c>
      <c r="C761" s="1" t="n">
        <v>45340</v>
      </c>
      <c r="D761" t="inlineStr">
        <is>
          <t>UPPSALA LÄN</t>
        </is>
      </c>
      <c r="E761" t="inlineStr">
        <is>
          <t>UPPSALA</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8132-2022</t>
        </is>
      </c>
      <c r="B762" s="1" t="n">
        <v>44609</v>
      </c>
      <c r="C762" s="1" t="n">
        <v>45340</v>
      </c>
      <c r="D762" t="inlineStr">
        <is>
          <t>UPPSALA LÄN</t>
        </is>
      </c>
      <c r="E762" t="inlineStr">
        <is>
          <t>UPPSALA</t>
        </is>
      </c>
      <c r="F762" t="inlineStr">
        <is>
          <t>Kommuner</t>
        </is>
      </c>
      <c r="G762" t="n">
        <v>1.2</v>
      </c>
      <c r="H762" t="n">
        <v>0</v>
      </c>
      <c r="I762" t="n">
        <v>0</v>
      </c>
      <c r="J762" t="n">
        <v>0</v>
      </c>
      <c r="K762" t="n">
        <v>0</v>
      </c>
      <c r="L762" t="n">
        <v>0</v>
      </c>
      <c r="M762" t="n">
        <v>0</v>
      </c>
      <c r="N762" t="n">
        <v>0</v>
      </c>
      <c r="O762" t="n">
        <v>0</v>
      </c>
      <c r="P762" t="n">
        <v>0</v>
      </c>
      <c r="Q762" t="n">
        <v>0</v>
      </c>
      <c r="R762" s="2" t="inlineStr"/>
    </row>
    <row r="763" ht="15" customHeight="1">
      <c r="A763" t="inlineStr">
        <is>
          <t>A 8139-2022</t>
        </is>
      </c>
      <c r="B763" s="1" t="n">
        <v>44609</v>
      </c>
      <c r="C763" s="1" t="n">
        <v>45340</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45340</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8475-2022</t>
        </is>
      </c>
      <c r="B765" s="1" t="n">
        <v>44610</v>
      </c>
      <c r="C765" s="1" t="n">
        <v>45340</v>
      </c>
      <c r="D765" t="inlineStr">
        <is>
          <t>UPPSALA LÄN</t>
        </is>
      </c>
      <c r="E765" t="inlineStr">
        <is>
          <t>UPPSALA</t>
        </is>
      </c>
      <c r="F765" t="inlineStr">
        <is>
          <t>Allmännings- och besparingsskogar</t>
        </is>
      </c>
      <c r="G765" t="n">
        <v>32.7</v>
      </c>
      <c r="H765" t="n">
        <v>0</v>
      </c>
      <c r="I765" t="n">
        <v>0</v>
      </c>
      <c r="J765" t="n">
        <v>0</v>
      </c>
      <c r="K765" t="n">
        <v>0</v>
      </c>
      <c r="L765" t="n">
        <v>0</v>
      </c>
      <c r="M765" t="n">
        <v>0</v>
      </c>
      <c r="N765" t="n">
        <v>0</v>
      </c>
      <c r="O765" t="n">
        <v>0</v>
      </c>
      <c r="P765" t="n">
        <v>0</v>
      </c>
      <c r="Q765" t="n">
        <v>0</v>
      </c>
      <c r="R765" s="2" t="inlineStr"/>
    </row>
    <row r="766" ht="15" customHeight="1">
      <c r="A766" t="inlineStr">
        <is>
          <t>A 8465-2022</t>
        </is>
      </c>
      <c r="B766" s="1" t="n">
        <v>44610</v>
      </c>
      <c r="C766" s="1" t="n">
        <v>45340</v>
      </c>
      <c r="D766" t="inlineStr">
        <is>
          <t>UPPSALA LÄN</t>
        </is>
      </c>
      <c r="E766" t="inlineStr">
        <is>
          <t>UPPSALA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8451-2022</t>
        </is>
      </c>
      <c r="B767" s="1" t="n">
        <v>44612</v>
      </c>
      <c r="C767" s="1" t="n">
        <v>45340</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8877-2022</t>
        </is>
      </c>
      <c r="B768" s="1" t="n">
        <v>44614</v>
      </c>
      <c r="C768" s="1" t="n">
        <v>45340</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8933-2022</t>
        </is>
      </c>
      <c r="B769" s="1" t="n">
        <v>44614</v>
      </c>
      <c r="C769" s="1" t="n">
        <v>45340</v>
      </c>
      <c r="D769" t="inlineStr">
        <is>
          <t>UPPSALA LÄN</t>
        </is>
      </c>
      <c r="E769" t="inlineStr">
        <is>
          <t>UPPSALA</t>
        </is>
      </c>
      <c r="F769" t="inlineStr">
        <is>
          <t>Holmen skog AB</t>
        </is>
      </c>
      <c r="G769" t="n">
        <v>3.6</v>
      </c>
      <c r="H769" t="n">
        <v>0</v>
      </c>
      <c r="I769" t="n">
        <v>0</v>
      </c>
      <c r="J769" t="n">
        <v>0</v>
      </c>
      <c r="K769" t="n">
        <v>0</v>
      </c>
      <c r="L769" t="n">
        <v>0</v>
      </c>
      <c r="M769" t="n">
        <v>0</v>
      </c>
      <c r="N769" t="n">
        <v>0</v>
      </c>
      <c r="O769" t="n">
        <v>0</v>
      </c>
      <c r="P769" t="n">
        <v>0</v>
      </c>
      <c r="Q769" t="n">
        <v>0</v>
      </c>
      <c r="R769" s="2" t="inlineStr"/>
    </row>
    <row r="770" ht="15" customHeight="1">
      <c r="A770" t="inlineStr">
        <is>
          <t>A 9206-2022</t>
        </is>
      </c>
      <c r="B770" s="1" t="n">
        <v>44616</v>
      </c>
      <c r="C770" s="1" t="n">
        <v>45340</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9242-2022</t>
        </is>
      </c>
      <c r="B771" s="1" t="n">
        <v>44616</v>
      </c>
      <c r="C771" s="1" t="n">
        <v>45340</v>
      </c>
      <c r="D771" t="inlineStr">
        <is>
          <t>UPPSALA LÄN</t>
        </is>
      </c>
      <c r="E771" t="inlineStr">
        <is>
          <t>UPPSALA</t>
        </is>
      </c>
      <c r="F771" t="inlineStr">
        <is>
          <t>Övriga Aktiebolag</t>
        </is>
      </c>
      <c r="G771" t="n">
        <v>5.9</v>
      </c>
      <c r="H771" t="n">
        <v>0</v>
      </c>
      <c r="I771" t="n">
        <v>0</v>
      </c>
      <c r="J771" t="n">
        <v>0</v>
      </c>
      <c r="K771" t="n">
        <v>0</v>
      </c>
      <c r="L771" t="n">
        <v>0</v>
      </c>
      <c r="M771" t="n">
        <v>0</v>
      </c>
      <c r="N771" t="n">
        <v>0</v>
      </c>
      <c r="O771" t="n">
        <v>0</v>
      </c>
      <c r="P771" t="n">
        <v>0</v>
      </c>
      <c r="Q771" t="n">
        <v>0</v>
      </c>
      <c r="R771" s="2" t="inlineStr"/>
    </row>
    <row r="772" ht="15" customHeight="1">
      <c r="A772" t="inlineStr">
        <is>
          <t>A 9592-2022</t>
        </is>
      </c>
      <c r="B772" s="1" t="n">
        <v>44617</v>
      </c>
      <c r="C772" s="1" t="n">
        <v>45340</v>
      </c>
      <c r="D772" t="inlineStr">
        <is>
          <t>UPPSALA LÄN</t>
        </is>
      </c>
      <c r="E772" t="inlineStr">
        <is>
          <t>UPPSALA</t>
        </is>
      </c>
      <c r="G772" t="n">
        <v>7.5</v>
      </c>
      <c r="H772" t="n">
        <v>0</v>
      </c>
      <c r="I772" t="n">
        <v>0</v>
      </c>
      <c r="J772" t="n">
        <v>0</v>
      </c>
      <c r="K772" t="n">
        <v>0</v>
      </c>
      <c r="L772" t="n">
        <v>0</v>
      </c>
      <c r="M772" t="n">
        <v>0</v>
      </c>
      <c r="N772" t="n">
        <v>0</v>
      </c>
      <c r="O772" t="n">
        <v>0</v>
      </c>
      <c r="P772" t="n">
        <v>0</v>
      </c>
      <c r="Q772" t="n">
        <v>0</v>
      </c>
      <c r="R772" s="2" t="inlineStr"/>
    </row>
    <row r="773" ht="15" customHeight="1">
      <c r="A773" t="inlineStr">
        <is>
          <t>A 10411-2022</t>
        </is>
      </c>
      <c r="B773" s="1" t="n">
        <v>44623</v>
      </c>
      <c r="C773" s="1" t="n">
        <v>45340</v>
      </c>
      <c r="D773" t="inlineStr">
        <is>
          <t>UPPSALA LÄN</t>
        </is>
      </c>
      <c r="E773" t="inlineStr">
        <is>
          <t>UPPSALA</t>
        </is>
      </c>
      <c r="F773" t="inlineStr">
        <is>
          <t>Övriga Aktiebolag</t>
        </is>
      </c>
      <c r="G773" t="n">
        <v>4.2</v>
      </c>
      <c r="H773" t="n">
        <v>0</v>
      </c>
      <c r="I773" t="n">
        <v>0</v>
      </c>
      <c r="J773" t="n">
        <v>0</v>
      </c>
      <c r="K773" t="n">
        <v>0</v>
      </c>
      <c r="L773" t="n">
        <v>0</v>
      </c>
      <c r="M773" t="n">
        <v>0</v>
      </c>
      <c r="N773" t="n">
        <v>0</v>
      </c>
      <c r="O773" t="n">
        <v>0</v>
      </c>
      <c r="P773" t="n">
        <v>0</v>
      </c>
      <c r="Q773" t="n">
        <v>0</v>
      </c>
      <c r="R773" s="2" t="inlineStr"/>
    </row>
    <row r="774" ht="15" customHeight="1">
      <c r="A774" t="inlineStr">
        <is>
          <t>A 10383-2022</t>
        </is>
      </c>
      <c r="B774" s="1" t="n">
        <v>44623</v>
      </c>
      <c r="C774" s="1" t="n">
        <v>45340</v>
      </c>
      <c r="D774" t="inlineStr">
        <is>
          <t>UPPSALA LÄN</t>
        </is>
      </c>
      <c r="E774" t="inlineStr">
        <is>
          <t>UPPSALA</t>
        </is>
      </c>
      <c r="F774" t="inlineStr">
        <is>
          <t>Övriga Aktiebolag</t>
        </is>
      </c>
      <c r="G774" t="n">
        <v>2.8</v>
      </c>
      <c r="H774" t="n">
        <v>0</v>
      </c>
      <c r="I774" t="n">
        <v>0</v>
      </c>
      <c r="J774" t="n">
        <v>0</v>
      </c>
      <c r="K774" t="n">
        <v>0</v>
      </c>
      <c r="L774" t="n">
        <v>0</v>
      </c>
      <c r="M774" t="n">
        <v>0</v>
      </c>
      <c r="N774" t="n">
        <v>0</v>
      </c>
      <c r="O774" t="n">
        <v>0</v>
      </c>
      <c r="P774" t="n">
        <v>0</v>
      </c>
      <c r="Q774" t="n">
        <v>0</v>
      </c>
      <c r="R774" s="2" t="inlineStr"/>
    </row>
    <row r="775" ht="15" customHeight="1">
      <c r="A775" t="inlineStr">
        <is>
          <t>A 10456-2022</t>
        </is>
      </c>
      <c r="B775" s="1" t="n">
        <v>44623</v>
      </c>
      <c r="C775" s="1" t="n">
        <v>45340</v>
      </c>
      <c r="D775" t="inlineStr">
        <is>
          <t>UPPSALA LÄN</t>
        </is>
      </c>
      <c r="E775" t="inlineStr">
        <is>
          <t>UPPSALA</t>
        </is>
      </c>
      <c r="F775" t="inlineStr">
        <is>
          <t>Övriga Aktiebolag</t>
        </is>
      </c>
      <c r="G775" t="n">
        <v>12.6</v>
      </c>
      <c r="H775" t="n">
        <v>0</v>
      </c>
      <c r="I775" t="n">
        <v>0</v>
      </c>
      <c r="J775" t="n">
        <v>0</v>
      </c>
      <c r="K775" t="n">
        <v>0</v>
      </c>
      <c r="L775" t="n">
        <v>0</v>
      </c>
      <c r="M775" t="n">
        <v>0</v>
      </c>
      <c r="N775" t="n">
        <v>0</v>
      </c>
      <c r="O775" t="n">
        <v>0</v>
      </c>
      <c r="P775" t="n">
        <v>0</v>
      </c>
      <c r="Q775" t="n">
        <v>0</v>
      </c>
      <c r="R775" s="2" t="inlineStr"/>
    </row>
    <row r="776" ht="15" customHeight="1">
      <c r="A776" t="inlineStr">
        <is>
          <t>A 10464-2022</t>
        </is>
      </c>
      <c r="B776" s="1" t="n">
        <v>44623</v>
      </c>
      <c r="C776" s="1" t="n">
        <v>45340</v>
      </c>
      <c r="D776" t="inlineStr">
        <is>
          <t>UPPSALA LÄN</t>
        </is>
      </c>
      <c r="E776" t="inlineStr">
        <is>
          <t>UPPSALA</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10565-2022</t>
        </is>
      </c>
      <c r="B777" s="1" t="n">
        <v>44624</v>
      </c>
      <c r="C777" s="1" t="n">
        <v>45340</v>
      </c>
      <c r="D777" t="inlineStr">
        <is>
          <t>UPPSALA LÄN</t>
        </is>
      </c>
      <c r="E777" t="inlineStr">
        <is>
          <t>UPPSALA</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10674-2022</t>
        </is>
      </c>
      <c r="B778" s="1" t="n">
        <v>44624</v>
      </c>
      <c r="C778" s="1" t="n">
        <v>45340</v>
      </c>
      <c r="D778" t="inlineStr">
        <is>
          <t>UPPSALA LÄN</t>
        </is>
      </c>
      <c r="E778" t="inlineStr">
        <is>
          <t>UPPSALA</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11162-2022</t>
        </is>
      </c>
      <c r="B779" s="1" t="n">
        <v>44629</v>
      </c>
      <c r="C779" s="1" t="n">
        <v>45340</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11224-2022</t>
        </is>
      </c>
      <c r="B780" s="1" t="n">
        <v>44629</v>
      </c>
      <c r="C780" s="1" t="n">
        <v>45340</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11787-2022</t>
        </is>
      </c>
      <c r="B781" s="1" t="n">
        <v>44634</v>
      </c>
      <c r="C781" s="1" t="n">
        <v>45340</v>
      </c>
      <c r="D781" t="inlineStr">
        <is>
          <t>UPPSALA LÄN</t>
        </is>
      </c>
      <c r="E781" t="inlineStr">
        <is>
          <t>UPPSALA</t>
        </is>
      </c>
      <c r="F781" t="inlineStr">
        <is>
          <t>Holmen skog AB</t>
        </is>
      </c>
      <c r="G781" t="n">
        <v>6.2</v>
      </c>
      <c r="H781" t="n">
        <v>0</v>
      </c>
      <c r="I781" t="n">
        <v>0</v>
      </c>
      <c r="J781" t="n">
        <v>0</v>
      </c>
      <c r="K781" t="n">
        <v>0</v>
      </c>
      <c r="L781" t="n">
        <v>0</v>
      </c>
      <c r="M781" t="n">
        <v>0</v>
      </c>
      <c r="N781" t="n">
        <v>0</v>
      </c>
      <c r="O781" t="n">
        <v>0</v>
      </c>
      <c r="P781" t="n">
        <v>0</v>
      </c>
      <c r="Q781" t="n">
        <v>0</v>
      </c>
      <c r="R781" s="2" t="inlineStr"/>
    </row>
    <row r="782" ht="15" customHeight="1">
      <c r="A782" t="inlineStr">
        <is>
          <t>A 11693-2022</t>
        </is>
      </c>
      <c r="B782" s="1" t="n">
        <v>44634</v>
      </c>
      <c r="C782" s="1" t="n">
        <v>45340</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12221-2022</t>
        </is>
      </c>
      <c r="B783" s="1" t="n">
        <v>44637</v>
      </c>
      <c r="C783" s="1" t="n">
        <v>45340</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12293-2022</t>
        </is>
      </c>
      <c r="B784" s="1" t="n">
        <v>44637</v>
      </c>
      <c r="C784" s="1" t="n">
        <v>45340</v>
      </c>
      <c r="D784" t="inlineStr">
        <is>
          <t>UPPSALA LÄN</t>
        </is>
      </c>
      <c r="E784" t="inlineStr">
        <is>
          <t>UPPSALA</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v>
      </c>
      <c r="C785" s="1" t="n">
        <v>45340</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13134-2022</t>
        </is>
      </c>
      <c r="B786" s="1" t="n">
        <v>44644</v>
      </c>
      <c r="C786" s="1" t="n">
        <v>45340</v>
      </c>
      <c r="D786" t="inlineStr">
        <is>
          <t>UPPSALA LÄN</t>
        </is>
      </c>
      <c r="E786" t="inlineStr">
        <is>
          <t>UPPSALA</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13128-2022</t>
        </is>
      </c>
      <c r="B787" s="1" t="n">
        <v>44644</v>
      </c>
      <c r="C787" s="1" t="n">
        <v>45340</v>
      </c>
      <c r="D787" t="inlineStr">
        <is>
          <t>UPPSALA LÄN</t>
        </is>
      </c>
      <c r="E787" t="inlineStr">
        <is>
          <t>UPPSALA</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13386-2022</t>
        </is>
      </c>
      <c r="B788" s="1" t="n">
        <v>44645</v>
      </c>
      <c r="C788" s="1" t="n">
        <v>45340</v>
      </c>
      <c r="D788" t="inlineStr">
        <is>
          <t>UPPSALA LÄN</t>
        </is>
      </c>
      <c r="E788" t="inlineStr">
        <is>
          <t>UPPSALA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13343-2022</t>
        </is>
      </c>
      <c r="B789" s="1" t="n">
        <v>44645</v>
      </c>
      <c r="C789" s="1" t="n">
        <v>45340</v>
      </c>
      <c r="D789" t="inlineStr">
        <is>
          <t>UPPSALA LÄN</t>
        </is>
      </c>
      <c r="E789" t="inlineStr">
        <is>
          <t>UPPSALA</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13892-2022</t>
        </is>
      </c>
      <c r="B790" s="1" t="n">
        <v>44649</v>
      </c>
      <c r="C790" s="1" t="n">
        <v>45340</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13901-2022</t>
        </is>
      </c>
      <c r="B791" s="1" t="n">
        <v>44649</v>
      </c>
      <c r="C791" s="1" t="n">
        <v>45340</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14337-2022</t>
        </is>
      </c>
      <c r="B792" s="1" t="n">
        <v>44652</v>
      </c>
      <c r="C792" s="1" t="n">
        <v>45340</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14355-2022</t>
        </is>
      </c>
      <c r="B793" s="1" t="n">
        <v>44652</v>
      </c>
      <c r="C793" s="1" t="n">
        <v>45340</v>
      </c>
      <c r="D793" t="inlineStr">
        <is>
          <t>UPPSALA LÄN</t>
        </is>
      </c>
      <c r="E793" t="inlineStr">
        <is>
          <t>UPPSALA</t>
        </is>
      </c>
      <c r="F793" t="inlineStr">
        <is>
          <t>Bergvik skog öst AB</t>
        </is>
      </c>
      <c r="G793" t="n">
        <v>7.8</v>
      </c>
      <c r="H793" t="n">
        <v>0</v>
      </c>
      <c r="I793" t="n">
        <v>0</v>
      </c>
      <c r="J793" t="n">
        <v>0</v>
      </c>
      <c r="K793" t="n">
        <v>0</v>
      </c>
      <c r="L793" t="n">
        <v>0</v>
      </c>
      <c r="M793" t="n">
        <v>0</v>
      </c>
      <c r="N793" t="n">
        <v>0</v>
      </c>
      <c r="O793" t="n">
        <v>0</v>
      </c>
      <c r="P793" t="n">
        <v>0</v>
      </c>
      <c r="Q793" t="n">
        <v>0</v>
      </c>
      <c r="R793" s="2" t="inlineStr"/>
    </row>
    <row r="794" ht="15" customHeight="1">
      <c r="A794" t="inlineStr">
        <is>
          <t>A 14340-2022</t>
        </is>
      </c>
      <c r="B794" s="1" t="n">
        <v>44652</v>
      </c>
      <c r="C794" s="1" t="n">
        <v>45340</v>
      </c>
      <c r="D794" t="inlineStr">
        <is>
          <t>UPPSALA LÄN</t>
        </is>
      </c>
      <c r="E794" t="inlineStr">
        <is>
          <t>UPPSALA</t>
        </is>
      </c>
      <c r="F794" t="inlineStr">
        <is>
          <t>Bergvik skog öst AB</t>
        </is>
      </c>
      <c r="G794" t="n">
        <v>4</v>
      </c>
      <c r="H794" t="n">
        <v>0</v>
      </c>
      <c r="I794" t="n">
        <v>0</v>
      </c>
      <c r="J794" t="n">
        <v>0</v>
      </c>
      <c r="K794" t="n">
        <v>0</v>
      </c>
      <c r="L794" t="n">
        <v>0</v>
      </c>
      <c r="M794" t="n">
        <v>0</v>
      </c>
      <c r="N794" t="n">
        <v>0</v>
      </c>
      <c r="O794" t="n">
        <v>0</v>
      </c>
      <c r="P794" t="n">
        <v>0</v>
      </c>
      <c r="Q794" t="n">
        <v>0</v>
      </c>
      <c r="R794" s="2" t="inlineStr"/>
    </row>
    <row r="795" ht="15" customHeight="1">
      <c r="A795" t="inlineStr">
        <is>
          <t>A 14622-2022</t>
        </is>
      </c>
      <c r="B795" s="1" t="n">
        <v>44655</v>
      </c>
      <c r="C795" s="1" t="n">
        <v>45340</v>
      </c>
      <c r="D795" t="inlineStr">
        <is>
          <t>UPPSALA LÄN</t>
        </is>
      </c>
      <c r="E795" t="inlineStr">
        <is>
          <t>UPPSALA</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15436-2022</t>
        </is>
      </c>
      <c r="B796" s="1" t="n">
        <v>44659</v>
      </c>
      <c r="C796" s="1" t="n">
        <v>45340</v>
      </c>
      <c r="D796" t="inlineStr">
        <is>
          <t>UPPSALA LÄN</t>
        </is>
      </c>
      <c r="E796" t="inlineStr">
        <is>
          <t>UPPSALA</t>
        </is>
      </c>
      <c r="G796" t="n">
        <v>14.4</v>
      </c>
      <c r="H796" t="n">
        <v>0</v>
      </c>
      <c r="I796" t="n">
        <v>0</v>
      </c>
      <c r="J796" t="n">
        <v>0</v>
      </c>
      <c r="K796" t="n">
        <v>0</v>
      </c>
      <c r="L796" t="n">
        <v>0</v>
      </c>
      <c r="M796" t="n">
        <v>0</v>
      </c>
      <c r="N796" t="n">
        <v>0</v>
      </c>
      <c r="O796" t="n">
        <v>0</v>
      </c>
      <c r="P796" t="n">
        <v>0</v>
      </c>
      <c r="Q796" t="n">
        <v>0</v>
      </c>
      <c r="R796" s="2" t="inlineStr"/>
    </row>
    <row r="797" ht="15" customHeight="1">
      <c r="A797" t="inlineStr">
        <is>
          <t>A 15377-2022</t>
        </is>
      </c>
      <c r="B797" s="1" t="n">
        <v>44659</v>
      </c>
      <c r="C797" s="1" t="n">
        <v>45340</v>
      </c>
      <c r="D797" t="inlineStr">
        <is>
          <t>UPPSALA LÄN</t>
        </is>
      </c>
      <c r="E797" t="inlineStr">
        <is>
          <t>UPPSALA</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15310-2022</t>
        </is>
      </c>
      <c r="B798" s="1" t="n">
        <v>44659</v>
      </c>
      <c r="C798" s="1" t="n">
        <v>45340</v>
      </c>
      <c r="D798" t="inlineStr">
        <is>
          <t>UPPSALA LÄN</t>
        </is>
      </c>
      <c r="E798" t="inlineStr">
        <is>
          <t>UPPSALA</t>
        </is>
      </c>
      <c r="F798" t="inlineStr">
        <is>
          <t>Bergvik skog öst AB</t>
        </is>
      </c>
      <c r="G798" t="n">
        <v>0.7</v>
      </c>
      <c r="H798" t="n">
        <v>0</v>
      </c>
      <c r="I798" t="n">
        <v>0</v>
      </c>
      <c r="J798" t="n">
        <v>0</v>
      </c>
      <c r="K798" t="n">
        <v>0</v>
      </c>
      <c r="L798" t="n">
        <v>0</v>
      </c>
      <c r="M798" t="n">
        <v>0</v>
      </c>
      <c r="N798" t="n">
        <v>0</v>
      </c>
      <c r="O798" t="n">
        <v>0</v>
      </c>
      <c r="P798" t="n">
        <v>0</v>
      </c>
      <c r="Q798" t="n">
        <v>0</v>
      </c>
      <c r="R798" s="2" t="inlineStr"/>
    </row>
    <row r="799" ht="15" customHeight="1">
      <c r="A799" t="inlineStr">
        <is>
          <t>A 15297-2022</t>
        </is>
      </c>
      <c r="B799" s="1" t="n">
        <v>44659</v>
      </c>
      <c r="C799" s="1" t="n">
        <v>45340</v>
      </c>
      <c r="D799" t="inlineStr">
        <is>
          <t>UPPSALA LÄN</t>
        </is>
      </c>
      <c r="E799" t="inlineStr">
        <is>
          <t>UPPSALA</t>
        </is>
      </c>
      <c r="F799" t="inlineStr">
        <is>
          <t>Övriga Aktiebolag</t>
        </is>
      </c>
      <c r="G799" t="n">
        <v>6.6</v>
      </c>
      <c r="H799" t="n">
        <v>0</v>
      </c>
      <c r="I799" t="n">
        <v>0</v>
      </c>
      <c r="J799" t="n">
        <v>0</v>
      </c>
      <c r="K799" t="n">
        <v>0</v>
      </c>
      <c r="L799" t="n">
        <v>0</v>
      </c>
      <c r="M799" t="n">
        <v>0</v>
      </c>
      <c r="N799" t="n">
        <v>0</v>
      </c>
      <c r="O799" t="n">
        <v>0</v>
      </c>
      <c r="P799" t="n">
        <v>0</v>
      </c>
      <c r="Q799" t="n">
        <v>0</v>
      </c>
      <c r="R799" s="2" t="inlineStr"/>
    </row>
    <row r="800" ht="15" customHeight="1">
      <c r="A800" t="inlineStr">
        <is>
          <t>A 15583-2022</t>
        </is>
      </c>
      <c r="B800" s="1" t="n">
        <v>44662</v>
      </c>
      <c r="C800" s="1" t="n">
        <v>45340</v>
      </c>
      <c r="D800" t="inlineStr">
        <is>
          <t>UPPSALA LÄN</t>
        </is>
      </c>
      <c r="E800" t="inlineStr">
        <is>
          <t>UPPSALA</t>
        </is>
      </c>
      <c r="F800" t="inlineStr">
        <is>
          <t>Övriga Aktiebolag</t>
        </is>
      </c>
      <c r="G800" t="n">
        <v>4.3</v>
      </c>
      <c r="H800" t="n">
        <v>0</v>
      </c>
      <c r="I800" t="n">
        <v>0</v>
      </c>
      <c r="J800" t="n">
        <v>0</v>
      </c>
      <c r="K800" t="n">
        <v>0</v>
      </c>
      <c r="L800" t="n">
        <v>0</v>
      </c>
      <c r="M800" t="n">
        <v>0</v>
      </c>
      <c r="N800" t="n">
        <v>0</v>
      </c>
      <c r="O800" t="n">
        <v>0</v>
      </c>
      <c r="P800" t="n">
        <v>0</v>
      </c>
      <c r="Q800" t="n">
        <v>0</v>
      </c>
      <c r="R800" s="2" t="inlineStr"/>
    </row>
    <row r="801" ht="15" customHeight="1">
      <c r="A801" t="inlineStr">
        <is>
          <t>A 15735-2022</t>
        </is>
      </c>
      <c r="B801" s="1" t="n">
        <v>44663</v>
      </c>
      <c r="C801" s="1" t="n">
        <v>45340</v>
      </c>
      <c r="D801" t="inlineStr">
        <is>
          <t>UPPSALA LÄN</t>
        </is>
      </c>
      <c r="E801" t="inlineStr">
        <is>
          <t>UPPSALA</t>
        </is>
      </c>
      <c r="F801" t="inlineStr">
        <is>
          <t>Bergvik skog öst AB</t>
        </is>
      </c>
      <c r="G801" t="n">
        <v>2.2</v>
      </c>
      <c r="H801" t="n">
        <v>0</v>
      </c>
      <c r="I801" t="n">
        <v>0</v>
      </c>
      <c r="J801" t="n">
        <v>0</v>
      </c>
      <c r="K801" t="n">
        <v>0</v>
      </c>
      <c r="L801" t="n">
        <v>0</v>
      </c>
      <c r="M801" t="n">
        <v>0</v>
      </c>
      <c r="N801" t="n">
        <v>0</v>
      </c>
      <c r="O801" t="n">
        <v>0</v>
      </c>
      <c r="P801" t="n">
        <v>0</v>
      </c>
      <c r="Q801" t="n">
        <v>0</v>
      </c>
      <c r="R801" s="2" t="inlineStr"/>
    </row>
    <row r="802" ht="15" customHeight="1">
      <c r="A802" t="inlineStr">
        <is>
          <t>A 16126-2022</t>
        </is>
      </c>
      <c r="B802" s="1" t="n">
        <v>44665</v>
      </c>
      <c r="C802" s="1" t="n">
        <v>45340</v>
      </c>
      <c r="D802" t="inlineStr">
        <is>
          <t>UPPSALA LÄN</t>
        </is>
      </c>
      <c r="E802" t="inlineStr">
        <is>
          <t>UPPSALA</t>
        </is>
      </c>
      <c r="F802" t="inlineStr">
        <is>
          <t>Bergvik skog öst AB</t>
        </is>
      </c>
      <c r="G802" t="n">
        <v>4.4</v>
      </c>
      <c r="H802" t="n">
        <v>0</v>
      </c>
      <c r="I802" t="n">
        <v>0</v>
      </c>
      <c r="J802" t="n">
        <v>0</v>
      </c>
      <c r="K802" t="n">
        <v>0</v>
      </c>
      <c r="L802" t="n">
        <v>0</v>
      </c>
      <c r="M802" t="n">
        <v>0</v>
      </c>
      <c r="N802" t="n">
        <v>0</v>
      </c>
      <c r="O802" t="n">
        <v>0</v>
      </c>
      <c r="P802" t="n">
        <v>0</v>
      </c>
      <c r="Q802" t="n">
        <v>0</v>
      </c>
      <c r="R802" s="2" t="inlineStr"/>
    </row>
    <row r="803" ht="15" customHeight="1">
      <c r="A803" t="inlineStr">
        <is>
          <t>A 16804-2022</t>
        </is>
      </c>
      <c r="B803" s="1" t="n">
        <v>44673</v>
      </c>
      <c r="C803" s="1" t="n">
        <v>45340</v>
      </c>
      <c r="D803" t="inlineStr">
        <is>
          <t>UPPSALA LÄN</t>
        </is>
      </c>
      <c r="E803" t="inlineStr">
        <is>
          <t>UPPSALA</t>
        </is>
      </c>
      <c r="F803" t="inlineStr">
        <is>
          <t>Bergvik skog öst AB</t>
        </is>
      </c>
      <c r="G803" t="n">
        <v>3.5</v>
      </c>
      <c r="H803" t="n">
        <v>0</v>
      </c>
      <c r="I803" t="n">
        <v>0</v>
      </c>
      <c r="J803" t="n">
        <v>0</v>
      </c>
      <c r="K803" t="n">
        <v>0</v>
      </c>
      <c r="L803" t="n">
        <v>0</v>
      </c>
      <c r="M803" t="n">
        <v>0</v>
      </c>
      <c r="N803" t="n">
        <v>0</v>
      </c>
      <c r="O803" t="n">
        <v>0</v>
      </c>
      <c r="P803" t="n">
        <v>0</v>
      </c>
      <c r="Q803" t="n">
        <v>0</v>
      </c>
      <c r="R803" s="2" t="inlineStr"/>
    </row>
    <row r="804" ht="15" customHeight="1">
      <c r="A804" t="inlineStr">
        <is>
          <t>A 16828-2022</t>
        </is>
      </c>
      <c r="B804" s="1" t="n">
        <v>44673</v>
      </c>
      <c r="C804" s="1" t="n">
        <v>45340</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16827-2022</t>
        </is>
      </c>
      <c r="B805" s="1" t="n">
        <v>44673</v>
      </c>
      <c r="C805" s="1" t="n">
        <v>45340</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16831-2022</t>
        </is>
      </c>
      <c r="B806" s="1" t="n">
        <v>44673</v>
      </c>
      <c r="C806" s="1" t="n">
        <v>45340</v>
      </c>
      <c r="D806" t="inlineStr">
        <is>
          <t>UPPSALA LÄN</t>
        </is>
      </c>
      <c r="E806" t="inlineStr">
        <is>
          <t>UPPSALA</t>
        </is>
      </c>
      <c r="F806" t="inlineStr">
        <is>
          <t>Bergvik skog öst AB</t>
        </is>
      </c>
      <c r="G806" t="n">
        <v>5.8</v>
      </c>
      <c r="H806" t="n">
        <v>0</v>
      </c>
      <c r="I806" t="n">
        <v>0</v>
      </c>
      <c r="J806" t="n">
        <v>0</v>
      </c>
      <c r="K806" t="n">
        <v>0</v>
      </c>
      <c r="L806" t="n">
        <v>0</v>
      </c>
      <c r="M806" t="n">
        <v>0</v>
      </c>
      <c r="N806" t="n">
        <v>0</v>
      </c>
      <c r="O806" t="n">
        <v>0</v>
      </c>
      <c r="P806" t="n">
        <v>0</v>
      </c>
      <c r="Q806" t="n">
        <v>0</v>
      </c>
      <c r="R806" s="2" t="inlineStr"/>
    </row>
    <row r="807" ht="15" customHeight="1">
      <c r="A807" t="inlineStr">
        <is>
          <t>A 16826-2022</t>
        </is>
      </c>
      <c r="B807" s="1" t="n">
        <v>44673</v>
      </c>
      <c r="C807" s="1" t="n">
        <v>45340</v>
      </c>
      <c r="D807" t="inlineStr">
        <is>
          <t>UPPSALA LÄN</t>
        </is>
      </c>
      <c r="E807" t="inlineStr">
        <is>
          <t>UPPSALA</t>
        </is>
      </c>
      <c r="F807" t="inlineStr">
        <is>
          <t>Bergvik skog öst AB</t>
        </is>
      </c>
      <c r="G807" t="n">
        <v>7.1</v>
      </c>
      <c r="H807" t="n">
        <v>0</v>
      </c>
      <c r="I807" t="n">
        <v>0</v>
      </c>
      <c r="J807" t="n">
        <v>0</v>
      </c>
      <c r="K807" t="n">
        <v>0</v>
      </c>
      <c r="L807" t="n">
        <v>0</v>
      </c>
      <c r="M807" t="n">
        <v>0</v>
      </c>
      <c r="N807" t="n">
        <v>0</v>
      </c>
      <c r="O807" t="n">
        <v>0</v>
      </c>
      <c r="P807" t="n">
        <v>0</v>
      </c>
      <c r="Q807" t="n">
        <v>0</v>
      </c>
      <c r="R807" s="2" t="inlineStr"/>
    </row>
    <row r="808" ht="15" customHeight="1">
      <c r="A808" t="inlineStr">
        <is>
          <t>A 16761-2022</t>
        </is>
      </c>
      <c r="B808" s="1" t="n">
        <v>44673</v>
      </c>
      <c r="C808" s="1" t="n">
        <v>45340</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16942-2022</t>
        </is>
      </c>
      <c r="B809" s="1" t="n">
        <v>44676</v>
      </c>
      <c r="C809" s="1" t="n">
        <v>45340</v>
      </c>
      <c r="D809" t="inlineStr">
        <is>
          <t>UPPSALA LÄN</t>
        </is>
      </c>
      <c r="E809" t="inlineStr">
        <is>
          <t>UPPSALA</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16892-2022</t>
        </is>
      </c>
      <c r="B810" s="1" t="n">
        <v>44676</v>
      </c>
      <c r="C810" s="1" t="n">
        <v>45340</v>
      </c>
      <c r="D810" t="inlineStr">
        <is>
          <t>UPPSALA LÄN</t>
        </is>
      </c>
      <c r="E810" t="inlineStr">
        <is>
          <t>UPPSALA</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16978-2022</t>
        </is>
      </c>
      <c r="B811" s="1" t="n">
        <v>44676</v>
      </c>
      <c r="C811" s="1" t="n">
        <v>45340</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16898-2022</t>
        </is>
      </c>
      <c r="B812" s="1" t="n">
        <v>44676</v>
      </c>
      <c r="C812" s="1" t="n">
        <v>45340</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17232-2022</t>
        </is>
      </c>
      <c r="B813" s="1" t="n">
        <v>44678</v>
      </c>
      <c r="C813" s="1" t="n">
        <v>45340</v>
      </c>
      <c r="D813" t="inlineStr">
        <is>
          <t>UPPSALA LÄN</t>
        </is>
      </c>
      <c r="E813" t="inlineStr">
        <is>
          <t>UPPSALA</t>
        </is>
      </c>
      <c r="F813" t="inlineStr">
        <is>
          <t>Övriga Aktiebolag</t>
        </is>
      </c>
      <c r="G813" t="n">
        <v>7.4</v>
      </c>
      <c r="H813" t="n">
        <v>0</v>
      </c>
      <c r="I813" t="n">
        <v>0</v>
      </c>
      <c r="J813" t="n">
        <v>0</v>
      </c>
      <c r="K813" t="n">
        <v>0</v>
      </c>
      <c r="L813" t="n">
        <v>0</v>
      </c>
      <c r="M813" t="n">
        <v>0</v>
      </c>
      <c r="N813" t="n">
        <v>0</v>
      </c>
      <c r="O813" t="n">
        <v>0</v>
      </c>
      <c r="P813" t="n">
        <v>0</v>
      </c>
      <c r="Q813" t="n">
        <v>0</v>
      </c>
      <c r="R813" s="2" t="inlineStr"/>
    </row>
    <row r="814" ht="15" customHeight="1">
      <c r="A814" t="inlineStr">
        <is>
          <t>A 17562-2022</t>
        </is>
      </c>
      <c r="B814" s="1" t="n">
        <v>44679</v>
      </c>
      <c r="C814" s="1" t="n">
        <v>45340</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17558-2022</t>
        </is>
      </c>
      <c r="B815" s="1" t="n">
        <v>44679</v>
      </c>
      <c r="C815" s="1" t="n">
        <v>45340</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17981-2022</t>
        </is>
      </c>
      <c r="B816" s="1" t="n">
        <v>44683</v>
      </c>
      <c r="C816" s="1" t="n">
        <v>45340</v>
      </c>
      <c r="D816" t="inlineStr">
        <is>
          <t>UPPSALA LÄN</t>
        </is>
      </c>
      <c r="E816" t="inlineStr">
        <is>
          <t>UPPSALA</t>
        </is>
      </c>
      <c r="F816" t="inlineStr">
        <is>
          <t>Bergvik skog öst AB</t>
        </is>
      </c>
      <c r="G816" t="n">
        <v>6.7</v>
      </c>
      <c r="H816" t="n">
        <v>0</v>
      </c>
      <c r="I816" t="n">
        <v>0</v>
      </c>
      <c r="J816" t="n">
        <v>0</v>
      </c>
      <c r="K816" t="n">
        <v>0</v>
      </c>
      <c r="L816" t="n">
        <v>0</v>
      </c>
      <c r="M816" t="n">
        <v>0</v>
      </c>
      <c r="N816" t="n">
        <v>0</v>
      </c>
      <c r="O816" t="n">
        <v>0</v>
      </c>
      <c r="P816" t="n">
        <v>0</v>
      </c>
      <c r="Q816" t="n">
        <v>0</v>
      </c>
      <c r="R816" s="2" t="inlineStr"/>
    </row>
    <row r="817" ht="15" customHeight="1">
      <c r="A817" t="inlineStr">
        <is>
          <t>A 18330-2022</t>
        </is>
      </c>
      <c r="B817" s="1" t="n">
        <v>44685</v>
      </c>
      <c r="C817" s="1" t="n">
        <v>45340</v>
      </c>
      <c r="D817" t="inlineStr">
        <is>
          <t>UPPSALA LÄN</t>
        </is>
      </c>
      <c r="E817" t="inlineStr">
        <is>
          <t>UPPSALA</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18521-2022</t>
        </is>
      </c>
      <c r="B818" s="1" t="n">
        <v>44686</v>
      </c>
      <c r="C818" s="1" t="n">
        <v>45340</v>
      </c>
      <c r="D818" t="inlineStr">
        <is>
          <t>UPPSALA LÄN</t>
        </is>
      </c>
      <c r="E818" t="inlineStr">
        <is>
          <t>UPPSALA</t>
        </is>
      </c>
      <c r="F818" t="inlineStr">
        <is>
          <t>Bergvik skog öst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18583-2022</t>
        </is>
      </c>
      <c r="B819" s="1" t="n">
        <v>44687</v>
      </c>
      <c r="C819" s="1" t="n">
        <v>45340</v>
      </c>
      <c r="D819" t="inlineStr">
        <is>
          <t>UPPSALA LÄN</t>
        </is>
      </c>
      <c r="E819" t="inlineStr">
        <is>
          <t>UPPSALA</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18960-2022</t>
        </is>
      </c>
      <c r="B820" s="1" t="n">
        <v>44690</v>
      </c>
      <c r="C820" s="1" t="n">
        <v>45340</v>
      </c>
      <c r="D820" t="inlineStr">
        <is>
          <t>UPPSALA LÄN</t>
        </is>
      </c>
      <c r="E820" t="inlineStr">
        <is>
          <t>UPPSALA</t>
        </is>
      </c>
      <c r="F820" t="inlineStr">
        <is>
          <t>Bergvik skog öst AB</t>
        </is>
      </c>
      <c r="G820" t="n">
        <v>2.7</v>
      </c>
      <c r="H820" t="n">
        <v>0</v>
      </c>
      <c r="I820" t="n">
        <v>0</v>
      </c>
      <c r="J820" t="n">
        <v>0</v>
      </c>
      <c r="K820" t="n">
        <v>0</v>
      </c>
      <c r="L820" t="n">
        <v>0</v>
      </c>
      <c r="M820" t="n">
        <v>0</v>
      </c>
      <c r="N820" t="n">
        <v>0</v>
      </c>
      <c r="O820" t="n">
        <v>0</v>
      </c>
      <c r="P820" t="n">
        <v>0</v>
      </c>
      <c r="Q820" t="n">
        <v>0</v>
      </c>
      <c r="R820" s="2" t="inlineStr"/>
    </row>
    <row r="821" ht="15" customHeight="1">
      <c r="A821" t="inlineStr">
        <is>
          <t>A 19034-2022</t>
        </is>
      </c>
      <c r="B821" s="1" t="n">
        <v>44691</v>
      </c>
      <c r="C821" s="1" t="n">
        <v>45340</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19240-2022</t>
        </is>
      </c>
      <c r="B822" s="1" t="n">
        <v>44692</v>
      </c>
      <c r="C822" s="1" t="n">
        <v>45340</v>
      </c>
      <c r="D822" t="inlineStr">
        <is>
          <t>UPPSALA LÄN</t>
        </is>
      </c>
      <c r="E822" t="inlineStr">
        <is>
          <t>UPPSALA</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19375-2022</t>
        </is>
      </c>
      <c r="B823" s="1" t="n">
        <v>44692</v>
      </c>
      <c r="C823" s="1" t="n">
        <v>45340</v>
      </c>
      <c r="D823" t="inlineStr">
        <is>
          <t>UPPSALA LÄN</t>
        </is>
      </c>
      <c r="E823" t="inlineStr">
        <is>
          <t>UPPSALA</t>
        </is>
      </c>
      <c r="F823" t="inlineStr">
        <is>
          <t>Bergvik skog öst AB</t>
        </is>
      </c>
      <c r="G823" t="n">
        <v>5</v>
      </c>
      <c r="H823" t="n">
        <v>0</v>
      </c>
      <c r="I823" t="n">
        <v>0</v>
      </c>
      <c r="J823" t="n">
        <v>0</v>
      </c>
      <c r="K823" t="n">
        <v>0</v>
      </c>
      <c r="L823" t="n">
        <v>0</v>
      </c>
      <c r="M823" t="n">
        <v>0</v>
      </c>
      <c r="N823" t="n">
        <v>0</v>
      </c>
      <c r="O823" t="n">
        <v>0</v>
      </c>
      <c r="P823" t="n">
        <v>0</v>
      </c>
      <c r="Q823" t="n">
        <v>0</v>
      </c>
      <c r="R823" s="2" t="inlineStr"/>
    </row>
    <row r="824" ht="15" customHeight="1">
      <c r="A824" t="inlineStr">
        <is>
          <t>A 19380-2022</t>
        </is>
      </c>
      <c r="B824" s="1" t="n">
        <v>44692</v>
      </c>
      <c r="C824" s="1" t="n">
        <v>45340</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19382-2022</t>
        </is>
      </c>
      <c r="B825" s="1" t="n">
        <v>44692</v>
      </c>
      <c r="C825" s="1" t="n">
        <v>45340</v>
      </c>
      <c r="D825" t="inlineStr">
        <is>
          <t>UPPSALA LÄN</t>
        </is>
      </c>
      <c r="E825" t="inlineStr">
        <is>
          <t>UPPSALA</t>
        </is>
      </c>
      <c r="G825" t="n">
        <v>4.3</v>
      </c>
      <c r="H825" t="n">
        <v>0</v>
      </c>
      <c r="I825" t="n">
        <v>0</v>
      </c>
      <c r="J825" t="n">
        <v>0</v>
      </c>
      <c r="K825" t="n">
        <v>0</v>
      </c>
      <c r="L825" t="n">
        <v>0</v>
      </c>
      <c r="M825" t="n">
        <v>0</v>
      </c>
      <c r="N825" t="n">
        <v>0</v>
      </c>
      <c r="O825" t="n">
        <v>0</v>
      </c>
      <c r="P825" t="n">
        <v>0</v>
      </c>
      <c r="Q825" t="n">
        <v>0</v>
      </c>
      <c r="R825" s="2" t="inlineStr"/>
    </row>
    <row r="826" ht="15" customHeight="1">
      <c r="A826" t="inlineStr">
        <is>
          <t>A 20265-2022</t>
        </is>
      </c>
      <c r="B826" s="1" t="n">
        <v>44698</v>
      </c>
      <c r="C826" s="1" t="n">
        <v>45340</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20497-2022</t>
        </is>
      </c>
      <c r="B827" s="1" t="n">
        <v>44699</v>
      </c>
      <c r="C827" s="1" t="n">
        <v>45340</v>
      </c>
      <c r="D827" t="inlineStr">
        <is>
          <t>UPPSALA LÄN</t>
        </is>
      </c>
      <c r="E827" t="inlineStr">
        <is>
          <t>UPPSALA</t>
        </is>
      </c>
      <c r="F827" t="inlineStr">
        <is>
          <t>Övriga statliga verk och myndigheter</t>
        </is>
      </c>
      <c r="G827" t="n">
        <v>1</v>
      </c>
      <c r="H827" t="n">
        <v>0</v>
      </c>
      <c r="I827" t="n">
        <v>0</v>
      </c>
      <c r="J827" t="n">
        <v>0</v>
      </c>
      <c r="K827" t="n">
        <v>0</v>
      </c>
      <c r="L827" t="n">
        <v>0</v>
      </c>
      <c r="M827" t="n">
        <v>0</v>
      </c>
      <c r="N827" t="n">
        <v>0</v>
      </c>
      <c r="O827" t="n">
        <v>0</v>
      </c>
      <c r="P827" t="n">
        <v>0</v>
      </c>
      <c r="Q827" t="n">
        <v>0</v>
      </c>
      <c r="R827" s="2" t="inlineStr"/>
    </row>
    <row r="828" ht="15" customHeight="1">
      <c r="A828" t="inlineStr">
        <is>
          <t>A 20770-2022</t>
        </is>
      </c>
      <c r="B828" s="1" t="n">
        <v>44700</v>
      </c>
      <c r="C828" s="1" t="n">
        <v>45340</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20764-2022</t>
        </is>
      </c>
      <c r="B829" s="1" t="n">
        <v>44700</v>
      </c>
      <c r="C829" s="1" t="n">
        <v>45340</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20938-2022</t>
        </is>
      </c>
      <c r="B830" s="1" t="n">
        <v>44701</v>
      </c>
      <c r="C830" s="1" t="n">
        <v>45340</v>
      </c>
      <c r="D830" t="inlineStr">
        <is>
          <t>UPPSALA LÄN</t>
        </is>
      </c>
      <c r="E830" t="inlineStr">
        <is>
          <t>UPPSALA</t>
        </is>
      </c>
      <c r="F830" t="inlineStr">
        <is>
          <t>Bergvik skog öst AB</t>
        </is>
      </c>
      <c r="G830" t="n">
        <v>7.2</v>
      </c>
      <c r="H830" t="n">
        <v>0</v>
      </c>
      <c r="I830" t="n">
        <v>0</v>
      </c>
      <c r="J830" t="n">
        <v>0</v>
      </c>
      <c r="K830" t="n">
        <v>0</v>
      </c>
      <c r="L830" t="n">
        <v>0</v>
      </c>
      <c r="M830" t="n">
        <v>0</v>
      </c>
      <c r="N830" t="n">
        <v>0</v>
      </c>
      <c r="O830" t="n">
        <v>0</v>
      </c>
      <c r="P830" t="n">
        <v>0</v>
      </c>
      <c r="Q830" t="n">
        <v>0</v>
      </c>
      <c r="R830" s="2" t="inlineStr"/>
    </row>
    <row r="831" ht="15" customHeight="1">
      <c r="A831" t="inlineStr">
        <is>
          <t>A 20936-2022</t>
        </is>
      </c>
      <c r="B831" s="1" t="n">
        <v>44701</v>
      </c>
      <c r="C831" s="1" t="n">
        <v>45340</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v>
      </c>
      <c r="C832" s="1" t="n">
        <v>45340</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21181-2022</t>
        </is>
      </c>
      <c r="B833" s="1" t="n">
        <v>44704</v>
      </c>
      <c r="C833" s="1" t="n">
        <v>45340</v>
      </c>
      <c r="D833" t="inlineStr">
        <is>
          <t>UPPSALA LÄN</t>
        </is>
      </c>
      <c r="E833" t="inlineStr">
        <is>
          <t>UPPSALA</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21228-2022</t>
        </is>
      </c>
      <c r="B834" s="1" t="n">
        <v>44704</v>
      </c>
      <c r="C834" s="1" t="n">
        <v>45340</v>
      </c>
      <c r="D834" t="inlineStr">
        <is>
          <t>UPPSALA LÄN</t>
        </is>
      </c>
      <c r="E834" t="inlineStr">
        <is>
          <t>UPPSALA</t>
        </is>
      </c>
      <c r="G834" t="n">
        <v>0.2</v>
      </c>
      <c r="H834" t="n">
        <v>0</v>
      </c>
      <c r="I834" t="n">
        <v>0</v>
      </c>
      <c r="J834" t="n">
        <v>0</v>
      </c>
      <c r="K834" t="n">
        <v>0</v>
      </c>
      <c r="L834" t="n">
        <v>0</v>
      </c>
      <c r="M834" t="n">
        <v>0</v>
      </c>
      <c r="N834" t="n">
        <v>0</v>
      </c>
      <c r="O834" t="n">
        <v>0</v>
      </c>
      <c r="P834" t="n">
        <v>0</v>
      </c>
      <c r="Q834" t="n">
        <v>0</v>
      </c>
      <c r="R834" s="2" t="inlineStr"/>
    </row>
    <row r="835" ht="15" customHeight="1">
      <c r="A835" t="inlineStr">
        <is>
          <t>A 21387-2022</t>
        </is>
      </c>
      <c r="B835" s="1" t="n">
        <v>44705</v>
      </c>
      <c r="C835" s="1" t="n">
        <v>45340</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21391-2022</t>
        </is>
      </c>
      <c r="B836" s="1" t="n">
        <v>44705</v>
      </c>
      <c r="C836" s="1" t="n">
        <v>45340</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21394-2022</t>
        </is>
      </c>
      <c r="B837" s="1" t="n">
        <v>44705</v>
      </c>
      <c r="C837" s="1" t="n">
        <v>45340</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22021-2022</t>
        </is>
      </c>
      <c r="B838" s="1" t="n">
        <v>44711</v>
      </c>
      <c r="C838" s="1" t="n">
        <v>45340</v>
      </c>
      <c r="D838" t="inlineStr">
        <is>
          <t>UPPSALA LÄN</t>
        </is>
      </c>
      <c r="E838" t="inlineStr">
        <is>
          <t>UPPSALA</t>
        </is>
      </c>
      <c r="F838" t="inlineStr">
        <is>
          <t>Allmännings- och besparingsskogar</t>
        </is>
      </c>
      <c r="G838" t="n">
        <v>2.1</v>
      </c>
      <c r="H838" t="n">
        <v>0</v>
      </c>
      <c r="I838" t="n">
        <v>0</v>
      </c>
      <c r="J838" t="n">
        <v>0</v>
      </c>
      <c r="K838" t="n">
        <v>0</v>
      </c>
      <c r="L838" t="n">
        <v>0</v>
      </c>
      <c r="M838" t="n">
        <v>0</v>
      </c>
      <c r="N838" t="n">
        <v>0</v>
      </c>
      <c r="O838" t="n">
        <v>0</v>
      </c>
      <c r="P838" t="n">
        <v>0</v>
      </c>
      <c r="Q838" t="n">
        <v>0</v>
      </c>
      <c r="R838" s="2" t="inlineStr"/>
    </row>
    <row r="839" ht="15" customHeight="1">
      <c r="A839" t="inlineStr">
        <is>
          <t>A 22390-2022</t>
        </is>
      </c>
      <c r="B839" s="1" t="n">
        <v>44713</v>
      </c>
      <c r="C839" s="1" t="n">
        <v>45340</v>
      </c>
      <c r="D839" t="inlineStr">
        <is>
          <t>UPPSALA LÄN</t>
        </is>
      </c>
      <c r="E839" t="inlineStr">
        <is>
          <t>UPPSALA</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22429-2022</t>
        </is>
      </c>
      <c r="B840" s="1" t="n">
        <v>44713</v>
      </c>
      <c r="C840" s="1" t="n">
        <v>45340</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22645-2022</t>
        </is>
      </c>
      <c r="B841" s="1" t="n">
        <v>44714</v>
      </c>
      <c r="C841" s="1" t="n">
        <v>45340</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23141-2022</t>
        </is>
      </c>
      <c r="B842" s="1" t="n">
        <v>44719</v>
      </c>
      <c r="C842" s="1" t="n">
        <v>45340</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23324-2022</t>
        </is>
      </c>
      <c r="B843" s="1" t="n">
        <v>44720</v>
      </c>
      <c r="C843" s="1" t="n">
        <v>45340</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23289-2022</t>
        </is>
      </c>
      <c r="B844" s="1" t="n">
        <v>44720</v>
      </c>
      <c r="C844" s="1" t="n">
        <v>45340</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23761-2022</t>
        </is>
      </c>
      <c r="B845" s="1" t="n">
        <v>44722</v>
      </c>
      <c r="C845" s="1" t="n">
        <v>45340</v>
      </c>
      <c r="D845" t="inlineStr">
        <is>
          <t>UPPSALA LÄN</t>
        </is>
      </c>
      <c r="E845" t="inlineStr">
        <is>
          <t>UPPSALA</t>
        </is>
      </c>
      <c r="F845" t="inlineStr">
        <is>
          <t>Bergvik skog öst AB</t>
        </is>
      </c>
      <c r="G845" t="n">
        <v>7.3</v>
      </c>
      <c r="H845" t="n">
        <v>0</v>
      </c>
      <c r="I845" t="n">
        <v>0</v>
      </c>
      <c r="J845" t="n">
        <v>0</v>
      </c>
      <c r="K845" t="n">
        <v>0</v>
      </c>
      <c r="L845" t="n">
        <v>0</v>
      </c>
      <c r="M845" t="n">
        <v>0</v>
      </c>
      <c r="N845" t="n">
        <v>0</v>
      </c>
      <c r="O845" t="n">
        <v>0</v>
      </c>
      <c r="P845" t="n">
        <v>0</v>
      </c>
      <c r="Q845" t="n">
        <v>0</v>
      </c>
      <c r="R845" s="2" t="inlineStr"/>
    </row>
    <row r="846" ht="15" customHeight="1">
      <c r="A846" t="inlineStr">
        <is>
          <t>A 23713-2022</t>
        </is>
      </c>
      <c r="B846" s="1" t="n">
        <v>44722</v>
      </c>
      <c r="C846" s="1" t="n">
        <v>45340</v>
      </c>
      <c r="D846" t="inlineStr">
        <is>
          <t>UPPSALA LÄN</t>
        </is>
      </c>
      <c r="E846" t="inlineStr">
        <is>
          <t>UPPSALA</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23717-2022</t>
        </is>
      </c>
      <c r="B847" s="1" t="n">
        <v>44722</v>
      </c>
      <c r="C847" s="1" t="n">
        <v>45340</v>
      </c>
      <c r="D847" t="inlineStr">
        <is>
          <t>UPPSALA LÄN</t>
        </is>
      </c>
      <c r="E847" t="inlineStr">
        <is>
          <t>UPPSALA</t>
        </is>
      </c>
      <c r="F847" t="inlineStr">
        <is>
          <t>Bergvik skog öst AB</t>
        </is>
      </c>
      <c r="G847" t="n">
        <v>2.3</v>
      </c>
      <c r="H847" t="n">
        <v>0</v>
      </c>
      <c r="I847" t="n">
        <v>0</v>
      </c>
      <c r="J847" t="n">
        <v>0</v>
      </c>
      <c r="K847" t="n">
        <v>0</v>
      </c>
      <c r="L847" t="n">
        <v>0</v>
      </c>
      <c r="M847" t="n">
        <v>0</v>
      </c>
      <c r="N847" t="n">
        <v>0</v>
      </c>
      <c r="O847" t="n">
        <v>0</v>
      </c>
      <c r="P847" t="n">
        <v>0</v>
      </c>
      <c r="Q847" t="n">
        <v>0</v>
      </c>
      <c r="R847" s="2" t="inlineStr"/>
    </row>
    <row r="848" ht="15" customHeight="1">
      <c r="A848" t="inlineStr">
        <is>
          <t>A 23730-2022</t>
        </is>
      </c>
      <c r="B848" s="1" t="n">
        <v>44722</v>
      </c>
      <c r="C848" s="1" t="n">
        <v>45340</v>
      </c>
      <c r="D848" t="inlineStr">
        <is>
          <t>UPPSALA LÄN</t>
        </is>
      </c>
      <c r="E848" t="inlineStr">
        <is>
          <t>UPPSALA</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24420-2022</t>
        </is>
      </c>
      <c r="B849" s="1" t="n">
        <v>44726</v>
      </c>
      <c r="C849" s="1" t="n">
        <v>45340</v>
      </c>
      <c r="D849" t="inlineStr">
        <is>
          <t>UPPSALA LÄN</t>
        </is>
      </c>
      <c r="E849" t="inlineStr">
        <is>
          <t>UPPSALA</t>
        </is>
      </c>
      <c r="F849" t="inlineStr">
        <is>
          <t>Bergvik skog öst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24401-2022</t>
        </is>
      </c>
      <c r="B850" s="1" t="n">
        <v>44726</v>
      </c>
      <c r="C850" s="1" t="n">
        <v>45340</v>
      </c>
      <c r="D850" t="inlineStr">
        <is>
          <t>UPPSALA LÄN</t>
        </is>
      </c>
      <c r="E850" t="inlineStr">
        <is>
          <t>UPPSALA</t>
        </is>
      </c>
      <c r="F850" t="inlineStr">
        <is>
          <t>Bergvik skog öst AB</t>
        </is>
      </c>
      <c r="G850" t="n">
        <v>4.8</v>
      </c>
      <c r="H850" t="n">
        <v>0</v>
      </c>
      <c r="I850" t="n">
        <v>0</v>
      </c>
      <c r="J850" t="n">
        <v>0</v>
      </c>
      <c r="K850" t="n">
        <v>0</v>
      </c>
      <c r="L850" t="n">
        <v>0</v>
      </c>
      <c r="M850" t="n">
        <v>0</v>
      </c>
      <c r="N850" t="n">
        <v>0</v>
      </c>
      <c r="O850" t="n">
        <v>0</v>
      </c>
      <c r="P850" t="n">
        <v>0</v>
      </c>
      <c r="Q850" t="n">
        <v>0</v>
      </c>
      <c r="R850" s="2" t="inlineStr"/>
    </row>
    <row r="851" ht="15" customHeight="1">
      <c r="A851" t="inlineStr">
        <is>
          <t>A 24409-2022</t>
        </is>
      </c>
      <c r="B851" s="1" t="n">
        <v>44726</v>
      </c>
      <c r="C851" s="1" t="n">
        <v>45340</v>
      </c>
      <c r="D851" t="inlineStr">
        <is>
          <t>UPPSALA LÄN</t>
        </is>
      </c>
      <c r="E851" t="inlineStr">
        <is>
          <t>UPPSALA</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25178-2022</t>
        </is>
      </c>
      <c r="B852" s="1" t="n">
        <v>44729</v>
      </c>
      <c r="C852" s="1" t="n">
        <v>45340</v>
      </c>
      <c r="D852" t="inlineStr">
        <is>
          <t>UPPSALA LÄN</t>
        </is>
      </c>
      <c r="E852" t="inlineStr">
        <is>
          <t>UPPSALA</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25120-2022</t>
        </is>
      </c>
      <c r="B853" s="1" t="n">
        <v>44729</v>
      </c>
      <c r="C853" s="1" t="n">
        <v>45340</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25759-2022</t>
        </is>
      </c>
      <c r="B854" s="1" t="n">
        <v>44733</v>
      </c>
      <c r="C854" s="1" t="n">
        <v>45340</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25809-2022</t>
        </is>
      </c>
      <c r="B855" s="1" t="n">
        <v>44733</v>
      </c>
      <c r="C855" s="1" t="n">
        <v>45340</v>
      </c>
      <c r="D855" t="inlineStr">
        <is>
          <t>UPPSALA LÄN</t>
        </is>
      </c>
      <c r="E855" t="inlineStr">
        <is>
          <t>UPPSALA</t>
        </is>
      </c>
      <c r="F855" t="inlineStr">
        <is>
          <t>Bergvik skog öst AB</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v>
      </c>
      <c r="C856" s="1" t="n">
        <v>45340</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25776-2022</t>
        </is>
      </c>
      <c r="B857" s="1" t="n">
        <v>44733</v>
      </c>
      <c r="C857" s="1" t="n">
        <v>45340</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26609-2022</t>
        </is>
      </c>
      <c r="B858" s="1" t="n">
        <v>44739</v>
      </c>
      <c r="C858" s="1" t="n">
        <v>45340</v>
      </c>
      <c r="D858" t="inlineStr">
        <is>
          <t>UPPSALA LÄN</t>
        </is>
      </c>
      <c r="E858" t="inlineStr">
        <is>
          <t>UPPSALA</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26958-2022</t>
        </is>
      </c>
      <c r="B859" s="1" t="n">
        <v>44740</v>
      </c>
      <c r="C859" s="1" t="n">
        <v>45340</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26972-2022</t>
        </is>
      </c>
      <c r="B860" s="1" t="n">
        <v>44740</v>
      </c>
      <c r="C860" s="1" t="n">
        <v>45340</v>
      </c>
      <c r="D860" t="inlineStr">
        <is>
          <t>UPPSALA LÄN</t>
        </is>
      </c>
      <c r="E860" t="inlineStr">
        <is>
          <t>UPPSALA</t>
        </is>
      </c>
      <c r="F860" t="inlineStr">
        <is>
          <t>Bergvik skog öst AB</t>
        </is>
      </c>
      <c r="G860" t="n">
        <v>1.2</v>
      </c>
      <c r="H860" t="n">
        <v>0</v>
      </c>
      <c r="I860" t="n">
        <v>0</v>
      </c>
      <c r="J860" t="n">
        <v>0</v>
      </c>
      <c r="K860" t="n">
        <v>0</v>
      </c>
      <c r="L860" t="n">
        <v>0</v>
      </c>
      <c r="M860" t="n">
        <v>0</v>
      </c>
      <c r="N860" t="n">
        <v>0</v>
      </c>
      <c r="O860" t="n">
        <v>0</v>
      </c>
      <c r="P860" t="n">
        <v>0</v>
      </c>
      <c r="Q860" t="n">
        <v>0</v>
      </c>
      <c r="R860" s="2" t="inlineStr"/>
    </row>
    <row r="861" ht="15" customHeight="1">
      <c r="A861" t="inlineStr">
        <is>
          <t>A 27372-2022</t>
        </is>
      </c>
      <c r="B861" s="1" t="n">
        <v>44742</v>
      </c>
      <c r="C861" s="1" t="n">
        <v>45340</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27369-2022</t>
        </is>
      </c>
      <c r="B862" s="1" t="n">
        <v>44742</v>
      </c>
      <c r="C862" s="1" t="n">
        <v>45340</v>
      </c>
      <c r="D862" t="inlineStr">
        <is>
          <t>UPPSALA LÄN</t>
        </is>
      </c>
      <c r="E862" t="inlineStr">
        <is>
          <t>UPPSALA</t>
        </is>
      </c>
      <c r="G862" t="n">
        <v>4.5</v>
      </c>
      <c r="H862" t="n">
        <v>0</v>
      </c>
      <c r="I862" t="n">
        <v>0</v>
      </c>
      <c r="J862" t="n">
        <v>0</v>
      </c>
      <c r="K862" t="n">
        <v>0</v>
      </c>
      <c r="L862" t="n">
        <v>0</v>
      </c>
      <c r="M862" t="n">
        <v>0</v>
      </c>
      <c r="N862" t="n">
        <v>0</v>
      </c>
      <c r="O862" t="n">
        <v>0</v>
      </c>
      <c r="P862" t="n">
        <v>0</v>
      </c>
      <c r="Q862" t="n">
        <v>0</v>
      </c>
      <c r="R862" s="2" t="inlineStr"/>
    </row>
    <row r="863" ht="15" customHeight="1">
      <c r="A863" t="inlineStr">
        <is>
          <t>A 27390-2022</t>
        </is>
      </c>
      <c r="B863" s="1" t="n">
        <v>44742</v>
      </c>
      <c r="C863" s="1" t="n">
        <v>45340</v>
      </c>
      <c r="D863" t="inlineStr">
        <is>
          <t>UPPSALA LÄN</t>
        </is>
      </c>
      <c r="E863" t="inlineStr">
        <is>
          <t>UPPSALA</t>
        </is>
      </c>
      <c r="G863" t="n">
        <v>3.3</v>
      </c>
      <c r="H863" t="n">
        <v>0</v>
      </c>
      <c r="I863" t="n">
        <v>0</v>
      </c>
      <c r="J863" t="n">
        <v>0</v>
      </c>
      <c r="K863" t="n">
        <v>0</v>
      </c>
      <c r="L863" t="n">
        <v>0</v>
      </c>
      <c r="M863" t="n">
        <v>0</v>
      </c>
      <c r="N863" t="n">
        <v>0</v>
      </c>
      <c r="O863" t="n">
        <v>0</v>
      </c>
      <c r="P863" t="n">
        <v>0</v>
      </c>
      <c r="Q863" t="n">
        <v>0</v>
      </c>
      <c r="R863" s="2" t="inlineStr"/>
    </row>
    <row r="864" ht="15" customHeight="1">
      <c r="A864" t="inlineStr">
        <is>
          <t>A 27397-2022</t>
        </is>
      </c>
      <c r="B864" s="1" t="n">
        <v>44742</v>
      </c>
      <c r="C864" s="1" t="n">
        <v>45340</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27546-2022</t>
        </is>
      </c>
      <c r="B865" s="1" t="n">
        <v>44742</v>
      </c>
      <c r="C865" s="1" t="n">
        <v>45340</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45340</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27763-2022</t>
        </is>
      </c>
      <c r="B867" s="1" t="n">
        <v>44743</v>
      </c>
      <c r="C867" s="1" t="n">
        <v>45340</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27762-2022</t>
        </is>
      </c>
      <c r="B868" s="1" t="n">
        <v>44743</v>
      </c>
      <c r="C868" s="1" t="n">
        <v>45340</v>
      </c>
      <c r="D868" t="inlineStr">
        <is>
          <t>UPPSALA LÄN</t>
        </is>
      </c>
      <c r="E868" t="inlineStr">
        <is>
          <t>UPPSALA</t>
        </is>
      </c>
      <c r="G868" t="n">
        <v>3.5</v>
      </c>
      <c r="H868" t="n">
        <v>0</v>
      </c>
      <c r="I868" t="n">
        <v>0</v>
      </c>
      <c r="J868" t="n">
        <v>0</v>
      </c>
      <c r="K868" t="n">
        <v>0</v>
      </c>
      <c r="L868" t="n">
        <v>0</v>
      </c>
      <c r="M868" t="n">
        <v>0</v>
      </c>
      <c r="N868" t="n">
        <v>0</v>
      </c>
      <c r="O868" t="n">
        <v>0</v>
      </c>
      <c r="P868" t="n">
        <v>0</v>
      </c>
      <c r="Q868" t="n">
        <v>0</v>
      </c>
      <c r="R868" s="2" t="inlineStr"/>
    </row>
    <row r="869" ht="15" customHeight="1">
      <c r="A869" t="inlineStr">
        <is>
          <t>A 29277-2022</t>
        </is>
      </c>
      <c r="B869" s="1" t="n">
        <v>44750</v>
      </c>
      <c r="C869" s="1" t="n">
        <v>45340</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29134-2022</t>
        </is>
      </c>
      <c r="B870" s="1" t="n">
        <v>44750</v>
      </c>
      <c r="C870" s="1" t="n">
        <v>45340</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29986-2022</t>
        </is>
      </c>
      <c r="B871" s="1" t="n">
        <v>44756</v>
      </c>
      <c r="C871" s="1" t="n">
        <v>45340</v>
      </c>
      <c r="D871" t="inlineStr">
        <is>
          <t>UPPSALA LÄN</t>
        </is>
      </c>
      <c r="E871" t="inlineStr">
        <is>
          <t>UPPSALA</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29991-2022</t>
        </is>
      </c>
      <c r="B872" s="1" t="n">
        <v>44756</v>
      </c>
      <c r="C872" s="1" t="n">
        <v>45340</v>
      </c>
      <c r="D872" t="inlineStr">
        <is>
          <t>UPPSALA LÄN</t>
        </is>
      </c>
      <c r="E872" t="inlineStr">
        <is>
          <t>UPPSALA</t>
        </is>
      </c>
      <c r="F872" t="inlineStr">
        <is>
          <t>Bergvik skog öst AB</t>
        </is>
      </c>
      <c r="G872" t="n">
        <v>4.1</v>
      </c>
      <c r="H872" t="n">
        <v>0</v>
      </c>
      <c r="I872" t="n">
        <v>0</v>
      </c>
      <c r="J872" t="n">
        <v>0</v>
      </c>
      <c r="K872" t="n">
        <v>0</v>
      </c>
      <c r="L872" t="n">
        <v>0</v>
      </c>
      <c r="M872" t="n">
        <v>0</v>
      </c>
      <c r="N872" t="n">
        <v>0</v>
      </c>
      <c r="O872" t="n">
        <v>0</v>
      </c>
      <c r="P872" t="n">
        <v>0</v>
      </c>
      <c r="Q872" t="n">
        <v>0</v>
      </c>
      <c r="R872" s="2" t="inlineStr"/>
    </row>
    <row r="873" ht="15" customHeight="1">
      <c r="A873" t="inlineStr">
        <is>
          <t>A 30052-2022</t>
        </is>
      </c>
      <c r="B873" s="1" t="n">
        <v>44757</v>
      </c>
      <c r="C873" s="1" t="n">
        <v>45340</v>
      </c>
      <c r="D873" t="inlineStr">
        <is>
          <t>UPPSALA LÄN</t>
        </is>
      </c>
      <c r="E873" t="inlineStr">
        <is>
          <t>UPPSALA</t>
        </is>
      </c>
      <c r="F873" t="inlineStr">
        <is>
          <t>Bergvik skog öst AB</t>
        </is>
      </c>
      <c r="G873" t="n">
        <v>9.6</v>
      </c>
      <c r="H873" t="n">
        <v>0</v>
      </c>
      <c r="I873" t="n">
        <v>0</v>
      </c>
      <c r="J873" t="n">
        <v>0</v>
      </c>
      <c r="K873" t="n">
        <v>0</v>
      </c>
      <c r="L873" t="n">
        <v>0</v>
      </c>
      <c r="M873" t="n">
        <v>0</v>
      </c>
      <c r="N873" t="n">
        <v>0</v>
      </c>
      <c r="O873" t="n">
        <v>0</v>
      </c>
      <c r="P873" t="n">
        <v>0</v>
      </c>
      <c r="Q873" t="n">
        <v>0</v>
      </c>
      <c r="R873" s="2" t="inlineStr"/>
    </row>
    <row r="874" ht="15" customHeight="1">
      <c r="A874" t="inlineStr">
        <is>
          <t>A 30580-2022</t>
        </is>
      </c>
      <c r="B874" s="1" t="n">
        <v>44762</v>
      </c>
      <c r="C874" s="1" t="n">
        <v>45340</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30783-2022</t>
        </is>
      </c>
      <c r="B875" s="1" t="n">
        <v>44764</v>
      </c>
      <c r="C875" s="1" t="n">
        <v>45340</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30775-2022</t>
        </is>
      </c>
      <c r="B876" s="1" t="n">
        <v>44764</v>
      </c>
      <c r="C876" s="1" t="n">
        <v>45340</v>
      </c>
      <c r="D876" t="inlineStr">
        <is>
          <t>UPPSALA LÄN</t>
        </is>
      </c>
      <c r="E876" t="inlineStr">
        <is>
          <t>UPPSALA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31113-2022</t>
        </is>
      </c>
      <c r="B877" s="1" t="n">
        <v>44769</v>
      </c>
      <c r="C877" s="1" t="n">
        <v>45340</v>
      </c>
      <c r="D877" t="inlineStr">
        <is>
          <t>UPPSALA LÄN</t>
        </is>
      </c>
      <c r="E877" t="inlineStr">
        <is>
          <t>UPPSALA</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ht="15" customHeight="1">
      <c r="A878" t="inlineStr">
        <is>
          <t>A 31263-2022</t>
        </is>
      </c>
      <c r="B878" s="1" t="n">
        <v>44771</v>
      </c>
      <c r="C878" s="1" t="n">
        <v>45340</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31261-2022</t>
        </is>
      </c>
      <c r="B879" s="1" t="n">
        <v>44771</v>
      </c>
      <c r="C879" s="1" t="n">
        <v>45340</v>
      </c>
      <c r="D879" t="inlineStr">
        <is>
          <t>UPPSALA LÄN</t>
        </is>
      </c>
      <c r="E879" t="inlineStr">
        <is>
          <t>UPPSALA</t>
        </is>
      </c>
      <c r="F879" t="inlineStr">
        <is>
          <t>Bergvik skog öst AB</t>
        </is>
      </c>
      <c r="G879" t="n">
        <v>2.6</v>
      </c>
      <c r="H879" t="n">
        <v>0</v>
      </c>
      <c r="I879" t="n">
        <v>0</v>
      </c>
      <c r="J879" t="n">
        <v>0</v>
      </c>
      <c r="K879" t="n">
        <v>0</v>
      </c>
      <c r="L879" t="n">
        <v>0</v>
      </c>
      <c r="M879" t="n">
        <v>0</v>
      </c>
      <c r="N879" t="n">
        <v>0</v>
      </c>
      <c r="O879" t="n">
        <v>0</v>
      </c>
      <c r="P879" t="n">
        <v>0</v>
      </c>
      <c r="Q879" t="n">
        <v>0</v>
      </c>
      <c r="R879" s="2" t="inlineStr"/>
    </row>
    <row r="880" ht="15" customHeight="1">
      <c r="A880" t="inlineStr">
        <is>
          <t>A 31249-2022</t>
        </is>
      </c>
      <c r="B880" s="1" t="n">
        <v>44771</v>
      </c>
      <c r="C880" s="1" t="n">
        <v>45340</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31253-2022</t>
        </is>
      </c>
      <c r="B881" s="1" t="n">
        <v>44771</v>
      </c>
      <c r="C881" s="1" t="n">
        <v>45340</v>
      </c>
      <c r="D881" t="inlineStr">
        <is>
          <t>UPPSALA LÄN</t>
        </is>
      </c>
      <c r="E881" t="inlineStr">
        <is>
          <t>UPPSALA</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32954-2022</t>
        </is>
      </c>
      <c r="B882" s="1" t="n">
        <v>44784</v>
      </c>
      <c r="C882" s="1" t="n">
        <v>45340</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33332-2022</t>
        </is>
      </c>
      <c r="B883" s="1" t="n">
        <v>44788</v>
      </c>
      <c r="C883" s="1" t="n">
        <v>45340</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33283-2022</t>
        </is>
      </c>
      <c r="B884" s="1" t="n">
        <v>44788</v>
      </c>
      <c r="C884" s="1" t="n">
        <v>45340</v>
      </c>
      <c r="D884" t="inlineStr">
        <is>
          <t>UPPSALA LÄN</t>
        </is>
      </c>
      <c r="E884" t="inlineStr">
        <is>
          <t>UPPSALA</t>
        </is>
      </c>
      <c r="G884" t="n">
        <v>20.2</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v>
      </c>
      <c r="C885" s="1" t="n">
        <v>45340</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34770-2022</t>
        </is>
      </c>
      <c r="B886" s="1" t="n">
        <v>44795</v>
      </c>
      <c r="C886" s="1" t="n">
        <v>45340</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35212-2022</t>
        </is>
      </c>
      <c r="B887" s="1" t="n">
        <v>44797</v>
      </c>
      <c r="C887" s="1" t="n">
        <v>45340</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35411-2022</t>
        </is>
      </c>
      <c r="B888" s="1" t="n">
        <v>44798</v>
      </c>
      <c r="C888" s="1" t="n">
        <v>45340</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35539-2022</t>
        </is>
      </c>
      <c r="B889" s="1" t="n">
        <v>44799</v>
      </c>
      <c r="C889" s="1" t="n">
        <v>45340</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35544-2022</t>
        </is>
      </c>
      <c r="B890" s="1" t="n">
        <v>44799</v>
      </c>
      <c r="C890" s="1" t="n">
        <v>45340</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35542-2022</t>
        </is>
      </c>
      <c r="B891" s="1" t="n">
        <v>44799</v>
      </c>
      <c r="C891" s="1" t="n">
        <v>45340</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37187-2022</t>
        </is>
      </c>
      <c r="B892" s="1" t="n">
        <v>44806</v>
      </c>
      <c r="C892" s="1" t="n">
        <v>45340</v>
      </c>
      <c r="D892" t="inlineStr">
        <is>
          <t>UPPSALA LÄN</t>
        </is>
      </c>
      <c r="E892" t="inlineStr">
        <is>
          <t>UPPSALA</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37316-2022</t>
        </is>
      </c>
      <c r="B893" s="1" t="n">
        <v>44806</v>
      </c>
      <c r="C893" s="1" t="n">
        <v>45340</v>
      </c>
      <c r="D893" t="inlineStr">
        <is>
          <t>UPPSALA LÄN</t>
        </is>
      </c>
      <c r="E893" t="inlineStr">
        <is>
          <t>UPPSALA</t>
        </is>
      </c>
      <c r="G893" t="n">
        <v>10.6</v>
      </c>
      <c r="H893" t="n">
        <v>0</v>
      </c>
      <c r="I893" t="n">
        <v>0</v>
      </c>
      <c r="J893" t="n">
        <v>0</v>
      </c>
      <c r="K893" t="n">
        <v>0</v>
      </c>
      <c r="L893" t="n">
        <v>0</v>
      </c>
      <c r="M893" t="n">
        <v>0</v>
      </c>
      <c r="N893" t="n">
        <v>0</v>
      </c>
      <c r="O893" t="n">
        <v>0</v>
      </c>
      <c r="P893" t="n">
        <v>0</v>
      </c>
      <c r="Q893" t="n">
        <v>0</v>
      </c>
      <c r="R893" s="2" t="inlineStr"/>
    </row>
    <row r="894" ht="15" customHeight="1">
      <c r="A894" t="inlineStr">
        <is>
          <t>A 37188-2022</t>
        </is>
      </c>
      <c r="B894" s="1" t="n">
        <v>44806</v>
      </c>
      <c r="C894" s="1" t="n">
        <v>45340</v>
      </c>
      <c r="D894" t="inlineStr">
        <is>
          <t>UPPSALA LÄN</t>
        </is>
      </c>
      <c r="E894" t="inlineStr">
        <is>
          <t>UPPSALA</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37588-2022</t>
        </is>
      </c>
      <c r="B895" s="1" t="n">
        <v>44810</v>
      </c>
      <c r="C895" s="1" t="n">
        <v>45340</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37761-2022</t>
        </is>
      </c>
      <c r="B896" s="1" t="n">
        <v>44810</v>
      </c>
      <c r="C896" s="1" t="n">
        <v>45340</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37670-2022</t>
        </is>
      </c>
      <c r="B897" s="1" t="n">
        <v>44810</v>
      </c>
      <c r="C897" s="1" t="n">
        <v>45340</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38078-2022</t>
        </is>
      </c>
      <c r="B898" s="1" t="n">
        <v>44811</v>
      </c>
      <c r="C898" s="1" t="n">
        <v>45340</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38524-2022</t>
        </is>
      </c>
      <c r="B899" s="1" t="n">
        <v>44813</v>
      </c>
      <c r="C899" s="1" t="n">
        <v>45340</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38865-2022</t>
        </is>
      </c>
      <c r="B900" s="1" t="n">
        <v>44816</v>
      </c>
      <c r="C900" s="1" t="n">
        <v>45340</v>
      </c>
      <c r="D900" t="inlineStr">
        <is>
          <t>UPPSALA LÄN</t>
        </is>
      </c>
      <c r="E900" t="inlineStr">
        <is>
          <t>UPPSALA</t>
        </is>
      </c>
      <c r="G900" t="n">
        <v>14.6</v>
      </c>
      <c r="H900" t="n">
        <v>0</v>
      </c>
      <c r="I900" t="n">
        <v>0</v>
      </c>
      <c r="J900" t="n">
        <v>0</v>
      </c>
      <c r="K900" t="n">
        <v>0</v>
      </c>
      <c r="L900" t="n">
        <v>0</v>
      </c>
      <c r="M900" t="n">
        <v>0</v>
      </c>
      <c r="N900" t="n">
        <v>0</v>
      </c>
      <c r="O900" t="n">
        <v>0</v>
      </c>
      <c r="P900" t="n">
        <v>0</v>
      </c>
      <c r="Q900" t="n">
        <v>0</v>
      </c>
      <c r="R900" s="2" t="inlineStr"/>
    </row>
    <row r="901" ht="15" customHeight="1">
      <c r="A901" t="inlineStr">
        <is>
          <t>A 38892-2022</t>
        </is>
      </c>
      <c r="B901" s="1" t="n">
        <v>44816</v>
      </c>
      <c r="C901" s="1" t="n">
        <v>45340</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38909-2022</t>
        </is>
      </c>
      <c r="B902" s="1" t="n">
        <v>44816</v>
      </c>
      <c r="C902" s="1" t="n">
        <v>45340</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39148-2022</t>
        </is>
      </c>
      <c r="B903" s="1" t="n">
        <v>44816</v>
      </c>
      <c r="C903" s="1" t="n">
        <v>45340</v>
      </c>
      <c r="D903" t="inlineStr">
        <is>
          <t>UPPSALA LÄN</t>
        </is>
      </c>
      <c r="E903" t="inlineStr">
        <is>
          <t>UPPSALA</t>
        </is>
      </c>
      <c r="F903" t="inlineStr">
        <is>
          <t>Övriga statliga verk och myndigheter</t>
        </is>
      </c>
      <c r="G903" t="n">
        <v>1.7</v>
      </c>
      <c r="H903" t="n">
        <v>0</v>
      </c>
      <c r="I903" t="n">
        <v>0</v>
      </c>
      <c r="J903" t="n">
        <v>0</v>
      </c>
      <c r="K903" t="n">
        <v>0</v>
      </c>
      <c r="L903" t="n">
        <v>0</v>
      </c>
      <c r="M903" t="n">
        <v>0</v>
      </c>
      <c r="N903" t="n">
        <v>0</v>
      </c>
      <c r="O903" t="n">
        <v>0</v>
      </c>
      <c r="P903" t="n">
        <v>0</v>
      </c>
      <c r="Q903" t="n">
        <v>0</v>
      </c>
      <c r="R903" s="2" t="inlineStr"/>
    </row>
    <row r="904" ht="15" customHeight="1">
      <c r="A904" t="inlineStr">
        <is>
          <t>A 39144-2022</t>
        </is>
      </c>
      <c r="B904" s="1" t="n">
        <v>44816</v>
      </c>
      <c r="C904" s="1" t="n">
        <v>45340</v>
      </c>
      <c r="D904" t="inlineStr">
        <is>
          <t>UPPSALA LÄN</t>
        </is>
      </c>
      <c r="E904" t="inlineStr">
        <is>
          <t>UPPSALA</t>
        </is>
      </c>
      <c r="G904" t="n">
        <v>8.4</v>
      </c>
      <c r="H904" t="n">
        <v>0</v>
      </c>
      <c r="I904" t="n">
        <v>0</v>
      </c>
      <c r="J904" t="n">
        <v>0</v>
      </c>
      <c r="K904" t="n">
        <v>0</v>
      </c>
      <c r="L904" t="n">
        <v>0</v>
      </c>
      <c r="M904" t="n">
        <v>0</v>
      </c>
      <c r="N904" t="n">
        <v>0</v>
      </c>
      <c r="O904" t="n">
        <v>0</v>
      </c>
      <c r="P904" t="n">
        <v>0</v>
      </c>
      <c r="Q904" t="n">
        <v>0</v>
      </c>
      <c r="R904" s="2" t="inlineStr"/>
    </row>
    <row r="905" ht="15" customHeight="1">
      <c r="A905" t="inlineStr">
        <is>
          <t>A 39454-2022</t>
        </is>
      </c>
      <c r="B905" s="1" t="n">
        <v>44817</v>
      </c>
      <c r="C905" s="1" t="n">
        <v>45340</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39608-2022</t>
        </is>
      </c>
      <c r="B906" s="1" t="n">
        <v>44817</v>
      </c>
      <c r="C906" s="1" t="n">
        <v>45340</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39599-2022</t>
        </is>
      </c>
      <c r="B907" s="1" t="n">
        <v>44817</v>
      </c>
      <c r="C907" s="1" t="n">
        <v>45340</v>
      </c>
      <c r="D907" t="inlineStr">
        <is>
          <t>UPPSALA LÄN</t>
        </is>
      </c>
      <c r="E907" t="inlineStr">
        <is>
          <t>UPPSALA</t>
        </is>
      </c>
      <c r="G907" t="n">
        <v>4.8</v>
      </c>
      <c r="H907" t="n">
        <v>0</v>
      </c>
      <c r="I907" t="n">
        <v>0</v>
      </c>
      <c r="J907" t="n">
        <v>0</v>
      </c>
      <c r="K907" t="n">
        <v>0</v>
      </c>
      <c r="L907" t="n">
        <v>0</v>
      </c>
      <c r="M907" t="n">
        <v>0</v>
      </c>
      <c r="N907" t="n">
        <v>0</v>
      </c>
      <c r="O907" t="n">
        <v>0</v>
      </c>
      <c r="P907" t="n">
        <v>0</v>
      </c>
      <c r="Q907" t="n">
        <v>0</v>
      </c>
      <c r="R907" s="2" t="inlineStr"/>
    </row>
    <row r="908" ht="15" customHeight="1">
      <c r="A908" t="inlineStr">
        <is>
          <t>A 39795-2022</t>
        </is>
      </c>
      <c r="B908" s="1" t="n">
        <v>44819</v>
      </c>
      <c r="C908" s="1" t="n">
        <v>45340</v>
      </c>
      <c r="D908" t="inlineStr">
        <is>
          <t>UPPSALA LÄN</t>
        </is>
      </c>
      <c r="E908" t="inlineStr">
        <is>
          <t>UPPSALA</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39915-2022</t>
        </is>
      </c>
      <c r="B909" s="1" t="n">
        <v>44819</v>
      </c>
      <c r="C909" s="1" t="n">
        <v>45340</v>
      </c>
      <c r="D909" t="inlineStr">
        <is>
          <t>UPPSALA LÄN</t>
        </is>
      </c>
      <c r="E909" t="inlineStr">
        <is>
          <t>UPPSALA</t>
        </is>
      </c>
      <c r="F909" t="inlineStr">
        <is>
          <t>Allmännings- och besparingsskogar</t>
        </is>
      </c>
      <c r="G909" t="n">
        <v>20.1</v>
      </c>
      <c r="H909" t="n">
        <v>0</v>
      </c>
      <c r="I909" t="n">
        <v>0</v>
      </c>
      <c r="J909" t="n">
        <v>0</v>
      </c>
      <c r="K909" t="n">
        <v>0</v>
      </c>
      <c r="L909" t="n">
        <v>0</v>
      </c>
      <c r="M909" t="n">
        <v>0</v>
      </c>
      <c r="N909" t="n">
        <v>0</v>
      </c>
      <c r="O909" t="n">
        <v>0</v>
      </c>
      <c r="P909" t="n">
        <v>0</v>
      </c>
      <c r="Q909" t="n">
        <v>0</v>
      </c>
      <c r="R909" s="2" t="inlineStr"/>
    </row>
    <row r="910" ht="15" customHeight="1">
      <c r="A910" t="inlineStr">
        <is>
          <t>A 39865-2022</t>
        </is>
      </c>
      <c r="B910" s="1" t="n">
        <v>44819</v>
      </c>
      <c r="C910" s="1" t="n">
        <v>45340</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40100-2022</t>
        </is>
      </c>
      <c r="B911" s="1" t="n">
        <v>44820</v>
      </c>
      <c r="C911" s="1" t="n">
        <v>45340</v>
      </c>
      <c r="D911" t="inlineStr">
        <is>
          <t>UPPSALA LÄN</t>
        </is>
      </c>
      <c r="E911" t="inlineStr">
        <is>
          <t>UPPSALA</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42622-2022</t>
        </is>
      </c>
      <c r="B912" s="1" t="n">
        <v>44831</v>
      </c>
      <c r="C912" s="1" t="n">
        <v>45340</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42772-2022</t>
        </is>
      </c>
      <c r="B913" s="1" t="n">
        <v>44832</v>
      </c>
      <c r="C913" s="1" t="n">
        <v>45340</v>
      </c>
      <c r="D913" t="inlineStr">
        <is>
          <t>UPPSALA LÄN</t>
        </is>
      </c>
      <c r="E913" t="inlineStr">
        <is>
          <t>UPPSALA</t>
        </is>
      </c>
      <c r="G913" t="n">
        <v>17.7</v>
      </c>
      <c r="H913" t="n">
        <v>0</v>
      </c>
      <c r="I913" t="n">
        <v>0</v>
      </c>
      <c r="J913" t="n">
        <v>0</v>
      </c>
      <c r="K913" t="n">
        <v>0</v>
      </c>
      <c r="L913" t="n">
        <v>0</v>
      </c>
      <c r="M913" t="n">
        <v>0</v>
      </c>
      <c r="N913" t="n">
        <v>0</v>
      </c>
      <c r="O913" t="n">
        <v>0</v>
      </c>
      <c r="P913" t="n">
        <v>0</v>
      </c>
      <c r="Q913" t="n">
        <v>0</v>
      </c>
      <c r="R913" s="2" t="inlineStr"/>
    </row>
    <row r="914" ht="15" customHeight="1">
      <c r="A914" t="inlineStr">
        <is>
          <t>A 43032-2022</t>
        </is>
      </c>
      <c r="B914" s="1" t="n">
        <v>44832</v>
      </c>
      <c r="C914" s="1" t="n">
        <v>45340</v>
      </c>
      <c r="D914" t="inlineStr">
        <is>
          <t>UPPSALA LÄN</t>
        </is>
      </c>
      <c r="E914" t="inlineStr">
        <is>
          <t>UPPSALA</t>
        </is>
      </c>
      <c r="G914" t="n">
        <v>1.5</v>
      </c>
      <c r="H914" t="n">
        <v>0</v>
      </c>
      <c r="I914" t="n">
        <v>0</v>
      </c>
      <c r="J914" t="n">
        <v>0</v>
      </c>
      <c r="K914" t="n">
        <v>0</v>
      </c>
      <c r="L914" t="n">
        <v>0</v>
      </c>
      <c r="M914" t="n">
        <v>0</v>
      </c>
      <c r="N914" t="n">
        <v>0</v>
      </c>
      <c r="O914" t="n">
        <v>0</v>
      </c>
      <c r="P914" t="n">
        <v>0</v>
      </c>
      <c r="Q914" t="n">
        <v>0</v>
      </c>
      <c r="R914" s="2" t="inlineStr"/>
    </row>
    <row r="915" ht="15" customHeight="1">
      <c r="A915" t="inlineStr">
        <is>
          <t>A 43850-2022</t>
        </is>
      </c>
      <c r="B915" s="1" t="n">
        <v>44838</v>
      </c>
      <c r="C915" s="1" t="n">
        <v>45340</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44265-2022</t>
        </is>
      </c>
      <c r="B916" s="1" t="n">
        <v>44839</v>
      </c>
      <c r="C916" s="1" t="n">
        <v>45340</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44817-2022</t>
        </is>
      </c>
      <c r="B917" s="1" t="n">
        <v>44841</v>
      </c>
      <c r="C917" s="1" t="n">
        <v>45340</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45195-2022</t>
        </is>
      </c>
      <c r="B918" s="1" t="n">
        <v>44844</v>
      </c>
      <c r="C918" s="1" t="n">
        <v>45340</v>
      </c>
      <c r="D918" t="inlineStr">
        <is>
          <t>UPPSALA LÄN</t>
        </is>
      </c>
      <c r="E918" t="inlineStr">
        <is>
          <t>UPPSALA</t>
        </is>
      </c>
      <c r="G918" t="n">
        <v>3.3</v>
      </c>
      <c r="H918" t="n">
        <v>0</v>
      </c>
      <c r="I918" t="n">
        <v>0</v>
      </c>
      <c r="J918" t="n">
        <v>0</v>
      </c>
      <c r="K918" t="n">
        <v>0</v>
      </c>
      <c r="L918" t="n">
        <v>0</v>
      </c>
      <c r="M918" t="n">
        <v>0</v>
      </c>
      <c r="N918" t="n">
        <v>0</v>
      </c>
      <c r="O918" t="n">
        <v>0</v>
      </c>
      <c r="P918" t="n">
        <v>0</v>
      </c>
      <c r="Q918" t="n">
        <v>0</v>
      </c>
      <c r="R918" s="2" t="inlineStr"/>
    </row>
    <row r="919" ht="15" customHeight="1">
      <c r="A919" t="inlineStr">
        <is>
          <t>A 45780-2022</t>
        </is>
      </c>
      <c r="B919" s="1" t="n">
        <v>44846</v>
      </c>
      <c r="C919" s="1" t="n">
        <v>45340</v>
      </c>
      <c r="D919" t="inlineStr">
        <is>
          <t>UPPSALA LÄN</t>
        </is>
      </c>
      <c r="E919" t="inlineStr">
        <is>
          <t>UPPSALA</t>
        </is>
      </c>
      <c r="G919" t="n">
        <v>5.8</v>
      </c>
      <c r="H919" t="n">
        <v>0</v>
      </c>
      <c r="I919" t="n">
        <v>0</v>
      </c>
      <c r="J919" t="n">
        <v>0</v>
      </c>
      <c r="K919" t="n">
        <v>0</v>
      </c>
      <c r="L919" t="n">
        <v>0</v>
      </c>
      <c r="M919" t="n">
        <v>0</v>
      </c>
      <c r="N919" t="n">
        <v>0</v>
      </c>
      <c r="O919" t="n">
        <v>0</v>
      </c>
      <c r="P919" t="n">
        <v>0</v>
      </c>
      <c r="Q919" t="n">
        <v>0</v>
      </c>
      <c r="R919" s="2" t="inlineStr"/>
    </row>
    <row r="920" ht="15" customHeight="1">
      <c r="A920" t="inlineStr">
        <is>
          <t>A 45849-2022</t>
        </is>
      </c>
      <c r="B920" s="1" t="n">
        <v>44846</v>
      </c>
      <c r="C920" s="1" t="n">
        <v>45340</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46077-2022</t>
        </is>
      </c>
      <c r="B921" s="1" t="n">
        <v>44847</v>
      </c>
      <c r="C921" s="1" t="n">
        <v>45340</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46069-2022</t>
        </is>
      </c>
      <c r="B922" s="1" t="n">
        <v>44847</v>
      </c>
      <c r="C922" s="1" t="n">
        <v>45340</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46079-2022</t>
        </is>
      </c>
      <c r="B923" s="1" t="n">
        <v>44847</v>
      </c>
      <c r="C923" s="1" t="n">
        <v>45340</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46293-2022</t>
        </is>
      </c>
      <c r="B924" s="1" t="n">
        <v>44847</v>
      </c>
      <c r="C924" s="1" t="n">
        <v>45340</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46805-2022</t>
        </is>
      </c>
      <c r="B925" s="1" t="n">
        <v>44847</v>
      </c>
      <c r="C925" s="1" t="n">
        <v>45340</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46807-2022</t>
        </is>
      </c>
      <c r="B926" s="1" t="n">
        <v>44848</v>
      </c>
      <c r="C926" s="1" t="n">
        <v>45340</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46635-2022</t>
        </is>
      </c>
      <c r="B927" s="1" t="n">
        <v>44849</v>
      </c>
      <c r="C927" s="1" t="n">
        <v>45340</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47413-2022</t>
        </is>
      </c>
      <c r="B928" s="1" t="n">
        <v>44853</v>
      </c>
      <c r="C928" s="1" t="n">
        <v>45340</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48686-2022</t>
        </is>
      </c>
      <c r="B929" s="1" t="n">
        <v>44859</v>
      </c>
      <c r="C929" s="1" t="n">
        <v>45340</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48588-2022</t>
        </is>
      </c>
      <c r="B930" s="1" t="n">
        <v>44859</v>
      </c>
      <c r="C930" s="1" t="n">
        <v>45340</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48692-2022</t>
        </is>
      </c>
      <c r="B931" s="1" t="n">
        <v>44859</v>
      </c>
      <c r="C931" s="1" t="n">
        <v>45340</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48688-2022</t>
        </is>
      </c>
      <c r="B932" s="1" t="n">
        <v>44859</v>
      </c>
      <c r="C932" s="1" t="n">
        <v>45340</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50006-2022</t>
        </is>
      </c>
      <c r="B933" s="1" t="n">
        <v>44865</v>
      </c>
      <c r="C933" s="1" t="n">
        <v>45340</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50092-2022</t>
        </is>
      </c>
      <c r="B934" s="1" t="n">
        <v>44865</v>
      </c>
      <c r="C934" s="1" t="n">
        <v>45340</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50954-2022</t>
        </is>
      </c>
      <c r="B935" s="1" t="n">
        <v>44866</v>
      </c>
      <c r="C935" s="1" t="n">
        <v>45340</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51661-2022</t>
        </is>
      </c>
      <c r="B936" s="1" t="n">
        <v>44872</v>
      </c>
      <c r="C936" s="1" t="n">
        <v>45340</v>
      </c>
      <c r="D936" t="inlineStr">
        <is>
          <t>UPPSALA LÄN</t>
        </is>
      </c>
      <c r="E936" t="inlineStr">
        <is>
          <t>UPPSALA</t>
        </is>
      </c>
      <c r="G936" t="n">
        <v>8.9</v>
      </c>
      <c r="H936" t="n">
        <v>0</v>
      </c>
      <c r="I936" t="n">
        <v>0</v>
      </c>
      <c r="J936" t="n">
        <v>0</v>
      </c>
      <c r="K936" t="n">
        <v>0</v>
      </c>
      <c r="L936" t="n">
        <v>0</v>
      </c>
      <c r="M936" t="n">
        <v>0</v>
      </c>
      <c r="N936" t="n">
        <v>0</v>
      </c>
      <c r="O936" t="n">
        <v>0</v>
      </c>
      <c r="P936" t="n">
        <v>0</v>
      </c>
      <c r="Q936" t="n">
        <v>0</v>
      </c>
      <c r="R936" s="2" t="inlineStr"/>
    </row>
    <row r="937" ht="15" customHeight="1">
      <c r="A937" t="inlineStr">
        <is>
          <t>A 51899-2022</t>
        </is>
      </c>
      <c r="B937" s="1" t="n">
        <v>44872</v>
      </c>
      <c r="C937" s="1" t="n">
        <v>45340</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54715-2022</t>
        </is>
      </c>
      <c r="B938" s="1" t="n">
        <v>44883</v>
      </c>
      <c r="C938" s="1" t="n">
        <v>45340</v>
      </c>
      <c r="D938" t="inlineStr">
        <is>
          <t>UPPSALA LÄN</t>
        </is>
      </c>
      <c r="E938" t="inlineStr">
        <is>
          <t>UPPSALA</t>
        </is>
      </c>
      <c r="F938" t="inlineStr">
        <is>
          <t>Övriga Aktiebolag</t>
        </is>
      </c>
      <c r="G938" t="n">
        <v>9.5</v>
      </c>
      <c r="H938" t="n">
        <v>0</v>
      </c>
      <c r="I938" t="n">
        <v>0</v>
      </c>
      <c r="J938" t="n">
        <v>0</v>
      </c>
      <c r="K938" t="n">
        <v>0</v>
      </c>
      <c r="L938" t="n">
        <v>0</v>
      </c>
      <c r="M938" t="n">
        <v>0</v>
      </c>
      <c r="N938" t="n">
        <v>0</v>
      </c>
      <c r="O938" t="n">
        <v>0</v>
      </c>
      <c r="P938" t="n">
        <v>0</v>
      </c>
      <c r="Q938" t="n">
        <v>0</v>
      </c>
      <c r="R938" s="2" t="inlineStr"/>
    </row>
    <row r="939" ht="15" customHeight="1">
      <c r="A939" t="inlineStr">
        <is>
          <t>A 54732-2022</t>
        </is>
      </c>
      <c r="B939" s="1" t="n">
        <v>44883</v>
      </c>
      <c r="C939" s="1" t="n">
        <v>45340</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54813-2022</t>
        </is>
      </c>
      <c r="B940" s="1" t="n">
        <v>44883</v>
      </c>
      <c r="C940" s="1" t="n">
        <v>45340</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55021-2022</t>
        </is>
      </c>
      <c r="B941" s="1" t="n">
        <v>44886</v>
      </c>
      <c r="C941" s="1" t="n">
        <v>45340</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55040-2022</t>
        </is>
      </c>
      <c r="B942" s="1" t="n">
        <v>44886</v>
      </c>
      <c r="C942" s="1" t="n">
        <v>45340</v>
      </c>
      <c r="D942" t="inlineStr">
        <is>
          <t>UPPSALA LÄN</t>
        </is>
      </c>
      <c r="E942" t="inlineStr">
        <is>
          <t>UPPSALA</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55073-2022</t>
        </is>
      </c>
      <c r="B943" s="1" t="n">
        <v>44886</v>
      </c>
      <c r="C943" s="1" t="n">
        <v>45340</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55066-2022</t>
        </is>
      </c>
      <c r="B944" s="1" t="n">
        <v>44886</v>
      </c>
      <c r="C944" s="1" t="n">
        <v>45340</v>
      </c>
      <c r="D944" t="inlineStr">
        <is>
          <t>UPPSALA LÄN</t>
        </is>
      </c>
      <c r="E944" t="inlineStr">
        <is>
          <t>UPPSALA</t>
        </is>
      </c>
      <c r="G944" t="n">
        <v>0.4</v>
      </c>
      <c r="H944" t="n">
        <v>0</v>
      </c>
      <c r="I944" t="n">
        <v>0</v>
      </c>
      <c r="J944" t="n">
        <v>0</v>
      </c>
      <c r="K944" t="n">
        <v>0</v>
      </c>
      <c r="L944" t="n">
        <v>0</v>
      </c>
      <c r="M944" t="n">
        <v>0</v>
      </c>
      <c r="N944" t="n">
        <v>0</v>
      </c>
      <c r="O944" t="n">
        <v>0</v>
      </c>
      <c r="P944" t="n">
        <v>0</v>
      </c>
      <c r="Q944" t="n">
        <v>0</v>
      </c>
      <c r="R944" s="2" t="inlineStr"/>
    </row>
    <row r="945" ht="15" customHeight="1">
      <c r="A945" t="inlineStr">
        <is>
          <t>A 55401-2022</t>
        </is>
      </c>
      <c r="B945" s="1" t="n">
        <v>44887</v>
      </c>
      <c r="C945" s="1" t="n">
        <v>45340</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55862-2022</t>
        </is>
      </c>
      <c r="B946" s="1" t="n">
        <v>44888</v>
      </c>
      <c r="C946" s="1" t="n">
        <v>45340</v>
      </c>
      <c r="D946" t="inlineStr">
        <is>
          <t>UPPSALA LÄN</t>
        </is>
      </c>
      <c r="E946" t="inlineStr">
        <is>
          <t>UPPSALA</t>
        </is>
      </c>
      <c r="F946" t="inlineStr">
        <is>
          <t>Bergvik skog öst AB</t>
        </is>
      </c>
      <c r="G946" t="n">
        <v>1.6</v>
      </c>
      <c r="H946" t="n">
        <v>0</v>
      </c>
      <c r="I946" t="n">
        <v>0</v>
      </c>
      <c r="J946" t="n">
        <v>0</v>
      </c>
      <c r="K946" t="n">
        <v>0</v>
      </c>
      <c r="L946" t="n">
        <v>0</v>
      </c>
      <c r="M946" t="n">
        <v>0</v>
      </c>
      <c r="N946" t="n">
        <v>0</v>
      </c>
      <c r="O946" t="n">
        <v>0</v>
      </c>
      <c r="P946" t="n">
        <v>0</v>
      </c>
      <c r="Q946" t="n">
        <v>0</v>
      </c>
      <c r="R946" s="2" t="inlineStr"/>
    </row>
    <row r="947" ht="15" customHeight="1">
      <c r="A947" t="inlineStr">
        <is>
          <t>A 56679-2022</t>
        </is>
      </c>
      <c r="B947" s="1" t="n">
        <v>44893</v>
      </c>
      <c r="C947" s="1" t="n">
        <v>45340</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56889-2022</t>
        </is>
      </c>
      <c r="B948" s="1" t="n">
        <v>44894</v>
      </c>
      <c r="C948" s="1" t="n">
        <v>45340</v>
      </c>
      <c r="D948" t="inlineStr">
        <is>
          <t>UPPSALA LÄN</t>
        </is>
      </c>
      <c r="E948" t="inlineStr">
        <is>
          <t>UPPSALA</t>
        </is>
      </c>
      <c r="F948" t="inlineStr">
        <is>
          <t>Övriga Aktiebolag</t>
        </is>
      </c>
      <c r="G948" t="n">
        <v>21.6</v>
      </c>
      <c r="H948" t="n">
        <v>0</v>
      </c>
      <c r="I948" t="n">
        <v>0</v>
      </c>
      <c r="J948" t="n">
        <v>0</v>
      </c>
      <c r="K948" t="n">
        <v>0</v>
      </c>
      <c r="L948" t="n">
        <v>0</v>
      </c>
      <c r="M948" t="n">
        <v>0</v>
      </c>
      <c r="N948" t="n">
        <v>0</v>
      </c>
      <c r="O948" t="n">
        <v>0</v>
      </c>
      <c r="P948" t="n">
        <v>0</v>
      </c>
      <c r="Q948" t="n">
        <v>0</v>
      </c>
      <c r="R948" s="2" t="inlineStr"/>
    </row>
    <row r="949" ht="15" customHeight="1">
      <c r="A949" t="inlineStr">
        <is>
          <t>A 56795-2022</t>
        </is>
      </c>
      <c r="B949" s="1" t="n">
        <v>44894</v>
      </c>
      <c r="C949" s="1" t="n">
        <v>45340</v>
      </c>
      <c r="D949" t="inlineStr">
        <is>
          <t>UPPSALA LÄN</t>
        </is>
      </c>
      <c r="E949" t="inlineStr">
        <is>
          <t>UPPSALA</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56779-2022</t>
        </is>
      </c>
      <c r="B950" s="1" t="n">
        <v>44894</v>
      </c>
      <c r="C950" s="1" t="n">
        <v>45340</v>
      </c>
      <c r="D950" t="inlineStr">
        <is>
          <t>UPPSALA LÄN</t>
        </is>
      </c>
      <c r="E950" t="inlineStr">
        <is>
          <t>UPPSALA</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57495-2022</t>
        </is>
      </c>
      <c r="B951" s="1" t="n">
        <v>44896</v>
      </c>
      <c r="C951" s="1" t="n">
        <v>45340</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57714-2022</t>
        </is>
      </c>
      <c r="B952" s="1" t="n">
        <v>44897</v>
      </c>
      <c r="C952" s="1" t="n">
        <v>45340</v>
      </c>
      <c r="D952" t="inlineStr">
        <is>
          <t>UPPSALA LÄN</t>
        </is>
      </c>
      <c r="E952" t="inlineStr">
        <is>
          <t>UPPSALA</t>
        </is>
      </c>
      <c r="G952" t="n">
        <v>8.9</v>
      </c>
      <c r="H952" t="n">
        <v>0</v>
      </c>
      <c r="I952" t="n">
        <v>0</v>
      </c>
      <c r="J952" t="n">
        <v>0</v>
      </c>
      <c r="K952" t="n">
        <v>0</v>
      </c>
      <c r="L952" t="n">
        <v>0</v>
      </c>
      <c r="M952" t="n">
        <v>0</v>
      </c>
      <c r="N952" t="n">
        <v>0</v>
      </c>
      <c r="O952" t="n">
        <v>0</v>
      </c>
      <c r="P952" t="n">
        <v>0</v>
      </c>
      <c r="Q952" t="n">
        <v>0</v>
      </c>
      <c r="R952" s="2" t="inlineStr"/>
    </row>
    <row r="953" ht="15" customHeight="1">
      <c r="A953" t="inlineStr">
        <is>
          <t>A 57809-2022</t>
        </is>
      </c>
      <c r="B953" s="1" t="n">
        <v>44897</v>
      </c>
      <c r="C953" s="1" t="n">
        <v>45340</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58023-2022</t>
        </is>
      </c>
      <c r="B954" s="1" t="n">
        <v>44900</v>
      </c>
      <c r="C954" s="1" t="n">
        <v>45340</v>
      </c>
      <c r="D954" t="inlineStr">
        <is>
          <t>UPPSALA LÄN</t>
        </is>
      </c>
      <c r="E954" t="inlineStr">
        <is>
          <t>UPPSALA</t>
        </is>
      </c>
      <c r="G954" t="n">
        <v>0.7</v>
      </c>
      <c r="H954" t="n">
        <v>0</v>
      </c>
      <c r="I954" t="n">
        <v>0</v>
      </c>
      <c r="J954" t="n">
        <v>0</v>
      </c>
      <c r="K954" t="n">
        <v>0</v>
      </c>
      <c r="L954" t="n">
        <v>0</v>
      </c>
      <c r="M954" t="n">
        <v>0</v>
      </c>
      <c r="N954" t="n">
        <v>0</v>
      </c>
      <c r="O954" t="n">
        <v>0</v>
      </c>
      <c r="P954" t="n">
        <v>0</v>
      </c>
      <c r="Q954" t="n">
        <v>0</v>
      </c>
      <c r="R954" s="2" t="inlineStr"/>
    </row>
    <row r="955" ht="15" customHeight="1">
      <c r="A955" t="inlineStr">
        <is>
          <t>A 58096-2022</t>
        </is>
      </c>
      <c r="B955" s="1" t="n">
        <v>44900</v>
      </c>
      <c r="C955" s="1" t="n">
        <v>45340</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58243-2022</t>
        </is>
      </c>
      <c r="B956" s="1" t="n">
        <v>44901</v>
      </c>
      <c r="C956" s="1" t="n">
        <v>45340</v>
      </c>
      <c r="D956" t="inlineStr">
        <is>
          <t>UPPSALA LÄN</t>
        </is>
      </c>
      <c r="E956" t="inlineStr">
        <is>
          <t>UPPSALA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59133-2022</t>
        </is>
      </c>
      <c r="B957" s="1" t="n">
        <v>44904</v>
      </c>
      <c r="C957" s="1" t="n">
        <v>45340</v>
      </c>
      <c r="D957" t="inlineStr">
        <is>
          <t>UPPSALA LÄN</t>
        </is>
      </c>
      <c r="E957" t="inlineStr">
        <is>
          <t>UPPSALA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59730-2022</t>
        </is>
      </c>
      <c r="B958" s="1" t="n">
        <v>44908</v>
      </c>
      <c r="C958" s="1" t="n">
        <v>45340</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59719-2022</t>
        </is>
      </c>
      <c r="B959" s="1" t="n">
        <v>44908</v>
      </c>
      <c r="C959" s="1" t="n">
        <v>45340</v>
      </c>
      <c r="D959" t="inlineStr">
        <is>
          <t>UPPSALA LÄN</t>
        </is>
      </c>
      <c r="E959" t="inlineStr">
        <is>
          <t>UPPSALA</t>
        </is>
      </c>
      <c r="G959" t="n">
        <v>3.6</v>
      </c>
      <c r="H959" t="n">
        <v>0</v>
      </c>
      <c r="I959" t="n">
        <v>0</v>
      </c>
      <c r="J959" t="n">
        <v>0</v>
      </c>
      <c r="K959" t="n">
        <v>0</v>
      </c>
      <c r="L959" t="n">
        <v>0</v>
      </c>
      <c r="M959" t="n">
        <v>0</v>
      </c>
      <c r="N959" t="n">
        <v>0</v>
      </c>
      <c r="O959" t="n">
        <v>0</v>
      </c>
      <c r="P959" t="n">
        <v>0</v>
      </c>
      <c r="Q959" t="n">
        <v>0</v>
      </c>
      <c r="R959" s="2" t="inlineStr"/>
    </row>
    <row r="960" ht="15" customHeight="1">
      <c r="A960" t="inlineStr">
        <is>
          <t>A 59727-2022</t>
        </is>
      </c>
      <c r="B960" s="1" t="n">
        <v>44908</v>
      </c>
      <c r="C960" s="1" t="n">
        <v>45340</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60056-2022</t>
        </is>
      </c>
      <c r="B961" s="1" t="n">
        <v>44909</v>
      </c>
      <c r="C961" s="1" t="n">
        <v>45340</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60055-2022</t>
        </is>
      </c>
      <c r="B962" s="1" t="n">
        <v>44909</v>
      </c>
      <c r="C962" s="1" t="n">
        <v>45340</v>
      </c>
      <c r="D962" t="inlineStr">
        <is>
          <t>UPPSALA LÄN</t>
        </is>
      </c>
      <c r="E962" t="inlineStr">
        <is>
          <t>UPPSALA</t>
        </is>
      </c>
      <c r="G962" t="n">
        <v>11.4</v>
      </c>
      <c r="H962" t="n">
        <v>0</v>
      </c>
      <c r="I962" t="n">
        <v>0</v>
      </c>
      <c r="J962" t="n">
        <v>0</v>
      </c>
      <c r="K962" t="n">
        <v>0</v>
      </c>
      <c r="L962" t="n">
        <v>0</v>
      </c>
      <c r="M962" t="n">
        <v>0</v>
      </c>
      <c r="N962" t="n">
        <v>0</v>
      </c>
      <c r="O962" t="n">
        <v>0</v>
      </c>
      <c r="P962" t="n">
        <v>0</v>
      </c>
      <c r="Q962" t="n">
        <v>0</v>
      </c>
      <c r="R962" s="2" t="inlineStr"/>
    </row>
    <row r="963" ht="15" customHeight="1">
      <c r="A963" t="inlineStr">
        <is>
          <t>A 60047-2022</t>
        </is>
      </c>
      <c r="B963" s="1" t="n">
        <v>44909</v>
      </c>
      <c r="C963" s="1" t="n">
        <v>45340</v>
      </c>
      <c r="D963" t="inlineStr">
        <is>
          <t>UPPSALA LÄN</t>
        </is>
      </c>
      <c r="E963" t="inlineStr">
        <is>
          <t>UPPSALA</t>
        </is>
      </c>
      <c r="F963" t="inlineStr">
        <is>
          <t>Kyrkan</t>
        </is>
      </c>
      <c r="G963" t="n">
        <v>0.7</v>
      </c>
      <c r="H963" t="n">
        <v>0</v>
      </c>
      <c r="I963" t="n">
        <v>0</v>
      </c>
      <c r="J963" t="n">
        <v>0</v>
      </c>
      <c r="K963" t="n">
        <v>0</v>
      </c>
      <c r="L963" t="n">
        <v>0</v>
      </c>
      <c r="M963" t="n">
        <v>0</v>
      </c>
      <c r="N963" t="n">
        <v>0</v>
      </c>
      <c r="O963" t="n">
        <v>0</v>
      </c>
      <c r="P963" t="n">
        <v>0</v>
      </c>
      <c r="Q963" t="n">
        <v>0</v>
      </c>
      <c r="R963" s="2" t="inlineStr"/>
    </row>
    <row r="964" ht="15" customHeight="1">
      <c r="A964" t="inlineStr">
        <is>
          <t>A 60702-2022</t>
        </is>
      </c>
      <c r="B964" s="1" t="n">
        <v>44912</v>
      </c>
      <c r="C964" s="1" t="n">
        <v>45340</v>
      </c>
      <c r="D964" t="inlineStr">
        <is>
          <t>UPPSALA LÄN</t>
        </is>
      </c>
      <c r="E964" t="inlineStr">
        <is>
          <t>UPPSALA</t>
        </is>
      </c>
      <c r="G964" t="n">
        <v>0.9</v>
      </c>
      <c r="H964" t="n">
        <v>0</v>
      </c>
      <c r="I964" t="n">
        <v>0</v>
      </c>
      <c r="J964" t="n">
        <v>0</v>
      </c>
      <c r="K964" t="n">
        <v>0</v>
      </c>
      <c r="L964" t="n">
        <v>0</v>
      </c>
      <c r="M964" t="n">
        <v>0</v>
      </c>
      <c r="N964" t="n">
        <v>0</v>
      </c>
      <c r="O964" t="n">
        <v>0</v>
      </c>
      <c r="P964" t="n">
        <v>0</v>
      </c>
      <c r="Q964" t="n">
        <v>0</v>
      </c>
      <c r="R964" s="2" t="inlineStr"/>
    </row>
    <row r="965" ht="15" customHeight="1">
      <c r="A965" t="inlineStr">
        <is>
          <t>A 60701-2022</t>
        </is>
      </c>
      <c r="B965" s="1" t="n">
        <v>44912</v>
      </c>
      <c r="C965" s="1" t="n">
        <v>45340</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60984-2022</t>
        </is>
      </c>
      <c r="B966" s="1" t="n">
        <v>44914</v>
      </c>
      <c r="C966" s="1" t="n">
        <v>45340</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60986-2022</t>
        </is>
      </c>
      <c r="B967" s="1" t="n">
        <v>44914</v>
      </c>
      <c r="C967" s="1" t="n">
        <v>45340</v>
      </c>
      <c r="D967" t="inlineStr">
        <is>
          <t>UPPSALA LÄN</t>
        </is>
      </c>
      <c r="E967" t="inlineStr">
        <is>
          <t>UPPSALA</t>
        </is>
      </c>
      <c r="G967" t="n">
        <v>1.6</v>
      </c>
      <c r="H967" t="n">
        <v>0</v>
      </c>
      <c r="I967" t="n">
        <v>0</v>
      </c>
      <c r="J967" t="n">
        <v>0</v>
      </c>
      <c r="K967" t="n">
        <v>0</v>
      </c>
      <c r="L967" t="n">
        <v>0</v>
      </c>
      <c r="M967" t="n">
        <v>0</v>
      </c>
      <c r="N967" t="n">
        <v>0</v>
      </c>
      <c r="O967" t="n">
        <v>0</v>
      </c>
      <c r="P967" t="n">
        <v>0</v>
      </c>
      <c r="Q967" t="n">
        <v>0</v>
      </c>
      <c r="R967" s="2" t="inlineStr"/>
    </row>
    <row r="968" ht="15" customHeight="1">
      <c r="A968" t="inlineStr">
        <is>
          <t>A 60988-2022</t>
        </is>
      </c>
      <c r="B968" s="1" t="n">
        <v>44914</v>
      </c>
      <c r="C968" s="1" t="n">
        <v>45340</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61526-2022</t>
        </is>
      </c>
      <c r="B969" s="1" t="n">
        <v>44916</v>
      </c>
      <c r="C969" s="1" t="n">
        <v>45340</v>
      </c>
      <c r="D969" t="inlineStr">
        <is>
          <t>UPPSALA LÄN</t>
        </is>
      </c>
      <c r="E969" t="inlineStr">
        <is>
          <t>UPPSALA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61578-2022</t>
        </is>
      </c>
      <c r="B970" s="1" t="n">
        <v>44916</v>
      </c>
      <c r="C970" s="1" t="n">
        <v>45340</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62311-2022</t>
        </is>
      </c>
      <c r="B971" s="1" t="n">
        <v>44916</v>
      </c>
      <c r="C971" s="1" t="n">
        <v>45340</v>
      </c>
      <c r="D971" t="inlineStr">
        <is>
          <t>UPPSALA LÄN</t>
        </is>
      </c>
      <c r="E971" t="inlineStr">
        <is>
          <t>UPPSALA</t>
        </is>
      </c>
      <c r="G971" t="n">
        <v>7.6</v>
      </c>
      <c r="H971" t="n">
        <v>0</v>
      </c>
      <c r="I971" t="n">
        <v>0</v>
      </c>
      <c r="J971" t="n">
        <v>0</v>
      </c>
      <c r="K971" t="n">
        <v>0</v>
      </c>
      <c r="L971" t="n">
        <v>0</v>
      </c>
      <c r="M971" t="n">
        <v>0</v>
      </c>
      <c r="N971" t="n">
        <v>0</v>
      </c>
      <c r="O971" t="n">
        <v>0</v>
      </c>
      <c r="P971" t="n">
        <v>0</v>
      </c>
      <c r="Q971" t="n">
        <v>0</v>
      </c>
      <c r="R971" s="2" t="inlineStr"/>
    </row>
    <row r="972" ht="15" customHeight="1">
      <c r="A972" t="inlineStr">
        <is>
          <t>A 111-2023</t>
        </is>
      </c>
      <c r="B972" s="1" t="n">
        <v>44928</v>
      </c>
      <c r="C972" s="1" t="n">
        <v>45340</v>
      </c>
      <c r="D972" t="inlineStr">
        <is>
          <t>UPPSALA LÄN</t>
        </is>
      </c>
      <c r="E972" t="inlineStr">
        <is>
          <t>UPPSALA</t>
        </is>
      </c>
      <c r="F972" t="inlineStr">
        <is>
          <t>Kommuner</t>
        </is>
      </c>
      <c r="G972" t="n">
        <v>4.8</v>
      </c>
      <c r="H972" t="n">
        <v>0</v>
      </c>
      <c r="I972" t="n">
        <v>0</v>
      </c>
      <c r="J972" t="n">
        <v>0</v>
      </c>
      <c r="K972" t="n">
        <v>0</v>
      </c>
      <c r="L972" t="n">
        <v>0</v>
      </c>
      <c r="M972" t="n">
        <v>0</v>
      </c>
      <c r="N972" t="n">
        <v>0</v>
      </c>
      <c r="O972" t="n">
        <v>0</v>
      </c>
      <c r="P972" t="n">
        <v>0</v>
      </c>
      <c r="Q972" t="n">
        <v>0</v>
      </c>
      <c r="R972" s="2" t="inlineStr"/>
    </row>
    <row r="973" ht="15" customHeight="1">
      <c r="A973" t="inlineStr">
        <is>
          <t>A 179-2023</t>
        </is>
      </c>
      <c r="B973" s="1" t="n">
        <v>44928</v>
      </c>
      <c r="C973" s="1" t="n">
        <v>45340</v>
      </c>
      <c r="D973" t="inlineStr">
        <is>
          <t>UPPSALA LÄN</t>
        </is>
      </c>
      <c r="E973" t="inlineStr">
        <is>
          <t>UPPSALA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367-2023</t>
        </is>
      </c>
      <c r="B974" s="1" t="n">
        <v>44929</v>
      </c>
      <c r="C974" s="1" t="n">
        <v>45340</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554-2023</t>
        </is>
      </c>
      <c r="B975" s="1" t="n">
        <v>44930</v>
      </c>
      <c r="C975" s="1" t="n">
        <v>45340</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686-2023</t>
        </is>
      </c>
      <c r="B976" s="1" t="n">
        <v>44930</v>
      </c>
      <c r="C976" s="1" t="n">
        <v>45340</v>
      </c>
      <c r="D976" t="inlineStr">
        <is>
          <t>UPPSALA LÄN</t>
        </is>
      </c>
      <c r="E976" t="inlineStr">
        <is>
          <t>UPPSALA</t>
        </is>
      </c>
      <c r="F976" t="inlineStr">
        <is>
          <t>Bergvik skog öst AB</t>
        </is>
      </c>
      <c r="G976" t="n">
        <v>4.6</v>
      </c>
      <c r="H976" t="n">
        <v>0</v>
      </c>
      <c r="I976" t="n">
        <v>0</v>
      </c>
      <c r="J976" t="n">
        <v>0</v>
      </c>
      <c r="K976" t="n">
        <v>0</v>
      </c>
      <c r="L976" t="n">
        <v>0</v>
      </c>
      <c r="M976" t="n">
        <v>0</v>
      </c>
      <c r="N976" t="n">
        <v>0</v>
      </c>
      <c r="O976" t="n">
        <v>0</v>
      </c>
      <c r="P976" t="n">
        <v>0</v>
      </c>
      <c r="Q976" t="n">
        <v>0</v>
      </c>
      <c r="R976" s="2" t="inlineStr"/>
    </row>
    <row r="977" ht="15" customHeight="1">
      <c r="A977" t="inlineStr">
        <is>
          <t>A 1032-2023</t>
        </is>
      </c>
      <c r="B977" s="1" t="n">
        <v>44935</v>
      </c>
      <c r="C977" s="1" t="n">
        <v>45340</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1357-2023</t>
        </is>
      </c>
      <c r="B978" s="1" t="n">
        <v>44936</v>
      </c>
      <c r="C978" s="1" t="n">
        <v>45340</v>
      </c>
      <c r="D978" t="inlineStr">
        <is>
          <t>UPPSALA LÄN</t>
        </is>
      </c>
      <c r="E978" t="inlineStr">
        <is>
          <t>UPPSALA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2186-2023</t>
        </is>
      </c>
      <c r="B979" s="1" t="n">
        <v>44942</v>
      </c>
      <c r="C979" s="1" t="n">
        <v>45340</v>
      </c>
      <c r="D979" t="inlineStr">
        <is>
          <t>UPPSALA LÄN</t>
        </is>
      </c>
      <c r="E979" t="inlineStr">
        <is>
          <t>UPPSALA</t>
        </is>
      </c>
      <c r="F979" t="inlineStr">
        <is>
          <t>Bergvik skog öst AB</t>
        </is>
      </c>
      <c r="G979" t="n">
        <v>2.5</v>
      </c>
      <c r="H979" t="n">
        <v>0</v>
      </c>
      <c r="I979" t="n">
        <v>0</v>
      </c>
      <c r="J979" t="n">
        <v>0</v>
      </c>
      <c r="K979" t="n">
        <v>0</v>
      </c>
      <c r="L979" t="n">
        <v>0</v>
      </c>
      <c r="M979" t="n">
        <v>0</v>
      </c>
      <c r="N979" t="n">
        <v>0</v>
      </c>
      <c r="O979" t="n">
        <v>0</v>
      </c>
      <c r="P979" t="n">
        <v>0</v>
      </c>
      <c r="Q979" t="n">
        <v>0</v>
      </c>
      <c r="R979" s="2" t="inlineStr"/>
    </row>
    <row r="980" ht="15" customHeight="1">
      <c r="A980" t="inlineStr">
        <is>
          <t>A 2622-2023</t>
        </is>
      </c>
      <c r="B980" s="1" t="n">
        <v>44944</v>
      </c>
      <c r="C980" s="1" t="n">
        <v>45340</v>
      </c>
      <c r="D980" t="inlineStr">
        <is>
          <t>UPPSALA LÄN</t>
        </is>
      </c>
      <c r="E980" t="inlineStr">
        <is>
          <t>UPPSALA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2624-2023</t>
        </is>
      </c>
      <c r="B981" s="1" t="n">
        <v>44944</v>
      </c>
      <c r="C981" s="1" t="n">
        <v>45340</v>
      </c>
      <c r="D981" t="inlineStr">
        <is>
          <t>UPPSALA LÄN</t>
        </is>
      </c>
      <c r="E981" t="inlineStr">
        <is>
          <t>UPPSALA</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5362-2023</t>
        </is>
      </c>
      <c r="B982" s="1" t="n">
        <v>44944</v>
      </c>
      <c r="C982" s="1" t="n">
        <v>45340</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3214-2023</t>
        </is>
      </c>
      <c r="B983" s="1" t="n">
        <v>44944</v>
      </c>
      <c r="C983" s="1" t="n">
        <v>45340</v>
      </c>
      <c r="D983" t="inlineStr">
        <is>
          <t>UPPSALA LÄN</t>
        </is>
      </c>
      <c r="E983" t="inlineStr">
        <is>
          <t>UPPSALA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5374-2023</t>
        </is>
      </c>
      <c r="B984" s="1" t="n">
        <v>44944</v>
      </c>
      <c r="C984" s="1" t="n">
        <v>45340</v>
      </c>
      <c r="D984" t="inlineStr">
        <is>
          <t>UPPSALA LÄN</t>
        </is>
      </c>
      <c r="E984" t="inlineStr">
        <is>
          <t>UPPSALA</t>
        </is>
      </c>
      <c r="G984" t="n">
        <v>3.5</v>
      </c>
      <c r="H984" t="n">
        <v>0</v>
      </c>
      <c r="I984" t="n">
        <v>0</v>
      </c>
      <c r="J984" t="n">
        <v>0</v>
      </c>
      <c r="K984" t="n">
        <v>0</v>
      </c>
      <c r="L984" t="n">
        <v>0</v>
      </c>
      <c r="M984" t="n">
        <v>0</v>
      </c>
      <c r="N984" t="n">
        <v>0</v>
      </c>
      <c r="O984" t="n">
        <v>0</v>
      </c>
      <c r="P984" t="n">
        <v>0</v>
      </c>
      <c r="Q984" t="n">
        <v>0</v>
      </c>
      <c r="R984" s="2" t="inlineStr"/>
    </row>
    <row r="985" ht="15" customHeight="1">
      <c r="A985" t="inlineStr">
        <is>
          <t>A 2942-2023</t>
        </is>
      </c>
      <c r="B985" s="1" t="n">
        <v>44945</v>
      </c>
      <c r="C985" s="1" t="n">
        <v>45340</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3040-2023</t>
        </is>
      </c>
      <c r="B986" s="1" t="n">
        <v>44946</v>
      </c>
      <c r="C986" s="1" t="n">
        <v>45340</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3089-2023</t>
        </is>
      </c>
      <c r="B987" s="1" t="n">
        <v>44946</v>
      </c>
      <c r="C987" s="1" t="n">
        <v>45340</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3086-2023</t>
        </is>
      </c>
      <c r="B988" s="1" t="n">
        <v>44946</v>
      </c>
      <c r="C988" s="1" t="n">
        <v>45340</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3092-2023</t>
        </is>
      </c>
      <c r="B989" s="1" t="n">
        <v>44946</v>
      </c>
      <c r="C989" s="1" t="n">
        <v>45340</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3343-2023</t>
        </is>
      </c>
      <c r="B990" s="1" t="n">
        <v>44949</v>
      </c>
      <c r="C990" s="1" t="n">
        <v>45340</v>
      </c>
      <c r="D990" t="inlineStr">
        <is>
          <t>UPPSALA LÄN</t>
        </is>
      </c>
      <c r="E990" t="inlineStr">
        <is>
          <t>UPPSALA</t>
        </is>
      </c>
      <c r="F990" t="inlineStr">
        <is>
          <t>Allmännings- och besparingsskogar</t>
        </is>
      </c>
      <c r="G990" t="n">
        <v>2.3</v>
      </c>
      <c r="H990" t="n">
        <v>0</v>
      </c>
      <c r="I990" t="n">
        <v>0</v>
      </c>
      <c r="J990" t="n">
        <v>0</v>
      </c>
      <c r="K990" t="n">
        <v>0</v>
      </c>
      <c r="L990" t="n">
        <v>0</v>
      </c>
      <c r="M990" t="n">
        <v>0</v>
      </c>
      <c r="N990" t="n">
        <v>0</v>
      </c>
      <c r="O990" t="n">
        <v>0</v>
      </c>
      <c r="P990" t="n">
        <v>0</v>
      </c>
      <c r="Q990" t="n">
        <v>0</v>
      </c>
      <c r="R990" s="2" t="inlineStr"/>
    </row>
    <row r="991" ht="15" customHeight="1">
      <c r="A991" t="inlineStr">
        <is>
          <t>A 3353-2023</t>
        </is>
      </c>
      <c r="B991" s="1" t="n">
        <v>44949</v>
      </c>
      <c r="C991" s="1" t="n">
        <v>45340</v>
      </c>
      <c r="D991" t="inlineStr">
        <is>
          <t>UPPSALA LÄN</t>
        </is>
      </c>
      <c r="E991" t="inlineStr">
        <is>
          <t>UPPSALA</t>
        </is>
      </c>
      <c r="G991" t="n">
        <v>3</v>
      </c>
      <c r="H991" t="n">
        <v>0</v>
      </c>
      <c r="I991" t="n">
        <v>0</v>
      </c>
      <c r="J991" t="n">
        <v>0</v>
      </c>
      <c r="K991" t="n">
        <v>0</v>
      </c>
      <c r="L991" t="n">
        <v>0</v>
      </c>
      <c r="M991" t="n">
        <v>0</v>
      </c>
      <c r="N991" t="n">
        <v>0</v>
      </c>
      <c r="O991" t="n">
        <v>0</v>
      </c>
      <c r="P991" t="n">
        <v>0</v>
      </c>
      <c r="Q991" t="n">
        <v>0</v>
      </c>
      <c r="R991" s="2" t="inlineStr"/>
    </row>
    <row r="992" ht="15" customHeight="1">
      <c r="A992" t="inlineStr">
        <is>
          <t>A 3661-2023</t>
        </is>
      </c>
      <c r="B992" s="1" t="n">
        <v>44950</v>
      </c>
      <c r="C992" s="1" t="n">
        <v>45340</v>
      </c>
      <c r="D992" t="inlineStr">
        <is>
          <t>UPPSALA LÄN</t>
        </is>
      </c>
      <c r="E992" t="inlineStr">
        <is>
          <t>UPPSALA</t>
        </is>
      </c>
      <c r="F992" t="inlineStr">
        <is>
          <t>Allmännings- och besparingsskogar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3940-2023</t>
        </is>
      </c>
      <c r="B993" s="1" t="n">
        <v>44952</v>
      </c>
      <c r="C993" s="1" t="n">
        <v>45340</v>
      </c>
      <c r="D993" t="inlineStr">
        <is>
          <t>UPPSALA LÄN</t>
        </is>
      </c>
      <c r="E993" t="inlineStr">
        <is>
          <t>UPPSALA</t>
        </is>
      </c>
      <c r="F993" t="inlineStr">
        <is>
          <t>Bergvik skog öst AB</t>
        </is>
      </c>
      <c r="G993" t="n">
        <v>20.6</v>
      </c>
      <c r="H993" t="n">
        <v>0</v>
      </c>
      <c r="I993" t="n">
        <v>0</v>
      </c>
      <c r="J993" t="n">
        <v>0</v>
      </c>
      <c r="K993" t="n">
        <v>0</v>
      </c>
      <c r="L993" t="n">
        <v>0</v>
      </c>
      <c r="M993" t="n">
        <v>0</v>
      </c>
      <c r="N993" t="n">
        <v>0</v>
      </c>
      <c r="O993" t="n">
        <v>0</v>
      </c>
      <c r="P993" t="n">
        <v>0</v>
      </c>
      <c r="Q993" t="n">
        <v>0</v>
      </c>
      <c r="R993" s="2" t="inlineStr"/>
    </row>
    <row r="994" ht="15" customHeight="1">
      <c r="A994" t="inlineStr">
        <is>
          <t>A 3939-2023</t>
        </is>
      </c>
      <c r="B994" s="1" t="n">
        <v>44952</v>
      </c>
      <c r="C994" s="1" t="n">
        <v>45340</v>
      </c>
      <c r="D994" t="inlineStr">
        <is>
          <t>UPPSALA LÄN</t>
        </is>
      </c>
      <c r="E994" t="inlineStr">
        <is>
          <t>UPPSALA</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5254-2023</t>
        </is>
      </c>
      <c r="B995" s="1" t="n">
        <v>44959</v>
      </c>
      <c r="C995" s="1" t="n">
        <v>45340</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5258-2023</t>
        </is>
      </c>
      <c r="B996" s="1" t="n">
        <v>44959</v>
      </c>
      <c r="C996" s="1" t="n">
        <v>45340</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5247-2023</t>
        </is>
      </c>
      <c r="B997" s="1" t="n">
        <v>44959</v>
      </c>
      <c r="C997" s="1" t="n">
        <v>45340</v>
      </c>
      <c r="D997" t="inlineStr">
        <is>
          <t>UPPSALA LÄN</t>
        </is>
      </c>
      <c r="E997" t="inlineStr">
        <is>
          <t>UPPSALA</t>
        </is>
      </c>
      <c r="G997" t="n">
        <v>11.1</v>
      </c>
      <c r="H997" t="n">
        <v>0</v>
      </c>
      <c r="I997" t="n">
        <v>0</v>
      </c>
      <c r="J997" t="n">
        <v>0</v>
      </c>
      <c r="K997" t="n">
        <v>0</v>
      </c>
      <c r="L997" t="n">
        <v>0</v>
      </c>
      <c r="M997" t="n">
        <v>0</v>
      </c>
      <c r="N997" t="n">
        <v>0</v>
      </c>
      <c r="O997" t="n">
        <v>0</v>
      </c>
      <c r="P997" t="n">
        <v>0</v>
      </c>
      <c r="Q997" t="n">
        <v>0</v>
      </c>
      <c r="R997" s="2" t="inlineStr"/>
    </row>
    <row r="998" ht="15" customHeight="1">
      <c r="A998" t="inlineStr">
        <is>
          <t>A 5678-2023</t>
        </is>
      </c>
      <c r="B998" s="1" t="n">
        <v>44960</v>
      </c>
      <c r="C998" s="1" t="n">
        <v>45340</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5682-2023</t>
        </is>
      </c>
      <c r="B999" s="1" t="n">
        <v>44960</v>
      </c>
      <c r="C999" s="1" t="n">
        <v>45340</v>
      </c>
      <c r="D999" t="inlineStr">
        <is>
          <t>UPPSALA LÄN</t>
        </is>
      </c>
      <c r="E999" t="inlineStr">
        <is>
          <t>UPPSALA</t>
        </is>
      </c>
      <c r="F999" t="inlineStr">
        <is>
          <t>Allmännings- och besparingsskogar</t>
        </is>
      </c>
      <c r="G999" t="n">
        <v>14.2</v>
      </c>
      <c r="H999" t="n">
        <v>0</v>
      </c>
      <c r="I999" t="n">
        <v>0</v>
      </c>
      <c r="J999" t="n">
        <v>0</v>
      </c>
      <c r="K999" t="n">
        <v>0</v>
      </c>
      <c r="L999" t="n">
        <v>0</v>
      </c>
      <c r="M999" t="n">
        <v>0</v>
      </c>
      <c r="N999" t="n">
        <v>0</v>
      </c>
      <c r="O999" t="n">
        <v>0</v>
      </c>
      <c r="P999" t="n">
        <v>0</v>
      </c>
      <c r="Q999" t="n">
        <v>0</v>
      </c>
      <c r="R999" s="2" t="inlineStr"/>
    </row>
    <row r="1000" ht="15" customHeight="1">
      <c r="A1000" t="inlineStr">
        <is>
          <t>A 5663-2023</t>
        </is>
      </c>
      <c r="B1000" s="1" t="n">
        <v>44960</v>
      </c>
      <c r="C1000" s="1" t="n">
        <v>45340</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5669-2023</t>
        </is>
      </c>
      <c r="B1001" s="1" t="n">
        <v>44960</v>
      </c>
      <c r="C1001" s="1" t="n">
        <v>45340</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v>
      </c>
      <c r="C1002" s="1" t="n">
        <v>45340</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6213-2023</t>
        </is>
      </c>
      <c r="B1003" s="1" t="n">
        <v>44964</v>
      </c>
      <c r="C1003" s="1" t="n">
        <v>45340</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6155-2023</t>
        </is>
      </c>
      <c r="B1004" s="1" t="n">
        <v>44964</v>
      </c>
      <c r="C1004" s="1" t="n">
        <v>45340</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6215-2023</t>
        </is>
      </c>
      <c r="B1005" s="1" t="n">
        <v>44964</v>
      </c>
      <c r="C1005" s="1" t="n">
        <v>45340</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6422-2023</t>
        </is>
      </c>
      <c r="B1006" s="1" t="n">
        <v>44965</v>
      </c>
      <c r="C1006" s="1" t="n">
        <v>45340</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6423-2023</t>
        </is>
      </c>
      <c r="B1007" s="1" t="n">
        <v>44965</v>
      </c>
      <c r="C1007" s="1" t="n">
        <v>45340</v>
      </c>
      <c r="D1007" t="inlineStr">
        <is>
          <t>UPPSALA LÄN</t>
        </is>
      </c>
      <c r="E1007" t="inlineStr">
        <is>
          <t>UPPSALA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6602-2023</t>
        </is>
      </c>
      <c r="B1008" s="1" t="n">
        <v>44966</v>
      </c>
      <c r="C1008" s="1" t="n">
        <v>45340</v>
      </c>
      <c r="D1008" t="inlineStr">
        <is>
          <t>UPPSALA LÄN</t>
        </is>
      </c>
      <c r="E1008" t="inlineStr">
        <is>
          <t>UPPSALA</t>
        </is>
      </c>
      <c r="F1008" t="inlineStr">
        <is>
          <t>Allmännings- och besparingsskogar</t>
        </is>
      </c>
      <c r="G1008" t="n">
        <v>20.2</v>
      </c>
      <c r="H1008" t="n">
        <v>0</v>
      </c>
      <c r="I1008" t="n">
        <v>0</v>
      </c>
      <c r="J1008" t="n">
        <v>0</v>
      </c>
      <c r="K1008" t="n">
        <v>0</v>
      </c>
      <c r="L1008" t="n">
        <v>0</v>
      </c>
      <c r="M1008" t="n">
        <v>0</v>
      </c>
      <c r="N1008" t="n">
        <v>0</v>
      </c>
      <c r="O1008" t="n">
        <v>0</v>
      </c>
      <c r="P1008" t="n">
        <v>0</v>
      </c>
      <c r="Q1008" t="n">
        <v>0</v>
      </c>
      <c r="R1008" s="2" t="inlineStr"/>
    </row>
    <row r="1009" ht="15" customHeight="1">
      <c r="A1009" t="inlineStr">
        <is>
          <t>A 6749-2023</t>
        </is>
      </c>
      <c r="B1009" s="1" t="n">
        <v>44966</v>
      </c>
      <c r="C1009" s="1" t="n">
        <v>45340</v>
      </c>
      <c r="D1009" t="inlineStr">
        <is>
          <t>UPPSALA LÄN</t>
        </is>
      </c>
      <c r="E1009" t="inlineStr">
        <is>
          <t>UPPSALA</t>
        </is>
      </c>
      <c r="F1009" t="inlineStr">
        <is>
          <t>Allmännings- och besparingsskogar</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6930-2023</t>
        </is>
      </c>
      <c r="B1010" s="1" t="n">
        <v>44967</v>
      </c>
      <c r="C1010" s="1" t="n">
        <v>45340</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7000-2023</t>
        </is>
      </c>
      <c r="B1011" s="1" t="n">
        <v>44967</v>
      </c>
      <c r="C1011" s="1" t="n">
        <v>45340</v>
      </c>
      <c r="D1011" t="inlineStr">
        <is>
          <t>UPPSALA LÄN</t>
        </is>
      </c>
      <c r="E1011" t="inlineStr">
        <is>
          <t>UPPSALA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6999-2023</t>
        </is>
      </c>
      <c r="B1012" s="1" t="n">
        <v>44967</v>
      </c>
      <c r="C1012" s="1" t="n">
        <v>45340</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6997-2023</t>
        </is>
      </c>
      <c r="B1013" s="1" t="n">
        <v>44967</v>
      </c>
      <c r="C1013" s="1" t="n">
        <v>45340</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7001-2023</t>
        </is>
      </c>
      <c r="B1014" s="1" t="n">
        <v>44967</v>
      </c>
      <c r="C1014" s="1" t="n">
        <v>45340</v>
      </c>
      <c r="D1014" t="inlineStr">
        <is>
          <t>UPPSALA LÄN</t>
        </is>
      </c>
      <c r="E1014" t="inlineStr">
        <is>
          <t>UPPSALA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7002-2023</t>
        </is>
      </c>
      <c r="B1015" s="1" t="n">
        <v>44967</v>
      </c>
      <c r="C1015" s="1" t="n">
        <v>45340</v>
      </c>
      <c r="D1015" t="inlineStr">
        <is>
          <t>UPPSALA LÄN</t>
        </is>
      </c>
      <c r="E1015" t="inlineStr">
        <is>
          <t>UPPSALA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7611-2023</t>
        </is>
      </c>
      <c r="B1016" s="1" t="n">
        <v>44967</v>
      </c>
      <c r="C1016" s="1" t="n">
        <v>45340</v>
      </c>
      <c r="D1016" t="inlineStr">
        <is>
          <t>UPPSALA LÄN</t>
        </is>
      </c>
      <c r="E1016" t="inlineStr">
        <is>
          <t>UPPSALA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7607-2023</t>
        </is>
      </c>
      <c r="B1017" s="1" t="n">
        <v>44967</v>
      </c>
      <c r="C1017" s="1" t="n">
        <v>45340</v>
      </c>
      <c r="D1017" t="inlineStr">
        <is>
          <t>UPPSALA LÄN</t>
        </is>
      </c>
      <c r="E1017" t="inlineStr">
        <is>
          <t>UPPSALA</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7058-2023</t>
        </is>
      </c>
      <c r="B1018" s="1" t="n">
        <v>44969</v>
      </c>
      <c r="C1018" s="1" t="n">
        <v>45340</v>
      </c>
      <c r="D1018" t="inlineStr">
        <is>
          <t>UPPSALA LÄN</t>
        </is>
      </c>
      <c r="E1018" t="inlineStr">
        <is>
          <t>UPPSALA</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7084-2023</t>
        </is>
      </c>
      <c r="B1019" s="1" t="n">
        <v>44970</v>
      </c>
      <c r="C1019" s="1" t="n">
        <v>45340</v>
      </c>
      <c r="D1019" t="inlineStr">
        <is>
          <t>UPPSALA LÄN</t>
        </is>
      </c>
      <c r="E1019" t="inlineStr">
        <is>
          <t>UPPSALA</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8384-2023</t>
        </is>
      </c>
      <c r="B1020" s="1" t="n">
        <v>44971</v>
      </c>
      <c r="C1020" s="1" t="n">
        <v>45340</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8286-2023</t>
        </is>
      </c>
      <c r="B1021" s="1" t="n">
        <v>44971</v>
      </c>
      <c r="C1021" s="1" t="n">
        <v>45340</v>
      </c>
      <c r="D1021" t="inlineStr">
        <is>
          <t>UPPSALA LÄN</t>
        </is>
      </c>
      <c r="E1021" t="inlineStr">
        <is>
          <t>UPPSALA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7577-2023</t>
        </is>
      </c>
      <c r="B1022" s="1" t="n">
        <v>44972</v>
      </c>
      <c r="C1022" s="1" t="n">
        <v>45340</v>
      </c>
      <c r="D1022" t="inlineStr">
        <is>
          <t>UPPSALA LÄN</t>
        </is>
      </c>
      <c r="E1022" t="inlineStr">
        <is>
          <t>UPPSALA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7663-2023</t>
        </is>
      </c>
      <c r="B1023" s="1" t="n">
        <v>44972</v>
      </c>
      <c r="C1023" s="1" t="n">
        <v>45340</v>
      </c>
      <c r="D1023" t="inlineStr">
        <is>
          <t>UPPSALA LÄN</t>
        </is>
      </c>
      <c r="E1023" t="inlineStr">
        <is>
          <t>UPPSALA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7894-2023</t>
        </is>
      </c>
      <c r="B1024" s="1" t="n">
        <v>44973</v>
      </c>
      <c r="C1024" s="1" t="n">
        <v>45340</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8162-2023</t>
        </is>
      </c>
      <c r="B1025" s="1" t="n">
        <v>44974</v>
      </c>
      <c r="C1025" s="1" t="n">
        <v>45340</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8473-2023</t>
        </is>
      </c>
      <c r="B1026" s="1" t="n">
        <v>44977</v>
      </c>
      <c r="C1026" s="1" t="n">
        <v>45340</v>
      </c>
      <c r="D1026" t="inlineStr">
        <is>
          <t>UPPSALA LÄN</t>
        </is>
      </c>
      <c r="E1026" t="inlineStr">
        <is>
          <t>UPPSALA</t>
        </is>
      </c>
      <c r="F1026" t="inlineStr">
        <is>
          <t>Holmen skog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9426-2023</t>
        </is>
      </c>
      <c r="B1027" s="1" t="n">
        <v>44977</v>
      </c>
      <c r="C1027" s="1" t="n">
        <v>45340</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9398-2023</t>
        </is>
      </c>
      <c r="B1028" s="1" t="n">
        <v>44977</v>
      </c>
      <c r="C1028" s="1" t="n">
        <v>45340</v>
      </c>
      <c r="D1028" t="inlineStr">
        <is>
          <t>UPPSALA LÄN</t>
        </is>
      </c>
      <c r="E1028" t="inlineStr">
        <is>
          <t>UPPSALA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9295-2023</t>
        </is>
      </c>
      <c r="B1029" s="1" t="n">
        <v>44980</v>
      </c>
      <c r="C1029" s="1" t="n">
        <v>45340</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9261-2023</t>
        </is>
      </c>
      <c r="B1030" s="1" t="n">
        <v>44980</v>
      </c>
      <c r="C1030" s="1" t="n">
        <v>45340</v>
      </c>
      <c r="D1030" t="inlineStr">
        <is>
          <t>UPPSALA LÄN</t>
        </is>
      </c>
      <c r="E1030" t="inlineStr">
        <is>
          <t>UPPSALA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9291-2023</t>
        </is>
      </c>
      <c r="B1031" s="1" t="n">
        <v>44980</v>
      </c>
      <c r="C1031" s="1" t="n">
        <v>45340</v>
      </c>
      <c r="D1031" t="inlineStr">
        <is>
          <t>UPPSALA LÄN</t>
        </is>
      </c>
      <c r="E1031" t="inlineStr">
        <is>
          <t>UPPSALA</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9313-2023</t>
        </is>
      </c>
      <c r="B1032" s="1" t="n">
        <v>44980</v>
      </c>
      <c r="C1032" s="1" t="n">
        <v>45340</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9817-2023</t>
        </is>
      </c>
      <c r="B1033" s="1" t="n">
        <v>44984</v>
      </c>
      <c r="C1033" s="1" t="n">
        <v>45340</v>
      </c>
      <c r="D1033" t="inlineStr">
        <is>
          <t>UPPSALA LÄN</t>
        </is>
      </c>
      <c r="E1033" t="inlineStr">
        <is>
          <t>UPPSALA</t>
        </is>
      </c>
      <c r="F1033" t="inlineStr">
        <is>
          <t>Kyrkan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9814-2023</t>
        </is>
      </c>
      <c r="B1034" s="1" t="n">
        <v>44984</v>
      </c>
      <c r="C1034" s="1" t="n">
        <v>45340</v>
      </c>
      <c r="D1034" t="inlineStr">
        <is>
          <t>UPPSALA LÄN</t>
        </is>
      </c>
      <c r="E1034" t="inlineStr">
        <is>
          <t>UPPSALA</t>
        </is>
      </c>
      <c r="F1034" t="inlineStr">
        <is>
          <t>Kyrkan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9811-2023</t>
        </is>
      </c>
      <c r="B1035" s="1" t="n">
        <v>44984</v>
      </c>
      <c r="C1035" s="1" t="n">
        <v>45340</v>
      </c>
      <c r="D1035" t="inlineStr">
        <is>
          <t>UPPSALA LÄN</t>
        </is>
      </c>
      <c r="E1035" t="inlineStr">
        <is>
          <t>UPPSALA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9820-2023</t>
        </is>
      </c>
      <c r="B1036" s="1" t="n">
        <v>44984</v>
      </c>
      <c r="C1036" s="1" t="n">
        <v>45340</v>
      </c>
      <c r="D1036" t="inlineStr">
        <is>
          <t>UPPSALA LÄN</t>
        </is>
      </c>
      <c r="E1036" t="inlineStr">
        <is>
          <t>UPPSALA</t>
        </is>
      </c>
      <c r="F1036" t="inlineStr">
        <is>
          <t>Kyrkan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10005-2023</t>
        </is>
      </c>
      <c r="B1037" s="1" t="n">
        <v>44985</v>
      </c>
      <c r="C1037" s="1" t="n">
        <v>45340</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10669-2023</t>
        </is>
      </c>
      <c r="B1038" s="1" t="n">
        <v>44988</v>
      </c>
      <c r="C1038" s="1" t="n">
        <v>45340</v>
      </c>
      <c r="D1038" t="inlineStr">
        <is>
          <t>UPPSALA LÄN</t>
        </is>
      </c>
      <c r="E1038" t="inlineStr">
        <is>
          <t>UPPSALA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11484-2023</t>
        </is>
      </c>
      <c r="B1039" s="1" t="n">
        <v>44991</v>
      </c>
      <c r="C1039" s="1" t="n">
        <v>45340</v>
      </c>
      <c r="D1039" t="inlineStr">
        <is>
          <t>UPPSALA LÄN</t>
        </is>
      </c>
      <c r="E1039" t="inlineStr">
        <is>
          <t>UPPSALA</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11739-2023</t>
        </is>
      </c>
      <c r="B1040" s="1" t="n">
        <v>44993</v>
      </c>
      <c r="C1040" s="1" t="n">
        <v>45340</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11744-2023</t>
        </is>
      </c>
      <c r="B1041" s="1" t="n">
        <v>44993</v>
      </c>
      <c r="C1041" s="1" t="n">
        <v>45340</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11568-2023</t>
        </is>
      </c>
      <c r="B1042" s="1" t="n">
        <v>44994</v>
      </c>
      <c r="C1042" s="1" t="n">
        <v>45340</v>
      </c>
      <c r="D1042" t="inlineStr">
        <is>
          <t>UPPSALA LÄN</t>
        </is>
      </c>
      <c r="E1042" t="inlineStr">
        <is>
          <t>UPPSALA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12158-2023</t>
        </is>
      </c>
      <c r="B1043" s="1" t="n">
        <v>44998</v>
      </c>
      <c r="C1043" s="1" t="n">
        <v>45340</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12604-2023</t>
        </is>
      </c>
      <c r="B1044" s="1" t="n">
        <v>45000</v>
      </c>
      <c r="C1044" s="1" t="n">
        <v>45340</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12603-2023</t>
        </is>
      </c>
      <c r="B1045" s="1" t="n">
        <v>45000</v>
      </c>
      <c r="C1045" s="1" t="n">
        <v>45340</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12602-2023</t>
        </is>
      </c>
      <c r="B1046" s="1" t="n">
        <v>45000</v>
      </c>
      <c r="C1046" s="1" t="n">
        <v>45340</v>
      </c>
      <c r="D1046" t="inlineStr">
        <is>
          <t>UPPSALA LÄN</t>
        </is>
      </c>
      <c r="E1046" t="inlineStr">
        <is>
          <t>UPPSALA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12703-2023</t>
        </is>
      </c>
      <c r="B1047" s="1" t="n">
        <v>45000</v>
      </c>
      <c r="C1047" s="1" t="n">
        <v>45340</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12606-2023</t>
        </is>
      </c>
      <c r="B1048" s="1" t="n">
        <v>45000</v>
      </c>
      <c r="C1048" s="1" t="n">
        <v>45340</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13526-2023</t>
        </is>
      </c>
      <c r="B1049" s="1" t="n">
        <v>45006</v>
      </c>
      <c r="C1049" s="1" t="n">
        <v>45340</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14253-2023</t>
        </is>
      </c>
      <c r="B1050" s="1" t="n">
        <v>45009</v>
      </c>
      <c r="C1050" s="1" t="n">
        <v>45340</v>
      </c>
      <c r="D1050" t="inlineStr">
        <is>
          <t>UPPSALA LÄN</t>
        </is>
      </c>
      <c r="E1050" t="inlineStr">
        <is>
          <t>UPPSALA</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14784-2023</t>
        </is>
      </c>
      <c r="B1051" s="1" t="n">
        <v>45014</v>
      </c>
      <c r="C1051" s="1" t="n">
        <v>45340</v>
      </c>
      <c r="D1051" t="inlineStr">
        <is>
          <t>UPPSALA LÄN</t>
        </is>
      </c>
      <c r="E1051" t="inlineStr">
        <is>
          <t>UPPSALA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14988-2023</t>
        </is>
      </c>
      <c r="B1052" s="1" t="n">
        <v>45015</v>
      </c>
      <c r="C1052" s="1" t="n">
        <v>45340</v>
      </c>
      <c r="D1052" t="inlineStr">
        <is>
          <t>UPPSALA LÄN</t>
        </is>
      </c>
      <c r="E1052" t="inlineStr">
        <is>
          <t>UPPSALA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15547-2023</t>
        </is>
      </c>
      <c r="B1053" s="1" t="n">
        <v>45020</v>
      </c>
      <c r="C1053" s="1" t="n">
        <v>45340</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15551-2023</t>
        </is>
      </c>
      <c r="B1054" s="1" t="n">
        <v>45020</v>
      </c>
      <c r="C1054" s="1" t="n">
        <v>45340</v>
      </c>
      <c r="D1054" t="inlineStr">
        <is>
          <t>UPPSALA LÄN</t>
        </is>
      </c>
      <c r="E1054" t="inlineStr">
        <is>
          <t>UPPSALA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15629-2023</t>
        </is>
      </c>
      <c r="B1055" s="1" t="n">
        <v>45021</v>
      </c>
      <c r="C1055" s="1" t="n">
        <v>45340</v>
      </c>
      <c r="D1055" t="inlineStr">
        <is>
          <t>UPPSALA LÄN</t>
        </is>
      </c>
      <c r="E1055" t="inlineStr">
        <is>
          <t>UPPSALA</t>
        </is>
      </c>
      <c r="F1055" t="inlineStr">
        <is>
          <t>Övriga Aktiebolag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16346-2023</t>
        </is>
      </c>
      <c r="B1056" s="1" t="n">
        <v>45028</v>
      </c>
      <c r="C1056" s="1" t="n">
        <v>45340</v>
      </c>
      <c r="D1056" t="inlineStr">
        <is>
          <t>UPPSALA LÄN</t>
        </is>
      </c>
      <c r="E1056" t="inlineStr">
        <is>
          <t>UPPSALA</t>
        </is>
      </c>
      <c r="F1056" t="inlineStr">
        <is>
          <t>Övriga Aktiebolag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16811-2023</t>
        </is>
      </c>
      <c r="B1057" s="1" t="n">
        <v>45033</v>
      </c>
      <c r="C1057" s="1" t="n">
        <v>45340</v>
      </c>
      <c r="D1057" t="inlineStr">
        <is>
          <t>UPPSALA LÄN</t>
        </is>
      </c>
      <c r="E1057" t="inlineStr">
        <is>
          <t>UPPSALA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17229-2023</t>
        </is>
      </c>
      <c r="B1058" s="1" t="n">
        <v>45035</v>
      </c>
      <c r="C1058" s="1" t="n">
        <v>45340</v>
      </c>
      <c r="D1058" t="inlineStr">
        <is>
          <t>UPPSALA LÄN</t>
        </is>
      </c>
      <c r="E1058" t="inlineStr">
        <is>
          <t>UPPSALA</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17280-2023</t>
        </is>
      </c>
      <c r="B1059" s="1" t="n">
        <v>45035</v>
      </c>
      <c r="C1059" s="1" t="n">
        <v>45340</v>
      </c>
      <c r="D1059" t="inlineStr">
        <is>
          <t>UPPSALA LÄN</t>
        </is>
      </c>
      <c r="E1059" t="inlineStr">
        <is>
          <t>UPPSALA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17277-2023</t>
        </is>
      </c>
      <c r="B1060" s="1" t="n">
        <v>45035</v>
      </c>
      <c r="C1060" s="1" t="n">
        <v>45340</v>
      </c>
      <c r="D1060" t="inlineStr">
        <is>
          <t>UPPSALA LÄN</t>
        </is>
      </c>
      <c r="E1060" t="inlineStr">
        <is>
          <t>UPPSALA</t>
        </is>
      </c>
      <c r="F1060" t="inlineStr">
        <is>
          <t>Övriga Aktiebolag</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17481-2023</t>
        </is>
      </c>
      <c r="B1061" s="1" t="n">
        <v>45036</v>
      </c>
      <c r="C1061" s="1" t="n">
        <v>45340</v>
      </c>
      <c r="D1061" t="inlineStr">
        <is>
          <t>UPPSALA LÄN</t>
        </is>
      </c>
      <c r="E1061" t="inlineStr">
        <is>
          <t>UPPSALA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17788-2023</t>
        </is>
      </c>
      <c r="B1062" s="1" t="n">
        <v>45037</v>
      </c>
      <c r="C1062" s="1" t="n">
        <v>45340</v>
      </c>
      <c r="D1062" t="inlineStr">
        <is>
          <t>UPPSALA LÄN</t>
        </is>
      </c>
      <c r="E1062" t="inlineStr">
        <is>
          <t>UPPSALA</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17938-2023</t>
        </is>
      </c>
      <c r="B1063" s="1" t="n">
        <v>45040</v>
      </c>
      <c r="C1063" s="1" t="n">
        <v>45340</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18277-2023</t>
        </is>
      </c>
      <c r="B1064" s="1" t="n">
        <v>45041</v>
      </c>
      <c r="C1064" s="1" t="n">
        <v>45340</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18275-2023</t>
        </is>
      </c>
      <c r="B1065" s="1" t="n">
        <v>45041</v>
      </c>
      <c r="C1065" s="1" t="n">
        <v>45340</v>
      </c>
      <c r="D1065" t="inlineStr">
        <is>
          <t>UPPSALA LÄN</t>
        </is>
      </c>
      <c r="E1065" t="inlineStr">
        <is>
          <t>UPPSALA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18278-2023</t>
        </is>
      </c>
      <c r="B1066" s="1" t="n">
        <v>45041</v>
      </c>
      <c r="C1066" s="1" t="n">
        <v>45340</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18276-2023</t>
        </is>
      </c>
      <c r="B1067" s="1" t="n">
        <v>45041</v>
      </c>
      <c r="C1067" s="1" t="n">
        <v>45340</v>
      </c>
      <c r="D1067" t="inlineStr">
        <is>
          <t>UPPSALA LÄN</t>
        </is>
      </c>
      <c r="E1067" t="inlineStr">
        <is>
          <t>UPPSALA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18443-2023</t>
        </is>
      </c>
      <c r="B1068" s="1" t="n">
        <v>45042</v>
      </c>
      <c r="C1068" s="1" t="n">
        <v>45340</v>
      </c>
      <c r="D1068" t="inlineStr">
        <is>
          <t>UPPSALA LÄN</t>
        </is>
      </c>
      <c r="E1068" t="inlineStr">
        <is>
          <t>UPPSALA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18496-2023</t>
        </is>
      </c>
      <c r="B1069" s="1" t="n">
        <v>45042</v>
      </c>
      <c r="C1069" s="1" t="n">
        <v>45340</v>
      </c>
      <c r="D1069" t="inlineStr">
        <is>
          <t>UPPSALA LÄN</t>
        </is>
      </c>
      <c r="E1069" t="inlineStr">
        <is>
          <t>UPPSALA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18507-2023</t>
        </is>
      </c>
      <c r="B1070" s="1" t="n">
        <v>45042</v>
      </c>
      <c r="C1070" s="1" t="n">
        <v>45340</v>
      </c>
      <c r="D1070" t="inlineStr">
        <is>
          <t>UPPSALA LÄN</t>
        </is>
      </c>
      <c r="E1070" t="inlineStr">
        <is>
          <t>UPPSALA</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18472-2023</t>
        </is>
      </c>
      <c r="B1071" s="1" t="n">
        <v>45042</v>
      </c>
      <c r="C1071" s="1" t="n">
        <v>45340</v>
      </c>
      <c r="D1071" t="inlineStr">
        <is>
          <t>UPPSALA LÄN</t>
        </is>
      </c>
      <c r="E1071" t="inlineStr">
        <is>
          <t>UPPSALA</t>
        </is>
      </c>
      <c r="F1071" t="inlineStr">
        <is>
          <t>Övriga Aktiebolag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18710-2023</t>
        </is>
      </c>
      <c r="B1072" s="1" t="n">
        <v>45043</v>
      </c>
      <c r="C1072" s="1" t="n">
        <v>45340</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19017-2023</t>
        </is>
      </c>
      <c r="B1073" s="1" t="n">
        <v>45047</v>
      </c>
      <c r="C1073" s="1" t="n">
        <v>45340</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19135-2023</t>
        </is>
      </c>
      <c r="B1074" s="1" t="n">
        <v>45048</v>
      </c>
      <c r="C1074" s="1" t="n">
        <v>45340</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19139-2023</t>
        </is>
      </c>
      <c r="B1075" s="1" t="n">
        <v>45048</v>
      </c>
      <c r="C1075" s="1" t="n">
        <v>45340</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19279-2023</t>
        </is>
      </c>
      <c r="B1076" s="1" t="n">
        <v>45049</v>
      </c>
      <c r="C1076" s="1" t="n">
        <v>45340</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19269-2023</t>
        </is>
      </c>
      <c r="B1077" s="1" t="n">
        <v>45049</v>
      </c>
      <c r="C1077" s="1" t="n">
        <v>45340</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19314-2023</t>
        </is>
      </c>
      <c r="B1078" s="1" t="n">
        <v>45049</v>
      </c>
      <c r="C1078" s="1" t="n">
        <v>45340</v>
      </c>
      <c r="D1078" t="inlineStr">
        <is>
          <t>UPPSALA LÄN</t>
        </is>
      </c>
      <c r="E1078" t="inlineStr">
        <is>
          <t>UPPSALA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19320-2023</t>
        </is>
      </c>
      <c r="B1079" s="1" t="n">
        <v>45049</v>
      </c>
      <c r="C1079" s="1" t="n">
        <v>45340</v>
      </c>
      <c r="D1079" t="inlineStr">
        <is>
          <t>UPPSALA LÄN</t>
        </is>
      </c>
      <c r="E1079" t="inlineStr">
        <is>
          <t>UPPSALA</t>
        </is>
      </c>
      <c r="G1079" t="n">
        <v>17.5</v>
      </c>
      <c r="H1079" t="n">
        <v>0</v>
      </c>
      <c r="I1079" t="n">
        <v>0</v>
      </c>
      <c r="J1079" t="n">
        <v>0</v>
      </c>
      <c r="K1079" t="n">
        <v>0</v>
      </c>
      <c r="L1079" t="n">
        <v>0</v>
      </c>
      <c r="M1079" t="n">
        <v>0</v>
      </c>
      <c r="N1079" t="n">
        <v>0</v>
      </c>
      <c r="O1079" t="n">
        <v>0</v>
      </c>
      <c r="P1079" t="n">
        <v>0</v>
      </c>
      <c r="Q1079" t="n">
        <v>0</v>
      </c>
      <c r="R1079" s="2" t="inlineStr"/>
    </row>
    <row r="1080" ht="15" customHeight="1">
      <c r="A1080" t="inlineStr">
        <is>
          <t>A 19339-2023</t>
        </is>
      </c>
      <c r="B1080" s="1" t="n">
        <v>45049</v>
      </c>
      <c r="C1080" s="1" t="n">
        <v>45340</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19380-2023</t>
        </is>
      </c>
      <c r="B1081" s="1" t="n">
        <v>45049</v>
      </c>
      <c r="C1081" s="1" t="n">
        <v>45340</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19411-2023</t>
        </is>
      </c>
      <c r="B1082" s="1" t="n">
        <v>45049</v>
      </c>
      <c r="C1082" s="1" t="n">
        <v>45340</v>
      </c>
      <c r="D1082" t="inlineStr">
        <is>
          <t>UPPSALA LÄN</t>
        </is>
      </c>
      <c r="E1082" t="inlineStr">
        <is>
          <t>UPPSALA</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19272-2023</t>
        </is>
      </c>
      <c r="B1083" s="1" t="n">
        <v>45049</v>
      </c>
      <c r="C1083" s="1" t="n">
        <v>45340</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19276-2023</t>
        </is>
      </c>
      <c r="B1084" s="1" t="n">
        <v>45049</v>
      </c>
      <c r="C1084" s="1" t="n">
        <v>45340</v>
      </c>
      <c r="D1084" t="inlineStr">
        <is>
          <t>UPPSALA LÄN</t>
        </is>
      </c>
      <c r="E1084" t="inlineStr">
        <is>
          <t>UPPSALA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19317-2023</t>
        </is>
      </c>
      <c r="B1085" s="1" t="n">
        <v>45049</v>
      </c>
      <c r="C1085" s="1" t="n">
        <v>45340</v>
      </c>
      <c r="D1085" t="inlineStr">
        <is>
          <t>UPPSALA LÄN</t>
        </is>
      </c>
      <c r="E1085" t="inlineStr">
        <is>
          <t>UPPSALA</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19409-2023</t>
        </is>
      </c>
      <c r="B1086" s="1" t="n">
        <v>45049</v>
      </c>
      <c r="C1086" s="1" t="n">
        <v>45340</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19455-2023</t>
        </is>
      </c>
      <c r="B1087" s="1" t="n">
        <v>45050</v>
      </c>
      <c r="C1087" s="1" t="n">
        <v>45340</v>
      </c>
      <c r="D1087" t="inlineStr">
        <is>
          <t>UPPSALA LÄN</t>
        </is>
      </c>
      <c r="E1087" t="inlineStr">
        <is>
          <t>UPPSALA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19515-2023</t>
        </is>
      </c>
      <c r="B1088" s="1" t="n">
        <v>45050</v>
      </c>
      <c r="C1088" s="1" t="n">
        <v>45340</v>
      </c>
      <c r="D1088" t="inlineStr">
        <is>
          <t>UPPSALA LÄN</t>
        </is>
      </c>
      <c r="E1088" t="inlineStr">
        <is>
          <t>UPPSALA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19447-2023</t>
        </is>
      </c>
      <c r="B1089" s="1" t="n">
        <v>45050</v>
      </c>
      <c r="C1089" s="1" t="n">
        <v>45340</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19513-2023</t>
        </is>
      </c>
      <c r="B1090" s="1" t="n">
        <v>45050</v>
      </c>
      <c r="C1090" s="1" t="n">
        <v>45340</v>
      </c>
      <c r="D1090" t="inlineStr">
        <is>
          <t>UPPSALA LÄN</t>
        </is>
      </c>
      <c r="E1090" t="inlineStr">
        <is>
          <t>UPPSALA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19516-2023</t>
        </is>
      </c>
      <c r="B1091" s="1" t="n">
        <v>45050</v>
      </c>
      <c r="C1091" s="1" t="n">
        <v>45340</v>
      </c>
      <c r="D1091" t="inlineStr">
        <is>
          <t>UPPSALA LÄN</t>
        </is>
      </c>
      <c r="E1091" t="inlineStr">
        <is>
          <t>UPPSALA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19920-2023</t>
        </is>
      </c>
      <c r="B1092" s="1" t="n">
        <v>45054</v>
      </c>
      <c r="C1092" s="1" t="n">
        <v>45340</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20087-2023</t>
        </is>
      </c>
      <c r="B1093" s="1" t="n">
        <v>45055</v>
      </c>
      <c r="C1093" s="1" t="n">
        <v>45340</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20102-2023</t>
        </is>
      </c>
      <c r="B1094" s="1" t="n">
        <v>45055</v>
      </c>
      <c r="C1094" s="1" t="n">
        <v>45340</v>
      </c>
      <c r="D1094" t="inlineStr">
        <is>
          <t>UPPSALA LÄN</t>
        </is>
      </c>
      <c r="E1094" t="inlineStr">
        <is>
          <t>UPPSALA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20105-2023</t>
        </is>
      </c>
      <c r="B1095" s="1" t="n">
        <v>45055</v>
      </c>
      <c r="C1095" s="1" t="n">
        <v>45340</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20206-2023</t>
        </is>
      </c>
      <c r="B1096" s="1" t="n">
        <v>45055</v>
      </c>
      <c r="C1096" s="1" t="n">
        <v>45340</v>
      </c>
      <c r="D1096" t="inlineStr">
        <is>
          <t>UPPSALA LÄN</t>
        </is>
      </c>
      <c r="E1096" t="inlineStr">
        <is>
          <t>UPPSALA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20438-2023</t>
        </is>
      </c>
      <c r="B1097" s="1" t="n">
        <v>45056</v>
      </c>
      <c r="C1097" s="1" t="n">
        <v>45340</v>
      </c>
      <c r="D1097" t="inlineStr">
        <is>
          <t>UPPSALA LÄN</t>
        </is>
      </c>
      <c r="E1097" t="inlineStr">
        <is>
          <t>UPPSALA</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20440-2023</t>
        </is>
      </c>
      <c r="B1098" s="1" t="n">
        <v>45056</v>
      </c>
      <c r="C1098" s="1" t="n">
        <v>45340</v>
      </c>
      <c r="D1098" t="inlineStr">
        <is>
          <t>UPPSALA LÄN</t>
        </is>
      </c>
      <c r="E1098" t="inlineStr">
        <is>
          <t>UPPSALA</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20437-2023</t>
        </is>
      </c>
      <c r="B1099" s="1" t="n">
        <v>45056</v>
      </c>
      <c r="C1099" s="1" t="n">
        <v>45340</v>
      </c>
      <c r="D1099" t="inlineStr">
        <is>
          <t>UPPSALA LÄN</t>
        </is>
      </c>
      <c r="E1099" t="inlineStr">
        <is>
          <t>UPPSALA</t>
        </is>
      </c>
      <c r="F1099" t="inlineStr">
        <is>
          <t>Holmen skog AB</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20550-2023</t>
        </is>
      </c>
      <c r="B1100" s="1" t="n">
        <v>45057</v>
      </c>
      <c r="C1100" s="1" t="n">
        <v>45340</v>
      </c>
      <c r="D1100" t="inlineStr">
        <is>
          <t>UPPSALA LÄN</t>
        </is>
      </c>
      <c r="E1100" t="inlineStr">
        <is>
          <t>UPPSALA</t>
        </is>
      </c>
      <c r="F1100" t="inlineStr">
        <is>
          <t>Övriga Aktiebolag</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20670-2023</t>
        </is>
      </c>
      <c r="B1101" s="1" t="n">
        <v>45058</v>
      </c>
      <c r="C1101" s="1" t="n">
        <v>45340</v>
      </c>
      <c r="D1101" t="inlineStr">
        <is>
          <t>UPPSALA LÄN</t>
        </is>
      </c>
      <c r="E1101" t="inlineStr">
        <is>
          <t>UPPSALA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20692-2023</t>
        </is>
      </c>
      <c r="B1102" s="1" t="n">
        <v>45058</v>
      </c>
      <c r="C1102" s="1" t="n">
        <v>45340</v>
      </c>
      <c r="D1102" t="inlineStr">
        <is>
          <t>UPPSALA LÄN</t>
        </is>
      </c>
      <c r="E1102" t="inlineStr">
        <is>
          <t>UPPSALA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20667-2023</t>
        </is>
      </c>
      <c r="B1103" s="1" t="n">
        <v>45058</v>
      </c>
      <c r="C1103" s="1" t="n">
        <v>45340</v>
      </c>
      <c r="D1103" t="inlineStr">
        <is>
          <t>UPPSALA LÄN</t>
        </is>
      </c>
      <c r="E1103" t="inlineStr">
        <is>
          <t>UPPSALA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20708-2023</t>
        </is>
      </c>
      <c r="B1104" s="1" t="n">
        <v>45058</v>
      </c>
      <c r="C1104" s="1" t="n">
        <v>45340</v>
      </c>
      <c r="D1104" t="inlineStr">
        <is>
          <t>UPPSALA LÄN</t>
        </is>
      </c>
      <c r="E1104" t="inlineStr">
        <is>
          <t>UPPSALA</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20669-2023</t>
        </is>
      </c>
      <c r="B1105" s="1" t="n">
        <v>45058</v>
      </c>
      <c r="C1105" s="1" t="n">
        <v>45340</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20786-2023</t>
        </is>
      </c>
      <c r="B1106" s="1" t="n">
        <v>45058</v>
      </c>
      <c r="C1106" s="1" t="n">
        <v>45340</v>
      </c>
      <c r="D1106" t="inlineStr">
        <is>
          <t>UPPSALA LÄN</t>
        </is>
      </c>
      <c r="E1106" t="inlineStr">
        <is>
          <t>UPPSALA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20900-2023</t>
        </is>
      </c>
      <c r="B1107" s="1" t="n">
        <v>45060</v>
      </c>
      <c r="C1107" s="1" t="n">
        <v>45340</v>
      </c>
      <c r="D1107" t="inlineStr">
        <is>
          <t>UPPSALA LÄN</t>
        </is>
      </c>
      <c r="E1107" t="inlineStr">
        <is>
          <t>UPPSALA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21052-2023</t>
        </is>
      </c>
      <c r="B1108" s="1" t="n">
        <v>45061</v>
      </c>
      <c r="C1108" s="1" t="n">
        <v>45340</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21416-2023</t>
        </is>
      </c>
      <c r="B1109" s="1" t="n">
        <v>45063</v>
      </c>
      <c r="C1109" s="1" t="n">
        <v>45340</v>
      </c>
      <c r="D1109" t="inlineStr">
        <is>
          <t>UPPSALA LÄN</t>
        </is>
      </c>
      <c r="E1109" t="inlineStr">
        <is>
          <t>UPPSALA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21424-2023</t>
        </is>
      </c>
      <c r="B1110" s="1" t="n">
        <v>45063</v>
      </c>
      <c r="C1110" s="1" t="n">
        <v>45340</v>
      </c>
      <c r="D1110" t="inlineStr">
        <is>
          <t>UPPSALA LÄN</t>
        </is>
      </c>
      <c r="E1110" t="inlineStr">
        <is>
          <t>UPPSALA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21727-2023</t>
        </is>
      </c>
      <c r="B1111" s="1" t="n">
        <v>45065</v>
      </c>
      <c r="C1111" s="1" t="n">
        <v>45340</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21935-2023</t>
        </is>
      </c>
      <c r="B1112" s="1" t="n">
        <v>45068</v>
      </c>
      <c r="C1112" s="1" t="n">
        <v>45340</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22450-2023</t>
        </is>
      </c>
      <c r="B1113" s="1" t="n">
        <v>45070</v>
      </c>
      <c r="C1113" s="1" t="n">
        <v>45340</v>
      </c>
      <c r="D1113" t="inlineStr">
        <is>
          <t>UPPSALA LÄN</t>
        </is>
      </c>
      <c r="E1113" t="inlineStr">
        <is>
          <t>UPPSALA</t>
        </is>
      </c>
      <c r="F1113" t="inlineStr">
        <is>
          <t>Allmännings- och besparingsskogar</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23159-2023</t>
        </is>
      </c>
      <c r="B1114" s="1" t="n">
        <v>45075</v>
      </c>
      <c r="C1114" s="1" t="n">
        <v>45340</v>
      </c>
      <c r="D1114" t="inlineStr">
        <is>
          <t>UPPSALA LÄN</t>
        </is>
      </c>
      <c r="E1114" t="inlineStr">
        <is>
          <t>UPPSALA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23157-2023</t>
        </is>
      </c>
      <c r="B1115" s="1" t="n">
        <v>45075</v>
      </c>
      <c r="C1115" s="1" t="n">
        <v>45340</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23929-2023</t>
        </is>
      </c>
      <c r="B1116" s="1" t="n">
        <v>45078</v>
      </c>
      <c r="C1116" s="1" t="n">
        <v>45340</v>
      </c>
      <c r="D1116" t="inlineStr">
        <is>
          <t>UPPSALA LÄN</t>
        </is>
      </c>
      <c r="E1116" t="inlineStr">
        <is>
          <t>UPPSALA</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24012-2023</t>
        </is>
      </c>
      <c r="B1117" s="1" t="n">
        <v>45078</v>
      </c>
      <c r="C1117" s="1" t="n">
        <v>45340</v>
      </c>
      <c r="D1117" t="inlineStr">
        <is>
          <t>UPPSALA LÄN</t>
        </is>
      </c>
      <c r="E1117" t="inlineStr">
        <is>
          <t>UPPSALA</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24016-2023</t>
        </is>
      </c>
      <c r="B1118" s="1" t="n">
        <v>45078</v>
      </c>
      <c r="C1118" s="1" t="n">
        <v>45340</v>
      </c>
      <c r="D1118" t="inlineStr">
        <is>
          <t>UPPSALA LÄN</t>
        </is>
      </c>
      <c r="E1118" t="inlineStr">
        <is>
          <t>UPPSALA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24009-2023</t>
        </is>
      </c>
      <c r="B1119" s="1" t="n">
        <v>45078</v>
      </c>
      <c r="C1119" s="1" t="n">
        <v>45340</v>
      </c>
      <c r="D1119" t="inlineStr">
        <is>
          <t>UPPSALA LÄN</t>
        </is>
      </c>
      <c r="E1119" t="inlineStr">
        <is>
          <t>UPPSALA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24174-2023</t>
        </is>
      </c>
      <c r="B1120" s="1" t="n">
        <v>45079</v>
      </c>
      <c r="C1120" s="1" t="n">
        <v>45340</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24670-2023</t>
        </is>
      </c>
      <c r="B1121" s="1" t="n">
        <v>45084</v>
      </c>
      <c r="C1121" s="1" t="n">
        <v>45340</v>
      </c>
      <c r="D1121" t="inlineStr">
        <is>
          <t>UPPSALA LÄN</t>
        </is>
      </c>
      <c r="E1121" t="inlineStr">
        <is>
          <t>UPPSALA</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25264-2023</t>
        </is>
      </c>
      <c r="B1122" s="1" t="n">
        <v>45086</v>
      </c>
      <c r="C1122" s="1" t="n">
        <v>45340</v>
      </c>
      <c r="D1122" t="inlineStr">
        <is>
          <t>UPPSALA LÄN</t>
        </is>
      </c>
      <c r="E1122" t="inlineStr">
        <is>
          <t>UPPSALA</t>
        </is>
      </c>
      <c r="F1122" t="inlineStr">
        <is>
          <t>Holmen skog AB</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25280-2023</t>
        </is>
      </c>
      <c r="B1123" s="1" t="n">
        <v>45086</v>
      </c>
      <c r="C1123" s="1" t="n">
        <v>45340</v>
      </c>
      <c r="D1123" t="inlineStr">
        <is>
          <t>UPPSALA LÄN</t>
        </is>
      </c>
      <c r="E1123" t="inlineStr">
        <is>
          <t>UPPSALA</t>
        </is>
      </c>
      <c r="F1123" t="inlineStr">
        <is>
          <t>Holmen skog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25380-2023</t>
        </is>
      </c>
      <c r="B1124" s="1" t="n">
        <v>45089</v>
      </c>
      <c r="C1124" s="1" t="n">
        <v>45340</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25381-2023</t>
        </is>
      </c>
      <c r="B1125" s="1" t="n">
        <v>45089</v>
      </c>
      <c r="C1125" s="1" t="n">
        <v>45340</v>
      </c>
      <c r="D1125" t="inlineStr">
        <is>
          <t>UPPSALA LÄN</t>
        </is>
      </c>
      <c r="E1125" t="inlineStr">
        <is>
          <t>UPPSALA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25446-2023</t>
        </is>
      </c>
      <c r="B1126" s="1" t="n">
        <v>45089</v>
      </c>
      <c r="C1126" s="1" t="n">
        <v>45340</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25462-2023</t>
        </is>
      </c>
      <c r="B1127" s="1" t="n">
        <v>45089</v>
      </c>
      <c r="C1127" s="1" t="n">
        <v>45340</v>
      </c>
      <c r="D1127" t="inlineStr">
        <is>
          <t>UPPSALA LÄN</t>
        </is>
      </c>
      <c r="E1127" t="inlineStr">
        <is>
          <t>UPPSALA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25939-2023</t>
        </is>
      </c>
      <c r="B1128" s="1" t="n">
        <v>45090</v>
      </c>
      <c r="C1128" s="1" t="n">
        <v>45340</v>
      </c>
      <c r="D1128" t="inlineStr">
        <is>
          <t>UPPSALA LÄN</t>
        </is>
      </c>
      <c r="E1128" t="inlineStr">
        <is>
          <t>UPPSALA</t>
        </is>
      </c>
      <c r="F1128" t="inlineStr">
        <is>
          <t>Holmen skog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26208-2023</t>
        </is>
      </c>
      <c r="B1129" s="1" t="n">
        <v>45091</v>
      </c>
      <c r="C1129" s="1" t="n">
        <v>45340</v>
      </c>
      <c r="D1129" t="inlineStr">
        <is>
          <t>UPPSALA LÄN</t>
        </is>
      </c>
      <c r="E1129" t="inlineStr">
        <is>
          <t>UPPSALA</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26298-2023</t>
        </is>
      </c>
      <c r="B1130" s="1" t="n">
        <v>45091</v>
      </c>
      <c r="C1130" s="1" t="n">
        <v>45340</v>
      </c>
      <c r="D1130" t="inlineStr">
        <is>
          <t>UPPSALA LÄN</t>
        </is>
      </c>
      <c r="E1130" t="inlineStr">
        <is>
          <t>UPPSALA</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26323-2023</t>
        </is>
      </c>
      <c r="B1131" s="1" t="n">
        <v>45091</v>
      </c>
      <c r="C1131" s="1" t="n">
        <v>45340</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26081-2023</t>
        </is>
      </c>
      <c r="B1132" s="1" t="n">
        <v>45091</v>
      </c>
      <c r="C1132" s="1" t="n">
        <v>45340</v>
      </c>
      <c r="D1132" t="inlineStr">
        <is>
          <t>UPPSALA LÄN</t>
        </is>
      </c>
      <c r="E1132" t="inlineStr">
        <is>
          <t>UPPSALA</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26143-2023</t>
        </is>
      </c>
      <c r="B1133" s="1" t="n">
        <v>45091</v>
      </c>
      <c r="C1133" s="1" t="n">
        <v>45340</v>
      </c>
      <c r="D1133" t="inlineStr">
        <is>
          <t>UPPSALA LÄN</t>
        </is>
      </c>
      <c r="E1133" t="inlineStr">
        <is>
          <t>UPPSALA</t>
        </is>
      </c>
      <c r="F1133" t="inlineStr">
        <is>
          <t>Holmen skog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26134-2023</t>
        </is>
      </c>
      <c r="B1134" s="1" t="n">
        <v>45091</v>
      </c>
      <c r="C1134" s="1" t="n">
        <v>45340</v>
      </c>
      <c r="D1134" t="inlineStr">
        <is>
          <t>UPPSALA LÄN</t>
        </is>
      </c>
      <c r="E1134" t="inlineStr">
        <is>
          <t>UPPSALA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26759-2023</t>
        </is>
      </c>
      <c r="B1135" s="1" t="n">
        <v>45093</v>
      </c>
      <c r="C1135" s="1" t="n">
        <v>45340</v>
      </c>
      <c r="D1135" t="inlineStr">
        <is>
          <t>UPPSALA LÄN</t>
        </is>
      </c>
      <c r="E1135" t="inlineStr">
        <is>
          <t>UPPSALA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26762-2023</t>
        </is>
      </c>
      <c r="B1136" s="1" t="n">
        <v>45093</v>
      </c>
      <c r="C1136" s="1" t="n">
        <v>45340</v>
      </c>
      <c r="D1136" t="inlineStr">
        <is>
          <t>UPPSALA LÄN</t>
        </is>
      </c>
      <c r="E1136" t="inlineStr">
        <is>
          <t>UPPSALA</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27128-2023</t>
        </is>
      </c>
      <c r="B1137" s="1" t="n">
        <v>45096</v>
      </c>
      <c r="C1137" s="1" t="n">
        <v>45340</v>
      </c>
      <c r="D1137" t="inlineStr">
        <is>
          <t>UPPSALA LÄN</t>
        </is>
      </c>
      <c r="E1137" t="inlineStr">
        <is>
          <t>UPPSALA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27068-2023</t>
        </is>
      </c>
      <c r="B1138" s="1" t="n">
        <v>45096</v>
      </c>
      <c r="C1138" s="1" t="n">
        <v>45340</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27119-2023</t>
        </is>
      </c>
      <c r="B1139" s="1" t="n">
        <v>45096</v>
      </c>
      <c r="C1139" s="1" t="n">
        <v>45340</v>
      </c>
      <c r="D1139" t="inlineStr">
        <is>
          <t>UPPSALA LÄN</t>
        </is>
      </c>
      <c r="E1139" t="inlineStr">
        <is>
          <t>UPPSALA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27123-2023</t>
        </is>
      </c>
      <c r="B1140" s="1" t="n">
        <v>45096</v>
      </c>
      <c r="C1140" s="1" t="n">
        <v>45340</v>
      </c>
      <c r="D1140" t="inlineStr">
        <is>
          <t>UPPSALA LÄN</t>
        </is>
      </c>
      <c r="E1140" t="inlineStr">
        <is>
          <t>UPPSALA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27126-2023</t>
        </is>
      </c>
      <c r="B1141" s="1" t="n">
        <v>45096</v>
      </c>
      <c r="C1141" s="1" t="n">
        <v>45340</v>
      </c>
      <c r="D1141" t="inlineStr">
        <is>
          <t>UPPSALA LÄN</t>
        </is>
      </c>
      <c r="E1141" t="inlineStr">
        <is>
          <t>UPPSALA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27104-2023</t>
        </is>
      </c>
      <c r="B1142" s="1" t="n">
        <v>45096</v>
      </c>
      <c r="C1142" s="1" t="n">
        <v>45340</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27121-2023</t>
        </is>
      </c>
      <c r="B1143" s="1" t="n">
        <v>45096</v>
      </c>
      <c r="C1143" s="1" t="n">
        <v>45340</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27125-2023</t>
        </is>
      </c>
      <c r="B1144" s="1" t="n">
        <v>45096</v>
      </c>
      <c r="C1144" s="1" t="n">
        <v>45340</v>
      </c>
      <c r="D1144" t="inlineStr">
        <is>
          <t>UPPSALA LÄN</t>
        </is>
      </c>
      <c r="E1144" t="inlineStr">
        <is>
          <t>UPPSALA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27254-2023</t>
        </is>
      </c>
      <c r="B1145" s="1" t="n">
        <v>45096</v>
      </c>
      <c r="C1145" s="1" t="n">
        <v>45340</v>
      </c>
      <c r="D1145" t="inlineStr">
        <is>
          <t>UPPSALA LÄN</t>
        </is>
      </c>
      <c r="E1145" t="inlineStr">
        <is>
          <t>UPPSALA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27467-2023</t>
        </is>
      </c>
      <c r="B1146" s="1" t="n">
        <v>45097</v>
      </c>
      <c r="C1146" s="1" t="n">
        <v>45340</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27617-2023</t>
        </is>
      </c>
      <c r="B1147" s="1" t="n">
        <v>45097</v>
      </c>
      <c r="C1147" s="1" t="n">
        <v>45340</v>
      </c>
      <c r="D1147" t="inlineStr">
        <is>
          <t>UPPSALA LÄN</t>
        </is>
      </c>
      <c r="E1147" t="inlineStr">
        <is>
          <t>UPPSALA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27622-2023</t>
        </is>
      </c>
      <c r="B1148" s="1" t="n">
        <v>45097</v>
      </c>
      <c r="C1148" s="1" t="n">
        <v>45340</v>
      </c>
      <c r="D1148" t="inlineStr">
        <is>
          <t>UPPSALA LÄN</t>
        </is>
      </c>
      <c r="E1148" t="inlineStr">
        <is>
          <t>UPPSALA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27599-2023</t>
        </is>
      </c>
      <c r="B1149" s="1" t="n">
        <v>45097</v>
      </c>
      <c r="C1149" s="1" t="n">
        <v>45340</v>
      </c>
      <c r="D1149" t="inlineStr">
        <is>
          <t>UPPSALA LÄN</t>
        </is>
      </c>
      <c r="E1149" t="inlineStr">
        <is>
          <t>UPPSALA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27620-2023</t>
        </is>
      </c>
      <c r="B1150" s="1" t="n">
        <v>45097</v>
      </c>
      <c r="C1150" s="1" t="n">
        <v>45340</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27912-2023</t>
        </is>
      </c>
      <c r="B1151" s="1" t="n">
        <v>45098</v>
      </c>
      <c r="C1151" s="1" t="n">
        <v>45340</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27903-2023</t>
        </is>
      </c>
      <c r="B1152" s="1" t="n">
        <v>45098</v>
      </c>
      <c r="C1152" s="1" t="n">
        <v>45340</v>
      </c>
      <c r="D1152" t="inlineStr">
        <is>
          <t>UPPSALA LÄN</t>
        </is>
      </c>
      <c r="E1152" t="inlineStr">
        <is>
          <t>UPPSALA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27930-2023</t>
        </is>
      </c>
      <c r="B1153" s="1" t="n">
        <v>45098</v>
      </c>
      <c r="C1153" s="1" t="n">
        <v>45340</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28186-2023</t>
        </is>
      </c>
      <c r="B1154" s="1" t="n">
        <v>45099</v>
      </c>
      <c r="C1154" s="1" t="n">
        <v>45340</v>
      </c>
      <c r="D1154" t="inlineStr">
        <is>
          <t>UPPSALA LÄN</t>
        </is>
      </c>
      <c r="E1154" t="inlineStr">
        <is>
          <t>UPPSALA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28577-2023</t>
        </is>
      </c>
      <c r="B1155" s="1" t="n">
        <v>45103</v>
      </c>
      <c r="C1155" s="1" t="n">
        <v>45340</v>
      </c>
      <c r="D1155" t="inlineStr">
        <is>
          <t>UPPSALA LÄN</t>
        </is>
      </c>
      <c r="E1155" t="inlineStr">
        <is>
          <t>UPPSALA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28701-2023</t>
        </is>
      </c>
      <c r="B1156" s="1" t="n">
        <v>45103</v>
      </c>
      <c r="C1156" s="1" t="n">
        <v>45340</v>
      </c>
      <c r="D1156" t="inlineStr">
        <is>
          <t>UPPSALA LÄN</t>
        </is>
      </c>
      <c r="E1156" t="inlineStr">
        <is>
          <t>UPPSALA</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29019-2023</t>
        </is>
      </c>
      <c r="B1157" s="1" t="n">
        <v>45104</v>
      </c>
      <c r="C1157" s="1" t="n">
        <v>45340</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31599-2023</t>
        </is>
      </c>
      <c r="B1158" s="1" t="n">
        <v>45105</v>
      </c>
      <c r="C1158" s="1" t="n">
        <v>45340</v>
      </c>
      <c r="D1158" t="inlineStr">
        <is>
          <t>UPPSALA LÄN</t>
        </is>
      </c>
      <c r="E1158" t="inlineStr">
        <is>
          <t>UPPSALA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29282-2023</t>
        </is>
      </c>
      <c r="B1159" s="1" t="n">
        <v>45105</v>
      </c>
      <c r="C1159" s="1" t="n">
        <v>45340</v>
      </c>
      <c r="D1159" t="inlineStr">
        <is>
          <t>UPPSALA LÄN</t>
        </is>
      </c>
      <c r="E1159" t="inlineStr">
        <is>
          <t>UPPSALA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31630-2023</t>
        </is>
      </c>
      <c r="B1160" s="1" t="n">
        <v>45105</v>
      </c>
      <c r="C1160" s="1" t="n">
        <v>45340</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29579-2023</t>
        </is>
      </c>
      <c r="B1161" s="1" t="n">
        <v>45106</v>
      </c>
      <c r="C1161" s="1" t="n">
        <v>45340</v>
      </c>
      <c r="D1161" t="inlineStr">
        <is>
          <t>UPPSALA LÄN</t>
        </is>
      </c>
      <c r="E1161" t="inlineStr">
        <is>
          <t>UPPSALA</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29815-2023</t>
        </is>
      </c>
      <c r="B1162" s="1" t="n">
        <v>45107</v>
      </c>
      <c r="C1162" s="1" t="n">
        <v>45340</v>
      </c>
      <c r="D1162" t="inlineStr">
        <is>
          <t>UPPSALA LÄN</t>
        </is>
      </c>
      <c r="E1162" t="inlineStr">
        <is>
          <t>UPPSALA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45340</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29868-2023</t>
        </is>
      </c>
      <c r="B1164" s="1" t="n">
        <v>45107</v>
      </c>
      <c r="C1164" s="1" t="n">
        <v>45340</v>
      </c>
      <c r="D1164" t="inlineStr">
        <is>
          <t>UPPSALA LÄN</t>
        </is>
      </c>
      <c r="E1164" t="inlineStr">
        <is>
          <t>UPPSALA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29799-2023</t>
        </is>
      </c>
      <c r="B1165" s="1" t="n">
        <v>45107</v>
      </c>
      <c r="C1165" s="1" t="n">
        <v>45340</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29808-2023</t>
        </is>
      </c>
      <c r="B1166" s="1" t="n">
        <v>45107</v>
      </c>
      <c r="C1166" s="1" t="n">
        <v>45340</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29902-2023</t>
        </is>
      </c>
      <c r="B1167" s="1" t="n">
        <v>45107</v>
      </c>
      <c r="C1167" s="1" t="n">
        <v>45340</v>
      </c>
      <c r="D1167" t="inlineStr">
        <is>
          <t>UPPSALA LÄN</t>
        </is>
      </c>
      <c r="E1167" t="inlineStr">
        <is>
          <t>UPPSALA</t>
        </is>
      </c>
      <c r="F1167" t="inlineStr">
        <is>
          <t>Kyrkan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29926-2023</t>
        </is>
      </c>
      <c r="B1168" s="1" t="n">
        <v>45107</v>
      </c>
      <c r="C1168" s="1" t="n">
        <v>45340</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29927-2023</t>
        </is>
      </c>
      <c r="B1169" s="1" t="n">
        <v>45107</v>
      </c>
      <c r="C1169" s="1" t="n">
        <v>45340</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32428-2023</t>
        </is>
      </c>
      <c r="B1170" s="1" t="n">
        <v>45110</v>
      </c>
      <c r="C1170" s="1" t="n">
        <v>45340</v>
      </c>
      <c r="D1170" t="inlineStr">
        <is>
          <t>UPPSALA LÄN</t>
        </is>
      </c>
      <c r="E1170" t="inlineStr">
        <is>
          <t>UPPSALA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30629-2023</t>
        </is>
      </c>
      <c r="B1171" s="1" t="n">
        <v>45112</v>
      </c>
      <c r="C1171" s="1" t="n">
        <v>45340</v>
      </c>
      <c r="D1171" t="inlineStr">
        <is>
          <t>UPPSALA LÄN</t>
        </is>
      </c>
      <c r="E1171" t="inlineStr">
        <is>
          <t>UPPSALA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32689-2023</t>
        </is>
      </c>
      <c r="B1172" s="1" t="n">
        <v>45112</v>
      </c>
      <c r="C1172" s="1" t="n">
        <v>45340</v>
      </c>
      <c r="D1172" t="inlineStr">
        <is>
          <t>UPPSALA LÄN</t>
        </is>
      </c>
      <c r="E1172" t="inlineStr">
        <is>
          <t>UPPSALA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31157-2023</t>
        </is>
      </c>
      <c r="B1173" s="1" t="n">
        <v>45113</v>
      </c>
      <c r="C1173" s="1" t="n">
        <v>45340</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31161-2023</t>
        </is>
      </c>
      <c r="B1174" s="1" t="n">
        <v>45113</v>
      </c>
      <c r="C1174" s="1" t="n">
        <v>45340</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33689-2023</t>
        </is>
      </c>
      <c r="B1175" s="1" t="n">
        <v>45119</v>
      </c>
      <c r="C1175" s="1" t="n">
        <v>45340</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32413-2023</t>
        </is>
      </c>
      <c r="B1176" s="1" t="n">
        <v>45120</v>
      </c>
      <c r="C1176" s="1" t="n">
        <v>45340</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32640-2023</t>
        </is>
      </c>
      <c r="B1177" s="1" t="n">
        <v>45121</v>
      </c>
      <c r="C1177" s="1" t="n">
        <v>45340</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32674-2023</t>
        </is>
      </c>
      <c r="B1178" s="1" t="n">
        <v>45121</v>
      </c>
      <c r="C1178" s="1" t="n">
        <v>45340</v>
      </c>
      <c r="D1178" t="inlineStr">
        <is>
          <t>UPPSALA LÄN</t>
        </is>
      </c>
      <c r="E1178" t="inlineStr">
        <is>
          <t>UPPSALA</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32688-2023</t>
        </is>
      </c>
      <c r="B1179" s="1" t="n">
        <v>45121</v>
      </c>
      <c r="C1179" s="1" t="n">
        <v>45340</v>
      </c>
      <c r="D1179" t="inlineStr">
        <is>
          <t>UPPSALA LÄN</t>
        </is>
      </c>
      <c r="E1179" t="inlineStr">
        <is>
          <t>UPPSALA</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32755-2023</t>
        </is>
      </c>
      <c r="B1180" s="1" t="n">
        <v>45123</v>
      </c>
      <c r="C1180" s="1" t="n">
        <v>45340</v>
      </c>
      <c r="D1180" t="inlineStr">
        <is>
          <t>UPPSALA LÄN</t>
        </is>
      </c>
      <c r="E1180" t="inlineStr">
        <is>
          <t>UPPSALA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33191-2023</t>
        </is>
      </c>
      <c r="B1181" s="1" t="n">
        <v>45127</v>
      </c>
      <c r="C1181" s="1" t="n">
        <v>45340</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33189-2023</t>
        </is>
      </c>
      <c r="B1182" s="1" t="n">
        <v>45127</v>
      </c>
      <c r="C1182" s="1" t="n">
        <v>45340</v>
      </c>
      <c r="D1182" t="inlineStr">
        <is>
          <t>UPPSALA LÄN</t>
        </is>
      </c>
      <c r="E1182" t="inlineStr">
        <is>
          <t>UPPSALA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34282-2023</t>
        </is>
      </c>
      <c r="B1183" s="1" t="n">
        <v>45128</v>
      </c>
      <c r="C1183" s="1" t="n">
        <v>45340</v>
      </c>
      <c r="D1183" t="inlineStr">
        <is>
          <t>UPPSALA LÄN</t>
        </is>
      </c>
      <c r="E1183" t="inlineStr">
        <is>
          <t>UPPSALA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33562-2023</t>
        </is>
      </c>
      <c r="B1184" s="1" t="n">
        <v>45131</v>
      </c>
      <c r="C1184" s="1" t="n">
        <v>45340</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33700-2023</t>
        </is>
      </c>
      <c r="B1185" s="1" t="n">
        <v>45132</v>
      </c>
      <c r="C1185" s="1" t="n">
        <v>45340</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34509-2023</t>
        </is>
      </c>
      <c r="B1186" s="1" t="n">
        <v>45133</v>
      </c>
      <c r="C1186" s="1" t="n">
        <v>45340</v>
      </c>
      <c r="D1186" t="inlineStr">
        <is>
          <t>UPPSALA LÄN</t>
        </is>
      </c>
      <c r="E1186" t="inlineStr">
        <is>
          <t>UPPSALA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33941-2023</t>
        </is>
      </c>
      <c r="B1187" s="1" t="n">
        <v>45134</v>
      </c>
      <c r="C1187" s="1" t="n">
        <v>45340</v>
      </c>
      <c r="D1187" t="inlineStr">
        <is>
          <t>UPPSALA LÄN</t>
        </is>
      </c>
      <c r="E1187" t="inlineStr">
        <is>
          <t>UPPSALA</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33982-2023</t>
        </is>
      </c>
      <c r="B1188" s="1" t="n">
        <v>45134</v>
      </c>
      <c r="C1188" s="1" t="n">
        <v>45340</v>
      </c>
      <c r="D1188" t="inlineStr">
        <is>
          <t>UPPSALA LÄN</t>
        </is>
      </c>
      <c r="E1188" t="inlineStr">
        <is>
          <t>UPPSALA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35142-2023</t>
        </is>
      </c>
      <c r="B1189" s="1" t="n">
        <v>45145</v>
      </c>
      <c r="C1189" s="1" t="n">
        <v>45340</v>
      </c>
      <c r="D1189" t="inlineStr">
        <is>
          <t>UPPSALA LÄN</t>
        </is>
      </c>
      <c r="E1189" t="inlineStr">
        <is>
          <t>UPPSALA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35471-2023</t>
        </is>
      </c>
      <c r="B1190" s="1" t="n">
        <v>45146</v>
      </c>
      <c r="C1190" s="1" t="n">
        <v>45340</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35472-2023</t>
        </is>
      </c>
      <c r="B1191" s="1" t="n">
        <v>45146</v>
      </c>
      <c r="C1191" s="1" t="n">
        <v>45340</v>
      </c>
      <c r="D1191" t="inlineStr">
        <is>
          <t>UPPSALA LÄN</t>
        </is>
      </c>
      <c r="E1191" t="inlineStr">
        <is>
          <t>UPPSALA</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35473-2023</t>
        </is>
      </c>
      <c r="B1192" s="1" t="n">
        <v>45146</v>
      </c>
      <c r="C1192" s="1" t="n">
        <v>45340</v>
      </c>
      <c r="D1192" t="inlineStr">
        <is>
          <t>UPPSALA LÄN</t>
        </is>
      </c>
      <c r="E1192" t="inlineStr">
        <is>
          <t>UPPSALA</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35549-2023</t>
        </is>
      </c>
      <c r="B1193" s="1" t="n">
        <v>45147</v>
      </c>
      <c r="C1193" s="1" t="n">
        <v>45340</v>
      </c>
      <c r="D1193" t="inlineStr">
        <is>
          <t>UPPSALA LÄN</t>
        </is>
      </c>
      <c r="E1193" t="inlineStr">
        <is>
          <t>UPPSALA</t>
        </is>
      </c>
      <c r="F1193" t="inlineStr">
        <is>
          <t>Allmännings- och besparingsskogar</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35902-2023</t>
        </is>
      </c>
      <c r="B1194" s="1" t="n">
        <v>45148</v>
      </c>
      <c r="C1194" s="1" t="n">
        <v>45340</v>
      </c>
      <c r="D1194" t="inlineStr">
        <is>
          <t>UPPSALA LÄN</t>
        </is>
      </c>
      <c r="E1194" t="inlineStr">
        <is>
          <t>UPPSALA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35906-2023</t>
        </is>
      </c>
      <c r="B1195" s="1" t="n">
        <v>45148</v>
      </c>
      <c r="C1195" s="1" t="n">
        <v>45340</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35914-2023</t>
        </is>
      </c>
      <c r="B1196" s="1" t="n">
        <v>45148</v>
      </c>
      <c r="C1196" s="1" t="n">
        <v>45340</v>
      </c>
      <c r="D1196" t="inlineStr">
        <is>
          <t>UPPSALA LÄN</t>
        </is>
      </c>
      <c r="E1196" t="inlineStr">
        <is>
          <t>UPPSALA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35922-2023</t>
        </is>
      </c>
      <c r="B1197" s="1" t="n">
        <v>45148</v>
      </c>
      <c r="C1197" s="1" t="n">
        <v>45340</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35916-2023</t>
        </is>
      </c>
      <c r="B1198" s="1" t="n">
        <v>45148</v>
      </c>
      <c r="C1198" s="1" t="n">
        <v>45340</v>
      </c>
      <c r="D1198" t="inlineStr">
        <is>
          <t>UPPSALA LÄN</t>
        </is>
      </c>
      <c r="E1198" t="inlineStr">
        <is>
          <t>UPPSALA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36028-2023</t>
        </is>
      </c>
      <c r="B1199" s="1" t="n">
        <v>45149</v>
      </c>
      <c r="C1199" s="1" t="n">
        <v>45340</v>
      </c>
      <c r="D1199" t="inlineStr">
        <is>
          <t>UPPSALA LÄN</t>
        </is>
      </c>
      <c r="E1199" t="inlineStr">
        <is>
          <t>UPPSALA</t>
        </is>
      </c>
      <c r="F1199" t="inlineStr">
        <is>
          <t>Allmännings- och besparingsskogar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36123-2023</t>
        </is>
      </c>
      <c r="B1200" s="1" t="n">
        <v>45149</v>
      </c>
      <c r="C1200" s="1" t="n">
        <v>45340</v>
      </c>
      <c r="D1200" t="inlineStr">
        <is>
          <t>UPPSALA LÄN</t>
        </is>
      </c>
      <c r="E1200" t="inlineStr">
        <is>
          <t>UPPSALA</t>
        </is>
      </c>
      <c r="F1200" t="inlineStr">
        <is>
          <t>Allmännings- och besparingsskogar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36159-2023</t>
        </is>
      </c>
      <c r="B1201" s="1" t="n">
        <v>45149</v>
      </c>
      <c r="C1201" s="1" t="n">
        <v>45340</v>
      </c>
      <c r="D1201" t="inlineStr">
        <is>
          <t>UPPSALA LÄN</t>
        </is>
      </c>
      <c r="E1201" t="inlineStr">
        <is>
          <t>UPPSALA</t>
        </is>
      </c>
      <c r="F1201" t="inlineStr">
        <is>
          <t>Övriga statliga verk och myndigheter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36388-2023</t>
        </is>
      </c>
      <c r="B1202" s="1" t="n">
        <v>45152</v>
      </c>
      <c r="C1202" s="1" t="n">
        <v>45340</v>
      </c>
      <c r="D1202" t="inlineStr">
        <is>
          <t>UPPSALA LÄN</t>
        </is>
      </c>
      <c r="E1202" t="inlineStr">
        <is>
          <t>UPPSALA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36392-2023</t>
        </is>
      </c>
      <c r="B1203" s="1" t="n">
        <v>45152</v>
      </c>
      <c r="C1203" s="1" t="n">
        <v>45340</v>
      </c>
      <c r="D1203" t="inlineStr">
        <is>
          <t>UPPSALA LÄN</t>
        </is>
      </c>
      <c r="E1203" t="inlineStr">
        <is>
          <t>UPPSALA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36479-2023</t>
        </is>
      </c>
      <c r="B1204" s="1" t="n">
        <v>45152</v>
      </c>
      <c r="C1204" s="1" t="n">
        <v>45340</v>
      </c>
      <c r="D1204" t="inlineStr">
        <is>
          <t>UPPSALA LÄN</t>
        </is>
      </c>
      <c r="E1204" t="inlineStr">
        <is>
          <t>UPPSALA</t>
        </is>
      </c>
      <c r="F1204" t="inlineStr">
        <is>
          <t>Allmännings- och besparingsskogar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36478-2023</t>
        </is>
      </c>
      <c r="B1205" s="1" t="n">
        <v>45152</v>
      </c>
      <c r="C1205" s="1" t="n">
        <v>45340</v>
      </c>
      <c r="D1205" t="inlineStr">
        <is>
          <t>UPPSALA LÄN</t>
        </is>
      </c>
      <c r="E1205" t="inlineStr">
        <is>
          <t>UPPSALA</t>
        </is>
      </c>
      <c r="F1205" t="inlineStr">
        <is>
          <t>Allmännings- och besparingsskogar</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36438-2023</t>
        </is>
      </c>
      <c r="B1206" s="1" t="n">
        <v>45152</v>
      </c>
      <c r="C1206" s="1" t="n">
        <v>45340</v>
      </c>
      <c r="D1206" t="inlineStr">
        <is>
          <t>UPPSALA LÄN</t>
        </is>
      </c>
      <c r="E1206" t="inlineStr">
        <is>
          <t>UPPSALA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36738-2023</t>
        </is>
      </c>
      <c r="B1207" s="1" t="n">
        <v>45153</v>
      </c>
      <c r="C1207" s="1" t="n">
        <v>45340</v>
      </c>
      <c r="D1207" t="inlineStr">
        <is>
          <t>UPPSALA LÄN</t>
        </is>
      </c>
      <c r="E1207" t="inlineStr">
        <is>
          <t>UPPSALA</t>
        </is>
      </c>
      <c r="F1207" t="inlineStr">
        <is>
          <t>Allmännings- och besparingsskogar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36739-2023</t>
        </is>
      </c>
      <c r="B1208" s="1" t="n">
        <v>45153</v>
      </c>
      <c r="C1208" s="1" t="n">
        <v>45340</v>
      </c>
      <c r="D1208" t="inlineStr">
        <is>
          <t>UPPSALA LÄN</t>
        </is>
      </c>
      <c r="E1208" t="inlineStr">
        <is>
          <t>UPPSALA</t>
        </is>
      </c>
      <c r="F1208" t="inlineStr">
        <is>
          <t>Allmännings- och besparingsskogar</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36781-2023</t>
        </is>
      </c>
      <c r="B1209" s="1" t="n">
        <v>45154</v>
      </c>
      <c r="C1209" s="1" t="n">
        <v>45340</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36782-2023</t>
        </is>
      </c>
      <c r="B1210" s="1" t="n">
        <v>45154</v>
      </c>
      <c r="C1210" s="1" t="n">
        <v>45340</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36860-2023</t>
        </is>
      </c>
      <c r="B1211" s="1" t="n">
        <v>45154</v>
      </c>
      <c r="C1211" s="1" t="n">
        <v>45340</v>
      </c>
      <c r="D1211" t="inlineStr">
        <is>
          <t>UPPSALA LÄN</t>
        </is>
      </c>
      <c r="E1211" t="inlineStr">
        <is>
          <t>UPPSALA</t>
        </is>
      </c>
      <c r="F1211" t="inlineStr">
        <is>
          <t>Allmännings- och besparingsskogar</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37626-2023</t>
        </is>
      </c>
      <c r="B1212" s="1" t="n">
        <v>45159</v>
      </c>
      <c r="C1212" s="1" t="n">
        <v>45340</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37618-2023</t>
        </is>
      </c>
      <c r="B1213" s="1" t="n">
        <v>45159</v>
      </c>
      <c r="C1213" s="1" t="n">
        <v>45340</v>
      </c>
      <c r="D1213" t="inlineStr">
        <is>
          <t>UPPSALA LÄN</t>
        </is>
      </c>
      <c r="E1213" t="inlineStr">
        <is>
          <t>UPPSALA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38016-2023</t>
        </is>
      </c>
      <c r="B1214" s="1" t="n">
        <v>45160</v>
      </c>
      <c r="C1214" s="1" t="n">
        <v>45340</v>
      </c>
      <c r="D1214" t="inlineStr">
        <is>
          <t>UPPSALA LÄN</t>
        </is>
      </c>
      <c r="E1214" t="inlineStr">
        <is>
          <t>UPPSALA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38190-2023</t>
        </is>
      </c>
      <c r="B1215" s="1" t="n">
        <v>45161</v>
      </c>
      <c r="C1215" s="1" t="n">
        <v>45340</v>
      </c>
      <c r="D1215" t="inlineStr">
        <is>
          <t>UPPSALA LÄN</t>
        </is>
      </c>
      <c r="E1215" t="inlineStr">
        <is>
          <t>UPPSALA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38493-2023</t>
        </is>
      </c>
      <c r="B1216" s="1" t="n">
        <v>45162</v>
      </c>
      <c r="C1216" s="1" t="n">
        <v>45340</v>
      </c>
      <c r="D1216" t="inlineStr">
        <is>
          <t>UPPSALA LÄN</t>
        </is>
      </c>
      <c r="E1216" t="inlineStr">
        <is>
          <t>UPPSALA</t>
        </is>
      </c>
      <c r="F1216" t="inlineStr">
        <is>
          <t>Allmännings- och besparingsskogar</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38644-2023</t>
        </is>
      </c>
      <c r="B1217" s="1" t="n">
        <v>45162</v>
      </c>
      <c r="C1217" s="1" t="n">
        <v>45340</v>
      </c>
      <c r="D1217" t="inlineStr">
        <is>
          <t>UPPSALA LÄN</t>
        </is>
      </c>
      <c r="E1217" t="inlineStr">
        <is>
          <t>UPPSALA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38645-2023</t>
        </is>
      </c>
      <c r="B1218" s="1" t="n">
        <v>45162</v>
      </c>
      <c r="C1218" s="1" t="n">
        <v>45340</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38664-2023</t>
        </is>
      </c>
      <c r="B1219" s="1" t="n">
        <v>45162</v>
      </c>
      <c r="C1219" s="1" t="n">
        <v>45340</v>
      </c>
      <c r="D1219" t="inlineStr">
        <is>
          <t>UPPSALA LÄN</t>
        </is>
      </c>
      <c r="E1219" t="inlineStr">
        <is>
          <t>UPPSALA</t>
        </is>
      </c>
      <c r="F1219" t="inlineStr">
        <is>
          <t>Bergvik skog öst AB</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38663-2023</t>
        </is>
      </c>
      <c r="B1220" s="1" t="n">
        <v>45162</v>
      </c>
      <c r="C1220" s="1" t="n">
        <v>45340</v>
      </c>
      <c r="D1220" t="inlineStr">
        <is>
          <t>UPPSALA LÄN</t>
        </is>
      </c>
      <c r="E1220" t="inlineStr">
        <is>
          <t>UPPSALA</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38665-2023</t>
        </is>
      </c>
      <c r="B1221" s="1" t="n">
        <v>45162</v>
      </c>
      <c r="C1221" s="1" t="n">
        <v>45340</v>
      </c>
      <c r="D1221" t="inlineStr">
        <is>
          <t>UPPSALA LÄN</t>
        </is>
      </c>
      <c r="E1221" t="inlineStr">
        <is>
          <t>UPPSALA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38661-2023</t>
        </is>
      </c>
      <c r="B1222" s="1" t="n">
        <v>45162</v>
      </c>
      <c r="C1222" s="1" t="n">
        <v>45340</v>
      </c>
      <c r="D1222" t="inlineStr">
        <is>
          <t>UPPSALA LÄN</t>
        </is>
      </c>
      <c r="E1222" t="inlineStr">
        <is>
          <t>UPPSALA</t>
        </is>
      </c>
      <c r="F1222" t="inlineStr">
        <is>
          <t>Bergvik skog öst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38643-2023</t>
        </is>
      </c>
      <c r="B1223" s="1" t="n">
        <v>45162</v>
      </c>
      <c r="C1223" s="1" t="n">
        <v>45340</v>
      </c>
      <c r="D1223" t="inlineStr">
        <is>
          <t>UPPSALA LÄN</t>
        </is>
      </c>
      <c r="E1223" t="inlineStr">
        <is>
          <t>UPPSALA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38934-2023</t>
        </is>
      </c>
      <c r="B1224" s="1" t="n">
        <v>45163</v>
      </c>
      <c r="C1224" s="1" t="n">
        <v>45340</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39108-2023</t>
        </is>
      </c>
      <c r="B1225" s="1" t="n">
        <v>45164</v>
      </c>
      <c r="C1225" s="1" t="n">
        <v>45340</v>
      </c>
      <c r="D1225" t="inlineStr">
        <is>
          <t>UPPSALA LÄN</t>
        </is>
      </c>
      <c r="E1225" t="inlineStr">
        <is>
          <t>UPPSALA</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39107-2023</t>
        </is>
      </c>
      <c r="B1226" s="1" t="n">
        <v>45164</v>
      </c>
      <c r="C1226" s="1" t="n">
        <v>45340</v>
      </c>
      <c r="D1226" t="inlineStr">
        <is>
          <t>UPPSALA LÄN</t>
        </is>
      </c>
      <c r="E1226" t="inlineStr">
        <is>
          <t>UPPSALA</t>
        </is>
      </c>
      <c r="F1226" t="inlineStr">
        <is>
          <t>Bergvik skog öst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39548-2023</t>
        </is>
      </c>
      <c r="B1227" s="1" t="n">
        <v>45167</v>
      </c>
      <c r="C1227" s="1" t="n">
        <v>45340</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39592-2023</t>
        </is>
      </c>
      <c r="B1228" s="1" t="n">
        <v>45167</v>
      </c>
      <c r="C1228" s="1" t="n">
        <v>45340</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39739-2023</t>
        </is>
      </c>
      <c r="B1229" s="1" t="n">
        <v>45167</v>
      </c>
      <c r="C1229" s="1" t="n">
        <v>45340</v>
      </c>
      <c r="D1229" t="inlineStr">
        <is>
          <t>UPPSALA LÄN</t>
        </is>
      </c>
      <c r="E1229" t="inlineStr">
        <is>
          <t>UPPSALA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39741-2023</t>
        </is>
      </c>
      <c r="B1230" s="1" t="n">
        <v>45167</v>
      </c>
      <c r="C1230" s="1" t="n">
        <v>45340</v>
      </c>
      <c r="D1230" t="inlineStr">
        <is>
          <t>UPPSALA LÄN</t>
        </is>
      </c>
      <c r="E1230" t="inlineStr">
        <is>
          <t>UPPSALA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39926-2023</t>
        </is>
      </c>
      <c r="B1231" s="1" t="n">
        <v>45168</v>
      </c>
      <c r="C1231" s="1" t="n">
        <v>45340</v>
      </c>
      <c r="D1231" t="inlineStr">
        <is>
          <t>UPPSALA LÄN</t>
        </is>
      </c>
      <c r="E1231" t="inlineStr">
        <is>
          <t>UPPSALA</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39918-2023</t>
        </is>
      </c>
      <c r="B1232" s="1" t="n">
        <v>45168</v>
      </c>
      <c r="C1232" s="1" t="n">
        <v>45340</v>
      </c>
      <c r="D1232" t="inlineStr">
        <is>
          <t>UPPSALA LÄN</t>
        </is>
      </c>
      <c r="E1232" t="inlineStr">
        <is>
          <t>UPPSALA</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40369-2023</t>
        </is>
      </c>
      <c r="B1233" s="1" t="n">
        <v>45169</v>
      </c>
      <c r="C1233" s="1" t="n">
        <v>45340</v>
      </c>
      <c r="D1233" t="inlineStr">
        <is>
          <t>UPPSALA LÄN</t>
        </is>
      </c>
      <c r="E1233" t="inlineStr">
        <is>
          <t>UPPSALA</t>
        </is>
      </c>
      <c r="F1233" t="inlineStr">
        <is>
          <t>Allmännings- och besparingsskogar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40312-2023</t>
        </is>
      </c>
      <c r="B1234" s="1" t="n">
        <v>45169</v>
      </c>
      <c r="C1234" s="1" t="n">
        <v>45340</v>
      </c>
      <c r="D1234" t="inlineStr">
        <is>
          <t>UPPSALA LÄN</t>
        </is>
      </c>
      <c r="E1234" t="inlineStr">
        <is>
          <t>UPPSALA</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40124-2023</t>
        </is>
      </c>
      <c r="B1235" s="1" t="n">
        <v>45169</v>
      </c>
      <c r="C1235" s="1" t="n">
        <v>45340</v>
      </c>
      <c r="D1235" t="inlineStr">
        <is>
          <t>UPPSALA LÄN</t>
        </is>
      </c>
      <c r="E1235" t="inlineStr">
        <is>
          <t>UPPSALA</t>
        </is>
      </c>
      <c r="F1235" t="inlineStr">
        <is>
          <t>Allmännings- och besparingsskogar</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40325-2023</t>
        </is>
      </c>
      <c r="B1236" s="1" t="n">
        <v>45169</v>
      </c>
      <c r="C1236" s="1" t="n">
        <v>45340</v>
      </c>
      <c r="D1236" t="inlineStr">
        <is>
          <t>UPPSALA LÄN</t>
        </is>
      </c>
      <c r="E1236" t="inlineStr">
        <is>
          <t>UPPSALA</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40872-2023</t>
        </is>
      </c>
      <c r="B1237" s="1" t="n">
        <v>45173</v>
      </c>
      <c r="C1237" s="1" t="n">
        <v>45340</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41002-2023</t>
        </is>
      </c>
      <c r="B1238" s="1" t="n">
        <v>45173</v>
      </c>
      <c r="C1238" s="1" t="n">
        <v>45340</v>
      </c>
      <c r="D1238" t="inlineStr">
        <is>
          <t>UPPSALA LÄN</t>
        </is>
      </c>
      <c r="E1238" t="inlineStr">
        <is>
          <t>UPPSALA</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41349-2023</t>
        </is>
      </c>
      <c r="B1239" s="1" t="n">
        <v>45174</v>
      </c>
      <c r="C1239" s="1" t="n">
        <v>45340</v>
      </c>
      <c r="D1239" t="inlineStr">
        <is>
          <t>UPPSALA LÄN</t>
        </is>
      </c>
      <c r="E1239" t="inlineStr">
        <is>
          <t>UPPSALA</t>
        </is>
      </c>
      <c r="F1239" t="inlineStr">
        <is>
          <t>Allmännings- och besparingsskogar</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41346-2023</t>
        </is>
      </c>
      <c r="B1240" s="1" t="n">
        <v>45174</v>
      </c>
      <c r="C1240" s="1" t="n">
        <v>45340</v>
      </c>
      <c r="D1240" t="inlineStr">
        <is>
          <t>UPPSALA LÄN</t>
        </is>
      </c>
      <c r="E1240" t="inlineStr">
        <is>
          <t>UPPSALA</t>
        </is>
      </c>
      <c r="F1240" t="inlineStr">
        <is>
          <t>Allmännings- och besparingsskogar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41506-2023</t>
        </is>
      </c>
      <c r="B1241" s="1" t="n">
        <v>45175</v>
      </c>
      <c r="C1241" s="1" t="n">
        <v>45340</v>
      </c>
      <c r="D1241" t="inlineStr">
        <is>
          <t>UPPSALA LÄN</t>
        </is>
      </c>
      <c r="E1241" t="inlineStr">
        <is>
          <t>UPPSALA</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41541-2023</t>
        </is>
      </c>
      <c r="B1242" s="1" t="n">
        <v>45175</v>
      </c>
      <c r="C1242" s="1" t="n">
        <v>45340</v>
      </c>
      <c r="D1242" t="inlineStr">
        <is>
          <t>UPPSALA LÄN</t>
        </is>
      </c>
      <c r="E1242" t="inlineStr">
        <is>
          <t>UPPSALA</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41545-2023</t>
        </is>
      </c>
      <c r="B1243" s="1" t="n">
        <v>45175</v>
      </c>
      <c r="C1243" s="1" t="n">
        <v>45340</v>
      </c>
      <c r="D1243" t="inlineStr">
        <is>
          <t>UPPSALA LÄN</t>
        </is>
      </c>
      <c r="E1243" t="inlineStr">
        <is>
          <t>UPPSALA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41422-2023</t>
        </is>
      </c>
      <c r="B1244" s="1" t="n">
        <v>45175</v>
      </c>
      <c r="C1244" s="1" t="n">
        <v>45340</v>
      </c>
      <c r="D1244" t="inlineStr">
        <is>
          <t>UPPSALA LÄN</t>
        </is>
      </c>
      <c r="E1244" t="inlineStr">
        <is>
          <t>UPPSALA</t>
        </is>
      </c>
      <c r="F1244" t="inlineStr">
        <is>
          <t>Kyrkan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41538-2023</t>
        </is>
      </c>
      <c r="B1245" s="1" t="n">
        <v>45175</v>
      </c>
      <c r="C1245" s="1" t="n">
        <v>45340</v>
      </c>
      <c r="D1245" t="inlineStr">
        <is>
          <t>UPPSALA LÄN</t>
        </is>
      </c>
      <c r="E1245" t="inlineStr">
        <is>
          <t>UPPSALA</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42283-2023</t>
        </is>
      </c>
      <c r="B1246" s="1" t="n">
        <v>45175</v>
      </c>
      <c r="C1246" s="1" t="n">
        <v>45340</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41669-2023</t>
        </is>
      </c>
      <c r="B1247" s="1" t="n">
        <v>45176</v>
      </c>
      <c r="C1247" s="1" t="n">
        <v>45340</v>
      </c>
      <c r="D1247" t="inlineStr">
        <is>
          <t>UPPSALA LÄN</t>
        </is>
      </c>
      <c r="E1247" t="inlineStr">
        <is>
          <t>UPPSALA</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41802-2023</t>
        </is>
      </c>
      <c r="B1248" s="1" t="n">
        <v>45176</v>
      </c>
      <c r="C1248" s="1" t="n">
        <v>45340</v>
      </c>
      <c r="D1248" t="inlineStr">
        <is>
          <t>UPPSALA LÄN</t>
        </is>
      </c>
      <c r="E1248" t="inlineStr">
        <is>
          <t>UPPSALA</t>
        </is>
      </c>
      <c r="G1248" t="n">
        <v>23.9</v>
      </c>
      <c r="H1248" t="n">
        <v>0</v>
      </c>
      <c r="I1248" t="n">
        <v>0</v>
      </c>
      <c r="J1248" t="n">
        <v>0</v>
      </c>
      <c r="K1248" t="n">
        <v>0</v>
      </c>
      <c r="L1248" t="n">
        <v>0</v>
      </c>
      <c r="M1248" t="n">
        <v>0</v>
      </c>
      <c r="N1248" t="n">
        <v>0</v>
      </c>
      <c r="O1248" t="n">
        <v>0</v>
      </c>
      <c r="P1248" t="n">
        <v>0</v>
      </c>
      <c r="Q1248" t="n">
        <v>0</v>
      </c>
      <c r="R1248" s="2" t="inlineStr"/>
    </row>
    <row r="1249" ht="15" customHeight="1">
      <c r="A1249" t="inlineStr">
        <is>
          <t>A 41816-2023</t>
        </is>
      </c>
      <c r="B1249" s="1" t="n">
        <v>45176</v>
      </c>
      <c r="C1249" s="1" t="n">
        <v>45340</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41950-2023</t>
        </is>
      </c>
      <c r="B1250" s="1" t="n">
        <v>45177</v>
      </c>
      <c r="C1250" s="1" t="n">
        <v>45340</v>
      </c>
      <c r="D1250" t="inlineStr">
        <is>
          <t>UPPSALA LÄN</t>
        </is>
      </c>
      <c r="E1250" t="inlineStr">
        <is>
          <t>UPPSALA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42134-2023</t>
        </is>
      </c>
      <c r="B1251" s="1" t="n">
        <v>45177</v>
      </c>
      <c r="C1251" s="1" t="n">
        <v>45340</v>
      </c>
      <c r="D1251" t="inlineStr">
        <is>
          <t>UPPSALA LÄN</t>
        </is>
      </c>
      <c r="E1251" t="inlineStr">
        <is>
          <t>UPPSALA</t>
        </is>
      </c>
      <c r="F1251" t="inlineStr">
        <is>
          <t>Allmännings- och besparingsskogar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42063-2023</t>
        </is>
      </c>
      <c r="B1252" s="1" t="n">
        <v>45177</v>
      </c>
      <c r="C1252" s="1" t="n">
        <v>45340</v>
      </c>
      <c r="D1252" t="inlineStr">
        <is>
          <t>UPPSALA LÄN</t>
        </is>
      </c>
      <c r="E1252" t="inlineStr">
        <is>
          <t>UPPSALA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42131-2023</t>
        </is>
      </c>
      <c r="B1253" s="1" t="n">
        <v>45177</v>
      </c>
      <c r="C1253" s="1" t="n">
        <v>45340</v>
      </c>
      <c r="D1253" t="inlineStr">
        <is>
          <t>UPPSALA LÄN</t>
        </is>
      </c>
      <c r="E1253" t="inlineStr">
        <is>
          <t>UPPSALA</t>
        </is>
      </c>
      <c r="F1253" t="inlineStr">
        <is>
          <t>Allmännings- och besparingsskogar</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42273-2023</t>
        </is>
      </c>
      <c r="B1254" s="1" t="n">
        <v>45180</v>
      </c>
      <c r="C1254" s="1" t="n">
        <v>45340</v>
      </c>
      <c r="D1254" t="inlineStr">
        <is>
          <t>UPPSALA LÄN</t>
        </is>
      </c>
      <c r="E1254" t="inlineStr">
        <is>
          <t>UPPSALA</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42436-2023</t>
        </is>
      </c>
      <c r="B1255" s="1" t="n">
        <v>45180</v>
      </c>
      <c r="C1255" s="1" t="n">
        <v>45340</v>
      </c>
      <c r="D1255" t="inlineStr">
        <is>
          <t>UPPSALA LÄN</t>
        </is>
      </c>
      <c r="E1255" t="inlineStr">
        <is>
          <t>UPPSALA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42282-2023</t>
        </is>
      </c>
      <c r="B1256" s="1" t="n">
        <v>45180</v>
      </c>
      <c r="C1256" s="1" t="n">
        <v>45340</v>
      </c>
      <c r="D1256" t="inlineStr">
        <is>
          <t>UPPSALA LÄN</t>
        </is>
      </c>
      <c r="E1256" t="inlineStr">
        <is>
          <t>UPPSALA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42274-2023</t>
        </is>
      </c>
      <c r="B1257" s="1" t="n">
        <v>45180</v>
      </c>
      <c r="C1257" s="1" t="n">
        <v>45340</v>
      </c>
      <c r="D1257" t="inlineStr">
        <is>
          <t>UPPSALA LÄN</t>
        </is>
      </c>
      <c r="E1257" t="inlineStr">
        <is>
          <t>UPPSALA</t>
        </is>
      </c>
      <c r="F1257" t="inlineStr">
        <is>
          <t>Bergvik skog öst AB</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42285-2023</t>
        </is>
      </c>
      <c r="B1258" s="1" t="n">
        <v>45180</v>
      </c>
      <c r="C1258" s="1" t="n">
        <v>45340</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42376-2023</t>
        </is>
      </c>
      <c r="B1259" s="1" t="n">
        <v>45180</v>
      </c>
      <c r="C1259" s="1" t="n">
        <v>45340</v>
      </c>
      <c r="D1259" t="inlineStr">
        <is>
          <t>UPPSALA LÄN</t>
        </is>
      </c>
      <c r="E1259" t="inlineStr">
        <is>
          <t>UPPSALA</t>
        </is>
      </c>
      <c r="F1259" t="inlineStr">
        <is>
          <t>Bergvik skog öst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42495-2023</t>
        </is>
      </c>
      <c r="B1260" s="1" t="n">
        <v>45180</v>
      </c>
      <c r="C1260" s="1" t="n">
        <v>45340</v>
      </c>
      <c r="D1260" t="inlineStr">
        <is>
          <t>UPPSALA LÄN</t>
        </is>
      </c>
      <c r="E1260" t="inlineStr">
        <is>
          <t>UPPSALA</t>
        </is>
      </c>
      <c r="F1260" t="inlineStr">
        <is>
          <t>Allmännings- och besparingsskogar</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42379-2023</t>
        </is>
      </c>
      <c r="B1261" s="1" t="n">
        <v>45180</v>
      </c>
      <c r="C1261" s="1" t="n">
        <v>45340</v>
      </c>
      <c r="D1261" t="inlineStr">
        <is>
          <t>UPPSALA LÄN</t>
        </is>
      </c>
      <c r="E1261" t="inlineStr">
        <is>
          <t>UPPSALA</t>
        </is>
      </c>
      <c r="F1261" t="inlineStr">
        <is>
          <t>Bergvik skog öst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42528-2023</t>
        </is>
      </c>
      <c r="B1262" s="1" t="n">
        <v>45181</v>
      </c>
      <c r="C1262" s="1" t="n">
        <v>45340</v>
      </c>
      <c r="D1262" t="inlineStr">
        <is>
          <t>UPPSALA LÄN</t>
        </is>
      </c>
      <c r="E1262" t="inlineStr">
        <is>
          <t>UPPSALA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42630-2023</t>
        </is>
      </c>
      <c r="B1263" s="1" t="n">
        <v>45181</v>
      </c>
      <c r="C1263" s="1" t="n">
        <v>45340</v>
      </c>
      <c r="D1263" t="inlineStr">
        <is>
          <t>UPPSALA LÄN</t>
        </is>
      </c>
      <c r="E1263" t="inlineStr">
        <is>
          <t>UPPSALA</t>
        </is>
      </c>
      <c r="F1263" t="inlineStr">
        <is>
          <t>Holmen skog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42681-2023</t>
        </is>
      </c>
      <c r="B1264" s="1" t="n">
        <v>45181</v>
      </c>
      <c r="C1264" s="1" t="n">
        <v>45340</v>
      </c>
      <c r="D1264" t="inlineStr">
        <is>
          <t>UPPSALA LÄN</t>
        </is>
      </c>
      <c r="E1264" t="inlineStr">
        <is>
          <t>UPPSALA</t>
        </is>
      </c>
      <c r="F1264" t="inlineStr">
        <is>
          <t>Bergvik skog öst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v>
      </c>
      <c r="C1265" s="1" t="n">
        <v>45340</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42730-2023</t>
        </is>
      </c>
      <c r="B1266" s="1" t="n">
        <v>45181</v>
      </c>
      <c r="C1266" s="1" t="n">
        <v>45340</v>
      </c>
      <c r="D1266" t="inlineStr">
        <is>
          <t>UPPSALA LÄN</t>
        </is>
      </c>
      <c r="E1266" t="inlineStr">
        <is>
          <t>UPPSALA</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42734-2023</t>
        </is>
      </c>
      <c r="B1267" s="1" t="n">
        <v>45181</v>
      </c>
      <c r="C1267" s="1" t="n">
        <v>45340</v>
      </c>
      <c r="D1267" t="inlineStr">
        <is>
          <t>UPPSALA LÄN</t>
        </is>
      </c>
      <c r="E1267" t="inlineStr">
        <is>
          <t>UPPSALA</t>
        </is>
      </c>
      <c r="F1267" t="inlineStr">
        <is>
          <t>Bergvik skog öst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42682-2023</t>
        </is>
      </c>
      <c r="B1268" s="1" t="n">
        <v>45181</v>
      </c>
      <c r="C1268" s="1" t="n">
        <v>45340</v>
      </c>
      <c r="D1268" t="inlineStr">
        <is>
          <t>UPPSALA LÄN</t>
        </is>
      </c>
      <c r="E1268" t="inlineStr">
        <is>
          <t>UPPSALA</t>
        </is>
      </c>
      <c r="F1268" t="inlineStr">
        <is>
          <t>Bergvik skog öst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42722-2023</t>
        </is>
      </c>
      <c r="B1269" s="1" t="n">
        <v>45181</v>
      </c>
      <c r="C1269" s="1" t="n">
        <v>45340</v>
      </c>
      <c r="D1269" t="inlineStr">
        <is>
          <t>UPPSALA LÄN</t>
        </is>
      </c>
      <c r="E1269" t="inlineStr">
        <is>
          <t>UPPSALA</t>
        </is>
      </c>
      <c r="F1269" t="inlineStr">
        <is>
          <t>Holmen skog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42756-2023</t>
        </is>
      </c>
      <c r="B1270" s="1" t="n">
        <v>45181</v>
      </c>
      <c r="C1270" s="1" t="n">
        <v>45340</v>
      </c>
      <c r="D1270" t="inlineStr">
        <is>
          <t>UPPSALA LÄN</t>
        </is>
      </c>
      <c r="E1270" t="inlineStr">
        <is>
          <t>UPPSALA</t>
        </is>
      </c>
      <c r="F1270" t="inlineStr">
        <is>
          <t>Holmen skog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42971-2023</t>
        </is>
      </c>
      <c r="B1271" s="1" t="n">
        <v>45182</v>
      </c>
      <c r="C1271" s="1" t="n">
        <v>45340</v>
      </c>
      <c r="D1271" t="inlineStr">
        <is>
          <t>UPPSALA LÄN</t>
        </is>
      </c>
      <c r="E1271" t="inlineStr">
        <is>
          <t>UPPSALA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43026-2023</t>
        </is>
      </c>
      <c r="B1272" s="1" t="n">
        <v>45182</v>
      </c>
      <c r="C1272" s="1" t="n">
        <v>45340</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42963-2023</t>
        </is>
      </c>
      <c r="B1273" s="1" t="n">
        <v>45182</v>
      </c>
      <c r="C1273" s="1" t="n">
        <v>45340</v>
      </c>
      <c r="D1273" t="inlineStr">
        <is>
          <t>UPPSALA LÄN</t>
        </is>
      </c>
      <c r="E1273" t="inlineStr">
        <is>
          <t>UPPSALA</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42967-2023</t>
        </is>
      </c>
      <c r="B1274" s="1" t="n">
        <v>45182</v>
      </c>
      <c r="C1274" s="1" t="n">
        <v>45340</v>
      </c>
      <c r="D1274" t="inlineStr">
        <is>
          <t>UPPSALA LÄN</t>
        </is>
      </c>
      <c r="E1274" t="inlineStr">
        <is>
          <t>UPPSALA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43031-2023</t>
        </is>
      </c>
      <c r="B1275" s="1" t="n">
        <v>45182</v>
      </c>
      <c r="C1275" s="1" t="n">
        <v>45340</v>
      </c>
      <c r="D1275" t="inlineStr">
        <is>
          <t>UPPSALA LÄN</t>
        </is>
      </c>
      <c r="E1275" t="inlineStr">
        <is>
          <t>UPPSALA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43035-2023</t>
        </is>
      </c>
      <c r="B1276" s="1" t="n">
        <v>45182</v>
      </c>
      <c r="C1276" s="1" t="n">
        <v>45340</v>
      </c>
      <c r="D1276" t="inlineStr">
        <is>
          <t>UPPSALA LÄN</t>
        </is>
      </c>
      <c r="E1276" t="inlineStr">
        <is>
          <t>UPPSALA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43049-2023</t>
        </is>
      </c>
      <c r="B1277" s="1" t="n">
        <v>45182</v>
      </c>
      <c r="C1277" s="1" t="n">
        <v>45340</v>
      </c>
      <c r="D1277" t="inlineStr">
        <is>
          <t>UPPSALA LÄN</t>
        </is>
      </c>
      <c r="E1277" t="inlineStr">
        <is>
          <t>UPPSALA</t>
        </is>
      </c>
      <c r="F1277" t="inlineStr">
        <is>
          <t>Allmännings- och besparingsskogar</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42974-2023</t>
        </is>
      </c>
      <c r="B1278" s="1" t="n">
        <v>45182</v>
      </c>
      <c r="C1278" s="1" t="n">
        <v>45340</v>
      </c>
      <c r="D1278" t="inlineStr">
        <is>
          <t>UPPSALA LÄN</t>
        </is>
      </c>
      <c r="E1278" t="inlineStr">
        <is>
          <t>UPPSALA</t>
        </is>
      </c>
      <c r="F1278" t="inlineStr">
        <is>
          <t>Sveaskog</t>
        </is>
      </c>
      <c r="G1278" t="n">
        <v>3.7</v>
      </c>
      <c r="H1278" t="n">
        <v>0</v>
      </c>
      <c r="I1278" t="n">
        <v>0</v>
      </c>
      <c r="J1278" t="n">
        <v>0</v>
      </c>
      <c r="K1278" t="n">
        <v>0</v>
      </c>
      <c r="L1278" t="n">
        <v>0</v>
      </c>
      <c r="M1278" t="n">
        <v>0</v>
      </c>
      <c r="N1278" t="n">
        <v>0</v>
      </c>
      <c r="O1278" t="n">
        <v>0</v>
      </c>
      <c r="P1278" t="n">
        <v>0</v>
      </c>
      <c r="Q1278" t="n">
        <v>0</v>
      </c>
      <c r="R1278" s="2" t="inlineStr"/>
      <c r="U1278">
        <f>HYPERLINK("https://klasma.github.io/Logging_0380/knärot/A 42974-2023 karta knärot.png", "A 42974-2023")</f>
        <v/>
      </c>
      <c r="V1278">
        <f>HYPERLINK("https://klasma.github.io/Logging_0380/klagomål/A 42974-2023 FSC-klagomål.docx", "A 42974-2023")</f>
        <v/>
      </c>
      <c r="W1278">
        <f>HYPERLINK("https://klasma.github.io/Logging_0380/klagomålsmail/A 42974-2023 FSC-klagomål mail.docx", "A 42974-2023")</f>
        <v/>
      </c>
      <c r="X1278">
        <f>HYPERLINK("https://klasma.github.io/Logging_0380/tillsyn/A 42974-2023 tillsynsbegäran.docx", "A 42974-2023")</f>
        <v/>
      </c>
      <c r="Y1278">
        <f>HYPERLINK("https://klasma.github.io/Logging_0380/tillsynsmail/A 42974-2023 tillsynsbegäran mail.docx", "A 42974-2023")</f>
        <v/>
      </c>
    </row>
    <row r="1279" ht="15" customHeight="1">
      <c r="A1279" t="inlineStr">
        <is>
          <t>A 42978-2023</t>
        </is>
      </c>
      <c r="B1279" s="1" t="n">
        <v>45182</v>
      </c>
      <c r="C1279" s="1" t="n">
        <v>45340</v>
      </c>
      <c r="D1279" t="inlineStr">
        <is>
          <t>UPPSALA LÄN</t>
        </is>
      </c>
      <c r="E1279" t="inlineStr">
        <is>
          <t>UPPSALA</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43029-2023</t>
        </is>
      </c>
      <c r="B1280" s="1" t="n">
        <v>45182</v>
      </c>
      <c r="C1280" s="1" t="n">
        <v>45340</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43818-2023</t>
        </is>
      </c>
      <c r="B1281" s="1" t="n">
        <v>45182</v>
      </c>
      <c r="C1281" s="1" t="n">
        <v>45340</v>
      </c>
      <c r="D1281" t="inlineStr">
        <is>
          <t>UPPSALA LÄN</t>
        </is>
      </c>
      <c r="E1281" t="inlineStr">
        <is>
          <t>UPPSALA</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43795-2023</t>
        </is>
      </c>
      <c r="B1282" s="1" t="n">
        <v>45182</v>
      </c>
      <c r="C1282" s="1" t="n">
        <v>45340</v>
      </c>
      <c r="D1282" t="inlineStr">
        <is>
          <t>UPPSALA LÄN</t>
        </is>
      </c>
      <c r="E1282" t="inlineStr">
        <is>
          <t>UPPSALA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43316-2023</t>
        </is>
      </c>
      <c r="B1283" s="1" t="n">
        <v>45183</v>
      </c>
      <c r="C1283" s="1" t="n">
        <v>45340</v>
      </c>
      <c r="D1283" t="inlineStr">
        <is>
          <t>UPPSALA LÄN</t>
        </is>
      </c>
      <c r="E1283" t="inlineStr">
        <is>
          <t>UPPSALA</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43944-2023</t>
        </is>
      </c>
      <c r="B1284" s="1" t="n">
        <v>45187</v>
      </c>
      <c r="C1284" s="1" t="n">
        <v>45340</v>
      </c>
      <c r="D1284" t="inlineStr">
        <is>
          <t>UPPSALA LÄN</t>
        </is>
      </c>
      <c r="E1284" t="inlineStr">
        <is>
          <t>UPPSALA</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43775-2023</t>
        </is>
      </c>
      <c r="B1285" s="1" t="n">
        <v>45187</v>
      </c>
      <c r="C1285" s="1" t="n">
        <v>45340</v>
      </c>
      <c r="D1285" t="inlineStr">
        <is>
          <t>UPPSALA LÄN</t>
        </is>
      </c>
      <c r="E1285" t="inlineStr">
        <is>
          <t>UPPSALA</t>
        </is>
      </c>
      <c r="F1285" t="inlineStr">
        <is>
          <t>Bergvik skog öst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43779-2023</t>
        </is>
      </c>
      <c r="B1286" s="1" t="n">
        <v>45187</v>
      </c>
      <c r="C1286" s="1" t="n">
        <v>45340</v>
      </c>
      <c r="D1286" t="inlineStr">
        <is>
          <t>UPPSALA LÄN</t>
        </is>
      </c>
      <c r="E1286" t="inlineStr">
        <is>
          <t>UPPSALA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43776-2023</t>
        </is>
      </c>
      <c r="B1287" s="1" t="n">
        <v>45187</v>
      </c>
      <c r="C1287" s="1" t="n">
        <v>45340</v>
      </c>
      <c r="D1287" t="inlineStr">
        <is>
          <t>UPPSALA LÄN</t>
        </is>
      </c>
      <c r="E1287" t="inlineStr">
        <is>
          <t>UPPSALA</t>
        </is>
      </c>
      <c r="F1287" t="inlineStr">
        <is>
          <t>Bergvik skog öst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43855-2023</t>
        </is>
      </c>
      <c r="B1288" s="1" t="n">
        <v>45187</v>
      </c>
      <c r="C1288" s="1" t="n">
        <v>45340</v>
      </c>
      <c r="D1288" t="inlineStr">
        <is>
          <t>UPPSALA LÄN</t>
        </is>
      </c>
      <c r="E1288" t="inlineStr">
        <is>
          <t>UPPSALA</t>
        </is>
      </c>
      <c r="F1288" t="inlineStr">
        <is>
          <t>Bergvik skog öst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43778-2023</t>
        </is>
      </c>
      <c r="B1289" s="1" t="n">
        <v>45187</v>
      </c>
      <c r="C1289" s="1" t="n">
        <v>45340</v>
      </c>
      <c r="D1289" t="inlineStr">
        <is>
          <t>UPPSALA LÄN</t>
        </is>
      </c>
      <c r="E1289" t="inlineStr">
        <is>
          <t>UPPSALA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44875-2023</t>
        </is>
      </c>
      <c r="B1290" s="1" t="n">
        <v>45187</v>
      </c>
      <c r="C1290" s="1" t="n">
        <v>45340</v>
      </c>
      <c r="D1290" t="inlineStr">
        <is>
          <t>UPPSALA LÄN</t>
        </is>
      </c>
      <c r="E1290" t="inlineStr">
        <is>
          <t>UPPSALA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44080-2023</t>
        </is>
      </c>
      <c r="B1291" s="1" t="n">
        <v>45188</v>
      </c>
      <c r="C1291" s="1" t="n">
        <v>45340</v>
      </c>
      <c r="D1291" t="inlineStr">
        <is>
          <t>UPPSALA LÄN</t>
        </is>
      </c>
      <c r="E1291" t="inlineStr">
        <is>
          <t>UPPSALA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44115-2023</t>
        </is>
      </c>
      <c r="B1292" s="1" t="n">
        <v>45188</v>
      </c>
      <c r="C1292" s="1" t="n">
        <v>45340</v>
      </c>
      <c r="D1292" t="inlineStr">
        <is>
          <t>UPPSALA LÄN</t>
        </is>
      </c>
      <c r="E1292" t="inlineStr">
        <is>
          <t>UPPSALA</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44232-2023</t>
        </is>
      </c>
      <c r="B1293" s="1" t="n">
        <v>45188</v>
      </c>
      <c r="C1293" s="1" t="n">
        <v>45340</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44105-2023</t>
        </is>
      </c>
      <c r="B1294" s="1" t="n">
        <v>45188</v>
      </c>
      <c r="C1294" s="1" t="n">
        <v>45340</v>
      </c>
      <c r="D1294" t="inlineStr">
        <is>
          <t>UPPSALA LÄN</t>
        </is>
      </c>
      <c r="E1294" t="inlineStr">
        <is>
          <t>UPPSALA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44333-2023</t>
        </is>
      </c>
      <c r="B1295" s="1" t="n">
        <v>45188</v>
      </c>
      <c r="C1295" s="1" t="n">
        <v>45340</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44337-2023</t>
        </is>
      </c>
      <c r="B1296" s="1" t="n">
        <v>45188</v>
      </c>
      <c r="C1296" s="1" t="n">
        <v>45340</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44257-2023</t>
        </is>
      </c>
      <c r="B1297" s="1" t="n">
        <v>45188</v>
      </c>
      <c r="C1297" s="1" t="n">
        <v>45340</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44815-2023</t>
        </is>
      </c>
      <c r="B1298" s="1" t="n">
        <v>45190</v>
      </c>
      <c r="C1298" s="1" t="n">
        <v>45340</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44830-2023</t>
        </is>
      </c>
      <c r="B1299" s="1" t="n">
        <v>45190</v>
      </c>
      <c r="C1299" s="1" t="n">
        <v>45340</v>
      </c>
      <c r="D1299" t="inlineStr">
        <is>
          <t>UPPSALA LÄN</t>
        </is>
      </c>
      <c r="E1299" t="inlineStr">
        <is>
          <t>UPPSALA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44785-2023</t>
        </is>
      </c>
      <c r="B1300" s="1" t="n">
        <v>45190</v>
      </c>
      <c r="C1300" s="1" t="n">
        <v>45340</v>
      </c>
      <c r="D1300" t="inlineStr">
        <is>
          <t>UPPSALA LÄN</t>
        </is>
      </c>
      <c r="E1300" t="inlineStr">
        <is>
          <t>UPPSALA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45244-2023</t>
        </is>
      </c>
      <c r="B1301" s="1" t="n">
        <v>45191</v>
      </c>
      <c r="C1301" s="1" t="n">
        <v>45340</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45223-2023</t>
        </is>
      </c>
      <c r="B1302" s="1" t="n">
        <v>45191</v>
      </c>
      <c r="C1302" s="1" t="n">
        <v>45340</v>
      </c>
      <c r="D1302" t="inlineStr">
        <is>
          <t>UPPSALA LÄN</t>
        </is>
      </c>
      <c r="E1302" t="inlineStr">
        <is>
          <t>UPPSALA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45489-2023</t>
        </is>
      </c>
      <c r="B1303" s="1" t="n">
        <v>45194</v>
      </c>
      <c r="C1303" s="1" t="n">
        <v>45340</v>
      </c>
      <c r="D1303" t="inlineStr">
        <is>
          <t>UPPSALA LÄN</t>
        </is>
      </c>
      <c r="E1303" t="inlineStr">
        <is>
          <t>UPPSALA</t>
        </is>
      </c>
      <c r="F1303" t="inlineStr">
        <is>
          <t>Allmännings- och besparingsskogar</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45575-2023</t>
        </is>
      </c>
      <c r="B1304" s="1" t="n">
        <v>45194</v>
      </c>
      <c r="C1304" s="1" t="n">
        <v>45340</v>
      </c>
      <c r="D1304" t="inlineStr">
        <is>
          <t>UPPSALA LÄN</t>
        </is>
      </c>
      <c r="E1304" t="inlineStr">
        <is>
          <t>UPPSALA</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45578-2023</t>
        </is>
      </c>
      <c r="B1305" s="1" t="n">
        <v>45194</v>
      </c>
      <c r="C1305" s="1" t="n">
        <v>45340</v>
      </c>
      <c r="D1305" t="inlineStr">
        <is>
          <t>UPPSALA LÄN</t>
        </is>
      </c>
      <c r="E1305" t="inlineStr">
        <is>
          <t>UPPSALA</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45592-2023</t>
        </is>
      </c>
      <c r="B1306" s="1" t="n">
        <v>45194</v>
      </c>
      <c r="C1306" s="1" t="n">
        <v>45340</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45662-2023</t>
        </is>
      </c>
      <c r="B1307" s="1" t="n">
        <v>45194</v>
      </c>
      <c r="C1307" s="1" t="n">
        <v>45340</v>
      </c>
      <c r="D1307" t="inlineStr">
        <is>
          <t>UPPSALA LÄN</t>
        </is>
      </c>
      <c r="E1307" t="inlineStr">
        <is>
          <t>UPPSALA</t>
        </is>
      </c>
      <c r="F1307" t="inlineStr">
        <is>
          <t>Bergvik skog öst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45661-2023</t>
        </is>
      </c>
      <c r="B1308" s="1" t="n">
        <v>45194</v>
      </c>
      <c r="C1308" s="1" t="n">
        <v>45340</v>
      </c>
      <c r="D1308" t="inlineStr">
        <is>
          <t>UPPSALA LÄN</t>
        </is>
      </c>
      <c r="E1308" t="inlineStr">
        <is>
          <t>UPPSALA</t>
        </is>
      </c>
      <c r="F1308" t="inlineStr">
        <is>
          <t>Bergvik skog öst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45892-2023</t>
        </is>
      </c>
      <c r="B1309" s="1" t="n">
        <v>45195</v>
      </c>
      <c r="C1309" s="1" t="n">
        <v>45340</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45885-2023</t>
        </is>
      </c>
      <c r="B1310" s="1" t="n">
        <v>45195</v>
      </c>
      <c r="C1310" s="1" t="n">
        <v>45340</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46335-2023</t>
        </is>
      </c>
      <c r="B1311" s="1" t="n">
        <v>45197</v>
      </c>
      <c r="C1311" s="1" t="n">
        <v>45340</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46869-2023</t>
        </is>
      </c>
      <c r="B1312" s="1" t="n">
        <v>45200</v>
      </c>
      <c r="C1312" s="1" t="n">
        <v>45340</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46995-2023</t>
        </is>
      </c>
      <c r="B1313" s="1" t="n">
        <v>45201</v>
      </c>
      <c r="C1313" s="1" t="n">
        <v>45340</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47083-2023</t>
        </is>
      </c>
      <c r="B1314" s="1" t="n">
        <v>45201</v>
      </c>
      <c r="C1314" s="1" t="n">
        <v>45340</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47221-2023</t>
        </is>
      </c>
      <c r="B1315" s="1" t="n">
        <v>45202</v>
      </c>
      <c r="C1315" s="1" t="n">
        <v>45340</v>
      </c>
      <c r="D1315" t="inlineStr">
        <is>
          <t>UPPSALA LÄN</t>
        </is>
      </c>
      <c r="E1315" t="inlineStr">
        <is>
          <t>UPPSALA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47314-2023</t>
        </is>
      </c>
      <c r="B1316" s="1" t="n">
        <v>45202</v>
      </c>
      <c r="C1316" s="1" t="n">
        <v>45340</v>
      </c>
      <c r="D1316" t="inlineStr">
        <is>
          <t>UPPSALA LÄN</t>
        </is>
      </c>
      <c r="E1316" t="inlineStr">
        <is>
          <t>UPPSALA</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47287-2023</t>
        </is>
      </c>
      <c r="B1317" s="1" t="n">
        <v>45202</v>
      </c>
      <c r="C1317" s="1" t="n">
        <v>45340</v>
      </c>
      <c r="D1317" t="inlineStr">
        <is>
          <t>UPPSALA LÄN</t>
        </is>
      </c>
      <c r="E1317" t="inlineStr">
        <is>
          <t>UPPSALA</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47316-2023</t>
        </is>
      </c>
      <c r="B1318" s="1" t="n">
        <v>45202</v>
      </c>
      <c r="C1318" s="1" t="n">
        <v>45340</v>
      </c>
      <c r="D1318" t="inlineStr">
        <is>
          <t>UPPSALA LÄN</t>
        </is>
      </c>
      <c r="E1318" t="inlineStr">
        <is>
          <t>UPPSALA</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47618-2023</t>
        </is>
      </c>
      <c r="B1319" s="1" t="n">
        <v>45203</v>
      </c>
      <c r="C1319" s="1" t="n">
        <v>45340</v>
      </c>
      <c r="D1319" t="inlineStr">
        <is>
          <t>UPPSALA LÄN</t>
        </is>
      </c>
      <c r="E1319" t="inlineStr">
        <is>
          <t>UPPSALA</t>
        </is>
      </c>
      <c r="F1319" t="inlineStr">
        <is>
          <t>Bergvik skog öst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48562-2023</t>
        </is>
      </c>
      <c r="B1320" s="1" t="n">
        <v>45208</v>
      </c>
      <c r="C1320" s="1" t="n">
        <v>45340</v>
      </c>
      <c r="D1320" t="inlineStr">
        <is>
          <t>UPPSALA LÄN</t>
        </is>
      </c>
      <c r="E1320" t="inlineStr">
        <is>
          <t>UPPSALA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48564-2023</t>
        </is>
      </c>
      <c r="B1321" s="1" t="n">
        <v>45208</v>
      </c>
      <c r="C1321" s="1" t="n">
        <v>45340</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48571-2023</t>
        </is>
      </c>
      <c r="B1322" s="1" t="n">
        <v>45208</v>
      </c>
      <c r="C1322" s="1" t="n">
        <v>45340</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48584-2023</t>
        </is>
      </c>
      <c r="B1323" s="1" t="n">
        <v>45208</v>
      </c>
      <c r="C1323" s="1" t="n">
        <v>45340</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49189-2023</t>
        </is>
      </c>
      <c r="B1324" s="1" t="n">
        <v>45210</v>
      </c>
      <c r="C1324" s="1" t="n">
        <v>45340</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49201-2023</t>
        </is>
      </c>
      <c r="B1325" s="1" t="n">
        <v>45210</v>
      </c>
      <c r="C1325" s="1" t="n">
        <v>45340</v>
      </c>
      <c r="D1325" t="inlineStr">
        <is>
          <t>UPPSALA LÄN</t>
        </is>
      </c>
      <c r="E1325" t="inlineStr">
        <is>
          <t>UPPSALA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v>
      </c>
      <c r="C1326" s="1" t="n">
        <v>45340</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49996-2023</t>
        </is>
      </c>
      <c r="B1327" s="1" t="n">
        <v>45215</v>
      </c>
      <c r="C1327" s="1" t="n">
        <v>45340</v>
      </c>
      <c r="D1327" t="inlineStr">
        <is>
          <t>UPPSALA LÄN</t>
        </is>
      </c>
      <c r="E1327" t="inlineStr">
        <is>
          <t>UPPSALA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49990-2023</t>
        </is>
      </c>
      <c r="B1328" s="1" t="n">
        <v>45215</v>
      </c>
      <c r="C1328" s="1" t="n">
        <v>45340</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50118-2023</t>
        </is>
      </c>
      <c r="B1329" s="1" t="n">
        <v>45215</v>
      </c>
      <c r="C1329" s="1" t="n">
        <v>45340</v>
      </c>
      <c r="D1329" t="inlineStr">
        <is>
          <t>UPPSALA LÄN</t>
        </is>
      </c>
      <c r="E1329" t="inlineStr">
        <is>
          <t>UPPSALA</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51843-2023</t>
        </is>
      </c>
      <c r="B1330" s="1" t="n">
        <v>45215</v>
      </c>
      <c r="C1330" s="1" t="n">
        <v>45340</v>
      </c>
      <c r="D1330" t="inlineStr">
        <is>
          <t>UPPSALA LÄN</t>
        </is>
      </c>
      <c r="E1330" t="inlineStr">
        <is>
          <t>UPPSALA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50267-2023</t>
        </is>
      </c>
      <c r="B1331" s="1" t="n">
        <v>45216</v>
      </c>
      <c r="C1331" s="1" t="n">
        <v>45340</v>
      </c>
      <c r="D1331" t="inlineStr">
        <is>
          <t>UPPSALA LÄN</t>
        </is>
      </c>
      <c r="E1331" t="inlineStr">
        <is>
          <t>UPPSALA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50473-2023</t>
        </is>
      </c>
      <c r="B1332" s="1" t="n">
        <v>45216</v>
      </c>
      <c r="C1332" s="1" t="n">
        <v>45340</v>
      </c>
      <c r="D1332" t="inlineStr">
        <is>
          <t>UPPSALA LÄN</t>
        </is>
      </c>
      <c r="E1332" t="inlineStr">
        <is>
          <t>UPPSALA</t>
        </is>
      </c>
      <c r="F1332" t="inlineStr">
        <is>
          <t>Allmännings- och besparingsskogar</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50395-2023</t>
        </is>
      </c>
      <c r="B1333" s="1" t="n">
        <v>45216</v>
      </c>
      <c r="C1333" s="1" t="n">
        <v>45340</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51016-2023</t>
        </is>
      </c>
      <c r="B1334" s="1" t="n">
        <v>45218</v>
      </c>
      <c r="C1334" s="1" t="n">
        <v>45340</v>
      </c>
      <c r="D1334" t="inlineStr">
        <is>
          <t>UPPSALA LÄN</t>
        </is>
      </c>
      <c r="E1334" t="inlineStr">
        <is>
          <t>UPPSALA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51006-2023</t>
        </is>
      </c>
      <c r="B1335" s="1" t="n">
        <v>45218</v>
      </c>
      <c r="C1335" s="1" t="n">
        <v>45340</v>
      </c>
      <c r="D1335" t="inlineStr">
        <is>
          <t>UPPSALA LÄN</t>
        </is>
      </c>
      <c r="E1335" t="inlineStr">
        <is>
          <t>UPPSALA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51542-2023</t>
        </is>
      </c>
      <c r="B1336" s="1" t="n">
        <v>45222</v>
      </c>
      <c r="C1336" s="1" t="n">
        <v>45340</v>
      </c>
      <c r="D1336" t="inlineStr">
        <is>
          <t>UPPSALA LÄN</t>
        </is>
      </c>
      <c r="E1336" t="inlineStr">
        <is>
          <t>UPPSALA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51734-2023</t>
        </is>
      </c>
      <c r="B1337" s="1" t="n">
        <v>45222</v>
      </c>
      <c r="C1337" s="1" t="n">
        <v>45340</v>
      </c>
      <c r="D1337" t="inlineStr">
        <is>
          <t>UPPSALA LÄN</t>
        </is>
      </c>
      <c r="E1337" t="inlineStr">
        <is>
          <t>UPPSALA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51731-2023</t>
        </is>
      </c>
      <c r="B1338" s="1" t="n">
        <v>45222</v>
      </c>
      <c r="C1338" s="1" t="n">
        <v>45340</v>
      </c>
      <c r="D1338" t="inlineStr">
        <is>
          <t>UPPSALA LÄN</t>
        </is>
      </c>
      <c r="E1338" t="inlineStr">
        <is>
          <t>UPPSALA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51576-2023</t>
        </is>
      </c>
      <c r="B1339" s="1" t="n">
        <v>45222</v>
      </c>
      <c r="C1339" s="1" t="n">
        <v>45340</v>
      </c>
      <c r="D1339" t="inlineStr">
        <is>
          <t>UPPSALA LÄN</t>
        </is>
      </c>
      <c r="E1339" t="inlineStr">
        <is>
          <t>UPPSALA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51697-2023</t>
        </is>
      </c>
      <c r="B1340" s="1" t="n">
        <v>45222</v>
      </c>
      <c r="C1340" s="1" t="n">
        <v>45340</v>
      </c>
      <c r="D1340" t="inlineStr">
        <is>
          <t>UPPSALA LÄN</t>
        </is>
      </c>
      <c r="E1340" t="inlineStr">
        <is>
          <t>UPPSALA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51935-2023</t>
        </is>
      </c>
      <c r="B1341" s="1" t="n">
        <v>45223</v>
      </c>
      <c r="C1341" s="1" t="n">
        <v>45340</v>
      </c>
      <c r="D1341" t="inlineStr">
        <is>
          <t>UPPSALA LÄN</t>
        </is>
      </c>
      <c r="E1341" t="inlineStr">
        <is>
          <t>UPPSALA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52273-2023</t>
        </is>
      </c>
      <c r="B1342" s="1" t="n">
        <v>45224</v>
      </c>
      <c r="C1342" s="1" t="n">
        <v>45340</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52492-2023</t>
        </is>
      </c>
      <c r="B1343" s="1" t="n">
        <v>45225</v>
      </c>
      <c r="C1343" s="1" t="n">
        <v>45340</v>
      </c>
      <c r="D1343" t="inlineStr">
        <is>
          <t>UPPSALA LÄN</t>
        </is>
      </c>
      <c r="E1343" t="inlineStr">
        <is>
          <t>UPPSALA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52503-2023</t>
        </is>
      </c>
      <c r="B1344" s="1" t="n">
        <v>45225</v>
      </c>
      <c r="C1344" s="1" t="n">
        <v>45340</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52518-2023</t>
        </is>
      </c>
      <c r="B1345" s="1" t="n">
        <v>45225</v>
      </c>
      <c r="C1345" s="1" t="n">
        <v>45340</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53893-2023</t>
        </is>
      </c>
      <c r="B1346" s="1" t="n">
        <v>45231</v>
      </c>
      <c r="C1346" s="1" t="n">
        <v>45340</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53919-2023</t>
        </is>
      </c>
      <c r="B1347" s="1" t="n">
        <v>45231</v>
      </c>
      <c r="C1347" s="1" t="n">
        <v>45340</v>
      </c>
      <c r="D1347" t="inlineStr">
        <is>
          <t>UPPSALA LÄN</t>
        </is>
      </c>
      <c r="E1347" t="inlineStr">
        <is>
          <t>UPPSALA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53982-2023</t>
        </is>
      </c>
      <c r="B1348" s="1" t="n">
        <v>45231</v>
      </c>
      <c r="C1348" s="1" t="n">
        <v>45340</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53882-2023</t>
        </is>
      </c>
      <c r="B1349" s="1" t="n">
        <v>45231</v>
      </c>
      <c r="C1349" s="1" t="n">
        <v>45340</v>
      </c>
      <c r="D1349" t="inlineStr">
        <is>
          <t>UPPSALA LÄN</t>
        </is>
      </c>
      <c r="E1349" t="inlineStr">
        <is>
          <t>UPPSALA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53900-2023</t>
        </is>
      </c>
      <c r="B1350" s="1" t="n">
        <v>45231</v>
      </c>
      <c r="C1350" s="1" t="n">
        <v>45340</v>
      </c>
      <c r="D1350" t="inlineStr">
        <is>
          <t>UPPSALA LÄN</t>
        </is>
      </c>
      <c r="E1350" t="inlineStr">
        <is>
          <t>UPPSALA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53963-2023</t>
        </is>
      </c>
      <c r="B1351" s="1" t="n">
        <v>45231</v>
      </c>
      <c r="C1351" s="1" t="n">
        <v>45340</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53967-2023</t>
        </is>
      </c>
      <c r="B1352" s="1" t="n">
        <v>45231</v>
      </c>
      <c r="C1352" s="1" t="n">
        <v>45340</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53803-2023</t>
        </is>
      </c>
      <c r="B1353" s="1" t="n">
        <v>45231</v>
      </c>
      <c r="C1353" s="1" t="n">
        <v>45340</v>
      </c>
      <c r="D1353" t="inlineStr">
        <is>
          <t>UPPSALA LÄN</t>
        </is>
      </c>
      <c r="E1353" t="inlineStr">
        <is>
          <t>UPPSALA</t>
        </is>
      </c>
      <c r="G1353" t="n">
        <v>17.6</v>
      </c>
      <c r="H1353" t="n">
        <v>0</v>
      </c>
      <c r="I1353" t="n">
        <v>0</v>
      </c>
      <c r="J1353" t="n">
        <v>0</v>
      </c>
      <c r="K1353" t="n">
        <v>0</v>
      </c>
      <c r="L1353" t="n">
        <v>0</v>
      </c>
      <c r="M1353" t="n">
        <v>0</v>
      </c>
      <c r="N1353" t="n">
        <v>0</v>
      </c>
      <c r="O1353" t="n">
        <v>0</v>
      </c>
      <c r="P1353" t="n">
        <v>0</v>
      </c>
      <c r="Q1353" t="n">
        <v>0</v>
      </c>
      <c r="R1353" s="2" t="inlineStr"/>
    </row>
    <row r="1354" ht="15" customHeight="1">
      <c r="A1354" t="inlineStr">
        <is>
          <t>A 53906-2023</t>
        </is>
      </c>
      <c r="B1354" s="1" t="n">
        <v>45231</v>
      </c>
      <c r="C1354" s="1" t="n">
        <v>45340</v>
      </c>
      <c r="D1354" t="inlineStr">
        <is>
          <t>UPPSALA LÄN</t>
        </is>
      </c>
      <c r="E1354" t="inlineStr">
        <is>
          <t>UPPSALA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54231-2023</t>
        </is>
      </c>
      <c r="B1355" s="1" t="n">
        <v>45232</v>
      </c>
      <c r="C1355" s="1" t="n">
        <v>45340</v>
      </c>
      <c r="D1355" t="inlineStr">
        <is>
          <t>UPPSALA LÄN</t>
        </is>
      </c>
      <c r="E1355" t="inlineStr">
        <is>
          <t>UPPSALA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55529-2023</t>
        </is>
      </c>
      <c r="B1356" s="1" t="n">
        <v>45232</v>
      </c>
      <c r="C1356" s="1" t="n">
        <v>45340</v>
      </c>
      <c r="D1356" t="inlineStr">
        <is>
          <t>UPPSALA LÄN</t>
        </is>
      </c>
      <c r="E1356" t="inlineStr">
        <is>
          <t>UPPSALA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54375-2023</t>
        </is>
      </c>
      <c r="B1357" s="1" t="n">
        <v>45233</v>
      </c>
      <c r="C1357" s="1" t="n">
        <v>45340</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54474-2023</t>
        </is>
      </c>
      <c r="B1358" s="1" t="n">
        <v>45233</v>
      </c>
      <c r="C1358" s="1" t="n">
        <v>45340</v>
      </c>
      <c r="D1358" t="inlineStr">
        <is>
          <t>UPPSALA LÄN</t>
        </is>
      </c>
      <c r="E1358" t="inlineStr">
        <is>
          <t>UPPSALA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54461-2023</t>
        </is>
      </c>
      <c r="B1359" s="1" t="n">
        <v>45233</v>
      </c>
      <c r="C1359" s="1" t="n">
        <v>45340</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54808-2023</t>
        </is>
      </c>
      <c r="B1360" s="1" t="n">
        <v>45236</v>
      </c>
      <c r="C1360" s="1" t="n">
        <v>45340</v>
      </c>
      <c r="D1360" t="inlineStr">
        <is>
          <t>UPPSALA LÄN</t>
        </is>
      </c>
      <c r="E1360" t="inlineStr">
        <is>
          <t>UPPSALA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54704-2023</t>
        </is>
      </c>
      <c r="B1361" s="1" t="n">
        <v>45236</v>
      </c>
      <c r="C1361" s="1" t="n">
        <v>45340</v>
      </c>
      <c r="D1361" t="inlineStr">
        <is>
          <t>UPPSALA LÄN</t>
        </is>
      </c>
      <c r="E1361" t="inlineStr">
        <is>
          <t>UPPSALA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54783-2023</t>
        </is>
      </c>
      <c r="B1362" s="1" t="n">
        <v>45236</v>
      </c>
      <c r="C1362" s="1" t="n">
        <v>45340</v>
      </c>
      <c r="D1362" t="inlineStr">
        <is>
          <t>UPPSALA LÄN</t>
        </is>
      </c>
      <c r="E1362" t="inlineStr">
        <is>
          <t>UPPSALA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55598-2023</t>
        </is>
      </c>
      <c r="B1363" s="1" t="n">
        <v>45238</v>
      </c>
      <c r="C1363" s="1" t="n">
        <v>45340</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56084-2023</t>
        </is>
      </c>
      <c r="B1364" s="1" t="n">
        <v>45240</v>
      </c>
      <c r="C1364" s="1" t="n">
        <v>45340</v>
      </c>
      <c r="D1364" t="inlineStr">
        <is>
          <t>UPPSALA LÄN</t>
        </is>
      </c>
      <c r="E1364" t="inlineStr">
        <is>
          <t>UPPSALA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56082-2023</t>
        </is>
      </c>
      <c r="B1365" s="1" t="n">
        <v>45240</v>
      </c>
      <c r="C1365" s="1" t="n">
        <v>45340</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56105-2023</t>
        </is>
      </c>
      <c r="B1366" s="1" t="n">
        <v>45240</v>
      </c>
      <c r="C1366" s="1" t="n">
        <v>45340</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56077-2023</t>
        </is>
      </c>
      <c r="B1367" s="1" t="n">
        <v>45240</v>
      </c>
      <c r="C1367" s="1" t="n">
        <v>45340</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56278-2023</t>
        </is>
      </c>
      <c r="B1368" s="1" t="n">
        <v>45241</v>
      </c>
      <c r="C1368" s="1" t="n">
        <v>45340</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56642-2023</t>
        </is>
      </c>
      <c r="B1369" s="1" t="n">
        <v>45243</v>
      </c>
      <c r="C1369" s="1" t="n">
        <v>45340</v>
      </c>
      <c r="D1369" t="inlineStr">
        <is>
          <t>UPPSALA LÄN</t>
        </is>
      </c>
      <c r="E1369" t="inlineStr">
        <is>
          <t>UPPSALA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56852-2023</t>
        </is>
      </c>
      <c r="B1370" s="1" t="n">
        <v>45244</v>
      </c>
      <c r="C1370" s="1" t="n">
        <v>45340</v>
      </c>
      <c r="D1370" t="inlineStr">
        <is>
          <t>UPPSALA LÄN</t>
        </is>
      </c>
      <c r="E1370" t="inlineStr">
        <is>
          <t>UPPSALA</t>
        </is>
      </c>
      <c r="F1370" t="inlineStr">
        <is>
          <t>Holmen skog AB</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56872-2023</t>
        </is>
      </c>
      <c r="B1371" s="1" t="n">
        <v>45244</v>
      </c>
      <c r="C1371" s="1" t="n">
        <v>45340</v>
      </c>
      <c r="D1371" t="inlineStr">
        <is>
          <t>UPPSALA LÄN</t>
        </is>
      </c>
      <c r="E1371" t="inlineStr">
        <is>
          <t>UPPSALA</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57332-2023</t>
        </is>
      </c>
      <c r="B1372" s="1" t="n">
        <v>45245</v>
      </c>
      <c r="C1372" s="1" t="n">
        <v>45340</v>
      </c>
      <c r="D1372" t="inlineStr">
        <is>
          <t>UPPSALA LÄN</t>
        </is>
      </c>
      <c r="E1372" t="inlineStr">
        <is>
          <t>UPPSALA</t>
        </is>
      </c>
      <c r="F1372" t="inlineStr">
        <is>
          <t>Allmännings- och besparingsskogar</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57186-2023</t>
        </is>
      </c>
      <c r="B1373" s="1" t="n">
        <v>45245</v>
      </c>
      <c r="C1373" s="1" t="n">
        <v>45340</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57182-2023</t>
        </is>
      </c>
      <c r="B1374" s="1" t="n">
        <v>45245</v>
      </c>
      <c r="C1374" s="1" t="n">
        <v>45340</v>
      </c>
      <c r="D1374" t="inlineStr">
        <is>
          <t>UPPSALA LÄN</t>
        </is>
      </c>
      <c r="E1374" t="inlineStr">
        <is>
          <t>UPPSALA</t>
        </is>
      </c>
      <c r="F1374" t="inlineStr">
        <is>
          <t>Övriga Aktiebolag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59240-2023</t>
        </is>
      </c>
      <c r="B1375" s="1" t="n">
        <v>45253</v>
      </c>
      <c r="C1375" s="1" t="n">
        <v>45340</v>
      </c>
      <c r="D1375" t="inlineStr">
        <is>
          <t>UPPSALA LÄN</t>
        </is>
      </c>
      <c r="E1375" t="inlineStr">
        <is>
          <t>UPPSALA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59511-2023</t>
        </is>
      </c>
      <c r="B1376" s="1" t="n">
        <v>45254</v>
      </c>
      <c r="C1376" s="1" t="n">
        <v>45340</v>
      </c>
      <c r="D1376" t="inlineStr">
        <is>
          <t>UPPSALA LÄN</t>
        </is>
      </c>
      <c r="E1376" t="inlineStr">
        <is>
          <t>UPPSALA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59521-2023</t>
        </is>
      </c>
      <c r="B1377" s="1" t="n">
        <v>45254</v>
      </c>
      <c r="C1377" s="1" t="n">
        <v>45340</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59564-2023</t>
        </is>
      </c>
      <c r="B1378" s="1" t="n">
        <v>45254</v>
      </c>
      <c r="C1378" s="1" t="n">
        <v>45340</v>
      </c>
      <c r="D1378" t="inlineStr">
        <is>
          <t>UPPSALA LÄN</t>
        </is>
      </c>
      <c r="E1378" t="inlineStr">
        <is>
          <t>UPPSALA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59570-2023</t>
        </is>
      </c>
      <c r="B1379" s="1" t="n">
        <v>45254</v>
      </c>
      <c r="C1379" s="1" t="n">
        <v>45340</v>
      </c>
      <c r="D1379" t="inlineStr">
        <is>
          <t>UPPSALA LÄN</t>
        </is>
      </c>
      <c r="E1379" t="inlineStr">
        <is>
          <t>UPPSALA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59585-2023</t>
        </is>
      </c>
      <c r="B1380" s="1" t="n">
        <v>45254</v>
      </c>
      <c r="C1380" s="1" t="n">
        <v>45340</v>
      </c>
      <c r="D1380" t="inlineStr">
        <is>
          <t>UPPSALA LÄN</t>
        </is>
      </c>
      <c r="E1380" t="inlineStr">
        <is>
          <t>UPPSALA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59489-2023</t>
        </is>
      </c>
      <c r="B1381" s="1" t="n">
        <v>45254</v>
      </c>
      <c r="C1381" s="1" t="n">
        <v>45340</v>
      </c>
      <c r="D1381" t="inlineStr">
        <is>
          <t>UPPSALA LÄN</t>
        </is>
      </c>
      <c r="E1381" t="inlineStr">
        <is>
          <t>UPPSALA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59810-2023</t>
        </is>
      </c>
      <c r="B1382" s="1" t="n">
        <v>45257</v>
      </c>
      <c r="C1382" s="1" t="n">
        <v>45340</v>
      </c>
      <c r="D1382" t="inlineStr">
        <is>
          <t>UPPSALA LÄN</t>
        </is>
      </c>
      <c r="E1382" t="inlineStr">
        <is>
          <t>UPPSALA</t>
        </is>
      </c>
      <c r="F1382" t="inlineStr">
        <is>
          <t>Allmännings- och besparingsskogar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59856-2023</t>
        </is>
      </c>
      <c r="B1383" s="1" t="n">
        <v>45257</v>
      </c>
      <c r="C1383" s="1" t="n">
        <v>45340</v>
      </c>
      <c r="D1383" t="inlineStr">
        <is>
          <t>UPPSALA LÄN</t>
        </is>
      </c>
      <c r="E1383" t="inlineStr">
        <is>
          <t>UPPSALA</t>
        </is>
      </c>
      <c r="F1383" t="inlineStr">
        <is>
          <t>Allmännings- och besparingsskogar</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60714-2023</t>
        </is>
      </c>
      <c r="B1384" s="1" t="n">
        <v>45259</v>
      </c>
      <c r="C1384" s="1" t="n">
        <v>45340</v>
      </c>
      <c r="D1384" t="inlineStr">
        <is>
          <t>UPPSALA LÄN</t>
        </is>
      </c>
      <c r="E1384" t="inlineStr">
        <is>
          <t>UPPSALA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60814-2023</t>
        </is>
      </c>
      <c r="B1385" s="1" t="n">
        <v>45259</v>
      </c>
      <c r="C1385" s="1" t="n">
        <v>45340</v>
      </c>
      <c r="D1385" t="inlineStr">
        <is>
          <t>UPPSALA LÄN</t>
        </is>
      </c>
      <c r="E1385" t="inlineStr">
        <is>
          <t>UPPSALA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60781-2023</t>
        </is>
      </c>
      <c r="B1386" s="1" t="n">
        <v>45259</v>
      </c>
      <c r="C1386" s="1" t="n">
        <v>45340</v>
      </c>
      <c r="D1386" t="inlineStr">
        <is>
          <t>UPPSALA LÄN</t>
        </is>
      </c>
      <c r="E1386" t="inlineStr">
        <is>
          <t>UPPSALA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60447-2023</t>
        </is>
      </c>
      <c r="B1387" s="1" t="n">
        <v>45259</v>
      </c>
      <c r="C1387" s="1" t="n">
        <v>45340</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60444-2023</t>
        </is>
      </c>
      <c r="B1388" s="1" t="n">
        <v>45259</v>
      </c>
      <c r="C1388" s="1" t="n">
        <v>45340</v>
      </c>
      <c r="D1388" t="inlineStr">
        <is>
          <t>UPPSALA LÄN</t>
        </is>
      </c>
      <c r="E1388" t="inlineStr">
        <is>
          <t>UPPSALA</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61066-2023</t>
        </is>
      </c>
      <c r="B1389" s="1" t="n">
        <v>45259</v>
      </c>
      <c r="C1389" s="1" t="n">
        <v>45340</v>
      </c>
      <c r="D1389" t="inlineStr">
        <is>
          <t>UPPSALA LÄN</t>
        </is>
      </c>
      <c r="E1389" t="inlineStr">
        <is>
          <t>UPPSALA</t>
        </is>
      </c>
      <c r="F1389" t="inlineStr">
        <is>
          <t>Övriga Aktiebolag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61067-2023</t>
        </is>
      </c>
      <c r="B1390" s="1" t="n">
        <v>45259</v>
      </c>
      <c r="C1390" s="1" t="n">
        <v>45340</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60707-2023</t>
        </is>
      </c>
      <c r="B1391" s="1" t="n">
        <v>45260</v>
      </c>
      <c r="C1391" s="1" t="n">
        <v>45340</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61947-2023</t>
        </is>
      </c>
      <c r="B1392" s="1" t="n">
        <v>45266</v>
      </c>
      <c r="C1392" s="1" t="n">
        <v>45340</v>
      </c>
      <c r="D1392" t="inlineStr">
        <is>
          <t>UPPSALA LÄN</t>
        </is>
      </c>
      <c r="E1392" t="inlineStr">
        <is>
          <t>UPPSALA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62287-2023</t>
        </is>
      </c>
      <c r="B1393" s="1" t="n">
        <v>45267</v>
      </c>
      <c r="C1393" s="1" t="n">
        <v>45340</v>
      </c>
      <c r="D1393" t="inlineStr">
        <is>
          <t>UPPSALA LÄN</t>
        </is>
      </c>
      <c r="E1393" t="inlineStr">
        <is>
          <t>UPPSALA</t>
        </is>
      </c>
      <c r="F1393" t="inlineStr">
        <is>
          <t>Allmännings- och besparingsskogar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62691-2023</t>
        </is>
      </c>
      <c r="B1394" s="1" t="n">
        <v>45268</v>
      </c>
      <c r="C1394" s="1" t="n">
        <v>45340</v>
      </c>
      <c r="D1394" t="inlineStr">
        <is>
          <t>UPPSALA LÄN</t>
        </is>
      </c>
      <c r="E1394" t="inlineStr">
        <is>
          <t>UPPSALA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62636-2023</t>
        </is>
      </c>
      <c r="B1395" s="1" t="n">
        <v>45268</v>
      </c>
      <c r="C1395" s="1" t="n">
        <v>45340</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62627-2023</t>
        </is>
      </c>
      <c r="B1396" s="1" t="n">
        <v>45268</v>
      </c>
      <c r="C1396" s="1" t="n">
        <v>45340</v>
      </c>
      <c r="D1396" t="inlineStr">
        <is>
          <t>UPPSALA LÄN</t>
        </is>
      </c>
      <c r="E1396" t="inlineStr">
        <is>
          <t>UPPSALA</t>
        </is>
      </c>
      <c r="G1396" t="n">
        <v>7.6</v>
      </c>
      <c r="H1396" t="n">
        <v>0</v>
      </c>
      <c r="I1396" t="n">
        <v>0</v>
      </c>
      <c r="J1396" t="n">
        <v>0</v>
      </c>
      <c r="K1396" t="n">
        <v>0</v>
      </c>
      <c r="L1396" t="n">
        <v>0</v>
      </c>
      <c r="M1396" t="n">
        <v>0</v>
      </c>
      <c r="N1396" t="n">
        <v>0</v>
      </c>
      <c r="O1396" t="n">
        <v>0</v>
      </c>
      <c r="P1396" t="n">
        <v>0</v>
      </c>
      <c r="Q1396" t="n">
        <v>0</v>
      </c>
      <c r="R1396" s="2" t="inlineStr"/>
      <c r="U1396">
        <f>HYPERLINK("https://klasma.github.io/Logging_0380/knärot/A 62627-2023 karta knärot.png", "A 62627-2023")</f>
        <v/>
      </c>
      <c r="V1396">
        <f>HYPERLINK("https://klasma.github.io/Logging_0380/klagomål/A 62627-2023 FSC-klagomål.docx", "A 62627-2023")</f>
        <v/>
      </c>
      <c r="W1396">
        <f>HYPERLINK("https://klasma.github.io/Logging_0380/klagomålsmail/A 62627-2023 FSC-klagomål mail.docx", "A 62627-2023")</f>
        <v/>
      </c>
      <c r="X1396">
        <f>HYPERLINK("https://klasma.github.io/Logging_0380/tillsyn/A 62627-2023 tillsynsbegäran.docx", "A 62627-2023")</f>
        <v/>
      </c>
      <c r="Y1396">
        <f>HYPERLINK("https://klasma.github.io/Logging_0380/tillsynsmail/A 62627-2023 tillsynsbegäran mail.docx", "A 62627-2023")</f>
        <v/>
      </c>
    </row>
    <row r="1397" ht="15" customHeight="1">
      <c r="A1397" t="inlineStr">
        <is>
          <t>A 62694-2023</t>
        </is>
      </c>
      <c r="B1397" s="1" t="n">
        <v>45268</v>
      </c>
      <c r="C1397" s="1" t="n">
        <v>45340</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62714-2023</t>
        </is>
      </c>
      <c r="B1398" s="1" t="n">
        <v>45271</v>
      </c>
      <c r="C1398" s="1" t="n">
        <v>45340</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63163-2023</t>
        </is>
      </c>
      <c r="B1399" s="1" t="n">
        <v>45273</v>
      </c>
      <c r="C1399" s="1" t="n">
        <v>45340</v>
      </c>
      <c r="D1399" t="inlineStr">
        <is>
          <t>UPPSALA LÄN</t>
        </is>
      </c>
      <c r="E1399" t="inlineStr">
        <is>
          <t>UPPSALA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63579-2023</t>
        </is>
      </c>
      <c r="B1400" s="1" t="n">
        <v>45275</v>
      </c>
      <c r="C1400" s="1" t="n">
        <v>45340</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63578-2023</t>
        </is>
      </c>
      <c r="B1401" s="1" t="n">
        <v>45275</v>
      </c>
      <c r="C1401" s="1" t="n">
        <v>45340</v>
      </c>
      <c r="D1401" t="inlineStr">
        <is>
          <t>UPPSALA LÄN</t>
        </is>
      </c>
      <c r="E1401" t="inlineStr">
        <is>
          <t>UPPSALA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63698-2023</t>
        </is>
      </c>
      <c r="B1402" s="1" t="n">
        <v>45275</v>
      </c>
      <c r="C1402" s="1" t="n">
        <v>45340</v>
      </c>
      <c r="D1402" t="inlineStr">
        <is>
          <t>UPPSALA LÄN</t>
        </is>
      </c>
      <c r="E1402" t="inlineStr">
        <is>
          <t>UPPSALA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63588-2023</t>
        </is>
      </c>
      <c r="B1403" s="1" t="n">
        <v>45275</v>
      </c>
      <c r="C1403" s="1" t="n">
        <v>45340</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63576-2023</t>
        </is>
      </c>
      <c r="B1404" s="1" t="n">
        <v>45275</v>
      </c>
      <c r="C1404" s="1" t="n">
        <v>45340</v>
      </c>
      <c r="D1404" t="inlineStr">
        <is>
          <t>UPPSALA LÄN</t>
        </is>
      </c>
      <c r="E1404" t="inlineStr">
        <is>
          <t>UPPSALA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64079-2023</t>
        </is>
      </c>
      <c r="B1405" s="1" t="n">
        <v>45279</v>
      </c>
      <c r="C1405" s="1" t="n">
        <v>45340</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64806-2023</t>
        </is>
      </c>
      <c r="B1406" s="1" t="n">
        <v>45282</v>
      </c>
      <c r="C1406" s="1" t="n">
        <v>45340</v>
      </c>
      <c r="D1406" t="inlineStr">
        <is>
          <t>UPPSALA LÄN</t>
        </is>
      </c>
      <c r="E1406" t="inlineStr">
        <is>
          <t>UPPSALA</t>
        </is>
      </c>
      <c r="F1406" t="inlineStr">
        <is>
          <t>Kyrkan</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64880-2023</t>
        </is>
      </c>
      <c r="B1407" s="1" t="n">
        <v>45282</v>
      </c>
      <c r="C1407" s="1" t="n">
        <v>45340</v>
      </c>
      <c r="D1407" t="inlineStr">
        <is>
          <t>UPPSALA LÄN</t>
        </is>
      </c>
      <c r="E1407" t="inlineStr">
        <is>
          <t>UPPSALA</t>
        </is>
      </c>
      <c r="F1407" t="inlineStr">
        <is>
          <t>Kommuner</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65149-2023</t>
        </is>
      </c>
      <c r="B1408" s="1" t="n">
        <v>45288</v>
      </c>
      <c r="C1408" s="1" t="n">
        <v>45340</v>
      </c>
      <c r="D1408" t="inlineStr">
        <is>
          <t>UPPSALA LÄN</t>
        </is>
      </c>
      <c r="E1408" t="inlineStr">
        <is>
          <t>UPPSALA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45-2024</t>
        </is>
      </c>
      <c r="B1409" s="1" t="n">
        <v>45293</v>
      </c>
      <c r="C1409" s="1" t="n">
        <v>45340</v>
      </c>
      <c r="D1409" t="inlineStr">
        <is>
          <t>UPPSALA LÄN</t>
        </is>
      </c>
      <c r="E1409" t="inlineStr">
        <is>
          <t>UPPSALA</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43-2024</t>
        </is>
      </c>
      <c r="B1410" s="1" t="n">
        <v>45293</v>
      </c>
      <c r="C1410" s="1" t="n">
        <v>45340</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88-2024</t>
        </is>
      </c>
      <c r="B1411" s="1" t="n">
        <v>45293</v>
      </c>
      <c r="C1411" s="1" t="n">
        <v>45340</v>
      </c>
      <c r="D1411" t="inlineStr">
        <is>
          <t>UPPSALA LÄN</t>
        </is>
      </c>
      <c r="E1411" t="inlineStr">
        <is>
          <t>UPPSALA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179-2024</t>
        </is>
      </c>
      <c r="B1412" s="1" t="n">
        <v>45294</v>
      </c>
      <c r="C1412" s="1" t="n">
        <v>45340</v>
      </c>
      <c r="D1412" t="inlineStr">
        <is>
          <t>UPPSALA LÄN</t>
        </is>
      </c>
      <c r="E1412" t="inlineStr">
        <is>
          <t>UPPSALA</t>
        </is>
      </c>
      <c r="F1412" t="inlineStr">
        <is>
          <t>Bergvik skog öst AB</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358-2024</t>
        </is>
      </c>
      <c r="B1413" s="1" t="n">
        <v>45295</v>
      </c>
      <c r="C1413" s="1" t="n">
        <v>45340</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341-2024</t>
        </is>
      </c>
      <c r="B1414" s="1" t="n">
        <v>45295</v>
      </c>
      <c r="C1414" s="1" t="n">
        <v>45340</v>
      </c>
      <c r="D1414" t="inlineStr">
        <is>
          <t>UPPSALA LÄN</t>
        </is>
      </c>
      <c r="E1414" t="inlineStr">
        <is>
          <t>UPPSALA</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449-2024</t>
        </is>
      </c>
      <c r="B1415" s="1" t="n">
        <v>45296</v>
      </c>
      <c r="C1415" s="1" t="n">
        <v>45340</v>
      </c>
      <c r="D1415" t="inlineStr">
        <is>
          <t>UPPSALA LÄN</t>
        </is>
      </c>
      <c r="E1415" t="inlineStr">
        <is>
          <t>UPPSALA</t>
        </is>
      </c>
      <c r="G1415" t="n">
        <v>1</v>
      </c>
      <c r="H1415" t="n">
        <v>0</v>
      </c>
      <c r="I1415" t="n">
        <v>0</v>
      </c>
      <c r="J1415" t="n">
        <v>0</v>
      </c>
      <c r="K1415" t="n">
        <v>0</v>
      </c>
      <c r="L1415" t="n">
        <v>0</v>
      </c>
      <c r="M1415" t="n">
        <v>0</v>
      </c>
      <c r="N1415" t="n">
        <v>0</v>
      </c>
      <c r="O1415" t="n">
        <v>0</v>
      </c>
      <c r="P1415" t="n">
        <v>0</v>
      </c>
      <c r="Q1415" t="n">
        <v>0</v>
      </c>
      <c r="R1415" s="2" t="inlineStr"/>
      <c r="U1415">
        <f>HYPERLINK("https://klasma.github.io/Logging_0380/knärot/A 449-2024 karta knärot.png", "A 449-2024")</f>
        <v/>
      </c>
      <c r="V1415">
        <f>HYPERLINK("https://klasma.github.io/Logging_0380/klagomål/A 449-2024 FSC-klagomål.docx", "A 449-2024")</f>
        <v/>
      </c>
      <c r="W1415">
        <f>HYPERLINK("https://klasma.github.io/Logging_0380/klagomålsmail/A 449-2024 FSC-klagomål mail.docx", "A 449-2024")</f>
        <v/>
      </c>
      <c r="X1415">
        <f>HYPERLINK("https://klasma.github.io/Logging_0380/tillsyn/A 449-2024 tillsynsbegäran.docx", "A 449-2024")</f>
        <v/>
      </c>
      <c r="Y1415">
        <f>HYPERLINK("https://klasma.github.io/Logging_0380/tillsynsmail/A 449-2024 tillsynsbegäran mail.docx", "A 449-2024")</f>
        <v/>
      </c>
    </row>
    <row r="1416" ht="15" customHeight="1">
      <c r="A1416" t="inlineStr">
        <is>
          <t>A 446-2024</t>
        </is>
      </c>
      <c r="B1416" s="1" t="n">
        <v>45296</v>
      </c>
      <c r="C1416" s="1" t="n">
        <v>45340</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600-2024</t>
        </is>
      </c>
      <c r="B1417" s="1" t="n">
        <v>45299</v>
      </c>
      <c r="C1417" s="1" t="n">
        <v>45340</v>
      </c>
      <c r="D1417" t="inlineStr">
        <is>
          <t>UPPSALA LÄN</t>
        </is>
      </c>
      <c r="E1417" t="inlineStr">
        <is>
          <t>UPPSALA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781-2024</t>
        </is>
      </c>
      <c r="B1418" s="1" t="n">
        <v>45300</v>
      </c>
      <c r="C1418" s="1" t="n">
        <v>45340</v>
      </c>
      <c r="D1418" t="inlineStr">
        <is>
          <t>UPPSALA LÄN</t>
        </is>
      </c>
      <c r="E1418" t="inlineStr">
        <is>
          <t>UPPSALA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787-2024</t>
        </is>
      </c>
      <c r="B1419" s="1" t="n">
        <v>45300</v>
      </c>
      <c r="C1419" s="1" t="n">
        <v>45340</v>
      </c>
      <c r="D1419" t="inlineStr">
        <is>
          <t>UPPSALA LÄN</t>
        </is>
      </c>
      <c r="E1419" t="inlineStr">
        <is>
          <t>UPPSALA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784-2024</t>
        </is>
      </c>
      <c r="B1420" s="1" t="n">
        <v>45300</v>
      </c>
      <c r="C1420" s="1" t="n">
        <v>45340</v>
      </c>
      <c r="D1420" t="inlineStr">
        <is>
          <t>UPPSALA LÄN</t>
        </is>
      </c>
      <c r="E1420" t="inlineStr">
        <is>
          <t>UPPSALA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1838-2024</t>
        </is>
      </c>
      <c r="B1421" s="1" t="n">
        <v>45307</v>
      </c>
      <c r="C1421" s="1" t="n">
        <v>45340</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1825-2024</t>
        </is>
      </c>
      <c r="B1422" s="1" t="n">
        <v>45307</v>
      </c>
      <c r="C1422" s="1" t="n">
        <v>45340</v>
      </c>
      <c r="D1422" t="inlineStr">
        <is>
          <t>UPPSALA LÄN</t>
        </is>
      </c>
      <c r="E1422" t="inlineStr">
        <is>
          <t>UPPSALA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1806-2024</t>
        </is>
      </c>
      <c r="B1423" s="1" t="n">
        <v>45307</v>
      </c>
      <c r="C1423" s="1" t="n">
        <v>45340</v>
      </c>
      <c r="D1423" t="inlineStr">
        <is>
          <t>UPPSALA LÄN</t>
        </is>
      </c>
      <c r="E1423" t="inlineStr">
        <is>
          <t>UPPSALA</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1994-2024</t>
        </is>
      </c>
      <c r="B1424" s="1" t="n">
        <v>45308</v>
      </c>
      <c r="C1424" s="1" t="n">
        <v>45340</v>
      </c>
      <c r="D1424" t="inlineStr">
        <is>
          <t>UPPSALA LÄN</t>
        </is>
      </c>
      <c r="E1424" t="inlineStr">
        <is>
          <t>UPPSALA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2294-2024</t>
        </is>
      </c>
      <c r="B1425" s="1" t="n">
        <v>45310</v>
      </c>
      <c r="C1425" s="1" t="n">
        <v>45340</v>
      </c>
      <c r="D1425" t="inlineStr">
        <is>
          <t>UPPSALA LÄN</t>
        </is>
      </c>
      <c r="E1425" t="inlineStr">
        <is>
          <t>UPPSALA</t>
        </is>
      </c>
      <c r="F1425" t="inlineStr">
        <is>
          <t>Allmännings- och besparingsskogar</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2327-2024</t>
        </is>
      </c>
      <c r="B1426" s="1" t="n">
        <v>45310</v>
      </c>
      <c r="C1426" s="1" t="n">
        <v>45340</v>
      </c>
      <c r="D1426" t="inlineStr">
        <is>
          <t>UPPSALA LÄN</t>
        </is>
      </c>
      <c r="E1426" t="inlineStr">
        <is>
          <t>UPPSALA</t>
        </is>
      </c>
      <c r="F1426" t="inlineStr">
        <is>
          <t>Kyrkan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2339-2024</t>
        </is>
      </c>
      <c r="B1427" s="1" t="n">
        <v>45310</v>
      </c>
      <c r="C1427" s="1" t="n">
        <v>45340</v>
      </c>
      <c r="D1427" t="inlineStr">
        <is>
          <t>UPPSALA LÄN</t>
        </is>
      </c>
      <c r="E1427" t="inlineStr">
        <is>
          <t>UPPSALA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2357-2024</t>
        </is>
      </c>
      <c r="B1428" s="1" t="n">
        <v>45310</v>
      </c>
      <c r="C1428" s="1" t="n">
        <v>45340</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2729-2024</t>
        </is>
      </c>
      <c r="B1429" s="1" t="n">
        <v>45314</v>
      </c>
      <c r="C1429" s="1" t="n">
        <v>45340</v>
      </c>
      <c r="D1429" t="inlineStr">
        <is>
          <t>UPPSALA LÄN</t>
        </is>
      </c>
      <c r="E1429" t="inlineStr">
        <is>
          <t>UPPSALA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2740-2024</t>
        </is>
      </c>
      <c r="B1430" s="1" t="n">
        <v>45314</v>
      </c>
      <c r="C1430" s="1" t="n">
        <v>45340</v>
      </c>
      <c r="D1430" t="inlineStr">
        <is>
          <t>UPPSALA LÄN</t>
        </is>
      </c>
      <c r="E1430" t="inlineStr">
        <is>
          <t>UPPSALA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2735-2024</t>
        </is>
      </c>
      <c r="B1431" s="1" t="n">
        <v>45314</v>
      </c>
      <c r="C1431" s="1" t="n">
        <v>45340</v>
      </c>
      <c r="D1431" t="inlineStr">
        <is>
          <t>UPPSALA LÄN</t>
        </is>
      </c>
      <c r="E1431" t="inlineStr">
        <is>
          <t>UPPSALA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2769-2024</t>
        </is>
      </c>
      <c r="B1432" s="1" t="n">
        <v>45314</v>
      </c>
      <c r="C1432" s="1" t="n">
        <v>45340</v>
      </c>
      <c r="D1432" t="inlineStr">
        <is>
          <t>UPPSALA LÄN</t>
        </is>
      </c>
      <c r="E1432" t="inlineStr">
        <is>
          <t>UPPSALA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2785-2024</t>
        </is>
      </c>
      <c r="B1433" s="1" t="n">
        <v>45314</v>
      </c>
      <c r="C1433" s="1" t="n">
        <v>45340</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3100-2024</t>
        </is>
      </c>
      <c r="B1434" s="1" t="n">
        <v>45316</v>
      </c>
      <c r="C1434" s="1" t="n">
        <v>45340</v>
      </c>
      <c r="D1434" t="inlineStr">
        <is>
          <t>UPPSALA LÄN</t>
        </is>
      </c>
      <c r="E1434" t="inlineStr">
        <is>
          <t>UPPSALA</t>
        </is>
      </c>
      <c r="F1434" t="inlineStr">
        <is>
          <t>Holmen skog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3175-2024</t>
        </is>
      </c>
      <c r="B1435" s="1" t="n">
        <v>45316</v>
      </c>
      <c r="C1435" s="1" t="n">
        <v>45340</v>
      </c>
      <c r="D1435" t="inlineStr">
        <is>
          <t>UPPSALA LÄN</t>
        </is>
      </c>
      <c r="E1435" t="inlineStr">
        <is>
          <t>UPPSALA</t>
        </is>
      </c>
      <c r="F1435" t="inlineStr">
        <is>
          <t>Bergvik skog öst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3183-2024</t>
        </is>
      </c>
      <c r="B1436" s="1" t="n">
        <v>45316</v>
      </c>
      <c r="C1436" s="1" t="n">
        <v>45340</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3261-2024</t>
        </is>
      </c>
      <c r="B1437" s="1" t="n">
        <v>45317</v>
      </c>
      <c r="C1437" s="1" t="n">
        <v>45340</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3260-2024</t>
        </is>
      </c>
      <c r="B1438" s="1" t="n">
        <v>45317</v>
      </c>
      <c r="C1438" s="1" t="n">
        <v>45340</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3813-2024</t>
        </is>
      </c>
      <c r="B1439" s="1" t="n">
        <v>45321</v>
      </c>
      <c r="C1439" s="1" t="n">
        <v>45340</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4065-2024</t>
        </is>
      </c>
      <c r="B1440" s="1" t="n">
        <v>45323</v>
      </c>
      <c r="C1440" s="1" t="n">
        <v>45340</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4216-2024</t>
        </is>
      </c>
      <c r="B1441" s="1" t="n">
        <v>45324</v>
      </c>
      <c r="C1441" s="1" t="n">
        <v>45340</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4503-2024</t>
        </is>
      </c>
      <c r="B1442" s="1" t="n">
        <v>45327</v>
      </c>
      <c r="C1442" s="1" t="n">
        <v>45340</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4509-2024</t>
        </is>
      </c>
      <c r="B1443" s="1" t="n">
        <v>45327</v>
      </c>
      <c r="C1443" s="1" t="n">
        <v>45340</v>
      </c>
      <c r="D1443" t="inlineStr">
        <is>
          <t>UPPSALA LÄN</t>
        </is>
      </c>
      <c r="E1443" t="inlineStr">
        <is>
          <t>UPPSALA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4412-2024</t>
        </is>
      </c>
      <c r="B1444" s="1" t="n">
        <v>45327</v>
      </c>
      <c r="C1444" s="1" t="n">
        <v>45340</v>
      </c>
      <c r="D1444" t="inlineStr">
        <is>
          <t>UPPSALA LÄN</t>
        </is>
      </c>
      <c r="E1444" t="inlineStr">
        <is>
          <t>UPPSALA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4425-2024</t>
        </is>
      </c>
      <c r="B1445" s="1" t="n">
        <v>45327</v>
      </c>
      <c r="C1445" s="1" t="n">
        <v>45340</v>
      </c>
      <c r="D1445" t="inlineStr">
        <is>
          <t>UPPSALA LÄN</t>
        </is>
      </c>
      <c r="E1445" t="inlineStr">
        <is>
          <t>UPPSALA</t>
        </is>
      </c>
      <c r="F1445" t="inlineStr">
        <is>
          <t>Allmännings- och besparingsskogar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45340</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4980-2024</t>
        </is>
      </c>
      <c r="B1447" s="1" t="n">
        <v>45329</v>
      </c>
      <c r="C1447" s="1" t="n">
        <v>45340</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5185-2024</t>
        </is>
      </c>
      <c r="B1448" s="1" t="n">
        <v>45330</v>
      </c>
      <c r="C1448" s="1" t="n">
        <v>45340</v>
      </c>
      <c r="D1448" t="inlineStr">
        <is>
          <t>UPPSALA LÄN</t>
        </is>
      </c>
      <c r="E1448" t="inlineStr">
        <is>
          <t>UPPSALA</t>
        </is>
      </c>
      <c r="F1448" t="inlineStr">
        <is>
          <t>Övriga Aktiebolag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5475-2024</t>
        </is>
      </c>
      <c r="B1449" s="1" t="n">
        <v>45333</v>
      </c>
      <c r="C1449" s="1" t="n">
        <v>45340</v>
      </c>
      <c r="D1449" t="inlineStr">
        <is>
          <t>UPPSALA LÄN</t>
        </is>
      </c>
      <c r="E1449" t="inlineStr">
        <is>
          <t>UPPSALA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5848-2024</t>
        </is>
      </c>
      <c r="B1450" s="1" t="n">
        <v>45335</v>
      </c>
      <c r="C1450" s="1" t="n">
        <v>45340</v>
      </c>
      <c r="D1450" t="inlineStr">
        <is>
          <t>UPPSALA LÄN</t>
        </is>
      </c>
      <c r="E1450" t="inlineStr">
        <is>
          <t>UPPSALA</t>
        </is>
      </c>
      <c r="F1450" t="inlineStr">
        <is>
          <t>Kyrkan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5876-2024</t>
        </is>
      </c>
      <c r="B1451" s="1" t="n">
        <v>45335</v>
      </c>
      <c r="C1451" s="1" t="n">
        <v>45340</v>
      </c>
      <c r="D1451" t="inlineStr">
        <is>
          <t>UPPSALA LÄN</t>
        </is>
      </c>
      <c r="E1451" t="inlineStr">
        <is>
          <t>UPPSALA</t>
        </is>
      </c>
      <c r="F1451" t="inlineStr">
        <is>
          <t>Kyrkan</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5899-2024</t>
        </is>
      </c>
      <c r="B1452" s="1" t="n">
        <v>45335</v>
      </c>
      <c r="C1452" s="1" t="n">
        <v>45340</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5896-2024</t>
        </is>
      </c>
      <c r="B1453" s="1" t="n">
        <v>45335</v>
      </c>
      <c r="C1453" s="1" t="n">
        <v>45340</v>
      </c>
      <c r="D1453" t="inlineStr">
        <is>
          <t>UPPSALA LÄN</t>
        </is>
      </c>
      <c r="E1453" t="inlineStr">
        <is>
          <t>UPPSALA</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5975-2024</t>
        </is>
      </c>
      <c r="B1454" s="1" t="n">
        <v>45336</v>
      </c>
      <c r="C1454" s="1" t="n">
        <v>45340</v>
      </c>
      <c r="D1454" t="inlineStr">
        <is>
          <t>UPPSALA LÄN</t>
        </is>
      </c>
      <c r="E1454" t="inlineStr">
        <is>
          <t>UPPSALA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6044-2024</t>
        </is>
      </c>
      <c r="B1455" s="1" t="n">
        <v>45336</v>
      </c>
      <c r="C1455" s="1" t="n">
        <v>45340</v>
      </c>
      <c r="D1455" t="inlineStr">
        <is>
          <t>UPPSALA LÄN</t>
        </is>
      </c>
      <c r="E1455" t="inlineStr">
        <is>
          <t>UPPSALA</t>
        </is>
      </c>
      <c r="F1455" t="inlineStr">
        <is>
          <t>Holmen skog AB</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5972-2024</t>
        </is>
      </c>
      <c r="B1456" s="1" t="n">
        <v>45336</v>
      </c>
      <c r="C1456" s="1" t="n">
        <v>45340</v>
      </c>
      <c r="D1456" t="inlineStr">
        <is>
          <t>UPPSALA LÄN</t>
        </is>
      </c>
      <c r="E1456" t="inlineStr">
        <is>
          <t>UPPSALA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5974-2024</t>
        </is>
      </c>
      <c r="B1457" s="1" t="n">
        <v>45336</v>
      </c>
      <c r="C1457" s="1" t="n">
        <v>45340</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6024-2024</t>
        </is>
      </c>
      <c r="B1458" s="1" t="n">
        <v>45336</v>
      </c>
      <c r="C1458" s="1" t="n">
        <v>45340</v>
      </c>
      <c r="D1458" t="inlineStr">
        <is>
          <t>UPPSALA LÄN</t>
        </is>
      </c>
      <c r="E1458" t="inlineStr">
        <is>
          <t>UPPSALA</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6098-2024</t>
        </is>
      </c>
      <c r="B1459" s="1" t="n">
        <v>45337</v>
      </c>
      <c r="C1459" s="1" t="n">
        <v>45340</v>
      </c>
      <c r="D1459" t="inlineStr">
        <is>
          <t>UPPSALA LÄN</t>
        </is>
      </c>
      <c r="E1459" t="inlineStr">
        <is>
          <t>UPPSALA</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6199-2024</t>
        </is>
      </c>
      <c r="B1460" s="1" t="n">
        <v>45337</v>
      </c>
      <c r="C1460" s="1" t="n">
        <v>45340</v>
      </c>
      <c r="D1460" t="inlineStr">
        <is>
          <t>UPPSALA LÄN</t>
        </is>
      </c>
      <c r="E1460" t="inlineStr">
        <is>
          <t>UPPSALA</t>
        </is>
      </c>
      <c r="F1460" t="inlineStr">
        <is>
          <t>Kyrkan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6211-2024</t>
        </is>
      </c>
      <c r="B1461" s="1" t="n">
        <v>45337</v>
      </c>
      <c r="C1461" s="1" t="n">
        <v>45340</v>
      </c>
      <c r="D1461" t="inlineStr">
        <is>
          <t>UPPSALA LÄN</t>
        </is>
      </c>
      <c r="E1461" t="inlineStr">
        <is>
          <t>UPPSALA</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6363-2024</t>
        </is>
      </c>
      <c r="B1462" s="1" t="n">
        <v>45338</v>
      </c>
      <c r="C1462" s="1" t="n">
        <v>45340</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6501-2024</t>
        </is>
      </c>
      <c r="B1463" s="1" t="n">
        <v>45339</v>
      </c>
      <c r="C1463" s="1" t="n">
        <v>45340</v>
      </c>
      <c r="D1463" t="inlineStr">
        <is>
          <t>UPPSALA LÄN</t>
        </is>
      </c>
      <c r="E1463" t="inlineStr">
        <is>
          <t>UPPSALA</t>
        </is>
      </c>
      <c r="F1463" t="inlineStr">
        <is>
          <t>Bergvik skog öst AB</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6505-2024</t>
        </is>
      </c>
      <c r="B1464" s="1" t="n">
        <v>45339</v>
      </c>
      <c r="C1464" s="1" t="n">
        <v>45340</v>
      </c>
      <c r="D1464" t="inlineStr">
        <is>
          <t>UPPSALA LÄN</t>
        </is>
      </c>
      <c r="E1464" t="inlineStr">
        <is>
          <t>UPPSALA</t>
        </is>
      </c>
      <c r="F1464" t="inlineStr">
        <is>
          <t>Bergvik skog öst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6500-2024</t>
        </is>
      </c>
      <c r="B1465" s="1" t="n">
        <v>45339</v>
      </c>
      <c r="C1465" s="1" t="n">
        <v>45340</v>
      </c>
      <c r="D1465" t="inlineStr">
        <is>
          <t>UPPSALA LÄN</t>
        </is>
      </c>
      <c r="E1465" t="inlineStr">
        <is>
          <t>UPPSALA</t>
        </is>
      </c>
      <c r="F1465" t="inlineStr">
        <is>
          <t>Bergvik skog öst AB</t>
        </is>
      </c>
      <c r="G1465" t="n">
        <v>23.7</v>
      </c>
      <c r="H1465" t="n">
        <v>0</v>
      </c>
      <c r="I1465" t="n">
        <v>0</v>
      </c>
      <c r="J1465" t="n">
        <v>0</v>
      </c>
      <c r="K1465" t="n">
        <v>0</v>
      </c>
      <c r="L1465" t="n">
        <v>0</v>
      </c>
      <c r="M1465" t="n">
        <v>0</v>
      </c>
      <c r="N1465" t="n">
        <v>0</v>
      </c>
      <c r="O1465" t="n">
        <v>0</v>
      </c>
      <c r="P1465" t="n">
        <v>0</v>
      </c>
      <c r="Q1465" t="n">
        <v>0</v>
      </c>
      <c r="R1465" s="2" t="inlineStr"/>
    </row>
    <row r="1466" ht="15" customHeight="1">
      <c r="A1466" t="inlineStr">
        <is>
          <t>A 6504-2024</t>
        </is>
      </c>
      <c r="B1466" s="1" t="n">
        <v>45339</v>
      </c>
      <c r="C1466" s="1" t="n">
        <v>45340</v>
      </c>
      <c r="D1466" t="inlineStr">
        <is>
          <t>UPPSALA LÄN</t>
        </is>
      </c>
      <c r="E1466" t="inlineStr">
        <is>
          <t>UPPSALA</t>
        </is>
      </c>
      <c r="F1466" t="inlineStr">
        <is>
          <t>Bergvik skog öst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6506-2024</t>
        </is>
      </c>
      <c r="B1467" s="1" t="n">
        <v>45339</v>
      </c>
      <c r="C1467" s="1" t="n">
        <v>45340</v>
      </c>
      <c r="D1467" t="inlineStr">
        <is>
          <t>UPPSALA LÄN</t>
        </is>
      </c>
      <c r="E1467" t="inlineStr">
        <is>
          <t>UPPSALA</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6503-2024</t>
        </is>
      </c>
      <c r="B1468" s="1" t="n">
        <v>45339</v>
      </c>
      <c r="C1468" s="1" t="n">
        <v>45340</v>
      </c>
      <c r="D1468" t="inlineStr">
        <is>
          <t>UPPSALA LÄN</t>
        </is>
      </c>
      <c r="E1468" t="inlineStr">
        <is>
          <t>UPPSALA</t>
        </is>
      </c>
      <c r="F1468" t="inlineStr">
        <is>
          <t>Bergvik skog öst AB</t>
        </is>
      </c>
      <c r="G1468" t="n">
        <v>2.4</v>
      </c>
      <c r="H1468" t="n">
        <v>0</v>
      </c>
      <c r="I1468" t="n">
        <v>0</v>
      </c>
      <c r="J1468" t="n">
        <v>0</v>
      </c>
      <c r="K1468" t="n">
        <v>0</v>
      </c>
      <c r="L1468" t="n">
        <v>0</v>
      </c>
      <c r="M1468" t="n">
        <v>0</v>
      </c>
      <c r="N1468" t="n">
        <v>0</v>
      </c>
      <c r="O1468" t="n">
        <v>0</v>
      </c>
      <c r="P1468" t="n">
        <v>0</v>
      </c>
      <c r="Q1468" t="n">
        <v>0</v>
      </c>
      <c r="R1468" s="2" t="inlineStr"/>
    </row>
    <row r="1469">
      <c r="A1469" t="inlineStr">
        <is>
          <t>A 6507-2024</t>
        </is>
      </c>
      <c r="B1469" s="1" t="n">
        <v>45339</v>
      </c>
      <c r="C1469" s="1" t="n">
        <v>45340</v>
      </c>
      <c r="D1469" t="inlineStr">
        <is>
          <t>UPPSALA LÄN</t>
        </is>
      </c>
      <c r="E1469" t="inlineStr">
        <is>
          <t>UPPSALA</t>
        </is>
      </c>
      <c r="F1469" t="inlineStr">
        <is>
          <t>Bergvik skog öst AB</t>
        </is>
      </c>
      <c r="G1469" t="n">
        <v>6.6</v>
      </c>
      <c r="H1469" t="n">
        <v>0</v>
      </c>
      <c r="I1469" t="n">
        <v>0</v>
      </c>
      <c r="J1469" t="n">
        <v>0</v>
      </c>
      <c r="K1469" t="n">
        <v>0</v>
      </c>
      <c r="L1469" t="n">
        <v>0</v>
      </c>
      <c r="M1469" t="n">
        <v>0</v>
      </c>
      <c r="N1469" t="n">
        <v>0</v>
      </c>
      <c r="O1469" t="n">
        <v>0</v>
      </c>
      <c r="P1469" t="n">
        <v>0</v>
      </c>
      <c r="Q1469" t="n">
        <v>0</v>
      </c>
      <c r="R14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2024-02-18T23:32:44Z</dcterms:created>
  <dcterms:modified xmlns:dcterms="http://purl.org/dc/terms/" xmlns:xsi="http://www.w3.org/2001/XMLSchema-instance" xsi:type="dcterms:W3CDTF">2024-02-18T23:32:46Z</dcterms:modified>
</cp:coreProperties>
</file>