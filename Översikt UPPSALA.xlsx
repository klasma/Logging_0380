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9409-2025</t>
        </is>
      </c>
      <c r="B9" s="1" t="n">
        <v>45715.38824074074</v>
      </c>
      <c r="C9" s="1" t="n">
        <v>45992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45992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45992</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45992</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45992</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45992</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45992</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45992</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45992</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45992</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45992</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45992</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45992</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45992</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45992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45992</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45992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45992</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45992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45992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25608-2025</t>
        </is>
      </c>
      <c r="B29" s="1" t="n">
        <v>45803.55535879629</v>
      </c>
      <c r="C29" s="1" t="n">
        <v>45992</v>
      </c>
      <c r="D29" t="inlineStr">
        <is>
          <t>UPPSALA LÄN</t>
        </is>
      </c>
      <c r="E29" t="inlineStr">
        <is>
          <t>UPPSALA</t>
        </is>
      </c>
      <c r="F29" t="inlineStr">
        <is>
          <t>Holmen skog AB</t>
        </is>
      </c>
      <c r="G29" t="n">
        <v>3</v>
      </c>
      <c r="H29" t="n">
        <v>4</v>
      </c>
      <c r="I29" t="n">
        <v>2</v>
      </c>
      <c r="J29" t="n">
        <v>3</v>
      </c>
      <c r="K29" t="n">
        <v>2</v>
      </c>
      <c r="L29" t="n">
        <v>0</v>
      </c>
      <c r="M29" t="n">
        <v>0</v>
      </c>
      <c r="N29" t="n">
        <v>0</v>
      </c>
      <c r="O29" t="n">
        <v>5</v>
      </c>
      <c r="P29" t="n">
        <v>2</v>
      </c>
      <c r="Q29" t="n">
        <v>8</v>
      </c>
      <c r="R29" s="2" t="inlineStr">
        <is>
          <t>Knärot
Rynkskinn
Spillkråka
Talltita
Ullticka
Bronshjon
Stuplav
Blåsippa</t>
        </is>
      </c>
      <c r="S29">
        <f>HYPERLINK("https://klasma.github.io/Logging_0380/artfynd/A 25608-2025 artfynd.xlsx", "A 25608-2025")</f>
        <v/>
      </c>
      <c r="T29">
        <f>HYPERLINK("https://klasma.github.io/Logging_0380/kartor/A 25608-2025 karta.png", "A 25608-2025")</f>
        <v/>
      </c>
      <c r="U29">
        <f>HYPERLINK("https://klasma.github.io/Logging_0380/knärot/A 25608-2025 karta knärot.png", "A 25608-2025")</f>
        <v/>
      </c>
      <c r="V29">
        <f>HYPERLINK("https://klasma.github.io/Logging_0380/klagomål/A 25608-2025 FSC-klagomål.docx", "A 25608-2025")</f>
        <v/>
      </c>
      <c r="W29">
        <f>HYPERLINK("https://klasma.github.io/Logging_0380/klagomålsmail/A 25608-2025 FSC-klagomål mail.docx", "A 25608-2025")</f>
        <v/>
      </c>
      <c r="X29">
        <f>HYPERLINK("https://klasma.github.io/Logging_0380/tillsyn/A 25608-2025 tillsynsbegäran.docx", "A 25608-2025")</f>
        <v/>
      </c>
      <c r="Y29">
        <f>HYPERLINK("https://klasma.github.io/Logging_0380/tillsynsmail/A 25608-2025 tillsynsbegäran mail.docx", "A 25608-2025")</f>
        <v/>
      </c>
      <c r="Z29">
        <f>HYPERLINK("https://klasma.github.io/Logging_0380/fåglar/A 25608-2025 prioriterade fågelarter.docx", "A 25608-2025")</f>
        <v/>
      </c>
    </row>
    <row r="30" ht="15" customHeight="1">
      <c r="A30" t="inlineStr">
        <is>
          <t>A 61014-2021</t>
        </is>
      </c>
      <c r="B30" s="1" t="n">
        <v>44497</v>
      </c>
      <c r="C30" s="1" t="n">
        <v>45992</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45992</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45992</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33636-2025</t>
        </is>
      </c>
      <c r="B33" s="1" t="n">
        <v>45841.64539351852</v>
      </c>
      <c r="C33" s="1" t="n">
        <v>45992</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45992</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45992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45992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45992</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3100-2024</t>
        </is>
      </c>
      <c r="B38" s="1" t="n">
        <v>45316</v>
      </c>
      <c r="C38" s="1" t="n">
        <v>45992</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27625-2023</t>
        </is>
      </c>
      <c r="B39" s="1" t="n">
        <v>45097</v>
      </c>
      <c r="C39" s="1" t="n">
        <v>45992</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21809-2024</t>
        </is>
      </c>
      <c r="B40" s="1" t="n">
        <v>45442</v>
      </c>
      <c r="C40" s="1" t="n">
        <v>45992</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29803-2023</t>
        </is>
      </c>
      <c r="B41" s="1" t="n">
        <v>45107</v>
      </c>
      <c r="C41" s="1" t="n">
        <v>45992</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44601-2025</t>
        </is>
      </c>
      <c r="B42" s="1" t="n">
        <v>45917.43857638889</v>
      </c>
      <c r="C42" s="1" t="n">
        <v>45992</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1725-2022</t>
        </is>
      </c>
      <c r="B43" s="1" t="n">
        <v>44574</v>
      </c>
      <c r="C43" s="1" t="n">
        <v>45992</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45992</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45992</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45992</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45992</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45992</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45992</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45992</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45992</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45992</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45992</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45992</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45992</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60038-2021</t>
        </is>
      </c>
      <c r="B56" s="1" t="n">
        <v>44495</v>
      </c>
      <c r="C56" s="1" t="n">
        <v>45992</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43280-2025</t>
        </is>
      </c>
      <c r="B57" s="1" t="n">
        <v>45910.59475694445</v>
      </c>
      <c r="C57" s="1" t="n">
        <v>45992</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45992</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45627-2025</t>
        </is>
      </c>
      <c r="B59" s="1" t="n">
        <v>45922.80255787037</v>
      </c>
      <c r="C59" s="1" t="n">
        <v>45992</v>
      </c>
      <c r="D59" t="inlineStr">
        <is>
          <t>UPPSALA LÄN</t>
        </is>
      </c>
      <c r="E59" t="inlineStr">
        <is>
          <t>UPPSALA</t>
        </is>
      </c>
      <c r="G59" t="n">
        <v>4</v>
      </c>
      <c r="H59" t="n">
        <v>2</v>
      </c>
      <c r="I59" t="n">
        <v>0</v>
      </c>
      <c r="J59" t="n">
        <v>3</v>
      </c>
      <c r="K59" t="n">
        <v>0</v>
      </c>
      <c r="L59" t="n">
        <v>0</v>
      </c>
      <c r="M59" t="n">
        <v>0</v>
      </c>
      <c r="N59" t="n">
        <v>0</v>
      </c>
      <c r="O59" t="n">
        <v>3</v>
      </c>
      <c r="P59" t="n">
        <v>0</v>
      </c>
      <c r="Q59" t="n">
        <v>3</v>
      </c>
      <c r="R59" s="2" t="inlineStr">
        <is>
          <t>Kungsspindling
Spillkråka
Talltita</t>
        </is>
      </c>
      <c r="S59">
        <f>HYPERLINK("https://klasma.github.io/Logging_0380/artfynd/A 45627-2025 artfynd.xlsx", "A 45627-2025")</f>
        <v/>
      </c>
      <c r="T59">
        <f>HYPERLINK("https://klasma.github.io/Logging_0380/kartor/A 45627-2025 karta.png", "A 45627-2025")</f>
        <v/>
      </c>
      <c r="V59">
        <f>HYPERLINK("https://klasma.github.io/Logging_0380/klagomål/A 45627-2025 FSC-klagomål.docx", "A 45627-2025")</f>
        <v/>
      </c>
      <c r="W59">
        <f>HYPERLINK("https://klasma.github.io/Logging_0380/klagomålsmail/A 45627-2025 FSC-klagomål mail.docx", "A 45627-2025")</f>
        <v/>
      </c>
      <c r="X59">
        <f>HYPERLINK("https://klasma.github.io/Logging_0380/tillsyn/A 45627-2025 tillsynsbegäran.docx", "A 45627-2025")</f>
        <v/>
      </c>
      <c r="Y59">
        <f>HYPERLINK("https://klasma.github.io/Logging_0380/tillsynsmail/A 45627-2025 tillsynsbegäran mail.docx", "A 45627-2025")</f>
        <v/>
      </c>
      <c r="Z59">
        <f>HYPERLINK("https://klasma.github.io/Logging_0380/fåglar/A 45627-2025 prioriterade fågelarter.docx", "A 45627-2025")</f>
        <v/>
      </c>
    </row>
    <row r="60" ht="15" customHeight="1">
      <c r="A60" t="inlineStr">
        <is>
          <t>A 18079-2022</t>
        </is>
      </c>
      <c r="B60" s="1" t="n">
        <v>44684</v>
      </c>
      <c r="C60" s="1" t="n">
        <v>45992</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55788-2025</t>
        </is>
      </c>
      <c r="B61" s="1" t="n">
        <v>45972.64483796297</v>
      </c>
      <c r="C61" s="1" t="n">
        <v>45992</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17277-2023</t>
        </is>
      </c>
      <c r="B62" s="1" t="n">
        <v>45035.44672453704</v>
      </c>
      <c r="C62" s="1" t="n">
        <v>45992</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36471-2022</t>
        </is>
      </c>
      <c r="B63" s="1" t="n">
        <v>44804</v>
      </c>
      <c r="C63" s="1" t="n">
        <v>45992</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45992</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6998-2023</t>
        </is>
      </c>
      <c r="B65" s="1" t="n">
        <v>44967</v>
      </c>
      <c r="C65" s="1" t="n">
        <v>45992</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45992</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25660-2025</t>
        </is>
      </c>
      <c r="B67" s="1" t="n">
        <v>45803.61554398148</v>
      </c>
      <c r="C67" s="1" t="n">
        <v>45992</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45992</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41921-2025</t>
        </is>
      </c>
      <c r="B69" s="1" t="n">
        <v>45903</v>
      </c>
      <c r="C69" s="1" t="n">
        <v>45992</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5755-2025</t>
        </is>
      </c>
      <c r="B70" s="1" t="n">
        <v>45694.55559027778</v>
      </c>
      <c r="C70" s="1" t="n">
        <v>45992</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58906-2021</t>
        </is>
      </c>
      <c r="B71" s="1" t="n">
        <v>44489</v>
      </c>
      <c r="C71" s="1" t="n">
        <v>45992</v>
      </c>
      <c r="D71" t="inlineStr">
        <is>
          <t>UPPSALA LÄN</t>
        </is>
      </c>
      <c r="E71" t="inlineStr">
        <is>
          <t>UPPSALA</t>
        </is>
      </c>
      <c r="G71" t="n">
        <v>8.6</v>
      </c>
      <c r="H71" t="n">
        <v>1</v>
      </c>
      <c r="I71" t="n">
        <v>0</v>
      </c>
      <c r="J71" t="n">
        <v>1</v>
      </c>
      <c r="K71" t="n">
        <v>0</v>
      </c>
      <c r="L71" t="n">
        <v>0</v>
      </c>
      <c r="M71" t="n">
        <v>0</v>
      </c>
      <c r="N71" t="n">
        <v>0</v>
      </c>
      <c r="O71" t="n">
        <v>1</v>
      </c>
      <c r="P71" t="n">
        <v>0</v>
      </c>
      <c r="Q71" t="n">
        <v>2</v>
      </c>
      <c r="R71" s="2" t="inlineStr">
        <is>
          <t>Ullticka
Tjäder</t>
        </is>
      </c>
      <c r="S71">
        <f>HYPERLINK("https://klasma.github.io/Logging_0380/artfynd/A 58906-2021 artfynd.xlsx", "A 58906-2021")</f>
        <v/>
      </c>
      <c r="T71">
        <f>HYPERLINK("https://klasma.github.io/Logging_0380/kartor/A 58906-2021 karta.png", "A 58906-2021")</f>
        <v/>
      </c>
      <c r="V71">
        <f>HYPERLINK("https://klasma.github.io/Logging_0380/klagomål/A 58906-2021 FSC-klagomål.docx", "A 58906-2021")</f>
        <v/>
      </c>
      <c r="W71">
        <f>HYPERLINK("https://klasma.github.io/Logging_0380/klagomålsmail/A 58906-2021 FSC-klagomål mail.docx", "A 58906-2021")</f>
        <v/>
      </c>
      <c r="X71">
        <f>HYPERLINK("https://klasma.github.io/Logging_0380/tillsyn/A 58906-2021 tillsynsbegäran.docx", "A 58906-2021")</f>
        <v/>
      </c>
      <c r="Y71">
        <f>HYPERLINK("https://klasma.github.io/Logging_0380/tillsynsmail/A 58906-2021 tillsynsbegäran mail.docx", "A 58906-2021")</f>
        <v/>
      </c>
      <c r="Z71">
        <f>HYPERLINK("https://klasma.github.io/Logging_0380/fåglar/A 58906-2021 prioriterade fågelarter.docx", "A 58906-2021")</f>
        <v/>
      </c>
    </row>
    <row r="72" ht="15" customHeight="1">
      <c r="A72" t="inlineStr">
        <is>
          <t>A 52503-2025</t>
        </is>
      </c>
      <c r="B72" s="1" t="n">
        <v>45954.49768518518</v>
      </c>
      <c r="C72" s="1" t="n">
        <v>45992</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33708-2025</t>
        </is>
      </c>
      <c r="B73" s="1" t="n">
        <v>45841.81555555556</v>
      </c>
      <c r="C73" s="1" t="n">
        <v>45992</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45992</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57715-2025</t>
        </is>
      </c>
      <c r="B75" s="1" t="n">
        <v>45981</v>
      </c>
      <c r="C75" s="1" t="n">
        <v>45992</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51749-2023</t>
        </is>
      </c>
      <c r="B76" s="1" t="n">
        <v>45222</v>
      </c>
      <c r="C76" s="1" t="n">
        <v>45992</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39933-2023</t>
        </is>
      </c>
      <c r="B77" s="1" t="n">
        <v>45168.50667824074</v>
      </c>
      <c r="C77" s="1" t="n">
        <v>45992</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88-2024</t>
        </is>
      </c>
      <c r="B78" s="1" t="n">
        <v>45293</v>
      </c>
      <c r="C78" s="1" t="n">
        <v>45992</v>
      </c>
      <c r="D78" t="inlineStr">
        <is>
          <t>UPPSALA LÄN</t>
        </is>
      </c>
      <c r="E78" t="inlineStr">
        <is>
          <t>UPPSALA</t>
        </is>
      </c>
      <c r="G78" t="n">
        <v>2.1</v>
      </c>
      <c r="H78" t="n">
        <v>0</v>
      </c>
      <c r="I78" t="n">
        <v>0</v>
      </c>
      <c r="J78" t="n">
        <v>1</v>
      </c>
      <c r="K78" t="n">
        <v>0</v>
      </c>
      <c r="L78" t="n">
        <v>1</v>
      </c>
      <c r="M78" t="n">
        <v>0</v>
      </c>
      <c r="N78" t="n">
        <v>0</v>
      </c>
      <c r="O78" t="n">
        <v>2</v>
      </c>
      <c r="P78" t="n">
        <v>1</v>
      </c>
      <c r="Q78" t="n">
        <v>2</v>
      </c>
      <c r="R78" s="2" t="inlineStr">
        <is>
          <t>Ask
Gullklöver</t>
        </is>
      </c>
      <c r="S78">
        <f>HYPERLINK("https://klasma.github.io/Logging_0380/artfynd/A 88-2024 artfynd.xlsx", "A 88-2024")</f>
        <v/>
      </c>
      <c r="T78">
        <f>HYPERLINK("https://klasma.github.io/Logging_0380/kartor/A 88-2024 karta.png", "A 88-2024")</f>
        <v/>
      </c>
      <c r="V78">
        <f>HYPERLINK("https://klasma.github.io/Logging_0380/klagomål/A 88-2024 FSC-klagomål.docx", "A 88-2024")</f>
        <v/>
      </c>
      <c r="W78">
        <f>HYPERLINK("https://klasma.github.io/Logging_0380/klagomålsmail/A 88-2024 FSC-klagomål mail.docx", "A 88-2024")</f>
        <v/>
      </c>
      <c r="X78">
        <f>HYPERLINK("https://klasma.github.io/Logging_0380/tillsyn/A 88-2024 tillsynsbegäran.docx", "A 88-2024")</f>
        <v/>
      </c>
      <c r="Y78">
        <f>HYPERLINK("https://klasma.github.io/Logging_0380/tillsynsmail/A 88-2024 tillsynsbegäran mail.docx", "A 88-2024")</f>
        <v/>
      </c>
    </row>
    <row r="79" ht="15" customHeight="1">
      <c r="A79" t="inlineStr">
        <is>
          <t>A 8865-2022</t>
        </is>
      </c>
      <c r="B79" s="1" t="n">
        <v>44614</v>
      </c>
      <c r="C79" s="1" t="n">
        <v>45992</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45992</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45992</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45992</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9206-2024</t>
        </is>
      </c>
      <c r="B83" s="1" t="n">
        <v>45358</v>
      </c>
      <c r="C83" s="1" t="n">
        <v>45992</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29906-2023</t>
        </is>
      </c>
      <c r="B84" s="1" t="n">
        <v>45107</v>
      </c>
      <c r="C84" s="1" t="n">
        <v>45992</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844-2025</t>
        </is>
      </c>
      <c r="B85" s="1" t="n">
        <v>45665</v>
      </c>
      <c r="C85" s="1" t="n">
        <v>45992</v>
      </c>
      <c r="D85" t="inlineStr">
        <is>
          <t>UPPSALA LÄN</t>
        </is>
      </c>
      <c r="E85" t="inlineStr">
        <is>
          <t>UPPSALA</t>
        </is>
      </c>
      <c r="G85" t="n">
        <v>2.6</v>
      </c>
      <c r="H85" t="n">
        <v>1</v>
      </c>
      <c r="I85" t="n">
        <v>0</v>
      </c>
      <c r="J85" t="n">
        <v>0</v>
      </c>
      <c r="K85" t="n">
        <v>0</v>
      </c>
      <c r="L85" t="n">
        <v>0</v>
      </c>
      <c r="M85" t="n">
        <v>0</v>
      </c>
      <c r="N85" t="n">
        <v>0</v>
      </c>
      <c r="O85" t="n">
        <v>0</v>
      </c>
      <c r="P85" t="n">
        <v>0</v>
      </c>
      <c r="Q85" t="n">
        <v>1</v>
      </c>
      <c r="R85" s="2" t="inlineStr">
        <is>
          <t>Tjäder</t>
        </is>
      </c>
      <c r="S85">
        <f>HYPERLINK("https://klasma.github.io/Logging_0380/artfynd/A 844-2025 artfynd.xlsx", "A 844-2025")</f>
        <v/>
      </c>
      <c r="T85">
        <f>HYPERLINK("https://klasma.github.io/Logging_0380/kartor/A 844-2025 karta.png", "A 844-2025")</f>
        <v/>
      </c>
      <c r="V85">
        <f>HYPERLINK("https://klasma.github.io/Logging_0380/klagomål/A 844-2025 FSC-klagomål.docx", "A 844-2025")</f>
        <v/>
      </c>
      <c r="W85">
        <f>HYPERLINK("https://klasma.github.io/Logging_0380/klagomålsmail/A 844-2025 FSC-klagomål mail.docx", "A 844-2025")</f>
        <v/>
      </c>
      <c r="X85">
        <f>HYPERLINK("https://klasma.github.io/Logging_0380/tillsyn/A 844-2025 tillsynsbegäran.docx", "A 844-2025")</f>
        <v/>
      </c>
      <c r="Y85">
        <f>HYPERLINK("https://klasma.github.io/Logging_0380/tillsynsmail/A 844-2025 tillsynsbegäran mail.docx", "A 844-2025")</f>
        <v/>
      </c>
      <c r="Z85">
        <f>HYPERLINK("https://klasma.github.io/Logging_0380/fåglar/A 844-2025 prioriterade fågelarter.docx", "A 844-2025")</f>
        <v/>
      </c>
    </row>
    <row r="86" ht="15" customHeight="1">
      <c r="A86" t="inlineStr">
        <is>
          <t>A 5732-2025</t>
        </is>
      </c>
      <c r="B86" s="1" t="n">
        <v>45694.49650462963</v>
      </c>
      <c r="C86" s="1" t="n">
        <v>45992</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26923-2025</t>
        </is>
      </c>
      <c r="B87" s="1" t="n">
        <v>45811.38710648148</v>
      </c>
      <c r="C87" s="1" t="n">
        <v>45992</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27848-2023</t>
        </is>
      </c>
      <c r="B88" s="1" t="n">
        <v>45098</v>
      </c>
      <c r="C88" s="1" t="n">
        <v>45992</v>
      </c>
      <c r="D88" t="inlineStr">
        <is>
          <t>UPPSALA LÄN</t>
        </is>
      </c>
      <c r="E88" t="inlineStr">
        <is>
          <t>UPPSALA</t>
        </is>
      </c>
      <c r="G88" t="n">
        <v>14.3</v>
      </c>
      <c r="H88" t="n">
        <v>0</v>
      </c>
      <c r="I88" t="n">
        <v>1</v>
      </c>
      <c r="J88" t="n">
        <v>0</v>
      </c>
      <c r="K88" t="n">
        <v>0</v>
      </c>
      <c r="L88" t="n">
        <v>0</v>
      </c>
      <c r="M88" t="n">
        <v>0</v>
      </c>
      <c r="N88" t="n">
        <v>0</v>
      </c>
      <c r="O88" t="n">
        <v>0</v>
      </c>
      <c r="P88" t="n">
        <v>0</v>
      </c>
      <c r="Q88" t="n">
        <v>1</v>
      </c>
      <c r="R88" s="2" t="inlineStr">
        <is>
          <t>Blåmossa</t>
        </is>
      </c>
      <c r="S88">
        <f>HYPERLINK("https://klasma.github.io/Logging_0380/artfynd/A 27848-2023 artfynd.xlsx", "A 27848-2023")</f>
        <v/>
      </c>
      <c r="T88">
        <f>HYPERLINK("https://klasma.github.io/Logging_0380/kartor/A 27848-2023 karta.png", "A 27848-2023")</f>
        <v/>
      </c>
      <c r="V88">
        <f>HYPERLINK("https://klasma.github.io/Logging_0380/klagomål/A 27848-2023 FSC-klagomål.docx", "A 27848-2023")</f>
        <v/>
      </c>
      <c r="W88">
        <f>HYPERLINK("https://klasma.github.io/Logging_0380/klagomålsmail/A 27848-2023 FSC-klagomål mail.docx", "A 27848-2023")</f>
        <v/>
      </c>
      <c r="X88">
        <f>HYPERLINK("https://klasma.github.io/Logging_0380/tillsyn/A 27848-2023 tillsynsbegäran.docx", "A 27848-2023")</f>
        <v/>
      </c>
      <c r="Y88">
        <f>HYPERLINK("https://klasma.github.io/Logging_0380/tillsynsmail/A 27848-2023 tillsynsbegäran mail.docx", "A 27848-2023")</f>
        <v/>
      </c>
    </row>
    <row r="89" ht="15" customHeight="1">
      <c r="A89" t="inlineStr">
        <is>
          <t>A 40568-2025</t>
        </is>
      </c>
      <c r="B89" s="1" t="n">
        <v>45896.47487268518</v>
      </c>
      <c r="C89" s="1" t="n">
        <v>45992</v>
      </c>
      <c r="D89" t="inlineStr">
        <is>
          <t>UPPSALA LÄN</t>
        </is>
      </c>
      <c r="E89" t="inlineStr">
        <is>
          <t>UPPSALA</t>
        </is>
      </c>
      <c r="F89" t="inlineStr">
        <is>
          <t>Kyrkan</t>
        </is>
      </c>
      <c r="G89" t="n">
        <v>2.1</v>
      </c>
      <c r="H89" t="n">
        <v>0</v>
      </c>
      <c r="I89" t="n">
        <v>1</v>
      </c>
      <c r="J89" t="n">
        <v>0</v>
      </c>
      <c r="K89" t="n">
        <v>0</v>
      </c>
      <c r="L89" t="n">
        <v>0</v>
      </c>
      <c r="M89" t="n">
        <v>0</v>
      </c>
      <c r="N89" t="n">
        <v>0</v>
      </c>
      <c r="O89" t="n">
        <v>0</v>
      </c>
      <c r="P89" t="n">
        <v>0</v>
      </c>
      <c r="Q89" t="n">
        <v>1</v>
      </c>
      <c r="R89" s="2" t="inlineStr">
        <is>
          <t>Rödgul trumpetsvamp</t>
        </is>
      </c>
      <c r="S89">
        <f>HYPERLINK("https://klasma.github.io/Logging_0380/artfynd/A 40568-2025 artfynd.xlsx", "A 40568-2025")</f>
        <v/>
      </c>
      <c r="T89">
        <f>HYPERLINK("https://klasma.github.io/Logging_0380/kartor/A 40568-2025 karta.png", "A 40568-2025")</f>
        <v/>
      </c>
      <c r="V89">
        <f>HYPERLINK("https://klasma.github.io/Logging_0380/klagomål/A 40568-2025 FSC-klagomål.docx", "A 40568-2025")</f>
        <v/>
      </c>
      <c r="W89">
        <f>HYPERLINK("https://klasma.github.io/Logging_0380/klagomålsmail/A 40568-2025 FSC-klagomål mail.docx", "A 40568-2025")</f>
        <v/>
      </c>
      <c r="X89">
        <f>HYPERLINK("https://klasma.github.io/Logging_0380/tillsyn/A 40568-2025 tillsynsbegäran.docx", "A 40568-2025")</f>
        <v/>
      </c>
      <c r="Y89">
        <f>HYPERLINK("https://klasma.github.io/Logging_0380/tillsynsmail/A 40568-2025 tillsynsbegäran mail.docx", "A 40568-2025")</f>
        <v/>
      </c>
    </row>
    <row r="90" ht="15" customHeight="1">
      <c r="A90" t="inlineStr">
        <is>
          <t>A 3304-2025</t>
        </is>
      </c>
      <c r="B90" s="1" t="n">
        <v>45679</v>
      </c>
      <c r="C90" s="1" t="n">
        <v>45992</v>
      </c>
      <c r="D90" t="inlineStr">
        <is>
          <t>UPPSALA LÄN</t>
        </is>
      </c>
      <c r="E90" t="inlineStr">
        <is>
          <t>UPPSALA</t>
        </is>
      </c>
      <c r="F90" t="inlineStr">
        <is>
          <t>Övriga statliga verk och myndigheter</t>
        </is>
      </c>
      <c r="G90" t="n">
        <v>3.8</v>
      </c>
      <c r="H90" t="n">
        <v>1</v>
      </c>
      <c r="I90" t="n">
        <v>0</v>
      </c>
      <c r="J90" t="n">
        <v>0</v>
      </c>
      <c r="K90" t="n">
        <v>0</v>
      </c>
      <c r="L90" t="n">
        <v>0</v>
      </c>
      <c r="M90" t="n">
        <v>0</v>
      </c>
      <c r="N90" t="n">
        <v>0</v>
      </c>
      <c r="O90" t="n">
        <v>0</v>
      </c>
      <c r="P90" t="n">
        <v>0</v>
      </c>
      <c r="Q90" t="n">
        <v>1</v>
      </c>
      <c r="R90" s="2" t="inlineStr">
        <is>
          <t>Blåsippa</t>
        </is>
      </c>
      <c r="S90">
        <f>HYPERLINK("https://klasma.github.io/Logging_0380/artfynd/A 3304-2025 artfynd.xlsx", "A 3304-2025")</f>
        <v/>
      </c>
      <c r="T90">
        <f>HYPERLINK("https://klasma.github.io/Logging_0380/kartor/A 3304-2025 karta.png", "A 3304-2025")</f>
        <v/>
      </c>
      <c r="V90">
        <f>HYPERLINK("https://klasma.github.io/Logging_0380/klagomål/A 3304-2025 FSC-klagomål.docx", "A 3304-2025")</f>
        <v/>
      </c>
      <c r="W90">
        <f>HYPERLINK("https://klasma.github.io/Logging_0380/klagomålsmail/A 3304-2025 FSC-klagomål mail.docx", "A 3304-2025")</f>
        <v/>
      </c>
      <c r="X90">
        <f>HYPERLINK("https://klasma.github.io/Logging_0380/tillsyn/A 3304-2025 tillsynsbegäran.docx", "A 3304-2025")</f>
        <v/>
      </c>
      <c r="Y90">
        <f>HYPERLINK("https://klasma.github.io/Logging_0380/tillsynsmail/A 3304-2025 tillsynsbegäran mail.docx", "A 3304-2025")</f>
        <v/>
      </c>
    </row>
    <row r="91" ht="15" customHeight="1">
      <c r="A91" t="inlineStr">
        <is>
          <t>A 28056-2025</t>
        </is>
      </c>
      <c r="B91" s="1" t="n">
        <v>45817</v>
      </c>
      <c r="C91" s="1" t="n">
        <v>45992</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41606-2025</t>
        </is>
      </c>
      <c r="B92" s="1" t="n">
        <v>45901.66702546296</v>
      </c>
      <c r="C92" s="1" t="n">
        <v>45992</v>
      </c>
      <c r="D92" t="inlineStr">
        <is>
          <t>UPPSALA LÄN</t>
        </is>
      </c>
      <c r="E92" t="inlineStr">
        <is>
          <t>UPPSALA</t>
        </is>
      </c>
      <c r="G92" t="n">
        <v>5.1</v>
      </c>
      <c r="H92" t="n">
        <v>0</v>
      </c>
      <c r="I92" t="n">
        <v>1</v>
      </c>
      <c r="J92" t="n">
        <v>0</v>
      </c>
      <c r="K92" t="n">
        <v>0</v>
      </c>
      <c r="L92" t="n">
        <v>0</v>
      </c>
      <c r="M92" t="n">
        <v>0</v>
      </c>
      <c r="N92" t="n">
        <v>0</v>
      </c>
      <c r="O92" t="n">
        <v>0</v>
      </c>
      <c r="P92" t="n">
        <v>0</v>
      </c>
      <c r="Q92" t="n">
        <v>1</v>
      </c>
      <c r="R92" s="2" t="inlineStr">
        <is>
          <t>Granbräken</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27824-2025</t>
        </is>
      </c>
      <c r="B93" s="1" t="n">
        <v>45817.34614583333</v>
      </c>
      <c r="C93" s="1" t="n">
        <v>45992</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45992</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45992</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29664-2025</t>
        </is>
      </c>
      <c r="B96" s="1" t="n">
        <v>45825.49060185185</v>
      </c>
      <c r="C96" s="1" t="n">
        <v>45992</v>
      </c>
      <c r="D96" t="inlineStr">
        <is>
          <t>UPPSALA LÄN</t>
        </is>
      </c>
      <c r="E96" t="inlineStr">
        <is>
          <t>UPPSALA</t>
        </is>
      </c>
      <c r="F96" t="inlineStr">
        <is>
          <t>Holmen skog AB</t>
        </is>
      </c>
      <c r="G96" t="n">
        <v>16.8</v>
      </c>
      <c r="H96" t="n">
        <v>0</v>
      </c>
      <c r="I96" t="n">
        <v>1</v>
      </c>
      <c r="J96" t="n">
        <v>0</v>
      </c>
      <c r="K96" t="n">
        <v>0</v>
      </c>
      <c r="L96" t="n">
        <v>0</v>
      </c>
      <c r="M96" t="n">
        <v>0</v>
      </c>
      <c r="N96" t="n">
        <v>0</v>
      </c>
      <c r="O96" t="n">
        <v>0</v>
      </c>
      <c r="P96" t="n">
        <v>0</v>
      </c>
      <c r="Q96" t="n">
        <v>1</v>
      </c>
      <c r="R96" s="2" t="inlineStr">
        <is>
          <t>Fjällig taggsvamp s.str.</t>
        </is>
      </c>
      <c r="S96">
        <f>HYPERLINK("https://klasma.github.io/Logging_0380/artfynd/A 29664-2025 artfynd.xlsx", "A 29664-2025")</f>
        <v/>
      </c>
      <c r="T96">
        <f>HYPERLINK("https://klasma.github.io/Logging_0380/kartor/A 29664-2025 karta.png", "A 29664-2025")</f>
        <v/>
      </c>
      <c r="V96">
        <f>HYPERLINK("https://klasma.github.io/Logging_0380/klagomål/A 29664-2025 FSC-klagomål.docx", "A 29664-2025")</f>
        <v/>
      </c>
      <c r="W96">
        <f>HYPERLINK("https://klasma.github.io/Logging_0380/klagomålsmail/A 29664-2025 FSC-klagomål mail.docx", "A 29664-2025")</f>
        <v/>
      </c>
      <c r="X96">
        <f>HYPERLINK("https://klasma.github.io/Logging_0380/tillsyn/A 29664-2025 tillsynsbegäran.docx", "A 29664-2025")</f>
        <v/>
      </c>
      <c r="Y96">
        <f>HYPERLINK("https://klasma.github.io/Logging_0380/tillsynsmail/A 29664-2025 tillsynsbegäran mail.docx", "A 29664-2025")</f>
        <v/>
      </c>
    </row>
    <row r="97" ht="15" customHeight="1">
      <c r="A97" t="inlineStr">
        <is>
          <t>A 61818-2022</t>
        </is>
      </c>
      <c r="B97" s="1" t="n">
        <v>44917</v>
      </c>
      <c r="C97" s="1" t="n">
        <v>45992</v>
      </c>
      <c r="D97" t="inlineStr">
        <is>
          <t>UPPSALA LÄN</t>
        </is>
      </c>
      <c r="E97" t="inlineStr">
        <is>
          <t>UPPSALA</t>
        </is>
      </c>
      <c r="F97" t="inlineStr">
        <is>
          <t>Holmen skog AB</t>
        </is>
      </c>
      <c r="G97" t="n">
        <v>0.8</v>
      </c>
      <c r="H97" t="n">
        <v>0</v>
      </c>
      <c r="I97" t="n">
        <v>0</v>
      </c>
      <c r="J97" t="n">
        <v>1</v>
      </c>
      <c r="K97" t="n">
        <v>0</v>
      </c>
      <c r="L97" t="n">
        <v>0</v>
      </c>
      <c r="M97" t="n">
        <v>0</v>
      </c>
      <c r="N97" t="n">
        <v>0</v>
      </c>
      <c r="O97" t="n">
        <v>1</v>
      </c>
      <c r="P97" t="n">
        <v>0</v>
      </c>
      <c r="Q97" t="n">
        <v>1</v>
      </c>
      <c r="R97" s="2" t="inlineStr">
        <is>
          <t>Blekticka</t>
        </is>
      </c>
      <c r="S97">
        <f>HYPERLINK("https://klasma.github.io/Logging_0380/artfynd/A 61818-2022 artfynd.xlsx", "A 61818-2022")</f>
        <v/>
      </c>
      <c r="T97">
        <f>HYPERLINK("https://klasma.github.io/Logging_0380/kartor/A 61818-2022 karta.png", "A 61818-2022")</f>
        <v/>
      </c>
      <c r="V97">
        <f>HYPERLINK("https://klasma.github.io/Logging_0380/klagomål/A 61818-2022 FSC-klagomål.docx", "A 61818-2022")</f>
        <v/>
      </c>
      <c r="W97">
        <f>HYPERLINK("https://klasma.github.io/Logging_0380/klagomålsmail/A 61818-2022 FSC-klagomål mail.docx", "A 61818-2022")</f>
        <v/>
      </c>
      <c r="X97">
        <f>HYPERLINK("https://klasma.github.io/Logging_0380/tillsyn/A 61818-2022 tillsynsbegäran.docx", "A 61818-2022")</f>
        <v/>
      </c>
      <c r="Y97">
        <f>HYPERLINK("https://klasma.github.io/Logging_0380/tillsynsmail/A 61818-2022 tillsynsbegäran mail.docx", "A 61818-2022")</f>
        <v/>
      </c>
    </row>
    <row r="98" ht="15" customHeight="1">
      <c r="A98" t="inlineStr">
        <is>
          <t>A 49015-2022</t>
        </is>
      </c>
      <c r="B98" s="1" t="n">
        <v>44855</v>
      </c>
      <c r="C98" s="1" t="n">
        <v>45992</v>
      </c>
      <c r="D98" t="inlineStr">
        <is>
          <t>UPPSALA LÄN</t>
        </is>
      </c>
      <c r="E98" t="inlineStr">
        <is>
          <t>UPPSALA</t>
        </is>
      </c>
      <c r="F98" t="inlineStr">
        <is>
          <t>Kommuner</t>
        </is>
      </c>
      <c r="G98" t="n">
        <v>4.5</v>
      </c>
      <c r="H98" t="n">
        <v>0</v>
      </c>
      <c r="I98" t="n">
        <v>0</v>
      </c>
      <c r="J98" t="n">
        <v>1</v>
      </c>
      <c r="K98" t="n">
        <v>0</v>
      </c>
      <c r="L98" t="n">
        <v>0</v>
      </c>
      <c r="M98" t="n">
        <v>0</v>
      </c>
      <c r="N98" t="n">
        <v>0</v>
      </c>
      <c r="O98" t="n">
        <v>1</v>
      </c>
      <c r="P98" t="n">
        <v>0</v>
      </c>
      <c r="Q98" t="n">
        <v>1</v>
      </c>
      <c r="R98" s="2" t="inlineStr">
        <is>
          <t>Harticka</t>
        </is>
      </c>
      <c r="S98">
        <f>HYPERLINK("https://klasma.github.io/Logging_0380/artfynd/A 49015-2022 artfynd.xlsx", "A 49015-2022")</f>
        <v/>
      </c>
      <c r="T98">
        <f>HYPERLINK("https://klasma.github.io/Logging_0380/kartor/A 49015-2022 karta.png", "A 49015-2022")</f>
        <v/>
      </c>
      <c r="V98">
        <f>HYPERLINK("https://klasma.github.io/Logging_0380/klagomål/A 49015-2022 FSC-klagomål.docx", "A 49015-2022")</f>
        <v/>
      </c>
      <c r="W98">
        <f>HYPERLINK("https://klasma.github.io/Logging_0380/klagomålsmail/A 49015-2022 FSC-klagomål mail.docx", "A 49015-2022")</f>
        <v/>
      </c>
      <c r="X98">
        <f>HYPERLINK("https://klasma.github.io/Logging_0380/tillsyn/A 49015-2022 tillsynsbegäran.docx", "A 49015-2022")</f>
        <v/>
      </c>
      <c r="Y98">
        <f>HYPERLINK("https://klasma.github.io/Logging_0380/tillsynsmail/A 49015-2022 tillsynsbegäran mail.docx", "A 49015-2022")</f>
        <v/>
      </c>
    </row>
    <row r="99" ht="15" customHeight="1">
      <c r="A99" t="inlineStr">
        <is>
          <t>A 51475-2025</t>
        </is>
      </c>
      <c r="B99" s="1" t="n">
        <v>45950</v>
      </c>
      <c r="C99" s="1" t="n">
        <v>45992</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5009-2023</t>
        </is>
      </c>
      <c r="B100" s="1" t="n">
        <v>44958</v>
      </c>
      <c r="C100" s="1" t="n">
        <v>45992</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25729-2024</t>
        </is>
      </c>
      <c r="B101" s="1" t="n">
        <v>45464</v>
      </c>
      <c r="C101" s="1" t="n">
        <v>45992</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35260-2025</t>
        </is>
      </c>
      <c r="B102" s="1" t="n">
        <v>45853.76976851852</v>
      </c>
      <c r="C102" s="1" t="n">
        <v>45992</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52849-2021</t>
        </is>
      </c>
      <c r="B103" s="1" t="n">
        <v>44467</v>
      </c>
      <c r="C103" s="1" t="n">
        <v>45992</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26135-2025</t>
        </is>
      </c>
      <c r="B104" s="1" t="n">
        <v>45805.41232638889</v>
      </c>
      <c r="C104" s="1" t="n">
        <v>45992</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39741-2023</t>
        </is>
      </c>
      <c r="B105" s="1" t="n">
        <v>45167</v>
      </c>
      <c r="C105" s="1" t="n">
        <v>45992</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36842-2025</t>
        </is>
      </c>
      <c r="B106" s="1" t="n">
        <v>45874</v>
      </c>
      <c r="C106" s="1" t="n">
        <v>45992</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60055-2022</t>
        </is>
      </c>
      <c r="B107" s="1" t="n">
        <v>44909</v>
      </c>
      <c r="C107" s="1" t="n">
        <v>45992</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37004-2025</t>
        </is>
      </c>
      <c r="B108" s="1" t="n">
        <v>45874.69282407407</v>
      </c>
      <c r="C108" s="1" t="n">
        <v>45992</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57793-2022</t>
        </is>
      </c>
      <c r="B109" s="1" t="n">
        <v>44897</v>
      </c>
      <c r="C109" s="1" t="n">
        <v>45992</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45992</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45992</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13093-2024</t>
        </is>
      </c>
      <c r="B112" s="1" t="n">
        <v>45385</v>
      </c>
      <c r="C112" s="1" t="n">
        <v>45992</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13363-2022</t>
        </is>
      </c>
      <c r="B113" s="1" t="n">
        <v>44645</v>
      </c>
      <c r="C113" s="1" t="n">
        <v>45992</v>
      </c>
      <c r="D113" t="inlineStr">
        <is>
          <t>UPPSALA LÄN</t>
        </is>
      </c>
      <c r="E113" t="inlineStr">
        <is>
          <t>UPPSALA</t>
        </is>
      </c>
      <c r="F113" t="inlineStr">
        <is>
          <t>Övriga Aktiebolag</t>
        </is>
      </c>
      <c r="G113" t="n">
        <v>9.4</v>
      </c>
      <c r="H113" t="n">
        <v>1</v>
      </c>
      <c r="I113" t="n">
        <v>0</v>
      </c>
      <c r="J113" t="n">
        <v>0</v>
      </c>
      <c r="K113" t="n">
        <v>0</v>
      </c>
      <c r="L113" t="n">
        <v>0</v>
      </c>
      <c r="M113" t="n">
        <v>0</v>
      </c>
      <c r="N113" t="n">
        <v>0</v>
      </c>
      <c r="O113" t="n">
        <v>0</v>
      </c>
      <c r="P113" t="n">
        <v>0</v>
      </c>
      <c r="Q113" t="n">
        <v>1</v>
      </c>
      <c r="R113" s="2" t="inlineStr">
        <is>
          <t>Huggorm</t>
        </is>
      </c>
      <c r="S113">
        <f>HYPERLINK("https://klasma.github.io/Logging_0380/artfynd/A 13363-2022 artfynd.xlsx", "A 13363-2022")</f>
        <v/>
      </c>
      <c r="T113">
        <f>HYPERLINK("https://klasma.github.io/Logging_0380/kartor/A 13363-2022 karta.png", "A 13363-2022")</f>
        <v/>
      </c>
      <c r="V113">
        <f>HYPERLINK("https://klasma.github.io/Logging_0380/klagomål/A 13363-2022 FSC-klagomål.docx", "A 13363-2022")</f>
        <v/>
      </c>
      <c r="W113">
        <f>HYPERLINK("https://klasma.github.io/Logging_0380/klagomålsmail/A 13363-2022 FSC-klagomål mail.docx", "A 13363-2022")</f>
        <v/>
      </c>
      <c r="X113">
        <f>HYPERLINK("https://klasma.github.io/Logging_0380/tillsyn/A 13363-2022 tillsynsbegäran.docx", "A 13363-2022")</f>
        <v/>
      </c>
      <c r="Y113">
        <f>HYPERLINK("https://klasma.github.io/Logging_0380/tillsynsmail/A 13363-2022 tillsynsbegäran mail.docx", "A 13363-2022")</f>
        <v/>
      </c>
    </row>
    <row r="114" ht="15" customHeight="1">
      <c r="A114" t="inlineStr">
        <is>
          <t>A 6044-2024</t>
        </is>
      </c>
      <c r="B114" s="1" t="n">
        <v>45336</v>
      </c>
      <c r="C114" s="1" t="n">
        <v>45992</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2729-2024</t>
        </is>
      </c>
      <c r="B115" s="1" t="n">
        <v>45314.55579861111</v>
      </c>
      <c r="C115" s="1" t="n">
        <v>45992</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16761-2022</t>
        </is>
      </c>
      <c r="B116" s="1" t="n">
        <v>44673.47858796296</v>
      </c>
      <c r="C116" s="1" t="n">
        <v>45992</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21657-2024</t>
        </is>
      </c>
      <c r="B117" s="1" t="n">
        <v>45442</v>
      </c>
      <c r="C117" s="1" t="n">
        <v>45992</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18373-2025</t>
        </is>
      </c>
      <c r="B118" s="1" t="n">
        <v>45762.57244212963</v>
      </c>
      <c r="C118" s="1" t="n">
        <v>45992</v>
      </c>
      <c r="D118" t="inlineStr">
        <is>
          <t>UPPSALA LÄN</t>
        </is>
      </c>
      <c r="E118" t="inlineStr">
        <is>
          <t>UPPSALA</t>
        </is>
      </c>
      <c r="G118" t="n">
        <v>9.5</v>
      </c>
      <c r="H118" t="n">
        <v>0</v>
      </c>
      <c r="I118" t="n">
        <v>0</v>
      </c>
      <c r="J118" t="n">
        <v>1</v>
      </c>
      <c r="K118" t="n">
        <v>0</v>
      </c>
      <c r="L118" t="n">
        <v>0</v>
      </c>
      <c r="M118" t="n">
        <v>0</v>
      </c>
      <c r="N118" t="n">
        <v>0</v>
      </c>
      <c r="O118" t="n">
        <v>1</v>
      </c>
      <c r="P118" t="n">
        <v>0</v>
      </c>
      <c r="Q118" t="n">
        <v>1</v>
      </c>
      <c r="R118" s="2" t="inlineStr">
        <is>
          <t>Ullticka</t>
        </is>
      </c>
      <c r="S118">
        <f>HYPERLINK("https://klasma.github.io/Logging_0380/artfynd/A 18373-2025 artfynd.xlsx", "A 18373-2025")</f>
        <v/>
      </c>
      <c r="T118">
        <f>HYPERLINK("https://klasma.github.io/Logging_0380/kartor/A 18373-2025 karta.png", "A 18373-2025")</f>
        <v/>
      </c>
      <c r="V118">
        <f>HYPERLINK("https://klasma.github.io/Logging_0380/klagomål/A 18373-2025 FSC-klagomål.docx", "A 18373-2025")</f>
        <v/>
      </c>
      <c r="W118">
        <f>HYPERLINK("https://klasma.github.io/Logging_0380/klagomålsmail/A 18373-2025 FSC-klagomål mail.docx", "A 18373-2025")</f>
        <v/>
      </c>
      <c r="X118">
        <f>HYPERLINK("https://klasma.github.io/Logging_0380/tillsyn/A 18373-2025 tillsynsbegäran.docx", "A 18373-2025")</f>
        <v/>
      </c>
      <c r="Y118">
        <f>HYPERLINK("https://klasma.github.io/Logging_0380/tillsynsmail/A 18373-2025 tillsynsbegäran mail.docx", "A 18373-2025")</f>
        <v/>
      </c>
    </row>
    <row r="119" ht="15" customHeight="1">
      <c r="A119" t="inlineStr">
        <is>
          <t>A 29902-2023</t>
        </is>
      </c>
      <c r="B119" s="1" t="n">
        <v>45107</v>
      </c>
      <c r="C119" s="1" t="n">
        <v>45992</v>
      </c>
      <c r="D119" t="inlineStr">
        <is>
          <t>UPPSALA LÄN</t>
        </is>
      </c>
      <c r="E119" t="inlineStr">
        <is>
          <t>UPPSALA</t>
        </is>
      </c>
      <c r="F119" t="inlineStr">
        <is>
          <t>Kyrkan</t>
        </is>
      </c>
      <c r="G119" t="n">
        <v>10.6</v>
      </c>
      <c r="H119" t="n">
        <v>1</v>
      </c>
      <c r="I119" t="n">
        <v>0</v>
      </c>
      <c r="J119" t="n">
        <v>1</v>
      </c>
      <c r="K119" t="n">
        <v>0</v>
      </c>
      <c r="L119" t="n">
        <v>0</v>
      </c>
      <c r="M119" t="n">
        <v>0</v>
      </c>
      <c r="N119" t="n">
        <v>0</v>
      </c>
      <c r="O119" t="n">
        <v>1</v>
      </c>
      <c r="P119" t="n">
        <v>0</v>
      </c>
      <c r="Q119" t="n">
        <v>1</v>
      </c>
      <c r="R119" s="2" t="inlineStr">
        <is>
          <t>Järpe</t>
        </is>
      </c>
      <c r="S119">
        <f>HYPERLINK("https://klasma.github.io/Logging_0380/artfynd/A 29902-2023 artfynd.xlsx", "A 29902-2023")</f>
        <v/>
      </c>
      <c r="T119">
        <f>HYPERLINK("https://klasma.github.io/Logging_0380/kartor/A 29902-2023 karta.png", "A 29902-2023")</f>
        <v/>
      </c>
      <c r="V119">
        <f>HYPERLINK("https://klasma.github.io/Logging_0380/klagomål/A 29902-2023 FSC-klagomål.docx", "A 29902-2023")</f>
        <v/>
      </c>
      <c r="W119">
        <f>HYPERLINK("https://klasma.github.io/Logging_0380/klagomålsmail/A 29902-2023 FSC-klagomål mail.docx", "A 29902-2023")</f>
        <v/>
      </c>
      <c r="X119">
        <f>HYPERLINK("https://klasma.github.io/Logging_0380/tillsyn/A 29902-2023 tillsynsbegäran.docx", "A 29902-2023")</f>
        <v/>
      </c>
      <c r="Y119">
        <f>HYPERLINK("https://klasma.github.io/Logging_0380/tillsynsmail/A 29902-2023 tillsynsbegäran mail.docx", "A 29902-2023")</f>
        <v/>
      </c>
      <c r="Z119">
        <f>HYPERLINK("https://klasma.github.io/Logging_0380/fåglar/A 29902-2023 prioriterade fågelarter.docx", "A 29902-2023")</f>
        <v/>
      </c>
    </row>
    <row r="120" ht="15" customHeight="1">
      <c r="A120" t="inlineStr">
        <is>
          <t>A 63172-2023</t>
        </is>
      </c>
      <c r="B120" s="1" t="n">
        <v>45273</v>
      </c>
      <c r="C120" s="1" t="n">
        <v>45992</v>
      </c>
      <c r="D120" t="inlineStr">
        <is>
          <t>UPPSALA LÄN</t>
        </is>
      </c>
      <c r="E120" t="inlineStr">
        <is>
          <t>UPPSALA</t>
        </is>
      </c>
      <c r="G120" t="n">
        <v>1.8</v>
      </c>
      <c r="H120" t="n">
        <v>0</v>
      </c>
      <c r="I120" t="n">
        <v>1</v>
      </c>
      <c r="J120" t="n">
        <v>0</v>
      </c>
      <c r="K120" t="n">
        <v>0</v>
      </c>
      <c r="L120" t="n">
        <v>0</v>
      </c>
      <c r="M120" t="n">
        <v>0</v>
      </c>
      <c r="N120" t="n">
        <v>0</v>
      </c>
      <c r="O120" t="n">
        <v>0</v>
      </c>
      <c r="P120" t="n">
        <v>0</v>
      </c>
      <c r="Q120" t="n">
        <v>1</v>
      </c>
      <c r="R120" s="2" t="inlineStr">
        <is>
          <t>Ögonpyrola</t>
        </is>
      </c>
      <c r="S120">
        <f>HYPERLINK("https://klasma.github.io/Logging_0380/artfynd/A 63172-2023 artfynd.xlsx", "A 63172-2023")</f>
        <v/>
      </c>
      <c r="T120">
        <f>HYPERLINK("https://klasma.github.io/Logging_0380/kartor/A 63172-2023 karta.png", "A 63172-2023")</f>
        <v/>
      </c>
      <c r="V120">
        <f>HYPERLINK("https://klasma.github.io/Logging_0380/klagomål/A 63172-2023 FSC-klagomål.docx", "A 63172-2023")</f>
        <v/>
      </c>
      <c r="W120">
        <f>HYPERLINK("https://klasma.github.io/Logging_0380/klagomålsmail/A 63172-2023 FSC-klagomål mail.docx", "A 63172-2023")</f>
        <v/>
      </c>
      <c r="X120">
        <f>HYPERLINK("https://klasma.github.io/Logging_0380/tillsyn/A 63172-2023 tillsynsbegäran.docx", "A 63172-2023")</f>
        <v/>
      </c>
      <c r="Y120">
        <f>HYPERLINK("https://klasma.github.io/Logging_0380/tillsynsmail/A 63172-2023 tillsynsbegäran mail.docx", "A 63172-2023")</f>
        <v/>
      </c>
    </row>
    <row r="121" ht="15" customHeight="1">
      <c r="A121" t="inlineStr">
        <is>
          <t>A 17484-2025</t>
        </is>
      </c>
      <c r="B121" s="1" t="n">
        <v>45757.49934027778</v>
      </c>
      <c r="C121" s="1" t="n">
        <v>45992</v>
      </c>
      <c r="D121" t="inlineStr">
        <is>
          <t>UPPSALA LÄN</t>
        </is>
      </c>
      <c r="E121" t="inlineStr">
        <is>
          <t>UPPSALA</t>
        </is>
      </c>
      <c r="G121" t="n">
        <v>13.1</v>
      </c>
      <c r="H121" t="n">
        <v>1</v>
      </c>
      <c r="I121" t="n">
        <v>0</v>
      </c>
      <c r="J121" t="n">
        <v>0</v>
      </c>
      <c r="K121" t="n">
        <v>0</v>
      </c>
      <c r="L121" t="n">
        <v>0</v>
      </c>
      <c r="M121" t="n">
        <v>0</v>
      </c>
      <c r="N121" t="n">
        <v>0</v>
      </c>
      <c r="O121" t="n">
        <v>0</v>
      </c>
      <c r="P121" t="n">
        <v>0</v>
      </c>
      <c r="Q121" t="n">
        <v>1</v>
      </c>
      <c r="R121" s="2" t="inlineStr">
        <is>
          <t>Fläcknycklar</t>
        </is>
      </c>
      <c r="S121">
        <f>HYPERLINK("https://klasma.github.io/Logging_0380/artfynd/A 17484-2025 artfynd.xlsx", "A 17484-2025")</f>
        <v/>
      </c>
      <c r="T121">
        <f>HYPERLINK("https://klasma.github.io/Logging_0380/kartor/A 17484-2025 karta.png", "A 17484-2025")</f>
        <v/>
      </c>
      <c r="V121">
        <f>HYPERLINK("https://klasma.github.io/Logging_0380/klagomål/A 17484-2025 FSC-klagomål.docx", "A 17484-2025")</f>
        <v/>
      </c>
      <c r="W121">
        <f>HYPERLINK("https://klasma.github.io/Logging_0380/klagomålsmail/A 17484-2025 FSC-klagomål mail.docx", "A 17484-2025")</f>
        <v/>
      </c>
      <c r="X121">
        <f>HYPERLINK("https://klasma.github.io/Logging_0380/tillsyn/A 17484-2025 tillsynsbegäran.docx", "A 17484-2025")</f>
        <v/>
      </c>
      <c r="Y121">
        <f>HYPERLINK("https://klasma.github.io/Logging_0380/tillsynsmail/A 17484-2025 tillsynsbegäran mail.docx", "A 17484-2025")</f>
        <v/>
      </c>
    </row>
    <row r="122" ht="15" customHeight="1">
      <c r="A122" t="inlineStr">
        <is>
          <t>A 61830-2022</t>
        </is>
      </c>
      <c r="B122" s="1" t="n">
        <v>44917.59298611111</v>
      </c>
      <c r="C122" s="1" t="n">
        <v>45992</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21801-2025</t>
        </is>
      </c>
      <c r="B123" s="1" t="n">
        <v>45783</v>
      </c>
      <c r="C123" s="1" t="n">
        <v>45992</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4657-2025</t>
        </is>
      </c>
      <c r="B124" s="1" t="n">
        <v>45687</v>
      </c>
      <c r="C124" s="1" t="n">
        <v>45992</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3260-2022</t>
        </is>
      </c>
      <c r="B125" s="1" t="n">
        <v>44583.61803240741</v>
      </c>
      <c r="C125" s="1" t="n">
        <v>45992</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45992</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45992</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45992</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45992</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45992</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45992</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45992</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45992</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45992</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45992</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45992</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45992</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45992</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45992</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45992</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45992</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45992</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45992</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45992</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45992</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45992</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45992</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45992</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45992</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1148-2022</t>
        </is>
      </c>
      <c r="B150" s="1" t="n">
        <v>44572.39640046296</v>
      </c>
      <c r="C150" s="1" t="n">
        <v>45992</v>
      </c>
      <c r="D150" t="inlineStr">
        <is>
          <t>UPPSALA LÄN</t>
        </is>
      </c>
      <c r="E150" t="inlineStr">
        <is>
          <t>UPPSALA</t>
        </is>
      </c>
      <c r="F150" t="inlineStr">
        <is>
          <t>Kyrkan</t>
        </is>
      </c>
      <c r="G150" t="n">
        <v>0.5</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45992</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45992</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45992</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45992</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45992</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45992</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45992</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45992</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45992</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45992</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45992</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45992</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45992</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45992</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45992</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45992</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70032-2021</t>
        </is>
      </c>
      <c r="B167" s="1" t="n">
        <v>44533.4678587963</v>
      </c>
      <c r="C167" s="1" t="n">
        <v>45992</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45992</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45992</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45992</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45992</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45992</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45992</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45992</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45992</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45992</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45992</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45992</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45992</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45992</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45992</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45992</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45992</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45992</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45992</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45992</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45992</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45992</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45992</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45992</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45992</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45992</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45992</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45992</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45992</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45992</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45992</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45992</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45992</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22946-2021</t>
        </is>
      </c>
      <c r="B200" s="1" t="n">
        <v>44328.57100694445</v>
      </c>
      <c r="C200" s="1" t="n">
        <v>45992</v>
      </c>
      <c r="D200" t="inlineStr">
        <is>
          <t>UPPSALA LÄN</t>
        </is>
      </c>
      <c r="E200" t="inlineStr">
        <is>
          <t>UPPSALA</t>
        </is>
      </c>
      <c r="G200" t="n">
        <v>2.3</v>
      </c>
      <c r="H200" t="n">
        <v>0</v>
      </c>
      <c r="I200" t="n">
        <v>0</v>
      </c>
      <c r="J200" t="n">
        <v>0</v>
      </c>
      <c r="K200" t="n">
        <v>0</v>
      </c>
      <c r="L200" t="n">
        <v>0</v>
      </c>
      <c r="M200" t="n">
        <v>0</v>
      </c>
      <c r="N200" t="n">
        <v>0</v>
      </c>
      <c r="O200" t="n">
        <v>0</v>
      </c>
      <c r="P200" t="n">
        <v>0</v>
      </c>
      <c r="Q200" t="n">
        <v>0</v>
      </c>
      <c r="R200" s="2" t="inlineStr"/>
    </row>
    <row r="201" ht="15" customHeight="1">
      <c r="A201" t="inlineStr">
        <is>
          <t>A 31646-2021</t>
        </is>
      </c>
      <c r="B201" s="1" t="n">
        <v>44369</v>
      </c>
      <c r="C201" s="1" t="n">
        <v>45992</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45992</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45992</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45992</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45992</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45992</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45992</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45992</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45992</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45992</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45992</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45992</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45992</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45992</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45992</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45992</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45992</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45992</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45992</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45992</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45992</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45992</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45992</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45992</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45992</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45992</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45992</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45992</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45992</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45992</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45992</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45992</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45992</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45992</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45992</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45992</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45992</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45992</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45992</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15310-2022</t>
        </is>
      </c>
      <c r="B240" s="1" t="n">
        <v>44659</v>
      </c>
      <c r="C240" s="1" t="n">
        <v>45992</v>
      </c>
      <c r="D240" t="inlineStr">
        <is>
          <t>UPPSALA LÄN</t>
        </is>
      </c>
      <c r="E240" t="inlineStr">
        <is>
          <t>UPPSALA</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5006-2022</t>
        </is>
      </c>
      <c r="B241" s="1" t="n">
        <v>44593</v>
      </c>
      <c r="C241" s="1" t="n">
        <v>45992</v>
      </c>
      <c r="D241" t="inlineStr">
        <is>
          <t>UPPSALA LÄN</t>
        </is>
      </c>
      <c r="E241" t="inlineStr">
        <is>
          <t>UPPSALA</t>
        </is>
      </c>
      <c r="F241" t="inlineStr">
        <is>
          <t>BillerudKorsnäs AB</t>
        </is>
      </c>
      <c r="G241" t="n">
        <v>1.4</v>
      </c>
      <c r="H241" t="n">
        <v>0</v>
      </c>
      <c r="I241" t="n">
        <v>0</v>
      </c>
      <c r="J241" t="n">
        <v>0</v>
      </c>
      <c r="K241" t="n">
        <v>0</v>
      </c>
      <c r="L241" t="n">
        <v>0</v>
      </c>
      <c r="M241" t="n">
        <v>0</v>
      </c>
      <c r="N241" t="n">
        <v>0</v>
      </c>
      <c r="O241" t="n">
        <v>0</v>
      </c>
      <c r="P241" t="n">
        <v>0</v>
      </c>
      <c r="Q241" t="n">
        <v>0</v>
      </c>
      <c r="R241" s="2" t="inlineStr"/>
    </row>
    <row r="242" ht="15" customHeight="1">
      <c r="A242" t="inlineStr">
        <is>
          <t>A 5007-2022</t>
        </is>
      </c>
      <c r="B242" s="1" t="n">
        <v>44593.61355324074</v>
      </c>
      <c r="C242" s="1" t="n">
        <v>45992</v>
      </c>
      <c r="D242" t="inlineStr">
        <is>
          <t>UPPSALA LÄN</t>
        </is>
      </c>
      <c r="E242" t="inlineStr">
        <is>
          <t>UPPSALA</t>
        </is>
      </c>
      <c r="F242" t="inlineStr">
        <is>
          <t>BillerudKorsnäs AB</t>
        </is>
      </c>
      <c r="G242" t="n">
        <v>3.6</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45992</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56679-2022</t>
        </is>
      </c>
      <c r="B244" s="1" t="n">
        <v>44893</v>
      </c>
      <c r="C244" s="1" t="n">
        <v>45992</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8494-2021</t>
        </is>
      </c>
      <c r="B245" s="1" t="n">
        <v>44245</v>
      </c>
      <c r="C245" s="1" t="n">
        <v>45992</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45992</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45992</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26323-2023</t>
        </is>
      </c>
      <c r="B248" s="1" t="n">
        <v>45091.69766203704</v>
      </c>
      <c r="C248" s="1" t="n">
        <v>45992</v>
      </c>
      <c r="D248" t="inlineStr">
        <is>
          <t>UPPSALA LÄN</t>
        </is>
      </c>
      <c r="E248" t="inlineStr">
        <is>
          <t>UPPSALA</t>
        </is>
      </c>
      <c r="G248" t="n">
        <v>3.1</v>
      </c>
      <c r="H248" t="n">
        <v>0</v>
      </c>
      <c r="I248" t="n">
        <v>0</v>
      </c>
      <c r="J248" t="n">
        <v>0</v>
      </c>
      <c r="K248" t="n">
        <v>0</v>
      </c>
      <c r="L248" t="n">
        <v>0</v>
      </c>
      <c r="M248" t="n">
        <v>0</v>
      </c>
      <c r="N248" t="n">
        <v>0</v>
      </c>
      <c r="O248" t="n">
        <v>0</v>
      </c>
      <c r="P248" t="n">
        <v>0</v>
      </c>
      <c r="Q248" t="n">
        <v>0</v>
      </c>
      <c r="R248" s="2" t="inlineStr"/>
    </row>
    <row r="249" ht="15" customHeight="1">
      <c r="A249" t="inlineStr">
        <is>
          <t>A 6059-2025</t>
        </is>
      </c>
      <c r="B249" s="1" t="n">
        <v>45695.8391550926</v>
      </c>
      <c r="C249" s="1" t="n">
        <v>45992</v>
      </c>
      <c r="D249" t="inlineStr">
        <is>
          <t>UPPSALA LÄN</t>
        </is>
      </c>
      <c r="E249" t="inlineStr">
        <is>
          <t>UPPSALA</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45992</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12221-2022</t>
        </is>
      </c>
      <c r="B251" s="1" t="n">
        <v>44637.35744212963</v>
      </c>
      <c r="C251" s="1" t="n">
        <v>45992</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53921-2024</t>
        </is>
      </c>
      <c r="B252" s="1" t="n">
        <v>45615</v>
      </c>
      <c r="C252" s="1" t="n">
        <v>45992</v>
      </c>
      <c r="D252" t="inlineStr">
        <is>
          <t>UPPSALA LÄN</t>
        </is>
      </c>
      <c r="E252" t="inlineStr">
        <is>
          <t>UPPSALA</t>
        </is>
      </c>
      <c r="G252" t="n">
        <v>8.1</v>
      </c>
      <c r="H252" t="n">
        <v>0</v>
      </c>
      <c r="I252" t="n">
        <v>0</v>
      </c>
      <c r="J252" t="n">
        <v>0</v>
      </c>
      <c r="K252" t="n">
        <v>0</v>
      </c>
      <c r="L252" t="n">
        <v>0</v>
      </c>
      <c r="M252" t="n">
        <v>0</v>
      </c>
      <c r="N252" t="n">
        <v>0</v>
      </c>
      <c r="O252" t="n">
        <v>0</v>
      </c>
      <c r="P252" t="n">
        <v>0</v>
      </c>
      <c r="Q252" t="n">
        <v>0</v>
      </c>
      <c r="R252" s="2" t="inlineStr"/>
    </row>
    <row r="253" ht="15" customHeight="1">
      <c r="A253" t="inlineStr">
        <is>
          <t>A 12293-2022</t>
        </is>
      </c>
      <c r="B253" s="1" t="n">
        <v>44637.56178240741</v>
      </c>
      <c r="C253" s="1" t="n">
        <v>45992</v>
      </c>
      <c r="D253" t="inlineStr">
        <is>
          <t>UPPSALA LÄN</t>
        </is>
      </c>
      <c r="E253" t="inlineStr">
        <is>
          <t>UPPSALA</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5989-2022</t>
        </is>
      </c>
      <c r="B254" s="1" t="n">
        <v>44599.42277777778</v>
      </c>
      <c r="C254" s="1" t="n">
        <v>45992</v>
      </c>
      <c r="D254" t="inlineStr">
        <is>
          <t>UPPSALA LÄN</t>
        </is>
      </c>
      <c r="E254" t="inlineStr">
        <is>
          <t>UPPSALA</t>
        </is>
      </c>
      <c r="G254" t="n">
        <v>2.8</v>
      </c>
      <c r="H254" t="n">
        <v>0</v>
      </c>
      <c r="I254" t="n">
        <v>0</v>
      </c>
      <c r="J254" t="n">
        <v>0</v>
      </c>
      <c r="K254" t="n">
        <v>0</v>
      </c>
      <c r="L254" t="n">
        <v>0</v>
      </c>
      <c r="M254" t="n">
        <v>0</v>
      </c>
      <c r="N254" t="n">
        <v>0</v>
      </c>
      <c r="O254" t="n">
        <v>0</v>
      </c>
      <c r="P254" t="n">
        <v>0</v>
      </c>
      <c r="Q254" t="n">
        <v>0</v>
      </c>
      <c r="R254" s="2" t="inlineStr"/>
    </row>
    <row r="255" ht="15" customHeight="1">
      <c r="A255" t="inlineStr">
        <is>
          <t>A 6012-2025</t>
        </is>
      </c>
      <c r="B255" s="1" t="n">
        <v>45695.59805555556</v>
      </c>
      <c r="C255" s="1" t="n">
        <v>45992</v>
      </c>
      <c r="D255" t="inlineStr">
        <is>
          <t>UPPSALA LÄN</t>
        </is>
      </c>
      <c r="E255" t="inlineStr">
        <is>
          <t>UPPSALA</t>
        </is>
      </c>
      <c r="F255" t="inlineStr">
        <is>
          <t>Övriga Aktiebolag</t>
        </is>
      </c>
      <c r="G255" t="n">
        <v>14.3</v>
      </c>
      <c r="H255" t="n">
        <v>0</v>
      </c>
      <c r="I255" t="n">
        <v>0</v>
      </c>
      <c r="J255" t="n">
        <v>0</v>
      </c>
      <c r="K255" t="n">
        <v>0</v>
      </c>
      <c r="L255" t="n">
        <v>0</v>
      </c>
      <c r="M255" t="n">
        <v>0</v>
      </c>
      <c r="N255" t="n">
        <v>0</v>
      </c>
      <c r="O255" t="n">
        <v>0</v>
      </c>
      <c r="P255" t="n">
        <v>0</v>
      </c>
      <c r="Q255" t="n">
        <v>0</v>
      </c>
      <c r="R255" s="2" t="inlineStr"/>
    </row>
    <row r="256" ht="15" customHeight="1">
      <c r="A256" t="inlineStr">
        <is>
          <t>A 6997-2023</t>
        </is>
      </c>
      <c r="B256" s="1" t="n">
        <v>44967.78984953704</v>
      </c>
      <c r="C256" s="1" t="n">
        <v>45992</v>
      </c>
      <c r="D256" t="inlineStr">
        <is>
          <t>UPPSALA LÄN</t>
        </is>
      </c>
      <c r="E256" t="inlineStr">
        <is>
          <t>UPPSALA</t>
        </is>
      </c>
      <c r="G256" t="n">
        <v>3.9</v>
      </c>
      <c r="H256" t="n">
        <v>0</v>
      </c>
      <c r="I256" t="n">
        <v>0</v>
      </c>
      <c r="J256" t="n">
        <v>0</v>
      </c>
      <c r="K256" t="n">
        <v>0</v>
      </c>
      <c r="L256" t="n">
        <v>0</v>
      </c>
      <c r="M256" t="n">
        <v>0</v>
      </c>
      <c r="N256" t="n">
        <v>0</v>
      </c>
      <c r="O256" t="n">
        <v>0</v>
      </c>
      <c r="P256" t="n">
        <v>0</v>
      </c>
      <c r="Q256" t="n">
        <v>0</v>
      </c>
      <c r="R256" s="2" t="inlineStr"/>
    </row>
    <row r="257" ht="15" customHeight="1">
      <c r="A257" t="inlineStr">
        <is>
          <t>A 66686-2021</t>
        </is>
      </c>
      <c r="B257" s="1" t="n">
        <v>44519</v>
      </c>
      <c r="C257" s="1" t="n">
        <v>45992</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8090-2022</t>
        </is>
      </c>
      <c r="B258" s="1" t="n">
        <v>44608</v>
      </c>
      <c r="C258" s="1" t="n">
        <v>45992</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179-2024</t>
        </is>
      </c>
      <c r="B259" s="1" t="n">
        <v>45294.5666550926</v>
      </c>
      <c r="C259" s="1" t="n">
        <v>45992</v>
      </c>
      <c r="D259" t="inlineStr">
        <is>
          <t>UPPSALA LÄN</t>
        </is>
      </c>
      <c r="E259" t="inlineStr">
        <is>
          <t>UPPSALA</t>
        </is>
      </c>
      <c r="F259" t="inlineStr">
        <is>
          <t>Bergvik skog öst AB</t>
        </is>
      </c>
      <c r="G259" t="n">
        <v>12.7</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45992</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17211-2025</t>
        </is>
      </c>
      <c r="B261" s="1" t="n">
        <v>45756.44024305556</v>
      </c>
      <c r="C261" s="1" t="n">
        <v>45992</v>
      </c>
      <c r="D261" t="inlineStr">
        <is>
          <t>UPPSALA LÄN</t>
        </is>
      </c>
      <c r="E261" t="inlineStr">
        <is>
          <t>UPPSALA</t>
        </is>
      </c>
      <c r="G261" t="n">
        <v>1.2</v>
      </c>
      <c r="H261" t="n">
        <v>0</v>
      </c>
      <c r="I261" t="n">
        <v>0</v>
      </c>
      <c r="J261" t="n">
        <v>0</v>
      </c>
      <c r="K261" t="n">
        <v>0</v>
      </c>
      <c r="L261" t="n">
        <v>0</v>
      </c>
      <c r="M261" t="n">
        <v>0</v>
      </c>
      <c r="N261" t="n">
        <v>0</v>
      </c>
      <c r="O261" t="n">
        <v>0</v>
      </c>
      <c r="P261" t="n">
        <v>0</v>
      </c>
      <c r="Q261" t="n">
        <v>0</v>
      </c>
      <c r="R261" s="2" t="inlineStr"/>
    </row>
    <row r="262" ht="15" customHeight="1">
      <c r="A262" t="inlineStr">
        <is>
          <t>A 39148-2022</t>
        </is>
      </c>
      <c r="B262" s="1" t="n">
        <v>44816</v>
      </c>
      <c r="C262" s="1" t="n">
        <v>45992</v>
      </c>
      <c r="D262" t="inlineStr">
        <is>
          <t>UPPSALA LÄN</t>
        </is>
      </c>
      <c r="E262" t="inlineStr">
        <is>
          <t>UPPSALA</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5729-2025</t>
        </is>
      </c>
      <c r="B263" s="1" t="n">
        <v>45694.49037037037</v>
      </c>
      <c r="C263" s="1" t="n">
        <v>45992</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11744-2023</t>
        </is>
      </c>
      <c r="B264" s="1" t="n">
        <v>44993</v>
      </c>
      <c r="C264" s="1" t="n">
        <v>45992</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8132-2024</t>
        </is>
      </c>
      <c r="B265" s="1" t="n">
        <v>45351.54596064815</v>
      </c>
      <c r="C265" s="1" t="n">
        <v>45992</v>
      </c>
      <c r="D265" t="inlineStr">
        <is>
          <t>UPPSALA LÄN</t>
        </is>
      </c>
      <c r="E265" t="inlineStr">
        <is>
          <t>UPPSALA</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58023-2022</t>
        </is>
      </c>
      <c r="B266" s="1" t="n">
        <v>44900.54711805555</v>
      </c>
      <c r="C266" s="1" t="n">
        <v>45992</v>
      </c>
      <c r="D266" t="inlineStr">
        <is>
          <t>UPPSALA LÄN</t>
        </is>
      </c>
      <c r="E266" t="inlineStr">
        <is>
          <t>UPPSALA</t>
        </is>
      </c>
      <c r="G266" t="n">
        <v>0.7</v>
      </c>
      <c r="H266" t="n">
        <v>0</v>
      </c>
      <c r="I266" t="n">
        <v>0</v>
      </c>
      <c r="J266" t="n">
        <v>0</v>
      </c>
      <c r="K266" t="n">
        <v>0</v>
      </c>
      <c r="L266" t="n">
        <v>0</v>
      </c>
      <c r="M266" t="n">
        <v>0</v>
      </c>
      <c r="N266" t="n">
        <v>0</v>
      </c>
      <c r="O266" t="n">
        <v>0</v>
      </c>
      <c r="P266" t="n">
        <v>0</v>
      </c>
      <c r="Q266" t="n">
        <v>0</v>
      </c>
      <c r="R266" s="2" t="inlineStr"/>
    </row>
    <row r="267" ht="15" customHeight="1">
      <c r="A267" t="inlineStr">
        <is>
          <t>A 51661-2022</t>
        </is>
      </c>
      <c r="B267" s="1" t="n">
        <v>44872</v>
      </c>
      <c r="C267" s="1" t="n">
        <v>45992</v>
      </c>
      <c r="D267" t="inlineStr">
        <is>
          <t>UPPSALA LÄN</t>
        </is>
      </c>
      <c r="E267" t="inlineStr">
        <is>
          <t>UPPSALA</t>
        </is>
      </c>
      <c r="G267" t="n">
        <v>8.9</v>
      </c>
      <c r="H267" t="n">
        <v>0</v>
      </c>
      <c r="I267" t="n">
        <v>0</v>
      </c>
      <c r="J267" t="n">
        <v>0</v>
      </c>
      <c r="K267" t="n">
        <v>0</v>
      </c>
      <c r="L267" t="n">
        <v>0</v>
      </c>
      <c r="M267" t="n">
        <v>0</v>
      </c>
      <c r="N267" t="n">
        <v>0</v>
      </c>
      <c r="O267" t="n">
        <v>0</v>
      </c>
      <c r="P267" t="n">
        <v>0</v>
      </c>
      <c r="Q267" t="n">
        <v>0</v>
      </c>
      <c r="R267" s="2" t="inlineStr"/>
    </row>
    <row r="268" ht="15" customHeight="1">
      <c r="A268" t="inlineStr">
        <is>
          <t>A 34243-2021</t>
        </is>
      </c>
      <c r="B268" s="1" t="n">
        <v>44379.56163194445</v>
      </c>
      <c r="C268" s="1" t="n">
        <v>45992</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49682-2023</t>
        </is>
      </c>
      <c r="B269" s="1" t="n">
        <v>45212.34997685185</v>
      </c>
      <c r="C269" s="1" t="n">
        <v>45992</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7058-2023</t>
        </is>
      </c>
      <c r="B270" s="1" t="n">
        <v>44969</v>
      </c>
      <c r="C270" s="1" t="n">
        <v>45992</v>
      </c>
      <c r="D270" t="inlineStr">
        <is>
          <t>UPPSALA LÄN</t>
        </is>
      </c>
      <c r="E270" t="inlineStr">
        <is>
          <t>UPPSALA</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69691-2021</t>
        </is>
      </c>
      <c r="B271" s="1" t="n">
        <v>44532</v>
      </c>
      <c r="C271" s="1" t="n">
        <v>45992</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16811-2023</t>
        </is>
      </c>
      <c r="B272" s="1" t="n">
        <v>45033</v>
      </c>
      <c r="C272" s="1" t="n">
        <v>45992</v>
      </c>
      <c r="D272" t="inlineStr">
        <is>
          <t>UPPSALA LÄN</t>
        </is>
      </c>
      <c r="E272" t="inlineStr">
        <is>
          <t>UPPSALA</t>
        </is>
      </c>
      <c r="G272" t="n">
        <v>10.1</v>
      </c>
      <c r="H272" t="n">
        <v>0</v>
      </c>
      <c r="I272" t="n">
        <v>0</v>
      </c>
      <c r="J272" t="n">
        <v>0</v>
      </c>
      <c r="K272" t="n">
        <v>0</v>
      </c>
      <c r="L272" t="n">
        <v>0</v>
      </c>
      <c r="M272" t="n">
        <v>0</v>
      </c>
      <c r="N272" t="n">
        <v>0</v>
      </c>
      <c r="O272" t="n">
        <v>0</v>
      </c>
      <c r="P272" t="n">
        <v>0</v>
      </c>
      <c r="Q272" t="n">
        <v>0</v>
      </c>
      <c r="R272" s="2" t="inlineStr"/>
    </row>
    <row r="273" ht="15" customHeight="1">
      <c r="A273" t="inlineStr">
        <is>
          <t>A 5362-2023</t>
        </is>
      </c>
      <c r="B273" s="1" t="n">
        <v>44944</v>
      </c>
      <c r="C273" s="1" t="n">
        <v>45992</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26762-2023</t>
        </is>
      </c>
      <c r="B274" s="1" t="n">
        <v>45093.46706018518</v>
      </c>
      <c r="C274" s="1" t="n">
        <v>45992</v>
      </c>
      <c r="D274" t="inlineStr">
        <is>
          <t>UPPSALA LÄN</t>
        </is>
      </c>
      <c r="E274" t="inlineStr">
        <is>
          <t>UPPSALA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9313-2023</t>
        </is>
      </c>
      <c r="B275" s="1" t="n">
        <v>44980</v>
      </c>
      <c r="C275" s="1" t="n">
        <v>45992</v>
      </c>
      <c r="D275" t="inlineStr">
        <is>
          <t>UPPSALA LÄN</t>
        </is>
      </c>
      <c r="E275" t="inlineStr">
        <is>
          <t>UPPSALA</t>
        </is>
      </c>
      <c r="G275" t="n">
        <v>2.6</v>
      </c>
      <c r="H275" t="n">
        <v>0</v>
      </c>
      <c r="I275" t="n">
        <v>0</v>
      </c>
      <c r="J275" t="n">
        <v>0</v>
      </c>
      <c r="K275" t="n">
        <v>0</v>
      </c>
      <c r="L275" t="n">
        <v>0</v>
      </c>
      <c r="M275" t="n">
        <v>0</v>
      </c>
      <c r="N275" t="n">
        <v>0</v>
      </c>
      <c r="O275" t="n">
        <v>0</v>
      </c>
      <c r="P275" t="n">
        <v>0</v>
      </c>
      <c r="Q275" t="n">
        <v>0</v>
      </c>
      <c r="R275" s="2" t="inlineStr"/>
    </row>
    <row r="276" ht="15" customHeight="1">
      <c r="A276" t="inlineStr">
        <is>
          <t>A 50395-2023</t>
        </is>
      </c>
      <c r="B276" s="1" t="n">
        <v>45216</v>
      </c>
      <c r="C276" s="1" t="n">
        <v>45992</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39818-2024</t>
        </is>
      </c>
      <c r="B277" s="1" t="n">
        <v>45552</v>
      </c>
      <c r="C277" s="1" t="n">
        <v>45992</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4412-2024</t>
        </is>
      </c>
      <c r="B278" s="1" t="n">
        <v>45327</v>
      </c>
      <c r="C278" s="1" t="n">
        <v>45992</v>
      </c>
      <c r="D278" t="inlineStr">
        <is>
          <t>UPPSALA LÄN</t>
        </is>
      </c>
      <c r="E278" t="inlineStr">
        <is>
          <t>UPPSALA</t>
        </is>
      </c>
      <c r="G278" t="n">
        <v>5.4</v>
      </c>
      <c r="H278" t="n">
        <v>0</v>
      </c>
      <c r="I278" t="n">
        <v>0</v>
      </c>
      <c r="J278" t="n">
        <v>0</v>
      </c>
      <c r="K278" t="n">
        <v>0</v>
      </c>
      <c r="L278" t="n">
        <v>0</v>
      </c>
      <c r="M278" t="n">
        <v>0</v>
      </c>
      <c r="N278" t="n">
        <v>0</v>
      </c>
      <c r="O278" t="n">
        <v>0</v>
      </c>
      <c r="P278" t="n">
        <v>0</v>
      </c>
      <c r="Q278" t="n">
        <v>0</v>
      </c>
      <c r="R278" s="2" t="inlineStr"/>
    </row>
    <row r="279" ht="15" customHeight="1">
      <c r="A279" t="inlineStr">
        <is>
          <t>A 53893-2023</t>
        </is>
      </c>
      <c r="B279" s="1" t="n">
        <v>45231</v>
      </c>
      <c r="C279" s="1" t="n">
        <v>45992</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40325-2023</t>
        </is>
      </c>
      <c r="B280" s="1" t="n">
        <v>45169</v>
      </c>
      <c r="C280" s="1" t="n">
        <v>45992</v>
      </c>
      <c r="D280" t="inlineStr">
        <is>
          <t>UPPSALA LÄN</t>
        </is>
      </c>
      <c r="E280" t="inlineStr">
        <is>
          <t>UPPSALA</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18607-2024</t>
        </is>
      </c>
      <c r="B281" s="1" t="n">
        <v>45425.94947916667</v>
      </c>
      <c r="C281" s="1" t="n">
        <v>45992</v>
      </c>
      <c r="D281" t="inlineStr">
        <is>
          <t>UPPSALA LÄN</t>
        </is>
      </c>
      <c r="E281" t="inlineStr">
        <is>
          <t>UPPSALA</t>
        </is>
      </c>
      <c r="G281" t="n">
        <v>4.3</v>
      </c>
      <c r="H281" t="n">
        <v>0</v>
      </c>
      <c r="I281" t="n">
        <v>0</v>
      </c>
      <c r="J281" t="n">
        <v>0</v>
      </c>
      <c r="K281" t="n">
        <v>0</v>
      </c>
      <c r="L281" t="n">
        <v>0</v>
      </c>
      <c r="M281" t="n">
        <v>0</v>
      </c>
      <c r="N281" t="n">
        <v>0</v>
      </c>
      <c r="O281" t="n">
        <v>0</v>
      </c>
      <c r="P281" t="n">
        <v>0</v>
      </c>
      <c r="Q281" t="n">
        <v>0</v>
      </c>
      <c r="R281" s="2" t="inlineStr"/>
    </row>
    <row r="282" ht="15" customHeight="1">
      <c r="A282" t="inlineStr">
        <is>
          <t>A 37588-2022</t>
        </is>
      </c>
      <c r="B282" s="1" t="n">
        <v>44809.92752314815</v>
      </c>
      <c r="C282" s="1" t="n">
        <v>45992</v>
      </c>
      <c r="D282" t="inlineStr">
        <is>
          <t>UPPSALA LÄN</t>
        </is>
      </c>
      <c r="E282" t="inlineStr">
        <is>
          <t>UPPSALA</t>
        </is>
      </c>
      <c r="G282" t="n">
        <v>1.2</v>
      </c>
      <c r="H282" t="n">
        <v>0</v>
      </c>
      <c r="I282" t="n">
        <v>0</v>
      </c>
      <c r="J282" t="n">
        <v>0</v>
      </c>
      <c r="K282" t="n">
        <v>0</v>
      </c>
      <c r="L282" t="n">
        <v>0</v>
      </c>
      <c r="M282" t="n">
        <v>0</v>
      </c>
      <c r="N282" t="n">
        <v>0</v>
      </c>
      <c r="O282" t="n">
        <v>0</v>
      </c>
      <c r="P282" t="n">
        <v>0</v>
      </c>
      <c r="Q282" t="n">
        <v>0</v>
      </c>
      <c r="R282" s="2" t="inlineStr"/>
    </row>
    <row r="283" ht="15" customHeight="1">
      <c r="A283" t="inlineStr">
        <is>
          <t>A 56872-2023</t>
        </is>
      </c>
      <c r="B283" s="1" t="n">
        <v>45244.52202546296</v>
      </c>
      <c r="C283" s="1" t="n">
        <v>45992</v>
      </c>
      <c r="D283" t="inlineStr">
        <is>
          <t>UPPSALA LÄN</t>
        </is>
      </c>
      <c r="E283" t="inlineStr">
        <is>
          <t>UPPSALA</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10827-2024</t>
        </is>
      </c>
      <c r="B284" s="1" t="n">
        <v>45369</v>
      </c>
      <c r="C284" s="1" t="n">
        <v>45992</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59549-2024</t>
        </is>
      </c>
      <c r="B285" s="1" t="n">
        <v>45638</v>
      </c>
      <c r="C285" s="1" t="n">
        <v>45992</v>
      </c>
      <c r="D285" t="inlineStr">
        <is>
          <t>UPPSALA LÄN</t>
        </is>
      </c>
      <c r="E285" t="inlineStr">
        <is>
          <t>UPPSALA</t>
        </is>
      </c>
      <c r="G285" t="n">
        <v>0.9</v>
      </c>
      <c r="H285" t="n">
        <v>0</v>
      </c>
      <c r="I285" t="n">
        <v>0</v>
      </c>
      <c r="J285" t="n">
        <v>0</v>
      </c>
      <c r="K285" t="n">
        <v>0</v>
      </c>
      <c r="L285" t="n">
        <v>0</v>
      </c>
      <c r="M285" t="n">
        <v>0</v>
      </c>
      <c r="N285" t="n">
        <v>0</v>
      </c>
      <c r="O285" t="n">
        <v>0</v>
      </c>
      <c r="P285" t="n">
        <v>0</v>
      </c>
      <c r="Q285" t="n">
        <v>0</v>
      </c>
      <c r="R285" s="2" t="inlineStr"/>
    </row>
    <row r="286" ht="15" customHeight="1">
      <c r="A286" t="inlineStr">
        <is>
          <t>A 12830-2025</t>
        </is>
      </c>
      <c r="B286" s="1" t="n">
        <v>45733.63099537037</v>
      </c>
      <c r="C286" s="1" t="n">
        <v>45992</v>
      </c>
      <c r="D286" t="inlineStr">
        <is>
          <t>UPPSALA LÄN</t>
        </is>
      </c>
      <c r="E286" t="inlineStr">
        <is>
          <t>UPPSALA</t>
        </is>
      </c>
      <c r="G286" t="n">
        <v>1.5</v>
      </c>
      <c r="H286" t="n">
        <v>0</v>
      </c>
      <c r="I286" t="n">
        <v>0</v>
      </c>
      <c r="J286" t="n">
        <v>0</v>
      </c>
      <c r="K286" t="n">
        <v>0</v>
      </c>
      <c r="L286" t="n">
        <v>0</v>
      </c>
      <c r="M286" t="n">
        <v>0</v>
      </c>
      <c r="N286" t="n">
        <v>0</v>
      </c>
      <c r="O286" t="n">
        <v>0</v>
      </c>
      <c r="P286" t="n">
        <v>0</v>
      </c>
      <c r="Q286" t="n">
        <v>0</v>
      </c>
      <c r="R286" s="2" t="inlineStr"/>
    </row>
    <row r="287" ht="15" customHeight="1">
      <c r="A287" t="inlineStr">
        <is>
          <t>A 9914-2024</t>
        </is>
      </c>
      <c r="B287" s="1" t="n">
        <v>45363.54878472222</v>
      </c>
      <c r="C287" s="1" t="n">
        <v>45992</v>
      </c>
      <c r="D287" t="inlineStr">
        <is>
          <t>UPPSALA LÄN</t>
        </is>
      </c>
      <c r="E287" t="inlineStr">
        <is>
          <t>UPPSALA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59098-2024</t>
        </is>
      </c>
      <c r="B288" s="1" t="n">
        <v>45636</v>
      </c>
      <c r="C288" s="1" t="n">
        <v>45992</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24268-2025</t>
        </is>
      </c>
      <c r="B289" s="1" t="n">
        <v>45797.42777777778</v>
      </c>
      <c r="C289" s="1" t="n">
        <v>45992</v>
      </c>
      <c r="D289" t="inlineStr">
        <is>
          <t>UPPSALA LÄN</t>
        </is>
      </c>
      <c r="E289" t="inlineStr">
        <is>
          <t>UPPSALA</t>
        </is>
      </c>
      <c r="G289" t="n">
        <v>2.5</v>
      </c>
      <c r="H289" t="n">
        <v>0</v>
      </c>
      <c r="I289" t="n">
        <v>0</v>
      </c>
      <c r="J289" t="n">
        <v>0</v>
      </c>
      <c r="K289" t="n">
        <v>0</v>
      </c>
      <c r="L289" t="n">
        <v>0</v>
      </c>
      <c r="M289" t="n">
        <v>0</v>
      </c>
      <c r="N289" t="n">
        <v>0</v>
      </c>
      <c r="O289" t="n">
        <v>0</v>
      </c>
      <c r="P289" t="n">
        <v>0</v>
      </c>
      <c r="Q289" t="n">
        <v>0</v>
      </c>
      <c r="R289" s="2" t="inlineStr"/>
    </row>
    <row r="290" ht="15" customHeight="1">
      <c r="A290" t="inlineStr">
        <is>
          <t>A 9592-2022</t>
        </is>
      </c>
      <c r="B290" s="1" t="n">
        <v>44617.48311342593</v>
      </c>
      <c r="C290" s="1" t="n">
        <v>45992</v>
      </c>
      <c r="D290" t="inlineStr">
        <is>
          <t>UPPSALA LÄN</t>
        </is>
      </c>
      <c r="E290" t="inlineStr">
        <is>
          <t>UPPSALA</t>
        </is>
      </c>
      <c r="G290" t="n">
        <v>7.5</v>
      </c>
      <c r="H290" t="n">
        <v>0</v>
      </c>
      <c r="I290" t="n">
        <v>0</v>
      </c>
      <c r="J290" t="n">
        <v>0</v>
      </c>
      <c r="K290" t="n">
        <v>0</v>
      </c>
      <c r="L290" t="n">
        <v>0</v>
      </c>
      <c r="M290" t="n">
        <v>0</v>
      </c>
      <c r="N290" t="n">
        <v>0</v>
      </c>
      <c r="O290" t="n">
        <v>0</v>
      </c>
      <c r="P290" t="n">
        <v>0</v>
      </c>
      <c r="Q290" t="n">
        <v>0</v>
      </c>
      <c r="R290" s="2" t="inlineStr"/>
    </row>
    <row r="291" ht="15" customHeight="1">
      <c r="A291" t="inlineStr">
        <is>
          <t>A 5204-2025</t>
        </is>
      </c>
      <c r="B291" s="1" t="n">
        <v>45691</v>
      </c>
      <c r="C291" s="1" t="n">
        <v>45992</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14026-2021</t>
        </is>
      </c>
      <c r="B292" s="1" t="n">
        <v>44277.65650462963</v>
      </c>
      <c r="C292" s="1" t="n">
        <v>45992</v>
      </c>
      <c r="D292" t="inlineStr">
        <is>
          <t>UPPSALA LÄN</t>
        </is>
      </c>
      <c r="E292" t="inlineStr">
        <is>
          <t>UPPSALA</t>
        </is>
      </c>
      <c r="G292" t="n">
        <v>3.5</v>
      </c>
      <c r="H292" t="n">
        <v>0</v>
      </c>
      <c r="I292" t="n">
        <v>0</v>
      </c>
      <c r="J292" t="n">
        <v>0</v>
      </c>
      <c r="K292" t="n">
        <v>0</v>
      </c>
      <c r="L292" t="n">
        <v>0</v>
      </c>
      <c r="M292" t="n">
        <v>0</v>
      </c>
      <c r="N292" t="n">
        <v>0</v>
      </c>
      <c r="O292" t="n">
        <v>0</v>
      </c>
      <c r="P292" t="n">
        <v>0</v>
      </c>
      <c r="Q292" t="n">
        <v>0</v>
      </c>
      <c r="R292" s="2" t="inlineStr"/>
    </row>
    <row r="293" ht="15" customHeight="1">
      <c r="A293" t="inlineStr">
        <is>
          <t>A 24284-2025</t>
        </is>
      </c>
      <c r="B293" s="1" t="n">
        <v>45797.45900462963</v>
      </c>
      <c r="C293" s="1" t="n">
        <v>45992</v>
      </c>
      <c r="D293" t="inlineStr">
        <is>
          <t>UPPSALA LÄN</t>
        </is>
      </c>
      <c r="E293" t="inlineStr">
        <is>
          <t>UPPSALA</t>
        </is>
      </c>
      <c r="F293" t="inlineStr">
        <is>
          <t>Holmen skog AB</t>
        </is>
      </c>
      <c r="G293" t="n">
        <v>12.7</v>
      </c>
      <c r="H293" t="n">
        <v>0</v>
      </c>
      <c r="I293" t="n">
        <v>0</v>
      </c>
      <c r="J293" t="n">
        <v>0</v>
      </c>
      <c r="K293" t="n">
        <v>0</v>
      </c>
      <c r="L293" t="n">
        <v>0</v>
      </c>
      <c r="M293" t="n">
        <v>0</v>
      </c>
      <c r="N293" t="n">
        <v>0</v>
      </c>
      <c r="O293" t="n">
        <v>0</v>
      </c>
      <c r="P293" t="n">
        <v>0</v>
      </c>
      <c r="Q293" t="n">
        <v>0</v>
      </c>
      <c r="R293" s="2" t="inlineStr"/>
    </row>
    <row r="294" ht="15" customHeight="1">
      <c r="A294" t="inlineStr">
        <is>
          <t>A 781-2024</t>
        </is>
      </c>
      <c r="B294" s="1" t="n">
        <v>45300.55028935185</v>
      </c>
      <c r="C294" s="1" t="n">
        <v>45992</v>
      </c>
      <c r="D294" t="inlineStr">
        <is>
          <t>UPPSALA LÄN</t>
        </is>
      </c>
      <c r="E294" t="inlineStr">
        <is>
          <t>UPPSALA</t>
        </is>
      </c>
      <c r="G294" t="n">
        <v>6.3</v>
      </c>
      <c r="H294" t="n">
        <v>0</v>
      </c>
      <c r="I294" t="n">
        <v>0</v>
      </c>
      <c r="J294" t="n">
        <v>0</v>
      </c>
      <c r="K294" t="n">
        <v>0</v>
      </c>
      <c r="L294" t="n">
        <v>0</v>
      </c>
      <c r="M294" t="n">
        <v>0</v>
      </c>
      <c r="N294" t="n">
        <v>0</v>
      </c>
      <c r="O294" t="n">
        <v>0</v>
      </c>
      <c r="P294" t="n">
        <v>0</v>
      </c>
      <c r="Q294" t="n">
        <v>0</v>
      </c>
      <c r="R294" s="2" t="inlineStr"/>
    </row>
    <row r="295" ht="15" customHeight="1">
      <c r="A295" t="inlineStr">
        <is>
          <t>A 34520-2024</t>
        </is>
      </c>
      <c r="B295" s="1" t="n">
        <v>45525</v>
      </c>
      <c r="C295" s="1" t="n">
        <v>45992</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19539-2024</t>
        </is>
      </c>
      <c r="B296" s="1" t="n">
        <v>45429</v>
      </c>
      <c r="C296" s="1" t="n">
        <v>45992</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29901-2023</t>
        </is>
      </c>
      <c r="B297" s="1" t="n">
        <v>45107</v>
      </c>
      <c r="C297" s="1" t="n">
        <v>45992</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29926-2023</t>
        </is>
      </c>
      <c r="B298" s="1" t="n">
        <v>45107</v>
      </c>
      <c r="C298" s="1" t="n">
        <v>45992</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5678-2023</t>
        </is>
      </c>
      <c r="B299" s="1" t="n">
        <v>44960</v>
      </c>
      <c r="C299" s="1" t="n">
        <v>45992</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1573-2021</t>
        </is>
      </c>
      <c r="B300" s="1" t="n">
        <v>44209</v>
      </c>
      <c r="C300" s="1" t="n">
        <v>45992</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24912-2025</t>
        </is>
      </c>
      <c r="B301" s="1" t="n">
        <v>45799.53803240741</v>
      </c>
      <c r="C301" s="1" t="n">
        <v>45992</v>
      </c>
      <c r="D301" t="inlineStr">
        <is>
          <t>UPPSALA LÄN</t>
        </is>
      </c>
      <c r="E301" t="inlineStr">
        <is>
          <t>UPPSALA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45992</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45992</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24961-2025</t>
        </is>
      </c>
      <c r="B304" s="1" t="n">
        <v>45799.57714120371</v>
      </c>
      <c r="C304" s="1" t="n">
        <v>45992</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12828-2025</t>
        </is>
      </c>
      <c r="B305" s="1" t="n">
        <v>45733.62903935185</v>
      </c>
      <c r="C305" s="1" t="n">
        <v>45992</v>
      </c>
      <c r="D305" t="inlineStr">
        <is>
          <t>UPPSALA LÄN</t>
        </is>
      </c>
      <c r="E305" t="inlineStr">
        <is>
          <t>UPPSALA</t>
        </is>
      </c>
      <c r="G305" t="n">
        <v>5.3</v>
      </c>
      <c r="H305" t="n">
        <v>0</v>
      </c>
      <c r="I305" t="n">
        <v>0</v>
      </c>
      <c r="J305" t="n">
        <v>0</v>
      </c>
      <c r="K305" t="n">
        <v>0</v>
      </c>
      <c r="L305" t="n">
        <v>0</v>
      </c>
      <c r="M305" t="n">
        <v>0</v>
      </c>
      <c r="N305" t="n">
        <v>0</v>
      </c>
      <c r="O305" t="n">
        <v>0</v>
      </c>
      <c r="P305" t="n">
        <v>0</v>
      </c>
      <c r="Q305" t="n">
        <v>0</v>
      </c>
      <c r="R305" s="2" t="inlineStr"/>
    </row>
    <row r="306" ht="15" customHeight="1">
      <c r="A306" t="inlineStr">
        <is>
          <t>A 25026-2025</t>
        </is>
      </c>
      <c r="B306" s="1" t="n">
        <v>45799.65021990741</v>
      </c>
      <c r="C306" s="1" t="n">
        <v>45992</v>
      </c>
      <c r="D306" t="inlineStr">
        <is>
          <t>UPPSALA LÄN</t>
        </is>
      </c>
      <c r="E306" t="inlineStr">
        <is>
          <t>UPPSALA</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25030-2025</t>
        </is>
      </c>
      <c r="B307" s="1" t="n">
        <v>45799.6527199074</v>
      </c>
      <c r="C307" s="1" t="n">
        <v>45992</v>
      </c>
      <c r="D307" t="inlineStr">
        <is>
          <t>UPPSALA LÄN</t>
        </is>
      </c>
      <c r="E307" t="inlineStr">
        <is>
          <t>UPPSALA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45992</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45992</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3353-2023</t>
        </is>
      </c>
      <c r="B310" s="1" t="n">
        <v>44949.4708912037</v>
      </c>
      <c r="C310" s="1" t="n">
        <v>45992</v>
      </c>
      <c r="D310" t="inlineStr">
        <is>
          <t>UPPSALA LÄN</t>
        </is>
      </c>
      <c r="E310" t="inlineStr">
        <is>
          <t>UPPSALA</t>
        </is>
      </c>
      <c r="G310" t="n">
        <v>3</v>
      </c>
      <c r="H310" t="n">
        <v>0</v>
      </c>
      <c r="I310" t="n">
        <v>0</v>
      </c>
      <c r="J310" t="n">
        <v>0</v>
      </c>
      <c r="K310" t="n">
        <v>0</v>
      </c>
      <c r="L310" t="n">
        <v>0</v>
      </c>
      <c r="M310" t="n">
        <v>0</v>
      </c>
      <c r="N310" t="n">
        <v>0</v>
      </c>
      <c r="O310" t="n">
        <v>0</v>
      </c>
      <c r="P310" t="n">
        <v>0</v>
      </c>
      <c r="Q310" t="n">
        <v>0</v>
      </c>
      <c r="R310" s="2" t="inlineStr"/>
    </row>
    <row r="311" ht="15" customHeight="1">
      <c r="A311" t="inlineStr">
        <is>
          <t>A 24913-2025</t>
        </is>
      </c>
      <c r="B311" s="1" t="n">
        <v>45799.53947916667</v>
      </c>
      <c r="C311" s="1" t="n">
        <v>45992</v>
      </c>
      <c r="D311" t="inlineStr">
        <is>
          <t>UPPSALA LÄN</t>
        </is>
      </c>
      <c r="E311" t="inlineStr">
        <is>
          <t>UPPSALA</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24915-2025</t>
        </is>
      </c>
      <c r="B312" s="1" t="n">
        <v>45799.54104166666</v>
      </c>
      <c r="C312" s="1" t="n">
        <v>45992</v>
      </c>
      <c r="D312" t="inlineStr">
        <is>
          <t>UPPSALA LÄN</t>
        </is>
      </c>
      <c r="E312" t="inlineStr">
        <is>
          <t>UPPSALA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45992</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24794-2025</t>
        </is>
      </c>
      <c r="B314" s="1" t="n">
        <v>45799.43496527777</v>
      </c>
      <c r="C314" s="1" t="n">
        <v>45992</v>
      </c>
      <c r="D314" t="inlineStr">
        <is>
          <t>UPPSALA LÄN</t>
        </is>
      </c>
      <c r="E314" t="inlineStr">
        <is>
          <t>UPPSALA</t>
        </is>
      </c>
      <c r="F314" t="inlineStr">
        <is>
          <t>BillerudKorsnäs AB</t>
        </is>
      </c>
      <c r="G314" t="n">
        <v>1.4</v>
      </c>
      <c r="H314" t="n">
        <v>0</v>
      </c>
      <c r="I314" t="n">
        <v>0</v>
      </c>
      <c r="J314" t="n">
        <v>0</v>
      </c>
      <c r="K314" t="n">
        <v>0</v>
      </c>
      <c r="L314" t="n">
        <v>0</v>
      </c>
      <c r="M314" t="n">
        <v>0</v>
      </c>
      <c r="N314" t="n">
        <v>0</v>
      </c>
      <c r="O314" t="n">
        <v>0</v>
      </c>
      <c r="P314" t="n">
        <v>0</v>
      </c>
      <c r="Q314" t="n">
        <v>0</v>
      </c>
      <c r="R314" s="2" t="inlineStr"/>
    </row>
    <row r="315" ht="15" customHeight="1">
      <c r="A315" t="inlineStr">
        <is>
          <t>A 24916-2025</t>
        </is>
      </c>
      <c r="B315" s="1" t="n">
        <v>45799.5421875</v>
      </c>
      <c r="C315" s="1" t="n">
        <v>45992</v>
      </c>
      <c r="D315" t="inlineStr">
        <is>
          <t>UPPSALA LÄN</t>
        </is>
      </c>
      <c r="E315" t="inlineStr">
        <is>
          <t>UPPSALA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25025-2025</t>
        </is>
      </c>
      <c r="B316" s="1" t="n">
        <v>45799.64877314815</v>
      </c>
      <c r="C316" s="1" t="n">
        <v>45992</v>
      </c>
      <c r="D316" t="inlineStr">
        <is>
          <t>UPPSALA LÄN</t>
        </is>
      </c>
      <c r="E316" t="inlineStr">
        <is>
          <t>UPPSALA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24525-2025</t>
        </is>
      </c>
      <c r="B317" s="1" t="n">
        <v>45798.42252314815</v>
      </c>
      <c r="C317" s="1" t="n">
        <v>45992</v>
      </c>
      <c r="D317" t="inlineStr">
        <is>
          <t>UPPSALA LÄN</t>
        </is>
      </c>
      <c r="E317" t="inlineStr">
        <is>
          <t>UPPSALA</t>
        </is>
      </c>
      <c r="G317" t="n">
        <v>3.2</v>
      </c>
      <c r="H317" t="n">
        <v>0</v>
      </c>
      <c r="I317" t="n">
        <v>0</v>
      </c>
      <c r="J317" t="n">
        <v>0</v>
      </c>
      <c r="K317" t="n">
        <v>0</v>
      </c>
      <c r="L317" t="n">
        <v>0</v>
      </c>
      <c r="M317" t="n">
        <v>0</v>
      </c>
      <c r="N317" t="n">
        <v>0</v>
      </c>
      <c r="O317" t="n">
        <v>0</v>
      </c>
      <c r="P317" t="n">
        <v>0</v>
      </c>
      <c r="Q317" t="n">
        <v>0</v>
      </c>
      <c r="R317" s="2" t="inlineStr"/>
    </row>
    <row r="318" ht="15" customHeight="1">
      <c r="A318" t="inlineStr">
        <is>
          <t>A 38469-2025</t>
        </is>
      </c>
      <c r="B318" s="1" t="n">
        <v>45884</v>
      </c>
      <c r="C318" s="1" t="n">
        <v>45992</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32928-2025</t>
        </is>
      </c>
      <c r="B319" s="1" t="n">
        <v>45839</v>
      </c>
      <c r="C319" s="1" t="n">
        <v>45992</v>
      </c>
      <c r="D319" t="inlineStr">
        <is>
          <t>UPPSALA LÄN</t>
        </is>
      </c>
      <c r="E319" t="inlineStr">
        <is>
          <t>UPPSALA</t>
        </is>
      </c>
      <c r="G319" t="n">
        <v>0.8</v>
      </c>
      <c r="H319" t="n">
        <v>0</v>
      </c>
      <c r="I319" t="n">
        <v>0</v>
      </c>
      <c r="J319" t="n">
        <v>0</v>
      </c>
      <c r="K319" t="n">
        <v>0</v>
      </c>
      <c r="L319" t="n">
        <v>0</v>
      </c>
      <c r="M319" t="n">
        <v>0</v>
      </c>
      <c r="N319" t="n">
        <v>0</v>
      </c>
      <c r="O319" t="n">
        <v>0</v>
      </c>
      <c r="P319" t="n">
        <v>0</v>
      </c>
      <c r="Q319" t="n">
        <v>0</v>
      </c>
      <c r="R319" s="2" t="inlineStr"/>
    </row>
    <row r="320" ht="15" customHeight="1">
      <c r="A320" t="inlineStr">
        <is>
          <t>A 36123-2023</t>
        </is>
      </c>
      <c r="B320" s="1" t="n">
        <v>45149.56928240741</v>
      </c>
      <c r="C320" s="1" t="n">
        <v>45992</v>
      </c>
      <c r="D320" t="inlineStr">
        <is>
          <t>UPPSALA LÄN</t>
        </is>
      </c>
      <c r="E320" t="inlineStr">
        <is>
          <t>UPPSALA</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25513-2025</t>
        </is>
      </c>
      <c r="B321" s="1" t="n">
        <v>45803.36384259259</v>
      </c>
      <c r="C321" s="1" t="n">
        <v>45992</v>
      </c>
      <c r="D321" t="inlineStr">
        <is>
          <t>UPPSALA LÄN</t>
        </is>
      </c>
      <c r="E321" t="inlineStr">
        <is>
          <t>UPPSALA</t>
        </is>
      </c>
      <c r="F321" t="inlineStr">
        <is>
          <t>Bergvik skog öst AB</t>
        </is>
      </c>
      <c r="G321" t="n">
        <v>8.9</v>
      </c>
      <c r="H321" t="n">
        <v>0</v>
      </c>
      <c r="I321" t="n">
        <v>0</v>
      </c>
      <c r="J321" t="n">
        <v>0</v>
      </c>
      <c r="K321" t="n">
        <v>0</v>
      </c>
      <c r="L321" t="n">
        <v>0</v>
      </c>
      <c r="M321" t="n">
        <v>0</v>
      </c>
      <c r="N321" t="n">
        <v>0</v>
      </c>
      <c r="O321" t="n">
        <v>0</v>
      </c>
      <c r="P321" t="n">
        <v>0</v>
      </c>
      <c r="Q321" t="n">
        <v>0</v>
      </c>
      <c r="R321" s="2" t="inlineStr"/>
    </row>
    <row r="322" ht="15" customHeight="1">
      <c r="A322" t="inlineStr">
        <is>
          <t>A 25280-2023</t>
        </is>
      </c>
      <c r="B322" s="1" t="n">
        <v>45086.7037037037</v>
      </c>
      <c r="C322" s="1" t="n">
        <v>45992</v>
      </c>
      <c r="D322" t="inlineStr">
        <is>
          <t>UPPSALA LÄN</t>
        </is>
      </c>
      <c r="E322" t="inlineStr">
        <is>
          <t>UPPSALA</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37162-2021</t>
        </is>
      </c>
      <c r="B323" s="1" t="n">
        <v>44395</v>
      </c>
      <c r="C323" s="1" t="n">
        <v>45992</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25674-2025</t>
        </is>
      </c>
      <c r="B324" s="1" t="n">
        <v>45803.63395833333</v>
      </c>
      <c r="C324" s="1" t="n">
        <v>45992</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73326-2021</t>
        </is>
      </c>
      <c r="B325" s="1" t="n">
        <v>44548</v>
      </c>
      <c r="C325" s="1" t="n">
        <v>45992</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52197-2024</t>
        </is>
      </c>
      <c r="B326" s="1" t="n">
        <v>45608</v>
      </c>
      <c r="C326" s="1" t="n">
        <v>45992</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6628-2024</t>
        </is>
      </c>
      <c r="B327" s="1" t="n">
        <v>45341</v>
      </c>
      <c r="C327" s="1" t="n">
        <v>45992</v>
      </c>
      <c r="D327" t="inlineStr">
        <is>
          <t>UPPSALA LÄN</t>
        </is>
      </c>
      <c r="E327" t="inlineStr">
        <is>
          <t>UPPSALA</t>
        </is>
      </c>
      <c r="G327" t="n">
        <v>4.3</v>
      </c>
      <c r="H327" t="n">
        <v>0</v>
      </c>
      <c r="I327" t="n">
        <v>0</v>
      </c>
      <c r="J327" t="n">
        <v>0</v>
      </c>
      <c r="K327" t="n">
        <v>0</v>
      </c>
      <c r="L327" t="n">
        <v>0</v>
      </c>
      <c r="M327" t="n">
        <v>0</v>
      </c>
      <c r="N327" t="n">
        <v>0</v>
      </c>
      <c r="O327" t="n">
        <v>0</v>
      </c>
      <c r="P327" t="n">
        <v>0</v>
      </c>
      <c r="Q327" t="n">
        <v>0</v>
      </c>
      <c r="R327" s="2" t="inlineStr"/>
    </row>
    <row r="328" ht="15" customHeight="1">
      <c r="A328" t="inlineStr">
        <is>
          <t>A 15264-2025</t>
        </is>
      </c>
      <c r="B328" s="1" t="n">
        <v>45744</v>
      </c>
      <c r="C328" s="1" t="n">
        <v>45992</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5309-2022</t>
        </is>
      </c>
      <c r="B329" s="1" t="n">
        <v>44594</v>
      </c>
      <c r="C329" s="1" t="n">
        <v>45992</v>
      </c>
      <c r="D329" t="inlineStr">
        <is>
          <t>UPPSALA LÄN</t>
        </is>
      </c>
      <c r="E329" t="inlineStr">
        <is>
          <t>UPPSALA</t>
        </is>
      </c>
      <c r="G329" t="n">
        <v>4.8</v>
      </c>
      <c r="H329" t="n">
        <v>0</v>
      </c>
      <c r="I329" t="n">
        <v>0</v>
      </c>
      <c r="J329" t="n">
        <v>0</v>
      </c>
      <c r="K329" t="n">
        <v>0</v>
      </c>
      <c r="L329" t="n">
        <v>0</v>
      </c>
      <c r="M329" t="n">
        <v>0</v>
      </c>
      <c r="N329" t="n">
        <v>0</v>
      </c>
      <c r="O329" t="n">
        <v>0</v>
      </c>
      <c r="P329" t="n">
        <v>0</v>
      </c>
      <c r="Q329" t="n">
        <v>0</v>
      </c>
      <c r="R329" s="2" t="inlineStr"/>
    </row>
    <row r="330" ht="15" customHeight="1">
      <c r="A330" t="inlineStr">
        <is>
          <t>A 24012-2023</t>
        </is>
      </c>
      <c r="B330" s="1" t="n">
        <v>45078</v>
      </c>
      <c r="C330" s="1" t="n">
        <v>45992</v>
      </c>
      <c r="D330" t="inlineStr">
        <is>
          <t>UPPSALA LÄN</t>
        </is>
      </c>
      <c r="E330" t="inlineStr">
        <is>
          <t>UPPSALA</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10612-2025</t>
        </is>
      </c>
      <c r="B331" s="1" t="n">
        <v>45721.60894675926</v>
      </c>
      <c r="C331" s="1" t="n">
        <v>45992</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26130-2025</t>
        </is>
      </c>
      <c r="B332" s="1" t="n">
        <v>45805.4094675926</v>
      </c>
      <c r="C332" s="1" t="n">
        <v>45992</v>
      </c>
      <c r="D332" t="inlineStr">
        <is>
          <t>UPPSALA LÄN</t>
        </is>
      </c>
      <c r="E332" t="inlineStr">
        <is>
          <t>UPPSALA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26139-2025</t>
        </is>
      </c>
      <c r="B333" s="1" t="n">
        <v>45805.41813657407</v>
      </c>
      <c r="C333" s="1" t="n">
        <v>45992</v>
      </c>
      <c r="D333" t="inlineStr">
        <is>
          <t>UPPSALA LÄN</t>
        </is>
      </c>
      <c r="E333" t="inlineStr">
        <is>
          <t>UPPSALA</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26141-2025</t>
        </is>
      </c>
      <c r="B334" s="1" t="n">
        <v>45805.4255787037</v>
      </c>
      <c r="C334" s="1" t="n">
        <v>45992</v>
      </c>
      <c r="D334" t="inlineStr">
        <is>
          <t>UPPSALA LÄN</t>
        </is>
      </c>
      <c r="E334" t="inlineStr">
        <is>
          <t>UPPSALA</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45992</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26155-2025</t>
        </is>
      </c>
      <c r="B336" s="1" t="n">
        <v>45805.43402777778</v>
      </c>
      <c r="C336" s="1" t="n">
        <v>45992</v>
      </c>
      <c r="D336" t="inlineStr">
        <is>
          <t>UPPSALA LÄN</t>
        </is>
      </c>
      <c r="E336" t="inlineStr">
        <is>
          <t>UPPSALA</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26131-2025</t>
        </is>
      </c>
      <c r="B337" s="1" t="n">
        <v>45805.41010416667</v>
      </c>
      <c r="C337" s="1" t="n">
        <v>45992</v>
      </c>
      <c r="D337" t="inlineStr">
        <is>
          <t>UPPSALA LÄN</t>
        </is>
      </c>
      <c r="E337" t="inlineStr">
        <is>
          <t>UPPSALA</t>
        </is>
      </c>
      <c r="F337" t="inlineStr">
        <is>
          <t>Bergvik skog öst AB</t>
        </is>
      </c>
      <c r="G337" t="n">
        <v>3.8</v>
      </c>
      <c r="H337" t="n">
        <v>0</v>
      </c>
      <c r="I337" t="n">
        <v>0</v>
      </c>
      <c r="J337" t="n">
        <v>0</v>
      </c>
      <c r="K337" t="n">
        <v>0</v>
      </c>
      <c r="L337" t="n">
        <v>0</v>
      </c>
      <c r="M337" t="n">
        <v>0</v>
      </c>
      <c r="N337" t="n">
        <v>0</v>
      </c>
      <c r="O337" t="n">
        <v>0</v>
      </c>
      <c r="P337" t="n">
        <v>0</v>
      </c>
      <c r="Q337" t="n">
        <v>0</v>
      </c>
      <c r="R337" s="2" t="inlineStr"/>
    </row>
    <row r="338" ht="15" customHeight="1">
      <c r="A338" t="inlineStr">
        <is>
          <t>A 43818-2023</t>
        </is>
      </c>
      <c r="B338" s="1" t="n">
        <v>45182</v>
      </c>
      <c r="C338" s="1" t="n">
        <v>45992</v>
      </c>
      <c r="D338" t="inlineStr">
        <is>
          <t>UPPSALA LÄN</t>
        </is>
      </c>
      <c r="E338" t="inlineStr">
        <is>
          <t>UPPSALA</t>
        </is>
      </c>
      <c r="G338" t="n">
        <v>10.8</v>
      </c>
      <c r="H338" t="n">
        <v>0</v>
      </c>
      <c r="I338" t="n">
        <v>0</v>
      </c>
      <c r="J338" t="n">
        <v>0</v>
      </c>
      <c r="K338" t="n">
        <v>0</v>
      </c>
      <c r="L338" t="n">
        <v>0</v>
      </c>
      <c r="M338" t="n">
        <v>0</v>
      </c>
      <c r="N338" t="n">
        <v>0</v>
      </c>
      <c r="O338" t="n">
        <v>0</v>
      </c>
      <c r="P338" t="n">
        <v>0</v>
      </c>
      <c r="Q338" t="n">
        <v>0</v>
      </c>
      <c r="R338" s="2" t="inlineStr"/>
    </row>
    <row r="339" ht="15" customHeight="1">
      <c r="A339" t="inlineStr">
        <is>
          <t>A 13420-2021</t>
        </is>
      </c>
      <c r="B339" s="1" t="n">
        <v>44273</v>
      </c>
      <c r="C339" s="1" t="n">
        <v>45992</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45992</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9206-2022</t>
        </is>
      </c>
      <c r="B341" s="1" t="n">
        <v>44616</v>
      </c>
      <c r="C341" s="1" t="n">
        <v>45992</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39777-2025</t>
        </is>
      </c>
      <c r="B342" s="1" t="n">
        <v>45891.46827546296</v>
      </c>
      <c r="C342" s="1" t="n">
        <v>45992</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26740-2025</t>
        </is>
      </c>
      <c r="B343" s="1" t="n">
        <v>45809</v>
      </c>
      <c r="C343" s="1" t="n">
        <v>45992</v>
      </c>
      <c r="D343" t="inlineStr">
        <is>
          <t>UPPSALA LÄN</t>
        </is>
      </c>
      <c r="E343" t="inlineStr">
        <is>
          <t>UPPSALA</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39721-2025</t>
        </is>
      </c>
      <c r="B344" s="1" t="n">
        <v>45891.33204861111</v>
      </c>
      <c r="C344" s="1" t="n">
        <v>45992</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49996-2023</t>
        </is>
      </c>
      <c r="B345" s="1" t="n">
        <v>45215.44233796297</v>
      </c>
      <c r="C345" s="1" t="n">
        <v>45992</v>
      </c>
      <c r="D345" t="inlineStr">
        <is>
          <t>UPPSALA LÄN</t>
        </is>
      </c>
      <c r="E345" t="inlineStr">
        <is>
          <t>UPPSALA</t>
        </is>
      </c>
      <c r="G345" t="n">
        <v>2</v>
      </c>
      <c r="H345" t="n">
        <v>0</v>
      </c>
      <c r="I345" t="n">
        <v>0</v>
      </c>
      <c r="J345" t="n">
        <v>0</v>
      </c>
      <c r="K345" t="n">
        <v>0</v>
      </c>
      <c r="L345" t="n">
        <v>0</v>
      </c>
      <c r="M345" t="n">
        <v>0</v>
      </c>
      <c r="N345" t="n">
        <v>0</v>
      </c>
      <c r="O345" t="n">
        <v>0</v>
      </c>
      <c r="P345" t="n">
        <v>0</v>
      </c>
      <c r="Q345" t="n">
        <v>0</v>
      </c>
      <c r="R345" s="2" t="inlineStr"/>
    </row>
    <row r="346" ht="15" customHeight="1">
      <c r="A346" t="inlineStr">
        <is>
          <t>A 26697-2025</t>
        </is>
      </c>
      <c r="B346" s="1" t="n">
        <v>45810.44339120371</v>
      </c>
      <c r="C346" s="1" t="n">
        <v>45992</v>
      </c>
      <c r="D346" t="inlineStr">
        <is>
          <t>UPPSALA LÄN</t>
        </is>
      </c>
      <c r="E346" t="inlineStr">
        <is>
          <t>UPPSALA</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26713-2025</t>
        </is>
      </c>
      <c r="B347" s="1" t="n">
        <v>45809</v>
      </c>
      <c r="C347" s="1" t="n">
        <v>45992</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9981-2025</t>
        </is>
      </c>
      <c r="B348" s="1" t="n">
        <v>45719.40723379629</v>
      </c>
      <c r="C348" s="1" t="n">
        <v>45992</v>
      </c>
      <c r="D348" t="inlineStr">
        <is>
          <t>UPPSALA LÄN</t>
        </is>
      </c>
      <c r="E348" t="inlineStr">
        <is>
          <t>UPPSALA</t>
        </is>
      </c>
      <c r="F348" t="inlineStr">
        <is>
          <t>Kyrkan</t>
        </is>
      </c>
      <c r="G348" t="n">
        <v>2.9</v>
      </c>
      <c r="H348" t="n">
        <v>0</v>
      </c>
      <c r="I348" t="n">
        <v>0</v>
      </c>
      <c r="J348" t="n">
        <v>0</v>
      </c>
      <c r="K348" t="n">
        <v>0</v>
      </c>
      <c r="L348" t="n">
        <v>0</v>
      </c>
      <c r="M348" t="n">
        <v>0</v>
      </c>
      <c r="N348" t="n">
        <v>0</v>
      </c>
      <c r="O348" t="n">
        <v>0</v>
      </c>
      <c r="P348" t="n">
        <v>0</v>
      </c>
      <c r="Q348" t="n">
        <v>0</v>
      </c>
      <c r="R348" s="2" t="inlineStr"/>
    </row>
    <row r="349" ht="15" customHeight="1">
      <c r="A349" t="inlineStr">
        <is>
          <t>A 60698-2024</t>
        </is>
      </c>
      <c r="B349" s="1" t="n">
        <v>45644</v>
      </c>
      <c r="C349" s="1" t="n">
        <v>45992</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60735-2024</t>
        </is>
      </c>
      <c r="B350" s="1" t="n">
        <v>45644</v>
      </c>
      <c r="C350" s="1" t="n">
        <v>45992</v>
      </c>
      <c r="D350" t="inlineStr">
        <is>
          <t>UPPSALA LÄN</t>
        </is>
      </c>
      <c r="E350" t="inlineStr">
        <is>
          <t>UPPSALA</t>
        </is>
      </c>
      <c r="G350" t="n">
        <v>1.4</v>
      </c>
      <c r="H350" t="n">
        <v>0</v>
      </c>
      <c r="I350" t="n">
        <v>0</v>
      </c>
      <c r="J350" t="n">
        <v>0</v>
      </c>
      <c r="K350" t="n">
        <v>0</v>
      </c>
      <c r="L350" t="n">
        <v>0</v>
      </c>
      <c r="M350" t="n">
        <v>0</v>
      </c>
      <c r="N350" t="n">
        <v>0</v>
      </c>
      <c r="O350" t="n">
        <v>0</v>
      </c>
      <c r="P350" t="n">
        <v>0</v>
      </c>
      <c r="Q350" t="n">
        <v>0</v>
      </c>
      <c r="R350" s="2" t="inlineStr"/>
    </row>
    <row r="351" ht="15" customHeight="1">
      <c r="A351" t="inlineStr">
        <is>
          <t>A 39529-2025</t>
        </is>
      </c>
      <c r="B351" s="1" t="n">
        <v>45890</v>
      </c>
      <c r="C351" s="1" t="n">
        <v>45992</v>
      </c>
      <c r="D351" t="inlineStr">
        <is>
          <t>UPPSALA LÄN</t>
        </is>
      </c>
      <c r="E351" t="inlineStr">
        <is>
          <t>UPPSALA</t>
        </is>
      </c>
      <c r="F351" t="inlineStr">
        <is>
          <t>Allmännings- och besparingsskogar</t>
        </is>
      </c>
      <c r="G351" t="n">
        <v>3.9</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45992</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45992</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23494-2024</t>
        </is>
      </c>
      <c r="B354" s="1" t="n">
        <v>45453.69339120371</v>
      </c>
      <c r="C354" s="1" t="n">
        <v>45992</v>
      </c>
      <c r="D354" t="inlineStr">
        <is>
          <t>UPPSALA LÄN</t>
        </is>
      </c>
      <c r="E354" t="inlineStr">
        <is>
          <t>UPPSALA</t>
        </is>
      </c>
      <c r="F354" t="inlineStr">
        <is>
          <t>Kyrkan</t>
        </is>
      </c>
      <c r="G354" t="n">
        <v>0.8</v>
      </c>
      <c r="H354" t="n">
        <v>0</v>
      </c>
      <c r="I354" t="n">
        <v>0</v>
      </c>
      <c r="J354" t="n">
        <v>0</v>
      </c>
      <c r="K354" t="n">
        <v>0</v>
      </c>
      <c r="L354" t="n">
        <v>0</v>
      </c>
      <c r="M354" t="n">
        <v>0</v>
      </c>
      <c r="N354" t="n">
        <v>0</v>
      </c>
      <c r="O354" t="n">
        <v>0</v>
      </c>
      <c r="P354" t="n">
        <v>0</v>
      </c>
      <c r="Q354" t="n">
        <v>0</v>
      </c>
      <c r="R354" s="2" t="inlineStr"/>
    </row>
    <row r="355" ht="15" customHeight="1">
      <c r="A355" t="inlineStr">
        <is>
          <t>A 60701-2022</t>
        </is>
      </c>
      <c r="B355" s="1" t="n">
        <v>44912</v>
      </c>
      <c r="C355" s="1" t="n">
        <v>45992</v>
      </c>
      <c r="D355" t="inlineStr">
        <is>
          <t>UPPSALA LÄN</t>
        </is>
      </c>
      <c r="E355" t="inlineStr">
        <is>
          <t>UPPSALA</t>
        </is>
      </c>
      <c r="G355" t="n">
        <v>1.4</v>
      </c>
      <c r="H355" t="n">
        <v>0</v>
      </c>
      <c r="I355" t="n">
        <v>0</v>
      </c>
      <c r="J355" t="n">
        <v>0</v>
      </c>
      <c r="K355" t="n">
        <v>0</v>
      </c>
      <c r="L355" t="n">
        <v>0</v>
      </c>
      <c r="M355" t="n">
        <v>0</v>
      </c>
      <c r="N355" t="n">
        <v>0</v>
      </c>
      <c r="O355" t="n">
        <v>0</v>
      </c>
      <c r="P355" t="n">
        <v>0</v>
      </c>
      <c r="Q355" t="n">
        <v>0</v>
      </c>
      <c r="R355" s="2" t="inlineStr"/>
    </row>
    <row r="356" ht="15" customHeight="1">
      <c r="A356" t="inlineStr">
        <is>
          <t>A 32127-2024</t>
        </is>
      </c>
      <c r="B356" s="1" t="n">
        <v>45511</v>
      </c>
      <c r="C356" s="1" t="n">
        <v>45992</v>
      </c>
      <c r="D356" t="inlineStr">
        <is>
          <t>UPPSALA LÄN</t>
        </is>
      </c>
      <c r="E356" t="inlineStr">
        <is>
          <t>UPPSALA</t>
        </is>
      </c>
      <c r="G356" t="n">
        <v>3.7</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45992</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26696-2025</t>
        </is>
      </c>
      <c r="B358" s="1" t="n">
        <v>45810.44299768518</v>
      </c>
      <c r="C358" s="1" t="n">
        <v>45992</v>
      </c>
      <c r="D358" t="inlineStr">
        <is>
          <t>UPPSALA LÄN</t>
        </is>
      </c>
      <c r="E358" t="inlineStr">
        <is>
          <t>UPPSALA</t>
        </is>
      </c>
      <c r="F358" t="inlineStr">
        <is>
          <t>Bergvik skog öst AB</t>
        </is>
      </c>
      <c r="G358" t="n">
        <v>7.1</v>
      </c>
      <c r="H358" t="n">
        <v>0</v>
      </c>
      <c r="I358" t="n">
        <v>0</v>
      </c>
      <c r="J358" t="n">
        <v>0</v>
      </c>
      <c r="K358" t="n">
        <v>0</v>
      </c>
      <c r="L358" t="n">
        <v>0</v>
      </c>
      <c r="M358" t="n">
        <v>0</v>
      </c>
      <c r="N358" t="n">
        <v>0</v>
      </c>
      <c r="O358" t="n">
        <v>0</v>
      </c>
      <c r="P358" t="n">
        <v>0</v>
      </c>
      <c r="Q358" t="n">
        <v>0</v>
      </c>
      <c r="R358" s="2" t="inlineStr"/>
    </row>
    <row r="359" ht="15" customHeight="1">
      <c r="A359" t="inlineStr">
        <is>
          <t>A 16434-2024</t>
        </is>
      </c>
      <c r="B359" s="1" t="n">
        <v>45407.69575231482</v>
      </c>
      <c r="C359" s="1" t="n">
        <v>45992</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1825-2024</t>
        </is>
      </c>
      <c r="B360" s="1" t="n">
        <v>45307</v>
      </c>
      <c r="C360" s="1" t="n">
        <v>45992</v>
      </c>
      <c r="D360" t="inlineStr">
        <is>
          <t>UPPSALA LÄN</t>
        </is>
      </c>
      <c r="E360" t="inlineStr">
        <is>
          <t>UPPSALA</t>
        </is>
      </c>
      <c r="G360" t="n">
        <v>4.2</v>
      </c>
      <c r="H360" t="n">
        <v>0</v>
      </c>
      <c r="I360" t="n">
        <v>0</v>
      </c>
      <c r="J360" t="n">
        <v>0</v>
      </c>
      <c r="K360" t="n">
        <v>0</v>
      </c>
      <c r="L360" t="n">
        <v>0</v>
      </c>
      <c r="M360" t="n">
        <v>0</v>
      </c>
      <c r="N360" t="n">
        <v>0</v>
      </c>
      <c r="O360" t="n">
        <v>0</v>
      </c>
      <c r="P360" t="n">
        <v>0</v>
      </c>
      <c r="Q360" t="n">
        <v>0</v>
      </c>
      <c r="R360" s="2" t="inlineStr"/>
    </row>
    <row r="361" ht="15" customHeight="1">
      <c r="A361" t="inlineStr">
        <is>
          <t>A 64855-2021</t>
        </is>
      </c>
      <c r="B361" s="1" t="n">
        <v>44512</v>
      </c>
      <c r="C361" s="1" t="n">
        <v>45992</v>
      </c>
      <c r="D361" t="inlineStr">
        <is>
          <t>UPPSALA LÄN</t>
        </is>
      </c>
      <c r="E361" t="inlineStr">
        <is>
          <t>UPPSALA</t>
        </is>
      </c>
      <c r="G361" t="n">
        <v>3.1</v>
      </c>
      <c r="H361" t="n">
        <v>0</v>
      </c>
      <c r="I361" t="n">
        <v>0</v>
      </c>
      <c r="J361" t="n">
        <v>0</v>
      </c>
      <c r="K361" t="n">
        <v>0</v>
      </c>
      <c r="L361" t="n">
        <v>0</v>
      </c>
      <c r="M361" t="n">
        <v>0</v>
      </c>
      <c r="N361" t="n">
        <v>0</v>
      </c>
      <c r="O361" t="n">
        <v>0</v>
      </c>
      <c r="P361" t="n">
        <v>0</v>
      </c>
      <c r="Q361" t="n">
        <v>0</v>
      </c>
      <c r="R361" s="2" t="inlineStr"/>
    </row>
    <row r="362" ht="15" customHeight="1">
      <c r="A362" t="inlineStr">
        <is>
          <t>A 27265-2025</t>
        </is>
      </c>
      <c r="B362" s="1" t="n">
        <v>45812.48032407407</v>
      </c>
      <c r="C362" s="1" t="n">
        <v>45992</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45992</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9993-2025</t>
        </is>
      </c>
      <c r="B364" s="1" t="n">
        <v>45719.43755787037</v>
      </c>
      <c r="C364" s="1" t="n">
        <v>45992</v>
      </c>
      <c r="D364" t="inlineStr">
        <is>
          <t>UPPSALA LÄN</t>
        </is>
      </c>
      <c r="E364" t="inlineStr">
        <is>
          <t>UPPSALA</t>
        </is>
      </c>
      <c r="F364" t="inlineStr">
        <is>
          <t>Kyrkan</t>
        </is>
      </c>
      <c r="G364" t="n">
        <v>6.1</v>
      </c>
      <c r="H364" t="n">
        <v>0</v>
      </c>
      <c r="I364" t="n">
        <v>0</v>
      </c>
      <c r="J364" t="n">
        <v>0</v>
      </c>
      <c r="K364" t="n">
        <v>0</v>
      </c>
      <c r="L364" t="n">
        <v>0</v>
      </c>
      <c r="M364" t="n">
        <v>0</v>
      </c>
      <c r="N364" t="n">
        <v>0</v>
      </c>
      <c r="O364" t="n">
        <v>0</v>
      </c>
      <c r="P364" t="n">
        <v>0</v>
      </c>
      <c r="Q364" t="n">
        <v>0</v>
      </c>
      <c r="R364" s="2" t="inlineStr"/>
    </row>
    <row r="365" ht="15" customHeight="1">
      <c r="A365" t="inlineStr">
        <is>
          <t>A 40610-2025</t>
        </is>
      </c>
      <c r="B365" s="1" t="n">
        <v>45896.57368055556</v>
      </c>
      <c r="C365" s="1" t="n">
        <v>45992</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40504-2025</t>
        </is>
      </c>
      <c r="B366" s="1" t="n">
        <v>45896</v>
      </c>
      <c r="C366" s="1" t="n">
        <v>45992</v>
      </c>
      <c r="D366" t="inlineStr">
        <is>
          <t>UPPSALA LÄN</t>
        </is>
      </c>
      <c r="E366" t="inlineStr">
        <is>
          <t>UPPSALA</t>
        </is>
      </c>
      <c r="G366" t="n">
        <v>4.4</v>
      </c>
      <c r="H366" t="n">
        <v>0</v>
      </c>
      <c r="I366" t="n">
        <v>0</v>
      </c>
      <c r="J366" t="n">
        <v>0</v>
      </c>
      <c r="K366" t="n">
        <v>0</v>
      </c>
      <c r="L366" t="n">
        <v>0</v>
      </c>
      <c r="M366" t="n">
        <v>0</v>
      </c>
      <c r="N366" t="n">
        <v>0</v>
      </c>
      <c r="O366" t="n">
        <v>0</v>
      </c>
      <c r="P366" t="n">
        <v>0</v>
      </c>
      <c r="Q366" t="n">
        <v>0</v>
      </c>
      <c r="R366" s="2" t="inlineStr"/>
    </row>
    <row r="367" ht="15" customHeight="1">
      <c r="A367" t="inlineStr">
        <is>
          <t>A 27538-2025</t>
        </is>
      </c>
      <c r="B367" s="1" t="n">
        <v>45813.46034722222</v>
      </c>
      <c r="C367" s="1" t="n">
        <v>45992</v>
      </c>
      <c r="D367" t="inlineStr">
        <is>
          <t>UPPSALA LÄN</t>
        </is>
      </c>
      <c r="E367" t="inlineStr">
        <is>
          <t>UPPSALA</t>
        </is>
      </c>
      <c r="G367" t="n">
        <v>3.1</v>
      </c>
      <c r="H367" t="n">
        <v>0</v>
      </c>
      <c r="I367" t="n">
        <v>0</v>
      </c>
      <c r="J367" t="n">
        <v>0</v>
      </c>
      <c r="K367" t="n">
        <v>0</v>
      </c>
      <c r="L367" t="n">
        <v>0</v>
      </c>
      <c r="M367" t="n">
        <v>0</v>
      </c>
      <c r="N367" t="n">
        <v>0</v>
      </c>
      <c r="O367" t="n">
        <v>0</v>
      </c>
      <c r="P367" t="n">
        <v>0</v>
      </c>
      <c r="Q367" t="n">
        <v>0</v>
      </c>
      <c r="R367" s="2" t="inlineStr"/>
    </row>
    <row r="368" ht="15" customHeight="1">
      <c r="A368" t="inlineStr">
        <is>
          <t>A 40606-2025</t>
        </is>
      </c>
      <c r="B368" s="1" t="n">
        <v>45896.57171296296</v>
      </c>
      <c r="C368" s="1" t="n">
        <v>45992</v>
      </c>
      <c r="D368" t="inlineStr">
        <is>
          <t>UPPSALA LÄN</t>
        </is>
      </c>
      <c r="E368" t="inlineStr">
        <is>
          <t>UPPSALA</t>
        </is>
      </c>
      <c r="G368" t="n">
        <v>3.2</v>
      </c>
      <c r="H368" t="n">
        <v>0</v>
      </c>
      <c r="I368" t="n">
        <v>0</v>
      </c>
      <c r="J368" t="n">
        <v>0</v>
      </c>
      <c r="K368" t="n">
        <v>0</v>
      </c>
      <c r="L368" t="n">
        <v>0</v>
      </c>
      <c r="M368" t="n">
        <v>0</v>
      </c>
      <c r="N368" t="n">
        <v>0</v>
      </c>
      <c r="O368" t="n">
        <v>0</v>
      </c>
      <c r="P368" t="n">
        <v>0</v>
      </c>
      <c r="Q368" t="n">
        <v>0</v>
      </c>
      <c r="R368" s="2" t="inlineStr"/>
    </row>
    <row r="369" ht="15" customHeight="1">
      <c r="A369" t="inlineStr">
        <is>
          <t>A 40501-2025</t>
        </is>
      </c>
      <c r="B369" s="1" t="n">
        <v>45896</v>
      </c>
      <c r="C369" s="1" t="n">
        <v>45992</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40855-2025</t>
        </is>
      </c>
      <c r="B370" s="1" t="n">
        <v>45897</v>
      </c>
      <c r="C370" s="1" t="n">
        <v>45992</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40639-2025</t>
        </is>
      </c>
      <c r="B371" s="1" t="n">
        <v>45896.61050925926</v>
      </c>
      <c r="C371" s="1" t="n">
        <v>45992</v>
      </c>
      <c r="D371" t="inlineStr">
        <is>
          <t>UPPSALA LÄN</t>
        </is>
      </c>
      <c r="E371" t="inlineStr">
        <is>
          <t>UPPSALA</t>
        </is>
      </c>
      <c r="G371" t="n">
        <v>6.9</v>
      </c>
      <c r="H371" t="n">
        <v>0</v>
      </c>
      <c r="I371" t="n">
        <v>0</v>
      </c>
      <c r="J371" t="n">
        <v>0</v>
      </c>
      <c r="K371" t="n">
        <v>0</v>
      </c>
      <c r="L371" t="n">
        <v>0</v>
      </c>
      <c r="M371" t="n">
        <v>0</v>
      </c>
      <c r="N371" t="n">
        <v>0</v>
      </c>
      <c r="O371" t="n">
        <v>0</v>
      </c>
      <c r="P371" t="n">
        <v>0</v>
      </c>
      <c r="Q371" t="n">
        <v>0</v>
      </c>
      <c r="R371" s="2" t="inlineStr"/>
    </row>
    <row r="372" ht="15" customHeight="1">
      <c r="A372" t="inlineStr">
        <is>
          <t>A 43031-2023</t>
        </is>
      </c>
      <c r="B372" s="1" t="n">
        <v>45182</v>
      </c>
      <c r="C372" s="1" t="n">
        <v>45992</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10489-2025</t>
        </is>
      </c>
      <c r="B373" s="1" t="n">
        <v>45721.34715277778</v>
      </c>
      <c r="C373" s="1" t="n">
        <v>45992</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45992</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27917-2025</t>
        </is>
      </c>
      <c r="B375" s="1" t="n">
        <v>45814</v>
      </c>
      <c r="C375" s="1" t="n">
        <v>45992</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59133-2022</t>
        </is>
      </c>
      <c r="B376" s="1" t="n">
        <v>44904</v>
      </c>
      <c r="C376" s="1" t="n">
        <v>45992</v>
      </c>
      <c r="D376" t="inlineStr">
        <is>
          <t>UPPSALA LÄN</t>
        </is>
      </c>
      <c r="E376" t="inlineStr">
        <is>
          <t>UPPSALA</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28121-2025</t>
        </is>
      </c>
      <c r="B377" s="1" t="n">
        <v>45817</v>
      </c>
      <c r="C377" s="1" t="n">
        <v>45992</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41445-2025</t>
        </is>
      </c>
      <c r="B378" s="1" t="n">
        <v>45901.41853009259</v>
      </c>
      <c r="C378" s="1" t="n">
        <v>45992</v>
      </c>
      <c r="D378" t="inlineStr">
        <is>
          <t>UPPSALA LÄN</t>
        </is>
      </c>
      <c r="E378" t="inlineStr">
        <is>
          <t>UPPSALA</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28275-2025</t>
        </is>
      </c>
      <c r="B379" s="1" t="n">
        <v>45818.57910879629</v>
      </c>
      <c r="C379" s="1" t="n">
        <v>45992</v>
      </c>
      <c r="D379" t="inlineStr">
        <is>
          <t>UPPSALA LÄN</t>
        </is>
      </c>
      <c r="E379" t="inlineStr">
        <is>
          <t>UPPSALA</t>
        </is>
      </c>
      <c r="F379" t="inlineStr">
        <is>
          <t>Holmen skog AB</t>
        </is>
      </c>
      <c r="G379" t="n">
        <v>6.5</v>
      </c>
      <c r="H379" t="n">
        <v>0</v>
      </c>
      <c r="I379" t="n">
        <v>0</v>
      </c>
      <c r="J379" t="n">
        <v>0</v>
      </c>
      <c r="K379" t="n">
        <v>0</v>
      </c>
      <c r="L379" t="n">
        <v>0</v>
      </c>
      <c r="M379" t="n">
        <v>0</v>
      </c>
      <c r="N379" t="n">
        <v>0</v>
      </c>
      <c r="O379" t="n">
        <v>0</v>
      </c>
      <c r="P379" t="n">
        <v>0</v>
      </c>
      <c r="Q379" t="n">
        <v>0</v>
      </c>
      <c r="R379" s="2" t="inlineStr"/>
    </row>
    <row r="380" ht="15" customHeight="1">
      <c r="A380" t="inlineStr">
        <is>
          <t>A 27922-2025</t>
        </is>
      </c>
      <c r="B380" s="1" t="n">
        <v>45817</v>
      </c>
      <c r="C380" s="1" t="n">
        <v>45992</v>
      </c>
      <c r="D380" t="inlineStr">
        <is>
          <t>UPPSALA LÄN</t>
        </is>
      </c>
      <c r="E380" t="inlineStr">
        <is>
          <t>UPPSALA</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45992</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39795-2022</t>
        </is>
      </c>
      <c r="B382" s="1" t="n">
        <v>44819.50233796296</v>
      </c>
      <c r="C382" s="1" t="n">
        <v>45992</v>
      </c>
      <c r="D382" t="inlineStr">
        <is>
          <t>UPPSALA LÄN</t>
        </is>
      </c>
      <c r="E382" t="inlineStr">
        <is>
          <t>UPPSALA</t>
        </is>
      </c>
      <c r="F382" t="inlineStr">
        <is>
          <t>Övriga Aktiebolag</t>
        </is>
      </c>
      <c r="G382" t="n">
        <v>3.5</v>
      </c>
      <c r="H382" t="n">
        <v>0</v>
      </c>
      <c r="I382" t="n">
        <v>0</v>
      </c>
      <c r="J382" t="n">
        <v>0</v>
      </c>
      <c r="K382" t="n">
        <v>0</v>
      </c>
      <c r="L382" t="n">
        <v>0</v>
      </c>
      <c r="M382" t="n">
        <v>0</v>
      </c>
      <c r="N382" t="n">
        <v>0</v>
      </c>
      <c r="O382" t="n">
        <v>0</v>
      </c>
      <c r="P382" t="n">
        <v>0</v>
      </c>
      <c r="Q382" t="n">
        <v>0</v>
      </c>
      <c r="R382" s="2" t="inlineStr"/>
    </row>
    <row r="383" ht="15" customHeight="1">
      <c r="A383" t="inlineStr">
        <is>
          <t>A 11409-2025</t>
        </is>
      </c>
      <c r="B383" s="1" t="n">
        <v>45726</v>
      </c>
      <c r="C383" s="1" t="n">
        <v>45992</v>
      </c>
      <c r="D383" t="inlineStr">
        <is>
          <t>UPPSALA LÄN</t>
        </is>
      </c>
      <c r="E383" t="inlineStr">
        <is>
          <t>UPPSALA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668-2025</t>
        </is>
      </c>
      <c r="B384" s="1" t="n">
        <v>45664</v>
      </c>
      <c r="C384" s="1" t="n">
        <v>45992</v>
      </c>
      <c r="D384" t="inlineStr">
        <is>
          <t>UPPSALA LÄN</t>
        </is>
      </c>
      <c r="E384" t="inlineStr">
        <is>
          <t>UPPSALA</t>
        </is>
      </c>
      <c r="F384" t="inlineStr">
        <is>
          <t>Bergvik skog öst AB</t>
        </is>
      </c>
      <c r="G384" t="n">
        <v>4.7</v>
      </c>
      <c r="H384" t="n">
        <v>0</v>
      </c>
      <c r="I384" t="n">
        <v>0</v>
      </c>
      <c r="J384" t="n">
        <v>0</v>
      </c>
      <c r="K384" t="n">
        <v>0</v>
      </c>
      <c r="L384" t="n">
        <v>0</v>
      </c>
      <c r="M384" t="n">
        <v>0</v>
      </c>
      <c r="N384" t="n">
        <v>0</v>
      </c>
      <c r="O384" t="n">
        <v>0</v>
      </c>
      <c r="P384" t="n">
        <v>0</v>
      </c>
      <c r="Q384" t="n">
        <v>0</v>
      </c>
      <c r="R384" s="2" t="inlineStr"/>
    </row>
    <row r="385" ht="15" customHeight="1">
      <c r="A385" t="inlineStr">
        <is>
          <t>A 41954-2025</t>
        </is>
      </c>
      <c r="B385" s="1" t="n">
        <v>45903</v>
      </c>
      <c r="C385" s="1" t="n">
        <v>45992</v>
      </c>
      <c r="D385" t="inlineStr">
        <is>
          <t>UPPSALA LÄN</t>
        </is>
      </c>
      <c r="E385" t="inlineStr">
        <is>
          <t>UPPSALA</t>
        </is>
      </c>
      <c r="G385" t="n">
        <v>7.5</v>
      </c>
      <c r="H385" t="n">
        <v>0</v>
      </c>
      <c r="I385" t="n">
        <v>0</v>
      </c>
      <c r="J385" t="n">
        <v>0</v>
      </c>
      <c r="K385" t="n">
        <v>0</v>
      </c>
      <c r="L385" t="n">
        <v>0</v>
      </c>
      <c r="M385" t="n">
        <v>0</v>
      </c>
      <c r="N385" t="n">
        <v>0</v>
      </c>
      <c r="O385" t="n">
        <v>0</v>
      </c>
      <c r="P385" t="n">
        <v>0</v>
      </c>
      <c r="Q385" t="n">
        <v>0</v>
      </c>
      <c r="R385" s="2" t="inlineStr"/>
    </row>
    <row r="386" ht="15" customHeight="1">
      <c r="A386" t="inlineStr">
        <is>
          <t>A 28876-2025</t>
        </is>
      </c>
      <c r="B386" s="1" t="n">
        <v>45820</v>
      </c>
      <c r="C386" s="1" t="n">
        <v>45992</v>
      </c>
      <c r="D386" t="inlineStr">
        <is>
          <t>UPPSALA LÄN</t>
        </is>
      </c>
      <c r="E386" t="inlineStr">
        <is>
          <t>UPPSALA</t>
        </is>
      </c>
      <c r="G386" t="n">
        <v>4</v>
      </c>
      <c r="H386" t="n">
        <v>0</v>
      </c>
      <c r="I386" t="n">
        <v>0</v>
      </c>
      <c r="J386" t="n">
        <v>0</v>
      </c>
      <c r="K386" t="n">
        <v>0</v>
      </c>
      <c r="L386" t="n">
        <v>0</v>
      </c>
      <c r="M386" t="n">
        <v>0</v>
      </c>
      <c r="N386" t="n">
        <v>0</v>
      </c>
      <c r="O386" t="n">
        <v>0</v>
      </c>
      <c r="P386" t="n">
        <v>0</v>
      </c>
      <c r="Q386" t="n">
        <v>0</v>
      </c>
      <c r="R386" s="2" t="inlineStr"/>
    </row>
    <row r="387" ht="15" customHeight="1">
      <c r="A387" t="inlineStr">
        <is>
          <t>A 28871-2025</t>
        </is>
      </c>
      <c r="B387" s="1" t="n">
        <v>45820</v>
      </c>
      <c r="C387" s="1" t="n">
        <v>45992</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28878-2025</t>
        </is>
      </c>
      <c r="B388" s="1" t="n">
        <v>45820</v>
      </c>
      <c r="C388" s="1" t="n">
        <v>45992</v>
      </c>
      <c r="D388" t="inlineStr">
        <is>
          <t>UPPSALA LÄN</t>
        </is>
      </c>
      <c r="E388" t="inlineStr">
        <is>
          <t>UPPSALA</t>
        </is>
      </c>
      <c r="G388" t="n">
        <v>5.5</v>
      </c>
      <c r="H388" t="n">
        <v>0</v>
      </c>
      <c r="I388" t="n">
        <v>0</v>
      </c>
      <c r="J388" t="n">
        <v>0</v>
      </c>
      <c r="K388" t="n">
        <v>0</v>
      </c>
      <c r="L388" t="n">
        <v>0</v>
      </c>
      <c r="M388" t="n">
        <v>0</v>
      </c>
      <c r="N388" t="n">
        <v>0</v>
      </c>
      <c r="O388" t="n">
        <v>0</v>
      </c>
      <c r="P388" t="n">
        <v>0</v>
      </c>
      <c r="Q388" t="n">
        <v>0</v>
      </c>
      <c r="R388" s="2" t="inlineStr"/>
    </row>
    <row r="389" ht="15" customHeight="1">
      <c r="A389" t="inlineStr">
        <is>
          <t>A 6408-2022</t>
        </is>
      </c>
      <c r="B389" s="1" t="n">
        <v>44600</v>
      </c>
      <c r="C389" s="1" t="n">
        <v>45992</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29030-2025</t>
        </is>
      </c>
      <c r="B390" s="1" t="n">
        <v>45821.44101851852</v>
      </c>
      <c r="C390" s="1" t="n">
        <v>45992</v>
      </c>
      <c r="D390" t="inlineStr">
        <is>
          <t>UPPSALA LÄN</t>
        </is>
      </c>
      <c r="E390" t="inlineStr">
        <is>
          <t>UPPSALA</t>
        </is>
      </c>
      <c r="G390" t="n">
        <v>3.9</v>
      </c>
      <c r="H390" t="n">
        <v>0</v>
      </c>
      <c r="I390" t="n">
        <v>0</v>
      </c>
      <c r="J390" t="n">
        <v>0</v>
      </c>
      <c r="K390" t="n">
        <v>0</v>
      </c>
      <c r="L390" t="n">
        <v>0</v>
      </c>
      <c r="M390" t="n">
        <v>0</v>
      </c>
      <c r="N390" t="n">
        <v>0</v>
      </c>
      <c r="O390" t="n">
        <v>0</v>
      </c>
      <c r="P390" t="n">
        <v>0</v>
      </c>
      <c r="Q390" t="n">
        <v>0</v>
      </c>
      <c r="R390" s="2" t="inlineStr"/>
    </row>
    <row r="391" ht="15" customHeight="1">
      <c r="A391" t="inlineStr">
        <is>
          <t>A 24098-2024</t>
        </is>
      </c>
      <c r="B391" s="1" t="n">
        <v>45456.59535879629</v>
      </c>
      <c r="C391" s="1" t="n">
        <v>45992</v>
      </c>
      <c r="D391" t="inlineStr">
        <is>
          <t>UPPSALA LÄN</t>
        </is>
      </c>
      <c r="E391" t="inlineStr">
        <is>
          <t>UPPSALA</t>
        </is>
      </c>
      <c r="G391" t="n">
        <v>2.2</v>
      </c>
      <c r="H391" t="n">
        <v>0</v>
      </c>
      <c r="I391" t="n">
        <v>0</v>
      </c>
      <c r="J391" t="n">
        <v>0</v>
      </c>
      <c r="K391" t="n">
        <v>0</v>
      </c>
      <c r="L391" t="n">
        <v>0</v>
      </c>
      <c r="M391" t="n">
        <v>0</v>
      </c>
      <c r="N391" t="n">
        <v>0</v>
      </c>
      <c r="O391" t="n">
        <v>0</v>
      </c>
      <c r="P391" t="n">
        <v>0</v>
      </c>
      <c r="Q391" t="n">
        <v>0</v>
      </c>
      <c r="R391" s="2" t="inlineStr"/>
    </row>
    <row r="392" ht="15" customHeight="1">
      <c r="A392" t="inlineStr">
        <is>
          <t>A 5722-2025</t>
        </is>
      </c>
      <c r="B392" s="1" t="n">
        <v>45694</v>
      </c>
      <c r="C392" s="1" t="n">
        <v>45992</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37316-2022</t>
        </is>
      </c>
      <c r="B393" s="1" t="n">
        <v>44806</v>
      </c>
      <c r="C393" s="1" t="n">
        <v>45992</v>
      </c>
      <c r="D393" t="inlineStr">
        <is>
          <t>UPPSALA LÄN</t>
        </is>
      </c>
      <c r="E393" t="inlineStr">
        <is>
          <t>UPPSALA</t>
        </is>
      </c>
      <c r="G393" t="n">
        <v>10.6</v>
      </c>
      <c r="H393" t="n">
        <v>0</v>
      </c>
      <c r="I393" t="n">
        <v>0</v>
      </c>
      <c r="J393" t="n">
        <v>0</v>
      </c>
      <c r="K393" t="n">
        <v>0</v>
      </c>
      <c r="L393" t="n">
        <v>0</v>
      </c>
      <c r="M393" t="n">
        <v>0</v>
      </c>
      <c r="N393" t="n">
        <v>0</v>
      </c>
      <c r="O393" t="n">
        <v>0</v>
      </c>
      <c r="P393" t="n">
        <v>0</v>
      </c>
      <c r="Q393" t="n">
        <v>0</v>
      </c>
      <c r="R393" s="2" t="inlineStr"/>
    </row>
    <row r="394" ht="15" customHeight="1">
      <c r="A394" t="inlineStr">
        <is>
          <t>A 6363-2024</t>
        </is>
      </c>
      <c r="B394" s="1" t="n">
        <v>45338.49412037037</v>
      </c>
      <c r="C394" s="1" t="n">
        <v>45992</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42084-2025</t>
        </is>
      </c>
      <c r="B395" s="1" t="n">
        <v>45903.69096064815</v>
      </c>
      <c r="C395" s="1" t="n">
        <v>45992</v>
      </c>
      <c r="D395" t="inlineStr">
        <is>
          <t>UPPSALA LÄN</t>
        </is>
      </c>
      <c r="E395" t="inlineStr">
        <is>
          <t>UPPSALA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42085-2025</t>
        </is>
      </c>
      <c r="B396" s="1" t="n">
        <v>45903.69358796296</v>
      </c>
      <c r="C396" s="1" t="n">
        <v>45992</v>
      </c>
      <c r="D396" t="inlineStr">
        <is>
          <t>UPPSALA LÄN</t>
        </is>
      </c>
      <c r="E396" t="inlineStr">
        <is>
          <t>UPPSALA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54808-2023</t>
        </is>
      </c>
      <c r="B397" s="1" t="n">
        <v>45236</v>
      </c>
      <c r="C397" s="1" t="n">
        <v>45992</v>
      </c>
      <c r="D397" t="inlineStr">
        <is>
          <t>UPPSALA LÄN</t>
        </is>
      </c>
      <c r="E397" t="inlineStr">
        <is>
          <t>UPPSALA</t>
        </is>
      </c>
      <c r="G397" t="n">
        <v>4.1</v>
      </c>
      <c r="H397" t="n">
        <v>0</v>
      </c>
      <c r="I397" t="n">
        <v>0</v>
      </c>
      <c r="J397" t="n">
        <v>0</v>
      </c>
      <c r="K397" t="n">
        <v>0</v>
      </c>
      <c r="L397" t="n">
        <v>0</v>
      </c>
      <c r="M397" t="n">
        <v>0</v>
      </c>
      <c r="N397" t="n">
        <v>0</v>
      </c>
      <c r="O397" t="n">
        <v>0</v>
      </c>
      <c r="P397" t="n">
        <v>0</v>
      </c>
      <c r="Q397" t="n">
        <v>0</v>
      </c>
      <c r="R397" s="2" t="inlineStr"/>
    </row>
    <row r="398" ht="15" customHeight="1">
      <c r="A398" t="inlineStr">
        <is>
          <t>A 41707-2025</t>
        </is>
      </c>
      <c r="B398" s="1" t="n">
        <v>45902.42243055555</v>
      </c>
      <c r="C398" s="1" t="n">
        <v>45992</v>
      </c>
      <c r="D398" t="inlineStr">
        <is>
          <t>UPPSALA LÄN</t>
        </is>
      </c>
      <c r="E398" t="inlineStr">
        <is>
          <t>UPPSALA</t>
        </is>
      </c>
      <c r="F398" t="inlineStr">
        <is>
          <t>Allmännings- och besparingsskogar</t>
        </is>
      </c>
      <c r="G398" t="n">
        <v>3.3</v>
      </c>
      <c r="H398" t="n">
        <v>0</v>
      </c>
      <c r="I398" t="n">
        <v>0</v>
      </c>
      <c r="J398" t="n">
        <v>0</v>
      </c>
      <c r="K398" t="n">
        <v>0</v>
      </c>
      <c r="L398" t="n">
        <v>0</v>
      </c>
      <c r="M398" t="n">
        <v>0</v>
      </c>
      <c r="N398" t="n">
        <v>0</v>
      </c>
      <c r="O398" t="n">
        <v>0</v>
      </c>
      <c r="P398" t="n">
        <v>0</v>
      </c>
      <c r="Q398" t="n">
        <v>0</v>
      </c>
      <c r="R398" s="2" t="inlineStr"/>
    </row>
    <row r="399" ht="15" customHeight="1">
      <c r="A399" t="inlineStr">
        <is>
          <t>A 42541-2025</t>
        </is>
      </c>
      <c r="B399" s="1" t="n">
        <v>45905.5756712963</v>
      </c>
      <c r="C399" s="1" t="n">
        <v>45992</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29287-2025</t>
        </is>
      </c>
      <c r="B400" s="1" t="n">
        <v>45824.43798611111</v>
      </c>
      <c r="C400" s="1" t="n">
        <v>45992</v>
      </c>
      <c r="D400" t="inlineStr">
        <is>
          <t>UPPSALA LÄN</t>
        </is>
      </c>
      <c r="E400" t="inlineStr">
        <is>
          <t>UPPSALA</t>
        </is>
      </c>
      <c r="F400" t="inlineStr">
        <is>
          <t>Kyrkan</t>
        </is>
      </c>
      <c r="G400" t="n">
        <v>5.2</v>
      </c>
      <c r="H400" t="n">
        <v>0</v>
      </c>
      <c r="I400" t="n">
        <v>0</v>
      </c>
      <c r="J400" t="n">
        <v>0</v>
      </c>
      <c r="K400" t="n">
        <v>0</v>
      </c>
      <c r="L400" t="n">
        <v>0</v>
      </c>
      <c r="M400" t="n">
        <v>0</v>
      </c>
      <c r="N400" t="n">
        <v>0</v>
      </c>
      <c r="O400" t="n">
        <v>0</v>
      </c>
      <c r="P400" t="n">
        <v>0</v>
      </c>
      <c r="Q400" t="n">
        <v>0</v>
      </c>
      <c r="R400" s="2" t="inlineStr"/>
    </row>
    <row r="401" ht="15" customHeight="1">
      <c r="A401" t="inlineStr">
        <is>
          <t>A 24909-2025</t>
        </is>
      </c>
      <c r="B401" s="1" t="n">
        <v>45799.53348379629</v>
      </c>
      <c r="C401" s="1" t="n">
        <v>45992</v>
      </c>
      <c r="D401" t="inlineStr">
        <is>
          <t>UPPSALA LÄN</t>
        </is>
      </c>
      <c r="E401" t="inlineStr">
        <is>
          <t>UPPSALA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26739-2025</t>
        </is>
      </c>
      <c r="B402" s="1" t="n">
        <v>45809</v>
      </c>
      <c r="C402" s="1" t="n">
        <v>45992</v>
      </c>
      <c r="D402" t="inlineStr">
        <is>
          <t>UPPSALA LÄN</t>
        </is>
      </c>
      <c r="E402" t="inlineStr">
        <is>
          <t>UPPSALA</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54813-2022</t>
        </is>
      </c>
      <c r="B403" s="1" t="n">
        <v>44883</v>
      </c>
      <c r="C403" s="1" t="n">
        <v>45992</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29627-2025</t>
        </is>
      </c>
      <c r="B404" s="1" t="n">
        <v>45825.44482638889</v>
      </c>
      <c r="C404" s="1" t="n">
        <v>45992</v>
      </c>
      <c r="D404" t="inlineStr">
        <is>
          <t>UPPSALA LÄN</t>
        </is>
      </c>
      <c r="E404" t="inlineStr">
        <is>
          <t>UPPSALA</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45992</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45992</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29047-2025</t>
        </is>
      </c>
      <c r="B407" s="1" t="n">
        <v>45821.45905092593</v>
      </c>
      <c r="C407" s="1" t="n">
        <v>45992</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35542-2022</t>
        </is>
      </c>
      <c r="B408" s="1" t="n">
        <v>44799.36695601852</v>
      </c>
      <c r="C408" s="1" t="n">
        <v>45992</v>
      </c>
      <c r="D408" t="inlineStr">
        <is>
          <t>UPPSALA LÄN</t>
        </is>
      </c>
      <c r="E408" t="inlineStr">
        <is>
          <t>UPPSALA</t>
        </is>
      </c>
      <c r="G408" t="n">
        <v>3.2</v>
      </c>
      <c r="H408" t="n">
        <v>0</v>
      </c>
      <c r="I408" t="n">
        <v>0</v>
      </c>
      <c r="J408" t="n">
        <v>0</v>
      </c>
      <c r="K408" t="n">
        <v>0</v>
      </c>
      <c r="L408" t="n">
        <v>0</v>
      </c>
      <c r="M408" t="n">
        <v>0</v>
      </c>
      <c r="N408" t="n">
        <v>0</v>
      </c>
      <c r="O408" t="n">
        <v>0</v>
      </c>
      <c r="P408" t="n">
        <v>0</v>
      </c>
      <c r="Q408" t="n">
        <v>0</v>
      </c>
      <c r="R408" s="2" t="inlineStr"/>
    </row>
    <row r="409" ht="15" customHeight="1">
      <c r="A409" t="inlineStr">
        <is>
          <t>A 42593-2025</t>
        </is>
      </c>
      <c r="B409" s="1" t="n">
        <v>45905.64862268518</v>
      </c>
      <c r="C409" s="1" t="n">
        <v>45992</v>
      </c>
      <c r="D409" t="inlineStr">
        <is>
          <t>UPPSALA LÄN</t>
        </is>
      </c>
      <c r="E409" t="inlineStr">
        <is>
          <t>UPPSALA</t>
        </is>
      </c>
      <c r="G409" t="n">
        <v>2.1</v>
      </c>
      <c r="H409" t="n">
        <v>0</v>
      </c>
      <c r="I409" t="n">
        <v>0</v>
      </c>
      <c r="J409" t="n">
        <v>0</v>
      </c>
      <c r="K409" t="n">
        <v>0</v>
      </c>
      <c r="L409" t="n">
        <v>0</v>
      </c>
      <c r="M409" t="n">
        <v>0</v>
      </c>
      <c r="N409" t="n">
        <v>0</v>
      </c>
      <c r="O409" t="n">
        <v>0</v>
      </c>
      <c r="P409" t="n">
        <v>0</v>
      </c>
      <c r="Q409" t="n">
        <v>0</v>
      </c>
      <c r="R409" s="2" t="inlineStr"/>
    </row>
    <row r="410" ht="15" customHeight="1">
      <c r="A410" t="inlineStr">
        <is>
          <t>A 26738-2025</t>
        </is>
      </c>
      <c r="B410" s="1" t="n">
        <v>45809</v>
      </c>
      <c r="C410" s="1" t="n">
        <v>45992</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42134-2025</t>
        </is>
      </c>
      <c r="B411" s="1" t="n">
        <v>45904</v>
      </c>
      <c r="C411" s="1" t="n">
        <v>45992</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30437-2025</t>
        </is>
      </c>
      <c r="B412" s="1" t="n">
        <v>45827.64092592592</v>
      </c>
      <c r="C412" s="1" t="n">
        <v>45992</v>
      </c>
      <c r="D412" t="inlineStr">
        <is>
          <t>UPPSALA LÄN</t>
        </is>
      </c>
      <c r="E412" t="inlineStr">
        <is>
          <t>UPPSALA</t>
        </is>
      </c>
      <c r="G412" t="n">
        <v>3.6</v>
      </c>
      <c r="H412" t="n">
        <v>0</v>
      </c>
      <c r="I412" t="n">
        <v>0</v>
      </c>
      <c r="J412" t="n">
        <v>0</v>
      </c>
      <c r="K412" t="n">
        <v>0</v>
      </c>
      <c r="L412" t="n">
        <v>0</v>
      </c>
      <c r="M412" t="n">
        <v>0</v>
      </c>
      <c r="N412" t="n">
        <v>0</v>
      </c>
      <c r="O412" t="n">
        <v>0</v>
      </c>
      <c r="P412" t="n">
        <v>0</v>
      </c>
      <c r="Q412" t="n">
        <v>0</v>
      </c>
      <c r="R412" s="2" t="inlineStr"/>
    </row>
    <row r="413" ht="15" customHeight="1">
      <c r="A413" t="inlineStr">
        <is>
          <t>A 30282-2025</t>
        </is>
      </c>
      <c r="B413" s="1" t="n">
        <v>45827.46288194445</v>
      </c>
      <c r="C413" s="1" t="n">
        <v>45992</v>
      </c>
      <c r="D413" t="inlineStr">
        <is>
          <t>UPPSALA LÄN</t>
        </is>
      </c>
      <c r="E413" t="inlineStr">
        <is>
          <t>UPPSALA</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47316-2023</t>
        </is>
      </c>
      <c r="B414" s="1" t="n">
        <v>45202.4997337963</v>
      </c>
      <c r="C414" s="1" t="n">
        <v>45992</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6851-2022</t>
        </is>
      </c>
      <c r="B415" s="1" t="n">
        <v>44602</v>
      </c>
      <c r="C415" s="1" t="n">
        <v>45992</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45992</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39107-2023</t>
        </is>
      </c>
      <c r="B417" s="1" t="n">
        <v>45164.82913194445</v>
      </c>
      <c r="C417" s="1" t="n">
        <v>45992</v>
      </c>
      <c r="D417" t="inlineStr">
        <is>
          <t>UPPSALA LÄN</t>
        </is>
      </c>
      <c r="E417" t="inlineStr">
        <is>
          <t>UPPSALA</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30429-2025</t>
        </is>
      </c>
      <c r="B418" s="1" t="n">
        <v>45827.62096064815</v>
      </c>
      <c r="C418" s="1" t="n">
        <v>45992</v>
      </c>
      <c r="D418" t="inlineStr">
        <is>
          <t>UPPSALA LÄN</t>
        </is>
      </c>
      <c r="E418" t="inlineStr">
        <is>
          <t>UPPSALA</t>
        </is>
      </c>
      <c r="G418" t="n">
        <v>0.6</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45992</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45992</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48564-2023</t>
        </is>
      </c>
      <c r="B421" s="1" t="n">
        <v>45208.4350462963</v>
      </c>
      <c r="C421" s="1" t="n">
        <v>45992</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21727-2023</t>
        </is>
      </c>
      <c r="B422" s="1" t="n">
        <v>45065.43013888889</v>
      </c>
      <c r="C422" s="1" t="n">
        <v>45992</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30838-2025</t>
        </is>
      </c>
      <c r="B423" s="1" t="n">
        <v>45831.72686342592</v>
      </c>
      <c r="C423" s="1" t="n">
        <v>45992</v>
      </c>
      <c r="D423" t="inlineStr">
        <is>
          <t>UPPSALA LÄN</t>
        </is>
      </c>
      <c r="E423" t="inlineStr">
        <is>
          <t>UPPSALA</t>
        </is>
      </c>
      <c r="F423" t="inlineStr">
        <is>
          <t>Kyrkan</t>
        </is>
      </c>
      <c r="G423" t="n">
        <v>2.2</v>
      </c>
      <c r="H423" t="n">
        <v>0</v>
      </c>
      <c r="I423" t="n">
        <v>0</v>
      </c>
      <c r="J423" t="n">
        <v>0</v>
      </c>
      <c r="K423" t="n">
        <v>0</v>
      </c>
      <c r="L423" t="n">
        <v>0</v>
      </c>
      <c r="M423" t="n">
        <v>0</v>
      </c>
      <c r="N423" t="n">
        <v>0</v>
      </c>
      <c r="O423" t="n">
        <v>0</v>
      </c>
      <c r="P423" t="n">
        <v>0</v>
      </c>
      <c r="Q423" t="n">
        <v>0</v>
      </c>
      <c r="R423" s="2" t="inlineStr"/>
    </row>
    <row r="424" ht="15" customHeight="1">
      <c r="A424" t="inlineStr">
        <is>
          <t>A 30839-2025</t>
        </is>
      </c>
      <c r="B424" s="1" t="n">
        <v>45831.73</v>
      </c>
      <c r="C424" s="1" t="n">
        <v>45992</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45992</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30585-2025</t>
        </is>
      </c>
      <c r="B426" s="1" t="n">
        <v>45831.42616898148</v>
      </c>
      <c r="C426" s="1" t="n">
        <v>45992</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45992</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45992</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30897-2025</t>
        </is>
      </c>
      <c r="B429" s="1" t="n">
        <v>45832.35545138889</v>
      </c>
      <c r="C429" s="1" t="n">
        <v>45992</v>
      </c>
      <c r="D429" t="inlineStr">
        <is>
          <t>UPPSALA LÄN</t>
        </is>
      </c>
      <c r="E429" t="inlineStr">
        <is>
          <t>UPPSALA</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6549-2025</t>
        </is>
      </c>
      <c r="B430" s="1" t="n">
        <v>45699</v>
      </c>
      <c r="C430" s="1" t="n">
        <v>45992</v>
      </c>
      <c r="D430" t="inlineStr">
        <is>
          <t>UPPSALA LÄN</t>
        </is>
      </c>
      <c r="E430" t="inlineStr">
        <is>
          <t>UPPSALA</t>
        </is>
      </c>
      <c r="G430" t="n">
        <v>2.4</v>
      </c>
      <c r="H430" t="n">
        <v>0</v>
      </c>
      <c r="I430" t="n">
        <v>0</v>
      </c>
      <c r="J430" t="n">
        <v>0</v>
      </c>
      <c r="K430" t="n">
        <v>0</v>
      </c>
      <c r="L430" t="n">
        <v>0</v>
      </c>
      <c r="M430" t="n">
        <v>0</v>
      </c>
      <c r="N430" t="n">
        <v>0</v>
      </c>
      <c r="O430" t="n">
        <v>0</v>
      </c>
      <c r="P430" t="n">
        <v>0</v>
      </c>
      <c r="Q430" t="n">
        <v>0</v>
      </c>
      <c r="R430" s="2" t="inlineStr"/>
    </row>
    <row r="431" ht="15" customHeight="1">
      <c r="A431" t="inlineStr">
        <is>
          <t>A 30898-2025</t>
        </is>
      </c>
      <c r="B431" s="1" t="n">
        <v>45832.35590277778</v>
      </c>
      <c r="C431" s="1" t="n">
        <v>45992</v>
      </c>
      <c r="D431" t="inlineStr">
        <is>
          <t>UPPSALA LÄN</t>
        </is>
      </c>
      <c r="E431" t="inlineStr">
        <is>
          <t>UPPSALA</t>
        </is>
      </c>
      <c r="F431" t="inlineStr">
        <is>
          <t>Kyrkan</t>
        </is>
      </c>
      <c r="G431" t="n">
        <v>2.8</v>
      </c>
      <c r="H431" t="n">
        <v>0</v>
      </c>
      <c r="I431" t="n">
        <v>0</v>
      </c>
      <c r="J431" t="n">
        <v>0</v>
      </c>
      <c r="K431" t="n">
        <v>0</v>
      </c>
      <c r="L431" t="n">
        <v>0</v>
      </c>
      <c r="M431" t="n">
        <v>0</v>
      </c>
      <c r="N431" t="n">
        <v>0</v>
      </c>
      <c r="O431" t="n">
        <v>0</v>
      </c>
      <c r="P431" t="n">
        <v>0</v>
      </c>
      <c r="Q431" t="n">
        <v>0</v>
      </c>
      <c r="R431" s="2" t="inlineStr"/>
    </row>
    <row r="432" ht="15" customHeight="1">
      <c r="A432" t="inlineStr">
        <is>
          <t>A 51433-2025</t>
        </is>
      </c>
      <c r="B432" s="1" t="n">
        <v>45950.55603009259</v>
      </c>
      <c r="C432" s="1" t="n">
        <v>45992</v>
      </c>
      <c r="D432" t="inlineStr">
        <is>
          <t>UPPSALA LÄN</t>
        </is>
      </c>
      <c r="E432" t="inlineStr">
        <is>
          <t>UPPSALA</t>
        </is>
      </c>
      <c r="F432" t="inlineStr">
        <is>
          <t>Bergvik skog öst AB</t>
        </is>
      </c>
      <c r="G432" t="n">
        <v>14.7</v>
      </c>
      <c r="H432" t="n">
        <v>0</v>
      </c>
      <c r="I432" t="n">
        <v>0</v>
      </c>
      <c r="J432" t="n">
        <v>0</v>
      </c>
      <c r="K432" t="n">
        <v>0</v>
      </c>
      <c r="L432" t="n">
        <v>0</v>
      </c>
      <c r="M432" t="n">
        <v>0</v>
      </c>
      <c r="N432" t="n">
        <v>0</v>
      </c>
      <c r="O432" t="n">
        <v>0</v>
      </c>
      <c r="P432" t="n">
        <v>0</v>
      </c>
      <c r="Q432" t="n">
        <v>0</v>
      </c>
      <c r="R432" s="2" t="inlineStr"/>
    </row>
    <row r="433" ht="15" customHeight="1">
      <c r="A433" t="inlineStr">
        <is>
          <t>A 6999-2023</t>
        </is>
      </c>
      <c r="B433" s="1" t="n">
        <v>44967.80034722222</v>
      </c>
      <c r="C433" s="1" t="n">
        <v>45992</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7002-2023</t>
        </is>
      </c>
      <c r="B434" s="1" t="n">
        <v>44967</v>
      </c>
      <c r="C434" s="1" t="n">
        <v>45992</v>
      </c>
      <c r="D434" t="inlineStr">
        <is>
          <t>UPPSALA LÄN</t>
        </is>
      </c>
      <c r="E434" t="inlineStr">
        <is>
          <t>UPPSALA</t>
        </is>
      </c>
      <c r="G434" t="n">
        <v>5</v>
      </c>
      <c r="H434" t="n">
        <v>0</v>
      </c>
      <c r="I434" t="n">
        <v>0</v>
      </c>
      <c r="J434" t="n">
        <v>0</v>
      </c>
      <c r="K434" t="n">
        <v>0</v>
      </c>
      <c r="L434" t="n">
        <v>0</v>
      </c>
      <c r="M434" t="n">
        <v>0</v>
      </c>
      <c r="N434" t="n">
        <v>0</v>
      </c>
      <c r="O434" t="n">
        <v>0</v>
      </c>
      <c r="P434" t="n">
        <v>0</v>
      </c>
      <c r="Q434" t="n">
        <v>0</v>
      </c>
      <c r="R434" s="2" t="inlineStr"/>
    </row>
    <row r="435" ht="15" customHeight="1">
      <c r="A435" t="inlineStr">
        <is>
          <t>A 57871-2024</t>
        </is>
      </c>
      <c r="B435" s="1" t="n">
        <v>45631.44464120371</v>
      </c>
      <c r="C435" s="1" t="n">
        <v>45992</v>
      </c>
      <c r="D435" t="inlineStr">
        <is>
          <t>UPPSALA LÄN</t>
        </is>
      </c>
      <c r="E435" t="inlineStr">
        <is>
          <t>UPPSALA</t>
        </is>
      </c>
      <c r="G435" t="n">
        <v>2.9</v>
      </c>
      <c r="H435" t="n">
        <v>0</v>
      </c>
      <c r="I435" t="n">
        <v>0</v>
      </c>
      <c r="J435" t="n">
        <v>0</v>
      </c>
      <c r="K435" t="n">
        <v>0</v>
      </c>
      <c r="L435" t="n">
        <v>0</v>
      </c>
      <c r="M435" t="n">
        <v>0</v>
      </c>
      <c r="N435" t="n">
        <v>0</v>
      </c>
      <c r="O435" t="n">
        <v>0</v>
      </c>
      <c r="P435" t="n">
        <v>0</v>
      </c>
      <c r="Q435" t="n">
        <v>0</v>
      </c>
      <c r="R435" s="2" t="inlineStr"/>
    </row>
    <row r="436" ht="15" customHeight="1">
      <c r="A436" t="inlineStr">
        <is>
          <t>A 62471-2021</t>
        </is>
      </c>
      <c r="B436" s="1" t="n">
        <v>44503</v>
      </c>
      <c r="C436" s="1" t="n">
        <v>45992</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52267-2025</t>
        </is>
      </c>
      <c r="B437" s="1" t="n">
        <v>45953.53460648148</v>
      </c>
      <c r="C437" s="1" t="n">
        <v>45992</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12606-2023</t>
        </is>
      </c>
      <c r="B438" s="1" t="n">
        <v>45000.44666666666</v>
      </c>
      <c r="C438" s="1" t="n">
        <v>45992</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6602-2023</t>
        </is>
      </c>
      <c r="B439" s="1" t="n">
        <v>44966</v>
      </c>
      <c r="C439" s="1" t="n">
        <v>45992</v>
      </c>
      <c r="D439" t="inlineStr">
        <is>
          <t>UPPSALA LÄN</t>
        </is>
      </c>
      <c r="E439" t="inlineStr">
        <is>
          <t>UPPSALA</t>
        </is>
      </c>
      <c r="F439" t="inlineStr">
        <is>
          <t>Allmännings- och besparingsskogar</t>
        </is>
      </c>
      <c r="G439" t="n">
        <v>20.2</v>
      </c>
      <c r="H439" t="n">
        <v>0</v>
      </c>
      <c r="I439" t="n">
        <v>0</v>
      </c>
      <c r="J439" t="n">
        <v>0</v>
      </c>
      <c r="K439" t="n">
        <v>0</v>
      </c>
      <c r="L439" t="n">
        <v>0</v>
      </c>
      <c r="M439" t="n">
        <v>0</v>
      </c>
      <c r="N439" t="n">
        <v>0</v>
      </c>
      <c r="O439" t="n">
        <v>0</v>
      </c>
      <c r="P439" t="n">
        <v>0</v>
      </c>
      <c r="Q439" t="n">
        <v>0</v>
      </c>
      <c r="R439" s="2" t="inlineStr"/>
    </row>
    <row r="440" ht="15" customHeight="1">
      <c r="A440" t="inlineStr">
        <is>
          <t>A 32252-2025</t>
        </is>
      </c>
      <c r="B440" s="1" t="n">
        <v>45835.62752314815</v>
      </c>
      <c r="C440" s="1" t="n">
        <v>45992</v>
      </c>
      <c r="D440" t="inlineStr">
        <is>
          <t>UPPSALA LÄN</t>
        </is>
      </c>
      <c r="E440" t="inlineStr">
        <is>
          <t>UPPSALA</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45992</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44115-2023</t>
        </is>
      </c>
      <c r="B442" s="1" t="n">
        <v>45188</v>
      </c>
      <c r="C442" s="1" t="n">
        <v>45992</v>
      </c>
      <c r="D442" t="inlineStr">
        <is>
          <t>UPPSALA LÄN</t>
        </is>
      </c>
      <c r="E442" t="inlineStr">
        <is>
          <t>UPPSALA</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42063-2023</t>
        </is>
      </c>
      <c r="B443" s="1" t="n">
        <v>45177.56940972222</v>
      </c>
      <c r="C443" s="1" t="n">
        <v>45992</v>
      </c>
      <c r="D443" t="inlineStr">
        <is>
          <t>UPPSALA LÄN</t>
        </is>
      </c>
      <c r="E443" t="inlineStr">
        <is>
          <t>UPPSALA</t>
        </is>
      </c>
      <c r="G443" t="n">
        <v>5.6</v>
      </c>
      <c r="H443" t="n">
        <v>0</v>
      </c>
      <c r="I443" t="n">
        <v>0</v>
      </c>
      <c r="J443" t="n">
        <v>0</v>
      </c>
      <c r="K443" t="n">
        <v>0</v>
      </c>
      <c r="L443" t="n">
        <v>0</v>
      </c>
      <c r="M443" t="n">
        <v>0</v>
      </c>
      <c r="N443" t="n">
        <v>0</v>
      </c>
      <c r="O443" t="n">
        <v>0</v>
      </c>
      <c r="P443" t="n">
        <v>0</v>
      </c>
      <c r="Q443" t="n">
        <v>0</v>
      </c>
      <c r="R443" s="2" t="inlineStr"/>
    </row>
    <row r="444" ht="15" customHeight="1">
      <c r="A444" t="inlineStr">
        <is>
          <t>A 74493-2021</t>
        </is>
      </c>
      <c r="B444" s="1" t="n">
        <v>44560</v>
      </c>
      <c r="C444" s="1" t="n">
        <v>45992</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17481-2023</t>
        </is>
      </c>
      <c r="B445" s="1" t="n">
        <v>45036</v>
      </c>
      <c r="C445" s="1" t="n">
        <v>45992</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45992</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32923-2025</t>
        </is>
      </c>
      <c r="B447" s="1" t="n">
        <v>45839</v>
      </c>
      <c r="C447" s="1" t="n">
        <v>45992</v>
      </c>
      <c r="D447" t="inlineStr">
        <is>
          <t>UPPSALA LÄN</t>
        </is>
      </c>
      <c r="E447" t="inlineStr">
        <is>
          <t>UPPSALA</t>
        </is>
      </c>
      <c r="G447" t="n">
        <v>5.1</v>
      </c>
      <c r="H447" t="n">
        <v>0</v>
      </c>
      <c r="I447" t="n">
        <v>0</v>
      </c>
      <c r="J447" t="n">
        <v>0</v>
      </c>
      <c r="K447" t="n">
        <v>0</v>
      </c>
      <c r="L447" t="n">
        <v>0</v>
      </c>
      <c r="M447" t="n">
        <v>0</v>
      </c>
      <c r="N447" t="n">
        <v>0</v>
      </c>
      <c r="O447" t="n">
        <v>0</v>
      </c>
      <c r="P447" t="n">
        <v>0</v>
      </c>
      <c r="Q447" t="n">
        <v>0</v>
      </c>
      <c r="R447" s="2" t="inlineStr"/>
    </row>
    <row r="448" ht="15" customHeight="1">
      <c r="A448" t="inlineStr">
        <is>
          <t>A 51275-2025</t>
        </is>
      </c>
      <c r="B448" s="1" t="n">
        <v>45949</v>
      </c>
      <c r="C448" s="1" t="n">
        <v>45992</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2695-2025</t>
        </is>
      </c>
      <c r="B449" s="1" t="n">
        <v>45677.39440972222</v>
      </c>
      <c r="C449" s="1" t="n">
        <v>45992</v>
      </c>
      <c r="D449" t="inlineStr">
        <is>
          <t>UPPSALA LÄN</t>
        </is>
      </c>
      <c r="E449" t="inlineStr">
        <is>
          <t>UPPSALA</t>
        </is>
      </c>
      <c r="G449" t="n">
        <v>2.2</v>
      </c>
      <c r="H449" t="n">
        <v>0</v>
      </c>
      <c r="I449" t="n">
        <v>0</v>
      </c>
      <c r="J449" t="n">
        <v>0</v>
      </c>
      <c r="K449" t="n">
        <v>0</v>
      </c>
      <c r="L449" t="n">
        <v>0</v>
      </c>
      <c r="M449" t="n">
        <v>0</v>
      </c>
      <c r="N449" t="n">
        <v>0</v>
      </c>
      <c r="O449" t="n">
        <v>0</v>
      </c>
      <c r="P449" t="n">
        <v>0</v>
      </c>
      <c r="Q449" t="n">
        <v>0</v>
      </c>
      <c r="R449" s="2" t="inlineStr"/>
    </row>
    <row r="450" ht="15" customHeight="1">
      <c r="A450" t="inlineStr">
        <is>
          <t>A 51493-2025</t>
        </is>
      </c>
      <c r="B450" s="1" t="n">
        <v>45950</v>
      </c>
      <c r="C450" s="1" t="n">
        <v>45992</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32711-2025</t>
        </is>
      </c>
      <c r="B451" s="1" t="n">
        <v>45839</v>
      </c>
      <c r="C451" s="1" t="n">
        <v>45992</v>
      </c>
      <c r="D451" t="inlineStr">
        <is>
          <t>UPPSALA LÄN</t>
        </is>
      </c>
      <c r="E451" t="inlineStr">
        <is>
          <t>UPPSALA</t>
        </is>
      </c>
      <c r="G451" t="n">
        <v>0.8</v>
      </c>
      <c r="H451" t="n">
        <v>0</v>
      </c>
      <c r="I451" t="n">
        <v>0</v>
      </c>
      <c r="J451" t="n">
        <v>0</v>
      </c>
      <c r="K451" t="n">
        <v>0</v>
      </c>
      <c r="L451" t="n">
        <v>0</v>
      </c>
      <c r="M451" t="n">
        <v>0</v>
      </c>
      <c r="N451" t="n">
        <v>0</v>
      </c>
      <c r="O451" t="n">
        <v>0</v>
      </c>
      <c r="P451" t="n">
        <v>0</v>
      </c>
      <c r="Q451" t="n">
        <v>0</v>
      </c>
      <c r="R451" s="2" t="inlineStr"/>
      <c r="U451">
        <f>HYPERLINK("https://klasma.github.io/Logging_0380/knärot/A 32711-2025 karta knärot.png", "A 32711-2025")</f>
        <v/>
      </c>
      <c r="V451">
        <f>HYPERLINK("https://klasma.github.io/Logging_0380/klagomål/A 32711-2025 FSC-klagomål.docx", "A 32711-2025")</f>
        <v/>
      </c>
      <c r="W451">
        <f>HYPERLINK("https://klasma.github.io/Logging_0380/klagomålsmail/A 32711-2025 FSC-klagomål mail.docx", "A 32711-2025")</f>
        <v/>
      </c>
      <c r="X451">
        <f>HYPERLINK("https://klasma.github.io/Logging_0380/tillsyn/A 32711-2025 tillsynsbegäran.docx", "A 32711-2025")</f>
        <v/>
      </c>
      <c r="Y451">
        <f>HYPERLINK("https://klasma.github.io/Logging_0380/tillsynsmail/A 32711-2025 tillsynsbegäran mail.docx", "A 32711-2025")</f>
        <v/>
      </c>
    </row>
    <row r="452" ht="15" customHeight="1">
      <c r="A452" t="inlineStr">
        <is>
          <t>A 15629-2023</t>
        </is>
      </c>
      <c r="B452" s="1" t="n">
        <v>45021.29524305555</v>
      </c>
      <c r="C452" s="1" t="n">
        <v>45992</v>
      </c>
      <c r="D452" t="inlineStr">
        <is>
          <t>UPPSALA LÄN</t>
        </is>
      </c>
      <c r="E452" t="inlineStr">
        <is>
          <t>UPPSALA</t>
        </is>
      </c>
      <c r="F452" t="inlineStr">
        <is>
          <t>Övriga Aktiebolag</t>
        </is>
      </c>
      <c r="G452" t="n">
        <v>7</v>
      </c>
      <c r="H452" t="n">
        <v>0</v>
      </c>
      <c r="I452" t="n">
        <v>0</v>
      </c>
      <c r="J452" t="n">
        <v>0</v>
      </c>
      <c r="K452" t="n">
        <v>0</v>
      </c>
      <c r="L452" t="n">
        <v>0</v>
      </c>
      <c r="M452" t="n">
        <v>0</v>
      </c>
      <c r="N452" t="n">
        <v>0</v>
      </c>
      <c r="O452" t="n">
        <v>0</v>
      </c>
      <c r="P452" t="n">
        <v>0</v>
      </c>
      <c r="Q452" t="n">
        <v>0</v>
      </c>
      <c r="R452" s="2" t="inlineStr"/>
    </row>
    <row r="453" ht="15" customHeight="1">
      <c r="A453" t="inlineStr">
        <is>
          <t>A 20497-2022</t>
        </is>
      </c>
      <c r="B453" s="1" t="n">
        <v>44699</v>
      </c>
      <c r="C453" s="1" t="n">
        <v>45992</v>
      </c>
      <c r="D453" t="inlineStr">
        <is>
          <t>UPPSALA LÄN</t>
        </is>
      </c>
      <c r="E453" t="inlineStr">
        <is>
          <t>UPPSALA</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33571-2025</t>
        </is>
      </c>
      <c r="B454" s="1" t="n">
        <v>45841.5847337963</v>
      </c>
      <c r="C454" s="1" t="n">
        <v>45992</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33261-2025</t>
        </is>
      </c>
      <c r="B455" s="1" t="n">
        <v>45840</v>
      </c>
      <c r="C455" s="1" t="n">
        <v>45992</v>
      </c>
      <c r="D455" t="inlineStr">
        <is>
          <t>UPPSALA LÄN</t>
        </is>
      </c>
      <c r="E455" t="inlineStr">
        <is>
          <t>UPPSALA</t>
        </is>
      </c>
      <c r="G455" t="n">
        <v>3.4</v>
      </c>
      <c r="H455" t="n">
        <v>0</v>
      </c>
      <c r="I455" t="n">
        <v>0</v>
      </c>
      <c r="J455" t="n">
        <v>0</v>
      </c>
      <c r="K455" t="n">
        <v>0</v>
      </c>
      <c r="L455" t="n">
        <v>0</v>
      </c>
      <c r="M455" t="n">
        <v>0</v>
      </c>
      <c r="N455" t="n">
        <v>0</v>
      </c>
      <c r="O455" t="n">
        <v>0</v>
      </c>
      <c r="P455" t="n">
        <v>0</v>
      </c>
      <c r="Q455" t="n">
        <v>0</v>
      </c>
      <c r="R455" s="2" t="inlineStr"/>
    </row>
    <row r="456" ht="15" customHeight="1">
      <c r="A456" t="inlineStr">
        <is>
          <t>A 44080-2023</t>
        </is>
      </c>
      <c r="B456" s="1" t="n">
        <v>45188.42052083334</v>
      </c>
      <c r="C456" s="1" t="n">
        <v>45992</v>
      </c>
      <c r="D456" t="inlineStr">
        <is>
          <t>UPPSALA LÄN</t>
        </is>
      </c>
      <c r="E456" t="inlineStr">
        <is>
          <t>UPPSALA</t>
        </is>
      </c>
      <c r="G456" t="n">
        <v>13.3</v>
      </c>
      <c r="H456" t="n">
        <v>0</v>
      </c>
      <c r="I456" t="n">
        <v>0</v>
      </c>
      <c r="J456" t="n">
        <v>0</v>
      </c>
      <c r="K456" t="n">
        <v>0</v>
      </c>
      <c r="L456" t="n">
        <v>0</v>
      </c>
      <c r="M456" t="n">
        <v>0</v>
      </c>
      <c r="N456" t="n">
        <v>0</v>
      </c>
      <c r="O456" t="n">
        <v>0</v>
      </c>
      <c r="P456" t="n">
        <v>0</v>
      </c>
      <c r="Q456" t="n">
        <v>0</v>
      </c>
      <c r="R456" s="2" t="inlineStr"/>
    </row>
    <row r="457" ht="15" customHeight="1">
      <c r="A457" t="inlineStr">
        <is>
          <t>A 10490-2025</t>
        </is>
      </c>
      <c r="B457" s="1" t="n">
        <v>45721.35173611111</v>
      </c>
      <c r="C457" s="1" t="n">
        <v>45992</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55021-2022</t>
        </is>
      </c>
      <c r="B458" s="1" t="n">
        <v>44886</v>
      </c>
      <c r="C458" s="1" t="n">
        <v>45992</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43893-2025</t>
        </is>
      </c>
      <c r="B459" s="1" t="n">
        <v>45912.7097337963</v>
      </c>
      <c r="C459" s="1" t="n">
        <v>45992</v>
      </c>
      <c r="D459" t="inlineStr">
        <is>
          <t>UPPSALA LÄN</t>
        </is>
      </c>
      <c r="E459" t="inlineStr">
        <is>
          <t>UPPSALA</t>
        </is>
      </c>
      <c r="F459" t="inlineStr">
        <is>
          <t>Kyrkan</t>
        </is>
      </c>
      <c r="G459" t="n">
        <v>5.7</v>
      </c>
      <c r="H459" t="n">
        <v>0</v>
      </c>
      <c r="I459" t="n">
        <v>0</v>
      </c>
      <c r="J459" t="n">
        <v>0</v>
      </c>
      <c r="K459" t="n">
        <v>0</v>
      </c>
      <c r="L459" t="n">
        <v>0</v>
      </c>
      <c r="M459" t="n">
        <v>0</v>
      </c>
      <c r="N459" t="n">
        <v>0</v>
      </c>
      <c r="O459" t="n">
        <v>0</v>
      </c>
      <c r="P459" t="n">
        <v>0</v>
      </c>
      <c r="Q459" t="n">
        <v>0</v>
      </c>
      <c r="R459" s="2" t="inlineStr"/>
    </row>
    <row r="460" ht="15" customHeight="1">
      <c r="A460" t="inlineStr">
        <is>
          <t>A 52523-2025</t>
        </is>
      </c>
      <c r="B460" s="1" t="n">
        <v>45954.528125</v>
      </c>
      <c r="C460" s="1" t="n">
        <v>45992</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65659-2021</t>
        </is>
      </c>
      <c r="B461" s="1" t="n">
        <v>44516</v>
      </c>
      <c r="C461" s="1" t="n">
        <v>45992</v>
      </c>
      <c r="D461" t="inlineStr">
        <is>
          <t>UPPSALA LÄN</t>
        </is>
      </c>
      <c r="E461" t="inlineStr">
        <is>
          <t>UPPSALA</t>
        </is>
      </c>
      <c r="G461" t="n">
        <v>2.2</v>
      </c>
      <c r="H461" t="n">
        <v>0</v>
      </c>
      <c r="I461" t="n">
        <v>0</v>
      </c>
      <c r="J461" t="n">
        <v>0</v>
      </c>
      <c r="K461" t="n">
        <v>0</v>
      </c>
      <c r="L461" t="n">
        <v>0</v>
      </c>
      <c r="M461" t="n">
        <v>0</v>
      </c>
      <c r="N461" t="n">
        <v>0</v>
      </c>
      <c r="O461" t="n">
        <v>0</v>
      </c>
      <c r="P461" t="n">
        <v>0</v>
      </c>
      <c r="Q461" t="n">
        <v>0</v>
      </c>
      <c r="R461" s="2" t="inlineStr"/>
    </row>
    <row r="462" ht="15" customHeight="1">
      <c r="A462" t="inlineStr">
        <is>
          <t>A 44226-2025</t>
        </is>
      </c>
      <c r="B462" s="1" t="n">
        <v>45915.64064814815</v>
      </c>
      <c r="C462" s="1" t="n">
        <v>45992</v>
      </c>
      <c r="D462" t="inlineStr">
        <is>
          <t>UPPSALA LÄN</t>
        </is>
      </c>
      <c r="E462" t="inlineStr">
        <is>
          <t>UPPSALA</t>
        </is>
      </c>
      <c r="F462" t="inlineStr">
        <is>
          <t>Kyrkan</t>
        </is>
      </c>
      <c r="G462" t="n">
        <v>2.5</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45992</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45992</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52517-2025</t>
        </is>
      </c>
      <c r="B465" s="1" t="n">
        <v>45954.51438657408</v>
      </c>
      <c r="C465" s="1" t="n">
        <v>45992</v>
      </c>
      <c r="D465" t="inlineStr">
        <is>
          <t>UPPSALA LÄN</t>
        </is>
      </c>
      <c r="E465" t="inlineStr">
        <is>
          <t>UPPSALA</t>
        </is>
      </c>
      <c r="G465" t="n">
        <v>10.3</v>
      </c>
      <c r="H465" t="n">
        <v>0</v>
      </c>
      <c r="I465" t="n">
        <v>0</v>
      </c>
      <c r="J465" t="n">
        <v>0</v>
      </c>
      <c r="K465" t="n">
        <v>0</v>
      </c>
      <c r="L465" t="n">
        <v>0</v>
      </c>
      <c r="M465" t="n">
        <v>0</v>
      </c>
      <c r="N465" t="n">
        <v>0</v>
      </c>
      <c r="O465" t="n">
        <v>0</v>
      </c>
      <c r="P465" t="n">
        <v>0</v>
      </c>
      <c r="Q465" t="n">
        <v>0</v>
      </c>
      <c r="R465" s="2" t="inlineStr"/>
    </row>
    <row r="466" ht="15" customHeight="1">
      <c r="A466" t="inlineStr">
        <is>
          <t>A 52963-2025</t>
        </is>
      </c>
      <c r="B466" s="1" t="n">
        <v>45957.66506944445</v>
      </c>
      <c r="C466" s="1" t="n">
        <v>45992</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45992</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52429-2025</t>
        </is>
      </c>
      <c r="B468" s="1" t="n">
        <v>45954.38475694445</v>
      </c>
      <c r="C468" s="1" t="n">
        <v>45992</v>
      </c>
      <c r="D468" t="inlineStr">
        <is>
          <t>UPPSALA LÄN</t>
        </is>
      </c>
      <c r="E468" t="inlineStr">
        <is>
          <t>UPPSALA</t>
        </is>
      </c>
      <c r="G468" t="n">
        <v>16.6</v>
      </c>
      <c r="H468" t="n">
        <v>0</v>
      </c>
      <c r="I468" t="n">
        <v>0</v>
      </c>
      <c r="J468" t="n">
        <v>0</v>
      </c>
      <c r="K468" t="n">
        <v>0</v>
      </c>
      <c r="L468" t="n">
        <v>0</v>
      </c>
      <c r="M468" t="n">
        <v>0</v>
      </c>
      <c r="N468" t="n">
        <v>0</v>
      </c>
      <c r="O468" t="n">
        <v>0</v>
      </c>
      <c r="P468" t="n">
        <v>0</v>
      </c>
      <c r="Q468" t="n">
        <v>0</v>
      </c>
      <c r="R468" s="2" t="inlineStr"/>
    </row>
    <row r="469" ht="15" customHeight="1">
      <c r="A469" t="inlineStr">
        <is>
          <t>A 48571-2023</t>
        </is>
      </c>
      <c r="B469" s="1" t="n">
        <v>45208.46130787037</v>
      </c>
      <c r="C469" s="1" t="n">
        <v>45992</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41002-2023</t>
        </is>
      </c>
      <c r="B470" s="1" t="n">
        <v>45173</v>
      </c>
      <c r="C470" s="1" t="n">
        <v>45992</v>
      </c>
      <c r="D470" t="inlineStr">
        <is>
          <t>UPPSALA LÄN</t>
        </is>
      </c>
      <c r="E470" t="inlineStr">
        <is>
          <t>UPPSALA</t>
        </is>
      </c>
      <c r="G470" t="n">
        <v>6.2</v>
      </c>
      <c r="H470" t="n">
        <v>0</v>
      </c>
      <c r="I470" t="n">
        <v>0</v>
      </c>
      <c r="J470" t="n">
        <v>0</v>
      </c>
      <c r="K470" t="n">
        <v>0</v>
      </c>
      <c r="L470" t="n">
        <v>0</v>
      </c>
      <c r="M470" t="n">
        <v>0</v>
      </c>
      <c r="N470" t="n">
        <v>0</v>
      </c>
      <c r="O470" t="n">
        <v>0</v>
      </c>
      <c r="P470" t="n">
        <v>0</v>
      </c>
      <c r="Q470" t="n">
        <v>0</v>
      </c>
      <c r="R470" s="2" t="inlineStr"/>
    </row>
    <row r="471" ht="15" customHeight="1">
      <c r="A471" t="inlineStr">
        <is>
          <t>A 33964-2025</t>
        </is>
      </c>
      <c r="B471" s="1" t="n">
        <v>45842.74049768518</v>
      </c>
      <c r="C471" s="1" t="n">
        <v>45992</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36478-2023</t>
        </is>
      </c>
      <c r="B472" s="1" t="n">
        <v>45152</v>
      </c>
      <c r="C472" s="1" t="n">
        <v>45992</v>
      </c>
      <c r="D472" t="inlineStr">
        <is>
          <t>UPPSALA LÄN</t>
        </is>
      </c>
      <c r="E472" t="inlineStr">
        <is>
          <t>UPPSALA</t>
        </is>
      </c>
      <c r="F472" t="inlineStr">
        <is>
          <t>Allmännings- och besparingsskogar</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3314-2025</t>
        </is>
      </c>
      <c r="B473" s="1" t="n">
        <v>45679</v>
      </c>
      <c r="C473" s="1" t="n">
        <v>45992</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18625-2025</t>
        </is>
      </c>
      <c r="B474" s="1" t="n">
        <v>45763.52744212963</v>
      </c>
      <c r="C474" s="1" t="n">
        <v>45992</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34132-2025</t>
        </is>
      </c>
      <c r="B475" s="1" t="n">
        <v>45845.53202546296</v>
      </c>
      <c r="C475" s="1" t="n">
        <v>45992</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53322-2025</t>
        </is>
      </c>
      <c r="B476" s="1" t="n">
        <v>45959.35965277778</v>
      </c>
      <c r="C476" s="1" t="n">
        <v>45992</v>
      </c>
      <c r="D476" t="inlineStr">
        <is>
          <t>UPPSALA LÄN</t>
        </is>
      </c>
      <c r="E476" t="inlineStr">
        <is>
          <t>UPPSALA</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53324-2025</t>
        </is>
      </c>
      <c r="B477" s="1" t="n">
        <v>45959.36146990741</v>
      </c>
      <c r="C477" s="1" t="n">
        <v>45992</v>
      </c>
      <c r="D477" t="inlineStr">
        <is>
          <t>UPPSALA LÄN</t>
        </is>
      </c>
      <c r="E477" t="inlineStr">
        <is>
          <t>UPPSALA</t>
        </is>
      </c>
      <c r="F477" t="inlineStr">
        <is>
          <t>Bergvik skog öst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53021-2025</t>
        </is>
      </c>
      <c r="B478" s="1" t="n">
        <v>45957.95233796296</v>
      </c>
      <c r="C478" s="1" t="n">
        <v>45992</v>
      </c>
      <c r="D478" t="inlineStr">
        <is>
          <t>UPPSALA LÄN</t>
        </is>
      </c>
      <c r="E478" t="inlineStr">
        <is>
          <t>UPPSALA</t>
        </is>
      </c>
      <c r="G478" t="n">
        <v>1.6</v>
      </c>
      <c r="H478" t="n">
        <v>0</v>
      </c>
      <c r="I478" t="n">
        <v>0</v>
      </c>
      <c r="J478" t="n">
        <v>0</v>
      </c>
      <c r="K478" t="n">
        <v>0</v>
      </c>
      <c r="L478" t="n">
        <v>0</v>
      </c>
      <c r="M478" t="n">
        <v>0</v>
      </c>
      <c r="N478" t="n">
        <v>0</v>
      </c>
      <c r="O478" t="n">
        <v>0</v>
      </c>
      <c r="P478" t="n">
        <v>0</v>
      </c>
      <c r="Q478" t="n">
        <v>0</v>
      </c>
      <c r="R478" s="2" t="inlineStr"/>
    </row>
    <row r="479" ht="15" customHeight="1">
      <c r="A479" t="inlineStr">
        <is>
          <t>A 45489-2023</t>
        </is>
      </c>
      <c r="B479" s="1" t="n">
        <v>45194</v>
      </c>
      <c r="C479" s="1" t="n">
        <v>45992</v>
      </c>
      <c r="D479" t="inlineStr">
        <is>
          <t>UPPSALA LÄN</t>
        </is>
      </c>
      <c r="E479" t="inlineStr">
        <is>
          <t>UPPSALA</t>
        </is>
      </c>
      <c r="F479" t="inlineStr">
        <is>
          <t>Allmännings- och besparingsskogar</t>
        </is>
      </c>
      <c r="G479" t="n">
        <v>15.8</v>
      </c>
      <c r="H479" t="n">
        <v>0</v>
      </c>
      <c r="I479" t="n">
        <v>0</v>
      </c>
      <c r="J479" t="n">
        <v>0</v>
      </c>
      <c r="K479" t="n">
        <v>0</v>
      </c>
      <c r="L479" t="n">
        <v>0</v>
      </c>
      <c r="M479" t="n">
        <v>0</v>
      </c>
      <c r="N479" t="n">
        <v>0</v>
      </c>
      <c r="O479" t="n">
        <v>0</v>
      </c>
      <c r="P479" t="n">
        <v>0</v>
      </c>
      <c r="Q479" t="n">
        <v>0</v>
      </c>
      <c r="R479" s="2" t="inlineStr"/>
    </row>
    <row r="480" ht="15" customHeight="1">
      <c r="A480" t="inlineStr">
        <is>
          <t>A 53906-2023</t>
        </is>
      </c>
      <c r="B480" s="1" t="n">
        <v>45231</v>
      </c>
      <c r="C480" s="1" t="n">
        <v>45992</v>
      </c>
      <c r="D480" t="inlineStr">
        <is>
          <t>UPPSALA LÄN</t>
        </is>
      </c>
      <c r="E480" t="inlineStr">
        <is>
          <t>UPPSALA</t>
        </is>
      </c>
      <c r="G480" t="n">
        <v>13.2</v>
      </c>
      <c r="H480" t="n">
        <v>0</v>
      </c>
      <c r="I480" t="n">
        <v>0</v>
      </c>
      <c r="J480" t="n">
        <v>0</v>
      </c>
      <c r="K480" t="n">
        <v>0</v>
      </c>
      <c r="L480" t="n">
        <v>0</v>
      </c>
      <c r="M480" t="n">
        <v>0</v>
      </c>
      <c r="N480" t="n">
        <v>0</v>
      </c>
      <c r="O480" t="n">
        <v>0</v>
      </c>
      <c r="P480" t="n">
        <v>0</v>
      </c>
      <c r="Q480" t="n">
        <v>0</v>
      </c>
      <c r="R480" s="2" t="inlineStr"/>
    </row>
    <row r="481" ht="15" customHeight="1">
      <c r="A481" t="inlineStr">
        <is>
          <t>A 44385-2025</t>
        </is>
      </c>
      <c r="B481" s="1" t="n">
        <v>45916.48704861111</v>
      </c>
      <c r="C481" s="1" t="n">
        <v>45992</v>
      </c>
      <c r="D481" t="inlineStr">
        <is>
          <t>UPPSALA LÄN</t>
        </is>
      </c>
      <c r="E481" t="inlineStr">
        <is>
          <t>UPPSALA</t>
        </is>
      </c>
      <c r="F481" t="inlineStr">
        <is>
          <t>Bergvik skog öst AB</t>
        </is>
      </c>
      <c r="G481" t="n">
        <v>6.8</v>
      </c>
      <c r="H481" t="n">
        <v>0</v>
      </c>
      <c r="I481" t="n">
        <v>0</v>
      </c>
      <c r="J481" t="n">
        <v>0</v>
      </c>
      <c r="K481" t="n">
        <v>0</v>
      </c>
      <c r="L481" t="n">
        <v>0</v>
      </c>
      <c r="M481" t="n">
        <v>0</v>
      </c>
      <c r="N481" t="n">
        <v>0</v>
      </c>
      <c r="O481" t="n">
        <v>0</v>
      </c>
      <c r="P481" t="n">
        <v>0</v>
      </c>
      <c r="Q481" t="n">
        <v>0</v>
      </c>
      <c r="R481" s="2" t="inlineStr"/>
    </row>
    <row r="482" ht="15" customHeight="1">
      <c r="A482" t="inlineStr">
        <is>
          <t>A 55073-2022</t>
        </is>
      </c>
      <c r="B482" s="1" t="n">
        <v>44886.5928125</v>
      </c>
      <c r="C482" s="1" t="n">
        <v>45992</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33816-2024</t>
        </is>
      </c>
      <c r="B483" s="1" t="n">
        <v>45520</v>
      </c>
      <c r="C483" s="1" t="n">
        <v>45992</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47083-2023</t>
        </is>
      </c>
      <c r="B484" s="1" t="n">
        <v>45201.62318287037</v>
      </c>
      <c r="C484" s="1" t="n">
        <v>45992</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53161-2025</t>
        </is>
      </c>
      <c r="B485" s="1" t="n">
        <v>45958.49162037037</v>
      </c>
      <c r="C485" s="1" t="n">
        <v>45992</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53062-2025</t>
        </is>
      </c>
      <c r="B486" s="1" t="n">
        <v>45958.37273148148</v>
      </c>
      <c r="C486" s="1" t="n">
        <v>45992</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53206-2025</t>
        </is>
      </c>
      <c r="B487" s="1" t="n">
        <v>45958.58711805556</v>
      </c>
      <c r="C487" s="1" t="n">
        <v>45992</v>
      </c>
      <c r="D487" t="inlineStr">
        <is>
          <t>UPPSALA LÄN</t>
        </is>
      </c>
      <c r="E487" t="inlineStr">
        <is>
          <t>UPPSALA</t>
        </is>
      </c>
      <c r="F487" t="inlineStr">
        <is>
          <t>Bergvik skog väst AB</t>
        </is>
      </c>
      <c r="G487" t="n">
        <v>18.6</v>
      </c>
      <c r="H487" t="n">
        <v>0</v>
      </c>
      <c r="I487" t="n">
        <v>0</v>
      </c>
      <c r="J487" t="n">
        <v>0</v>
      </c>
      <c r="K487" t="n">
        <v>0</v>
      </c>
      <c r="L487" t="n">
        <v>0</v>
      </c>
      <c r="M487" t="n">
        <v>0</v>
      </c>
      <c r="N487" t="n">
        <v>0</v>
      </c>
      <c r="O487" t="n">
        <v>0</v>
      </c>
      <c r="P487" t="n">
        <v>0</v>
      </c>
      <c r="Q487" t="n">
        <v>0</v>
      </c>
      <c r="R487" s="2" t="inlineStr"/>
    </row>
    <row r="488" ht="15" customHeight="1">
      <c r="A488" t="inlineStr">
        <is>
          <t>A 53238-2025</t>
        </is>
      </c>
      <c r="B488" s="1" t="n">
        <v>45958.63368055555</v>
      </c>
      <c r="C488" s="1" t="n">
        <v>45992</v>
      </c>
      <c r="D488" t="inlineStr">
        <is>
          <t>UPPSALA LÄN</t>
        </is>
      </c>
      <c r="E488" t="inlineStr">
        <is>
          <t>UPPSALA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53244-2025</t>
        </is>
      </c>
      <c r="B489" s="1" t="n">
        <v>45957</v>
      </c>
      <c r="C489" s="1" t="n">
        <v>45992</v>
      </c>
      <c r="D489" t="inlineStr">
        <is>
          <t>UPPSALA LÄN</t>
        </is>
      </c>
      <c r="E489" t="inlineStr">
        <is>
          <t>UPPSALA</t>
        </is>
      </c>
      <c r="G489" t="n">
        <v>2.6</v>
      </c>
      <c r="H489" t="n">
        <v>0</v>
      </c>
      <c r="I489" t="n">
        <v>0</v>
      </c>
      <c r="J489" t="n">
        <v>0</v>
      </c>
      <c r="K489" t="n">
        <v>0</v>
      </c>
      <c r="L489" t="n">
        <v>0</v>
      </c>
      <c r="M489" t="n">
        <v>0</v>
      </c>
      <c r="N489" t="n">
        <v>0</v>
      </c>
      <c r="O489" t="n">
        <v>0</v>
      </c>
      <c r="P489" t="n">
        <v>0</v>
      </c>
      <c r="Q489" t="n">
        <v>0</v>
      </c>
      <c r="R489" s="2" t="inlineStr"/>
    </row>
    <row r="490" ht="15" customHeight="1">
      <c r="A490" t="inlineStr">
        <is>
          <t>A 53248-2025</t>
        </is>
      </c>
      <c r="B490" s="1" t="n">
        <v>45958.6516087963</v>
      </c>
      <c r="C490" s="1" t="n">
        <v>45992</v>
      </c>
      <c r="D490" t="inlineStr">
        <is>
          <t>UPPSALA LÄN</t>
        </is>
      </c>
      <c r="E490" t="inlineStr">
        <is>
          <t>UPPSALA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53423-2025</t>
        </is>
      </c>
      <c r="B491" s="1" t="n">
        <v>45959.60851851852</v>
      </c>
      <c r="C491" s="1" t="n">
        <v>45992</v>
      </c>
      <c r="D491" t="inlineStr">
        <is>
          <t>UPPSALA LÄN</t>
        </is>
      </c>
      <c r="E491" t="inlineStr">
        <is>
          <t>UPPSALA</t>
        </is>
      </c>
      <c r="F491" t="inlineStr">
        <is>
          <t>Övriga Aktiebolag</t>
        </is>
      </c>
      <c r="G491" t="n">
        <v>23.6</v>
      </c>
      <c r="H491" t="n">
        <v>0</v>
      </c>
      <c r="I491" t="n">
        <v>0</v>
      </c>
      <c r="J491" t="n">
        <v>0</v>
      </c>
      <c r="K491" t="n">
        <v>0</v>
      </c>
      <c r="L491" t="n">
        <v>0</v>
      </c>
      <c r="M491" t="n">
        <v>0</v>
      </c>
      <c r="N491" t="n">
        <v>0</v>
      </c>
      <c r="O491" t="n">
        <v>0</v>
      </c>
      <c r="P491" t="n">
        <v>0</v>
      </c>
      <c r="Q491" t="n">
        <v>0</v>
      </c>
      <c r="R491" s="2" t="inlineStr"/>
    </row>
    <row r="492" ht="15" customHeight="1">
      <c r="A492" t="inlineStr">
        <is>
          <t>A 37670-2022</t>
        </is>
      </c>
      <c r="B492" s="1" t="n">
        <v>44810</v>
      </c>
      <c r="C492" s="1" t="n">
        <v>45992</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30583-2025</t>
        </is>
      </c>
      <c r="B493" s="1" t="n">
        <v>45831.42365740741</v>
      </c>
      <c r="C493" s="1" t="n">
        <v>45992</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44470-2025</t>
        </is>
      </c>
      <c r="B494" s="1" t="n">
        <v>45916</v>
      </c>
      <c r="C494" s="1" t="n">
        <v>45992</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53228-2025</t>
        </is>
      </c>
      <c r="B495" s="1" t="n">
        <v>45958.61577546296</v>
      </c>
      <c r="C495" s="1" t="n">
        <v>45992</v>
      </c>
      <c r="D495" t="inlineStr">
        <is>
          <t>UPPSALA LÄN</t>
        </is>
      </c>
      <c r="E495" t="inlineStr">
        <is>
          <t>UPPSALA</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53230-2025</t>
        </is>
      </c>
      <c r="B496" s="1" t="n">
        <v>45958.62303240741</v>
      </c>
      <c r="C496" s="1" t="n">
        <v>45992</v>
      </c>
      <c r="D496" t="inlineStr">
        <is>
          <t>UPPSALA LÄN</t>
        </is>
      </c>
      <c r="E496" t="inlineStr">
        <is>
          <t>UPPSALA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34893-2025</t>
        </is>
      </c>
      <c r="B497" s="1" t="n">
        <v>45849.49259259259</v>
      </c>
      <c r="C497" s="1" t="n">
        <v>45992</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32688-2023</t>
        </is>
      </c>
      <c r="B498" s="1" t="n">
        <v>45121</v>
      </c>
      <c r="C498" s="1" t="n">
        <v>45992</v>
      </c>
      <c r="D498" t="inlineStr">
        <is>
          <t>UPPSALA LÄN</t>
        </is>
      </c>
      <c r="E498" t="inlineStr">
        <is>
          <t>UPPSALA</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60820-2024</t>
        </is>
      </c>
      <c r="B499" s="1" t="n">
        <v>45644.62677083333</v>
      </c>
      <c r="C499" s="1" t="n">
        <v>45992</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53234-2025</t>
        </is>
      </c>
      <c r="B500" s="1" t="n">
        <v>45958.62765046296</v>
      </c>
      <c r="C500" s="1" t="n">
        <v>45992</v>
      </c>
      <c r="D500" t="inlineStr">
        <is>
          <t>UPPSALA LÄN</t>
        </is>
      </c>
      <c r="E500" t="inlineStr">
        <is>
          <t>UPPSALA</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53242-2025</t>
        </is>
      </c>
      <c r="B501" s="1" t="n">
        <v>45958.64146990741</v>
      </c>
      <c r="C501" s="1" t="n">
        <v>45992</v>
      </c>
      <c r="D501" t="inlineStr">
        <is>
          <t>UPPSALA LÄN</t>
        </is>
      </c>
      <c r="E501" t="inlineStr">
        <is>
          <t>UPPSALA</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35056-2025</t>
        </is>
      </c>
      <c r="B502" s="1" t="n">
        <v>45852.39642361111</v>
      </c>
      <c r="C502" s="1" t="n">
        <v>45992</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18675-2024</t>
        </is>
      </c>
      <c r="B503" s="1" t="n">
        <v>45426</v>
      </c>
      <c r="C503" s="1" t="n">
        <v>45992</v>
      </c>
      <c r="D503" t="inlineStr">
        <is>
          <t>UPPSALA LÄN</t>
        </is>
      </c>
      <c r="E503" t="inlineStr">
        <is>
          <t>UPPSALA</t>
        </is>
      </c>
      <c r="G503" t="n">
        <v>8.1</v>
      </c>
      <c r="H503" t="n">
        <v>0</v>
      </c>
      <c r="I503" t="n">
        <v>0</v>
      </c>
      <c r="J503" t="n">
        <v>0</v>
      </c>
      <c r="K503" t="n">
        <v>0</v>
      </c>
      <c r="L503" t="n">
        <v>0</v>
      </c>
      <c r="M503" t="n">
        <v>0</v>
      </c>
      <c r="N503" t="n">
        <v>0</v>
      </c>
      <c r="O503" t="n">
        <v>0</v>
      </c>
      <c r="P503" t="n">
        <v>0</v>
      </c>
      <c r="Q503" t="n">
        <v>0</v>
      </c>
      <c r="R503" s="2" t="inlineStr"/>
    </row>
    <row r="504" ht="15" customHeight="1">
      <c r="A504" t="inlineStr">
        <is>
          <t>A 35167-2025</t>
        </is>
      </c>
      <c r="B504" s="1" t="n">
        <v>45852.72965277778</v>
      </c>
      <c r="C504" s="1" t="n">
        <v>45992</v>
      </c>
      <c r="D504" t="inlineStr">
        <is>
          <t>UPPSALA LÄN</t>
        </is>
      </c>
      <c r="E504" t="inlineStr">
        <is>
          <t>UPPSALA</t>
        </is>
      </c>
      <c r="F504" t="inlineStr">
        <is>
          <t>Holmen skog AB</t>
        </is>
      </c>
      <c r="G504" t="n">
        <v>10</v>
      </c>
      <c r="H504" t="n">
        <v>0</v>
      </c>
      <c r="I504" t="n">
        <v>0</v>
      </c>
      <c r="J504" t="n">
        <v>0</v>
      </c>
      <c r="K504" t="n">
        <v>0</v>
      </c>
      <c r="L504" t="n">
        <v>0</v>
      </c>
      <c r="M504" t="n">
        <v>0</v>
      </c>
      <c r="N504" t="n">
        <v>0</v>
      </c>
      <c r="O504" t="n">
        <v>0</v>
      </c>
      <c r="P504" t="n">
        <v>0</v>
      </c>
      <c r="Q504" t="n">
        <v>0</v>
      </c>
      <c r="R504" s="2" t="inlineStr"/>
    </row>
    <row r="505" ht="15" customHeight="1">
      <c r="A505" t="inlineStr">
        <is>
          <t>A 35150-2025</t>
        </is>
      </c>
      <c r="B505" s="1" t="n">
        <v>45852</v>
      </c>
      <c r="C505" s="1" t="n">
        <v>45992</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35015-2025</t>
        </is>
      </c>
      <c r="B506" s="1" t="n">
        <v>45851.62018518519</v>
      </c>
      <c r="C506" s="1" t="n">
        <v>45992</v>
      </c>
      <c r="D506" t="inlineStr">
        <is>
          <t>UPPSALA LÄN</t>
        </is>
      </c>
      <c r="E506" t="inlineStr">
        <is>
          <t>UPPSALA</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53224-2025</t>
        </is>
      </c>
      <c r="B507" s="1" t="n">
        <v>45958.60826388889</v>
      </c>
      <c r="C507" s="1" t="n">
        <v>45992</v>
      </c>
      <c r="D507" t="inlineStr">
        <is>
          <t>UPPSALA LÄN</t>
        </is>
      </c>
      <c r="E507" t="inlineStr">
        <is>
          <t>UPPSALA</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53235-2025</t>
        </is>
      </c>
      <c r="B508" s="1" t="n">
        <v>45958.62983796297</v>
      </c>
      <c r="C508" s="1" t="n">
        <v>45992</v>
      </c>
      <c r="D508" t="inlineStr">
        <is>
          <t>UPPSALA LÄN</t>
        </is>
      </c>
      <c r="E508" t="inlineStr">
        <is>
          <t>UPPSALA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53266-2024</t>
        </is>
      </c>
      <c r="B509" s="1" t="n">
        <v>45614</v>
      </c>
      <c r="C509" s="1" t="n">
        <v>45992</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35155-2025</t>
        </is>
      </c>
      <c r="B510" s="1" t="n">
        <v>45852.68978009259</v>
      </c>
      <c r="C510" s="1" t="n">
        <v>45992</v>
      </c>
      <c r="D510" t="inlineStr">
        <is>
          <t>UPPSALA LÄN</t>
        </is>
      </c>
      <c r="E510" t="inlineStr">
        <is>
          <t>UPPSALA</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35148-2025</t>
        </is>
      </c>
      <c r="B511" s="1" t="n">
        <v>45852.67366898148</v>
      </c>
      <c r="C511" s="1" t="n">
        <v>45992</v>
      </c>
      <c r="D511" t="inlineStr">
        <is>
          <t>UPPSALA LÄN</t>
        </is>
      </c>
      <c r="E511" t="inlineStr">
        <is>
          <t>UPPSALA</t>
        </is>
      </c>
      <c r="F511" t="inlineStr">
        <is>
          <t>Holmen skog AB</t>
        </is>
      </c>
      <c r="G511" t="n">
        <v>2.2</v>
      </c>
      <c r="H511" t="n">
        <v>0</v>
      </c>
      <c r="I511" t="n">
        <v>0</v>
      </c>
      <c r="J511" t="n">
        <v>0</v>
      </c>
      <c r="K511" t="n">
        <v>0</v>
      </c>
      <c r="L511" t="n">
        <v>0</v>
      </c>
      <c r="M511" t="n">
        <v>0</v>
      </c>
      <c r="N511" t="n">
        <v>0</v>
      </c>
      <c r="O511" t="n">
        <v>0</v>
      </c>
      <c r="P511" t="n">
        <v>0</v>
      </c>
      <c r="Q511" t="n">
        <v>0</v>
      </c>
      <c r="R511" s="2" t="inlineStr"/>
    </row>
    <row r="512" ht="15" customHeight="1">
      <c r="A512" t="inlineStr">
        <is>
          <t>A 35053-2025</t>
        </is>
      </c>
      <c r="B512" s="1" t="n">
        <v>45852.36871527778</v>
      </c>
      <c r="C512" s="1" t="n">
        <v>45992</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35014-2025</t>
        </is>
      </c>
      <c r="B513" s="1" t="n">
        <v>45851.60097222222</v>
      </c>
      <c r="C513" s="1" t="n">
        <v>45992</v>
      </c>
      <c r="D513" t="inlineStr">
        <is>
          <t>UPPSALA LÄN</t>
        </is>
      </c>
      <c r="E513" t="inlineStr">
        <is>
          <t>UPPSALA</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12282-2025</t>
        </is>
      </c>
      <c r="B514" s="1" t="n">
        <v>45729</v>
      </c>
      <c r="C514" s="1" t="n">
        <v>45992</v>
      </c>
      <c r="D514" t="inlineStr">
        <is>
          <t>UPPSALA LÄN</t>
        </is>
      </c>
      <c r="E514" t="inlineStr">
        <is>
          <t>UPPSALA</t>
        </is>
      </c>
      <c r="G514" t="n">
        <v>3.3</v>
      </c>
      <c r="H514" t="n">
        <v>0</v>
      </c>
      <c r="I514" t="n">
        <v>0</v>
      </c>
      <c r="J514" t="n">
        <v>0</v>
      </c>
      <c r="K514" t="n">
        <v>0</v>
      </c>
      <c r="L514" t="n">
        <v>0</v>
      </c>
      <c r="M514" t="n">
        <v>0</v>
      </c>
      <c r="N514" t="n">
        <v>0</v>
      </c>
      <c r="O514" t="n">
        <v>0</v>
      </c>
      <c r="P514" t="n">
        <v>0</v>
      </c>
      <c r="Q514" t="n">
        <v>0</v>
      </c>
      <c r="R514" s="2" t="inlineStr"/>
    </row>
    <row r="515" ht="15" customHeight="1">
      <c r="A515" t="inlineStr">
        <is>
          <t>A 53886-2025</t>
        </is>
      </c>
      <c r="B515" s="1" t="n">
        <v>45961.40716435185</v>
      </c>
      <c r="C515" s="1" t="n">
        <v>45992</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53870-2025</t>
        </is>
      </c>
      <c r="B516" s="1" t="n">
        <v>45961.38690972222</v>
      </c>
      <c r="C516" s="1" t="n">
        <v>45992</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59116-2024</t>
        </is>
      </c>
      <c r="B517" s="1" t="n">
        <v>45637</v>
      </c>
      <c r="C517" s="1" t="n">
        <v>45992</v>
      </c>
      <c r="D517" t="inlineStr">
        <is>
          <t>UPPSALA LÄN</t>
        </is>
      </c>
      <c r="E517" t="inlineStr">
        <is>
          <t>UPPSALA</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53891-2025</t>
        </is>
      </c>
      <c r="B518" s="1" t="n">
        <v>45961.41853009259</v>
      </c>
      <c r="C518" s="1" t="n">
        <v>45992</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35305-2025</t>
        </is>
      </c>
      <c r="B519" s="1" t="n">
        <v>45854.44017361111</v>
      </c>
      <c r="C519" s="1" t="n">
        <v>45992</v>
      </c>
      <c r="D519" t="inlineStr">
        <is>
          <t>UPPSALA LÄN</t>
        </is>
      </c>
      <c r="E519" t="inlineStr">
        <is>
          <t>UPPSALA</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13799-2024</t>
        </is>
      </c>
      <c r="B520" s="1" t="n">
        <v>45391.37361111111</v>
      </c>
      <c r="C520" s="1" t="n">
        <v>45992</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35504-2025</t>
        </is>
      </c>
      <c r="B521" s="1" t="n">
        <v>45856.34034722222</v>
      </c>
      <c r="C521" s="1" t="n">
        <v>45992</v>
      </c>
      <c r="D521" t="inlineStr">
        <is>
          <t>UPPSALA LÄN</t>
        </is>
      </c>
      <c r="E521" t="inlineStr">
        <is>
          <t>UPPSALA</t>
        </is>
      </c>
      <c r="F521" t="inlineStr">
        <is>
          <t>Bergvik skog öst AB</t>
        </is>
      </c>
      <c r="G521" t="n">
        <v>6.7</v>
      </c>
      <c r="H521" t="n">
        <v>0</v>
      </c>
      <c r="I521" t="n">
        <v>0</v>
      </c>
      <c r="J521" t="n">
        <v>0</v>
      </c>
      <c r="K521" t="n">
        <v>0</v>
      </c>
      <c r="L521" t="n">
        <v>0</v>
      </c>
      <c r="M521" t="n">
        <v>0</v>
      </c>
      <c r="N521" t="n">
        <v>0</v>
      </c>
      <c r="O521" t="n">
        <v>0</v>
      </c>
      <c r="P521" t="n">
        <v>0</v>
      </c>
      <c r="Q521" t="n">
        <v>0</v>
      </c>
      <c r="R521" s="2" t="inlineStr"/>
    </row>
    <row r="522" ht="15" customHeight="1">
      <c r="A522" t="inlineStr">
        <is>
          <t>A 35505-2025</t>
        </is>
      </c>
      <c r="B522" s="1" t="n">
        <v>45856.34231481481</v>
      </c>
      <c r="C522" s="1" t="n">
        <v>45992</v>
      </c>
      <c r="D522" t="inlineStr">
        <is>
          <t>UPPSALA LÄN</t>
        </is>
      </c>
      <c r="E522" t="inlineStr">
        <is>
          <t>UPPSALA</t>
        </is>
      </c>
      <c r="F522" t="inlineStr">
        <is>
          <t>Bergvik skog öst AB</t>
        </is>
      </c>
      <c r="G522" t="n">
        <v>7.9</v>
      </c>
      <c r="H522" t="n">
        <v>0</v>
      </c>
      <c r="I522" t="n">
        <v>0</v>
      </c>
      <c r="J522" t="n">
        <v>0</v>
      </c>
      <c r="K522" t="n">
        <v>0</v>
      </c>
      <c r="L522" t="n">
        <v>0</v>
      </c>
      <c r="M522" t="n">
        <v>0</v>
      </c>
      <c r="N522" t="n">
        <v>0</v>
      </c>
      <c r="O522" t="n">
        <v>0</v>
      </c>
      <c r="P522" t="n">
        <v>0</v>
      </c>
      <c r="Q522" t="n">
        <v>0</v>
      </c>
      <c r="R522" s="2" t="inlineStr"/>
    </row>
    <row r="523" ht="15" customHeight="1">
      <c r="A523" t="inlineStr">
        <is>
          <t>A 44813-2025</t>
        </is>
      </c>
      <c r="B523" s="1" t="n">
        <v>45918.37322916667</v>
      </c>
      <c r="C523" s="1" t="n">
        <v>45992</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53582-2025</t>
        </is>
      </c>
      <c r="B524" s="1" t="n">
        <v>45960.43065972222</v>
      </c>
      <c r="C524" s="1" t="n">
        <v>45992</v>
      </c>
      <c r="D524" t="inlineStr">
        <is>
          <t>UPPSALA LÄN</t>
        </is>
      </c>
      <c r="E524" t="inlineStr">
        <is>
          <t>UPPSALA</t>
        </is>
      </c>
      <c r="G524" t="n">
        <v>12.2</v>
      </c>
      <c r="H524" t="n">
        <v>0</v>
      </c>
      <c r="I524" t="n">
        <v>0</v>
      </c>
      <c r="J524" t="n">
        <v>0</v>
      </c>
      <c r="K524" t="n">
        <v>0</v>
      </c>
      <c r="L524" t="n">
        <v>0</v>
      </c>
      <c r="M524" t="n">
        <v>0</v>
      </c>
      <c r="N524" t="n">
        <v>0</v>
      </c>
      <c r="O524" t="n">
        <v>0</v>
      </c>
      <c r="P524" t="n">
        <v>0</v>
      </c>
      <c r="Q524" t="n">
        <v>0</v>
      </c>
      <c r="R524" s="2" t="inlineStr"/>
    </row>
    <row r="525" ht="15" customHeight="1">
      <c r="A525" t="inlineStr">
        <is>
          <t>A 42772-2022</t>
        </is>
      </c>
      <c r="B525" s="1" t="n">
        <v>44832.49594907407</v>
      </c>
      <c r="C525" s="1" t="n">
        <v>45992</v>
      </c>
      <c r="D525" t="inlineStr">
        <is>
          <t>UPPSALA LÄN</t>
        </is>
      </c>
      <c r="E525" t="inlineStr">
        <is>
          <t>UPPSALA</t>
        </is>
      </c>
      <c r="G525" t="n">
        <v>17.7</v>
      </c>
      <c r="H525" t="n">
        <v>0</v>
      </c>
      <c r="I525" t="n">
        <v>0</v>
      </c>
      <c r="J525" t="n">
        <v>0</v>
      </c>
      <c r="K525" t="n">
        <v>0</v>
      </c>
      <c r="L525" t="n">
        <v>0</v>
      </c>
      <c r="M525" t="n">
        <v>0</v>
      </c>
      <c r="N525" t="n">
        <v>0</v>
      </c>
      <c r="O525" t="n">
        <v>0</v>
      </c>
      <c r="P525" t="n">
        <v>0</v>
      </c>
      <c r="Q525" t="n">
        <v>0</v>
      </c>
      <c r="R525" s="2" t="inlineStr"/>
    </row>
    <row r="526" ht="15" customHeight="1">
      <c r="A526" t="inlineStr">
        <is>
          <t>A 35509-2025</t>
        </is>
      </c>
      <c r="B526" s="1" t="n">
        <v>45856.34959490741</v>
      </c>
      <c r="C526" s="1" t="n">
        <v>45992</v>
      </c>
      <c r="D526" t="inlineStr">
        <is>
          <t>UPPSALA LÄN</t>
        </is>
      </c>
      <c r="E526" t="inlineStr">
        <is>
          <t>UPPSALA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35510-2025</t>
        </is>
      </c>
      <c r="B527" s="1" t="n">
        <v>45856</v>
      </c>
      <c r="C527" s="1" t="n">
        <v>45992</v>
      </c>
      <c r="D527" t="inlineStr">
        <is>
          <t>UPPSALA LÄN</t>
        </is>
      </c>
      <c r="E527" t="inlineStr">
        <is>
          <t>UPPSALA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3261-2024</t>
        </is>
      </c>
      <c r="B528" s="1" t="n">
        <v>45317</v>
      </c>
      <c r="C528" s="1" t="n">
        <v>45992</v>
      </c>
      <c r="D528" t="inlineStr">
        <is>
          <t>UPPSALA LÄN</t>
        </is>
      </c>
      <c r="E528" t="inlineStr">
        <is>
          <t>UPPSALA</t>
        </is>
      </c>
      <c r="G528" t="n">
        <v>2.8</v>
      </c>
      <c r="H528" t="n">
        <v>0</v>
      </c>
      <c r="I528" t="n">
        <v>0</v>
      </c>
      <c r="J528" t="n">
        <v>0</v>
      </c>
      <c r="K528" t="n">
        <v>0</v>
      </c>
      <c r="L528" t="n">
        <v>0</v>
      </c>
      <c r="M528" t="n">
        <v>0</v>
      </c>
      <c r="N528" t="n">
        <v>0</v>
      </c>
      <c r="O528" t="n">
        <v>0</v>
      </c>
      <c r="P528" t="n">
        <v>0</v>
      </c>
      <c r="Q528" t="n">
        <v>0</v>
      </c>
      <c r="R528" s="2" t="inlineStr"/>
    </row>
    <row r="529" ht="15" customHeight="1">
      <c r="A529" t="inlineStr">
        <is>
          <t>A 32484-2025</t>
        </is>
      </c>
      <c r="B529" s="1" t="n">
        <v>45838</v>
      </c>
      <c r="C529" s="1" t="n">
        <v>45992</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45992</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32475-2025</t>
        </is>
      </c>
      <c r="B531" s="1" t="n">
        <v>45838</v>
      </c>
      <c r="C531" s="1" t="n">
        <v>45992</v>
      </c>
      <c r="D531" t="inlineStr">
        <is>
          <t>UPPSALA LÄN</t>
        </is>
      </c>
      <c r="E531" t="inlineStr">
        <is>
          <t>UPPSALA</t>
        </is>
      </c>
      <c r="G531" t="n">
        <v>3</v>
      </c>
      <c r="H531" t="n">
        <v>0</v>
      </c>
      <c r="I531" t="n">
        <v>0</v>
      </c>
      <c r="J531" t="n">
        <v>0</v>
      </c>
      <c r="K531" t="n">
        <v>0</v>
      </c>
      <c r="L531" t="n">
        <v>0</v>
      </c>
      <c r="M531" t="n">
        <v>0</v>
      </c>
      <c r="N531" t="n">
        <v>0</v>
      </c>
      <c r="O531" t="n">
        <v>0</v>
      </c>
      <c r="P531" t="n">
        <v>0</v>
      </c>
      <c r="Q531" t="n">
        <v>0</v>
      </c>
      <c r="R531" s="2" t="inlineStr"/>
    </row>
    <row r="532" ht="15" customHeight="1">
      <c r="A532" t="inlineStr">
        <is>
          <t>A 51505-2025</t>
        </is>
      </c>
      <c r="B532" s="1" t="n">
        <v>45950</v>
      </c>
      <c r="C532" s="1" t="n">
        <v>45992</v>
      </c>
      <c r="D532" t="inlineStr">
        <is>
          <t>UPPSALA LÄN</t>
        </is>
      </c>
      <c r="E532" t="inlineStr">
        <is>
          <t>UPPSALA</t>
        </is>
      </c>
      <c r="G532" t="n">
        <v>6.7</v>
      </c>
      <c r="H532" t="n">
        <v>0</v>
      </c>
      <c r="I532" t="n">
        <v>0</v>
      </c>
      <c r="J532" t="n">
        <v>0</v>
      </c>
      <c r="K532" t="n">
        <v>0</v>
      </c>
      <c r="L532" t="n">
        <v>0</v>
      </c>
      <c r="M532" t="n">
        <v>0</v>
      </c>
      <c r="N532" t="n">
        <v>0</v>
      </c>
      <c r="O532" t="n">
        <v>0</v>
      </c>
      <c r="P532" t="n">
        <v>0</v>
      </c>
      <c r="Q532" t="n">
        <v>0</v>
      </c>
      <c r="R532" s="2" t="inlineStr"/>
    </row>
    <row r="533" ht="15" customHeight="1">
      <c r="A533" t="inlineStr">
        <is>
          <t>A 18805-2025</t>
        </is>
      </c>
      <c r="B533" s="1" t="n">
        <v>45763</v>
      </c>
      <c r="C533" s="1" t="n">
        <v>45992</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53851-2025</t>
        </is>
      </c>
      <c r="B534" s="1" t="n">
        <v>45961.37217592593</v>
      </c>
      <c r="C534" s="1" t="n">
        <v>45992</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45992</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53589-2025</t>
        </is>
      </c>
      <c r="B536" s="1" t="n">
        <v>45960.43780092592</v>
      </c>
      <c r="C536" s="1" t="n">
        <v>45992</v>
      </c>
      <c r="D536" t="inlineStr">
        <is>
          <t>UPPSALA LÄN</t>
        </is>
      </c>
      <c r="E536" t="inlineStr">
        <is>
          <t>UPPSALA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54601-2025</t>
        </is>
      </c>
      <c r="B537" s="1" t="n">
        <v>45965.82398148148</v>
      </c>
      <c r="C537" s="1" t="n">
        <v>45992</v>
      </c>
      <c r="D537" t="inlineStr">
        <is>
          <t>UPPSALA LÄN</t>
        </is>
      </c>
      <c r="E537" t="inlineStr">
        <is>
          <t>UPPSALA</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35984-2025</t>
        </is>
      </c>
      <c r="B538" s="1" t="n">
        <v>45863.45355324074</v>
      </c>
      <c r="C538" s="1" t="n">
        <v>45992</v>
      </c>
      <c r="D538" t="inlineStr">
        <is>
          <t>UPPSALA LÄN</t>
        </is>
      </c>
      <c r="E538" t="inlineStr">
        <is>
          <t>UPPSALA</t>
        </is>
      </c>
      <c r="G538" t="n">
        <v>6.1</v>
      </c>
      <c r="H538" t="n">
        <v>0</v>
      </c>
      <c r="I538" t="n">
        <v>0</v>
      </c>
      <c r="J538" t="n">
        <v>0</v>
      </c>
      <c r="K538" t="n">
        <v>0</v>
      </c>
      <c r="L538" t="n">
        <v>0</v>
      </c>
      <c r="M538" t="n">
        <v>0</v>
      </c>
      <c r="N538" t="n">
        <v>0</v>
      </c>
      <c r="O538" t="n">
        <v>0</v>
      </c>
      <c r="P538" t="n">
        <v>0</v>
      </c>
      <c r="Q538" t="n">
        <v>0</v>
      </c>
      <c r="R538" s="2" t="inlineStr"/>
    </row>
    <row r="539" ht="15" customHeight="1">
      <c r="A539" t="inlineStr">
        <is>
          <t>A 1032-2023</t>
        </is>
      </c>
      <c r="B539" s="1" t="n">
        <v>44935</v>
      </c>
      <c r="C539" s="1" t="n">
        <v>45992</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45519-2025</t>
        </is>
      </c>
      <c r="B540" s="1" t="n">
        <v>45922</v>
      </c>
      <c r="C540" s="1" t="n">
        <v>45992</v>
      </c>
      <c r="D540" t="inlineStr">
        <is>
          <t>UPPSALA LÄN</t>
        </is>
      </c>
      <c r="E540" t="inlineStr">
        <is>
          <t>UPPSALA</t>
        </is>
      </c>
      <c r="G540" t="n">
        <v>0.3</v>
      </c>
      <c r="H540" t="n">
        <v>0</v>
      </c>
      <c r="I540" t="n">
        <v>0</v>
      </c>
      <c r="J540" t="n">
        <v>0</v>
      </c>
      <c r="K540" t="n">
        <v>0</v>
      </c>
      <c r="L540" t="n">
        <v>0</v>
      </c>
      <c r="M540" t="n">
        <v>0</v>
      </c>
      <c r="N540" t="n">
        <v>0</v>
      </c>
      <c r="O540" t="n">
        <v>0</v>
      </c>
      <c r="P540" t="n">
        <v>0</v>
      </c>
      <c r="Q540" t="n">
        <v>0</v>
      </c>
      <c r="R540" s="2" t="inlineStr"/>
    </row>
    <row r="541" ht="15" customHeight="1">
      <c r="A541" t="inlineStr">
        <is>
          <t>A 51576-2023</t>
        </is>
      </c>
      <c r="B541" s="1" t="n">
        <v>45222</v>
      </c>
      <c r="C541" s="1" t="n">
        <v>45992</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7727-2024</t>
        </is>
      </c>
      <c r="B542" s="1" t="n">
        <v>45349</v>
      </c>
      <c r="C542" s="1" t="n">
        <v>45992</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45588-2025</t>
        </is>
      </c>
      <c r="B543" s="1" t="n">
        <v>45922</v>
      </c>
      <c r="C543" s="1" t="n">
        <v>45992</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36253-2025</t>
        </is>
      </c>
      <c r="B544" s="1" t="n">
        <v>45867.58056712963</v>
      </c>
      <c r="C544" s="1" t="n">
        <v>45992</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50267-2023</t>
        </is>
      </c>
      <c r="B545" s="1" t="n">
        <v>45216.39040509259</v>
      </c>
      <c r="C545" s="1" t="n">
        <v>45992</v>
      </c>
      <c r="D545" t="inlineStr">
        <is>
          <t>UPPSALA LÄN</t>
        </is>
      </c>
      <c r="E545" t="inlineStr">
        <is>
          <t>UPPSALA</t>
        </is>
      </c>
      <c r="G545" t="n">
        <v>1</v>
      </c>
      <c r="H545" t="n">
        <v>0</v>
      </c>
      <c r="I545" t="n">
        <v>0</v>
      </c>
      <c r="J545" t="n">
        <v>0</v>
      </c>
      <c r="K545" t="n">
        <v>0</v>
      </c>
      <c r="L545" t="n">
        <v>0</v>
      </c>
      <c r="M545" t="n">
        <v>0</v>
      </c>
      <c r="N545" t="n">
        <v>0</v>
      </c>
      <c r="O545" t="n">
        <v>0</v>
      </c>
      <c r="P545" t="n">
        <v>0</v>
      </c>
      <c r="Q545" t="n">
        <v>0</v>
      </c>
      <c r="R545" s="2" t="inlineStr"/>
    </row>
    <row r="546" ht="15" customHeight="1">
      <c r="A546" t="inlineStr">
        <is>
          <t>A 45904-2025</t>
        </is>
      </c>
      <c r="B546" s="1" t="n">
        <v>45923.70230324074</v>
      </c>
      <c r="C546" s="1" t="n">
        <v>45992</v>
      </c>
      <c r="D546" t="inlineStr">
        <is>
          <t>UPPSALA LÄN</t>
        </is>
      </c>
      <c r="E546" t="inlineStr">
        <is>
          <t>UPPSALA</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6058-2025</t>
        </is>
      </c>
      <c r="B547" s="1" t="n">
        <v>45695.83655092592</v>
      </c>
      <c r="C547" s="1" t="n">
        <v>45992</v>
      </c>
      <c r="D547" t="inlineStr">
        <is>
          <t>UPPSALA LÄN</t>
        </is>
      </c>
      <c r="E547" t="inlineStr">
        <is>
          <t>UPPSALA</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54507-2025</t>
        </is>
      </c>
      <c r="B548" s="1" t="n">
        <v>45965.61792824074</v>
      </c>
      <c r="C548" s="1" t="n">
        <v>45992</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45436-2025</t>
        </is>
      </c>
      <c r="B549" s="1" t="n">
        <v>45922.46763888889</v>
      </c>
      <c r="C549" s="1" t="n">
        <v>45992</v>
      </c>
      <c r="D549" t="inlineStr">
        <is>
          <t>UPPSALA LÄN</t>
        </is>
      </c>
      <c r="E549" t="inlineStr">
        <is>
          <t>UPPSALA</t>
        </is>
      </c>
      <c r="G549" t="n">
        <v>3.5</v>
      </c>
      <c r="H549" t="n">
        <v>0</v>
      </c>
      <c r="I549" t="n">
        <v>0</v>
      </c>
      <c r="J549" t="n">
        <v>0</v>
      </c>
      <c r="K549" t="n">
        <v>0</v>
      </c>
      <c r="L549" t="n">
        <v>0</v>
      </c>
      <c r="M549" t="n">
        <v>0</v>
      </c>
      <c r="N549" t="n">
        <v>0</v>
      </c>
      <c r="O549" t="n">
        <v>0</v>
      </c>
      <c r="P549" t="n">
        <v>0</v>
      </c>
      <c r="Q549" t="n">
        <v>0</v>
      </c>
      <c r="R549" s="2" t="inlineStr"/>
    </row>
    <row r="550" ht="15" customHeight="1">
      <c r="A550" t="inlineStr">
        <is>
          <t>A 45405-2025</t>
        </is>
      </c>
      <c r="B550" s="1" t="n">
        <v>45922.42865740741</v>
      </c>
      <c r="C550" s="1" t="n">
        <v>45992</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45903-2025</t>
        </is>
      </c>
      <c r="B551" s="1" t="n">
        <v>45923.70146990741</v>
      </c>
      <c r="C551" s="1" t="n">
        <v>45992</v>
      </c>
      <c r="D551" t="inlineStr">
        <is>
          <t>UPPSALA LÄN</t>
        </is>
      </c>
      <c r="E551" t="inlineStr">
        <is>
          <t>UPPSALA</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59358-2024</t>
        </is>
      </c>
      <c r="B552" s="1" t="n">
        <v>45638</v>
      </c>
      <c r="C552" s="1" t="n">
        <v>45992</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54600-2025</t>
        </is>
      </c>
      <c r="B553" s="1" t="n">
        <v>45965.81543981482</v>
      </c>
      <c r="C553" s="1" t="n">
        <v>45992</v>
      </c>
      <c r="D553" t="inlineStr">
        <is>
          <t>UPPSALA LÄN</t>
        </is>
      </c>
      <c r="E553" t="inlineStr">
        <is>
          <t>UPPSALA</t>
        </is>
      </c>
      <c r="F553" t="inlineStr">
        <is>
          <t>Bergvik skog öst AB</t>
        </is>
      </c>
      <c r="G553" t="n">
        <v>4.7</v>
      </c>
      <c r="H553" t="n">
        <v>0</v>
      </c>
      <c r="I553" t="n">
        <v>0</v>
      </c>
      <c r="J553" t="n">
        <v>0</v>
      </c>
      <c r="K553" t="n">
        <v>0</v>
      </c>
      <c r="L553" t="n">
        <v>0</v>
      </c>
      <c r="M553" t="n">
        <v>0</v>
      </c>
      <c r="N553" t="n">
        <v>0</v>
      </c>
      <c r="O553" t="n">
        <v>0</v>
      </c>
      <c r="P553" t="n">
        <v>0</v>
      </c>
      <c r="Q553" t="n">
        <v>0</v>
      </c>
      <c r="R553" s="2" t="inlineStr"/>
    </row>
    <row r="554" ht="15" customHeight="1">
      <c r="A554" t="inlineStr">
        <is>
          <t>A 17232-2022</t>
        </is>
      </c>
      <c r="B554" s="1" t="n">
        <v>44678.3315625</v>
      </c>
      <c r="C554" s="1" t="n">
        <v>45992</v>
      </c>
      <c r="D554" t="inlineStr">
        <is>
          <t>UPPSALA LÄN</t>
        </is>
      </c>
      <c r="E554" t="inlineStr">
        <is>
          <t>UPPSALA</t>
        </is>
      </c>
      <c r="F554" t="inlineStr">
        <is>
          <t>Övriga Aktiebolag</t>
        </is>
      </c>
      <c r="G554" t="n">
        <v>7.4</v>
      </c>
      <c r="H554" t="n">
        <v>0</v>
      </c>
      <c r="I554" t="n">
        <v>0</v>
      </c>
      <c r="J554" t="n">
        <v>0</v>
      </c>
      <c r="K554" t="n">
        <v>0</v>
      </c>
      <c r="L554" t="n">
        <v>0</v>
      </c>
      <c r="M554" t="n">
        <v>0</v>
      </c>
      <c r="N554" t="n">
        <v>0</v>
      </c>
      <c r="O554" t="n">
        <v>0</v>
      </c>
      <c r="P554" t="n">
        <v>0</v>
      </c>
      <c r="Q554" t="n">
        <v>0</v>
      </c>
      <c r="R554" s="2" t="inlineStr"/>
    </row>
    <row r="555" ht="15" customHeight="1">
      <c r="A555" t="inlineStr">
        <is>
          <t>A 61805-2021</t>
        </is>
      </c>
      <c r="B555" s="1" t="n">
        <v>44501.71344907407</v>
      </c>
      <c r="C555" s="1" t="n">
        <v>45992</v>
      </c>
      <c r="D555" t="inlineStr">
        <is>
          <t>UPPSALA LÄN</t>
        </is>
      </c>
      <c r="E555" t="inlineStr">
        <is>
          <t>UPPSALA</t>
        </is>
      </c>
      <c r="F555" t="inlineStr">
        <is>
          <t>Bergvik skog öst AB</t>
        </is>
      </c>
      <c r="G555" t="n">
        <v>3.8</v>
      </c>
      <c r="H555" t="n">
        <v>0</v>
      </c>
      <c r="I555" t="n">
        <v>0</v>
      </c>
      <c r="J555" t="n">
        <v>0</v>
      </c>
      <c r="K555" t="n">
        <v>0</v>
      </c>
      <c r="L555" t="n">
        <v>0</v>
      </c>
      <c r="M555" t="n">
        <v>0</v>
      </c>
      <c r="N555" t="n">
        <v>0</v>
      </c>
      <c r="O555" t="n">
        <v>0</v>
      </c>
      <c r="P555" t="n">
        <v>0</v>
      </c>
      <c r="Q555" t="n">
        <v>0</v>
      </c>
      <c r="R555" s="2" t="inlineStr"/>
    </row>
    <row r="556" ht="15" customHeight="1">
      <c r="A556" t="inlineStr">
        <is>
          <t>A 4312-2022</t>
        </is>
      </c>
      <c r="B556" s="1" t="n">
        <v>44588</v>
      </c>
      <c r="C556" s="1" t="n">
        <v>45992</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54284-2025</t>
        </is>
      </c>
      <c r="B557" s="1" t="n">
        <v>45964.76486111111</v>
      </c>
      <c r="C557" s="1" t="n">
        <v>45992</v>
      </c>
      <c r="D557" t="inlineStr">
        <is>
          <t>UPPSALA LÄN</t>
        </is>
      </c>
      <c r="E557" t="inlineStr">
        <is>
          <t>UPPSALA</t>
        </is>
      </c>
      <c r="G557" t="n">
        <v>3.9</v>
      </c>
      <c r="H557" t="n">
        <v>0</v>
      </c>
      <c r="I557" t="n">
        <v>0</v>
      </c>
      <c r="J557" t="n">
        <v>0</v>
      </c>
      <c r="K557" t="n">
        <v>0</v>
      </c>
      <c r="L557" t="n">
        <v>0</v>
      </c>
      <c r="M557" t="n">
        <v>0</v>
      </c>
      <c r="N557" t="n">
        <v>0</v>
      </c>
      <c r="O557" t="n">
        <v>0</v>
      </c>
      <c r="P557" t="n">
        <v>0</v>
      </c>
      <c r="Q557" t="n">
        <v>0</v>
      </c>
      <c r="R557" s="2" t="inlineStr"/>
    </row>
    <row r="558" ht="15" customHeight="1">
      <c r="A558" t="inlineStr">
        <is>
          <t>A 60814-2023</t>
        </is>
      </c>
      <c r="B558" s="1" t="n">
        <v>45259</v>
      </c>
      <c r="C558" s="1" t="n">
        <v>45992</v>
      </c>
      <c r="D558" t="inlineStr">
        <is>
          <t>UPPSALA LÄN</t>
        </is>
      </c>
      <c r="E558" t="inlineStr">
        <is>
          <t>UPPSALA</t>
        </is>
      </c>
      <c r="G558" t="n">
        <v>5.9</v>
      </c>
      <c r="H558" t="n">
        <v>0</v>
      </c>
      <c r="I558" t="n">
        <v>0</v>
      </c>
      <c r="J558" t="n">
        <v>0</v>
      </c>
      <c r="K558" t="n">
        <v>0</v>
      </c>
      <c r="L558" t="n">
        <v>0</v>
      </c>
      <c r="M558" t="n">
        <v>0</v>
      </c>
      <c r="N558" t="n">
        <v>0</v>
      </c>
      <c r="O558" t="n">
        <v>0</v>
      </c>
      <c r="P558" t="n">
        <v>0</v>
      </c>
      <c r="Q558" t="n">
        <v>0</v>
      </c>
      <c r="R558" s="2" t="inlineStr"/>
    </row>
    <row r="559" ht="15" customHeight="1">
      <c r="A559" t="inlineStr">
        <is>
          <t>A 53963-2023</t>
        </is>
      </c>
      <c r="B559" s="1" t="n">
        <v>45231.62840277778</v>
      </c>
      <c r="C559" s="1" t="n">
        <v>45992</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45447-2025</t>
        </is>
      </c>
      <c r="B560" s="1" t="n">
        <v>45922.48148148148</v>
      </c>
      <c r="C560" s="1" t="n">
        <v>45992</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c r="U560">
        <f>HYPERLINK("https://klasma.github.io/Logging_0380/knärot/A 45447-2025 karta knärot.png", "A 45447-2025")</f>
        <v/>
      </c>
      <c r="V560">
        <f>HYPERLINK("https://klasma.github.io/Logging_0380/klagomål/A 45447-2025 FSC-klagomål.docx", "A 45447-2025")</f>
        <v/>
      </c>
      <c r="W560">
        <f>HYPERLINK("https://klasma.github.io/Logging_0380/klagomålsmail/A 45447-2025 FSC-klagomål mail.docx", "A 45447-2025")</f>
        <v/>
      </c>
      <c r="X560">
        <f>HYPERLINK("https://klasma.github.io/Logging_0380/tillsyn/A 45447-2025 tillsynsbegäran.docx", "A 45447-2025")</f>
        <v/>
      </c>
      <c r="Y560">
        <f>HYPERLINK("https://klasma.github.io/Logging_0380/tillsynsmail/A 45447-2025 tillsynsbegäran mail.docx", "A 45447-2025")</f>
        <v/>
      </c>
    </row>
    <row r="561" ht="15" customHeight="1">
      <c r="A561" t="inlineStr">
        <is>
          <t>A 7501-2025</t>
        </is>
      </c>
      <c r="B561" s="1" t="n">
        <v>45705</v>
      </c>
      <c r="C561" s="1" t="n">
        <v>45992</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60444-2023</t>
        </is>
      </c>
      <c r="B562" s="1" t="n">
        <v>45259.52809027778</v>
      </c>
      <c r="C562" s="1" t="n">
        <v>45992</v>
      </c>
      <c r="D562" t="inlineStr">
        <is>
          <t>UPPSALA LÄN</t>
        </is>
      </c>
      <c r="E562" t="inlineStr">
        <is>
          <t>UPPSALA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54723-2025</t>
        </is>
      </c>
      <c r="B563" s="1" t="n">
        <v>45966.53721064814</v>
      </c>
      <c r="C563" s="1" t="n">
        <v>45992</v>
      </c>
      <c r="D563" t="inlineStr">
        <is>
          <t>UPPSALA LÄN</t>
        </is>
      </c>
      <c r="E563" t="inlineStr">
        <is>
          <t>UPPSALA</t>
        </is>
      </c>
      <c r="F563" t="inlineStr">
        <is>
          <t>Bergvik skog öst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54724-2025</t>
        </is>
      </c>
      <c r="B564" s="1" t="n">
        <v>45966.53849537037</v>
      </c>
      <c r="C564" s="1" t="n">
        <v>45992</v>
      </c>
      <c r="D564" t="inlineStr">
        <is>
          <t>UPPSALA LÄN</t>
        </is>
      </c>
      <c r="E564" t="inlineStr">
        <is>
          <t>UPPSALA</t>
        </is>
      </c>
      <c r="F564" t="inlineStr">
        <is>
          <t>Bergvik skog öst AB</t>
        </is>
      </c>
      <c r="G564" t="n">
        <v>3.9</v>
      </c>
      <c r="H564" t="n">
        <v>0</v>
      </c>
      <c r="I564" t="n">
        <v>0</v>
      </c>
      <c r="J564" t="n">
        <v>0</v>
      </c>
      <c r="K564" t="n">
        <v>0</v>
      </c>
      <c r="L564" t="n">
        <v>0</v>
      </c>
      <c r="M564" t="n">
        <v>0</v>
      </c>
      <c r="N564" t="n">
        <v>0</v>
      </c>
      <c r="O564" t="n">
        <v>0</v>
      </c>
      <c r="P564" t="n">
        <v>0</v>
      </c>
      <c r="Q564" t="n">
        <v>0</v>
      </c>
      <c r="R564" s="2" t="inlineStr"/>
    </row>
    <row r="565" ht="15" customHeight="1">
      <c r="A565" t="inlineStr">
        <is>
          <t>A 30616-2025</t>
        </is>
      </c>
      <c r="B565" s="1" t="n">
        <v>45831.46731481481</v>
      </c>
      <c r="C565" s="1" t="n">
        <v>45992</v>
      </c>
      <c r="D565" t="inlineStr">
        <is>
          <t>UPPSALA LÄN</t>
        </is>
      </c>
      <c r="E565" t="inlineStr">
        <is>
          <t>UPPSALA</t>
        </is>
      </c>
      <c r="G565" t="n">
        <v>2.1</v>
      </c>
      <c r="H565" t="n">
        <v>0</v>
      </c>
      <c r="I565" t="n">
        <v>0</v>
      </c>
      <c r="J565" t="n">
        <v>0</v>
      </c>
      <c r="K565" t="n">
        <v>0</v>
      </c>
      <c r="L565" t="n">
        <v>0</v>
      </c>
      <c r="M565" t="n">
        <v>0</v>
      </c>
      <c r="N565" t="n">
        <v>0</v>
      </c>
      <c r="O565" t="n">
        <v>0</v>
      </c>
      <c r="P565" t="n">
        <v>0</v>
      </c>
      <c r="Q565" t="n">
        <v>0</v>
      </c>
      <c r="R565" s="2" t="inlineStr"/>
    </row>
    <row r="566" ht="15" customHeight="1">
      <c r="A566" t="inlineStr">
        <is>
          <t>A 59996-2024</t>
        </is>
      </c>
      <c r="B566" s="1" t="n">
        <v>45642</v>
      </c>
      <c r="C566" s="1" t="n">
        <v>45992</v>
      </c>
      <c r="D566" t="inlineStr">
        <is>
          <t>UPPSALA LÄN</t>
        </is>
      </c>
      <c r="E566" t="inlineStr">
        <is>
          <t>UPPSALA</t>
        </is>
      </c>
      <c r="F566" t="inlineStr">
        <is>
          <t>Bergvik skog väst AB</t>
        </is>
      </c>
      <c r="G566" t="n">
        <v>14.5</v>
      </c>
      <c r="H566" t="n">
        <v>0</v>
      </c>
      <c r="I566" t="n">
        <v>0</v>
      </c>
      <c r="J566" t="n">
        <v>0</v>
      </c>
      <c r="K566" t="n">
        <v>0</v>
      </c>
      <c r="L566" t="n">
        <v>0</v>
      </c>
      <c r="M566" t="n">
        <v>0</v>
      </c>
      <c r="N566" t="n">
        <v>0</v>
      </c>
      <c r="O566" t="n">
        <v>0</v>
      </c>
      <c r="P566" t="n">
        <v>0</v>
      </c>
      <c r="Q566" t="n">
        <v>0</v>
      </c>
      <c r="R566" s="2" t="inlineStr"/>
    </row>
    <row r="567" ht="15" customHeight="1">
      <c r="A567" t="inlineStr">
        <is>
          <t>A 13644-2024</t>
        </is>
      </c>
      <c r="B567" s="1" t="n">
        <v>45390</v>
      </c>
      <c r="C567" s="1" t="n">
        <v>45992</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44815-2023</t>
        </is>
      </c>
      <c r="B568" s="1" t="n">
        <v>45190</v>
      </c>
      <c r="C568" s="1" t="n">
        <v>45992</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36913-2025</t>
        </is>
      </c>
      <c r="B569" s="1" t="n">
        <v>45874</v>
      </c>
      <c r="C569" s="1" t="n">
        <v>45992</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20102-2023</t>
        </is>
      </c>
      <c r="B570" s="1" t="n">
        <v>45054.95675925926</v>
      </c>
      <c r="C570" s="1" t="n">
        <v>45992</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1975-2022</t>
        </is>
      </c>
      <c r="B571" s="1" t="n">
        <v>44575</v>
      </c>
      <c r="C571" s="1" t="n">
        <v>45992</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37010-2025</t>
        </is>
      </c>
      <c r="B572" s="1" t="n">
        <v>45874.705</v>
      </c>
      <c r="C572" s="1" t="n">
        <v>45992</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11568-2023</t>
        </is>
      </c>
      <c r="B573" s="1" t="n">
        <v>44994</v>
      </c>
      <c r="C573" s="1" t="n">
        <v>45992</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17562-2022</t>
        </is>
      </c>
      <c r="B574" s="1" t="n">
        <v>44679.68706018518</v>
      </c>
      <c r="C574" s="1" t="n">
        <v>45992</v>
      </c>
      <c r="D574" t="inlineStr">
        <is>
          <t>UPPSALA LÄN</t>
        </is>
      </c>
      <c r="E574" t="inlineStr">
        <is>
          <t>UPPSALA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37486-2025</t>
        </is>
      </c>
      <c r="B575" s="1" t="n">
        <v>45877.62969907407</v>
      </c>
      <c r="C575" s="1" t="n">
        <v>45992</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60445-2024</t>
        </is>
      </c>
      <c r="B576" s="1" t="n">
        <v>45643</v>
      </c>
      <c r="C576" s="1" t="n">
        <v>45992</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37351-2025</t>
        </is>
      </c>
      <c r="B577" s="1" t="n">
        <v>45876</v>
      </c>
      <c r="C577" s="1" t="n">
        <v>45992</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35016-2025</t>
        </is>
      </c>
      <c r="B578" s="1" t="n">
        <v>45851.62179398148</v>
      </c>
      <c r="C578" s="1" t="n">
        <v>45992</v>
      </c>
      <c r="D578" t="inlineStr">
        <is>
          <t>UPPSALA LÄN</t>
        </is>
      </c>
      <c r="E578" t="inlineStr">
        <is>
          <t>UPPSALA</t>
        </is>
      </c>
      <c r="F578" t="inlineStr">
        <is>
          <t>Bergvik skog öst AB</t>
        </is>
      </c>
      <c r="G578" t="n">
        <v>7</v>
      </c>
      <c r="H578" t="n">
        <v>0</v>
      </c>
      <c r="I578" t="n">
        <v>0</v>
      </c>
      <c r="J578" t="n">
        <v>0</v>
      </c>
      <c r="K578" t="n">
        <v>0</v>
      </c>
      <c r="L578" t="n">
        <v>0</v>
      </c>
      <c r="M578" t="n">
        <v>0</v>
      </c>
      <c r="N578" t="n">
        <v>0</v>
      </c>
      <c r="O578" t="n">
        <v>0</v>
      </c>
      <c r="P578" t="n">
        <v>0</v>
      </c>
      <c r="Q578" t="n">
        <v>0</v>
      </c>
      <c r="R578" s="2" t="inlineStr"/>
    </row>
    <row r="579" ht="15" customHeight="1">
      <c r="A579" t="inlineStr">
        <is>
          <t>A 25776-2022</t>
        </is>
      </c>
      <c r="B579" s="1" t="n">
        <v>44733</v>
      </c>
      <c r="C579" s="1" t="n">
        <v>45992</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46772-2025</t>
        </is>
      </c>
      <c r="B580" s="1" t="n">
        <v>45926.63232638889</v>
      </c>
      <c r="C580" s="1" t="n">
        <v>45992</v>
      </c>
      <c r="D580" t="inlineStr">
        <is>
          <t>UPPSALA LÄN</t>
        </is>
      </c>
      <c r="E580" t="inlineStr">
        <is>
          <t>UPPSALA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46632-2025</t>
        </is>
      </c>
      <c r="B581" s="1" t="n">
        <v>45926.45846064815</v>
      </c>
      <c r="C581" s="1" t="n">
        <v>45992</v>
      </c>
      <c r="D581" t="inlineStr">
        <is>
          <t>UPPSALA LÄN</t>
        </is>
      </c>
      <c r="E581" t="inlineStr">
        <is>
          <t>UPPSALA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37352-2025</t>
        </is>
      </c>
      <c r="B582" s="1" t="n">
        <v>45876</v>
      </c>
      <c r="C582" s="1" t="n">
        <v>45992</v>
      </c>
      <c r="D582" t="inlineStr">
        <is>
          <t>UPPSALA LÄN</t>
        </is>
      </c>
      <c r="E582" t="inlineStr">
        <is>
          <t>UPPSALA</t>
        </is>
      </c>
      <c r="G582" t="n">
        <v>2.6</v>
      </c>
      <c r="H582" t="n">
        <v>0</v>
      </c>
      <c r="I582" t="n">
        <v>0</v>
      </c>
      <c r="J582" t="n">
        <v>0</v>
      </c>
      <c r="K582" t="n">
        <v>0</v>
      </c>
      <c r="L582" t="n">
        <v>0</v>
      </c>
      <c r="M582" t="n">
        <v>0</v>
      </c>
      <c r="N582" t="n">
        <v>0</v>
      </c>
      <c r="O582" t="n">
        <v>0</v>
      </c>
      <c r="P582" t="n">
        <v>0</v>
      </c>
      <c r="Q582" t="n">
        <v>0</v>
      </c>
      <c r="R582" s="2" t="inlineStr"/>
    </row>
    <row r="583" ht="15" customHeight="1">
      <c r="A583" t="inlineStr">
        <is>
          <t>A 37468-2025</t>
        </is>
      </c>
      <c r="B583" s="1" t="n">
        <v>45877.57847222222</v>
      </c>
      <c r="C583" s="1" t="n">
        <v>45992</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53384-2024</t>
        </is>
      </c>
      <c r="B584" s="1" t="n">
        <v>45614</v>
      </c>
      <c r="C584" s="1" t="n">
        <v>45992</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37561-2025</t>
        </is>
      </c>
      <c r="B585" s="1" t="n">
        <v>45880.34064814815</v>
      </c>
      <c r="C585" s="1" t="n">
        <v>45992</v>
      </c>
      <c r="D585" t="inlineStr">
        <is>
          <t>UPPSALA LÄN</t>
        </is>
      </c>
      <c r="E585" t="inlineStr">
        <is>
          <t>UPPSALA</t>
        </is>
      </c>
      <c r="G585" t="n">
        <v>1.4</v>
      </c>
      <c r="H585" t="n">
        <v>0</v>
      </c>
      <c r="I585" t="n">
        <v>0</v>
      </c>
      <c r="J585" t="n">
        <v>0</v>
      </c>
      <c r="K585" t="n">
        <v>0</v>
      </c>
      <c r="L585" t="n">
        <v>0</v>
      </c>
      <c r="M585" t="n">
        <v>0</v>
      </c>
      <c r="N585" t="n">
        <v>0</v>
      </c>
      <c r="O585" t="n">
        <v>0</v>
      </c>
      <c r="P585" t="n">
        <v>0</v>
      </c>
      <c r="Q585" t="n">
        <v>0</v>
      </c>
      <c r="R585" s="2" t="inlineStr"/>
    </row>
    <row r="586" ht="15" customHeight="1">
      <c r="A586" t="inlineStr">
        <is>
          <t>A 56084-2024</t>
        </is>
      </c>
      <c r="B586" s="1" t="n">
        <v>45624</v>
      </c>
      <c r="C586" s="1" t="n">
        <v>45992</v>
      </c>
      <c r="D586" t="inlineStr">
        <is>
          <t>UPPSALA LÄN</t>
        </is>
      </c>
      <c r="E586" t="inlineStr">
        <is>
          <t>UPPSALA</t>
        </is>
      </c>
      <c r="G586" t="n">
        <v>3.8</v>
      </c>
      <c r="H586" t="n">
        <v>0</v>
      </c>
      <c r="I586" t="n">
        <v>0</v>
      </c>
      <c r="J586" t="n">
        <v>0</v>
      </c>
      <c r="K586" t="n">
        <v>0</v>
      </c>
      <c r="L586" t="n">
        <v>0</v>
      </c>
      <c r="M586" t="n">
        <v>0</v>
      </c>
      <c r="N586" t="n">
        <v>0</v>
      </c>
      <c r="O586" t="n">
        <v>0</v>
      </c>
      <c r="P586" t="n">
        <v>0</v>
      </c>
      <c r="Q586" t="n">
        <v>0</v>
      </c>
      <c r="R586" s="2" t="inlineStr"/>
    </row>
    <row r="587" ht="15" customHeight="1">
      <c r="A587" t="inlineStr">
        <is>
          <t>A 46571-2025</t>
        </is>
      </c>
      <c r="B587" s="1" t="n">
        <v>45926.366875</v>
      </c>
      <c r="C587" s="1" t="n">
        <v>45992</v>
      </c>
      <c r="D587" t="inlineStr">
        <is>
          <t>UPPSALA LÄN</t>
        </is>
      </c>
      <c r="E587" t="inlineStr">
        <is>
          <t>UPPSALA</t>
        </is>
      </c>
      <c r="F587" t="inlineStr">
        <is>
          <t>Bergvik skog öst AB</t>
        </is>
      </c>
      <c r="G587" t="n">
        <v>11.1</v>
      </c>
      <c r="H587" t="n">
        <v>0</v>
      </c>
      <c r="I587" t="n">
        <v>0</v>
      </c>
      <c r="J587" t="n">
        <v>0</v>
      </c>
      <c r="K587" t="n">
        <v>0</v>
      </c>
      <c r="L587" t="n">
        <v>0</v>
      </c>
      <c r="M587" t="n">
        <v>0</v>
      </c>
      <c r="N587" t="n">
        <v>0</v>
      </c>
      <c r="O587" t="n">
        <v>0</v>
      </c>
      <c r="P587" t="n">
        <v>0</v>
      </c>
      <c r="Q587" t="n">
        <v>0</v>
      </c>
      <c r="R587" s="2" t="inlineStr"/>
    </row>
    <row r="588" ht="15" customHeight="1">
      <c r="A588" t="inlineStr">
        <is>
          <t>A 46773-2025</t>
        </is>
      </c>
      <c r="B588" s="1" t="n">
        <v>45926.63290509259</v>
      </c>
      <c r="C588" s="1" t="n">
        <v>45992</v>
      </c>
      <c r="D588" t="inlineStr">
        <is>
          <t>UPPSALA LÄN</t>
        </is>
      </c>
      <c r="E588" t="inlineStr">
        <is>
          <t>UPPSALA</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47131-2025</t>
        </is>
      </c>
      <c r="B589" s="1" t="n">
        <v>45929.69553240741</v>
      </c>
      <c r="C589" s="1" t="n">
        <v>45992</v>
      </c>
      <c r="D589" t="inlineStr">
        <is>
          <t>UPPSALA LÄN</t>
        </is>
      </c>
      <c r="E589" t="inlineStr">
        <is>
          <t>UPPSALA</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47132-2025</t>
        </is>
      </c>
      <c r="B590" s="1" t="n">
        <v>45929.6965162037</v>
      </c>
      <c r="C590" s="1" t="n">
        <v>45992</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9982-2025</t>
        </is>
      </c>
      <c r="B591" s="1" t="n">
        <v>45719.4094212963</v>
      </c>
      <c r="C591" s="1" t="n">
        <v>45992</v>
      </c>
      <c r="D591" t="inlineStr">
        <is>
          <t>UPPSALA LÄN</t>
        </is>
      </c>
      <c r="E591" t="inlineStr">
        <is>
          <t>UPPSALA</t>
        </is>
      </c>
      <c r="F591" t="inlineStr">
        <is>
          <t>Kyrkan</t>
        </is>
      </c>
      <c r="G591" t="n">
        <v>2.9</v>
      </c>
      <c r="H591" t="n">
        <v>0</v>
      </c>
      <c r="I591" t="n">
        <v>0</v>
      </c>
      <c r="J591" t="n">
        <v>0</v>
      </c>
      <c r="K591" t="n">
        <v>0</v>
      </c>
      <c r="L591" t="n">
        <v>0</v>
      </c>
      <c r="M591" t="n">
        <v>0</v>
      </c>
      <c r="N591" t="n">
        <v>0</v>
      </c>
      <c r="O591" t="n">
        <v>0</v>
      </c>
      <c r="P591" t="n">
        <v>0</v>
      </c>
      <c r="Q591" t="n">
        <v>0</v>
      </c>
      <c r="R591" s="2" t="inlineStr"/>
    </row>
    <row r="592" ht="15" customHeight="1">
      <c r="A592" t="inlineStr">
        <is>
          <t>A 9995-2025</t>
        </is>
      </c>
      <c r="B592" s="1" t="n">
        <v>45719.43872685185</v>
      </c>
      <c r="C592" s="1" t="n">
        <v>45992</v>
      </c>
      <c r="D592" t="inlineStr">
        <is>
          <t>UPPSALA LÄN</t>
        </is>
      </c>
      <c r="E592" t="inlineStr">
        <is>
          <t>UPPSALA</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37611-2025</t>
        </is>
      </c>
      <c r="B593" s="1" t="n">
        <v>45880</v>
      </c>
      <c r="C593" s="1" t="n">
        <v>45992</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37759-2025</t>
        </is>
      </c>
      <c r="B594" s="1" t="n">
        <v>45880.68200231482</v>
      </c>
      <c r="C594" s="1" t="n">
        <v>45992</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19276-2023</t>
        </is>
      </c>
      <c r="B595" s="1" t="n">
        <v>45049</v>
      </c>
      <c r="C595" s="1" t="n">
        <v>45992</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47287-2023</t>
        </is>
      </c>
      <c r="B596" s="1" t="n">
        <v>45202</v>
      </c>
      <c r="C596" s="1" t="n">
        <v>45992</v>
      </c>
      <c r="D596" t="inlineStr">
        <is>
          <t>UPPSALA LÄN</t>
        </is>
      </c>
      <c r="E596" t="inlineStr">
        <is>
          <t>UPPSALA</t>
        </is>
      </c>
      <c r="F596" t="inlineStr">
        <is>
          <t>Holmen skog AB</t>
        </is>
      </c>
      <c r="G596" t="n">
        <v>0.4</v>
      </c>
      <c r="H596" t="n">
        <v>0</v>
      </c>
      <c r="I596" t="n">
        <v>0</v>
      </c>
      <c r="J596" t="n">
        <v>0</v>
      </c>
      <c r="K596" t="n">
        <v>0</v>
      </c>
      <c r="L596" t="n">
        <v>0</v>
      </c>
      <c r="M596" t="n">
        <v>0</v>
      </c>
      <c r="N596" t="n">
        <v>0</v>
      </c>
      <c r="O596" t="n">
        <v>0</v>
      </c>
      <c r="P596" t="n">
        <v>0</v>
      </c>
      <c r="Q596" t="n">
        <v>0</v>
      </c>
      <c r="R596" s="2" t="inlineStr"/>
    </row>
    <row r="597" ht="15" customHeight="1">
      <c r="A597" t="inlineStr">
        <is>
          <t>A 37851-2025</t>
        </is>
      </c>
      <c r="B597" s="1" t="n">
        <v>45881.44938657407</v>
      </c>
      <c r="C597" s="1" t="n">
        <v>45992</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60447-2023</t>
        </is>
      </c>
      <c r="B598" s="1" t="n">
        <v>45259</v>
      </c>
      <c r="C598" s="1" t="n">
        <v>45992</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37557-2025</t>
        </is>
      </c>
      <c r="B599" s="1" t="n">
        <v>45880.32907407408</v>
      </c>
      <c r="C599" s="1" t="n">
        <v>45992</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37856-2025</t>
        </is>
      </c>
      <c r="B600" s="1" t="n">
        <v>45881.45898148148</v>
      </c>
      <c r="C600" s="1" t="n">
        <v>45992</v>
      </c>
      <c r="D600" t="inlineStr">
        <is>
          <t>UPPSALA LÄN</t>
        </is>
      </c>
      <c r="E600" t="inlineStr">
        <is>
          <t>UPPSALA</t>
        </is>
      </c>
      <c r="G600" t="n">
        <v>1.7</v>
      </c>
      <c r="H600" t="n">
        <v>0</v>
      </c>
      <c r="I600" t="n">
        <v>0</v>
      </c>
      <c r="J600" t="n">
        <v>0</v>
      </c>
      <c r="K600" t="n">
        <v>0</v>
      </c>
      <c r="L600" t="n">
        <v>0</v>
      </c>
      <c r="M600" t="n">
        <v>0</v>
      </c>
      <c r="N600" t="n">
        <v>0</v>
      </c>
      <c r="O600" t="n">
        <v>0</v>
      </c>
      <c r="P600" t="n">
        <v>0</v>
      </c>
      <c r="Q600" t="n">
        <v>0</v>
      </c>
      <c r="R600" s="2" t="inlineStr"/>
    </row>
    <row r="601" ht="15" customHeight="1">
      <c r="A601" t="inlineStr">
        <is>
          <t>A 3287-2025</t>
        </is>
      </c>
      <c r="B601" s="1" t="n">
        <v>45679</v>
      </c>
      <c r="C601" s="1" t="n">
        <v>45992</v>
      </c>
      <c r="D601" t="inlineStr">
        <is>
          <t>UPPSALA LÄN</t>
        </is>
      </c>
      <c r="E601" t="inlineStr">
        <is>
          <t>UPPSALA</t>
        </is>
      </c>
      <c r="F601" t="inlineStr">
        <is>
          <t>Kyrkan</t>
        </is>
      </c>
      <c r="G601" t="n">
        <v>6.7</v>
      </c>
      <c r="H601" t="n">
        <v>0</v>
      </c>
      <c r="I601" t="n">
        <v>0</v>
      </c>
      <c r="J601" t="n">
        <v>0</v>
      </c>
      <c r="K601" t="n">
        <v>0</v>
      </c>
      <c r="L601" t="n">
        <v>0</v>
      </c>
      <c r="M601" t="n">
        <v>0</v>
      </c>
      <c r="N601" t="n">
        <v>0</v>
      </c>
      <c r="O601" t="n">
        <v>0</v>
      </c>
      <c r="P601" t="n">
        <v>0</v>
      </c>
      <c r="Q601" t="n">
        <v>0</v>
      </c>
      <c r="R601" s="2" t="inlineStr"/>
    </row>
    <row r="602" ht="15" customHeight="1">
      <c r="A602" t="inlineStr">
        <is>
          <t>A 55275-2025</t>
        </is>
      </c>
      <c r="B602" s="1" t="n">
        <v>45968.76021990741</v>
      </c>
      <c r="C602" s="1" t="n">
        <v>45992</v>
      </c>
      <c r="D602" t="inlineStr">
        <is>
          <t>UPPSALA LÄN</t>
        </is>
      </c>
      <c r="E602" t="inlineStr">
        <is>
          <t>UPPSALA</t>
        </is>
      </c>
      <c r="F602" t="inlineStr">
        <is>
          <t>Allmännings- och besparingsskogar</t>
        </is>
      </c>
      <c r="G602" t="n">
        <v>13.2</v>
      </c>
      <c r="H602" t="n">
        <v>0</v>
      </c>
      <c r="I602" t="n">
        <v>0</v>
      </c>
      <c r="J602" t="n">
        <v>0</v>
      </c>
      <c r="K602" t="n">
        <v>0</v>
      </c>
      <c r="L602" t="n">
        <v>0</v>
      </c>
      <c r="M602" t="n">
        <v>0</v>
      </c>
      <c r="N602" t="n">
        <v>0</v>
      </c>
      <c r="O602" t="n">
        <v>0</v>
      </c>
      <c r="P602" t="n">
        <v>0</v>
      </c>
      <c r="Q602" t="n">
        <v>0</v>
      </c>
      <c r="R602" s="2" t="inlineStr"/>
    </row>
    <row r="603" ht="15" customHeight="1">
      <c r="A603" t="inlineStr">
        <is>
          <t>A 38034-2025</t>
        </is>
      </c>
      <c r="B603" s="1" t="n">
        <v>45882.37202546297</v>
      </c>
      <c r="C603" s="1" t="n">
        <v>45992</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46983-2025</t>
        </is>
      </c>
      <c r="B604" s="1" t="n">
        <v>45929.53203703704</v>
      </c>
      <c r="C604" s="1" t="n">
        <v>45992</v>
      </c>
      <c r="D604" t="inlineStr">
        <is>
          <t>UPPSALA LÄN</t>
        </is>
      </c>
      <c r="E604" t="inlineStr">
        <is>
          <t>UPPSALA</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4993-2025</t>
        </is>
      </c>
      <c r="B605" s="1" t="n">
        <v>45691</v>
      </c>
      <c r="C605" s="1" t="n">
        <v>45992</v>
      </c>
      <c r="D605" t="inlineStr">
        <is>
          <t>UPPSALA LÄN</t>
        </is>
      </c>
      <c r="E605" t="inlineStr">
        <is>
          <t>UPPSALA</t>
        </is>
      </c>
      <c r="F605" t="inlineStr">
        <is>
          <t>Kyrkan</t>
        </is>
      </c>
      <c r="G605" t="n">
        <v>6.7</v>
      </c>
      <c r="H605" t="n">
        <v>0</v>
      </c>
      <c r="I605" t="n">
        <v>0</v>
      </c>
      <c r="J605" t="n">
        <v>0</v>
      </c>
      <c r="K605" t="n">
        <v>0</v>
      </c>
      <c r="L605" t="n">
        <v>0</v>
      </c>
      <c r="M605" t="n">
        <v>0</v>
      </c>
      <c r="N605" t="n">
        <v>0</v>
      </c>
      <c r="O605" t="n">
        <v>0</v>
      </c>
      <c r="P605" t="n">
        <v>0</v>
      </c>
      <c r="Q605" t="n">
        <v>0</v>
      </c>
      <c r="R605" s="2" t="inlineStr"/>
    </row>
    <row r="606" ht="15" customHeight="1">
      <c r="A606" t="inlineStr">
        <is>
          <t>A 38113-2025</t>
        </is>
      </c>
      <c r="B606" s="1" t="n">
        <v>45882.52290509259</v>
      </c>
      <c r="C606" s="1" t="n">
        <v>45992</v>
      </c>
      <c r="D606" t="inlineStr">
        <is>
          <t>UPPSALA LÄN</t>
        </is>
      </c>
      <c r="E606" t="inlineStr">
        <is>
          <t>UPPSALA</t>
        </is>
      </c>
      <c r="G606" t="n">
        <v>5.8</v>
      </c>
      <c r="H606" t="n">
        <v>0</v>
      </c>
      <c r="I606" t="n">
        <v>0</v>
      </c>
      <c r="J606" t="n">
        <v>0</v>
      </c>
      <c r="K606" t="n">
        <v>0</v>
      </c>
      <c r="L606" t="n">
        <v>0</v>
      </c>
      <c r="M606" t="n">
        <v>0</v>
      </c>
      <c r="N606" t="n">
        <v>0</v>
      </c>
      <c r="O606" t="n">
        <v>0</v>
      </c>
      <c r="P606" t="n">
        <v>0</v>
      </c>
      <c r="Q606" t="n">
        <v>0</v>
      </c>
      <c r="R606" s="2" t="inlineStr"/>
    </row>
    <row r="607" ht="15" customHeight="1">
      <c r="A607" t="inlineStr">
        <is>
          <t>A 55594-2025</t>
        </is>
      </c>
      <c r="B607" s="1" t="n">
        <v>45971.70613425926</v>
      </c>
      <c r="C607" s="1" t="n">
        <v>45992</v>
      </c>
      <c r="D607" t="inlineStr">
        <is>
          <t>UPPSALA LÄN</t>
        </is>
      </c>
      <c r="E607" t="inlineStr">
        <is>
          <t>UPPSALA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22996-2021</t>
        </is>
      </c>
      <c r="B608" s="1" t="n">
        <v>44328</v>
      </c>
      <c r="C608" s="1" t="n">
        <v>45992</v>
      </c>
      <c r="D608" t="inlineStr">
        <is>
          <t>UPPSALA LÄN</t>
        </is>
      </c>
      <c r="E608" t="inlineStr">
        <is>
          <t>UPPSALA</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46775-2025</t>
        </is>
      </c>
      <c r="B609" s="1" t="n">
        <v>45926.63366898148</v>
      </c>
      <c r="C609" s="1" t="n">
        <v>45992</v>
      </c>
      <c r="D609" t="inlineStr">
        <is>
          <t>UPPSALA LÄN</t>
        </is>
      </c>
      <c r="E609" t="inlineStr">
        <is>
          <t>UPPSALA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62287-2023</t>
        </is>
      </c>
      <c r="B610" s="1" t="n">
        <v>45267</v>
      </c>
      <c r="C610" s="1" t="n">
        <v>45992</v>
      </c>
      <c r="D610" t="inlineStr">
        <is>
          <t>UPPSALA LÄN</t>
        </is>
      </c>
      <c r="E610" t="inlineStr">
        <is>
          <t>UPPSALA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46564-2025</t>
        </is>
      </c>
      <c r="B611" s="1" t="n">
        <v>45926.35917824074</v>
      </c>
      <c r="C611" s="1" t="n">
        <v>45992</v>
      </c>
      <c r="D611" t="inlineStr">
        <is>
          <t>UPPSALA LÄN</t>
        </is>
      </c>
      <c r="E611" t="inlineStr">
        <is>
          <t>UPPSALA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46565-2025</t>
        </is>
      </c>
      <c r="B612" s="1" t="n">
        <v>45926.35998842592</v>
      </c>
      <c r="C612" s="1" t="n">
        <v>45992</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55357-2025</t>
        </is>
      </c>
      <c r="B613" s="1" t="n">
        <v>45971.37480324074</v>
      </c>
      <c r="C613" s="1" t="n">
        <v>45992</v>
      </c>
      <c r="D613" t="inlineStr">
        <is>
          <t>UPPSALA LÄN</t>
        </is>
      </c>
      <c r="E613" t="inlineStr">
        <is>
          <t>UPPSALA</t>
        </is>
      </c>
      <c r="G613" t="n">
        <v>6</v>
      </c>
      <c r="H613" t="n">
        <v>0</v>
      </c>
      <c r="I613" t="n">
        <v>0</v>
      </c>
      <c r="J613" t="n">
        <v>0</v>
      </c>
      <c r="K613" t="n">
        <v>0</v>
      </c>
      <c r="L613" t="n">
        <v>0</v>
      </c>
      <c r="M613" t="n">
        <v>0</v>
      </c>
      <c r="N613" t="n">
        <v>0</v>
      </c>
      <c r="O613" t="n">
        <v>0</v>
      </c>
      <c r="P613" t="n">
        <v>0</v>
      </c>
      <c r="Q613" t="n">
        <v>0</v>
      </c>
      <c r="R613" s="2" t="inlineStr"/>
    </row>
    <row r="614" ht="15" customHeight="1">
      <c r="A614" t="inlineStr">
        <is>
          <t>A 47558-2025</t>
        </is>
      </c>
      <c r="B614" s="1" t="n">
        <v>45931.37796296296</v>
      </c>
      <c r="C614" s="1" t="n">
        <v>45992</v>
      </c>
      <c r="D614" t="inlineStr">
        <is>
          <t>UPPSALA LÄN</t>
        </is>
      </c>
      <c r="E614" t="inlineStr">
        <is>
          <t>UPPSALA</t>
        </is>
      </c>
      <c r="F614" t="inlineStr">
        <is>
          <t>Kyrkan</t>
        </is>
      </c>
      <c r="G614" t="n">
        <v>1.9</v>
      </c>
      <c r="H614" t="n">
        <v>0</v>
      </c>
      <c r="I614" t="n">
        <v>0</v>
      </c>
      <c r="J614" t="n">
        <v>0</v>
      </c>
      <c r="K614" t="n">
        <v>0</v>
      </c>
      <c r="L614" t="n">
        <v>0</v>
      </c>
      <c r="M614" t="n">
        <v>0</v>
      </c>
      <c r="N614" t="n">
        <v>0</v>
      </c>
      <c r="O614" t="n">
        <v>0</v>
      </c>
      <c r="P614" t="n">
        <v>0</v>
      </c>
      <c r="Q614" t="n">
        <v>0</v>
      </c>
      <c r="R614" s="2" t="inlineStr"/>
    </row>
    <row r="615" ht="15" customHeight="1">
      <c r="A615" t="inlineStr">
        <is>
          <t>A 47649-2025</t>
        </is>
      </c>
      <c r="B615" s="1" t="n">
        <v>45931.52792824074</v>
      </c>
      <c r="C615" s="1" t="n">
        <v>45992</v>
      </c>
      <c r="D615" t="inlineStr">
        <is>
          <t>UPPSALA LÄN</t>
        </is>
      </c>
      <c r="E615" t="inlineStr">
        <is>
          <t>UPPSALA</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16288-2025</t>
        </is>
      </c>
      <c r="B616" s="1" t="n">
        <v>45751.32001157408</v>
      </c>
      <c r="C616" s="1" t="n">
        <v>45992</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17658-2025</t>
        </is>
      </c>
      <c r="B617" s="1" t="n">
        <v>45758</v>
      </c>
      <c r="C617" s="1" t="n">
        <v>45992</v>
      </c>
      <c r="D617" t="inlineStr">
        <is>
          <t>UPPSALA LÄN</t>
        </is>
      </c>
      <c r="E617" t="inlineStr">
        <is>
          <t>UPPSALA</t>
        </is>
      </c>
      <c r="G617" t="n">
        <v>1.5</v>
      </c>
      <c r="H617" t="n">
        <v>0</v>
      </c>
      <c r="I617" t="n">
        <v>0</v>
      </c>
      <c r="J617" t="n">
        <v>0</v>
      </c>
      <c r="K617" t="n">
        <v>0</v>
      </c>
      <c r="L617" t="n">
        <v>0</v>
      </c>
      <c r="M617" t="n">
        <v>0</v>
      </c>
      <c r="N617" t="n">
        <v>0</v>
      </c>
      <c r="O617" t="n">
        <v>0</v>
      </c>
      <c r="P617" t="n">
        <v>0</v>
      </c>
      <c r="Q617" t="n">
        <v>0</v>
      </c>
      <c r="R617" s="2" t="inlineStr"/>
    </row>
    <row r="618" ht="15" customHeight="1">
      <c r="A618" t="inlineStr">
        <is>
          <t>A 47316-2025</t>
        </is>
      </c>
      <c r="B618" s="1" t="n">
        <v>45930.55024305556</v>
      </c>
      <c r="C618" s="1" t="n">
        <v>45992</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18781-2025</t>
        </is>
      </c>
      <c r="B619" s="1" t="n">
        <v>45763</v>
      </c>
      <c r="C619" s="1" t="n">
        <v>45992</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59547-2024</t>
        </is>
      </c>
      <c r="B620" s="1" t="n">
        <v>45638</v>
      </c>
      <c r="C620" s="1" t="n">
        <v>45992</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47557-2025</t>
        </is>
      </c>
      <c r="B621" s="1" t="n">
        <v>45931.37734953704</v>
      </c>
      <c r="C621" s="1" t="n">
        <v>45992</v>
      </c>
      <c r="D621" t="inlineStr">
        <is>
          <t>UPPSALA LÄN</t>
        </is>
      </c>
      <c r="E621" t="inlineStr">
        <is>
          <t>UPPSALA</t>
        </is>
      </c>
      <c r="F621" t="inlineStr">
        <is>
          <t>Kyrkan</t>
        </is>
      </c>
      <c r="G621" t="n">
        <v>1.9</v>
      </c>
      <c r="H621" t="n">
        <v>0</v>
      </c>
      <c r="I621" t="n">
        <v>0</v>
      </c>
      <c r="J621" t="n">
        <v>0</v>
      </c>
      <c r="K621" t="n">
        <v>0</v>
      </c>
      <c r="L621" t="n">
        <v>0</v>
      </c>
      <c r="M621" t="n">
        <v>0</v>
      </c>
      <c r="N621" t="n">
        <v>0</v>
      </c>
      <c r="O621" t="n">
        <v>0</v>
      </c>
      <c r="P621" t="n">
        <v>0</v>
      </c>
      <c r="Q621" t="n">
        <v>0</v>
      </c>
      <c r="R621" s="2" t="inlineStr"/>
    </row>
    <row r="622" ht="15" customHeight="1">
      <c r="A622" t="inlineStr">
        <is>
          <t>A 47690-2025</t>
        </is>
      </c>
      <c r="B622" s="1" t="n">
        <v>45931.59373842592</v>
      </c>
      <c r="C622" s="1" t="n">
        <v>45992</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47688-2025</t>
        </is>
      </c>
      <c r="B623" s="1" t="n">
        <v>45931.59091435185</v>
      </c>
      <c r="C623" s="1" t="n">
        <v>45992</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45992</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55732-2025</t>
        </is>
      </c>
      <c r="B625" s="1" t="n">
        <v>45972</v>
      </c>
      <c r="C625" s="1" t="n">
        <v>45992</v>
      </c>
      <c r="D625" t="inlineStr">
        <is>
          <t>UPPSALA LÄN</t>
        </is>
      </c>
      <c r="E625" t="inlineStr">
        <is>
          <t>UPPSALA</t>
        </is>
      </c>
      <c r="G625" t="n">
        <v>10.9</v>
      </c>
      <c r="H625" t="n">
        <v>0</v>
      </c>
      <c r="I625" t="n">
        <v>0</v>
      </c>
      <c r="J625" t="n">
        <v>0</v>
      </c>
      <c r="K625" t="n">
        <v>0</v>
      </c>
      <c r="L625" t="n">
        <v>0</v>
      </c>
      <c r="M625" t="n">
        <v>0</v>
      </c>
      <c r="N625" t="n">
        <v>0</v>
      </c>
      <c r="O625" t="n">
        <v>0</v>
      </c>
      <c r="P625" t="n">
        <v>0</v>
      </c>
      <c r="Q625" t="n">
        <v>0</v>
      </c>
      <c r="R625" s="2" t="inlineStr"/>
    </row>
    <row r="626" ht="15" customHeight="1">
      <c r="A626" t="inlineStr">
        <is>
          <t>A 32479-2025</t>
        </is>
      </c>
      <c r="B626" s="1" t="n">
        <v>45838</v>
      </c>
      <c r="C626" s="1" t="n">
        <v>45992</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6155-2023</t>
        </is>
      </c>
      <c r="B627" s="1" t="n">
        <v>44964.65261574074</v>
      </c>
      <c r="C627" s="1" t="n">
        <v>45992</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43795-2023</t>
        </is>
      </c>
      <c r="B628" s="1" t="n">
        <v>45182</v>
      </c>
      <c r="C628" s="1" t="n">
        <v>45992</v>
      </c>
      <c r="D628" t="inlineStr">
        <is>
          <t>UPPSALA LÄN</t>
        </is>
      </c>
      <c r="E628" t="inlineStr">
        <is>
          <t>UPPSALA</t>
        </is>
      </c>
      <c r="G628" t="n">
        <v>4.7</v>
      </c>
      <c r="H628" t="n">
        <v>0</v>
      </c>
      <c r="I628" t="n">
        <v>0</v>
      </c>
      <c r="J628" t="n">
        <v>0</v>
      </c>
      <c r="K628" t="n">
        <v>0</v>
      </c>
      <c r="L628" t="n">
        <v>0</v>
      </c>
      <c r="M628" t="n">
        <v>0</v>
      </c>
      <c r="N628" t="n">
        <v>0</v>
      </c>
      <c r="O628" t="n">
        <v>0</v>
      </c>
      <c r="P628" t="n">
        <v>0</v>
      </c>
      <c r="Q628" t="n">
        <v>0</v>
      </c>
      <c r="R628" s="2" t="inlineStr"/>
    </row>
    <row r="629" ht="15" customHeight="1">
      <c r="A629" t="inlineStr">
        <is>
          <t>A 17595-2025</t>
        </is>
      </c>
      <c r="B629" s="1" t="n">
        <v>45757</v>
      </c>
      <c r="C629" s="1" t="n">
        <v>45992</v>
      </c>
      <c r="D629" t="inlineStr">
        <is>
          <t>UPPSALA LÄN</t>
        </is>
      </c>
      <c r="E629" t="inlineStr">
        <is>
          <t>UPPSALA</t>
        </is>
      </c>
      <c r="G629" t="n">
        <v>2.7</v>
      </c>
      <c r="H629" t="n">
        <v>0</v>
      </c>
      <c r="I629" t="n">
        <v>0</v>
      </c>
      <c r="J629" t="n">
        <v>0</v>
      </c>
      <c r="K629" t="n">
        <v>0</v>
      </c>
      <c r="L629" t="n">
        <v>0</v>
      </c>
      <c r="M629" t="n">
        <v>0</v>
      </c>
      <c r="N629" t="n">
        <v>0</v>
      </c>
      <c r="O629" t="n">
        <v>0</v>
      </c>
      <c r="P629" t="n">
        <v>0</v>
      </c>
      <c r="Q629" t="n">
        <v>0</v>
      </c>
      <c r="R629" s="2" t="inlineStr"/>
    </row>
    <row r="630" ht="15" customHeight="1">
      <c r="A630" t="inlineStr">
        <is>
          <t>A 1588-2025</t>
        </is>
      </c>
      <c r="B630" s="1" t="n">
        <v>45670</v>
      </c>
      <c r="C630" s="1" t="n">
        <v>45992</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47840-2025</t>
        </is>
      </c>
      <c r="B631" s="1" t="n">
        <v>45932.37375</v>
      </c>
      <c r="C631" s="1" t="n">
        <v>45992</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47999-2025</t>
        </is>
      </c>
      <c r="B632" s="1" t="n">
        <v>45932.62907407407</v>
      </c>
      <c r="C632" s="1" t="n">
        <v>45992</v>
      </c>
      <c r="D632" t="inlineStr">
        <is>
          <t>UPPSALA LÄN</t>
        </is>
      </c>
      <c r="E632" t="inlineStr">
        <is>
          <t>UPPSALA</t>
        </is>
      </c>
      <c r="F632" t="inlineStr">
        <is>
          <t>Allmännings- och besparingsskogar</t>
        </is>
      </c>
      <c r="G632" t="n">
        <v>1</v>
      </c>
      <c r="H632" t="n">
        <v>0</v>
      </c>
      <c r="I632" t="n">
        <v>0</v>
      </c>
      <c r="J632" t="n">
        <v>0</v>
      </c>
      <c r="K632" t="n">
        <v>0</v>
      </c>
      <c r="L632" t="n">
        <v>0</v>
      </c>
      <c r="M632" t="n">
        <v>0</v>
      </c>
      <c r="N632" t="n">
        <v>0</v>
      </c>
      <c r="O632" t="n">
        <v>0</v>
      </c>
      <c r="P632" t="n">
        <v>0</v>
      </c>
      <c r="Q632" t="n">
        <v>0</v>
      </c>
      <c r="R632" s="2" t="inlineStr"/>
    </row>
    <row r="633" ht="15" customHeight="1">
      <c r="A633" t="inlineStr">
        <is>
          <t>A 56493-2025</t>
        </is>
      </c>
      <c r="B633" s="1" t="n">
        <v>45975.424375</v>
      </c>
      <c r="C633" s="1" t="n">
        <v>45992</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56363-2025</t>
        </is>
      </c>
      <c r="B634" s="1" t="n">
        <v>45974.6671412037</v>
      </c>
      <c r="C634" s="1" t="n">
        <v>45992</v>
      </c>
      <c r="D634" t="inlineStr">
        <is>
          <t>UPPSALA LÄN</t>
        </is>
      </c>
      <c r="E634" t="inlineStr">
        <is>
          <t>UPPSALA</t>
        </is>
      </c>
      <c r="G634" t="n">
        <v>3.1</v>
      </c>
      <c r="H634" t="n">
        <v>0</v>
      </c>
      <c r="I634" t="n">
        <v>0</v>
      </c>
      <c r="J634" t="n">
        <v>0</v>
      </c>
      <c r="K634" t="n">
        <v>0</v>
      </c>
      <c r="L634" t="n">
        <v>0</v>
      </c>
      <c r="M634" t="n">
        <v>0</v>
      </c>
      <c r="N634" t="n">
        <v>0</v>
      </c>
      <c r="O634" t="n">
        <v>0</v>
      </c>
      <c r="P634" t="n">
        <v>0</v>
      </c>
      <c r="Q634" t="n">
        <v>0</v>
      </c>
      <c r="R634" s="2" t="inlineStr"/>
    </row>
    <row r="635" ht="15" customHeight="1">
      <c r="A635" t="inlineStr">
        <is>
          <t>A 31157-2023</t>
        </is>
      </c>
      <c r="B635" s="1" t="n">
        <v>45113</v>
      </c>
      <c r="C635" s="1" t="n">
        <v>45992</v>
      </c>
      <c r="D635" t="inlineStr">
        <is>
          <t>UPPSALA LÄN</t>
        </is>
      </c>
      <c r="E635" t="inlineStr">
        <is>
          <t>UPPSALA</t>
        </is>
      </c>
      <c r="G635" t="n">
        <v>1.6</v>
      </c>
      <c r="H635" t="n">
        <v>0</v>
      </c>
      <c r="I635" t="n">
        <v>0</v>
      </c>
      <c r="J635" t="n">
        <v>0</v>
      </c>
      <c r="K635" t="n">
        <v>0</v>
      </c>
      <c r="L635" t="n">
        <v>0</v>
      </c>
      <c r="M635" t="n">
        <v>0</v>
      </c>
      <c r="N635" t="n">
        <v>0</v>
      </c>
      <c r="O635" t="n">
        <v>0</v>
      </c>
      <c r="P635" t="n">
        <v>0</v>
      </c>
      <c r="Q635" t="n">
        <v>0</v>
      </c>
      <c r="R635" s="2" t="inlineStr"/>
    </row>
    <row r="636" ht="15" customHeight="1">
      <c r="A636" t="inlineStr">
        <is>
          <t>A 56466-2025</t>
        </is>
      </c>
      <c r="B636" s="1" t="n">
        <v>45975.37621527778</v>
      </c>
      <c r="C636" s="1" t="n">
        <v>45992</v>
      </c>
      <c r="D636" t="inlineStr">
        <is>
          <t>UPPSALA LÄN</t>
        </is>
      </c>
      <c r="E636" t="inlineStr">
        <is>
          <t>UPPSALA</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47961-2025</t>
        </is>
      </c>
      <c r="B637" s="1" t="n">
        <v>45932.59373842592</v>
      </c>
      <c r="C637" s="1" t="n">
        <v>45992</v>
      </c>
      <c r="D637" t="inlineStr">
        <is>
          <t>UPPSALA LÄN</t>
        </is>
      </c>
      <c r="E637" t="inlineStr">
        <is>
          <t>UPPSALA</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47978-2025</t>
        </is>
      </c>
      <c r="B638" s="1" t="n">
        <v>45932.61177083333</v>
      </c>
      <c r="C638" s="1" t="n">
        <v>45992</v>
      </c>
      <c r="D638" t="inlineStr">
        <is>
          <t>UPPSALA LÄN</t>
        </is>
      </c>
      <c r="E638" t="inlineStr">
        <is>
          <t>UPPSALA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33332-2022</t>
        </is>
      </c>
      <c r="B639" s="1" t="n">
        <v>44788</v>
      </c>
      <c r="C639" s="1" t="n">
        <v>45992</v>
      </c>
      <c r="D639" t="inlineStr">
        <is>
          <t>UPPSALA LÄN</t>
        </is>
      </c>
      <c r="E639" t="inlineStr">
        <is>
          <t>UPPSALA</t>
        </is>
      </c>
      <c r="G639" t="n">
        <v>1</v>
      </c>
      <c r="H639" t="n">
        <v>0</v>
      </c>
      <c r="I639" t="n">
        <v>0</v>
      </c>
      <c r="J639" t="n">
        <v>0</v>
      </c>
      <c r="K639" t="n">
        <v>0</v>
      </c>
      <c r="L639" t="n">
        <v>0</v>
      </c>
      <c r="M639" t="n">
        <v>0</v>
      </c>
      <c r="N639" t="n">
        <v>0</v>
      </c>
      <c r="O639" t="n">
        <v>0</v>
      </c>
      <c r="P639" t="n">
        <v>0</v>
      </c>
      <c r="Q639" t="n">
        <v>0</v>
      </c>
      <c r="R639" s="2" t="inlineStr"/>
    </row>
    <row r="640" ht="15" customHeight="1">
      <c r="A640" t="inlineStr">
        <is>
          <t>A 27912-2023</t>
        </is>
      </c>
      <c r="B640" s="1" t="n">
        <v>45098.63572916666</v>
      </c>
      <c r="C640" s="1" t="n">
        <v>45992</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1592-2025</t>
        </is>
      </c>
      <c r="B641" s="1" t="n">
        <v>45670</v>
      </c>
      <c r="C641" s="1" t="n">
        <v>45992</v>
      </c>
      <c r="D641" t="inlineStr">
        <is>
          <t>UPPSALA LÄN</t>
        </is>
      </c>
      <c r="E641" t="inlineStr">
        <is>
          <t>UPPSALA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9611-2024</t>
        </is>
      </c>
      <c r="B642" s="1" t="n">
        <v>45361.57299768519</v>
      </c>
      <c r="C642" s="1" t="n">
        <v>45992</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24091-2024</t>
        </is>
      </c>
      <c r="B643" s="1" t="n">
        <v>45456.58491898148</v>
      </c>
      <c r="C643" s="1" t="n">
        <v>45992</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56620-2025</t>
        </is>
      </c>
      <c r="B644" s="1" t="n">
        <v>45975.59520833333</v>
      </c>
      <c r="C644" s="1" t="n">
        <v>45992</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56577-2025</t>
        </is>
      </c>
      <c r="B645" s="1" t="n">
        <v>45975.5341550926</v>
      </c>
      <c r="C645" s="1" t="n">
        <v>45992</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56656-2025</t>
        </is>
      </c>
      <c r="B646" s="1" t="n">
        <v>45975.65054398148</v>
      </c>
      <c r="C646" s="1" t="n">
        <v>45992</v>
      </c>
      <c r="D646" t="inlineStr">
        <is>
          <t>UPPSALA LÄN</t>
        </is>
      </c>
      <c r="E646" t="inlineStr">
        <is>
          <t>UPPSALA</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60781-2023</t>
        </is>
      </c>
      <c r="B647" s="1" t="n">
        <v>45259</v>
      </c>
      <c r="C647" s="1" t="n">
        <v>45992</v>
      </c>
      <c r="D647" t="inlineStr">
        <is>
          <t>UPPSALA LÄN</t>
        </is>
      </c>
      <c r="E647" t="inlineStr">
        <is>
          <t>UPPSALA</t>
        </is>
      </c>
      <c r="G647" t="n">
        <v>4.1</v>
      </c>
      <c r="H647" t="n">
        <v>0</v>
      </c>
      <c r="I647" t="n">
        <v>0</v>
      </c>
      <c r="J647" t="n">
        <v>0</v>
      </c>
      <c r="K647" t="n">
        <v>0</v>
      </c>
      <c r="L647" t="n">
        <v>0</v>
      </c>
      <c r="M647" t="n">
        <v>0</v>
      </c>
      <c r="N647" t="n">
        <v>0</v>
      </c>
      <c r="O647" t="n">
        <v>0</v>
      </c>
      <c r="P647" t="n">
        <v>0</v>
      </c>
      <c r="Q647" t="n">
        <v>0</v>
      </c>
      <c r="R647" s="2" t="inlineStr"/>
    </row>
    <row r="648" ht="15" customHeight="1">
      <c r="A648" t="inlineStr">
        <is>
          <t>A 24787-2024</t>
        </is>
      </c>
      <c r="B648" s="1" t="n">
        <v>45460</v>
      </c>
      <c r="C648" s="1" t="n">
        <v>45992</v>
      </c>
      <c r="D648" t="inlineStr">
        <is>
          <t>UPPSALA LÄN</t>
        </is>
      </c>
      <c r="E648" t="inlineStr">
        <is>
          <t>UPPSALA</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54393-2025</t>
        </is>
      </c>
      <c r="B649" s="1" t="n">
        <v>45965</v>
      </c>
      <c r="C649" s="1" t="n">
        <v>45992</v>
      </c>
      <c r="D649" t="inlineStr">
        <is>
          <t>UPPSALA LÄN</t>
        </is>
      </c>
      <c r="E649" t="inlineStr">
        <is>
          <t>UPPSALA</t>
        </is>
      </c>
      <c r="F649" t="inlineStr">
        <is>
          <t>Kyrkan</t>
        </is>
      </c>
      <c r="G649" t="n">
        <v>1</v>
      </c>
      <c r="H649" t="n">
        <v>0</v>
      </c>
      <c r="I649" t="n">
        <v>0</v>
      </c>
      <c r="J649" t="n">
        <v>0</v>
      </c>
      <c r="K649" t="n">
        <v>0</v>
      </c>
      <c r="L649" t="n">
        <v>0</v>
      </c>
      <c r="M649" t="n">
        <v>0</v>
      </c>
      <c r="N649" t="n">
        <v>0</v>
      </c>
      <c r="O649" t="n">
        <v>0</v>
      </c>
      <c r="P649" t="n">
        <v>0</v>
      </c>
      <c r="Q649" t="n">
        <v>0</v>
      </c>
      <c r="R649" s="2" t="inlineStr"/>
    </row>
    <row r="650" ht="15" customHeight="1">
      <c r="A650" t="inlineStr">
        <is>
          <t>A 60167-2024</t>
        </is>
      </c>
      <c r="B650" s="1" t="n">
        <v>45642.63524305556</v>
      </c>
      <c r="C650" s="1" t="n">
        <v>45992</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18717-2025</t>
        </is>
      </c>
      <c r="B651" s="1" t="n">
        <v>45763.6503125</v>
      </c>
      <c r="C651" s="1" t="n">
        <v>45992</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48757-2025</t>
        </is>
      </c>
      <c r="B652" s="1" t="n">
        <v>45936.73660879629</v>
      </c>
      <c r="C652" s="1" t="n">
        <v>45992</v>
      </c>
      <c r="D652" t="inlineStr">
        <is>
          <t>UPPSALA LÄN</t>
        </is>
      </c>
      <c r="E652" t="inlineStr">
        <is>
          <t>UPPSALA</t>
        </is>
      </c>
      <c r="G652" t="n">
        <v>4.2</v>
      </c>
      <c r="H652" t="n">
        <v>0</v>
      </c>
      <c r="I652" t="n">
        <v>0</v>
      </c>
      <c r="J652" t="n">
        <v>0</v>
      </c>
      <c r="K652" t="n">
        <v>0</v>
      </c>
      <c r="L652" t="n">
        <v>0</v>
      </c>
      <c r="M652" t="n">
        <v>0</v>
      </c>
      <c r="N652" t="n">
        <v>0</v>
      </c>
      <c r="O652" t="n">
        <v>0</v>
      </c>
      <c r="P652" t="n">
        <v>0</v>
      </c>
      <c r="Q652" t="n">
        <v>0</v>
      </c>
      <c r="R652" s="2" t="inlineStr"/>
    </row>
    <row r="653" ht="15" customHeight="1">
      <c r="A653" t="inlineStr">
        <is>
          <t>A 38865-2022</t>
        </is>
      </c>
      <c r="B653" s="1" t="n">
        <v>44816</v>
      </c>
      <c r="C653" s="1" t="n">
        <v>45992</v>
      </c>
      <c r="D653" t="inlineStr">
        <is>
          <t>UPPSALA LÄN</t>
        </is>
      </c>
      <c r="E653" t="inlineStr">
        <is>
          <t>UPPSALA</t>
        </is>
      </c>
      <c r="G653" t="n">
        <v>14.6</v>
      </c>
      <c r="H653" t="n">
        <v>0</v>
      </c>
      <c r="I653" t="n">
        <v>0</v>
      </c>
      <c r="J653" t="n">
        <v>0</v>
      </c>
      <c r="K653" t="n">
        <v>0</v>
      </c>
      <c r="L653" t="n">
        <v>0</v>
      </c>
      <c r="M653" t="n">
        <v>0</v>
      </c>
      <c r="N653" t="n">
        <v>0</v>
      </c>
      <c r="O653" t="n">
        <v>0</v>
      </c>
      <c r="P653" t="n">
        <v>0</v>
      </c>
      <c r="Q653" t="n">
        <v>0</v>
      </c>
      <c r="R653" s="2" t="inlineStr"/>
    </row>
    <row r="654" ht="15" customHeight="1">
      <c r="A654" t="inlineStr">
        <is>
          <t>A 1994-2024</t>
        </is>
      </c>
      <c r="B654" s="1" t="n">
        <v>45308.63298611111</v>
      </c>
      <c r="C654" s="1" t="n">
        <v>45992</v>
      </c>
      <c r="D654" t="inlineStr">
        <is>
          <t>UPPSALA LÄN</t>
        </is>
      </c>
      <c r="E654" t="inlineStr">
        <is>
          <t>UPPSALA</t>
        </is>
      </c>
      <c r="G654" t="n">
        <v>1.6</v>
      </c>
      <c r="H654" t="n">
        <v>0</v>
      </c>
      <c r="I654" t="n">
        <v>0</v>
      </c>
      <c r="J654" t="n">
        <v>0</v>
      </c>
      <c r="K654" t="n">
        <v>0</v>
      </c>
      <c r="L654" t="n">
        <v>0</v>
      </c>
      <c r="M654" t="n">
        <v>0</v>
      </c>
      <c r="N654" t="n">
        <v>0</v>
      </c>
      <c r="O654" t="n">
        <v>0</v>
      </c>
      <c r="P654" t="n">
        <v>0</v>
      </c>
      <c r="Q654" t="n">
        <v>0</v>
      </c>
      <c r="R654" s="2" t="inlineStr"/>
    </row>
    <row r="655" ht="15" customHeight="1">
      <c r="A655" t="inlineStr">
        <is>
          <t>A 29927-2023</t>
        </is>
      </c>
      <c r="B655" s="1" t="n">
        <v>45107</v>
      </c>
      <c r="C655" s="1" t="n">
        <v>45992</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70228-2021</t>
        </is>
      </c>
      <c r="B656" s="1" t="n">
        <v>44535</v>
      </c>
      <c r="C656" s="1" t="n">
        <v>45992</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11224-2022</t>
        </is>
      </c>
      <c r="B657" s="1" t="n">
        <v>44629.57741898148</v>
      </c>
      <c r="C657" s="1" t="n">
        <v>45992</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7899-2022</t>
        </is>
      </c>
      <c r="B658" s="1" t="n">
        <v>44608</v>
      </c>
      <c r="C658" s="1" t="n">
        <v>45992</v>
      </c>
      <c r="D658" t="inlineStr">
        <is>
          <t>UPPSALA LÄN</t>
        </is>
      </c>
      <c r="E658" t="inlineStr">
        <is>
          <t>UPPSALA</t>
        </is>
      </c>
      <c r="F658" t="inlineStr">
        <is>
          <t>Övriga Aktiebolag</t>
        </is>
      </c>
      <c r="G658" t="n">
        <v>7.1</v>
      </c>
      <c r="H658" t="n">
        <v>0</v>
      </c>
      <c r="I658" t="n">
        <v>0</v>
      </c>
      <c r="J658" t="n">
        <v>0</v>
      </c>
      <c r="K658" t="n">
        <v>0</v>
      </c>
      <c r="L658" t="n">
        <v>0</v>
      </c>
      <c r="M658" t="n">
        <v>0</v>
      </c>
      <c r="N658" t="n">
        <v>0</v>
      </c>
      <c r="O658" t="n">
        <v>0</v>
      </c>
      <c r="P658" t="n">
        <v>0</v>
      </c>
      <c r="Q658" t="n">
        <v>0</v>
      </c>
      <c r="R658" s="2" t="inlineStr"/>
    </row>
    <row r="659" ht="15" customHeight="1">
      <c r="A659" t="inlineStr">
        <is>
          <t>A 48418-2025</t>
        </is>
      </c>
      <c r="B659" s="1" t="n">
        <v>45934.55967592593</v>
      </c>
      <c r="C659" s="1" t="n">
        <v>45992</v>
      </c>
      <c r="D659" t="inlineStr">
        <is>
          <t>UPPSALA LÄN</t>
        </is>
      </c>
      <c r="E659" t="inlineStr">
        <is>
          <t>UPPSALA</t>
        </is>
      </c>
      <c r="F659" t="inlineStr">
        <is>
          <t>Bergvik skog öst AB</t>
        </is>
      </c>
      <c r="G659" t="n">
        <v>5.2</v>
      </c>
      <c r="H659" t="n">
        <v>0</v>
      </c>
      <c r="I659" t="n">
        <v>0</v>
      </c>
      <c r="J659" t="n">
        <v>0</v>
      </c>
      <c r="K659" t="n">
        <v>0</v>
      </c>
      <c r="L659" t="n">
        <v>0</v>
      </c>
      <c r="M659" t="n">
        <v>0</v>
      </c>
      <c r="N659" t="n">
        <v>0</v>
      </c>
      <c r="O659" t="n">
        <v>0</v>
      </c>
      <c r="P659" t="n">
        <v>0</v>
      </c>
      <c r="Q659" t="n">
        <v>0</v>
      </c>
      <c r="R659" s="2" t="inlineStr"/>
    </row>
    <row r="660" ht="15" customHeight="1">
      <c r="A660" t="inlineStr">
        <is>
          <t>A 1573-2021</t>
        </is>
      </c>
      <c r="B660" s="1" t="n">
        <v>44209</v>
      </c>
      <c r="C660" s="1" t="n">
        <v>45992</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8164-2025</t>
        </is>
      </c>
      <c r="B661" s="1" t="n">
        <v>45707</v>
      </c>
      <c r="C661" s="1" t="n">
        <v>45992</v>
      </c>
      <c r="D661" t="inlineStr">
        <is>
          <t>UPPSALA LÄN</t>
        </is>
      </c>
      <c r="E661" t="inlineStr">
        <is>
          <t>UPPSALA</t>
        </is>
      </c>
      <c r="F661" t="inlineStr">
        <is>
          <t>Övriga Aktiebolag</t>
        </is>
      </c>
      <c r="G661" t="n">
        <v>12.2</v>
      </c>
      <c r="H661" t="n">
        <v>0</v>
      </c>
      <c r="I661" t="n">
        <v>0</v>
      </c>
      <c r="J661" t="n">
        <v>0</v>
      </c>
      <c r="K661" t="n">
        <v>0</v>
      </c>
      <c r="L661" t="n">
        <v>0</v>
      </c>
      <c r="M661" t="n">
        <v>0</v>
      </c>
      <c r="N661" t="n">
        <v>0</v>
      </c>
      <c r="O661" t="n">
        <v>0</v>
      </c>
      <c r="P661" t="n">
        <v>0</v>
      </c>
      <c r="Q661" t="n">
        <v>0</v>
      </c>
      <c r="R661" s="2" t="inlineStr"/>
    </row>
    <row r="662" ht="15" customHeight="1">
      <c r="A662" t="inlineStr">
        <is>
          <t>A 60729-2024</t>
        </is>
      </c>
      <c r="B662" s="1" t="n">
        <v>45644</v>
      </c>
      <c r="C662" s="1" t="n">
        <v>45992</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60925-2021</t>
        </is>
      </c>
      <c r="B663" s="1" t="n">
        <v>44497.4666087963</v>
      </c>
      <c r="C663" s="1" t="n">
        <v>45992</v>
      </c>
      <c r="D663" t="inlineStr">
        <is>
          <t>UPPSALA LÄN</t>
        </is>
      </c>
      <c r="E663" t="inlineStr">
        <is>
          <t>UPPSALA</t>
        </is>
      </c>
      <c r="G663" t="n">
        <v>3.7</v>
      </c>
      <c r="H663" t="n">
        <v>0</v>
      </c>
      <c r="I663" t="n">
        <v>0</v>
      </c>
      <c r="J663" t="n">
        <v>0</v>
      </c>
      <c r="K663" t="n">
        <v>0</v>
      </c>
      <c r="L663" t="n">
        <v>0</v>
      </c>
      <c r="M663" t="n">
        <v>0</v>
      </c>
      <c r="N663" t="n">
        <v>0</v>
      </c>
      <c r="O663" t="n">
        <v>0</v>
      </c>
      <c r="P663" t="n">
        <v>0</v>
      </c>
      <c r="Q663" t="n">
        <v>0</v>
      </c>
      <c r="R663" s="2" t="inlineStr"/>
    </row>
    <row r="664" ht="15" customHeight="1">
      <c r="A664" t="inlineStr">
        <is>
          <t>A 3086-2023</t>
        </is>
      </c>
      <c r="B664" s="1" t="n">
        <v>44946.43564814814</v>
      </c>
      <c r="C664" s="1" t="n">
        <v>45992</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6422-2023</t>
        </is>
      </c>
      <c r="B665" s="1" t="n">
        <v>44965</v>
      </c>
      <c r="C665" s="1" t="n">
        <v>45992</v>
      </c>
      <c r="D665" t="inlineStr">
        <is>
          <t>UPPSALA LÄN</t>
        </is>
      </c>
      <c r="E665" t="inlineStr">
        <is>
          <t>UPPSALA</t>
        </is>
      </c>
      <c r="G665" t="n">
        <v>3.1</v>
      </c>
      <c r="H665" t="n">
        <v>0</v>
      </c>
      <c r="I665" t="n">
        <v>0</v>
      </c>
      <c r="J665" t="n">
        <v>0</v>
      </c>
      <c r="K665" t="n">
        <v>0</v>
      </c>
      <c r="L665" t="n">
        <v>0</v>
      </c>
      <c r="M665" t="n">
        <v>0</v>
      </c>
      <c r="N665" t="n">
        <v>0</v>
      </c>
      <c r="O665" t="n">
        <v>0</v>
      </c>
      <c r="P665" t="n">
        <v>0</v>
      </c>
      <c r="Q665" t="n">
        <v>0</v>
      </c>
      <c r="R665" s="2" t="inlineStr"/>
    </row>
    <row r="666" ht="15" customHeight="1">
      <c r="A666" t="inlineStr">
        <is>
          <t>A 6423-2023</t>
        </is>
      </c>
      <c r="B666" s="1" t="n">
        <v>44965</v>
      </c>
      <c r="C666" s="1" t="n">
        <v>45992</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17448-2022</t>
        </is>
      </c>
      <c r="B667" s="1" t="n">
        <v>44679</v>
      </c>
      <c r="C667" s="1" t="n">
        <v>45992</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49160-2025</t>
        </is>
      </c>
      <c r="B668" s="1" t="n">
        <v>45938.35063657408</v>
      </c>
      <c r="C668" s="1" t="n">
        <v>45992</v>
      </c>
      <c r="D668" t="inlineStr">
        <is>
          <t>UPPSALA LÄN</t>
        </is>
      </c>
      <c r="E668" t="inlineStr">
        <is>
          <t>UPPSALA</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5974-2024</t>
        </is>
      </c>
      <c r="B669" s="1" t="n">
        <v>45336.53908564815</v>
      </c>
      <c r="C669" s="1" t="n">
        <v>45992</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5975-2024</t>
        </is>
      </c>
      <c r="B670" s="1" t="n">
        <v>45336.54270833333</v>
      </c>
      <c r="C670" s="1" t="n">
        <v>45992</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49094-2025</t>
        </is>
      </c>
      <c r="B671" s="1" t="n">
        <v>45937.68865740741</v>
      </c>
      <c r="C671" s="1" t="n">
        <v>45992</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57789-2025</t>
        </is>
      </c>
      <c r="B672" s="1" t="n">
        <v>45981.57793981482</v>
      </c>
      <c r="C672" s="1" t="n">
        <v>45992</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57796-2025</t>
        </is>
      </c>
      <c r="B673" s="1" t="n">
        <v>45981.58204861111</v>
      </c>
      <c r="C673" s="1" t="n">
        <v>45992</v>
      </c>
      <c r="D673" t="inlineStr">
        <is>
          <t>UPPSALA LÄN</t>
        </is>
      </c>
      <c r="E673" t="inlineStr">
        <is>
          <t>UPPSALA</t>
        </is>
      </c>
      <c r="G673" t="n">
        <v>2.6</v>
      </c>
      <c r="H673" t="n">
        <v>0</v>
      </c>
      <c r="I673" t="n">
        <v>0</v>
      </c>
      <c r="J673" t="n">
        <v>0</v>
      </c>
      <c r="K673" t="n">
        <v>0</v>
      </c>
      <c r="L673" t="n">
        <v>0</v>
      </c>
      <c r="M673" t="n">
        <v>0</v>
      </c>
      <c r="N673" t="n">
        <v>0</v>
      </c>
      <c r="O673" t="n">
        <v>0</v>
      </c>
      <c r="P673" t="n">
        <v>0</v>
      </c>
      <c r="Q673" t="n">
        <v>0</v>
      </c>
      <c r="R673" s="2" t="inlineStr"/>
    </row>
    <row r="674" ht="15" customHeight="1">
      <c r="A674" t="inlineStr">
        <is>
          <t>A 57836-2025</t>
        </is>
      </c>
      <c r="B674" s="1" t="n">
        <v>45981.61822916667</v>
      </c>
      <c r="C674" s="1" t="n">
        <v>45992</v>
      </c>
      <c r="D674" t="inlineStr">
        <is>
          <t>UPPSALA LÄN</t>
        </is>
      </c>
      <c r="E674" t="inlineStr">
        <is>
          <t>UPPSALA</t>
        </is>
      </c>
      <c r="F674" t="inlineStr">
        <is>
          <t>Kyrkan</t>
        </is>
      </c>
      <c r="G674" t="n">
        <v>0.8</v>
      </c>
      <c r="H674" t="n">
        <v>0</v>
      </c>
      <c r="I674" t="n">
        <v>0</v>
      </c>
      <c r="J674" t="n">
        <v>0</v>
      </c>
      <c r="K674" t="n">
        <v>0</v>
      </c>
      <c r="L674" t="n">
        <v>0</v>
      </c>
      <c r="M674" t="n">
        <v>0</v>
      </c>
      <c r="N674" t="n">
        <v>0</v>
      </c>
      <c r="O674" t="n">
        <v>0</v>
      </c>
      <c r="P674" t="n">
        <v>0</v>
      </c>
      <c r="Q674" t="n">
        <v>0</v>
      </c>
      <c r="R674" s="2" t="inlineStr"/>
    </row>
    <row r="675" ht="15" customHeight="1">
      <c r="A675" t="inlineStr">
        <is>
          <t>A 4875-2021</t>
        </is>
      </c>
      <c r="B675" s="1" t="n">
        <v>44223</v>
      </c>
      <c r="C675" s="1" t="n">
        <v>45992</v>
      </c>
      <c r="D675" t="inlineStr">
        <is>
          <t>UPPSALA LÄN</t>
        </is>
      </c>
      <c r="E675" t="inlineStr">
        <is>
          <t>UPPSALA</t>
        </is>
      </c>
      <c r="G675" t="n">
        <v>0.4</v>
      </c>
      <c r="H675" t="n">
        <v>0</v>
      </c>
      <c r="I675" t="n">
        <v>0</v>
      </c>
      <c r="J675" t="n">
        <v>0</v>
      </c>
      <c r="K675" t="n">
        <v>0</v>
      </c>
      <c r="L675" t="n">
        <v>0</v>
      </c>
      <c r="M675" t="n">
        <v>0</v>
      </c>
      <c r="N675" t="n">
        <v>0</v>
      </c>
      <c r="O675" t="n">
        <v>0</v>
      </c>
      <c r="P675" t="n">
        <v>0</v>
      </c>
      <c r="Q675" t="n">
        <v>0</v>
      </c>
      <c r="R675" s="2" t="inlineStr"/>
    </row>
    <row r="676" ht="15" customHeight="1">
      <c r="A676" t="inlineStr">
        <is>
          <t>A 49164-2025</t>
        </is>
      </c>
      <c r="B676" s="1" t="n">
        <v>45938.3615625</v>
      </c>
      <c r="C676" s="1" t="n">
        <v>45992</v>
      </c>
      <c r="D676" t="inlineStr">
        <is>
          <t>UPPSALA LÄN</t>
        </is>
      </c>
      <c r="E676" t="inlineStr">
        <is>
          <t>UPPSALA</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57827-2025</t>
        </is>
      </c>
      <c r="B677" s="1" t="n">
        <v>45981.60923611111</v>
      </c>
      <c r="C677" s="1" t="n">
        <v>45992</v>
      </c>
      <c r="D677" t="inlineStr">
        <is>
          <t>UPPSALA LÄN</t>
        </is>
      </c>
      <c r="E677" t="inlineStr">
        <is>
          <t>UPPSALA</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60954-2024</t>
        </is>
      </c>
      <c r="B678" s="1" t="n">
        <v>45645</v>
      </c>
      <c r="C678" s="1" t="n">
        <v>45992</v>
      </c>
      <c r="D678" t="inlineStr">
        <is>
          <t>UPPSALA LÄN</t>
        </is>
      </c>
      <c r="E678" t="inlineStr">
        <is>
          <t>UPPSALA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44614.69730324074</v>
      </c>
      <c r="C679" s="1" t="n">
        <v>45992</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49463-2025</t>
        </is>
      </c>
      <c r="B680" s="1" t="n">
        <v>45939.32621527778</v>
      </c>
      <c r="C680" s="1" t="n">
        <v>45992</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60714-2023</t>
        </is>
      </c>
      <c r="B681" s="1" t="n">
        <v>45259</v>
      </c>
      <c r="C681" s="1" t="n">
        <v>45992</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49080-2025</t>
        </is>
      </c>
      <c r="B682" s="1" t="n">
        <v>45937</v>
      </c>
      <c r="C682" s="1" t="n">
        <v>45992</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49098-2025</t>
        </is>
      </c>
      <c r="B683" s="1" t="n">
        <v>45937</v>
      </c>
      <c r="C683" s="1" t="n">
        <v>45992</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48153-2024</t>
        </is>
      </c>
      <c r="B684" s="1" t="n">
        <v>45589</v>
      </c>
      <c r="C684" s="1" t="n">
        <v>45992</v>
      </c>
      <c r="D684" t="inlineStr">
        <is>
          <t>UPPSALA LÄN</t>
        </is>
      </c>
      <c r="E684" t="inlineStr">
        <is>
          <t>UPPSALA</t>
        </is>
      </c>
      <c r="G684" t="n">
        <v>3.4</v>
      </c>
      <c r="H684" t="n">
        <v>0</v>
      </c>
      <c r="I684" t="n">
        <v>0</v>
      </c>
      <c r="J684" t="n">
        <v>0</v>
      </c>
      <c r="K684" t="n">
        <v>0</v>
      </c>
      <c r="L684" t="n">
        <v>0</v>
      </c>
      <c r="M684" t="n">
        <v>0</v>
      </c>
      <c r="N684" t="n">
        <v>0</v>
      </c>
      <c r="O684" t="n">
        <v>0</v>
      </c>
      <c r="P684" t="n">
        <v>0</v>
      </c>
      <c r="Q684" t="n">
        <v>0</v>
      </c>
      <c r="R684" s="2" t="inlineStr"/>
    </row>
    <row r="685" ht="15" customHeight="1">
      <c r="A685" t="inlineStr">
        <is>
          <t>A 48154-2024</t>
        </is>
      </c>
      <c r="B685" s="1" t="n">
        <v>45589</v>
      </c>
      <c r="C685" s="1" t="n">
        <v>45992</v>
      </c>
      <c r="D685" t="inlineStr">
        <is>
          <t>UPPSALA LÄN</t>
        </is>
      </c>
      <c r="E685" t="inlineStr">
        <is>
          <t>UPPSALA</t>
        </is>
      </c>
      <c r="G685" t="n">
        <v>5.1</v>
      </c>
      <c r="H685" t="n">
        <v>0</v>
      </c>
      <c r="I685" t="n">
        <v>0</v>
      </c>
      <c r="J685" t="n">
        <v>0</v>
      </c>
      <c r="K685" t="n">
        <v>0</v>
      </c>
      <c r="L685" t="n">
        <v>0</v>
      </c>
      <c r="M685" t="n">
        <v>0</v>
      </c>
      <c r="N685" t="n">
        <v>0</v>
      </c>
      <c r="O685" t="n">
        <v>0</v>
      </c>
      <c r="P685" t="n">
        <v>0</v>
      </c>
      <c r="Q685" t="n">
        <v>0</v>
      </c>
      <c r="R685" s="2" t="inlineStr"/>
    </row>
    <row r="686" ht="15" customHeight="1">
      <c r="A686" t="inlineStr">
        <is>
          <t>A 57410-2025</t>
        </is>
      </c>
      <c r="B686" s="1" t="n">
        <v>45980.4484837963</v>
      </c>
      <c r="C686" s="1" t="n">
        <v>45992</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6060-2025</t>
        </is>
      </c>
      <c r="B687" s="1" t="n">
        <v>45695.84078703704</v>
      </c>
      <c r="C687" s="1" t="n">
        <v>45992</v>
      </c>
      <c r="D687" t="inlineStr">
        <is>
          <t>UPPSALA LÄN</t>
        </is>
      </c>
      <c r="E687" t="inlineStr">
        <is>
          <t>UPPSALA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49938-2025</t>
        </is>
      </c>
      <c r="B688" s="1" t="n">
        <v>45940</v>
      </c>
      <c r="C688" s="1" t="n">
        <v>45992</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6006-2025</t>
        </is>
      </c>
      <c r="B689" s="1" t="n">
        <v>45695.59197916667</v>
      </c>
      <c r="C689" s="1" t="n">
        <v>45992</v>
      </c>
      <c r="D689" t="inlineStr">
        <is>
          <t>UPPSALA LÄN</t>
        </is>
      </c>
      <c r="E689" t="inlineStr">
        <is>
          <t>UPPSALA</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28825-2024</t>
        </is>
      </c>
      <c r="B690" s="1" t="n">
        <v>45478</v>
      </c>
      <c r="C690" s="1" t="n">
        <v>45992</v>
      </c>
      <c r="D690" t="inlineStr">
        <is>
          <t>UPPSALA LÄN</t>
        </is>
      </c>
      <c r="E690" t="inlineStr">
        <is>
          <t>UPPSALA</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45592-2023</t>
        </is>
      </c>
      <c r="B691" s="1" t="n">
        <v>45194.63479166666</v>
      </c>
      <c r="C691" s="1" t="n">
        <v>45992</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58193-2025</t>
        </is>
      </c>
      <c r="B692" s="1" t="n">
        <v>45983.85069444445</v>
      </c>
      <c r="C692" s="1" t="n">
        <v>45992</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45575-2023</t>
        </is>
      </c>
      <c r="B693" s="1" t="n">
        <v>45194.60876157408</v>
      </c>
      <c r="C693" s="1" t="n">
        <v>45992</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50037-2024</t>
        </is>
      </c>
      <c r="B694" s="1" t="n">
        <v>45599</v>
      </c>
      <c r="C694" s="1" t="n">
        <v>45992</v>
      </c>
      <c r="D694" t="inlineStr">
        <is>
          <t>UPPSALA LÄN</t>
        </is>
      </c>
      <c r="E694" t="inlineStr">
        <is>
          <t>UPPSALA</t>
        </is>
      </c>
      <c r="G694" t="n">
        <v>13.7</v>
      </c>
      <c r="H694" t="n">
        <v>0</v>
      </c>
      <c r="I694" t="n">
        <v>0</v>
      </c>
      <c r="J694" t="n">
        <v>0</v>
      </c>
      <c r="K694" t="n">
        <v>0</v>
      </c>
      <c r="L694" t="n">
        <v>0</v>
      </c>
      <c r="M694" t="n">
        <v>0</v>
      </c>
      <c r="N694" t="n">
        <v>0</v>
      </c>
      <c r="O694" t="n">
        <v>0</v>
      </c>
      <c r="P694" t="n">
        <v>0</v>
      </c>
      <c r="Q694" t="n">
        <v>0</v>
      </c>
      <c r="R694" s="2" t="inlineStr"/>
    </row>
    <row r="695" ht="15" customHeight="1">
      <c r="A695" t="inlineStr">
        <is>
          <t>A 49986-2025</t>
        </is>
      </c>
      <c r="B695" s="1" t="n">
        <v>45942.79476851852</v>
      </c>
      <c r="C695" s="1" t="n">
        <v>45992</v>
      </c>
      <c r="D695" t="inlineStr">
        <is>
          <t>UPPSALA LÄN</t>
        </is>
      </c>
      <c r="E695" t="inlineStr">
        <is>
          <t>UPPSALA</t>
        </is>
      </c>
      <c r="F695" t="inlineStr">
        <is>
          <t>Bergvik skog öst AB</t>
        </is>
      </c>
      <c r="G695" t="n">
        <v>4.5</v>
      </c>
      <c r="H695" t="n">
        <v>0</v>
      </c>
      <c r="I695" t="n">
        <v>0</v>
      </c>
      <c r="J695" t="n">
        <v>0</v>
      </c>
      <c r="K695" t="n">
        <v>0</v>
      </c>
      <c r="L695" t="n">
        <v>0</v>
      </c>
      <c r="M695" t="n">
        <v>0</v>
      </c>
      <c r="N695" t="n">
        <v>0</v>
      </c>
      <c r="O695" t="n">
        <v>0</v>
      </c>
      <c r="P695" t="n">
        <v>0</v>
      </c>
      <c r="Q695" t="n">
        <v>0</v>
      </c>
      <c r="R695" s="2" t="inlineStr"/>
    </row>
    <row r="696" ht="15" customHeight="1">
      <c r="A696" t="inlineStr">
        <is>
          <t>A 50104-2025</t>
        </is>
      </c>
      <c r="B696" s="1" t="n">
        <v>45943.5354050926</v>
      </c>
      <c r="C696" s="1" t="n">
        <v>45992</v>
      </c>
      <c r="D696" t="inlineStr">
        <is>
          <t>UPPSALA LÄN</t>
        </is>
      </c>
      <c r="E696" t="inlineStr">
        <is>
          <t>UPPSALA</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57736-2025</t>
        </is>
      </c>
      <c r="B697" s="1" t="n">
        <v>45981</v>
      </c>
      <c r="C697" s="1" t="n">
        <v>45992</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50106-2025</t>
        </is>
      </c>
      <c r="B698" s="1" t="n">
        <v>45943.53659722222</v>
      </c>
      <c r="C698" s="1" t="n">
        <v>45992</v>
      </c>
      <c r="D698" t="inlineStr">
        <is>
          <t>UPPSALA LÄN</t>
        </is>
      </c>
      <c r="E698" t="inlineStr">
        <is>
          <t>UPPSALA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50535-2024</t>
        </is>
      </c>
      <c r="B699" s="1" t="n">
        <v>45600</v>
      </c>
      <c r="C699" s="1" t="n">
        <v>45992</v>
      </c>
      <c r="D699" t="inlineStr">
        <is>
          <t>UPPSALA LÄN</t>
        </is>
      </c>
      <c r="E699" t="inlineStr">
        <is>
          <t>UPPSALA</t>
        </is>
      </c>
      <c r="F699" t="inlineStr">
        <is>
          <t>Övriga statliga verk och myndigheter</t>
        </is>
      </c>
      <c r="G699" t="n">
        <v>3.2</v>
      </c>
      <c r="H699" t="n">
        <v>0</v>
      </c>
      <c r="I699" t="n">
        <v>0</v>
      </c>
      <c r="J699" t="n">
        <v>0</v>
      </c>
      <c r="K699" t="n">
        <v>0</v>
      </c>
      <c r="L699" t="n">
        <v>0</v>
      </c>
      <c r="M699" t="n">
        <v>0</v>
      </c>
      <c r="N699" t="n">
        <v>0</v>
      </c>
      <c r="O699" t="n">
        <v>0</v>
      </c>
      <c r="P699" t="n">
        <v>0</v>
      </c>
      <c r="Q699" t="n">
        <v>0</v>
      </c>
      <c r="R699" s="2" t="inlineStr"/>
    </row>
    <row r="700" ht="15" customHeight="1">
      <c r="A700" t="inlineStr">
        <is>
          <t>A 49989-2025</t>
        </is>
      </c>
      <c r="B700" s="1" t="n">
        <v>45942.8396412037</v>
      </c>
      <c r="C700" s="1" t="n">
        <v>45992</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50103-2025</t>
        </is>
      </c>
      <c r="B701" s="1" t="n">
        <v>45943.53451388889</v>
      </c>
      <c r="C701" s="1" t="n">
        <v>45992</v>
      </c>
      <c r="D701" t="inlineStr">
        <is>
          <t>UPPSALA LÄN</t>
        </is>
      </c>
      <c r="E701" t="inlineStr">
        <is>
          <t>UPPSALA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50102-2025</t>
        </is>
      </c>
      <c r="B702" s="1" t="n">
        <v>45943.53341435185</v>
      </c>
      <c r="C702" s="1" t="n">
        <v>45992</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45992</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49988-2025</t>
        </is>
      </c>
      <c r="B704" s="1" t="n">
        <v>45942.80318287037</v>
      </c>
      <c r="C704" s="1" t="n">
        <v>45992</v>
      </c>
      <c r="D704" t="inlineStr">
        <is>
          <t>UPPSALA LÄN</t>
        </is>
      </c>
      <c r="E704" t="inlineStr">
        <is>
          <t>UPPSALA</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7388-2024</t>
        </is>
      </c>
      <c r="B705" s="1" t="n">
        <v>45345.56</v>
      </c>
      <c r="C705" s="1" t="n">
        <v>45992</v>
      </c>
      <c r="D705" t="inlineStr">
        <is>
          <t>UPPSALA LÄN</t>
        </is>
      </c>
      <c r="E705" t="inlineStr">
        <is>
          <t>UPPSALA</t>
        </is>
      </c>
      <c r="G705" t="n">
        <v>0.5</v>
      </c>
      <c r="H705" t="n">
        <v>0</v>
      </c>
      <c r="I705" t="n">
        <v>0</v>
      </c>
      <c r="J705" t="n">
        <v>0</v>
      </c>
      <c r="K705" t="n">
        <v>0</v>
      </c>
      <c r="L705" t="n">
        <v>0</v>
      </c>
      <c r="M705" t="n">
        <v>0</v>
      </c>
      <c r="N705" t="n">
        <v>0</v>
      </c>
      <c r="O705" t="n">
        <v>0</v>
      </c>
      <c r="P705" t="n">
        <v>0</v>
      </c>
      <c r="Q705" t="n">
        <v>0</v>
      </c>
      <c r="R705" s="2" t="inlineStr"/>
    </row>
    <row r="706" ht="15" customHeight="1">
      <c r="A706" t="inlineStr">
        <is>
          <t>A 14400-2025</t>
        </is>
      </c>
      <c r="B706" s="1" t="n">
        <v>45741.45114583334</v>
      </c>
      <c r="C706" s="1" t="n">
        <v>45992</v>
      </c>
      <c r="D706" t="inlineStr">
        <is>
          <t>UPPSALA LÄN</t>
        </is>
      </c>
      <c r="E706" t="inlineStr">
        <is>
          <t>UPPSALA</t>
        </is>
      </c>
      <c r="G706" t="n">
        <v>6.6</v>
      </c>
      <c r="H706" t="n">
        <v>0</v>
      </c>
      <c r="I706" t="n">
        <v>0</v>
      </c>
      <c r="J706" t="n">
        <v>0</v>
      </c>
      <c r="K706" t="n">
        <v>0</v>
      </c>
      <c r="L706" t="n">
        <v>0</v>
      </c>
      <c r="M706" t="n">
        <v>0</v>
      </c>
      <c r="N706" t="n">
        <v>0</v>
      </c>
      <c r="O706" t="n">
        <v>0</v>
      </c>
      <c r="P706" t="n">
        <v>0</v>
      </c>
      <c r="Q706" t="n">
        <v>0</v>
      </c>
      <c r="R706" s="2" t="inlineStr"/>
    </row>
    <row r="707" ht="15" customHeight="1">
      <c r="A707" t="inlineStr">
        <is>
          <t>A 36781-2023</t>
        </is>
      </c>
      <c r="B707" s="1" t="n">
        <v>45154.34931712963</v>
      </c>
      <c r="C707" s="1" t="n">
        <v>45992</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58104-2025</t>
        </is>
      </c>
      <c r="B708" s="1" t="n">
        <v>45982</v>
      </c>
      <c r="C708" s="1" t="n">
        <v>45992</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57709-2025</t>
        </is>
      </c>
      <c r="B709" s="1" t="n">
        <v>45981</v>
      </c>
      <c r="C709" s="1" t="n">
        <v>45992</v>
      </c>
      <c r="D709" t="inlineStr">
        <is>
          <t>UPPSALA LÄN</t>
        </is>
      </c>
      <c r="E709" t="inlineStr">
        <is>
          <t>UPPSALA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49937-2025</t>
        </is>
      </c>
      <c r="B710" s="1" t="n">
        <v>45940.67084490741</v>
      </c>
      <c r="C710" s="1" t="n">
        <v>45992</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49940-2025</t>
        </is>
      </c>
      <c r="B711" s="1" t="n">
        <v>45940.67305555556</v>
      </c>
      <c r="C711" s="1" t="n">
        <v>45992</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21859-2024</t>
        </is>
      </c>
      <c r="B712" s="1" t="n">
        <v>45443</v>
      </c>
      <c r="C712" s="1" t="n">
        <v>45992</v>
      </c>
      <c r="D712" t="inlineStr">
        <is>
          <t>UPPSALA LÄN</t>
        </is>
      </c>
      <c r="E712" t="inlineStr">
        <is>
          <t>UPPSALA</t>
        </is>
      </c>
      <c r="F712" t="inlineStr">
        <is>
          <t>Kyrkan</t>
        </is>
      </c>
      <c r="G712" t="n">
        <v>1.4</v>
      </c>
      <c r="H712" t="n">
        <v>0</v>
      </c>
      <c r="I712" t="n">
        <v>0</v>
      </c>
      <c r="J712" t="n">
        <v>0</v>
      </c>
      <c r="K712" t="n">
        <v>0</v>
      </c>
      <c r="L712" t="n">
        <v>0</v>
      </c>
      <c r="M712" t="n">
        <v>0</v>
      </c>
      <c r="N712" t="n">
        <v>0</v>
      </c>
      <c r="O712" t="n">
        <v>0</v>
      </c>
      <c r="P712" t="n">
        <v>0</v>
      </c>
      <c r="Q712" t="n">
        <v>0</v>
      </c>
      <c r="R712" s="2" t="inlineStr"/>
    </row>
    <row r="713" ht="15" customHeight="1">
      <c r="A713" t="inlineStr">
        <is>
          <t>A 50232-2025</t>
        </is>
      </c>
      <c r="B713" s="1" t="n">
        <v>45943.70756944444</v>
      </c>
      <c r="C713" s="1" t="n">
        <v>45992</v>
      </c>
      <c r="D713" t="inlineStr">
        <is>
          <t>UPPSALA LÄN</t>
        </is>
      </c>
      <c r="E713" t="inlineStr">
        <is>
          <t>UPPSALA</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6009-2022</t>
        </is>
      </c>
      <c r="B714" s="1" t="n">
        <v>44599.44832175926</v>
      </c>
      <c r="C714" s="1" t="n">
        <v>45992</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49829-2025</t>
        </is>
      </c>
      <c r="B715" s="1" t="n">
        <v>45940.45038194444</v>
      </c>
      <c r="C715" s="1" t="n">
        <v>45992</v>
      </c>
      <c r="D715" t="inlineStr">
        <is>
          <t>UPPSALA LÄN</t>
        </is>
      </c>
      <c r="E715" t="inlineStr">
        <is>
          <t>UPPSALA</t>
        </is>
      </c>
      <c r="F715" t="inlineStr">
        <is>
          <t>Bergvik skog öst AB</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49990-2025</t>
        </is>
      </c>
      <c r="B716" s="1" t="n">
        <v>45942.84414351852</v>
      </c>
      <c r="C716" s="1" t="n">
        <v>45992</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2357-2024</t>
        </is>
      </c>
      <c r="B717" s="1" t="n">
        <v>45310</v>
      </c>
      <c r="C717" s="1" t="n">
        <v>45992</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49987-2025</t>
        </is>
      </c>
      <c r="B718" s="1" t="n">
        <v>45942.80185185185</v>
      </c>
      <c r="C718" s="1" t="n">
        <v>45992</v>
      </c>
      <c r="D718" t="inlineStr">
        <is>
          <t>UPPSALA LÄN</t>
        </is>
      </c>
      <c r="E718" t="inlineStr">
        <is>
          <t>UPPSALA</t>
        </is>
      </c>
      <c r="F718" t="inlineStr">
        <is>
          <t>Bergvik skog öst AB</t>
        </is>
      </c>
      <c r="G718" t="n">
        <v>3.4</v>
      </c>
      <c r="H718" t="n">
        <v>0</v>
      </c>
      <c r="I718" t="n">
        <v>0</v>
      </c>
      <c r="J718" t="n">
        <v>0</v>
      </c>
      <c r="K718" t="n">
        <v>0</v>
      </c>
      <c r="L718" t="n">
        <v>0</v>
      </c>
      <c r="M718" t="n">
        <v>0</v>
      </c>
      <c r="N718" t="n">
        <v>0</v>
      </c>
      <c r="O718" t="n">
        <v>0</v>
      </c>
      <c r="P718" t="n">
        <v>0</v>
      </c>
      <c r="Q718" t="n">
        <v>0</v>
      </c>
      <c r="R718" s="2" t="inlineStr"/>
    </row>
    <row r="719" ht="15" customHeight="1">
      <c r="A719" t="inlineStr">
        <is>
          <t>A 4503-2024</t>
        </is>
      </c>
      <c r="B719" s="1" t="n">
        <v>45327.61831018519</v>
      </c>
      <c r="C719" s="1" t="n">
        <v>45992</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44315-2021</t>
        </is>
      </c>
      <c r="B720" s="1" t="n">
        <v>44435.38657407407</v>
      </c>
      <c r="C720" s="1" t="n">
        <v>45992</v>
      </c>
      <c r="D720" t="inlineStr">
        <is>
          <t>UPPSALA LÄN</t>
        </is>
      </c>
      <c r="E720" t="inlineStr">
        <is>
          <t>UPPSALA</t>
        </is>
      </c>
      <c r="G720" t="n">
        <v>5.2</v>
      </c>
      <c r="H720" t="n">
        <v>0</v>
      </c>
      <c r="I720" t="n">
        <v>0</v>
      </c>
      <c r="J720" t="n">
        <v>0</v>
      </c>
      <c r="K720" t="n">
        <v>0</v>
      </c>
      <c r="L720" t="n">
        <v>0</v>
      </c>
      <c r="M720" t="n">
        <v>0</v>
      </c>
      <c r="N720" t="n">
        <v>0</v>
      </c>
      <c r="O720" t="n">
        <v>0</v>
      </c>
      <c r="P720" t="n">
        <v>0</v>
      </c>
      <c r="Q720" t="n">
        <v>0</v>
      </c>
      <c r="R720" s="2" t="inlineStr"/>
    </row>
    <row r="721" ht="15" customHeight="1">
      <c r="A721" t="inlineStr">
        <is>
          <t>A 4461-2024</t>
        </is>
      </c>
      <c r="B721" s="1" t="n">
        <v>45327</v>
      </c>
      <c r="C721" s="1" t="n">
        <v>45992</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12209-2025</t>
        </is>
      </c>
      <c r="B722" s="1" t="n">
        <v>45729</v>
      </c>
      <c r="C722" s="1" t="n">
        <v>45992</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50591-2025</t>
        </is>
      </c>
      <c r="B723" s="1" t="n">
        <v>45944</v>
      </c>
      <c r="C723" s="1" t="n">
        <v>45992</v>
      </c>
      <c r="D723" t="inlineStr">
        <is>
          <t>UPPSALA LÄN</t>
        </is>
      </c>
      <c r="E723" t="inlineStr">
        <is>
          <t>UPPSALA</t>
        </is>
      </c>
      <c r="G723" t="n">
        <v>4.2</v>
      </c>
      <c r="H723" t="n">
        <v>0</v>
      </c>
      <c r="I723" t="n">
        <v>0</v>
      </c>
      <c r="J723" t="n">
        <v>0</v>
      </c>
      <c r="K723" t="n">
        <v>0</v>
      </c>
      <c r="L723" t="n">
        <v>0</v>
      </c>
      <c r="M723" t="n">
        <v>0</v>
      </c>
      <c r="N723" t="n">
        <v>0</v>
      </c>
      <c r="O723" t="n">
        <v>0</v>
      </c>
      <c r="P723" t="n">
        <v>0</v>
      </c>
      <c r="Q723" t="n">
        <v>0</v>
      </c>
      <c r="R723" s="2" t="inlineStr"/>
    </row>
    <row r="724" ht="15" customHeight="1">
      <c r="A724" t="inlineStr">
        <is>
          <t>A 58545-2025</t>
        </is>
      </c>
      <c r="B724" s="1" t="n">
        <v>45985.99135416667</v>
      </c>
      <c r="C724" s="1" t="n">
        <v>45992</v>
      </c>
      <c r="D724" t="inlineStr">
        <is>
          <t>UPPSALA LÄN</t>
        </is>
      </c>
      <c r="E724" t="inlineStr">
        <is>
          <t>UPPSALA</t>
        </is>
      </c>
      <c r="G724" t="n">
        <v>2.5</v>
      </c>
      <c r="H724" t="n">
        <v>0</v>
      </c>
      <c r="I724" t="n">
        <v>0</v>
      </c>
      <c r="J724" t="n">
        <v>0</v>
      </c>
      <c r="K724" t="n">
        <v>0</v>
      </c>
      <c r="L724" t="n">
        <v>0</v>
      </c>
      <c r="M724" t="n">
        <v>0</v>
      </c>
      <c r="N724" t="n">
        <v>0</v>
      </c>
      <c r="O724" t="n">
        <v>0</v>
      </c>
      <c r="P724" t="n">
        <v>0</v>
      </c>
      <c r="Q724" t="n">
        <v>0</v>
      </c>
      <c r="R724" s="2" t="inlineStr"/>
    </row>
    <row r="725" ht="15" customHeight="1">
      <c r="A725" t="inlineStr">
        <is>
          <t>A 41112-2025</t>
        </is>
      </c>
      <c r="B725" s="1" t="n">
        <v>45898.46040509259</v>
      </c>
      <c r="C725" s="1" t="n">
        <v>45992</v>
      </c>
      <c r="D725" t="inlineStr">
        <is>
          <t>UPPSALA LÄN</t>
        </is>
      </c>
      <c r="E725" t="inlineStr">
        <is>
          <t>UPPSALA</t>
        </is>
      </c>
      <c r="G725" t="n">
        <v>3.1</v>
      </c>
      <c r="H725" t="n">
        <v>0</v>
      </c>
      <c r="I725" t="n">
        <v>0</v>
      </c>
      <c r="J725" t="n">
        <v>0</v>
      </c>
      <c r="K725" t="n">
        <v>0</v>
      </c>
      <c r="L725" t="n">
        <v>0</v>
      </c>
      <c r="M725" t="n">
        <v>0</v>
      </c>
      <c r="N725" t="n">
        <v>0</v>
      </c>
      <c r="O725" t="n">
        <v>0</v>
      </c>
      <c r="P725" t="n">
        <v>0</v>
      </c>
      <c r="Q725" t="n">
        <v>0</v>
      </c>
      <c r="R725" s="2" t="inlineStr"/>
    </row>
    <row r="726" ht="15" customHeight="1">
      <c r="A726" t="inlineStr">
        <is>
          <t>A 58546-2025</t>
        </is>
      </c>
      <c r="B726" s="1" t="n">
        <v>45985.99173611111</v>
      </c>
      <c r="C726" s="1" t="n">
        <v>45992</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58547-2025</t>
        </is>
      </c>
      <c r="B727" s="1" t="n">
        <v>45985.99530092593</v>
      </c>
      <c r="C727" s="1" t="n">
        <v>45992</v>
      </c>
      <c r="D727" t="inlineStr">
        <is>
          <t>UPPSALA LÄN</t>
        </is>
      </c>
      <c r="E727" t="inlineStr">
        <is>
          <t>UPPSALA</t>
        </is>
      </c>
      <c r="G727" t="n">
        <v>1.1</v>
      </c>
      <c r="H727" t="n">
        <v>0</v>
      </c>
      <c r="I727" t="n">
        <v>0</v>
      </c>
      <c r="J727" t="n">
        <v>0</v>
      </c>
      <c r="K727" t="n">
        <v>0</v>
      </c>
      <c r="L727" t="n">
        <v>0</v>
      </c>
      <c r="M727" t="n">
        <v>0</v>
      </c>
      <c r="N727" t="n">
        <v>0</v>
      </c>
      <c r="O727" t="n">
        <v>0</v>
      </c>
      <c r="P727" t="n">
        <v>0</v>
      </c>
      <c r="Q727" t="n">
        <v>0</v>
      </c>
      <c r="R727" s="2" t="inlineStr"/>
    </row>
    <row r="728" ht="15" customHeight="1">
      <c r="A728" t="inlineStr">
        <is>
          <t>A 3813-2024</t>
        </is>
      </c>
      <c r="B728" s="1" t="n">
        <v>45321</v>
      </c>
      <c r="C728" s="1" t="n">
        <v>45992</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50897-2025</t>
        </is>
      </c>
      <c r="B729" s="1" t="n">
        <v>45946.64121527778</v>
      </c>
      <c r="C729" s="1" t="n">
        <v>45992</v>
      </c>
      <c r="D729" t="inlineStr">
        <is>
          <t>UPPSALA LÄN</t>
        </is>
      </c>
      <c r="E729" t="inlineStr">
        <is>
          <t>UPPSALA</t>
        </is>
      </c>
      <c r="F729" t="inlineStr">
        <is>
          <t>Bergvik skog öst AB</t>
        </is>
      </c>
      <c r="G729" t="n">
        <v>3</v>
      </c>
      <c r="H729" t="n">
        <v>0</v>
      </c>
      <c r="I729" t="n">
        <v>0</v>
      </c>
      <c r="J729" t="n">
        <v>0</v>
      </c>
      <c r="K729" t="n">
        <v>0</v>
      </c>
      <c r="L729" t="n">
        <v>0</v>
      </c>
      <c r="M729" t="n">
        <v>0</v>
      </c>
      <c r="N729" t="n">
        <v>0</v>
      </c>
      <c r="O729" t="n">
        <v>0</v>
      </c>
      <c r="P729" t="n">
        <v>0</v>
      </c>
      <c r="Q729" t="n">
        <v>0</v>
      </c>
      <c r="R729" s="2" t="inlineStr"/>
    </row>
    <row r="730" ht="15" customHeight="1">
      <c r="A730" t="inlineStr">
        <is>
          <t>A 37820-2021</t>
        </is>
      </c>
      <c r="B730" s="1" t="n">
        <v>44403.3119212963</v>
      </c>
      <c r="C730" s="1" t="n">
        <v>45992</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40507-2021</t>
        </is>
      </c>
      <c r="B731" s="1" t="n">
        <v>44420</v>
      </c>
      <c r="C731" s="1" t="n">
        <v>45992</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51158-2025</t>
        </is>
      </c>
      <c r="B732" s="1" t="n">
        <v>45947.58105324074</v>
      </c>
      <c r="C732" s="1" t="n">
        <v>45992</v>
      </c>
      <c r="D732" t="inlineStr">
        <is>
          <t>UPPSALA LÄN</t>
        </is>
      </c>
      <c r="E732" t="inlineStr">
        <is>
          <t>UPPSALA</t>
        </is>
      </c>
      <c r="F732" t="inlineStr">
        <is>
          <t>Övriga Aktiebolag</t>
        </is>
      </c>
      <c r="G732" t="n">
        <v>12.1</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45992</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40111-2024</t>
        </is>
      </c>
      <c r="B734" s="1" t="n">
        <v>45554</v>
      </c>
      <c r="C734" s="1" t="n">
        <v>45992</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50706-2025</t>
        </is>
      </c>
      <c r="B735" s="1" t="n">
        <v>45946.30063657407</v>
      </c>
      <c r="C735" s="1" t="n">
        <v>45992</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50708-2025</t>
        </is>
      </c>
      <c r="B736" s="1" t="n">
        <v>45946.31299768519</v>
      </c>
      <c r="C736" s="1" t="n">
        <v>45992</v>
      </c>
      <c r="D736" t="inlineStr">
        <is>
          <t>UPPSALA LÄN</t>
        </is>
      </c>
      <c r="E736" t="inlineStr">
        <is>
          <t>UPPSALA</t>
        </is>
      </c>
      <c r="G736" t="n">
        <v>6.7</v>
      </c>
      <c r="H736" t="n">
        <v>0</v>
      </c>
      <c r="I736" t="n">
        <v>0</v>
      </c>
      <c r="J736" t="n">
        <v>0</v>
      </c>
      <c r="K736" t="n">
        <v>0</v>
      </c>
      <c r="L736" t="n">
        <v>0</v>
      </c>
      <c r="M736" t="n">
        <v>0</v>
      </c>
      <c r="N736" t="n">
        <v>0</v>
      </c>
      <c r="O736" t="n">
        <v>0</v>
      </c>
      <c r="P736" t="n">
        <v>0</v>
      </c>
      <c r="Q736" t="n">
        <v>0</v>
      </c>
      <c r="R736" s="2" t="inlineStr"/>
    </row>
    <row r="737" ht="15" customHeight="1">
      <c r="A737" t="inlineStr">
        <is>
          <t>A 50949-2025</t>
        </is>
      </c>
      <c r="B737" s="1" t="n">
        <v>45946.75140046296</v>
      </c>
      <c r="C737" s="1" t="n">
        <v>45992</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45992</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2790-2025</t>
        </is>
      </c>
      <c r="B739" s="1" t="n">
        <v>45677</v>
      </c>
      <c r="C739" s="1" t="n">
        <v>45992</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12414-2025</t>
        </is>
      </c>
      <c r="B740" s="1" t="n">
        <v>45730.43966435185</v>
      </c>
      <c r="C740" s="1" t="n">
        <v>45992</v>
      </c>
      <c r="D740" t="inlineStr">
        <is>
          <t>UPPSALA LÄN</t>
        </is>
      </c>
      <c r="E740" t="inlineStr">
        <is>
          <t>UPPSALA</t>
        </is>
      </c>
      <c r="F740" t="inlineStr">
        <is>
          <t>Övriga statliga verk och myndigheter</t>
        </is>
      </c>
      <c r="G740" t="n">
        <v>6.8</v>
      </c>
      <c r="H740" t="n">
        <v>0</v>
      </c>
      <c r="I740" t="n">
        <v>0</v>
      </c>
      <c r="J740" t="n">
        <v>0</v>
      </c>
      <c r="K740" t="n">
        <v>0</v>
      </c>
      <c r="L740" t="n">
        <v>0</v>
      </c>
      <c r="M740" t="n">
        <v>0</v>
      </c>
      <c r="N740" t="n">
        <v>0</v>
      </c>
      <c r="O740" t="n">
        <v>0</v>
      </c>
      <c r="P740" t="n">
        <v>0</v>
      </c>
      <c r="Q740" t="n">
        <v>0</v>
      </c>
      <c r="R740" s="2" t="inlineStr"/>
    </row>
    <row r="741" ht="15" customHeight="1">
      <c r="A741" t="inlineStr">
        <is>
          <t>A 4929-2022</t>
        </is>
      </c>
      <c r="B741" s="1" t="n">
        <v>44593</v>
      </c>
      <c r="C741" s="1" t="n">
        <v>45992</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58965-2025</t>
        </is>
      </c>
      <c r="B742" s="1" t="n">
        <v>45987</v>
      </c>
      <c r="C742" s="1" t="n">
        <v>45992</v>
      </c>
      <c r="D742" t="inlineStr">
        <is>
          <t>UPPSALA LÄN</t>
        </is>
      </c>
      <c r="E742" t="inlineStr">
        <is>
          <t>UPPSALA</t>
        </is>
      </c>
      <c r="G742" t="n">
        <v>7.7</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45992</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45992</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45992</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45992</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45992</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45992</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45992</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45992</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45992</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44830-2023</t>
        </is>
      </c>
      <c r="B752" s="1" t="n">
        <v>45190</v>
      </c>
      <c r="C752" s="1" t="n">
        <v>45992</v>
      </c>
      <c r="D752" t="inlineStr">
        <is>
          <t>UPPSALA LÄN</t>
        </is>
      </c>
      <c r="E752" t="inlineStr">
        <is>
          <t>UPPSALA</t>
        </is>
      </c>
      <c r="G752" t="n">
        <v>1.9</v>
      </c>
      <c r="H752" t="n">
        <v>0</v>
      </c>
      <c r="I752" t="n">
        <v>0</v>
      </c>
      <c r="J752" t="n">
        <v>0</v>
      </c>
      <c r="K752" t="n">
        <v>0</v>
      </c>
      <c r="L752" t="n">
        <v>0</v>
      </c>
      <c r="M752" t="n">
        <v>0</v>
      </c>
      <c r="N752" t="n">
        <v>0</v>
      </c>
      <c r="O752" t="n">
        <v>0</v>
      </c>
      <c r="P752" t="n">
        <v>0</v>
      </c>
      <c r="Q752" t="n">
        <v>0</v>
      </c>
      <c r="R752" s="2" t="inlineStr"/>
    </row>
    <row r="753" ht="15" customHeight="1">
      <c r="A753" t="inlineStr">
        <is>
          <t>A 73044-2021</t>
        </is>
      </c>
      <c r="B753" s="1" t="n">
        <v>44550.37994212963</v>
      </c>
      <c r="C753" s="1" t="n">
        <v>45992</v>
      </c>
      <c r="D753" t="inlineStr">
        <is>
          <t>UPPSALA LÄN</t>
        </is>
      </c>
      <c r="E753" t="inlineStr">
        <is>
          <t>UPPSALA</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19139-2023</t>
        </is>
      </c>
      <c r="B754" s="1" t="n">
        <v>45048.55349537037</v>
      </c>
      <c r="C754" s="1" t="n">
        <v>45992</v>
      </c>
      <c r="D754" t="inlineStr">
        <is>
          <t>UPPSALA LÄN</t>
        </is>
      </c>
      <c r="E754" t="inlineStr">
        <is>
          <t>UPPSALA</t>
        </is>
      </c>
      <c r="G754" t="n">
        <v>3</v>
      </c>
      <c r="H754" t="n">
        <v>0</v>
      </c>
      <c r="I754" t="n">
        <v>0</v>
      </c>
      <c r="J754" t="n">
        <v>0</v>
      </c>
      <c r="K754" t="n">
        <v>0</v>
      </c>
      <c r="L754" t="n">
        <v>0</v>
      </c>
      <c r="M754" t="n">
        <v>0</v>
      </c>
      <c r="N754" t="n">
        <v>0</v>
      </c>
      <c r="O754" t="n">
        <v>0</v>
      </c>
      <c r="P754" t="n">
        <v>0</v>
      </c>
      <c r="Q754" t="n">
        <v>0</v>
      </c>
      <c r="R754" s="2" t="inlineStr"/>
    </row>
    <row r="755" ht="15" customHeight="1">
      <c r="A755" t="inlineStr">
        <is>
          <t>A 1617-2021</t>
        </is>
      </c>
      <c r="B755" s="1" t="n">
        <v>44209</v>
      </c>
      <c r="C755" s="1" t="n">
        <v>45992</v>
      </c>
      <c r="D755" t="inlineStr">
        <is>
          <t>UPPSALA LÄN</t>
        </is>
      </c>
      <c r="E755" t="inlineStr">
        <is>
          <t>UPPSALA</t>
        </is>
      </c>
      <c r="G755" t="n">
        <v>2.5</v>
      </c>
      <c r="H755" t="n">
        <v>0</v>
      </c>
      <c r="I755" t="n">
        <v>0</v>
      </c>
      <c r="J755" t="n">
        <v>0</v>
      </c>
      <c r="K755" t="n">
        <v>0</v>
      </c>
      <c r="L755" t="n">
        <v>0</v>
      </c>
      <c r="M755" t="n">
        <v>0</v>
      </c>
      <c r="N755" t="n">
        <v>0</v>
      </c>
      <c r="O755" t="n">
        <v>0</v>
      </c>
      <c r="P755" t="n">
        <v>0</v>
      </c>
      <c r="Q755" t="n">
        <v>0</v>
      </c>
      <c r="R755" s="2" t="inlineStr"/>
    </row>
    <row r="756" ht="15" customHeight="1">
      <c r="A756" t="inlineStr">
        <is>
          <t>A 29799-2023</t>
        </is>
      </c>
      <c r="B756" s="1" t="n">
        <v>45107.53688657407</v>
      </c>
      <c r="C756" s="1" t="n">
        <v>45992</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179-2023</t>
        </is>
      </c>
      <c r="B757" s="1" t="n">
        <v>44928</v>
      </c>
      <c r="C757" s="1" t="n">
        <v>45992</v>
      </c>
      <c r="D757" t="inlineStr">
        <is>
          <t>UPPSALA LÄN</t>
        </is>
      </c>
      <c r="E757" t="inlineStr">
        <is>
          <t>UPPSALA</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21052-2023</t>
        </is>
      </c>
      <c r="B758" s="1" t="n">
        <v>45061</v>
      </c>
      <c r="C758" s="1" t="n">
        <v>45992</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62054-2024</t>
        </is>
      </c>
      <c r="B759" s="1" t="n">
        <v>45656</v>
      </c>
      <c r="C759" s="1" t="n">
        <v>45992</v>
      </c>
      <c r="D759" t="inlineStr">
        <is>
          <t>UPPSALA LÄN</t>
        </is>
      </c>
      <c r="E759" t="inlineStr">
        <is>
          <t>UPPSALA</t>
        </is>
      </c>
      <c r="F759" t="inlineStr">
        <is>
          <t>Övriga statliga verk och myndigheter</t>
        </is>
      </c>
      <c r="G759" t="n">
        <v>29.3</v>
      </c>
      <c r="H759" t="n">
        <v>0</v>
      </c>
      <c r="I759" t="n">
        <v>0</v>
      </c>
      <c r="J759" t="n">
        <v>0</v>
      </c>
      <c r="K759" t="n">
        <v>0</v>
      </c>
      <c r="L759" t="n">
        <v>0</v>
      </c>
      <c r="M759" t="n">
        <v>0</v>
      </c>
      <c r="N759" t="n">
        <v>0</v>
      </c>
      <c r="O759" t="n">
        <v>0</v>
      </c>
      <c r="P759" t="n">
        <v>0</v>
      </c>
      <c r="Q759" t="n">
        <v>0</v>
      </c>
      <c r="R759" s="2" t="inlineStr"/>
    </row>
    <row r="760" ht="15" customHeight="1">
      <c r="A760" t="inlineStr">
        <is>
          <t>A 9398-2023</t>
        </is>
      </c>
      <c r="B760" s="1" t="n">
        <v>44977</v>
      </c>
      <c r="C760" s="1" t="n">
        <v>45992</v>
      </c>
      <c r="D760" t="inlineStr">
        <is>
          <t>UPPSALA LÄN</t>
        </is>
      </c>
      <c r="E760" t="inlineStr">
        <is>
          <t>UPPSALA</t>
        </is>
      </c>
      <c r="G760" t="n">
        <v>5.1</v>
      </c>
      <c r="H760" t="n">
        <v>0</v>
      </c>
      <c r="I760" t="n">
        <v>0</v>
      </c>
      <c r="J760" t="n">
        <v>0</v>
      </c>
      <c r="K760" t="n">
        <v>0</v>
      </c>
      <c r="L760" t="n">
        <v>0</v>
      </c>
      <c r="M760" t="n">
        <v>0</v>
      </c>
      <c r="N760" t="n">
        <v>0</v>
      </c>
      <c r="O760" t="n">
        <v>0</v>
      </c>
      <c r="P760" t="n">
        <v>0</v>
      </c>
      <c r="Q760" t="n">
        <v>0</v>
      </c>
      <c r="R760" s="2" t="inlineStr"/>
    </row>
    <row r="761" ht="15" customHeight="1">
      <c r="A761" t="inlineStr">
        <is>
          <t>A 39548-2023</t>
        </is>
      </c>
      <c r="B761" s="1" t="n">
        <v>45167.3721412037</v>
      </c>
      <c r="C761" s="1" t="n">
        <v>45992</v>
      </c>
      <c r="D761" t="inlineStr">
        <is>
          <t>UPPSALA LÄN</t>
        </is>
      </c>
      <c r="E761" t="inlineStr">
        <is>
          <t>UPPSALA</t>
        </is>
      </c>
      <c r="G761" t="n">
        <v>3.4</v>
      </c>
      <c r="H761" t="n">
        <v>0</v>
      </c>
      <c r="I761" t="n">
        <v>0</v>
      </c>
      <c r="J761" t="n">
        <v>0</v>
      </c>
      <c r="K761" t="n">
        <v>0</v>
      </c>
      <c r="L761" t="n">
        <v>0</v>
      </c>
      <c r="M761" t="n">
        <v>0</v>
      </c>
      <c r="N761" t="n">
        <v>0</v>
      </c>
      <c r="O761" t="n">
        <v>0</v>
      </c>
      <c r="P761" t="n">
        <v>0</v>
      </c>
      <c r="Q761" t="n">
        <v>0</v>
      </c>
      <c r="R761" s="2" t="inlineStr"/>
    </row>
    <row r="762" ht="15" customHeight="1">
      <c r="A762" t="inlineStr">
        <is>
          <t>A 26099-2024</t>
        </is>
      </c>
      <c r="B762" s="1" t="n">
        <v>45468</v>
      </c>
      <c r="C762" s="1" t="n">
        <v>45992</v>
      </c>
      <c r="D762" t="inlineStr">
        <is>
          <t>UPPSALA LÄN</t>
        </is>
      </c>
      <c r="E762" t="inlineStr">
        <is>
          <t>UPPSALA</t>
        </is>
      </c>
      <c r="G762" t="n">
        <v>0.3</v>
      </c>
      <c r="H762" t="n">
        <v>0</v>
      </c>
      <c r="I762" t="n">
        <v>0</v>
      </c>
      <c r="J762" t="n">
        <v>0</v>
      </c>
      <c r="K762" t="n">
        <v>0</v>
      </c>
      <c r="L762" t="n">
        <v>0</v>
      </c>
      <c r="M762" t="n">
        <v>0</v>
      </c>
      <c r="N762" t="n">
        <v>0</v>
      </c>
      <c r="O762" t="n">
        <v>0</v>
      </c>
      <c r="P762" t="n">
        <v>0</v>
      </c>
      <c r="Q762" t="n">
        <v>0</v>
      </c>
      <c r="R762" s="2" t="inlineStr"/>
    </row>
    <row r="763" ht="15" customHeight="1">
      <c r="A763" t="inlineStr">
        <is>
          <t>A 17558-2022</t>
        </is>
      </c>
      <c r="B763" s="1" t="n">
        <v>44679.66694444444</v>
      </c>
      <c r="C763" s="1" t="n">
        <v>45992</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33689-2023</t>
        </is>
      </c>
      <c r="B764" s="1" t="n">
        <v>45119</v>
      </c>
      <c r="C764" s="1" t="n">
        <v>45992</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18626-2025</t>
        </is>
      </c>
      <c r="B765" s="1" t="n">
        <v>45763.52995370371</v>
      </c>
      <c r="C765" s="1" t="n">
        <v>45992</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3183-2024</t>
        </is>
      </c>
      <c r="B766" s="1" t="n">
        <v>45316</v>
      </c>
      <c r="C766" s="1" t="n">
        <v>45992</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53569-2024</t>
        </is>
      </c>
      <c r="B767" s="1" t="n">
        <v>45614.65928240741</v>
      </c>
      <c r="C767" s="1" t="n">
        <v>45992</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69436-2021</t>
        </is>
      </c>
      <c r="B768" s="1" t="n">
        <v>44531</v>
      </c>
      <c r="C768" s="1" t="n">
        <v>45992</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7253-2024</t>
        </is>
      </c>
      <c r="B769" s="1" t="n">
        <v>45344.69567129629</v>
      </c>
      <c r="C769" s="1" t="n">
        <v>45992</v>
      </c>
      <c r="D769" t="inlineStr">
        <is>
          <t>UPPSALA LÄN</t>
        </is>
      </c>
      <c r="E769" t="inlineStr">
        <is>
          <t>UPPSALA</t>
        </is>
      </c>
      <c r="F769" t="inlineStr">
        <is>
          <t>Kyrkan</t>
        </is>
      </c>
      <c r="G769" t="n">
        <v>2.5</v>
      </c>
      <c r="H769" t="n">
        <v>0</v>
      </c>
      <c r="I769" t="n">
        <v>0</v>
      </c>
      <c r="J769" t="n">
        <v>0</v>
      </c>
      <c r="K769" t="n">
        <v>0</v>
      </c>
      <c r="L769" t="n">
        <v>0</v>
      </c>
      <c r="M769" t="n">
        <v>0</v>
      </c>
      <c r="N769" t="n">
        <v>0</v>
      </c>
      <c r="O769" t="n">
        <v>0</v>
      </c>
      <c r="P769" t="n">
        <v>0</v>
      </c>
      <c r="Q769" t="n">
        <v>0</v>
      </c>
      <c r="R769" s="2" t="inlineStr"/>
    </row>
    <row r="770" ht="15" customHeight="1">
      <c r="A770" t="inlineStr">
        <is>
          <t>A 5764-2025</t>
        </is>
      </c>
      <c r="B770" s="1" t="n">
        <v>45694</v>
      </c>
      <c r="C770" s="1" t="n">
        <v>45992</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63307-2021</t>
        </is>
      </c>
      <c r="B771" s="1" t="n">
        <v>44508.44033564815</v>
      </c>
      <c r="C771" s="1" t="n">
        <v>45992</v>
      </c>
      <c r="D771" t="inlineStr">
        <is>
          <t>UPPSALA LÄN</t>
        </is>
      </c>
      <c r="E771" t="inlineStr">
        <is>
          <t>UPPSALA</t>
        </is>
      </c>
      <c r="F771" t="inlineStr">
        <is>
          <t>Bergvik skog öst AB</t>
        </is>
      </c>
      <c r="G771" t="n">
        <v>2.8</v>
      </c>
      <c r="H771" t="n">
        <v>0</v>
      </c>
      <c r="I771" t="n">
        <v>0</v>
      </c>
      <c r="J771" t="n">
        <v>0</v>
      </c>
      <c r="K771" t="n">
        <v>0</v>
      </c>
      <c r="L771" t="n">
        <v>0</v>
      </c>
      <c r="M771" t="n">
        <v>0</v>
      </c>
      <c r="N771" t="n">
        <v>0</v>
      </c>
      <c r="O771" t="n">
        <v>0</v>
      </c>
      <c r="P771" t="n">
        <v>0</v>
      </c>
      <c r="Q771" t="n">
        <v>0</v>
      </c>
      <c r="R771" s="2" t="inlineStr"/>
    </row>
    <row r="772" ht="15" customHeight="1">
      <c r="A772" t="inlineStr">
        <is>
          <t>A 13128-2022</t>
        </is>
      </c>
      <c r="B772" s="1" t="n">
        <v>44644.37548611111</v>
      </c>
      <c r="C772" s="1" t="n">
        <v>45992</v>
      </c>
      <c r="D772" t="inlineStr">
        <is>
          <t>UPPSALA LÄN</t>
        </is>
      </c>
      <c r="E772" t="inlineStr">
        <is>
          <t>UPPSALA</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18808-2024</t>
        </is>
      </c>
      <c r="B773" s="1" t="n">
        <v>45426.61569444444</v>
      </c>
      <c r="C773" s="1" t="n">
        <v>45992</v>
      </c>
      <c r="D773" t="inlineStr">
        <is>
          <t>UPPSALA LÄN</t>
        </is>
      </c>
      <c r="E773" t="inlineStr">
        <is>
          <t>UPPSALA</t>
        </is>
      </c>
      <c r="G773" t="n">
        <v>11.5</v>
      </c>
      <c r="H773" t="n">
        <v>0</v>
      </c>
      <c r="I773" t="n">
        <v>0</v>
      </c>
      <c r="J773" t="n">
        <v>0</v>
      </c>
      <c r="K773" t="n">
        <v>0</v>
      </c>
      <c r="L773" t="n">
        <v>0</v>
      </c>
      <c r="M773" t="n">
        <v>0</v>
      </c>
      <c r="N773" t="n">
        <v>0</v>
      </c>
      <c r="O773" t="n">
        <v>0</v>
      </c>
      <c r="P773" t="n">
        <v>0</v>
      </c>
      <c r="Q773" t="n">
        <v>0</v>
      </c>
      <c r="R773" s="2" t="inlineStr"/>
    </row>
    <row r="774" ht="15" customHeight="1">
      <c r="A774" t="inlineStr">
        <is>
          <t>A 43855-2023</t>
        </is>
      </c>
      <c r="B774" s="1" t="n">
        <v>45187.61136574074</v>
      </c>
      <c r="C774" s="1" t="n">
        <v>45992</v>
      </c>
      <c r="D774" t="inlineStr">
        <is>
          <t>UPPSALA LÄN</t>
        </is>
      </c>
      <c r="E774" t="inlineStr">
        <is>
          <t>UPPSALA</t>
        </is>
      </c>
      <c r="F774" t="inlineStr">
        <is>
          <t>Bergvik skog öst AB</t>
        </is>
      </c>
      <c r="G774" t="n">
        <v>2</v>
      </c>
      <c r="H774" t="n">
        <v>0</v>
      </c>
      <c r="I774" t="n">
        <v>0</v>
      </c>
      <c r="J774" t="n">
        <v>0</v>
      </c>
      <c r="K774" t="n">
        <v>0</v>
      </c>
      <c r="L774" t="n">
        <v>0</v>
      </c>
      <c r="M774" t="n">
        <v>0</v>
      </c>
      <c r="N774" t="n">
        <v>0</v>
      </c>
      <c r="O774" t="n">
        <v>0</v>
      </c>
      <c r="P774" t="n">
        <v>0</v>
      </c>
      <c r="Q774" t="n">
        <v>0</v>
      </c>
      <c r="R774" s="2" t="inlineStr"/>
    </row>
    <row r="775" ht="15" customHeight="1">
      <c r="A775" t="inlineStr">
        <is>
          <t>A 69432-2021</t>
        </is>
      </c>
      <c r="B775" s="1" t="n">
        <v>44531</v>
      </c>
      <c r="C775" s="1" t="n">
        <v>45992</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37763-2021</t>
        </is>
      </c>
      <c r="B776" s="1" t="n">
        <v>44400.6750925926</v>
      </c>
      <c r="C776" s="1" t="n">
        <v>45992</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69595-2021</t>
        </is>
      </c>
      <c r="B777" s="1" t="n">
        <v>44532</v>
      </c>
      <c r="C777" s="1" t="n">
        <v>45992</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3214-2023</t>
        </is>
      </c>
      <c r="B778" s="1" t="n">
        <v>44944</v>
      </c>
      <c r="C778" s="1" t="n">
        <v>45992</v>
      </c>
      <c r="D778" t="inlineStr">
        <is>
          <t>UPPSALA LÄN</t>
        </is>
      </c>
      <c r="E778" t="inlineStr">
        <is>
          <t>UPPSALA</t>
        </is>
      </c>
      <c r="G778" t="n">
        <v>4.1</v>
      </c>
      <c r="H778" t="n">
        <v>0</v>
      </c>
      <c r="I778" t="n">
        <v>0</v>
      </c>
      <c r="J778" t="n">
        <v>0</v>
      </c>
      <c r="K778" t="n">
        <v>0</v>
      </c>
      <c r="L778" t="n">
        <v>0</v>
      </c>
      <c r="M778" t="n">
        <v>0</v>
      </c>
      <c r="N778" t="n">
        <v>0</v>
      </c>
      <c r="O778" t="n">
        <v>0</v>
      </c>
      <c r="P778" t="n">
        <v>0</v>
      </c>
      <c r="Q778" t="n">
        <v>0</v>
      </c>
      <c r="R778" s="2" t="inlineStr"/>
    </row>
    <row r="779" ht="15" customHeight="1">
      <c r="A779" t="inlineStr">
        <is>
          <t>A 38190-2023</t>
        </is>
      </c>
      <c r="B779" s="1" t="n">
        <v>45161</v>
      </c>
      <c r="C779" s="1" t="n">
        <v>45992</v>
      </c>
      <c r="D779" t="inlineStr">
        <is>
          <t>UPPSALA LÄN</t>
        </is>
      </c>
      <c r="E779" t="inlineStr">
        <is>
          <t>UPPSALA</t>
        </is>
      </c>
      <c r="G779" t="n">
        <v>0.4</v>
      </c>
      <c r="H779" t="n">
        <v>0</v>
      </c>
      <c r="I779" t="n">
        <v>0</v>
      </c>
      <c r="J779" t="n">
        <v>0</v>
      </c>
      <c r="K779" t="n">
        <v>0</v>
      </c>
      <c r="L779" t="n">
        <v>0</v>
      </c>
      <c r="M779" t="n">
        <v>0</v>
      </c>
      <c r="N779" t="n">
        <v>0</v>
      </c>
      <c r="O779" t="n">
        <v>0</v>
      </c>
      <c r="P779" t="n">
        <v>0</v>
      </c>
      <c r="Q779" t="n">
        <v>0</v>
      </c>
      <c r="R779" s="2" t="inlineStr"/>
    </row>
    <row r="780" ht="15" customHeight="1">
      <c r="A780" t="inlineStr">
        <is>
          <t>A 54924-2024</t>
        </is>
      </c>
      <c r="B780" s="1" t="n">
        <v>45618.71140046296</v>
      </c>
      <c r="C780" s="1" t="n">
        <v>45992</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39007-2024</t>
        </is>
      </c>
      <c r="B781" s="1" t="n">
        <v>45548.42854166667</v>
      </c>
      <c r="C781" s="1" t="n">
        <v>45992</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45992</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46743-2024</t>
        </is>
      </c>
      <c r="B783" s="1" t="n">
        <v>45583.47836805556</v>
      </c>
      <c r="C783" s="1" t="n">
        <v>45992</v>
      </c>
      <c r="D783" t="inlineStr">
        <is>
          <t>UPPSALA LÄN</t>
        </is>
      </c>
      <c r="E783" t="inlineStr">
        <is>
          <t>UPPSALA</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66690-2021</t>
        </is>
      </c>
      <c r="B784" s="1" t="n">
        <v>44519.64902777778</v>
      </c>
      <c r="C784" s="1" t="n">
        <v>45992</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13602-2025</t>
        </is>
      </c>
      <c r="B785" s="1" t="n">
        <v>45736.60863425926</v>
      </c>
      <c r="C785" s="1" t="n">
        <v>45992</v>
      </c>
      <c r="D785" t="inlineStr">
        <is>
          <t>UPPSALA LÄN</t>
        </is>
      </c>
      <c r="E785" t="inlineStr">
        <is>
          <t>UPPSALA</t>
        </is>
      </c>
      <c r="F785" t="inlineStr">
        <is>
          <t>Allmännings- och besparingsskogar</t>
        </is>
      </c>
      <c r="G785" t="n">
        <v>9.5</v>
      </c>
      <c r="H785" t="n">
        <v>0</v>
      </c>
      <c r="I785" t="n">
        <v>0</v>
      </c>
      <c r="J785" t="n">
        <v>0</v>
      </c>
      <c r="K785" t="n">
        <v>0</v>
      </c>
      <c r="L785" t="n">
        <v>0</v>
      </c>
      <c r="M785" t="n">
        <v>0</v>
      </c>
      <c r="N785" t="n">
        <v>0</v>
      </c>
      <c r="O785" t="n">
        <v>0</v>
      </c>
      <c r="P785" t="n">
        <v>0</v>
      </c>
      <c r="Q785" t="n">
        <v>0</v>
      </c>
      <c r="R785" s="2" t="inlineStr"/>
    </row>
    <row r="786" ht="15" customHeight="1">
      <c r="A786" t="inlineStr">
        <is>
          <t>A 7611-2023</t>
        </is>
      </c>
      <c r="B786" s="1" t="n">
        <v>44967</v>
      </c>
      <c r="C786" s="1" t="n">
        <v>45992</v>
      </c>
      <c r="D786" t="inlineStr">
        <is>
          <t>UPPSALA LÄN</t>
        </is>
      </c>
      <c r="E786" t="inlineStr">
        <is>
          <t>UPPSALA</t>
        </is>
      </c>
      <c r="G786" t="n">
        <v>3.5</v>
      </c>
      <c r="H786" t="n">
        <v>0</v>
      </c>
      <c r="I786" t="n">
        <v>0</v>
      </c>
      <c r="J786" t="n">
        <v>0</v>
      </c>
      <c r="K786" t="n">
        <v>0</v>
      </c>
      <c r="L786" t="n">
        <v>0</v>
      </c>
      <c r="M786" t="n">
        <v>0</v>
      </c>
      <c r="N786" t="n">
        <v>0</v>
      </c>
      <c r="O786" t="n">
        <v>0</v>
      </c>
      <c r="P786" t="n">
        <v>0</v>
      </c>
      <c r="Q786" t="n">
        <v>0</v>
      </c>
      <c r="R786" s="2" t="inlineStr"/>
    </row>
    <row r="787" ht="15" customHeight="1">
      <c r="A787" t="inlineStr">
        <is>
          <t>A 733-2022</t>
        </is>
      </c>
      <c r="B787" s="1" t="n">
        <v>44568.67040509259</v>
      </c>
      <c r="C787" s="1" t="n">
        <v>45992</v>
      </c>
      <c r="D787" t="inlineStr">
        <is>
          <t>UPPSALA LÄN</t>
        </is>
      </c>
      <c r="E787" t="inlineStr">
        <is>
          <t>UPPSALA</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20087-2023</t>
        </is>
      </c>
      <c r="B788" s="1" t="n">
        <v>45054.9271875</v>
      </c>
      <c r="C788" s="1" t="n">
        <v>45992</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48588-2022</t>
        </is>
      </c>
      <c r="B789" s="1" t="n">
        <v>44859.36896990741</v>
      </c>
      <c r="C789" s="1" t="n">
        <v>45992</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6971-2025</t>
        </is>
      </c>
      <c r="B790" s="1" t="n">
        <v>45693</v>
      </c>
      <c r="C790" s="1" t="n">
        <v>45992</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43032-2022</t>
        </is>
      </c>
      <c r="B791" s="1" t="n">
        <v>44832</v>
      </c>
      <c r="C791" s="1" t="n">
        <v>45992</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50669-2024</t>
        </is>
      </c>
      <c r="B792" s="1" t="n">
        <v>45601</v>
      </c>
      <c r="C792" s="1" t="n">
        <v>45992</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34509-2023</t>
        </is>
      </c>
      <c r="B793" s="1" t="n">
        <v>45133</v>
      </c>
      <c r="C793" s="1" t="n">
        <v>45992</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33939-2024</t>
        </is>
      </c>
      <c r="B794" s="1" t="n">
        <v>45523</v>
      </c>
      <c r="C794" s="1" t="n">
        <v>45992</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13343-2022</t>
        </is>
      </c>
      <c r="B795" s="1" t="n">
        <v>44645.39157407408</v>
      </c>
      <c r="C795" s="1" t="n">
        <v>45992</v>
      </c>
      <c r="D795" t="inlineStr">
        <is>
          <t>UPPSALA LÄN</t>
        </is>
      </c>
      <c r="E795" t="inlineStr">
        <is>
          <t>UPPSALA</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11173-2024</t>
        </is>
      </c>
      <c r="B796" s="1" t="n">
        <v>45371.50738425926</v>
      </c>
      <c r="C796" s="1" t="n">
        <v>45992</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9242-2022</t>
        </is>
      </c>
      <c r="B797" s="1" t="n">
        <v>44616</v>
      </c>
      <c r="C797" s="1" t="n">
        <v>45992</v>
      </c>
      <c r="D797" t="inlineStr">
        <is>
          <t>UPPSALA LÄN</t>
        </is>
      </c>
      <c r="E797" t="inlineStr">
        <is>
          <t>UPPSALA</t>
        </is>
      </c>
      <c r="F797" t="inlineStr">
        <is>
          <t>Övriga Aktiebolag</t>
        </is>
      </c>
      <c r="G797" t="n">
        <v>5.9</v>
      </c>
      <c r="H797" t="n">
        <v>0</v>
      </c>
      <c r="I797" t="n">
        <v>0</v>
      </c>
      <c r="J797" t="n">
        <v>0</v>
      </c>
      <c r="K797" t="n">
        <v>0</v>
      </c>
      <c r="L797" t="n">
        <v>0</v>
      </c>
      <c r="M797" t="n">
        <v>0</v>
      </c>
      <c r="N797" t="n">
        <v>0</v>
      </c>
      <c r="O797" t="n">
        <v>0</v>
      </c>
      <c r="P797" t="n">
        <v>0</v>
      </c>
      <c r="Q797" t="n">
        <v>0</v>
      </c>
      <c r="R797" s="2" t="inlineStr"/>
    </row>
    <row r="798" ht="15" customHeight="1">
      <c r="A798" t="inlineStr">
        <is>
          <t>A 14907-2025</t>
        </is>
      </c>
      <c r="B798" s="1" t="n">
        <v>45743.50744212963</v>
      </c>
      <c r="C798" s="1" t="n">
        <v>45992</v>
      </c>
      <c r="D798" t="inlineStr">
        <is>
          <t>UPPSALA LÄN</t>
        </is>
      </c>
      <c r="E798" t="inlineStr">
        <is>
          <t>UPPSALA</t>
        </is>
      </c>
      <c r="G798" t="n">
        <v>7</v>
      </c>
      <c r="H798" t="n">
        <v>0</v>
      </c>
      <c r="I798" t="n">
        <v>0</v>
      </c>
      <c r="J798" t="n">
        <v>0</v>
      </c>
      <c r="K798" t="n">
        <v>0</v>
      </c>
      <c r="L798" t="n">
        <v>0</v>
      </c>
      <c r="M798" t="n">
        <v>0</v>
      </c>
      <c r="N798" t="n">
        <v>0</v>
      </c>
      <c r="O798" t="n">
        <v>0</v>
      </c>
      <c r="P798" t="n">
        <v>0</v>
      </c>
      <c r="Q798" t="n">
        <v>0</v>
      </c>
      <c r="R798" s="2" t="inlineStr"/>
    </row>
    <row r="799" ht="15" customHeight="1">
      <c r="A799" t="inlineStr">
        <is>
          <t>A 18443-2023</t>
        </is>
      </c>
      <c r="B799" s="1" t="n">
        <v>45042</v>
      </c>
      <c r="C799" s="1" t="n">
        <v>45992</v>
      </c>
      <c r="D799" t="inlineStr">
        <is>
          <t>UPPSALA LÄN</t>
        </is>
      </c>
      <c r="E799" t="inlineStr">
        <is>
          <t>UPPSALA</t>
        </is>
      </c>
      <c r="G799" t="n">
        <v>0.4</v>
      </c>
      <c r="H799" t="n">
        <v>0</v>
      </c>
      <c r="I799" t="n">
        <v>0</v>
      </c>
      <c r="J799" t="n">
        <v>0</v>
      </c>
      <c r="K799" t="n">
        <v>0</v>
      </c>
      <c r="L799" t="n">
        <v>0</v>
      </c>
      <c r="M799" t="n">
        <v>0</v>
      </c>
      <c r="N799" t="n">
        <v>0</v>
      </c>
      <c r="O799" t="n">
        <v>0</v>
      </c>
      <c r="P799" t="n">
        <v>0</v>
      </c>
      <c r="Q799" t="n">
        <v>0</v>
      </c>
      <c r="R799" s="2" t="inlineStr"/>
    </row>
    <row r="800" ht="15" customHeight="1">
      <c r="A800" t="inlineStr">
        <is>
          <t>A 19017-2023</t>
        </is>
      </c>
      <c r="B800" s="1" t="n">
        <v>45047.31793981481</v>
      </c>
      <c r="C800" s="1" t="n">
        <v>45992</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10674-2022</t>
        </is>
      </c>
      <c r="B801" s="1" t="n">
        <v>44624.64538194444</v>
      </c>
      <c r="C801" s="1" t="n">
        <v>45992</v>
      </c>
      <c r="D801" t="inlineStr">
        <is>
          <t>UPPSALA LÄN</t>
        </is>
      </c>
      <c r="E801" t="inlineStr">
        <is>
          <t>UPPSALA</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4509-2024</t>
        </is>
      </c>
      <c r="B802" s="1" t="n">
        <v>45327</v>
      </c>
      <c r="C802" s="1" t="n">
        <v>45992</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19513-2023</t>
        </is>
      </c>
      <c r="B803" s="1" t="n">
        <v>45050.49392361111</v>
      </c>
      <c r="C803" s="1" t="n">
        <v>45992</v>
      </c>
      <c r="D803" t="inlineStr">
        <is>
          <t>UPPSALA LÄN</t>
        </is>
      </c>
      <c r="E803" t="inlineStr">
        <is>
          <t>UPPSALA</t>
        </is>
      </c>
      <c r="G803" t="n">
        <v>6.6</v>
      </c>
      <c r="H803" t="n">
        <v>0</v>
      </c>
      <c r="I803" t="n">
        <v>0</v>
      </c>
      <c r="J803" t="n">
        <v>0</v>
      </c>
      <c r="K803" t="n">
        <v>0</v>
      </c>
      <c r="L803" t="n">
        <v>0</v>
      </c>
      <c r="M803" t="n">
        <v>0</v>
      </c>
      <c r="N803" t="n">
        <v>0</v>
      </c>
      <c r="O803" t="n">
        <v>0</v>
      </c>
      <c r="P803" t="n">
        <v>0</v>
      </c>
      <c r="Q803" t="n">
        <v>0</v>
      </c>
      <c r="R803" s="2" t="inlineStr"/>
    </row>
    <row r="804" ht="15" customHeight="1">
      <c r="A804" t="inlineStr">
        <is>
          <t>A 17788-2023</t>
        </is>
      </c>
      <c r="B804" s="1" t="n">
        <v>45037</v>
      </c>
      <c r="C804" s="1" t="n">
        <v>45992</v>
      </c>
      <c r="D804" t="inlineStr">
        <is>
          <t>UPPSALA LÄN</t>
        </is>
      </c>
      <c r="E804" t="inlineStr">
        <is>
          <t>UPPSALA</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787-2024</t>
        </is>
      </c>
      <c r="B805" s="1" t="n">
        <v>45300</v>
      </c>
      <c r="C805" s="1" t="n">
        <v>45992</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70031-2021</t>
        </is>
      </c>
      <c r="B806" s="1" t="n">
        <v>44533.46665509259</v>
      </c>
      <c r="C806" s="1" t="n">
        <v>45992</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265-2021</t>
        </is>
      </c>
      <c r="B807" s="1" t="n">
        <v>44200</v>
      </c>
      <c r="C807" s="1" t="n">
        <v>45992</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38493-2023</t>
        </is>
      </c>
      <c r="B808" s="1" t="n">
        <v>45162</v>
      </c>
      <c r="C808" s="1" t="n">
        <v>45992</v>
      </c>
      <c r="D808" t="inlineStr">
        <is>
          <t>UPPSALA LÄN</t>
        </is>
      </c>
      <c r="E808" t="inlineStr">
        <is>
          <t>UPPSALA</t>
        </is>
      </c>
      <c r="F808" t="inlineStr">
        <is>
          <t>Allmännings- och besparingsskogar</t>
        </is>
      </c>
      <c r="G808" t="n">
        <v>3.5</v>
      </c>
      <c r="H808" t="n">
        <v>0</v>
      </c>
      <c r="I808" t="n">
        <v>0</v>
      </c>
      <c r="J808" t="n">
        <v>0</v>
      </c>
      <c r="K808" t="n">
        <v>0</v>
      </c>
      <c r="L808" t="n">
        <v>0</v>
      </c>
      <c r="M808" t="n">
        <v>0</v>
      </c>
      <c r="N808" t="n">
        <v>0</v>
      </c>
      <c r="O808" t="n">
        <v>0</v>
      </c>
      <c r="P808" t="n">
        <v>0</v>
      </c>
      <c r="Q808" t="n">
        <v>0</v>
      </c>
      <c r="R808" s="2" t="inlineStr"/>
    </row>
    <row r="809" ht="15" customHeight="1">
      <c r="A809" t="inlineStr">
        <is>
          <t>A 36782-2023</t>
        </is>
      </c>
      <c r="B809" s="1" t="n">
        <v>45154.35092592592</v>
      </c>
      <c r="C809" s="1" t="n">
        <v>45992</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6970-2025</t>
        </is>
      </c>
      <c r="B810" s="1" t="n">
        <v>45693</v>
      </c>
      <c r="C810" s="1" t="n">
        <v>45992</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5068-2025</t>
        </is>
      </c>
      <c r="B811" s="1" t="n">
        <v>45691</v>
      </c>
      <c r="C811" s="1" t="n">
        <v>45992</v>
      </c>
      <c r="D811" t="inlineStr">
        <is>
          <t>UPPSALA LÄN</t>
        </is>
      </c>
      <c r="E811" t="inlineStr">
        <is>
          <t>UPPSALA</t>
        </is>
      </c>
      <c r="G811" t="n">
        <v>5.9</v>
      </c>
      <c r="H811" t="n">
        <v>0</v>
      </c>
      <c r="I811" t="n">
        <v>0</v>
      </c>
      <c r="J811" t="n">
        <v>0</v>
      </c>
      <c r="K811" t="n">
        <v>0</v>
      </c>
      <c r="L811" t="n">
        <v>0</v>
      </c>
      <c r="M811" t="n">
        <v>0</v>
      </c>
      <c r="N811" t="n">
        <v>0</v>
      </c>
      <c r="O811" t="n">
        <v>0</v>
      </c>
      <c r="P811" t="n">
        <v>0</v>
      </c>
      <c r="Q811" t="n">
        <v>0</v>
      </c>
      <c r="R811" s="2" t="inlineStr"/>
    </row>
    <row r="812" ht="15" customHeight="1">
      <c r="A812" t="inlineStr">
        <is>
          <t>A 46635-2022</t>
        </is>
      </c>
      <c r="B812" s="1" t="n">
        <v>44849</v>
      </c>
      <c r="C812" s="1" t="n">
        <v>45992</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2897-2025</t>
        </is>
      </c>
      <c r="B813" s="1" t="n">
        <v>45677</v>
      </c>
      <c r="C813" s="1" t="n">
        <v>45992</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17593-2025</t>
        </is>
      </c>
      <c r="B814" s="1" t="n">
        <v>45757.6997337963</v>
      </c>
      <c r="C814" s="1" t="n">
        <v>45992</v>
      </c>
      <c r="D814" t="inlineStr">
        <is>
          <t>UPPSALA LÄN</t>
        </is>
      </c>
      <c r="E814" t="inlineStr">
        <is>
          <t>UPPSALA</t>
        </is>
      </c>
      <c r="G814" t="n">
        <v>3.6</v>
      </c>
      <c r="H814" t="n">
        <v>0</v>
      </c>
      <c r="I814" t="n">
        <v>0</v>
      </c>
      <c r="J814" t="n">
        <v>0</v>
      </c>
      <c r="K814" t="n">
        <v>0</v>
      </c>
      <c r="L814" t="n">
        <v>0</v>
      </c>
      <c r="M814" t="n">
        <v>0</v>
      </c>
      <c r="N814" t="n">
        <v>0</v>
      </c>
      <c r="O814" t="n">
        <v>0</v>
      </c>
      <c r="P814" t="n">
        <v>0</v>
      </c>
      <c r="Q814" t="n">
        <v>0</v>
      </c>
      <c r="R814" s="2" t="inlineStr"/>
    </row>
    <row r="815" ht="15" customHeight="1">
      <c r="A815" t="inlineStr">
        <is>
          <t>A 17596-2025</t>
        </is>
      </c>
      <c r="B815" s="1" t="n">
        <v>45757</v>
      </c>
      <c r="C815" s="1" t="n">
        <v>45992</v>
      </c>
      <c r="D815" t="inlineStr">
        <is>
          <t>UPPSALA LÄN</t>
        </is>
      </c>
      <c r="E815" t="inlineStr">
        <is>
          <t>UPPSALA</t>
        </is>
      </c>
      <c r="G815" t="n">
        <v>4.8</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45992</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8473-2023</t>
        </is>
      </c>
      <c r="B817" s="1" t="n">
        <v>44977</v>
      </c>
      <c r="C817" s="1" t="n">
        <v>45992</v>
      </c>
      <c r="D817" t="inlineStr">
        <is>
          <t>UPPSALA LÄN</t>
        </is>
      </c>
      <c r="E817" t="inlineStr">
        <is>
          <t>UPPSALA</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11739-2023</t>
        </is>
      </c>
      <c r="B818" s="1" t="n">
        <v>44993</v>
      </c>
      <c r="C818" s="1" t="n">
        <v>45992</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21935-2023</t>
        </is>
      </c>
      <c r="B819" s="1" t="n">
        <v>45068.58563657408</v>
      </c>
      <c r="C819" s="1" t="n">
        <v>45992</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367-2023</t>
        </is>
      </c>
      <c r="B820" s="1" t="n">
        <v>44929</v>
      </c>
      <c r="C820" s="1" t="n">
        <v>45992</v>
      </c>
      <c r="D820" t="inlineStr">
        <is>
          <t>UPPSALA LÄN</t>
        </is>
      </c>
      <c r="E820" t="inlineStr">
        <is>
          <t>UPPSALA</t>
        </is>
      </c>
      <c r="G820" t="n">
        <v>2.4</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45992</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50463-2024</t>
        </is>
      </c>
      <c r="B822" s="1" t="n">
        <v>45601</v>
      </c>
      <c r="C822" s="1" t="n">
        <v>45992</v>
      </c>
      <c r="D822" t="inlineStr">
        <is>
          <t>UPPSALA LÄN</t>
        </is>
      </c>
      <c r="E822" t="inlineStr">
        <is>
          <t>UPPSALA</t>
        </is>
      </c>
      <c r="F822" t="inlineStr">
        <is>
          <t>Allmännings- och besparingsskogar</t>
        </is>
      </c>
      <c r="G822" t="n">
        <v>12.6</v>
      </c>
      <c r="H822" t="n">
        <v>0</v>
      </c>
      <c r="I822" t="n">
        <v>0</v>
      </c>
      <c r="J822" t="n">
        <v>0</v>
      </c>
      <c r="K822" t="n">
        <v>0</v>
      </c>
      <c r="L822" t="n">
        <v>0</v>
      </c>
      <c r="M822" t="n">
        <v>0</v>
      </c>
      <c r="N822" t="n">
        <v>0</v>
      </c>
      <c r="O822" t="n">
        <v>0</v>
      </c>
      <c r="P822" t="n">
        <v>0</v>
      </c>
      <c r="Q822" t="n">
        <v>0</v>
      </c>
      <c r="R822" s="2" t="inlineStr"/>
    </row>
    <row r="823" ht="15" customHeight="1">
      <c r="A823" t="inlineStr">
        <is>
          <t>A 72224-2021</t>
        </is>
      </c>
      <c r="B823" s="1" t="n">
        <v>44544</v>
      </c>
      <c r="C823" s="1" t="n">
        <v>45992</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37626-2023</t>
        </is>
      </c>
      <c r="B824" s="1" t="n">
        <v>45159.45748842593</v>
      </c>
      <c r="C824" s="1" t="n">
        <v>45992</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56067-2024</t>
        </is>
      </c>
      <c r="B825" s="1" t="n">
        <v>45624</v>
      </c>
      <c r="C825" s="1" t="n">
        <v>45992</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33191-2023</t>
        </is>
      </c>
      <c r="B826" s="1" t="n">
        <v>45127</v>
      </c>
      <c r="C826" s="1" t="n">
        <v>45992</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50473-2023</t>
        </is>
      </c>
      <c r="B827" s="1" t="n">
        <v>45216</v>
      </c>
      <c r="C827" s="1" t="n">
        <v>45992</v>
      </c>
      <c r="D827" t="inlineStr">
        <is>
          <t>UPPSALA LÄN</t>
        </is>
      </c>
      <c r="E827" t="inlineStr">
        <is>
          <t>UPPSALA</t>
        </is>
      </c>
      <c r="F827" t="inlineStr">
        <is>
          <t>Allmännings- och besparingsskogar</t>
        </is>
      </c>
      <c r="G827" t="n">
        <v>7.6</v>
      </c>
      <c r="H827" t="n">
        <v>0</v>
      </c>
      <c r="I827" t="n">
        <v>0</v>
      </c>
      <c r="J827" t="n">
        <v>0</v>
      </c>
      <c r="K827" t="n">
        <v>0</v>
      </c>
      <c r="L827" t="n">
        <v>0</v>
      </c>
      <c r="M827" t="n">
        <v>0</v>
      </c>
      <c r="N827" t="n">
        <v>0</v>
      </c>
      <c r="O827" t="n">
        <v>0</v>
      </c>
      <c r="P827" t="n">
        <v>0</v>
      </c>
      <c r="Q827" t="n">
        <v>0</v>
      </c>
      <c r="R827" s="2" t="inlineStr"/>
    </row>
    <row r="828" ht="15" customHeight="1">
      <c r="A828" t="inlineStr">
        <is>
          <t>A 60056-2022</t>
        </is>
      </c>
      <c r="B828" s="1" t="n">
        <v>44909</v>
      </c>
      <c r="C828" s="1" t="n">
        <v>45992</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53365-2024</t>
        </is>
      </c>
      <c r="B829" s="1" t="n">
        <v>45614</v>
      </c>
      <c r="C829" s="1" t="n">
        <v>45992</v>
      </c>
      <c r="D829" t="inlineStr">
        <is>
          <t>UPPSALA LÄN</t>
        </is>
      </c>
      <c r="E829" t="inlineStr">
        <is>
          <t>UPPSALA</t>
        </is>
      </c>
      <c r="F829" t="inlineStr">
        <is>
          <t>Allmännings- och besparingsskogar</t>
        </is>
      </c>
      <c r="G829" t="n">
        <v>6.6</v>
      </c>
      <c r="H829" t="n">
        <v>0</v>
      </c>
      <c r="I829" t="n">
        <v>0</v>
      </c>
      <c r="J829" t="n">
        <v>0</v>
      </c>
      <c r="K829" t="n">
        <v>0</v>
      </c>
      <c r="L829" t="n">
        <v>0</v>
      </c>
      <c r="M829" t="n">
        <v>0</v>
      </c>
      <c r="N829" t="n">
        <v>0</v>
      </c>
      <c r="O829" t="n">
        <v>0</v>
      </c>
      <c r="P829" t="n">
        <v>0</v>
      </c>
      <c r="Q829" t="n">
        <v>0</v>
      </c>
      <c r="R829" s="2" t="inlineStr"/>
    </row>
    <row r="830" ht="15" customHeight="1">
      <c r="A830" t="inlineStr">
        <is>
          <t>A 35142-2023</t>
        </is>
      </c>
      <c r="B830" s="1" t="n">
        <v>45145</v>
      </c>
      <c r="C830" s="1" t="n">
        <v>45992</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73531-2021</t>
        </is>
      </c>
      <c r="B831" s="1" t="n">
        <v>44551.76711805556</v>
      </c>
      <c r="C831" s="1" t="n">
        <v>45992</v>
      </c>
      <c r="D831" t="inlineStr">
        <is>
          <t>UPPSALA LÄN</t>
        </is>
      </c>
      <c r="E831" t="inlineStr">
        <is>
          <t>UPPSALA</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54783-2023</t>
        </is>
      </c>
      <c r="B832" s="1" t="n">
        <v>45236.47697916667</v>
      </c>
      <c r="C832" s="1" t="n">
        <v>45992</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6677-2024</t>
        </is>
      </c>
      <c r="B833" s="1" t="n">
        <v>45341</v>
      </c>
      <c r="C833" s="1" t="n">
        <v>45992</v>
      </c>
      <c r="D833" t="inlineStr">
        <is>
          <t>UPPSALA LÄN</t>
        </is>
      </c>
      <c r="E833" t="inlineStr">
        <is>
          <t>UPPSALA</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13526-2023</t>
        </is>
      </c>
      <c r="B834" s="1" t="n">
        <v>45006</v>
      </c>
      <c r="C834" s="1" t="n">
        <v>45992</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47221-2023</t>
        </is>
      </c>
      <c r="B835" s="1" t="n">
        <v>45202</v>
      </c>
      <c r="C835" s="1" t="n">
        <v>45992</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27442-2024</t>
        </is>
      </c>
      <c r="B836" s="1" t="n">
        <v>45474.41729166666</v>
      </c>
      <c r="C836" s="1" t="n">
        <v>45992</v>
      </c>
      <c r="D836" t="inlineStr">
        <is>
          <t>UPPSALA LÄN</t>
        </is>
      </c>
      <c r="E836" t="inlineStr">
        <is>
          <t>UPPSALA</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3040-2023</t>
        </is>
      </c>
      <c r="B837" s="1" t="n">
        <v>44946</v>
      </c>
      <c r="C837" s="1" t="n">
        <v>45992</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66983-2021</t>
        </is>
      </c>
      <c r="B838" s="1" t="n">
        <v>44522</v>
      </c>
      <c r="C838" s="1" t="n">
        <v>45992</v>
      </c>
      <c r="D838" t="inlineStr">
        <is>
          <t>UPPSALA LÄN</t>
        </is>
      </c>
      <c r="E838" t="inlineStr">
        <is>
          <t>UPPSALA</t>
        </is>
      </c>
      <c r="G838" t="n">
        <v>2.5</v>
      </c>
      <c r="H838" t="n">
        <v>0</v>
      </c>
      <c r="I838" t="n">
        <v>0</v>
      </c>
      <c r="J838" t="n">
        <v>0</v>
      </c>
      <c r="K838" t="n">
        <v>0</v>
      </c>
      <c r="L838" t="n">
        <v>0</v>
      </c>
      <c r="M838" t="n">
        <v>0</v>
      </c>
      <c r="N838" t="n">
        <v>0</v>
      </c>
      <c r="O838" t="n">
        <v>0</v>
      </c>
      <c r="P838" t="n">
        <v>0</v>
      </c>
      <c r="Q838" t="n">
        <v>0</v>
      </c>
      <c r="R838" s="2" t="inlineStr"/>
    </row>
    <row r="839" ht="15" customHeight="1">
      <c r="A839" t="inlineStr">
        <is>
          <t>A 5028-2022</t>
        </is>
      </c>
      <c r="B839" s="1" t="n">
        <v>44593.64863425926</v>
      </c>
      <c r="C839" s="1" t="n">
        <v>45992</v>
      </c>
      <c r="D839" t="inlineStr">
        <is>
          <t>UPPSALA LÄN</t>
        </is>
      </c>
      <c r="E839" t="inlineStr">
        <is>
          <t>UPPSALA</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36479-2023</t>
        </is>
      </c>
      <c r="B840" s="1" t="n">
        <v>45152</v>
      </c>
      <c r="C840" s="1" t="n">
        <v>45992</v>
      </c>
      <c r="D840" t="inlineStr">
        <is>
          <t>UPPSALA LÄN</t>
        </is>
      </c>
      <c r="E840" t="inlineStr">
        <is>
          <t>UPPSALA</t>
        </is>
      </c>
      <c r="F840" t="inlineStr">
        <is>
          <t>Allmännings- och besparingsskogar</t>
        </is>
      </c>
      <c r="G840" t="n">
        <v>3.4</v>
      </c>
      <c r="H840" t="n">
        <v>0</v>
      </c>
      <c r="I840" t="n">
        <v>0</v>
      </c>
      <c r="J840" t="n">
        <v>0</v>
      </c>
      <c r="K840" t="n">
        <v>0</v>
      </c>
      <c r="L840" t="n">
        <v>0</v>
      </c>
      <c r="M840" t="n">
        <v>0</v>
      </c>
      <c r="N840" t="n">
        <v>0</v>
      </c>
      <c r="O840" t="n">
        <v>0</v>
      </c>
      <c r="P840" t="n">
        <v>0</v>
      </c>
      <c r="Q840" t="n">
        <v>0</v>
      </c>
      <c r="R840" s="2" t="inlineStr"/>
    </row>
    <row r="841" ht="15" customHeight="1">
      <c r="A841" t="inlineStr">
        <is>
          <t>A 600-2024</t>
        </is>
      </c>
      <c r="B841" s="1" t="n">
        <v>45299</v>
      </c>
      <c r="C841" s="1" t="n">
        <v>45992</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37819-2021</t>
        </is>
      </c>
      <c r="B842" s="1" t="n">
        <v>44403.29719907408</v>
      </c>
      <c r="C842" s="1" t="n">
        <v>45992</v>
      </c>
      <c r="D842" t="inlineStr">
        <is>
          <t>UPPSALA LÄN</t>
        </is>
      </c>
      <c r="E842" t="inlineStr">
        <is>
          <t>UPPSALA</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60003-2024</t>
        </is>
      </c>
      <c r="B843" s="1" t="n">
        <v>45642</v>
      </c>
      <c r="C843" s="1" t="n">
        <v>45992</v>
      </c>
      <c r="D843" t="inlineStr">
        <is>
          <t>UPPSALA LÄN</t>
        </is>
      </c>
      <c r="E843" t="inlineStr">
        <is>
          <t>UPPSALA</t>
        </is>
      </c>
      <c r="F843" t="inlineStr">
        <is>
          <t>Bergvik skog väst AB</t>
        </is>
      </c>
      <c r="G843" t="n">
        <v>14.5</v>
      </c>
      <c r="H843" t="n">
        <v>0</v>
      </c>
      <c r="I843" t="n">
        <v>0</v>
      </c>
      <c r="J843" t="n">
        <v>0</v>
      </c>
      <c r="K843" t="n">
        <v>0</v>
      </c>
      <c r="L843" t="n">
        <v>0</v>
      </c>
      <c r="M843" t="n">
        <v>0</v>
      </c>
      <c r="N843" t="n">
        <v>0</v>
      </c>
      <c r="O843" t="n">
        <v>0</v>
      </c>
      <c r="P843" t="n">
        <v>0</v>
      </c>
      <c r="Q843" t="n">
        <v>0</v>
      </c>
      <c r="R843" s="2" t="inlineStr"/>
    </row>
    <row r="844" ht="15" customHeight="1">
      <c r="A844" t="inlineStr">
        <is>
          <t>A 1838-2024</t>
        </is>
      </c>
      <c r="B844" s="1" t="n">
        <v>45307</v>
      </c>
      <c r="C844" s="1" t="n">
        <v>45992</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8109-2024</t>
        </is>
      </c>
      <c r="B845" s="1" t="n">
        <v>45351.48662037037</v>
      </c>
      <c r="C845" s="1" t="n">
        <v>45992</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11201-2024</t>
        </is>
      </c>
      <c r="B846" s="1" t="n">
        <v>45371</v>
      </c>
      <c r="C846" s="1" t="n">
        <v>45992</v>
      </c>
      <c r="D846" t="inlineStr">
        <is>
          <t>UPPSALA LÄN</t>
        </is>
      </c>
      <c r="E846" t="inlineStr">
        <is>
          <t>UPPSALA</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29145-2021</t>
        </is>
      </c>
      <c r="B847" s="1" t="n">
        <v>44358.63490740741</v>
      </c>
      <c r="C847" s="1" t="n">
        <v>45992</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44908.425625</v>
      </c>
      <c r="C848" s="1" t="n">
        <v>45992</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38934-2023</t>
        </is>
      </c>
      <c r="B849" s="1" t="n">
        <v>45163.59913194444</v>
      </c>
      <c r="C849" s="1" t="n">
        <v>45992</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42681-2023</t>
        </is>
      </c>
      <c r="B850" s="1" t="n">
        <v>45181.58055555556</v>
      </c>
      <c r="C850" s="1" t="n">
        <v>45992</v>
      </c>
      <c r="D850" t="inlineStr">
        <is>
          <t>UPPSALA LÄN</t>
        </is>
      </c>
      <c r="E850" t="inlineStr">
        <is>
          <t>UPPSALA</t>
        </is>
      </c>
      <c r="F850" t="inlineStr">
        <is>
          <t>Bergvik skog öst AB</t>
        </is>
      </c>
      <c r="G850" t="n">
        <v>3.1</v>
      </c>
      <c r="H850" t="n">
        <v>0</v>
      </c>
      <c r="I850" t="n">
        <v>0</v>
      </c>
      <c r="J850" t="n">
        <v>0</v>
      </c>
      <c r="K850" t="n">
        <v>0</v>
      </c>
      <c r="L850" t="n">
        <v>0</v>
      </c>
      <c r="M850" t="n">
        <v>0</v>
      </c>
      <c r="N850" t="n">
        <v>0</v>
      </c>
      <c r="O850" t="n">
        <v>0</v>
      </c>
      <c r="P850" t="n">
        <v>0</v>
      </c>
      <c r="Q850" t="n">
        <v>0</v>
      </c>
      <c r="R850" s="2" t="inlineStr"/>
    </row>
    <row r="851" ht="15" customHeight="1">
      <c r="A851" t="inlineStr">
        <is>
          <t>A 33941-2023</t>
        </is>
      </c>
      <c r="B851" s="1" t="n">
        <v>45134.57021990741</v>
      </c>
      <c r="C851" s="1" t="n">
        <v>45992</v>
      </c>
      <c r="D851" t="inlineStr">
        <is>
          <t>UPPSALA LÄN</t>
        </is>
      </c>
      <c r="E851" t="inlineStr">
        <is>
          <t>UPPSALA</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50954-2022</t>
        </is>
      </c>
      <c r="B852" s="1" t="n">
        <v>44866</v>
      </c>
      <c r="C852" s="1" t="n">
        <v>45992</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36392-2023</t>
        </is>
      </c>
      <c r="B853" s="1" t="n">
        <v>45152</v>
      </c>
      <c r="C853" s="1" t="n">
        <v>45992</v>
      </c>
      <c r="D853" t="inlineStr">
        <is>
          <t>UPPSALA LÄN</t>
        </is>
      </c>
      <c r="E853" t="inlineStr">
        <is>
          <t>UPPSALA</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6630-2024</t>
        </is>
      </c>
      <c r="B854" s="1" t="n">
        <v>45341.63811342593</v>
      </c>
      <c r="C854" s="1" t="n">
        <v>45992</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22431-2024</t>
        </is>
      </c>
      <c r="B855" s="1" t="n">
        <v>45446.78256944445</v>
      </c>
      <c r="C855" s="1" t="n">
        <v>45992</v>
      </c>
      <c r="D855" t="inlineStr">
        <is>
          <t>UPPSALA LÄN</t>
        </is>
      </c>
      <c r="E855" t="inlineStr">
        <is>
          <t>UPPSALA</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1855-2021</t>
        </is>
      </c>
      <c r="B856" s="1" t="n">
        <v>44210</v>
      </c>
      <c r="C856" s="1" t="n">
        <v>45992</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34114-2024</t>
        </is>
      </c>
      <c r="B857" s="1" t="n">
        <v>45524</v>
      </c>
      <c r="C857" s="1" t="n">
        <v>45992</v>
      </c>
      <c r="D857" t="inlineStr">
        <is>
          <t>UPPSALA LÄN</t>
        </is>
      </c>
      <c r="E857" t="inlineStr">
        <is>
          <t>UPPSALA</t>
        </is>
      </c>
      <c r="F857" t="inlineStr">
        <is>
          <t>Allmännings- och besparingsskogar</t>
        </is>
      </c>
      <c r="G857" t="n">
        <v>1.3</v>
      </c>
      <c r="H857" t="n">
        <v>0</v>
      </c>
      <c r="I857" t="n">
        <v>0</v>
      </c>
      <c r="J857" t="n">
        <v>0</v>
      </c>
      <c r="K857" t="n">
        <v>0</v>
      </c>
      <c r="L857" t="n">
        <v>0</v>
      </c>
      <c r="M857" t="n">
        <v>0</v>
      </c>
      <c r="N857" t="n">
        <v>0</v>
      </c>
      <c r="O857" t="n">
        <v>0</v>
      </c>
      <c r="P857" t="n">
        <v>0</v>
      </c>
      <c r="Q857" t="n">
        <v>0</v>
      </c>
      <c r="R857" s="2" t="inlineStr"/>
    </row>
    <row r="858" ht="15" customHeight="1">
      <c r="A858" t="inlineStr">
        <is>
          <t>A 7276-2024</t>
        </is>
      </c>
      <c r="B858" s="1" t="n">
        <v>45344</v>
      </c>
      <c r="C858" s="1" t="n">
        <v>45992</v>
      </c>
      <c r="D858" t="inlineStr">
        <is>
          <t>UPPSALA LÄN</t>
        </is>
      </c>
      <c r="E858" t="inlineStr">
        <is>
          <t>UPPSALA</t>
        </is>
      </c>
      <c r="F858" t="inlineStr">
        <is>
          <t>Bergvik skog öst AB</t>
        </is>
      </c>
      <c r="G858" t="n">
        <v>0.2</v>
      </c>
      <c r="H858" t="n">
        <v>0</v>
      </c>
      <c r="I858" t="n">
        <v>0</v>
      </c>
      <c r="J858" t="n">
        <v>0</v>
      </c>
      <c r="K858" t="n">
        <v>0</v>
      </c>
      <c r="L858" t="n">
        <v>0</v>
      </c>
      <c r="M858" t="n">
        <v>0</v>
      </c>
      <c r="N858" t="n">
        <v>0</v>
      </c>
      <c r="O858" t="n">
        <v>0</v>
      </c>
      <c r="P858" t="n">
        <v>0</v>
      </c>
      <c r="Q858" t="n">
        <v>0</v>
      </c>
      <c r="R858" s="2" t="inlineStr"/>
    </row>
    <row r="859" ht="15" customHeight="1">
      <c r="A859" t="inlineStr">
        <is>
          <t>A 39608-2022</t>
        </is>
      </c>
      <c r="B859" s="1" t="n">
        <v>44817</v>
      </c>
      <c r="C859" s="1" t="n">
        <v>45992</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42622-2022</t>
        </is>
      </c>
      <c r="B860" s="1" t="n">
        <v>44831</v>
      </c>
      <c r="C860" s="1" t="n">
        <v>45992</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11162-2022</t>
        </is>
      </c>
      <c r="B861" s="1" t="n">
        <v>44629.42423611111</v>
      </c>
      <c r="C861" s="1" t="n">
        <v>45992</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1731-2022</t>
        </is>
      </c>
      <c r="B862" s="1" t="n">
        <v>44574</v>
      </c>
      <c r="C862" s="1" t="n">
        <v>45992</v>
      </c>
      <c r="D862" t="inlineStr">
        <is>
          <t>UPPSALA LÄN</t>
        </is>
      </c>
      <c r="E862" t="inlineStr">
        <is>
          <t>UPPSALA</t>
        </is>
      </c>
      <c r="G862" t="n">
        <v>10.1</v>
      </c>
      <c r="H862" t="n">
        <v>0</v>
      </c>
      <c r="I862" t="n">
        <v>0</v>
      </c>
      <c r="J862" t="n">
        <v>0</v>
      </c>
      <c r="K862" t="n">
        <v>0</v>
      </c>
      <c r="L862" t="n">
        <v>0</v>
      </c>
      <c r="M862" t="n">
        <v>0</v>
      </c>
      <c r="N862" t="n">
        <v>0</v>
      </c>
      <c r="O862" t="n">
        <v>0</v>
      </c>
      <c r="P862" t="n">
        <v>0</v>
      </c>
      <c r="Q862" t="n">
        <v>0</v>
      </c>
      <c r="R862" s="2" t="inlineStr"/>
    </row>
    <row r="863" ht="15" customHeight="1">
      <c r="A863" t="inlineStr">
        <is>
          <t>A 27068-2023</t>
        </is>
      </c>
      <c r="B863" s="1" t="n">
        <v>45096</v>
      </c>
      <c r="C863" s="1" t="n">
        <v>45992</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45878-2024</t>
        </is>
      </c>
      <c r="B864" s="1" t="n">
        <v>45580</v>
      </c>
      <c r="C864" s="1" t="n">
        <v>45992</v>
      </c>
      <c r="D864" t="inlineStr">
        <is>
          <t>UPPSALA LÄN</t>
        </is>
      </c>
      <c r="E864" t="inlineStr">
        <is>
          <t>UPPSALA</t>
        </is>
      </c>
      <c r="G864" t="n">
        <v>2.8</v>
      </c>
      <c r="H864" t="n">
        <v>0</v>
      </c>
      <c r="I864" t="n">
        <v>0</v>
      </c>
      <c r="J864" t="n">
        <v>0</v>
      </c>
      <c r="K864" t="n">
        <v>0</v>
      </c>
      <c r="L864" t="n">
        <v>0</v>
      </c>
      <c r="M864" t="n">
        <v>0</v>
      </c>
      <c r="N864" t="n">
        <v>0</v>
      </c>
      <c r="O864" t="n">
        <v>0</v>
      </c>
      <c r="P864" t="n">
        <v>0</v>
      </c>
      <c r="Q864" t="n">
        <v>0</v>
      </c>
      <c r="R864" s="2" t="inlineStr"/>
    </row>
    <row r="865" ht="15" customHeight="1">
      <c r="A865" t="inlineStr">
        <is>
          <t>A 43-2024</t>
        </is>
      </c>
      <c r="B865" s="1" t="n">
        <v>45293</v>
      </c>
      <c r="C865" s="1" t="n">
        <v>45992</v>
      </c>
      <c r="D865" t="inlineStr">
        <is>
          <t>UPPSALA LÄN</t>
        </is>
      </c>
      <c r="E865" t="inlineStr">
        <is>
          <t>UPPSALA</t>
        </is>
      </c>
      <c r="G865" t="n">
        <v>2.8</v>
      </c>
      <c r="H865" t="n">
        <v>0</v>
      </c>
      <c r="I865" t="n">
        <v>0</v>
      </c>
      <c r="J865" t="n">
        <v>0</v>
      </c>
      <c r="K865" t="n">
        <v>0</v>
      </c>
      <c r="L865" t="n">
        <v>0</v>
      </c>
      <c r="M865" t="n">
        <v>0</v>
      </c>
      <c r="N865" t="n">
        <v>0</v>
      </c>
      <c r="O865" t="n">
        <v>0</v>
      </c>
      <c r="P865" t="n">
        <v>0</v>
      </c>
      <c r="Q865" t="n">
        <v>0</v>
      </c>
      <c r="R865" s="2" t="inlineStr"/>
    </row>
    <row r="866" ht="15" customHeight="1">
      <c r="A866" t="inlineStr">
        <is>
          <t>A 62044-2024</t>
        </is>
      </c>
      <c r="B866" s="1" t="n">
        <v>45656</v>
      </c>
      <c r="C866" s="1" t="n">
        <v>45992</v>
      </c>
      <c r="D866" t="inlineStr">
        <is>
          <t>UPPSALA LÄN</t>
        </is>
      </c>
      <c r="E866" t="inlineStr">
        <is>
          <t>UPPSALA</t>
        </is>
      </c>
      <c r="F866" t="inlineStr">
        <is>
          <t>Övriga statliga verk och myndigheter</t>
        </is>
      </c>
      <c r="G866" t="n">
        <v>11.6</v>
      </c>
      <c r="H866" t="n">
        <v>0</v>
      </c>
      <c r="I866" t="n">
        <v>0</v>
      </c>
      <c r="J866" t="n">
        <v>0</v>
      </c>
      <c r="K866" t="n">
        <v>0</v>
      </c>
      <c r="L866" t="n">
        <v>0</v>
      </c>
      <c r="M866" t="n">
        <v>0</v>
      </c>
      <c r="N866" t="n">
        <v>0</v>
      </c>
      <c r="O866" t="n">
        <v>0</v>
      </c>
      <c r="P866" t="n">
        <v>0</v>
      </c>
      <c r="Q866" t="n">
        <v>0</v>
      </c>
      <c r="R866" s="2" t="inlineStr"/>
    </row>
    <row r="867" ht="15" customHeight="1">
      <c r="A867" t="inlineStr">
        <is>
          <t>A 17587-2025</t>
        </is>
      </c>
      <c r="B867" s="1" t="n">
        <v>45757.67611111111</v>
      </c>
      <c r="C867" s="1" t="n">
        <v>45992</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74495-2021</t>
        </is>
      </c>
      <c r="B868" s="1" t="n">
        <v>44560</v>
      </c>
      <c r="C868" s="1" t="n">
        <v>45992</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46920-2021</t>
        </is>
      </c>
      <c r="B869" s="1" t="n">
        <v>44446</v>
      </c>
      <c r="C869" s="1" t="n">
        <v>45992</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5189-2022</t>
        </is>
      </c>
      <c r="B870" s="1" t="n">
        <v>44594</v>
      </c>
      <c r="C870" s="1" t="n">
        <v>45992</v>
      </c>
      <c r="D870" t="inlineStr">
        <is>
          <t>UPPSALA LÄN</t>
        </is>
      </c>
      <c r="E870" t="inlineStr">
        <is>
          <t>UPPSALA</t>
        </is>
      </c>
      <c r="G870" t="n">
        <v>5.9</v>
      </c>
      <c r="H870" t="n">
        <v>0</v>
      </c>
      <c r="I870" t="n">
        <v>0</v>
      </c>
      <c r="J870" t="n">
        <v>0</v>
      </c>
      <c r="K870" t="n">
        <v>0</v>
      </c>
      <c r="L870" t="n">
        <v>0</v>
      </c>
      <c r="M870" t="n">
        <v>0</v>
      </c>
      <c r="N870" t="n">
        <v>0</v>
      </c>
      <c r="O870" t="n">
        <v>0</v>
      </c>
      <c r="P870" t="n">
        <v>0</v>
      </c>
      <c r="Q870" t="n">
        <v>0</v>
      </c>
      <c r="R870" s="2" t="inlineStr"/>
    </row>
    <row r="871" ht="15" customHeight="1">
      <c r="A871" t="inlineStr">
        <is>
          <t>A 39812-2024</t>
        </is>
      </c>
      <c r="B871" s="1" t="n">
        <v>45552</v>
      </c>
      <c r="C871" s="1" t="n">
        <v>45992</v>
      </c>
      <c r="D871" t="inlineStr">
        <is>
          <t>UPPSALA LÄN</t>
        </is>
      </c>
      <c r="E871" t="inlineStr">
        <is>
          <t>UPPSALA</t>
        </is>
      </c>
      <c r="G871" t="n">
        <v>7.9</v>
      </c>
      <c r="H871" t="n">
        <v>0</v>
      </c>
      <c r="I871" t="n">
        <v>0</v>
      </c>
      <c r="J871" t="n">
        <v>0</v>
      </c>
      <c r="K871" t="n">
        <v>0</v>
      </c>
      <c r="L871" t="n">
        <v>0</v>
      </c>
      <c r="M871" t="n">
        <v>0</v>
      </c>
      <c r="N871" t="n">
        <v>0</v>
      </c>
      <c r="O871" t="n">
        <v>0</v>
      </c>
      <c r="P871" t="n">
        <v>0</v>
      </c>
      <c r="Q871" t="n">
        <v>0</v>
      </c>
      <c r="R871" s="2" t="inlineStr"/>
    </row>
    <row r="872" ht="15" customHeight="1">
      <c r="A872" t="inlineStr">
        <is>
          <t>A 18677-2024</t>
        </is>
      </c>
      <c r="B872" s="1" t="n">
        <v>45426</v>
      </c>
      <c r="C872" s="1" t="n">
        <v>45992</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60702-2022</t>
        </is>
      </c>
      <c r="B873" s="1" t="n">
        <v>44912.29869212963</v>
      </c>
      <c r="C873" s="1" t="n">
        <v>45992</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6930-2023</t>
        </is>
      </c>
      <c r="B874" s="1" t="n">
        <v>44967.55960648148</v>
      </c>
      <c r="C874" s="1" t="n">
        <v>45992</v>
      </c>
      <c r="D874" t="inlineStr">
        <is>
          <t>UPPSALA LÄN</t>
        </is>
      </c>
      <c r="E874" t="inlineStr">
        <is>
          <t>UPPSALA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8877-2022</t>
        </is>
      </c>
      <c r="B875" s="1" t="n">
        <v>44614.59027777778</v>
      </c>
      <c r="C875" s="1" t="n">
        <v>45992</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45992</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27903-2023</t>
        </is>
      </c>
      <c r="B877" s="1" t="n">
        <v>45098.62966435185</v>
      </c>
      <c r="C877" s="1" t="n">
        <v>45992</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17250-2025</t>
        </is>
      </c>
      <c r="B878" s="1" t="n">
        <v>45756.50738425926</v>
      </c>
      <c r="C878" s="1" t="n">
        <v>45992</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14784-2023</t>
        </is>
      </c>
      <c r="B879" s="1" t="n">
        <v>45014</v>
      </c>
      <c r="C879" s="1" t="n">
        <v>45992</v>
      </c>
      <c r="D879" t="inlineStr">
        <is>
          <t>UPPSALA LÄN</t>
        </is>
      </c>
      <c r="E879" t="inlineStr">
        <is>
          <t>UPPSALA</t>
        </is>
      </c>
      <c r="G879" t="n">
        <v>4.7</v>
      </c>
      <c r="H879" t="n">
        <v>0</v>
      </c>
      <c r="I879" t="n">
        <v>0</v>
      </c>
      <c r="J879" t="n">
        <v>0</v>
      </c>
      <c r="K879" t="n">
        <v>0</v>
      </c>
      <c r="L879" t="n">
        <v>0</v>
      </c>
      <c r="M879" t="n">
        <v>0</v>
      </c>
      <c r="N879" t="n">
        <v>0</v>
      </c>
      <c r="O879" t="n">
        <v>0</v>
      </c>
      <c r="P879" t="n">
        <v>0</v>
      </c>
      <c r="Q879" t="n">
        <v>0</v>
      </c>
      <c r="R879" s="2" t="inlineStr"/>
    </row>
    <row r="880" ht="15" customHeight="1">
      <c r="A880" t="inlineStr">
        <is>
          <t>A 41422-2023</t>
        </is>
      </c>
      <c r="B880" s="1" t="n">
        <v>45175</v>
      </c>
      <c r="C880" s="1" t="n">
        <v>45992</v>
      </c>
      <c r="D880" t="inlineStr">
        <is>
          <t>UPPSALA LÄN</t>
        </is>
      </c>
      <c r="E880" t="inlineStr">
        <is>
          <t>UPPSALA</t>
        </is>
      </c>
      <c r="F880" t="inlineStr">
        <is>
          <t>Kyrkan</t>
        </is>
      </c>
      <c r="G880" t="n">
        <v>5.2</v>
      </c>
      <c r="H880" t="n">
        <v>0</v>
      </c>
      <c r="I880" t="n">
        <v>0</v>
      </c>
      <c r="J880" t="n">
        <v>0</v>
      </c>
      <c r="K880" t="n">
        <v>0</v>
      </c>
      <c r="L880" t="n">
        <v>0</v>
      </c>
      <c r="M880" t="n">
        <v>0</v>
      </c>
      <c r="N880" t="n">
        <v>0</v>
      </c>
      <c r="O880" t="n">
        <v>0</v>
      </c>
      <c r="P880" t="n">
        <v>0</v>
      </c>
      <c r="Q880" t="n">
        <v>0</v>
      </c>
      <c r="R880" s="2" t="inlineStr"/>
    </row>
    <row r="881" ht="15" customHeight="1">
      <c r="A881" t="inlineStr">
        <is>
          <t>A 27473-2024</t>
        </is>
      </c>
      <c r="B881" s="1" t="n">
        <v>45474</v>
      </c>
      <c r="C881" s="1" t="n">
        <v>45992</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45662-2023</t>
        </is>
      </c>
      <c r="B882" s="1" t="n">
        <v>45194</v>
      </c>
      <c r="C882" s="1" t="n">
        <v>45992</v>
      </c>
      <c r="D882" t="inlineStr">
        <is>
          <t>UPPSALA LÄN</t>
        </is>
      </c>
      <c r="E882" t="inlineStr">
        <is>
          <t>UPPSALA</t>
        </is>
      </c>
      <c r="F882" t="inlineStr">
        <is>
          <t>Bergvik skog öst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39865-2022</t>
        </is>
      </c>
      <c r="B883" s="1" t="n">
        <v>44819.62</v>
      </c>
      <c r="C883" s="1" t="n">
        <v>45992</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5899-2024</t>
        </is>
      </c>
      <c r="B884" s="1" t="n">
        <v>45335</v>
      </c>
      <c r="C884" s="1" t="n">
        <v>45992</v>
      </c>
      <c r="D884" t="inlineStr">
        <is>
          <t>UPPSALA LÄN</t>
        </is>
      </c>
      <c r="E884" t="inlineStr">
        <is>
          <t>UPPSALA</t>
        </is>
      </c>
      <c r="F884" t="inlineStr">
        <is>
          <t>Allmännings- och besparingsskogar</t>
        </is>
      </c>
      <c r="G884" t="n">
        <v>3.7</v>
      </c>
      <c r="H884" t="n">
        <v>0</v>
      </c>
      <c r="I884" t="n">
        <v>0</v>
      </c>
      <c r="J884" t="n">
        <v>0</v>
      </c>
      <c r="K884" t="n">
        <v>0</v>
      </c>
      <c r="L884" t="n">
        <v>0</v>
      </c>
      <c r="M884" t="n">
        <v>0</v>
      </c>
      <c r="N884" t="n">
        <v>0</v>
      </c>
      <c r="O884" t="n">
        <v>0</v>
      </c>
      <c r="P884" t="n">
        <v>0</v>
      </c>
      <c r="Q884" t="n">
        <v>0</v>
      </c>
      <c r="R884" s="2" t="inlineStr"/>
    </row>
    <row r="885" ht="15" customHeight="1">
      <c r="A885" t="inlineStr">
        <is>
          <t>A 6679-2024</t>
        </is>
      </c>
      <c r="B885" s="1" t="n">
        <v>45341</v>
      </c>
      <c r="C885" s="1" t="n">
        <v>45992</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9235-2025</t>
        </is>
      </c>
      <c r="B886" s="1" t="n">
        <v>45714.55368055555</v>
      </c>
      <c r="C886" s="1" t="n">
        <v>45992</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9984-2025</t>
        </is>
      </c>
      <c r="B887" s="1" t="n">
        <v>45719.42197916667</v>
      </c>
      <c r="C887" s="1" t="n">
        <v>45992</v>
      </c>
      <c r="D887" t="inlineStr">
        <is>
          <t>UPPSALA LÄN</t>
        </is>
      </c>
      <c r="E887" t="inlineStr">
        <is>
          <t>UPPSALA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9991-2025</t>
        </is>
      </c>
      <c r="B888" s="1" t="n">
        <v>45719.43646990741</v>
      </c>
      <c r="C888" s="1" t="n">
        <v>45992</v>
      </c>
      <c r="D888" t="inlineStr">
        <is>
          <t>UPPSALA LÄN</t>
        </is>
      </c>
      <c r="E888" t="inlineStr">
        <is>
          <t>UPPSALA</t>
        </is>
      </c>
      <c r="F888" t="inlineStr">
        <is>
          <t>Kyrkan</t>
        </is>
      </c>
      <c r="G888" t="n">
        <v>6.1</v>
      </c>
      <c r="H888" t="n">
        <v>0</v>
      </c>
      <c r="I888" t="n">
        <v>0</v>
      </c>
      <c r="J888" t="n">
        <v>0</v>
      </c>
      <c r="K888" t="n">
        <v>0</v>
      </c>
      <c r="L888" t="n">
        <v>0</v>
      </c>
      <c r="M888" t="n">
        <v>0</v>
      </c>
      <c r="N888" t="n">
        <v>0</v>
      </c>
      <c r="O888" t="n">
        <v>0</v>
      </c>
      <c r="P888" t="n">
        <v>0</v>
      </c>
      <c r="Q888" t="n">
        <v>0</v>
      </c>
      <c r="R888" s="2" t="inlineStr"/>
    </row>
    <row r="889" ht="15" customHeight="1">
      <c r="A889" t="inlineStr">
        <is>
          <t>A 64353-2020</t>
        </is>
      </c>
      <c r="B889" s="1" t="n">
        <v>44168.55746527778</v>
      </c>
      <c r="C889" s="1" t="n">
        <v>45992</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60984-2022</t>
        </is>
      </c>
      <c r="B890" s="1" t="n">
        <v>44914.67600694444</v>
      </c>
      <c r="C890" s="1" t="n">
        <v>45992</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9820-2023</t>
        </is>
      </c>
      <c r="B891" s="1" t="n">
        <v>44984.69216435185</v>
      </c>
      <c r="C891" s="1" t="n">
        <v>45992</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34265-2021</t>
        </is>
      </c>
      <c r="B892" s="1" t="n">
        <v>44379.5745949074</v>
      </c>
      <c r="C892" s="1" t="n">
        <v>45992</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1020-2021</t>
        </is>
      </c>
      <c r="B893" s="1" t="n">
        <v>44207</v>
      </c>
      <c r="C893" s="1" t="n">
        <v>45992</v>
      </c>
      <c r="D893" t="inlineStr">
        <is>
          <t>UPPSALA LÄN</t>
        </is>
      </c>
      <c r="E893" t="inlineStr">
        <is>
          <t>UPPSALA</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34147-2024</t>
        </is>
      </c>
      <c r="B894" s="1" t="n">
        <v>45524</v>
      </c>
      <c r="C894" s="1" t="n">
        <v>45992</v>
      </c>
      <c r="D894" t="inlineStr">
        <is>
          <t>UPPSALA LÄN</t>
        </is>
      </c>
      <c r="E894" t="inlineStr">
        <is>
          <t>UPPSALA</t>
        </is>
      </c>
      <c r="F894" t="inlineStr">
        <is>
          <t>Allmännings- och besparingsskogar</t>
        </is>
      </c>
      <c r="G894" t="n">
        <v>0.2</v>
      </c>
      <c r="H894" t="n">
        <v>0</v>
      </c>
      <c r="I894" t="n">
        <v>0</v>
      </c>
      <c r="J894" t="n">
        <v>0</v>
      </c>
      <c r="K894" t="n">
        <v>0</v>
      </c>
      <c r="L894" t="n">
        <v>0</v>
      </c>
      <c r="M894" t="n">
        <v>0</v>
      </c>
      <c r="N894" t="n">
        <v>0</v>
      </c>
      <c r="O894" t="n">
        <v>0</v>
      </c>
      <c r="P894" t="n">
        <v>0</v>
      </c>
      <c r="Q894" t="n">
        <v>0</v>
      </c>
      <c r="R894" s="2" t="inlineStr"/>
    </row>
    <row r="895" ht="15" customHeight="1">
      <c r="A895" t="inlineStr">
        <is>
          <t>A 10456-2022</t>
        </is>
      </c>
      <c r="B895" s="1" t="n">
        <v>44623.5571875</v>
      </c>
      <c r="C895" s="1" t="n">
        <v>45992</v>
      </c>
      <c r="D895" t="inlineStr">
        <is>
          <t>UPPSALA LÄN</t>
        </is>
      </c>
      <c r="E895" t="inlineStr">
        <is>
          <t>UPPSALA</t>
        </is>
      </c>
      <c r="F895" t="inlineStr">
        <is>
          <t>Övriga Aktiebolag</t>
        </is>
      </c>
      <c r="G895" t="n">
        <v>12.6</v>
      </c>
      <c r="H895" t="n">
        <v>0</v>
      </c>
      <c r="I895" t="n">
        <v>0</v>
      </c>
      <c r="J895" t="n">
        <v>0</v>
      </c>
      <c r="K895" t="n">
        <v>0</v>
      </c>
      <c r="L895" t="n">
        <v>0</v>
      </c>
      <c r="M895" t="n">
        <v>0</v>
      </c>
      <c r="N895" t="n">
        <v>0</v>
      </c>
      <c r="O895" t="n">
        <v>0</v>
      </c>
      <c r="P895" t="n">
        <v>0</v>
      </c>
      <c r="Q895" t="n">
        <v>0</v>
      </c>
      <c r="R895" s="2" t="inlineStr"/>
    </row>
    <row r="896" ht="15" customHeight="1">
      <c r="A896" t="inlineStr">
        <is>
          <t>A 5663-2023</t>
        </is>
      </c>
      <c r="B896" s="1" t="n">
        <v>44960</v>
      </c>
      <c r="C896" s="1" t="n">
        <v>45992</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5675-2023</t>
        </is>
      </c>
      <c r="B897" s="1" t="n">
        <v>44960.66233796296</v>
      </c>
      <c r="C897" s="1" t="n">
        <v>45992</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69698-2021</t>
        </is>
      </c>
      <c r="B898" s="1" t="n">
        <v>44532</v>
      </c>
      <c r="C898" s="1" t="n">
        <v>45992</v>
      </c>
      <c r="D898" t="inlineStr">
        <is>
          <t>UPPSALA LÄN</t>
        </is>
      </c>
      <c r="E898" t="inlineStr">
        <is>
          <t>UPPSALA</t>
        </is>
      </c>
      <c r="G898" t="n">
        <v>0.7</v>
      </c>
      <c r="H898" t="n">
        <v>0</v>
      </c>
      <c r="I898" t="n">
        <v>0</v>
      </c>
      <c r="J898" t="n">
        <v>0</v>
      </c>
      <c r="K898" t="n">
        <v>0</v>
      </c>
      <c r="L898" t="n">
        <v>0</v>
      </c>
      <c r="M898" t="n">
        <v>0</v>
      </c>
      <c r="N898" t="n">
        <v>0</v>
      </c>
      <c r="O898" t="n">
        <v>0</v>
      </c>
      <c r="P898" t="n">
        <v>0</v>
      </c>
      <c r="Q898" t="n">
        <v>0</v>
      </c>
      <c r="R898" s="2" t="inlineStr"/>
    </row>
    <row r="899" ht="15" customHeight="1">
      <c r="A899" t="inlineStr">
        <is>
          <t>A 40100-2022</t>
        </is>
      </c>
      <c r="B899" s="1" t="n">
        <v>44820.47935185185</v>
      </c>
      <c r="C899" s="1" t="n">
        <v>45992</v>
      </c>
      <c r="D899" t="inlineStr">
        <is>
          <t>UPPSALA LÄN</t>
        </is>
      </c>
      <c r="E899" t="inlineStr">
        <is>
          <t>UPPSALA</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8672-2024</t>
        </is>
      </c>
      <c r="B900" s="1" t="n">
        <v>45352</v>
      </c>
      <c r="C900" s="1" t="n">
        <v>45992</v>
      </c>
      <c r="D900" t="inlineStr">
        <is>
          <t>UPPSALA LÄN</t>
        </is>
      </c>
      <c r="E900" t="inlineStr">
        <is>
          <t>UPPSALA</t>
        </is>
      </c>
      <c r="G900" t="n">
        <v>2.3</v>
      </c>
      <c r="H900" t="n">
        <v>0</v>
      </c>
      <c r="I900" t="n">
        <v>0</v>
      </c>
      <c r="J900" t="n">
        <v>0</v>
      </c>
      <c r="K900" t="n">
        <v>0</v>
      </c>
      <c r="L900" t="n">
        <v>0</v>
      </c>
      <c r="M900" t="n">
        <v>0</v>
      </c>
      <c r="N900" t="n">
        <v>0</v>
      </c>
      <c r="O900" t="n">
        <v>0</v>
      </c>
      <c r="P900" t="n">
        <v>0</v>
      </c>
      <c r="Q900" t="n">
        <v>0</v>
      </c>
      <c r="R900" s="2" t="inlineStr"/>
    </row>
    <row r="901" ht="15" customHeight="1">
      <c r="A901" t="inlineStr">
        <is>
          <t>A 42528-2023</t>
        </is>
      </c>
      <c r="B901" s="1" t="n">
        <v>45181.33571759259</v>
      </c>
      <c r="C901" s="1" t="n">
        <v>45992</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9255-2024</t>
        </is>
      </c>
      <c r="B902" s="1" t="n">
        <v>45358</v>
      </c>
      <c r="C902" s="1" t="n">
        <v>45992</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56889-2022</t>
        </is>
      </c>
      <c r="B903" s="1" t="n">
        <v>44894.57065972222</v>
      </c>
      <c r="C903" s="1" t="n">
        <v>45992</v>
      </c>
      <c r="D903" t="inlineStr">
        <is>
          <t>UPPSALA LÄN</t>
        </is>
      </c>
      <c r="E903" t="inlineStr">
        <is>
          <t>UPPSALA</t>
        </is>
      </c>
      <c r="F903" t="inlineStr">
        <is>
          <t>Övriga Aktiebolag</t>
        </is>
      </c>
      <c r="G903" t="n">
        <v>21.6</v>
      </c>
      <c r="H903" t="n">
        <v>0</v>
      </c>
      <c r="I903" t="n">
        <v>0</v>
      </c>
      <c r="J903" t="n">
        <v>0</v>
      </c>
      <c r="K903" t="n">
        <v>0</v>
      </c>
      <c r="L903" t="n">
        <v>0</v>
      </c>
      <c r="M903" t="n">
        <v>0</v>
      </c>
      <c r="N903" t="n">
        <v>0</v>
      </c>
      <c r="O903" t="n">
        <v>0</v>
      </c>
      <c r="P903" t="n">
        <v>0</v>
      </c>
      <c r="Q903" t="n">
        <v>0</v>
      </c>
      <c r="R903" s="2" t="inlineStr"/>
    </row>
    <row r="904" ht="15" customHeight="1">
      <c r="A904" t="inlineStr">
        <is>
          <t>A 33797-2021</t>
        </is>
      </c>
      <c r="B904" s="1" t="n">
        <v>44378.56137731481</v>
      </c>
      <c r="C904" s="1" t="n">
        <v>45992</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45992</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63011-2021</t>
        </is>
      </c>
      <c r="B906" s="1" t="n">
        <v>44504</v>
      </c>
      <c r="C906" s="1" t="n">
        <v>45992</v>
      </c>
      <c r="D906" t="inlineStr">
        <is>
          <t>UPPSALA LÄN</t>
        </is>
      </c>
      <c r="E906" t="inlineStr">
        <is>
          <t>UPPSALA</t>
        </is>
      </c>
      <c r="G906" t="n">
        <v>11.2</v>
      </c>
      <c r="H906" t="n">
        <v>0</v>
      </c>
      <c r="I906" t="n">
        <v>0</v>
      </c>
      <c r="J906" t="n">
        <v>0</v>
      </c>
      <c r="K906" t="n">
        <v>0</v>
      </c>
      <c r="L906" t="n">
        <v>0</v>
      </c>
      <c r="M906" t="n">
        <v>0</v>
      </c>
      <c r="N906" t="n">
        <v>0</v>
      </c>
      <c r="O906" t="n">
        <v>0</v>
      </c>
      <c r="P906" t="n">
        <v>0</v>
      </c>
      <c r="Q906" t="n">
        <v>0</v>
      </c>
      <c r="R906" s="2" t="inlineStr"/>
    </row>
    <row r="907" ht="15" customHeight="1">
      <c r="A907" t="inlineStr">
        <is>
          <t>A 3955-2021</t>
        </is>
      </c>
      <c r="B907" s="1" t="n">
        <v>44222</v>
      </c>
      <c r="C907" s="1" t="n">
        <v>45992</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52503-2023</t>
        </is>
      </c>
      <c r="B908" s="1" t="n">
        <v>45225.46480324074</v>
      </c>
      <c r="C908" s="1" t="n">
        <v>45992</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59585-2023</t>
        </is>
      </c>
      <c r="B909" s="1" t="n">
        <v>45254</v>
      </c>
      <c r="C909" s="1" t="n">
        <v>45992</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6989-2022</t>
        </is>
      </c>
      <c r="B910" s="1" t="n">
        <v>44603</v>
      </c>
      <c r="C910" s="1" t="n">
        <v>45992</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32553-2024</t>
        </is>
      </c>
      <c r="B911" s="1" t="n">
        <v>45513.51815972223</v>
      </c>
      <c r="C911" s="1" t="n">
        <v>45992</v>
      </c>
      <c r="D911" t="inlineStr">
        <is>
          <t>UPPSALA LÄN</t>
        </is>
      </c>
      <c r="E911" t="inlineStr">
        <is>
          <t>UPPSALA</t>
        </is>
      </c>
      <c r="F911" t="inlineStr">
        <is>
          <t>Bergvik skog öst AB</t>
        </is>
      </c>
      <c r="G911" t="n">
        <v>4.1</v>
      </c>
      <c r="H911" t="n">
        <v>0</v>
      </c>
      <c r="I911" t="n">
        <v>0</v>
      </c>
      <c r="J911" t="n">
        <v>0</v>
      </c>
      <c r="K911" t="n">
        <v>0</v>
      </c>
      <c r="L911" t="n">
        <v>0</v>
      </c>
      <c r="M911" t="n">
        <v>0</v>
      </c>
      <c r="N911" t="n">
        <v>0</v>
      </c>
      <c r="O911" t="n">
        <v>0</v>
      </c>
      <c r="P911" t="n">
        <v>0</v>
      </c>
      <c r="Q911" t="n">
        <v>0</v>
      </c>
      <c r="R911" s="2" t="inlineStr"/>
    </row>
    <row r="912" ht="15" customHeight="1">
      <c r="A912" t="inlineStr">
        <is>
          <t>A 46807-2022</t>
        </is>
      </c>
      <c r="B912" s="1" t="n">
        <v>44848</v>
      </c>
      <c r="C912" s="1" t="n">
        <v>45992</v>
      </c>
      <c r="D912" t="inlineStr">
        <is>
          <t>UPPSALA LÄN</t>
        </is>
      </c>
      <c r="E912" t="inlineStr">
        <is>
          <t>UPPSALA</t>
        </is>
      </c>
      <c r="G912" t="n">
        <v>2</v>
      </c>
      <c r="H912" t="n">
        <v>0</v>
      </c>
      <c r="I912" t="n">
        <v>0</v>
      </c>
      <c r="J912" t="n">
        <v>0</v>
      </c>
      <c r="K912" t="n">
        <v>0</v>
      </c>
      <c r="L912" t="n">
        <v>0</v>
      </c>
      <c r="M912" t="n">
        <v>0</v>
      </c>
      <c r="N912" t="n">
        <v>0</v>
      </c>
      <c r="O912" t="n">
        <v>0</v>
      </c>
      <c r="P912" t="n">
        <v>0</v>
      </c>
      <c r="Q912" t="n">
        <v>0</v>
      </c>
      <c r="R912" s="2" t="inlineStr"/>
    </row>
    <row r="913" ht="15" customHeight="1">
      <c r="A913" t="inlineStr">
        <is>
          <t>A 44781-2021</t>
        </is>
      </c>
      <c r="B913" s="1" t="n">
        <v>44438</v>
      </c>
      <c r="C913" s="1" t="n">
        <v>45992</v>
      </c>
      <c r="D913" t="inlineStr">
        <is>
          <t>UPPSALA LÄN</t>
        </is>
      </c>
      <c r="E913" t="inlineStr">
        <is>
          <t>UPPSALA</t>
        </is>
      </c>
      <c r="F913" t="inlineStr">
        <is>
          <t>Sveaskog</t>
        </is>
      </c>
      <c r="G913" t="n">
        <v>0.1</v>
      </c>
      <c r="H913" t="n">
        <v>0</v>
      </c>
      <c r="I913" t="n">
        <v>0</v>
      </c>
      <c r="J913" t="n">
        <v>0</v>
      </c>
      <c r="K913" t="n">
        <v>0</v>
      </c>
      <c r="L913" t="n">
        <v>0</v>
      </c>
      <c r="M913" t="n">
        <v>0</v>
      </c>
      <c r="N913" t="n">
        <v>0</v>
      </c>
      <c r="O913" t="n">
        <v>0</v>
      </c>
      <c r="P913" t="n">
        <v>0</v>
      </c>
      <c r="Q913" t="n">
        <v>0</v>
      </c>
      <c r="R913" s="2" t="inlineStr"/>
    </row>
    <row r="914" ht="15" customHeight="1">
      <c r="A914" t="inlineStr">
        <is>
          <t>A 5605-2025</t>
        </is>
      </c>
      <c r="B914" s="1" t="n">
        <v>45693</v>
      </c>
      <c r="C914" s="1" t="n">
        <v>45992</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12507-2024</t>
        </is>
      </c>
      <c r="B915" s="1" t="n">
        <v>45379</v>
      </c>
      <c r="C915" s="1" t="n">
        <v>45992</v>
      </c>
      <c r="D915" t="inlineStr">
        <is>
          <t>UPPSALA LÄN</t>
        </is>
      </c>
      <c r="E915" t="inlineStr">
        <is>
          <t>UPPSALA</t>
        </is>
      </c>
      <c r="G915" t="n">
        <v>4.6</v>
      </c>
      <c r="H915" t="n">
        <v>0</v>
      </c>
      <c r="I915" t="n">
        <v>0</v>
      </c>
      <c r="J915" t="n">
        <v>0</v>
      </c>
      <c r="K915" t="n">
        <v>0</v>
      </c>
      <c r="L915" t="n">
        <v>0</v>
      </c>
      <c r="M915" t="n">
        <v>0</v>
      </c>
      <c r="N915" t="n">
        <v>0</v>
      </c>
      <c r="O915" t="n">
        <v>0</v>
      </c>
      <c r="P915" t="n">
        <v>0</v>
      </c>
      <c r="Q915" t="n">
        <v>0</v>
      </c>
      <c r="R915" s="2" t="inlineStr"/>
    </row>
    <row r="916" ht="15" customHeight="1">
      <c r="A916" t="inlineStr">
        <is>
          <t>A 4065-2024</t>
        </is>
      </c>
      <c r="B916" s="1" t="n">
        <v>45323.55914351852</v>
      </c>
      <c r="C916" s="1" t="n">
        <v>45992</v>
      </c>
      <c r="D916" t="inlineStr">
        <is>
          <t>UPPSALA LÄN</t>
        </is>
      </c>
      <c r="E916" t="inlineStr">
        <is>
          <t>UPPSALA</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4059-2022</t>
        </is>
      </c>
      <c r="B917" s="1" t="n">
        <v>44588</v>
      </c>
      <c r="C917" s="1" t="n">
        <v>45992</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54715-2022</t>
        </is>
      </c>
      <c r="B918" s="1" t="n">
        <v>44883</v>
      </c>
      <c r="C918" s="1" t="n">
        <v>45992</v>
      </c>
      <c r="D918" t="inlineStr">
        <is>
          <t>UPPSALA LÄN</t>
        </is>
      </c>
      <c r="E918" t="inlineStr">
        <is>
          <t>UPPSALA</t>
        </is>
      </c>
      <c r="F918" t="inlineStr">
        <is>
          <t>Övriga Aktiebolag</t>
        </is>
      </c>
      <c r="G918" t="n">
        <v>9.5</v>
      </c>
      <c r="H918" t="n">
        <v>0</v>
      </c>
      <c r="I918" t="n">
        <v>0</v>
      </c>
      <c r="J918" t="n">
        <v>0</v>
      </c>
      <c r="K918" t="n">
        <v>0</v>
      </c>
      <c r="L918" t="n">
        <v>0</v>
      </c>
      <c r="M918" t="n">
        <v>0</v>
      </c>
      <c r="N918" t="n">
        <v>0</v>
      </c>
      <c r="O918" t="n">
        <v>0</v>
      </c>
      <c r="P918" t="n">
        <v>0</v>
      </c>
      <c r="Q918" t="n">
        <v>0</v>
      </c>
      <c r="R918" s="2" t="inlineStr"/>
    </row>
    <row r="919" ht="15" customHeight="1">
      <c r="A919" t="inlineStr">
        <is>
          <t>A 6973-2025</t>
        </is>
      </c>
      <c r="B919" s="1" t="n">
        <v>45693</v>
      </c>
      <c r="C919" s="1" t="n">
        <v>45992</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74019-2021</t>
        </is>
      </c>
      <c r="B920" s="1" t="n">
        <v>44553</v>
      </c>
      <c r="C920" s="1" t="n">
        <v>45992</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19613-2025</t>
        </is>
      </c>
      <c r="B921" s="1" t="n">
        <v>45770.61341435185</v>
      </c>
      <c r="C921" s="1" t="n">
        <v>45992</v>
      </c>
      <c r="D921" t="inlineStr">
        <is>
          <t>UPPSALA LÄN</t>
        </is>
      </c>
      <c r="E921" t="inlineStr">
        <is>
          <t>UPPSALA</t>
        </is>
      </c>
      <c r="F921" t="inlineStr">
        <is>
          <t>Övriga Aktiebolag</t>
        </is>
      </c>
      <c r="G921" t="n">
        <v>2.2</v>
      </c>
      <c r="H921" t="n">
        <v>0</v>
      </c>
      <c r="I921" t="n">
        <v>0</v>
      </c>
      <c r="J921" t="n">
        <v>0</v>
      </c>
      <c r="K921" t="n">
        <v>0</v>
      </c>
      <c r="L921" t="n">
        <v>0</v>
      </c>
      <c r="M921" t="n">
        <v>0</v>
      </c>
      <c r="N921" t="n">
        <v>0</v>
      </c>
      <c r="O921" t="n">
        <v>0</v>
      </c>
      <c r="P921" t="n">
        <v>0</v>
      </c>
      <c r="Q921" t="n">
        <v>0</v>
      </c>
      <c r="R921" s="2" t="inlineStr"/>
    </row>
    <row r="922" ht="15" customHeight="1">
      <c r="A922" t="inlineStr">
        <is>
          <t>A 27119-2023</t>
        </is>
      </c>
      <c r="B922" s="1" t="n">
        <v>45096</v>
      </c>
      <c r="C922" s="1" t="n">
        <v>45992</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35906-2023</t>
        </is>
      </c>
      <c r="B923" s="1" t="n">
        <v>45148</v>
      </c>
      <c r="C923" s="1" t="n">
        <v>45992</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9295-2023</t>
        </is>
      </c>
      <c r="B924" s="1" t="n">
        <v>44980</v>
      </c>
      <c r="C924" s="1" t="n">
        <v>45992</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29019-2023</t>
        </is>
      </c>
      <c r="B925" s="1" t="n">
        <v>45104.6828125</v>
      </c>
      <c r="C925" s="1" t="n">
        <v>45992</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28782-2024</t>
        </is>
      </c>
      <c r="B926" s="1" t="n">
        <v>45478.60802083334</v>
      </c>
      <c r="C926" s="1" t="n">
        <v>45992</v>
      </c>
      <c r="D926" t="inlineStr">
        <is>
          <t>UPPSALA LÄN</t>
        </is>
      </c>
      <c r="E926" t="inlineStr">
        <is>
          <t>UPPSALA</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27125-2023</t>
        </is>
      </c>
      <c r="B927" s="1" t="n">
        <v>45096</v>
      </c>
      <c r="C927" s="1" t="n">
        <v>45992</v>
      </c>
      <c r="D927" t="inlineStr">
        <is>
          <t>UPPSALA LÄN</t>
        </is>
      </c>
      <c r="E927" t="inlineStr">
        <is>
          <t>UPPSALA</t>
        </is>
      </c>
      <c r="G927" t="n">
        <v>0.6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45992</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53900-2023</t>
        </is>
      </c>
      <c r="B929" s="1" t="n">
        <v>45231.54601851852</v>
      </c>
      <c r="C929" s="1" t="n">
        <v>45992</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8132-2022</t>
        </is>
      </c>
      <c r="B930" s="1" t="n">
        <v>44609.60171296296</v>
      </c>
      <c r="C930" s="1" t="n">
        <v>45992</v>
      </c>
      <c r="D930" t="inlineStr">
        <is>
          <t>UPPSALA LÄN</t>
        </is>
      </c>
      <c r="E930" t="inlineStr">
        <is>
          <t>UPPSALA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45992</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18058-2025</t>
        </is>
      </c>
      <c r="B932" s="1" t="n">
        <v>45761.47748842592</v>
      </c>
      <c r="C932" s="1" t="n">
        <v>45992</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40872-2023</t>
        </is>
      </c>
      <c r="B933" s="1" t="n">
        <v>45173</v>
      </c>
      <c r="C933" s="1" t="n">
        <v>45992</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6550-2025</t>
        </is>
      </c>
      <c r="B934" s="1" t="n">
        <v>45699.71063657408</v>
      </c>
      <c r="C934" s="1" t="n">
        <v>45992</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55862-2022</t>
        </is>
      </c>
      <c r="B935" s="1" t="n">
        <v>44888</v>
      </c>
      <c r="C935" s="1" t="n">
        <v>45992</v>
      </c>
      <c r="D935" t="inlineStr">
        <is>
          <t>UPPSALA LÄN</t>
        </is>
      </c>
      <c r="E935" t="inlineStr">
        <is>
          <t>UPPSALA</t>
        </is>
      </c>
      <c r="F935" t="inlineStr">
        <is>
          <t>Bergvik skog öst AB</t>
        </is>
      </c>
      <c r="G935" t="n">
        <v>1.6</v>
      </c>
      <c r="H935" t="n">
        <v>0</v>
      </c>
      <c r="I935" t="n">
        <v>0</v>
      </c>
      <c r="J935" t="n">
        <v>0</v>
      </c>
      <c r="K935" t="n">
        <v>0</v>
      </c>
      <c r="L935" t="n">
        <v>0</v>
      </c>
      <c r="M935" t="n">
        <v>0</v>
      </c>
      <c r="N935" t="n">
        <v>0</v>
      </c>
      <c r="O935" t="n">
        <v>0</v>
      </c>
      <c r="P935" t="n">
        <v>0</v>
      </c>
      <c r="Q935" t="n">
        <v>0</v>
      </c>
      <c r="R935" s="2" t="inlineStr"/>
    </row>
    <row r="936" ht="15" customHeight="1">
      <c r="A936" t="inlineStr">
        <is>
          <t>A 32428-2023</t>
        </is>
      </c>
      <c r="B936" s="1" t="n">
        <v>45110</v>
      </c>
      <c r="C936" s="1" t="n">
        <v>45992</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49050-2024</t>
        </is>
      </c>
      <c r="B937" s="1" t="n">
        <v>45594</v>
      </c>
      <c r="C937" s="1" t="n">
        <v>45992</v>
      </c>
      <c r="D937" t="inlineStr">
        <is>
          <t>UPPSALA LÄN</t>
        </is>
      </c>
      <c r="E937" t="inlineStr">
        <is>
          <t>UPPSALA</t>
        </is>
      </c>
      <c r="F937" t="inlineStr">
        <is>
          <t>Övriga statliga verk och myndigheter</t>
        </is>
      </c>
      <c r="G937" t="n">
        <v>3.9</v>
      </c>
      <c r="H937" t="n">
        <v>0</v>
      </c>
      <c r="I937" t="n">
        <v>0</v>
      </c>
      <c r="J937" t="n">
        <v>0</v>
      </c>
      <c r="K937" t="n">
        <v>0</v>
      </c>
      <c r="L937" t="n">
        <v>0</v>
      </c>
      <c r="M937" t="n">
        <v>0</v>
      </c>
      <c r="N937" t="n">
        <v>0</v>
      </c>
      <c r="O937" t="n">
        <v>0</v>
      </c>
      <c r="P937" t="n">
        <v>0</v>
      </c>
      <c r="Q937" t="n">
        <v>0</v>
      </c>
      <c r="R937" s="2" t="inlineStr"/>
    </row>
    <row r="938" ht="15" customHeight="1">
      <c r="A938" t="inlineStr">
        <is>
          <t>A 10383-2022</t>
        </is>
      </c>
      <c r="B938" s="1" t="n">
        <v>44623.41775462963</v>
      </c>
      <c r="C938" s="1" t="n">
        <v>45992</v>
      </c>
      <c r="D938" t="inlineStr">
        <is>
          <t>UPPSALA LÄN</t>
        </is>
      </c>
      <c r="E938" t="inlineStr">
        <is>
          <t>UPPSALA</t>
        </is>
      </c>
      <c r="F938" t="inlineStr">
        <is>
          <t>Övriga Aktiebolag</t>
        </is>
      </c>
      <c r="G938" t="n">
        <v>2.8</v>
      </c>
      <c r="H938" t="n">
        <v>0</v>
      </c>
      <c r="I938" t="n">
        <v>0</v>
      </c>
      <c r="J938" t="n">
        <v>0</v>
      </c>
      <c r="K938" t="n">
        <v>0</v>
      </c>
      <c r="L938" t="n">
        <v>0</v>
      </c>
      <c r="M938" t="n">
        <v>0</v>
      </c>
      <c r="N938" t="n">
        <v>0</v>
      </c>
      <c r="O938" t="n">
        <v>0</v>
      </c>
      <c r="P938" t="n">
        <v>0</v>
      </c>
      <c r="Q938" t="n">
        <v>0</v>
      </c>
      <c r="R938" s="2" t="inlineStr"/>
    </row>
    <row r="939" ht="15" customHeight="1">
      <c r="A939" t="inlineStr">
        <is>
          <t>A 60691-2024</t>
        </is>
      </c>
      <c r="B939" s="1" t="n">
        <v>45644.47723379629</v>
      </c>
      <c r="C939" s="1" t="n">
        <v>45992</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23157-2023</t>
        </is>
      </c>
      <c r="B940" s="1" t="n">
        <v>45075.51982638889</v>
      </c>
      <c r="C940" s="1" t="n">
        <v>45992</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53589-2024</t>
        </is>
      </c>
      <c r="B941" s="1" t="n">
        <v>45614.67020833334</v>
      </c>
      <c r="C941" s="1" t="n">
        <v>45992</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35914-2023</t>
        </is>
      </c>
      <c r="B942" s="1" t="n">
        <v>45148</v>
      </c>
      <c r="C942" s="1" t="n">
        <v>45992</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35916-2023</t>
        </is>
      </c>
      <c r="B943" s="1" t="n">
        <v>45148</v>
      </c>
      <c r="C943" s="1" t="n">
        <v>45992</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43029-2023</t>
        </is>
      </c>
      <c r="B944" s="1" t="n">
        <v>45182</v>
      </c>
      <c r="C944" s="1" t="n">
        <v>45992</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61947-2023</t>
        </is>
      </c>
      <c r="B945" s="1" t="n">
        <v>45266</v>
      </c>
      <c r="C945" s="1" t="n">
        <v>45992</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61574-2024</t>
        </is>
      </c>
      <c r="B946" s="1" t="n">
        <v>45646.61892361111</v>
      </c>
      <c r="C946" s="1" t="n">
        <v>45992</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25462-2023</t>
        </is>
      </c>
      <c r="B947" s="1" t="n">
        <v>45089</v>
      </c>
      <c r="C947" s="1" t="n">
        <v>45992</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14337-2022</t>
        </is>
      </c>
      <c r="B948" s="1" t="n">
        <v>44652</v>
      </c>
      <c r="C948" s="1" t="n">
        <v>45992</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46745-2024</t>
        </is>
      </c>
      <c r="B949" s="1" t="n">
        <v>45583</v>
      </c>
      <c r="C949" s="1" t="n">
        <v>45992</v>
      </c>
      <c r="D949" t="inlineStr">
        <is>
          <t>UPPSALA LÄN</t>
        </is>
      </c>
      <c r="E949" t="inlineStr">
        <is>
          <t>UPPSALA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46748-2024</t>
        </is>
      </c>
      <c r="B950" s="1" t="n">
        <v>45583</v>
      </c>
      <c r="C950" s="1" t="n">
        <v>45992</v>
      </c>
      <c r="D950" t="inlineStr">
        <is>
          <t>UPPSALA LÄN</t>
        </is>
      </c>
      <c r="E950" t="inlineStr">
        <is>
          <t>UPPSALA</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6541-2025</t>
        </is>
      </c>
      <c r="B951" s="1" t="n">
        <v>45699</v>
      </c>
      <c r="C951" s="1" t="n">
        <v>45992</v>
      </c>
      <c r="D951" t="inlineStr">
        <is>
          <t>UPPSALA LÄN</t>
        </is>
      </c>
      <c r="E951" t="inlineStr">
        <is>
          <t>UPPSALA</t>
        </is>
      </c>
      <c r="G951" t="n">
        <v>1.5</v>
      </c>
      <c r="H951" t="n">
        <v>0</v>
      </c>
      <c r="I951" t="n">
        <v>0</v>
      </c>
      <c r="J951" t="n">
        <v>0</v>
      </c>
      <c r="K951" t="n">
        <v>0</v>
      </c>
      <c r="L951" t="n">
        <v>0</v>
      </c>
      <c r="M951" t="n">
        <v>0</v>
      </c>
      <c r="N951" t="n">
        <v>0</v>
      </c>
      <c r="O951" t="n">
        <v>0</v>
      </c>
      <c r="P951" t="n">
        <v>0</v>
      </c>
      <c r="Q951" t="n">
        <v>0</v>
      </c>
      <c r="R951" s="2" t="inlineStr"/>
    </row>
    <row r="952" ht="15" customHeight="1">
      <c r="A952" t="inlineStr">
        <is>
          <t>A 33562-2023</t>
        </is>
      </c>
      <c r="B952" s="1" t="n">
        <v>45131</v>
      </c>
      <c r="C952" s="1" t="n">
        <v>45992</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5725-2025</t>
        </is>
      </c>
      <c r="B953" s="1" t="n">
        <v>45694</v>
      </c>
      <c r="C953" s="1" t="n">
        <v>45992</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10565-2022</t>
        </is>
      </c>
      <c r="B954" s="1" t="n">
        <v>44624.35083333333</v>
      </c>
      <c r="C954" s="1" t="n">
        <v>45992</v>
      </c>
      <c r="D954" t="inlineStr">
        <is>
          <t>UPPSALA LÄN</t>
        </is>
      </c>
      <c r="E954" t="inlineStr">
        <is>
          <t>UPPSALA</t>
        </is>
      </c>
      <c r="F954" t="inlineStr">
        <is>
          <t>Bergvik skog öst AB</t>
        </is>
      </c>
      <c r="G954" t="n">
        <v>1.3</v>
      </c>
      <c r="H954" t="n">
        <v>0</v>
      </c>
      <c r="I954" t="n">
        <v>0</v>
      </c>
      <c r="J954" t="n">
        <v>0</v>
      </c>
      <c r="K954" t="n">
        <v>0</v>
      </c>
      <c r="L954" t="n">
        <v>0</v>
      </c>
      <c r="M954" t="n">
        <v>0</v>
      </c>
      <c r="N954" t="n">
        <v>0</v>
      </c>
      <c r="O954" t="n">
        <v>0</v>
      </c>
      <c r="P954" t="n">
        <v>0</v>
      </c>
      <c r="Q954" t="n">
        <v>0</v>
      </c>
      <c r="R954" s="2" t="inlineStr"/>
    </row>
    <row r="955" ht="15" customHeight="1">
      <c r="A955" t="inlineStr">
        <is>
          <t>A 4240-2025</t>
        </is>
      </c>
      <c r="B955" s="1" t="n">
        <v>45685.5778125</v>
      </c>
      <c r="C955" s="1" t="n">
        <v>45992</v>
      </c>
      <c r="D955" t="inlineStr">
        <is>
          <t>UPPSALA LÄN</t>
        </is>
      </c>
      <c r="E955" t="inlineStr">
        <is>
          <t>UPPSALA</t>
        </is>
      </c>
      <c r="G955" t="n">
        <v>1.2</v>
      </c>
      <c r="H955" t="n">
        <v>0</v>
      </c>
      <c r="I955" t="n">
        <v>0</v>
      </c>
      <c r="J955" t="n">
        <v>0</v>
      </c>
      <c r="K955" t="n">
        <v>0</v>
      </c>
      <c r="L955" t="n">
        <v>0</v>
      </c>
      <c r="M955" t="n">
        <v>0</v>
      </c>
      <c r="N955" t="n">
        <v>0</v>
      </c>
      <c r="O955" t="n">
        <v>0</v>
      </c>
      <c r="P955" t="n">
        <v>0</v>
      </c>
      <c r="Q955" t="n">
        <v>0</v>
      </c>
      <c r="R955" s="2" t="inlineStr"/>
    </row>
    <row r="956" ht="15" customHeight="1">
      <c r="A956" t="inlineStr">
        <is>
          <t>A 27599-2023</t>
        </is>
      </c>
      <c r="B956" s="1" t="n">
        <v>45097</v>
      </c>
      <c r="C956" s="1" t="n">
        <v>45992</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20301-2024</t>
        </is>
      </c>
      <c r="B957" s="1" t="n">
        <v>45435.34778935185</v>
      </c>
      <c r="C957" s="1" t="n">
        <v>45992</v>
      </c>
      <c r="D957" t="inlineStr">
        <is>
          <t>UPPSALA LÄN</t>
        </is>
      </c>
      <c r="E957" t="inlineStr">
        <is>
          <t>UPPSALA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57714-2022</t>
        </is>
      </c>
      <c r="B958" s="1" t="n">
        <v>44897</v>
      </c>
      <c r="C958" s="1" t="n">
        <v>45992</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3260-2024</t>
        </is>
      </c>
      <c r="B959" s="1" t="n">
        <v>45317</v>
      </c>
      <c r="C959" s="1" t="n">
        <v>45992</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42273-2023</t>
        </is>
      </c>
      <c r="B960" s="1" t="n">
        <v>45180.40255787037</v>
      </c>
      <c r="C960" s="1" t="n">
        <v>45992</v>
      </c>
      <c r="D960" t="inlineStr">
        <is>
          <t>UPPSALA LÄN</t>
        </is>
      </c>
      <c r="E960" t="inlineStr">
        <is>
          <t>UPPSALA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53615-2024</t>
        </is>
      </c>
      <c r="B961" s="1" t="n">
        <v>45611</v>
      </c>
      <c r="C961" s="1" t="n">
        <v>45992</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19380-2023</t>
        </is>
      </c>
      <c r="B962" s="1" t="n">
        <v>45049.66025462963</v>
      </c>
      <c r="C962" s="1" t="n">
        <v>45992</v>
      </c>
      <c r="D962" t="inlineStr">
        <is>
          <t>UPPSALA LÄN</t>
        </is>
      </c>
      <c r="E962" t="inlineStr">
        <is>
          <t>UPPSALA</t>
        </is>
      </c>
      <c r="G962" t="n">
        <v>1</v>
      </c>
      <c r="H962" t="n">
        <v>0</v>
      </c>
      <c r="I962" t="n">
        <v>0</v>
      </c>
      <c r="J962" t="n">
        <v>0</v>
      </c>
      <c r="K962" t="n">
        <v>0</v>
      </c>
      <c r="L962" t="n">
        <v>0</v>
      </c>
      <c r="M962" t="n">
        <v>0</v>
      </c>
      <c r="N962" t="n">
        <v>0</v>
      </c>
      <c r="O962" t="n">
        <v>0</v>
      </c>
      <c r="P962" t="n">
        <v>0</v>
      </c>
      <c r="Q962" t="n">
        <v>0</v>
      </c>
      <c r="R962" s="2" t="inlineStr"/>
    </row>
    <row r="963" ht="15" customHeight="1">
      <c r="A963" t="inlineStr">
        <is>
          <t>A 37618-2023</t>
        </is>
      </c>
      <c r="B963" s="1" t="n">
        <v>45159.44694444445</v>
      </c>
      <c r="C963" s="1" t="n">
        <v>45992</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59521-2023</t>
        </is>
      </c>
      <c r="B964" s="1" t="n">
        <v>45254.49552083333</v>
      </c>
      <c r="C964" s="1" t="n">
        <v>45992</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7226-2024</t>
        </is>
      </c>
      <c r="B965" s="1" t="n">
        <v>45344.64759259259</v>
      </c>
      <c r="C965" s="1" t="n">
        <v>45992</v>
      </c>
      <c r="D965" t="inlineStr">
        <is>
          <t>UPPSALA LÄN</t>
        </is>
      </c>
      <c r="E965" t="inlineStr">
        <is>
          <t>UPPSALA</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19345-2025</t>
        </is>
      </c>
      <c r="B966" s="1" t="n">
        <v>45769.6009375</v>
      </c>
      <c r="C966" s="1" t="n">
        <v>45992</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18410-2025</t>
        </is>
      </c>
      <c r="B967" s="1" t="n">
        <v>45762.61341435185</v>
      </c>
      <c r="C967" s="1" t="n">
        <v>45992</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8404-2022</t>
        </is>
      </c>
      <c r="B968" s="1" t="n">
        <v>44610</v>
      </c>
      <c r="C968" s="1" t="n">
        <v>45992</v>
      </c>
      <c r="D968" t="inlineStr">
        <is>
          <t>UPPSALA LÄN</t>
        </is>
      </c>
      <c r="E968" t="inlineStr">
        <is>
          <t>UPPSALA</t>
        </is>
      </c>
      <c r="F968" t="inlineStr">
        <is>
          <t>Allmännings- och besparingsskogar</t>
        </is>
      </c>
      <c r="G968" t="n">
        <v>5.4</v>
      </c>
      <c r="H968" t="n">
        <v>0</v>
      </c>
      <c r="I968" t="n">
        <v>0</v>
      </c>
      <c r="J968" t="n">
        <v>0</v>
      </c>
      <c r="K968" t="n">
        <v>0</v>
      </c>
      <c r="L968" t="n">
        <v>0</v>
      </c>
      <c r="M968" t="n">
        <v>0</v>
      </c>
      <c r="N968" t="n">
        <v>0</v>
      </c>
      <c r="O968" t="n">
        <v>0</v>
      </c>
      <c r="P968" t="n">
        <v>0</v>
      </c>
      <c r="Q968" t="n">
        <v>0</v>
      </c>
      <c r="R968" s="2" t="inlineStr"/>
    </row>
    <row r="969" ht="15" customHeight="1">
      <c r="A969" t="inlineStr">
        <is>
          <t>A 23291-2024</t>
        </is>
      </c>
      <c r="B969" s="1" t="n">
        <v>45453</v>
      </c>
      <c r="C969" s="1" t="n">
        <v>45992</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59562-2024</t>
        </is>
      </c>
      <c r="B970" s="1" t="n">
        <v>45638</v>
      </c>
      <c r="C970" s="1" t="n">
        <v>45992</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20797-2025</t>
        </is>
      </c>
      <c r="B971" s="1" t="n">
        <v>45776.6415162037</v>
      </c>
      <c r="C971" s="1" t="n">
        <v>45992</v>
      </c>
      <c r="D971" t="inlineStr">
        <is>
          <t>UPPSALA LÄN</t>
        </is>
      </c>
      <c r="E971" t="inlineStr">
        <is>
          <t>UPPSALA</t>
        </is>
      </c>
      <c r="F971" t="inlineStr">
        <is>
          <t>Kommuner</t>
        </is>
      </c>
      <c r="G971" t="n">
        <v>4.6</v>
      </c>
      <c r="H971" t="n">
        <v>0</v>
      </c>
      <c r="I971" t="n">
        <v>0</v>
      </c>
      <c r="J971" t="n">
        <v>0</v>
      </c>
      <c r="K971" t="n">
        <v>0</v>
      </c>
      <c r="L971" t="n">
        <v>0</v>
      </c>
      <c r="M971" t="n">
        <v>0</v>
      </c>
      <c r="N971" t="n">
        <v>0</v>
      </c>
      <c r="O971" t="n">
        <v>0</v>
      </c>
      <c r="P971" t="n">
        <v>0</v>
      </c>
      <c r="Q971" t="n">
        <v>0</v>
      </c>
      <c r="R971" s="2" t="inlineStr"/>
    </row>
    <row r="972" ht="15" customHeight="1">
      <c r="A972" t="inlineStr">
        <is>
          <t>A 33667-2024</t>
        </is>
      </c>
      <c r="B972" s="1" t="n">
        <v>45520</v>
      </c>
      <c r="C972" s="1" t="n">
        <v>45992</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20888-2025</t>
        </is>
      </c>
      <c r="B973" s="1" t="n">
        <v>45777.37119212963</v>
      </c>
      <c r="C973" s="1" t="n">
        <v>45992</v>
      </c>
      <c r="D973" t="inlineStr">
        <is>
          <t>UPPSALA LÄN</t>
        </is>
      </c>
      <c r="E973" t="inlineStr">
        <is>
          <t>UPPSALA</t>
        </is>
      </c>
      <c r="F973" t="inlineStr">
        <is>
          <t>Övriga statliga verk och myndigheter</t>
        </is>
      </c>
      <c r="G973" t="n">
        <v>5.1</v>
      </c>
      <c r="H973" t="n">
        <v>0</v>
      </c>
      <c r="I973" t="n">
        <v>0</v>
      </c>
      <c r="J973" t="n">
        <v>0</v>
      </c>
      <c r="K973" t="n">
        <v>0</v>
      </c>
      <c r="L973" t="n">
        <v>0</v>
      </c>
      <c r="M973" t="n">
        <v>0</v>
      </c>
      <c r="N973" t="n">
        <v>0</v>
      </c>
      <c r="O973" t="n">
        <v>0</v>
      </c>
      <c r="P973" t="n">
        <v>0</v>
      </c>
      <c r="Q973" t="n">
        <v>0</v>
      </c>
      <c r="R973" s="2" t="inlineStr"/>
    </row>
    <row r="974" ht="15" customHeight="1">
      <c r="A974" t="inlineStr">
        <is>
          <t>A 20928-2025</t>
        </is>
      </c>
      <c r="B974" s="1" t="n">
        <v>45777</v>
      </c>
      <c r="C974" s="1" t="n">
        <v>45992</v>
      </c>
      <c r="D974" t="inlineStr">
        <is>
          <t>UPPSALA LÄN</t>
        </is>
      </c>
      <c r="E974" t="inlineStr">
        <is>
          <t>UPPSALA</t>
        </is>
      </c>
      <c r="G974" t="n">
        <v>11.9</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45992</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20686-2025</t>
        </is>
      </c>
      <c r="B976" s="1" t="n">
        <v>45776.45263888889</v>
      </c>
      <c r="C976" s="1" t="n">
        <v>45992</v>
      </c>
      <c r="D976" t="inlineStr">
        <is>
          <t>UPPSALA LÄN</t>
        </is>
      </c>
      <c r="E976" t="inlineStr">
        <is>
          <t>UPPSALA</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21033-2025</t>
        </is>
      </c>
      <c r="B977" s="1" t="n">
        <v>45777.52655092593</v>
      </c>
      <c r="C977" s="1" t="n">
        <v>45992</v>
      </c>
      <c r="D977" t="inlineStr">
        <is>
          <t>UPPSALA LÄN</t>
        </is>
      </c>
      <c r="E977" t="inlineStr">
        <is>
          <t>UPPSALA</t>
        </is>
      </c>
      <c r="G977" t="n">
        <v>2.2</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45992</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44847-2024</t>
        </is>
      </c>
      <c r="B979" s="1" t="n">
        <v>45574</v>
      </c>
      <c r="C979" s="1" t="n">
        <v>45992</v>
      </c>
      <c r="D979" t="inlineStr">
        <is>
          <t>UPPSALA LÄN</t>
        </is>
      </c>
      <c r="E979" t="inlineStr">
        <is>
          <t>UPPSALA</t>
        </is>
      </c>
      <c r="G979" t="n">
        <v>6.3</v>
      </c>
      <c r="H979" t="n">
        <v>0</v>
      </c>
      <c r="I979" t="n">
        <v>0</v>
      </c>
      <c r="J979" t="n">
        <v>0</v>
      </c>
      <c r="K979" t="n">
        <v>0</v>
      </c>
      <c r="L979" t="n">
        <v>0</v>
      </c>
      <c r="M979" t="n">
        <v>0</v>
      </c>
      <c r="N979" t="n">
        <v>0</v>
      </c>
      <c r="O979" t="n">
        <v>0</v>
      </c>
      <c r="P979" t="n">
        <v>0</v>
      </c>
      <c r="Q979" t="n">
        <v>0</v>
      </c>
      <c r="R979" s="2" t="inlineStr"/>
    </row>
    <row r="980" ht="15" customHeight="1">
      <c r="A980" t="inlineStr">
        <is>
          <t>A 20703-2025</t>
        </is>
      </c>
      <c r="B980" s="1" t="n">
        <v>45776.48275462963</v>
      </c>
      <c r="C980" s="1" t="n">
        <v>45992</v>
      </c>
      <c r="D980" t="inlineStr">
        <is>
          <t>UPPSALA LÄN</t>
        </is>
      </c>
      <c r="E980" t="inlineStr">
        <is>
          <t>UPPSALA</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20712-2025</t>
        </is>
      </c>
      <c r="B981" s="1" t="n">
        <v>45776</v>
      </c>
      <c r="C981" s="1" t="n">
        <v>45992</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20858-2025</t>
        </is>
      </c>
      <c r="B982" s="1" t="n">
        <v>45777.32731481481</v>
      </c>
      <c r="C982" s="1" t="n">
        <v>45992</v>
      </c>
      <c r="D982" t="inlineStr">
        <is>
          <t>UPPSALA LÄN</t>
        </is>
      </c>
      <c r="E982" t="inlineStr">
        <is>
          <t>UPPSALA</t>
        </is>
      </c>
      <c r="F982" t="inlineStr">
        <is>
          <t>Övriga Aktiebolag</t>
        </is>
      </c>
      <c r="G982" t="n">
        <v>4.1</v>
      </c>
      <c r="H982" t="n">
        <v>0</v>
      </c>
      <c r="I982" t="n">
        <v>0</v>
      </c>
      <c r="J982" t="n">
        <v>0</v>
      </c>
      <c r="K982" t="n">
        <v>0</v>
      </c>
      <c r="L982" t="n">
        <v>0</v>
      </c>
      <c r="M982" t="n">
        <v>0</v>
      </c>
      <c r="N982" t="n">
        <v>0</v>
      </c>
      <c r="O982" t="n">
        <v>0</v>
      </c>
      <c r="P982" t="n">
        <v>0</v>
      </c>
      <c r="Q982" t="n">
        <v>0</v>
      </c>
      <c r="R982" s="2" t="inlineStr"/>
    </row>
    <row r="983" ht="15" customHeight="1">
      <c r="A983" t="inlineStr">
        <is>
          <t>A 21217-2025</t>
        </is>
      </c>
      <c r="B983" s="1" t="n">
        <v>45779.49085648148</v>
      </c>
      <c r="C983" s="1" t="n">
        <v>45992</v>
      </c>
      <c r="D983" t="inlineStr">
        <is>
          <t>UPPSALA LÄN</t>
        </is>
      </c>
      <c r="E983" t="inlineStr">
        <is>
          <t>UPPSALA</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45992</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45992</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21748-2025</t>
        </is>
      </c>
      <c r="B986" s="1" t="n">
        <v>45783.61053240741</v>
      </c>
      <c r="C986" s="1" t="n">
        <v>45992</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22018-2025</t>
        </is>
      </c>
      <c r="B987" s="1" t="n">
        <v>45784.80497685185</v>
      </c>
      <c r="C987" s="1" t="n">
        <v>45992</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45992</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40701-2024</t>
        </is>
      </c>
      <c r="B989" s="1" t="n">
        <v>45558.42498842593</v>
      </c>
      <c r="C989" s="1" t="n">
        <v>45992</v>
      </c>
      <c r="D989" t="inlineStr">
        <is>
          <t>UPPSALA LÄN</t>
        </is>
      </c>
      <c r="E989" t="inlineStr">
        <is>
          <t>UPPSALA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758-2022</t>
        </is>
      </c>
      <c r="B990" s="1" t="n">
        <v>44569.69358796296</v>
      </c>
      <c r="C990" s="1" t="n">
        <v>45992</v>
      </c>
      <c r="D990" t="inlineStr">
        <is>
          <t>UPPSALA LÄN</t>
        </is>
      </c>
      <c r="E990" t="inlineStr">
        <is>
          <t>UPPSALA</t>
        </is>
      </c>
      <c r="F990" t="inlineStr">
        <is>
          <t>Holmen skog AB</t>
        </is>
      </c>
      <c r="G990" t="n">
        <v>5.2</v>
      </c>
      <c r="H990" t="n">
        <v>0</v>
      </c>
      <c r="I990" t="n">
        <v>0</v>
      </c>
      <c r="J990" t="n">
        <v>0</v>
      </c>
      <c r="K990" t="n">
        <v>0</v>
      </c>
      <c r="L990" t="n">
        <v>0</v>
      </c>
      <c r="M990" t="n">
        <v>0</v>
      </c>
      <c r="N990" t="n">
        <v>0</v>
      </c>
      <c r="O990" t="n">
        <v>0</v>
      </c>
      <c r="P990" t="n">
        <v>0</v>
      </c>
      <c r="Q990" t="n">
        <v>0</v>
      </c>
      <c r="R990" s="2" t="inlineStr"/>
    </row>
    <row r="991" ht="15" customHeight="1">
      <c r="A991" t="inlineStr">
        <is>
          <t>A 59570-2023</t>
        </is>
      </c>
      <c r="B991" s="1" t="n">
        <v>45254</v>
      </c>
      <c r="C991" s="1" t="n">
        <v>45992</v>
      </c>
      <c r="D991" t="inlineStr">
        <is>
          <t>UPPSALA LÄN</t>
        </is>
      </c>
      <c r="E991" t="inlineStr">
        <is>
          <t>UPPSALA</t>
        </is>
      </c>
      <c r="G991" t="n">
        <v>6.7</v>
      </c>
      <c r="H991" t="n">
        <v>0</v>
      </c>
      <c r="I991" t="n">
        <v>0</v>
      </c>
      <c r="J991" t="n">
        <v>0</v>
      </c>
      <c r="K991" t="n">
        <v>0</v>
      </c>
      <c r="L991" t="n">
        <v>0</v>
      </c>
      <c r="M991" t="n">
        <v>0</v>
      </c>
      <c r="N991" t="n">
        <v>0</v>
      </c>
      <c r="O991" t="n">
        <v>0</v>
      </c>
      <c r="P991" t="n">
        <v>0</v>
      </c>
      <c r="Q991" t="n">
        <v>0</v>
      </c>
      <c r="R991" s="2" t="inlineStr"/>
    </row>
    <row r="992" ht="15" customHeight="1">
      <c r="A992" t="inlineStr">
        <is>
          <t>A 10650-2024</t>
        </is>
      </c>
      <c r="B992" s="1" t="n">
        <v>45368.64787037037</v>
      </c>
      <c r="C992" s="1" t="n">
        <v>45992</v>
      </c>
      <c r="D992" t="inlineStr">
        <is>
          <t>UPPSALA LÄN</t>
        </is>
      </c>
      <c r="E992" t="inlineStr">
        <is>
          <t>UPPSALA</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46925-2024</t>
        </is>
      </c>
      <c r="B993" s="1" t="n">
        <v>45584.60038194444</v>
      </c>
      <c r="C993" s="1" t="n">
        <v>45992</v>
      </c>
      <c r="D993" t="inlineStr">
        <is>
          <t>UPPSALA LÄN</t>
        </is>
      </c>
      <c r="E993" t="inlineStr">
        <is>
          <t>UPPSALA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26208-2023</t>
        </is>
      </c>
      <c r="B994" s="1" t="n">
        <v>45091</v>
      </c>
      <c r="C994" s="1" t="n">
        <v>45992</v>
      </c>
      <c r="D994" t="inlineStr">
        <is>
          <t>UPPSALA LÄN</t>
        </is>
      </c>
      <c r="E994" t="inlineStr">
        <is>
          <t>UPPSALA</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11260-2024</t>
        </is>
      </c>
      <c r="B995" s="1" t="n">
        <v>45371.67368055556</v>
      </c>
      <c r="C995" s="1" t="n">
        <v>45992</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3973-2025</t>
        </is>
      </c>
      <c r="B996" s="1" t="n">
        <v>45684</v>
      </c>
      <c r="C996" s="1" t="n">
        <v>45992</v>
      </c>
      <c r="D996" t="inlineStr">
        <is>
          <t>UPPSALA LÄN</t>
        </is>
      </c>
      <c r="E996" t="inlineStr">
        <is>
          <t>UPPSALA</t>
        </is>
      </c>
      <c r="G996" t="n">
        <v>8</v>
      </c>
      <c r="H996" t="n">
        <v>0</v>
      </c>
      <c r="I996" t="n">
        <v>0</v>
      </c>
      <c r="J996" t="n">
        <v>0</v>
      </c>
      <c r="K996" t="n">
        <v>0</v>
      </c>
      <c r="L996" t="n">
        <v>0</v>
      </c>
      <c r="M996" t="n">
        <v>0</v>
      </c>
      <c r="N996" t="n">
        <v>0</v>
      </c>
      <c r="O996" t="n">
        <v>0</v>
      </c>
      <c r="P996" t="n">
        <v>0</v>
      </c>
      <c r="Q996" t="n">
        <v>0</v>
      </c>
      <c r="R996" s="2" t="inlineStr"/>
    </row>
    <row r="997" ht="15" customHeight="1">
      <c r="A997" t="inlineStr">
        <is>
          <t>A 16324-2024</t>
        </is>
      </c>
      <c r="B997" s="1" t="n">
        <v>45407.49721064815</v>
      </c>
      <c r="C997" s="1" t="n">
        <v>45992</v>
      </c>
      <c r="D997" t="inlineStr">
        <is>
          <t>UPPSALA LÄN</t>
        </is>
      </c>
      <c r="E997" t="inlineStr">
        <is>
          <t>UPPSALA</t>
        </is>
      </c>
      <c r="G997" t="n">
        <v>2.3</v>
      </c>
      <c r="H997" t="n">
        <v>0</v>
      </c>
      <c r="I997" t="n">
        <v>0</v>
      </c>
      <c r="J997" t="n">
        <v>0</v>
      </c>
      <c r="K997" t="n">
        <v>0</v>
      </c>
      <c r="L997" t="n">
        <v>0</v>
      </c>
      <c r="M997" t="n">
        <v>0</v>
      </c>
      <c r="N997" t="n">
        <v>0</v>
      </c>
      <c r="O997" t="n">
        <v>0</v>
      </c>
      <c r="P997" t="n">
        <v>0</v>
      </c>
      <c r="Q997" t="n">
        <v>0</v>
      </c>
      <c r="R997" s="2" t="inlineStr"/>
    </row>
    <row r="998" ht="15" customHeight="1">
      <c r="A998" t="inlineStr">
        <is>
          <t>A 42276-2024</t>
        </is>
      </c>
      <c r="B998" s="1" t="n">
        <v>45562</v>
      </c>
      <c r="C998" s="1" t="n">
        <v>45992</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42131-2023</t>
        </is>
      </c>
      <c r="B999" s="1" t="n">
        <v>45177.79766203704</v>
      </c>
      <c r="C999" s="1" t="n">
        <v>45992</v>
      </c>
      <c r="D999" t="inlineStr">
        <is>
          <t>UPPSALA LÄN</t>
        </is>
      </c>
      <c r="E999" t="inlineStr">
        <is>
          <t>UPPSALA</t>
        </is>
      </c>
      <c r="F999" t="inlineStr">
        <is>
          <t>Allmännings- och besparingsskogar</t>
        </is>
      </c>
      <c r="G999" t="n">
        <v>6.3</v>
      </c>
      <c r="H999" t="n">
        <v>0</v>
      </c>
      <c r="I999" t="n">
        <v>0</v>
      </c>
      <c r="J999" t="n">
        <v>0</v>
      </c>
      <c r="K999" t="n">
        <v>0</v>
      </c>
      <c r="L999" t="n">
        <v>0</v>
      </c>
      <c r="M999" t="n">
        <v>0</v>
      </c>
      <c r="N999" t="n">
        <v>0</v>
      </c>
      <c r="O999" t="n">
        <v>0</v>
      </c>
      <c r="P999" t="n">
        <v>0</v>
      </c>
      <c r="Q999" t="n">
        <v>0</v>
      </c>
      <c r="R999" s="2" t="inlineStr"/>
    </row>
    <row r="1000" ht="15" customHeight="1">
      <c r="A1000" t="inlineStr">
        <is>
          <t>A 56564-2024</t>
        </is>
      </c>
      <c r="B1000" s="1" t="n">
        <v>45625.58501157408</v>
      </c>
      <c r="C1000" s="1" t="n">
        <v>45992</v>
      </c>
      <c r="D1000" t="inlineStr">
        <is>
          <t>UPPSALA LÄN</t>
        </is>
      </c>
      <c r="E1000" t="inlineStr">
        <is>
          <t>UPPSALA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4980-2024</t>
        </is>
      </c>
      <c r="B1001" s="1" t="n">
        <v>45329</v>
      </c>
      <c r="C1001" s="1" t="n">
        <v>45992</v>
      </c>
      <c r="D1001" t="inlineStr">
        <is>
          <t>UPPSALA LÄN</t>
        </is>
      </c>
      <c r="E1001" t="inlineStr">
        <is>
          <t>UPPSALA</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750-2022</t>
        </is>
      </c>
      <c r="B1002" s="1" t="n">
        <v>44569.49344907407</v>
      </c>
      <c r="C1002" s="1" t="n">
        <v>45992</v>
      </c>
      <c r="D1002" t="inlineStr">
        <is>
          <t>UPPSALA LÄN</t>
        </is>
      </c>
      <c r="E1002" t="inlineStr">
        <is>
          <t>UPPSALA</t>
        </is>
      </c>
      <c r="F1002" t="inlineStr">
        <is>
          <t>Holmen skog AB</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46751-2024</t>
        </is>
      </c>
      <c r="B1003" s="1" t="n">
        <v>45583.48449074074</v>
      </c>
      <c r="C1003" s="1" t="n">
        <v>45992</v>
      </c>
      <c r="D1003" t="inlineStr">
        <is>
          <t>UPPSALA LÄN</t>
        </is>
      </c>
      <c r="E1003" t="inlineStr">
        <is>
          <t>UPPSALA</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45992</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11339-2025</t>
        </is>
      </c>
      <c r="B1005" s="1" t="n">
        <v>45726</v>
      </c>
      <c r="C1005" s="1" t="n">
        <v>45992</v>
      </c>
      <c r="D1005" t="inlineStr">
        <is>
          <t>UPPSALA LÄN</t>
        </is>
      </c>
      <c r="E1005" t="inlineStr">
        <is>
          <t>UPPSALA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22951-2025</t>
        </is>
      </c>
      <c r="B1006" s="1" t="n">
        <v>45790.51040509259</v>
      </c>
      <c r="C1006" s="1" t="n">
        <v>45992</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30319-2024</t>
        </is>
      </c>
      <c r="B1007" s="1" t="n">
        <v>45490</v>
      </c>
      <c r="C1007" s="1" t="n">
        <v>45992</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45885-2023</t>
        </is>
      </c>
      <c r="B1008" s="1" t="n">
        <v>45195.64807870371</v>
      </c>
      <c r="C1008" s="1" t="n">
        <v>45992</v>
      </c>
      <c r="D1008" t="inlineStr">
        <is>
          <t>UPPSALA LÄN</t>
        </is>
      </c>
      <c r="E1008" t="inlineStr">
        <is>
          <t>UPPSALA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20903-2024</t>
        </is>
      </c>
      <c r="B1009" s="1" t="n">
        <v>45439</v>
      </c>
      <c r="C1009" s="1" t="n">
        <v>45992</v>
      </c>
      <c r="D1009" t="inlineStr">
        <is>
          <t>UPPSALA LÄN</t>
        </is>
      </c>
      <c r="E1009" t="inlineStr">
        <is>
          <t>UPPSALA</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c r="A1010" t="inlineStr">
        <is>
          <t>A 5876-2024</t>
        </is>
      </c>
      <c r="B1010" s="1" t="n">
        <v>45335.66331018518</v>
      </c>
      <c r="C1010" s="1" t="n">
        <v>45992</v>
      </c>
      <c r="D1010" t="inlineStr">
        <is>
          <t>UPPSALA LÄN</t>
        </is>
      </c>
      <c r="E1010" t="inlineStr">
        <is>
          <t>UPPSALA</t>
        </is>
      </c>
      <c r="F1010" t="inlineStr">
        <is>
          <t>Kyrkan</t>
        </is>
      </c>
      <c r="G1010" t="n">
        <v>1.7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2025-12-01T10:23:51Z</dcterms:created>
  <dcterms:modified xmlns:dcterms="http://purl.org/dc/terms/" xmlns:xsi="http://www.w3.org/2001/XMLSchema-instance" xsi:type="dcterms:W3CDTF">2025-12-01T10:23:51Z</dcterms:modified>
</cp:coreProperties>
</file>