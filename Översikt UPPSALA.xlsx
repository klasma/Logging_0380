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45968</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45968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45968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45968</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45968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45968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45968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45968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45968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45968</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43970-2025</t>
        </is>
      </c>
      <c r="B12" s="1" t="n">
        <v>45915</v>
      </c>
      <c r="C12" s="1" t="n">
        <v>45968</v>
      </c>
      <c r="D12" t="inlineStr">
        <is>
          <t>UPPSALA LÄN</t>
        </is>
      </c>
      <c r="E12" t="inlineStr">
        <is>
          <t>UPPSALA</t>
        </is>
      </c>
      <c r="G12" t="n">
        <v>9.4</v>
      </c>
      <c r="H12" t="n">
        <v>5</v>
      </c>
      <c r="I12" t="n">
        <v>4</v>
      </c>
      <c r="J12" t="n">
        <v>6</v>
      </c>
      <c r="K12" t="n">
        <v>2</v>
      </c>
      <c r="L12" t="n">
        <v>0</v>
      </c>
      <c r="M12" t="n">
        <v>0</v>
      </c>
      <c r="N12" t="n">
        <v>0</v>
      </c>
      <c r="O12" t="n">
        <v>8</v>
      </c>
      <c r="P12" t="n">
        <v>2</v>
      </c>
      <c r="Q12" t="n">
        <v>15</v>
      </c>
      <c r="R12" s="2" t="inlineStr">
        <is>
          <t>Knärot
Raggbock
Garnlav
Mindre timmerman
Orange taggsvamp
Slaguggla
Ullticka
Vedskivlav
Bronshjon
Grönpyrola
Skarp dropptaggsvamp
Vedticka
Orre
Sparvuggla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69711-2021</t>
        </is>
      </c>
      <c r="B13" s="1" t="n">
        <v>44532</v>
      </c>
      <c r="C13" s="1" t="n">
        <v>45968</v>
      </c>
      <c r="D13" t="inlineStr">
        <is>
          <t>UPPSALA LÄN</t>
        </is>
      </c>
      <c r="E13" t="inlineStr">
        <is>
          <t>UPPSALA</t>
        </is>
      </c>
      <c r="G13" t="n">
        <v>10.2</v>
      </c>
      <c r="H13" t="n">
        <v>2</v>
      </c>
      <c r="I13" t="n">
        <v>6</v>
      </c>
      <c r="J13" t="n">
        <v>5</v>
      </c>
      <c r="K13" t="n">
        <v>1</v>
      </c>
      <c r="L13" t="n">
        <v>0</v>
      </c>
      <c r="M13" t="n">
        <v>0</v>
      </c>
      <c r="N13" t="n">
        <v>0</v>
      </c>
      <c r="O13" t="n">
        <v>6</v>
      </c>
      <c r="P13" t="n">
        <v>1</v>
      </c>
      <c r="Q13" t="n">
        <v>13</v>
      </c>
      <c r="R13" s="2" t="inlineStr">
        <is>
          <t>Rynkskinn
Granticka
Motaggsvamp
Talltita
Ullticka
Vedtrappmossa
Brandticka
Dvärgtufs
Granbarkgnagare
Rödgul trumpetsvamp
Skinnlav
Trådticka
Tjäder</t>
        </is>
      </c>
      <c r="S13">
        <f>HYPERLINK("https://klasma.github.io/Logging_0380/artfynd/A 69711-2021 artfynd.xlsx", "A 69711-2021")</f>
        <v/>
      </c>
      <c r="T13">
        <f>HYPERLINK("https://klasma.github.io/Logging_0380/kartor/A 69711-2021 karta.png", "A 69711-2021")</f>
        <v/>
      </c>
      <c r="V13">
        <f>HYPERLINK("https://klasma.github.io/Logging_0380/klagomål/A 69711-2021 FSC-klagomål.docx", "A 69711-2021")</f>
        <v/>
      </c>
      <c r="W13">
        <f>HYPERLINK("https://klasma.github.io/Logging_0380/klagomålsmail/A 69711-2021 FSC-klagomål mail.docx", "A 69711-2021")</f>
        <v/>
      </c>
      <c r="X13">
        <f>HYPERLINK("https://klasma.github.io/Logging_0380/tillsyn/A 69711-2021 tillsynsbegäran.docx", "A 69711-2021")</f>
        <v/>
      </c>
      <c r="Y13">
        <f>HYPERLINK("https://klasma.github.io/Logging_0380/tillsynsmail/A 69711-2021 tillsynsbegäran mail.docx", "A 69711-2021")</f>
        <v/>
      </c>
      <c r="Z13">
        <f>HYPERLINK("https://klasma.github.io/Logging_0380/fåglar/A 69711-2021 prioriterade fågelarter.docx", "A 69711-2021")</f>
        <v/>
      </c>
    </row>
    <row r="14" ht="15" customHeight="1">
      <c r="A14" t="inlineStr">
        <is>
          <t>A 7380-2023</t>
        </is>
      </c>
      <c r="B14" s="1" t="n">
        <v>44971</v>
      </c>
      <c r="C14" s="1" t="n">
        <v>45968</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53593-2025</t>
        </is>
      </c>
      <c r="B15" s="1" t="n">
        <v>45960.44232638889</v>
      </c>
      <c r="C15" s="1" t="n">
        <v>45968</v>
      </c>
      <c r="D15" t="inlineStr">
        <is>
          <t>UPPSALA LÄN</t>
        </is>
      </c>
      <c r="E15" t="inlineStr">
        <is>
          <t>UPPSALA</t>
        </is>
      </c>
      <c r="G15" t="n">
        <v>10.6</v>
      </c>
      <c r="H15" t="n">
        <v>3</v>
      </c>
      <c r="I15" t="n">
        <v>4</v>
      </c>
      <c r="J15" t="n">
        <v>5</v>
      </c>
      <c r="K15" t="n">
        <v>3</v>
      </c>
      <c r="L15" t="n">
        <v>0</v>
      </c>
      <c r="M15" t="n">
        <v>0</v>
      </c>
      <c r="N15" t="n">
        <v>0</v>
      </c>
      <c r="O15" t="n">
        <v>8</v>
      </c>
      <c r="P15" t="n">
        <v>3</v>
      </c>
      <c r="Q15" t="n">
        <v>12</v>
      </c>
      <c r="R15" s="2" t="inlineStr">
        <is>
          <t>Knärot
Rynkskinn
Vågticka
Motaggsvamp
Orange taggsvamp
Spillkråka
Talltita
Vedtrappmossa
Granbarkgnagare
Gullgröppa
Rödgul trumpetsvamp
Vedticka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25609-2025</t>
        </is>
      </c>
      <c r="B16" s="1" t="n">
        <v>45803.55737268519</v>
      </c>
      <c r="C16" s="1" t="n">
        <v>45968</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25604-2025</t>
        </is>
      </c>
      <c r="B17" s="1" t="n">
        <v>45803.55260416667</v>
      </c>
      <c r="C17" s="1" t="n">
        <v>45968</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25143-2023</t>
        </is>
      </c>
      <c r="B18" s="1" t="n">
        <v>45086</v>
      </c>
      <c r="C18" s="1" t="n">
        <v>45968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45968</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45968</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3929-2021</t>
        </is>
      </c>
      <c r="B21" s="1" t="n">
        <v>44222</v>
      </c>
      <c r="C21" s="1" t="n">
        <v>45968</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48755-2025</t>
        </is>
      </c>
      <c r="B22" s="1" t="n">
        <v>45936.71939814815</v>
      </c>
      <c r="C22" s="1" t="n">
        <v>45968</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45968</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45968</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45968</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45968</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45968</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26460-2023</t>
        </is>
      </c>
      <c r="B28" s="1" t="n">
        <v>45092</v>
      </c>
      <c r="C28" s="1" t="n">
        <v>45968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45968</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45968</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25651-2025</t>
        </is>
      </c>
      <c r="B31" s="1" t="n">
        <v>45803.61035879629</v>
      </c>
      <c r="C31" s="1" t="n">
        <v>45968</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45968</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45968</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34459-2022</t>
        </is>
      </c>
      <c r="B34" s="1" t="n">
        <v>44792</v>
      </c>
      <c r="C34" s="1" t="n">
        <v>45968</v>
      </c>
      <c r="D34" t="inlineStr">
        <is>
          <t>UPPSALA LÄN</t>
        </is>
      </c>
      <c r="E34" t="inlineStr">
        <is>
          <t>UPPSALA</t>
        </is>
      </c>
      <c r="F34" t="inlineStr">
        <is>
          <t>Kommuner</t>
        </is>
      </c>
      <c r="G34" t="n">
        <v>2.6</v>
      </c>
      <c r="H34" t="n">
        <v>5</v>
      </c>
      <c r="I34" t="n">
        <v>1</v>
      </c>
      <c r="J34" t="n">
        <v>0</v>
      </c>
      <c r="K34" t="n">
        <v>0</v>
      </c>
      <c r="L34" t="n">
        <v>1</v>
      </c>
      <c r="M34" t="n">
        <v>0</v>
      </c>
      <c r="N34" t="n">
        <v>0</v>
      </c>
      <c r="O34" t="n">
        <v>1</v>
      </c>
      <c r="P34" t="n">
        <v>1</v>
      </c>
      <c r="Q34" t="n">
        <v>6</v>
      </c>
      <c r="R34" s="2" t="inlineStr">
        <is>
          <t>Cinnoberbagge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61388-2021</t>
        </is>
      </c>
      <c r="B35" s="1" t="n">
        <v>44500</v>
      </c>
      <c r="C35" s="1" t="n">
        <v>45968</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3100-2024</t>
        </is>
      </c>
      <c r="B36" s="1" t="n">
        <v>45316</v>
      </c>
      <c r="C36" s="1" t="n">
        <v>45968</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21809-2024</t>
        </is>
      </c>
      <c r="B37" s="1" t="n">
        <v>45442</v>
      </c>
      <c r="C37" s="1" t="n">
        <v>45968</v>
      </c>
      <c r="D37" t="inlineStr">
        <is>
          <t>UPPSALA LÄN</t>
        </is>
      </c>
      <c r="E37" t="inlineStr">
        <is>
          <t>UPPSALA</t>
        </is>
      </c>
      <c r="F37" t="inlineStr">
        <is>
          <t>Övriga statliga verk och myndigheter</t>
        </is>
      </c>
      <c r="G37" t="n">
        <v>6.6</v>
      </c>
      <c r="H37" t="n">
        <v>3</v>
      </c>
      <c r="I37" t="n">
        <v>1</v>
      </c>
      <c r="J37" t="n">
        <v>2</v>
      </c>
      <c r="K37" t="n">
        <v>0</v>
      </c>
      <c r="L37" t="n">
        <v>0</v>
      </c>
      <c r="M37" t="n">
        <v>0</v>
      </c>
      <c r="N37" t="n">
        <v>0</v>
      </c>
      <c r="O37" t="n">
        <v>2</v>
      </c>
      <c r="P37" t="n">
        <v>0</v>
      </c>
      <c r="Q37" t="n">
        <v>5</v>
      </c>
      <c r="R37" s="2" t="inlineStr">
        <is>
          <t>Igelkott
Nordfladdermus
Vågbandad barkbock
Dvärgpipistrell
Blåsippa</t>
        </is>
      </c>
      <c r="S37">
        <f>HYPERLINK("https://klasma.github.io/Logging_0380/artfynd/A 21809-2024 artfynd.xlsx", "A 21809-2024")</f>
        <v/>
      </c>
      <c r="T37">
        <f>HYPERLINK("https://klasma.github.io/Logging_0380/kartor/A 21809-2024 karta.png", "A 21809-2024")</f>
        <v/>
      </c>
      <c r="V37">
        <f>HYPERLINK("https://klasma.github.io/Logging_0380/klagomål/A 21809-2024 FSC-klagomål.docx", "A 21809-2024")</f>
        <v/>
      </c>
      <c r="W37">
        <f>HYPERLINK("https://klasma.github.io/Logging_0380/klagomålsmail/A 21809-2024 FSC-klagomål mail.docx", "A 21809-2024")</f>
        <v/>
      </c>
      <c r="X37">
        <f>HYPERLINK("https://klasma.github.io/Logging_0380/tillsyn/A 21809-2024 tillsynsbegäran.docx", "A 21809-2024")</f>
        <v/>
      </c>
      <c r="Y37">
        <f>HYPERLINK("https://klasma.github.io/Logging_0380/tillsynsmail/A 21809-2024 tillsynsbegäran mail.docx", "A 21809-2024")</f>
        <v/>
      </c>
    </row>
    <row r="38" ht="15" customHeight="1">
      <c r="A38" t="inlineStr">
        <is>
          <t>A 13546-2025</t>
        </is>
      </c>
      <c r="B38" s="1" t="n">
        <v>45736.53695601852</v>
      </c>
      <c r="C38" s="1" t="n">
        <v>45968</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45968</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29803-2023</t>
        </is>
      </c>
      <c r="B40" s="1" t="n">
        <v>45107</v>
      </c>
      <c r="C40" s="1" t="n">
        <v>45968</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1725-2022</t>
        </is>
      </c>
      <c r="B41" s="1" t="n">
        <v>44574</v>
      </c>
      <c r="C41" s="1" t="n">
        <v>45968</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27389-2021</t>
        </is>
      </c>
      <c r="B42" s="1" t="n">
        <v>44351</v>
      </c>
      <c r="C42" s="1" t="n">
        <v>45968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44601-2025</t>
        </is>
      </c>
      <c r="B43" s="1" t="n">
        <v>45917.43857638889</v>
      </c>
      <c r="C43" s="1" t="n">
        <v>45968</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23153-2022</t>
        </is>
      </c>
      <c r="B44" s="1" t="n">
        <v>44719</v>
      </c>
      <c r="C44" s="1" t="n">
        <v>45968</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45968</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26758-2022</t>
        </is>
      </c>
      <c r="B46" s="1" t="n">
        <v>44740</v>
      </c>
      <c r="C46" s="1" t="n">
        <v>45968</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45968</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45968</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15297-2022</t>
        </is>
      </c>
      <c r="B49" s="1" t="n">
        <v>44659</v>
      </c>
      <c r="C49" s="1" t="n">
        <v>45968</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42581-2025</t>
        </is>
      </c>
      <c r="B50" s="1" t="n">
        <v>45905.62541666667</v>
      </c>
      <c r="C50" s="1" t="n">
        <v>45968</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45968</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51875-2025</t>
        </is>
      </c>
      <c r="B52" s="1" t="n">
        <v>45952.39770833333</v>
      </c>
      <c r="C52" s="1" t="n">
        <v>45968</v>
      </c>
      <c r="D52" t="inlineStr">
        <is>
          <t>UPPSALA LÄN</t>
        </is>
      </c>
      <c r="E52" t="inlineStr">
        <is>
          <t>UPPSALA</t>
        </is>
      </c>
      <c r="G52" t="n">
        <v>15.5</v>
      </c>
      <c r="H52" t="n">
        <v>0</v>
      </c>
      <c r="I52" t="n">
        <v>1</v>
      </c>
      <c r="J52" t="n">
        <v>3</v>
      </c>
      <c r="K52" t="n">
        <v>0</v>
      </c>
      <c r="L52" t="n">
        <v>0</v>
      </c>
      <c r="M52" t="n">
        <v>0</v>
      </c>
      <c r="N52" t="n">
        <v>0</v>
      </c>
      <c r="O52" t="n">
        <v>3</v>
      </c>
      <c r="P52" t="n">
        <v>0</v>
      </c>
      <c r="Q52" t="n">
        <v>4</v>
      </c>
      <c r="R52" s="2" t="inlineStr">
        <is>
          <t>Kortskaftad ärgspik
Orange taggsvamp
Vedtrappmossa
Källpraktmossa</t>
        </is>
      </c>
      <c r="S52">
        <f>HYPERLINK("https://klasma.github.io/Logging_0380/artfynd/A 51875-2025 artfynd.xlsx", "A 51875-2025")</f>
        <v/>
      </c>
      <c r="T52">
        <f>HYPERLINK("https://klasma.github.io/Logging_0380/kartor/A 51875-2025 karta.png", "A 51875-2025")</f>
        <v/>
      </c>
      <c r="V52">
        <f>HYPERLINK("https://klasma.github.io/Logging_0380/klagomål/A 51875-2025 FSC-klagomål.docx", "A 51875-2025")</f>
        <v/>
      </c>
      <c r="W52">
        <f>HYPERLINK("https://klasma.github.io/Logging_0380/klagomålsmail/A 51875-2025 FSC-klagomål mail.docx", "A 51875-2025")</f>
        <v/>
      </c>
      <c r="X52">
        <f>HYPERLINK("https://klasma.github.io/Logging_0380/tillsyn/A 51875-2025 tillsynsbegäran.docx", "A 51875-2025")</f>
        <v/>
      </c>
      <c r="Y52">
        <f>HYPERLINK("https://klasma.github.io/Logging_0380/tillsynsmail/A 51875-2025 tillsynsbegäran mail.docx", "A 51875-2025")</f>
        <v/>
      </c>
    </row>
    <row r="53" ht="15" customHeight="1">
      <c r="A53" t="inlineStr">
        <is>
          <t>A 34147-2022</t>
        </is>
      </c>
      <c r="B53" s="1" t="n">
        <v>44791</v>
      </c>
      <c r="C53" s="1" t="n">
        <v>45968</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36471-2022</t>
        </is>
      </c>
      <c r="B54" s="1" t="n">
        <v>44804</v>
      </c>
      <c r="C54" s="1" t="n">
        <v>45968</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25608-2025</t>
        </is>
      </c>
      <c r="B55" s="1" t="n">
        <v>45803.55535879629</v>
      </c>
      <c r="C55" s="1" t="n">
        <v>45968</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60038-2021</t>
        </is>
      </c>
      <c r="B56" s="1" t="n">
        <v>44495</v>
      </c>
      <c r="C56" s="1" t="n">
        <v>45968</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30716-2025</t>
        </is>
      </c>
      <c r="B57" s="1" t="n">
        <v>45831.55982638889</v>
      </c>
      <c r="C57" s="1" t="n">
        <v>45968</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45968</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17277-2023</t>
        </is>
      </c>
      <c r="B59" s="1" t="n">
        <v>45035.44672453704</v>
      </c>
      <c r="C59" s="1" t="n">
        <v>45968</v>
      </c>
      <c r="D59" t="inlineStr">
        <is>
          <t>UPPSALA LÄN</t>
        </is>
      </c>
      <c r="E59" t="inlineStr">
        <is>
          <t>UPPSALA</t>
        </is>
      </c>
      <c r="F59" t="inlineStr">
        <is>
          <t>Övriga Aktiebolag</t>
        </is>
      </c>
      <c r="G59" t="n">
        <v>6.1</v>
      </c>
      <c r="H59" t="n">
        <v>3</v>
      </c>
      <c r="I59" t="n">
        <v>0</v>
      </c>
      <c r="J59" t="n">
        <v>2</v>
      </c>
      <c r="K59" t="n">
        <v>0</v>
      </c>
      <c r="L59" t="n">
        <v>0</v>
      </c>
      <c r="M59" t="n">
        <v>0</v>
      </c>
      <c r="N59" t="n">
        <v>0</v>
      </c>
      <c r="O59" t="n">
        <v>2</v>
      </c>
      <c r="P59" t="n">
        <v>0</v>
      </c>
      <c r="Q59" t="n">
        <v>3</v>
      </c>
      <c r="R59" s="2" t="inlineStr">
        <is>
          <t>Duvhök
Slaguggla
Trana</t>
        </is>
      </c>
      <c r="S59">
        <f>HYPERLINK("https://klasma.github.io/Logging_0380/artfynd/A 17277-2023 artfynd.xlsx", "A 17277-2023")</f>
        <v/>
      </c>
      <c r="T59">
        <f>HYPERLINK("https://klasma.github.io/Logging_0380/kartor/A 17277-2023 karta.png", "A 17277-2023")</f>
        <v/>
      </c>
      <c r="V59">
        <f>HYPERLINK("https://klasma.github.io/Logging_0380/klagomål/A 17277-2023 FSC-klagomål.docx", "A 17277-2023")</f>
        <v/>
      </c>
      <c r="W59">
        <f>HYPERLINK("https://klasma.github.io/Logging_0380/klagomålsmail/A 17277-2023 FSC-klagomål mail.docx", "A 17277-2023")</f>
        <v/>
      </c>
      <c r="X59">
        <f>HYPERLINK("https://klasma.github.io/Logging_0380/tillsyn/A 17277-2023 tillsynsbegäran.docx", "A 17277-2023")</f>
        <v/>
      </c>
      <c r="Y59">
        <f>HYPERLINK("https://klasma.github.io/Logging_0380/tillsynsmail/A 17277-2023 tillsynsbegäran mail.docx", "A 17277-2023")</f>
        <v/>
      </c>
      <c r="Z59">
        <f>HYPERLINK("https://klasma.github.io/Logging_0380/fåglar/A 17277-2023 prioriterade fågelarter.docx", "A 17277-2023")</f>
        <v/>
      </c>
    </row>
    <row r="60" ht="15" customHeight="1">
      <c r="A60" t="inlineStr">
        <is>
          <t>A 25943-2023</t>
        </is>
      </c>
      <c r="B60" s="1" t="n">
        <v>45090</v>
      </c>
      <c r="C60" s="1" t="n">
        <v>45968</v>
      </c>
      <c r="D60" t="inlineStr">
        <is>
          <t>UPPSALA LÄN</t>
        </is>
      </c>
      <c r="E60" t="inlineStr">
        <is>
          <t>UPPSALA</t>
        </is>
      </c>
      <c r="F60" t="inlineStr">
        <is>
          <t>Holmen skog AB</t>
        </is>
      </c>
      <c r="G60" t="n">
        <v>2.7</v>
      </c>
      <c r="H60" t="n">
        <v>1</v>
      </c>
      <c r="I60" t="n">
        <v>1</v>
      </c>
      <c r="J60" t="n">
        <v>2</v>
      </c>
      <c r="K60" t="n">
        <v>0</v>
      </c>
      <c r="L60" t="n">
        <v>0</v>
      </c>
      <c r="M60" t="n">
        <v>0</v>
      </c>
      <c r="N60" t="n">
        <v>0</v>
      </c>
      <c r="O60" t="n">
        <v>2</v>
      </c>
      <c r="P60" t="n">
        <v>0</v>
      </c>
      <c r="Q60" t="n">
        <v>3</v>
      </c>
      <c r="R60" s="2" t="inlineStr">
        <is>
          <t>Mindre hackspett
Vedtrappmossa
Vedticka</t>
        </is>
      </c>
      <c r="S60">
        <f>HYPERLINK("https://klasma.github.io/Logging_0380/artfynd/A 25943-2023 artfynd.xlsx", "A 25943-2023")</f>
        <v/>
      </c>
      <c r="T60">
        <f>HYPERLINK("https://klasma.github.io/Logging_0380/kartor/A 25943-2023 karta.png", "A 25943-2023")</f>
        <v/>
      </c>
      <c r="V60">
        <f>HYPERLINK("https://klasma.github.io/Logging_0380/klagomål/A 25943-2023 FSC-klagomål.docx", "A 25943-2023")</f>
        <v/>
      </c>
      <c r="W60">
        <f>HYPERLINK("https://klasma.github.io/Logging_0380/klagomålsmail/A 25943-2023 FSC-klagomål mail.docx", "A 25943-2023")</f>
        <v/>
      </c>
      <c r="X60">
        <f>HYPERLINK("https://klasma.github.io/Logging_0380/tillsyn/A 25943-2023 tillsynsbegäran.docx", "A 25943-2023")</f>
        <v/>
      </c>
      <c r="Y60">
        <f>HYPERLINK("https://klasma.github.io/Logging_0380/tillsynsmail/A 25943-2023 tillsynsbegäran mail.docx", "A 25943-2023")</f>
        <v/>
      </c>
      <c r="Z60">
        <f>HYPERLINK("https://klasma.github.io/Logging_0380/fåglar/A 25943-2023 prioriterade fågelarter.docx", "A 25943-2023")</f>
        <v/>
      </c>
    </row>
    <row r="61" ht="15" customHeight="1">
      <c r="A61" t="inlineStr">
        <is>
          <t>A 43280-2025</t>
        </is>
      </c>
      <c r="B61" s="1" t="n">
        <v>45910.59475694445</v>
      </c>
      <c r="C61" s="1" t="n">
        <v>45968</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43280-2025 artfynd.xlsx", "A 43280-2025")</f>
        <v/>
      </c>
      <c r="T61">
        <f>HYPERLINK("https://klasma.github.io/Logging_0380/kartor/A 43280-2025 karta.png", "A 43280-2025")</f>
        <v/>
      </c>
      <c r="V61">
        <f>HYPERLINK("https://klasma.github.io/Logging_0380/klagomål/A 43280-2025 FSC-klagomål.docx", "A 43280-2025")</f>
        <v/>
      </c>
      <c r="W61">
        <f>HYPERLINK("https://klasma.github.io/Logging_0380/klagomålsmail/A 43280-2025 FSC-klagomål mail.docx", "A 43280-2025")</f>
        <v/>
      </c>
      <c r="X61">
        <f>HYPERLINK("https://klasma.github.io/Logging_0380/tillsyn/A 43280-2025 tillsynsbegäran.docx", "A 43280-2025")</f>
        <v/>
      </c>
      <c r="Y61">
        <f>HYPERLINK("https://klasma.github.io/Logging_0380/tillsynsmail/A 43280-2025 tillsynsbegäran mail.docx", "A 43280-2025")</f>
        <v/>
      </c>
    </row>
    <row r="62" ht="15" customHeight="1">
      <c r="A62" t="inlineStr">
        <is>
          <t>A 43278-2025</t>
        </is>
      </c>
      <c r="B62" s="1" t="n">
        <v>45910.59415509259</v>
      </c>
      <c r="C62" s="1" t="n">
        <v>45968</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43278-2025 artfynd.xlsx", "A 43278-2025")</f>
        <v/>
      </c>
      <c r="T62">
        <f>HYPERLINK("https://klasma.github.io/Logging_0380/kartor/A 43278-2025 karta.png", "A 43278-2025")</f>
        <v/>
      </c>
      <c r="V62">
        <f>HYPERLINK("https://klasma.github.io/Logging_0380/klagomål/A 43278-2025 FSC-klagomål.docx", "A 43278-2025")</f>
        <v/>
      </c>
      <c r="W62">
        <f>HYPERLINK("https://klasma.github.io/Logging_0380/klagomålsmail/A 43278-2025 FSC-klagomål mail.docx", "A 43278-2025")</f>
        <v/>
      </c>
      <c r="X62">
        <f>HYPERLINK("https://klasma.github.io/Logging_0380/tillsyn/A 43278-2025 tillsynsbegäran.docx", "A 43278-2025")</f>
        <v/>
      </c>
      <c r="Y62">
        <f>HYPERLINK("https://klasma.github.io/Logging_0380/tillsynsmail/A 43278-2025 tillsynsbegäran mail.docx", "A 43278-2025")</f>
        <v/>
      </c>
    </row>
    <row r="63" ht="15" customHeight="1">
      <c r="A63" t="inlineStr">
        <is>
          <t>A 45627-2025</t>
        </is>
      </c>
      <c r="B63" s="1" t="n">
        <v>45922.80255787037</v>
      </c>
      <c r="C63" s="1" t="n">
        <v>45968</v>
      </c>
      <c r="D63" t="inlineStr">
        <is>
          <t>UPPSALA LÄN</t>
        </is>
      </c>
      <c r="E63" t="inlineStr">
        <is>
          <t>UPPSALA</t>
        </is>
      </c>
      <c r="G63" t="n">
        <v>4</v>
      </c>
      <c r="H63" t="n">
        <v>2</v>
      </c>
      <c r="I63" t="n">
        <v>0</v>
      </c>
      <c r="J63" t="n">
        <v>3</v>
      </c>
      <c r="K63" t="n">
        <v>0</v>
      </c>
      <c r="L63" t="n">
        <v>0</v>
      </c>
      <c r="M63" t="n">
        <v>0</v>
      </c>
      <c r="N63" t="n">
        <v>0</v>
      </c>
      <c r="O63" t="n">
        <v>3</v>
      </c>
      <c r="P63" t="n">
        <v>0</v>
      </c>
      <c r="Q63" t="n">
        <v>3</v>
      </c>
      <c r="R63" s="2" t="inlineStr">
        <is>
          <t>Kungsspindling
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18425-2025</t>
        </is>
      </c>
      <c r="B64" s="1" t="n">
        <v>45762.62260416667</v>
      </c>
      <c r="C64" s="1" t="n">
        <v>45968</v>
      </c>
      <c r="D64" t="inlineStr">
        <is>
          <t>UPPSALA LÄN</t>
        </is>
      </c>
      <c r="E64" t="inlineStr">
        <is>
          <t>UPPSALA</t>
        </is>
      </c>
      <c r="G64" t="n">
        <v>9.800000000000001</v>
      </c>
      <c r="H64" t="n">
        <v>1</v>
      </c>
      <c r="I64" t="n">
        <v>0</v>
      </c>
      <c r="J64" t="n">
        <v>2</v>
      </c>
      <c r="K64" t="n">
        <v>0</v>
      </c>
      <c r="L64" t="n">
        <v>0</v>
      </c>
      <c r="M64" t="n">
        <v>0</v>
      </c>
      <c r="N64" t="n">
        <v>0</v>
      </c>
      <c r="O64" t="n">
        <v>2</v>
      </c>
      <c r="P64" t="n">
        <v>0</v>
      </c>
      <c r="Q64" t="n">
        <v>2</v>
      </c>
      <c r="R64" s="2" t="inlineStr">
        <is>
          <t>Spillkråka
Tallticka</t>
        </is>
      </c>
      <c r="S64">
        <f>HYPERLINK("https://klasma.github.io/Logging_0380/artfynd/A 18425-2025 artfynd.xlsx", "A 18425-2025")</f>
        <v/>
      </c>
      <c r="T64">
        <f>HYPERLINK("https://klasma.github.io/Logging_0380/kartor/A 18425-2025 karta.png", "A 18425-2025")</f>
        <v/>
      </c>
      <c r="V64">
        <f>HYPERLINK("https://klasma.github.io/Logging_0380/klagomål/A 18425-2025 FSC-klagomål.docx", "A 18425-2025")</f>
        <v/>
      </c>
      <c r="W64">
        <f>HYPERLINK("https://klasma.github.io/Logging_0380/klagomålsmail/A 18425-2025 FSC-klagomål mail.docx", "A 18425-2025")</f>
        <v/>
      </c>
      <c r="X64">
        <f>HYPERLINK("https://klasma.github.io/Logging_0380/tillsyn/A 18425-2025 tillsynsbegäran.docx", "A 18425-2025")</f>
        <v/>
      </c>
      <c r="Y64">
        <f>HYPERLINK("https://klasma.github.io/Logging_0380/tillsynsmail/A 18425-2025 tillsynsbegäran mail.docx", "A 18425-2025")</f>
        <v/>
      </c>
      <c r="Z64">
        <f>HYPERLINK("https://klasma.github.io/Logging_0380/fåglar/A 18425-2025 prioriterade fågelarter.docx", "A 18425-2025")</f>
        <v/>
      </c>
    </row>
    <row r="65" ht="15" customHeight="1">
      <c r="A65" t="inlineStr">
        <is>
          <t>A 25660-2025</t>
        </is>
      </c>
      <c r="B65" s="1" t="n">
        <v>45803.61554398148</v>
      </c>
      <c r="C65" s="1" t="n">
        <v>45968</v>
      </c>
      <c r="D65" t="inlineStr">
        <is>
          <t>UPPSALA LÄN</t>
        </is>
      </c>
      <c r="E65" t="inlineStr">
        <is>
          <t>UPPSALA</t>
        </is>
      </c>
      <c r="F65" t="inlineStr">
        <is>
          <t>Holmen skog AB</t>
        </is>
      </c>
      <c r="G65" t="n">
        <v>4.8</v>
      </c>
      <c r="H65" t="n">
        <v>0</v>
      </c>
      <c r="I65" t="n">
        <v>2</v>
      </c>
      <c r="J65" t="n">
        <v>0</v>
      </c>
      <c r="K65" t="n">
        <v>0</v>
      </c>
      <c r="L65" t="n">
        <v>0</v>
      </c>
      <c r="M65" t="n">
        <v>0</v>
      </c>
      <c r="N65" t="n">
        <v>0</v>
      </c>
      <c r="O65" t="n">
        <v>0</v>
      </c>
      <c r="P65" t="n">
        <v>0</v>
      </c>
      <c r="Q65" t="n">
        <v>2</v>
      </c>
      <c r="R65" s="2" t="inlineStr">
        <is>
          <t>Mindre märgborre
Skogshakmossa</t>
        </is>
      </c>
      <c r="S65">
        <f>HYPERLINK("https://klasma.github.io/Logging_0380/artfynd/A 25660-2025 artfynd.xlsx", "A 25660-2025")</f>
        <v/>
      </c>
      <c r="T65">
        <f>HYPERLINK("https://klasma.github.io/Logging_0380/kartor/A 25660-2025 karta.png", "A 25660-2025")</f>
        <v/>
      </c>
      <c r="V65">
        <f>HYPERLINK("https://klasma.github.io/Logging_0380/klagomål/A 25660-2025 FSC-klagomål.docx", "A 25660-2025")</f>
        <v/>
      </c>
      <c r="W65">
        <f>HYPERLINK("https://klasma.github.io/Logging_0380/klagomålsmail/A 25660-2025 FSC-klagomål mail.docx", "A 25660-2025")</f>
        <v/>
      </c>
      <c r="X65">
        <f>HYPERLINK("https://klasma.github.io/Logging_0380/tillsyn/A 25660-2025 tillsynsbegäran.docx", "A 25660-2025")</f>
        <v/>
      </c>
      <c r="Y65">
        <f>HYPERLINK("https://klasma.github.io/Logging_0380/tillsynsmail/A 25660-2025 tillsynsbegäran mail.docx", "A 25660-2025")</f>
        <v/>
      </c>
    </row>
    <row r="66" ht="15" customHeight="1">
      <c r="A66" t="inlineStr">
        <is>
          <t>A 6998-2023</t>
        </is>
      </c>
      <c r="B66" s="1" t="n">
        <v>44967</v>
      </c>
      <c r="C66" s="1" t="n">
        <v>45968</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9401-2025</t>
        </is>
      </c>
      <c r="B67" s="1" t="n">
        <v>45715.38105324074</v>
      </c>
      <c r="C67" s="1" t="n">
        <v>45968</v>
      </c>
      <c r="D67" t="inlineStr">
        <is>
          <t>UPPSALA LÄN</t>
        </is>
      </c>
      <c r="E67" t="inlineStr">
        <is>
          <t>UPPSALA</t>
        </is>
      </c>
      <c r="G67" t="n">
        <v>3.1</v>
      </c>
      <c r="H67" t="n">
        <v>2</v>
      </c>
      <c r="I67" t="n">
        <v>0</v>
      </c>
      <c r="J67" t="n">
        <v>0</v>
      </c>
      <c r="K67" t="n">
        <v>0</v>
      </c>
      <c r="L67" t="n">
        <v>0</v>
      </c>
      <c r="M67" t="n">
        <v>0</v>
      </c>
      <c r="N67" t="n">
        <v>0</v>
      </c>
      <c r="O67" t="n">
        <v>0</v>
      </c>
      <c r="P67" t="n">
        <v>0</v>
      </c>
      <c r="Q67" t="n">
        <v>2</v>
      </c>
      <c r="R67" s="2" t="inlineStr">
        <is>
          <t>Vanlig padda
Blåsippa</t>
        </is>
      </c>
      <c r="S67">
        <f>HYPERLINK("https://klasma.github.io/Logging_0380/artfynd/A 9401-2025 artfynd.xlsx", "A 9401-2025")</f>
        <v/>
      </c>
      <c r="T67">
        <f>HYPERLINK("https://klasma.github.io/Logging_0380/kartor/A 9401-2025 karta.png", "A 9401-2025")</f>
        <v/>
      </c>
      <c r="V67">
        <f>HYPERLINK("https://klasma.github.io/Logging_0380/klagomål/A 9401-2025 FSC-klagomål.docx", "A 9401-2025")</f>
        <v/>
      </c>
      <c r="W67">
        <f>HYPERLINK("https://klasma.github.io/Logging_0380/klagomålsmail/A 9401-2025 FSC-klagomål mail.docx", "A 9401-2025")</f>
        <v/>
      </c>
      <c r="X67">
        <f>HYPERLINK("https://klasma.github.io/Logging_0380/tillsyn/A 9401-2025 tillsynsbegäran.docx", "A 9401-2025")</f>
        <v/>
      </c>
      <c r="Y67">
        <f>HYPERLINK("https://klasma.github.io/Logging_0380/tillsynsmail/A 9401-2025 tillsynsbegäran mail.docx", "A 9401-2025")</f>
        <v/>
      </c>
    </row>
    <row r="68" ht="15" customHeight="1">
      <c r="A68" t="inlineStr">
        <is>
          <t>A 5755-2025</t>
        </is>
      </c>
      <c r="B68" s="1" t="n">
        <v>45694.55559027778</v>
      </c>
      <c r="C68" s="1" t="n">
        <v>45968</v>
      </c>
      <c r="D68" t="inlineStr">
        <is>
          <t>UPPSALA LÄN</t>
        </is>
      </c>
      <c r="E68" t="inlineStr">
        <is>
          <t>UPPSALA</t>
        </is>
      </c>
      <c r="G68" t="n">
        <v>1.3</v>
      </c>
      <c r="H68" t="n">
        <v>0</v>
      </c>
      <c r="I68" t="n">
        <v>2</v>
      </c>
      <c r="J68" t="n">
        <v>0</v>
      </c>
      <c r="K68" t="n">
        <v>0</v>
      </c>
      <c r="L68" t="n">
        <v>0</v>
      </c>
      <c r="M68" t="n">
        <v>0</v>
      </c>
      <c r="N68" t="n">
        <v>0</v>
      </c>
      <c r="O68" t="n">
        <v>0</v>
      </c>
      <c r="P68" t="n">
        <v>0</v>
      </c>
      <c r="Q68" t="n">
        <v>2</v>
      </c>
      <c r="R68" s="2" t="inlineStr">
        <is>
          <t>Fällmossa
Hasselticka</t>
        </is>
      </c>
      <c r="S68">
        <f>HYPERLINK("https://klasma.github.io/Logging_0380/artfynd/A 5755-2025 artfynd.xlsx", "A 5755-2025")</f>
        <v/>
      </c>
      <c r="T68">
        <f>HYPERLINK("https://klasma.github.io/Logging_0380/kartor/A 5755-2025 karta.png", "A 5755-2025")</f>
        <v/>
      </c>
      <c r="V68">
        <f>HYPERLINK("https://klasma.github.io/Logging_0380/klagomål/A 5755-2025 FSC-klagomål.docx", "A 5755-2025")</f>
        <v/>
      </c>
      <c r="W68">
        <f>HYPERLINK("https://klasma.github.io/Logging_0380/klagomålsmail/A 5755-2025 FSC-klagomål mail.docx", "A 5755-2025")</f>
        <v/>
      </c>
      <c r="X68">
        <f>HYPERLINK("https://klasma.github.io/Logging_0380/tillsyn/A 5755-2025 tillsynsbegäran.docx", "A 5755-2025")</f>
        <v/>
      </c>
      <c r="Y68">
        <f>HYPERLINK("https://klasma.github.io/Logging_0380/tillsynsmail/A 5755-2025 tillsynsbegäran mail.docx", "A 5755-2025")</f>
        <v/>
      </c>
    </row>
    <row r="69" ht="15" customHeight="1">
      <c r="A69" t="inlineStr">
        <is>
          <t>A 39933-2023</t>
        </is>
      </c>
      <c r="B69" s="1" t="n">
        <v>45168.50667824074</v>
      </c>
      <c r="C69" s="1" t="n">
        <v>45968</v>
      </c>
      <c r="D69" t="inlineStr">
        <is>
          <t>UPPSALA LÄN</t>
        </is>
      </c>
      <c r="E69" t="inlineStr">
        <is>
          <t>UPPSALA</t>
        </is>
      </c>
      <c r="F69" t="inlineStr">
        <is>
          <t>Holmen skog AB</t>
        </is>
      </c>
      <c r="G69" t="n">
        <v>6.3</v>
      </c>
      <c r="H69" t="n">
        <v>2</v>
      </c>
      <c r="I69" t="n">
        <v>0</v>
      </c>
      <c r="J69" t="n">
        <v>2</v>
      </c>
      <c r="K69" t="n">
        <v>0</v>
      </c>
      <c r="L69" t="n">
        <v>0</v>
      </c>
      <c r="M69" t="n">
        <v>0</v>
      </c>
      <c r="N69" t="n">
        <v>0</v>
      </c>
      <c r="O69" t="n">
        <v>2</v>
      </c>
      <c r="P69" t="n">
        <v>0</v>
      </c>
      <c r="Q69" t="n">
        <v>2</v>
      </c>
      <c r="R69" s="2" t="inlineStr">
        <is>
          <t>Entita
Spillkråka</t>
        </is>
      </c>
      <c r="S69">
        <f>HYPERLINK("https://klasma.github.io/Logging_0380/artfynd/A 39933-2023 artfynd.xlsx", "A 39933-2023")</f>
        <v/>
      </c>
      <c r="T69">
        <f>HYPERLINK("https://klasma.github.io/Logging_0380/kartor/A 39933-2023 karta.png", "A 39933-2023")</f>
        <v/>
      </c>
      <c r="V69">
        <f>HYPERLINK("https://klasma.github.io/Logging_0380/klagomål/A 39933-2023 FSC-klagomål.docx", "A 39933-2023")</f>
        <v/>
      </c>
      <c r="W69">
        <f>HYPERLINK("https://klasma.github.io/Logging_0380/klagomålsmail/A 39933-2023 FSC-klagomål mail.docx", "A 39933-2023")</f>
        <v/>
      </c>
      <c r="X69">
        <f>HYPERLINK("https://klasma.github.io/Logging_0380/tillsyn/A 39933-2023 tillsynsbegäran.docx", "A 39933-2023")</f>
        <v/>
      </c>
      <c r="Y69">
        <f>HYPERLINK("https://klasma.github.io/Logging_0380/tillsynsmail/A 39933-2023 tillsynsbegäran mail.docx", "A 39933-2023")</f>
        <v/>
      </c>
      <c r="Z69">
        <f>HYPERLINK("https://klasma.github.io/Logging_0380/fåglar/A 39933-2023 prioriterade fågelarter.docx", "A 39933-2023")</f>
        <v/>
      </c>
    </row>
    <row r="70" ht="15" customHeight="1">
      <c r="A70" t="inlineStr">
        <is>
          <t>A 58906-2021</t>
        </is>
      </c>
      <c r="B70" s="1" t="n">
        <v>44489</v>
      </c>
      <c r="C70" s="1" t="n">
        <v>45968</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88-2024</t>
        </is>
      </c>
      <c r="B71" s="1" t="n">
        <v>45293</v>
      </c>
      <c r="C71" s="1" t="n">
        <v>45968</v>
      </c>
      <c r="D71" t="inlineStr">
        <is>
          <t>UPPSALA LÄN</t>
        </is>
      </c>
      <c r="E71" t="inlineStr">
        <is>
          <t>UPPSALA</t>
        </is>
      </c>
      <c r="G71" t="n">
        <v>2.1</v>
      </c>
      <c r="H71" t="n">
        <v>0</v>
      </c>
      <c r="I71" t="n">
        <v>0</v>
      </c>
      <c r="J71" t="n">
        <v>1</v>
      </c>
      <c r="K71" t="n">
        <v>0</v>
      </c>
      <c r="L71" t="n">
        <v>1</v>
      </c>
      <c r="M71" t="n">
        <v>0</v>
      </c>
      <c r="N71" t="n">
        <v>0</v>
      </c>
      <c r="O71" t="n">
        <v>2</v>
      </c>
      <c r="P71" t="n">
        <v>1</v>
      </c>
      <c r="Q71" t="n">
        <v>2</v>
      </c>
      <c r="R71" s="2" t="inlineStr">
        <is>
          <t>Ask
Gullklöver</t>
        </is>
      </c>
      <c r="S71">
        <f>HYPERLINK("https://klasma.github.io/Logging_0380/artfynd/A 88-2024 artfynd.xlsx", "A 88-2024")</f>
        <v/>
      </c>
      <c r="T71">
        <f>HYPERLINK("https://klasma.github.io/Logging_0380/kartor/A 88-2024 karta.png", "A 88-2024")</f>
        <v/>
      </c>
      <c r="V71">
        <f>HYPERLINK("https://klasma.github.io/Logging_0380/klagomål/A 88-2024 FSC-klagomål.docx", "A 88-2024")</f>
        <v/>
      </c>
      <c r="W71">
        <f>HYPERLINK("https://klasma.github.io/Logging_0380/klagomålsmail/A 88-2024 FSC-klagomål mail.docx", "A 88-2024")</f>
        <v/>
      </c>
      <c r="X71">
        <f>HYPERLINK("https://klasma.github.io/Logging_0380/tillsyn/A 88-2024 tillsynsbegäran.docx", "A 88-2024")</f>
        <v/>
      </c>
      <c r="Y71">
        <f>HYPERLINK("https://klasma.github.io/Logging_0380/tillsynsmail/A 88-2024 tillsynsbegäran mail.docx", "A 88-2024")</f>
        <v/>
      </c>
    </row>
    <row r="72" ht="15" customHeight="1">
      <c r="A72" t="inlineStr">
        <is>
          <t>A 33708-2025</t>
        </is>
      </c>
      <c r="B72" s="1" t="n">
        <v>45841.81555555556</v>
      </c>
      <c r="C72" s="1" t="n">
        <v>45968</v>
      </c>
      <c r="D72" t="inlineStr">
        <is>
          <t>UPPSALA LÄN</t>
        </is>
      </c>
      <c r="E72" t="inlineStr">
        <is>
          <t>UPPSALA</t>
        </is>
      </c>
      <c r="F72" t="inlineStr">
        <is>
          <t>Holmen skog AB</t>
        </is>
      </c>
      <c r="G72" t="n">
        <v>2</v>
      </c>
      <c r="H72" t="n">
        <v>0</v>
      </c>
      <c r="I72" t="n">
        <v>1</v>
      </c>
      <c r="J72" t="n">
        <v>0</v>
      </c>
      <c r="K72" t="n">
        <v>0</v>
      </c>
      <c r="L72" t="n">
        <v>0</v>
      </c>
      <c r="M72" t="n">
        <v>1</v>
      </c>
      <c r="N72" t="n">
        <v>0</v>
      </c>
      <c r="O72" t="n">
        <v>1</v>
      </c>
      <c r="P72" t="n">
        <v>1</v>
      </c>
      <c r="Q72" t="n">
        <v>2</v>
      </c>
      <c r="R72" s="2" t="inlineStr">
        <is>
          <t>Skogsalm
Svavelriska</t>
        </is>
      </c>
      <c r="S72">
        <f>HYPERLINK("https://klasma.github.io/Logging_0380/artfynd/A 33708-2025 artfynd.xlsx", "A 33708-2025")</f>
        <v/>
      </c>
      <c r="T72">
        <f>HYPERLINK("https://klasma.github.io/Logging_0380/kartor/A 33708-2025 karta.png", "A 33708-2025")</f>
        <v/>
      </c>
      <c r="V72">
        <f>HYPERLINK("https://klasma.github.io/Logging_0380/klagomål/A 33708-2025 FSC-klagomål.docx", "A 33708-2025")</f>
        <v/>
      </c>
      <c r="W72">
        <f>HYPERLINK("https://klasma.github.io/Logging_0380/klagomålsmail/A 33708-2025 FSC-klagomål mail.docx", "A 33708-2025")</f>
        <v/>
      </c>
      <c r="X72">
        <f>HYPERLINK("https://klasma.github.io/Logging_0380/tillsyn/A 33708-2025 tillsynsbegäran.docx", "A 33708-2025")</f>
        <v/>
      </c>
      <c r="Y72">
        <f>HYPERLINK("https://klasma.github.io/Logging_0380/tillsynsmail/A 33708-2025 tillsynsbegäran mail.docx", "A 33708-2025")</f>
        <v/>
      </c>
    </row>
    <row r="73" ht="15" customHeight="1">
      <c r="A73" t="inlineStr">
        <is>
          <t>A 44675-2023</t>
        </is>
      </c>
      <c r="B73" s="1" t="n">
        <v>45189</v>
      </c>
      <c r="C73" s="1" t="n">
        <v>45968</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41921-2025</t>
        </is>
      </c>
      <c r="B74" s="1" t="n">
        <v>45903</v>
      </c>
      <c r="C74" s="1" t="n">
        <v>45968</v>
      </c>
      <c r="D74" t="inlineStr">
        <is>
          <t>UPPSALA LÄN</t>
        </is>
      </c>
      <c r="E74" t="inlineStr">
        <is>
          <t>UPPSALA</t>
        </is>
      </c>
      <c r="G74" t="n">
        <v>7.1</v>
      </c>
      <c r="H74" t="n">
        <v>2</v>
      </c>
      <c r="I74" t="n">
        <v>0</v>
      </c>
      <c r="J74" t="n">
        <v>0</v>
      </c>
      <c r="K74" t="n">
        <v>0</v>
      </c>
      <c r="L74" t="n">
        <v>0</v>
      </c>
      <c r="M74" t="n">
        <v>0</v>
      </c>
      <c r="N74" t="n">
        <v>0</v>
      </c>
      <c r="O74" t="n">
        <v>0</v>
      </c>
      <c r="P74" t="n">
        <v>0</v>
      </c>
      <c r="Q74" t="n">
        <v>2</v>
      </c>
      <c r="R74" s="2" t="inlineStr">
        <is>
          <t>Blåsippa
Revlummer</t>
        </is>
      </c>
      <c r="S74">
        <f>HYPERLINK("https://klasma.github.io/Logging_0380/artfynd/A 41921-2025 artfynd.xlsx", "A 41921-2025")</f>
        <v/>
      </c>
      <c r="T74">
        <f>HYPERLINK("https://klasma.github.io/Logging_0380/kartor/A 41921-2025 karta.png", "A 41921-2025")</f>
        <v/>
      </c>
      <c r="V74">
        <f>HYPERLINK("https://klasma.github.io/Logging_0380/klagomål/A 41921-2025 FSC-klagomål.docx", "A 41921-2025")</f>
        <v/>
      </c>
      <c r="W74">
        <f>HYPERLINK("https://klasma.github.io/Logging_0380/klagomålsmail/A 41921-2025 FSC-klagomål mail.docx", "A 41921-2025")</f>
        <v/>
      </c>
      <c r="X74">
        <f>HYPERLINK("https://klasma.github.io/Logging_0380/tillsyn/A 41921-2025 tillsynsbegäran.docx", "A 41921-2025")</f>
        <v/>
      </c>
      <c r="Y74">
        <f>HYPERLINK("https://klasma.github.io/Logging_0380/tillsynsmail/A 41921-2025 tillsynsbegäran mail.docx", "A 41921-2025")</f>
        <v/>
      </c>
    </row>
    <row r="75" ht="15" customHeight="1">
      <c r="A75" t="inlineStr">
        <is>
          <t>A 51749-2023</t>
        </is>
      </c>
      <c r="B75" s="1" t="n">
        <v>45222</v>
      </c>
      <c r="C75" s="1" t="n">
        <v>45968</v>
      </c>
      <c r="D75" t="inlineStr">
        <is>
          <t>UPPSALA LÄN</t>
        </is>
      </c>
      <c r="E75" t="inlineStr">
        <is>
          <t>UPPSALA</t>
        </is>
      </c>
      <c r="G75" t="n">
        <v>3.6</v>
      </c>
      <c r="H75" t="n">
        <v>1</v>
      </c>
      <c r="I75" t="n">
        <v>0</v>
      </c>
      <c r="J75" t="n">
        <v>1</v>
      </c>
      <c r="K75" t="n">
        <v>0</v>
      </c>
      <c r="L75" t="n">
        <v>0</v>
      </c>
      <c r="M75" t="n">
        <v>0</v>
      </c>
      <c r="N75" t="n">
        <v>0</v>
      </c>
      <c r="O75" t="n">
        <v>1</v>
      </c>
      <c r="P75" t="n">
        <v>0</v>
      </c>
      <c r="Q75" t="n">
        <v>2</v>
      </c>
      <c r="R75" s="2" t="inlineStr">
        <is>
          <t>Säfferot
Gullviva</t>
        </is>
      </c>
      <c r="S75">
        <f>HYPERLINK("https://klasma.github.io/Logging_0380/artfynd/A 51749-2023 artfynd.xlsx", "A 51749-2023")</f>
        <v/>
      </c>
      <c r="T75">
        <f>HYPERLINK("https://klasma.github.io/Logging_0380/kartor/A 51749-2023 karta.png", "A 51749-2023")</f>
        <v/>
      </c>
      <c r="V75">
        <f>HYPERLINK("https://klasma.github.io/Logging_0380/klagomål/A 51749-2023 FSC-klagomål.docx", "A 51749-2023")</f>
        <v/>
      </c>
      <c r="W75">
        <f>HYPERLINK("https://klasma.github.io/Logging_0380/klagomålsmail/A 51749-2023 FSC-klagomål mail.docx", "A 51749-2023")</f>
        <v/>
      </c>
      <c r="X75">
        <f>HYPERLINK("https://klasma.github.io/Logging_0380/tillsyn/A 51749-2023 tillsynsbegäran.docx", "A 51749-2023")</f>
        <v/>
      </c>
      <c r="Y75">
        <f>HYPERLINK("https://klasma.github.io/Logging_0380/tillsynsmail/A 51749-2023 tillsynsbegäran mail.docx", "A 51749-2023")</f>
        <v/>
      </c>
    </row>
    <row r="76" ht="15" customHeight="1">
      <c r="A76" t="inlineStr">
        <is>
          <t>A 52503-2025</t>
        </is>
      </c>
      <c r="B76" s="1" t="n">
        <v>45954.49768518518</v>
      </c>
      <c r="C76" s="1" t="n">
        <v>45968</v>
      </c>
      <c r="D76" t="inlineStr">
        <is>
          <t>UPPSALA LÄN</t>
        </is>
      </c>
      <c r="E76" t="inlineStr">
        <is>
          <t>UPPSALA</t>
        </is>
      </c>
      <c r="F76" t="inlineStr">
        <is>
          <t>Holmen skog AB</t>
        </is>
      </c>
      <c r="G76" t="n">
        <v>21.5</v>
      </c>
      <c r="H76" t="n">
        <v>0</v>
      </c>
      <c r="I76" t="n">
        <v>0</v>
      </c>
      <c r="J76" t="n">
        <v>0</v>
      </c>
      <c r="K76" t="n">
        <v>2</v>
      </c>
      <c r="L76" t="n">
        <v>0</v>
      </c>
      <c r="M76" t="n">
        <v>0</v>
      </c>
      <c r="N76" t="n">
        <v>0</v>
      </c>
      <c r="O76" t="n">
        <v>2</v>
      </c>
      <c r="P76" t="n">
        <v>2</v>
      </c>
      <c r="Q76" t="n">
        <v>2</v>
      </c>
      <c r="R76" s="2" t="inlineStr">
        <is>
          <t>Gulvit blekspik
Klosterlav</t>
        </is>
      </c>
      <c r="S76">
        <f>HYPERLINK("https://klasma.github.io/Logging_0380/artfynd/A 52503-2025 artfynd.xlsx", "A 52503-2025")</f>
        <v/>
      </c>
      <c r="T76">
        <f>HYPERLINK("https://klasma.github.io/Logging_0380/kartor/A 52503-2025 karta.png", "A 52503-2025")</f>
        <v/>
      </c>
      <c r="V76">
        <f>HYPERLINK("https://klasma.github.io/Logging_0380/klagomål/A 52503-2025 FSC-klagomål.docx", "A 52503-2025")</f>
        <v/>
      </c>
      <c r="W76">
        <f>HYPERLINK("https://klasma.github.io/Logging_0380/klagomålsmail/A 52503-2025 FSC-klagomål mail.docx", "A 52503-2025")</f>
        <v/>
      </c>
      <c r="X76">
        <f>HYPERLINK("https://klasma.github.io/Logging_0380/tillsyn/A 52503-2025 tillsynsbegäran.docx", "A 52503-2025")</f>
        <v/>
      </c>
      <c r="Y76">
        <f>HYPERLINK("https://klasma.github.io/Logging_0380/tillsynsmail/A 52503-2025 tillsynsbegäran mail.docx", "A 52503-2025")</f>
        <v/>
      </c>
    </row>
    <row r="77" ht="15" customHeight="1">
      <c r="A77" t="inlineStr">
        <is>
          <t>A 8865-2022</t>
        </is>
      </c>
      <c r="B77" s="1" t="n">
        <v>44614</v>
      </c>
      <c r="C77" s="1" t="n">
        <v>45968</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45968</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45968</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58050-2021</t>
        </is>
      </c>
      <c r="B80" s="1" t="n">
        <v>44487</v>
      </c>
      <c r="C80" s="1" t="n">
        <v>45968</v>
      </c>
      <c r="D80" t="inlineStr">
        <is>
          <t>UPPSALA LÄN</t>
        </is>
      </c>
      <c r="E80" t="inlineStr">
        <is>
          <t>UPPSALA</t>
        </is>
      </c>
      <c r="G80" t="n">
        <v>4.4</v>
      </c>
      <c r="H80" t="n">
        <v>0</v>
      </c>
      <c r="I80" t="n">
        <v>0</v>
      </c>
      <c r="J80" t="n">
        <v>1</v>
      </c>
      <c r="K80" t="n">
        <v>0</v>
      </c>
      <c r="L80" t="n">
        <v>0</v>
      </c>
      <c r="M80" t="n">
        <v>0</v>
      </c>
      <c r="N80" t="n">
        <v>0</v>
      </c>
      <c r="O80" t="n">
        <v>1</v>
      </c>
      <c r="P80" t="n">
        <v>0</v>
      </c>
      <c r="Q80" t="n">
        <v>1</v>
      </c>
      <c r="R80" s="2" t="inlineStr">
        <is>
          <t>Ullticka</t>
        </is>
      </c>
      <c r="S80">
        <f>HYPERLINK("https://klasma.github.io/Logging_0380/artfynd/A 58050-2021 artfynd.xlsx", "A 58050-2021")</f>
        <v/>
      </c>
      <c r="T80">
        <f>HYPERLINK("https://klasma.github.io/Logging_0380/kartor/A 58050-2021 karta.png", "A 58050-2021")</f>
        <v/>
      </c>
      <c r="V80">
        <f>HYPERLINK("https://klasma.github.io/Logging_0380/klagomål/A 58050-2021 FSC-klagomål.docx", "A 58050-2021")</f>
        <v/>
      </c>
      <c r="W80">
        <f>HYPERLINK("https://klasma.github.io/Logging_0380/klagomålsmail/A 58050-2021 FSC-klagomål mail.docx", "A 58050-2021")</f>
        <v/>
      </c>
      <c r="X80">
        <f>HYPERLINK("https://klasma.github.io/Logging_0380/tillsyn/A 58050-2021 tillsynsbegäran.docx", "A 58050-2021")</f>
        <v/>
      </c>
      <c r="Y80">
        <f>HYPERLINK("https://klasma.github.io/Logging_0380/tillsynsmail/A 58050-2021 tillsynsbegäran mail.docx", "A 58050-2021")</f>
        <v/>
      </c>
    </row>
    <row r="81" ht="15" customHeight="1">
      <c r="A81" t="inlineStr">
        <is>
          <t>A 5732-2025</t>
        </is>
      </c>
      <c r="B81" s="1" t="n">
        <v>45694.49650462963</v>
      </c>
      <c r="C81" s="1" t="n">
        <v>45968</v>
      </c>
      <c r="D81" t="inlineStr">
        <is>
          <t>UPPSALA LÄN</t>
        </is>
      </c>
      <c r="E81" t="inlineStr">
        <is>
          <t>UPPSALA</t>
        </is>
      </c>
      <c r="G81" t="n">
        <v>1.9</v>
      </c>
      <c r="H81" t="n">
        <v>0</v>
      </c>
      <c r="I81" t="n">
        <v>1</v>
      </c>
      <c r="J81" t="n">
        <v>0</v>
      </c>
      <c r="K81" t="n">
        <v>0</v>
      </c>
      <c r="L81" t="n">
        <v>0</v>
      </c>
      <c r="M81" t="n">
        <v>0</v>
      </c>
      <c r="N81" t="n">
        <v>0</v>
      </c>
      <c r="O81" t="n">
        <v>0</v>
      </c>
      <c r="P81" t="n">
        <v>0</v>
      </c>
      <c r="Q81" t="n">
        <v>1</v>
      </c>
      <c r="R81" s="2" t="inlineStr">
        <is>
          <t>Fällmossa</t>
        </is>
      </c>
      <c r="S81">
        <f>HYPERLINK("https://klasma.github.io/Logging_0380/artfynd/A 5732-2025 artfynd.xlsx", "A 5732-2025")</f>
        <v/>
      </c>
      <c r="T81">
        <f>HYPERLINK("https://klasma.github.io/Logging_0380/kartor/A 5732-2025 karta.png", "A 5732-2025")</f>
        <v/>
      </c>
      <c r="V81">
        <f>HYPERLINK("https://klasma.github.io/Logging_0380/klagomål/A 5732-2025 FSC-klagomål.docx", "A 5732-2025")</f>
        <v/>
      </c>
      <c r="W81">
        <f>HYPERLINK("https://klasma.github.io/Logging_0380/klagomålsmail/A 5732-2025 FSC-klagomål mail.docx", "A 5732-2025")</f>
        <v/>
      </c>
      <c r="X81">
        <f>HYPERLINK("https://klasma.github.io/Logging_0380/tillsyn/A 5732-2025 tillsynsbegäran.docx", "A 5732-2025")</f>
        <v/>
      </c>
      <c r="Y81">
        <f>HYPERLINK("https://klasma.github.io/Logging_0380/tillsynsmail/A 5732-2025 tillsynsbegäran mail.docx", "A 5732-2025")</f>
        <v/>
      </c>
    </row>
    <row r="82" ht="15" customHeight="1">
      <c r="A82" t="inlineStr">
        <is>
          <t>A 9206-2024</t>
        </is>
      </c>
      <c r="B82" s="1" t="n">
        <v>45358</v>
      </c>
      <c r="C82" s="1" t="n">
        <v>45968</v>
      </c>
      <c r="D82" t="inlineStr">
        <is>
          <t>UPPSALA LÄN</t>
        </is>
      </c>
      <c r="E82" t="inlineStr">
        <is>
          <t>UPPSALA</t>
        </is>
      </c>
      <c r="F82" t="inlineStr">
        <is>
          <t>Allmännings- och besparingsskogar</t>
        </is>
      </c>
      <c r="G82" t="n">
        <v>22.2</v>
      </c>
      <c r="H82" t="n">
        <v>1</v>
      </c>
      <c r="I82" t="n">
        <v>0</v>
      </c>
      <c r="J82" t="n">
        <v>0</v>
      </c>
      <c r="K82" t="n">
        <v>1</v>
      </c>
      <c r="L82" t="n">
        <v>0</v>
      </c>
      <c r="M82" t="n">
        <v>0</v>
      </c>
      <c r="N82" t="n">
        <v>0</v>
      </c>
      <c r="O82" t="n">
        <v>1</v>
      </c>
      <c r="P82" t="n">
        <v>1</v>
      </c>
      <c r="Q82" t="n">
        <v>1</v>
      </c>
      <c r="R82" s="2" t="inlineStr">
        <is>
          <t>Knärot</t>
        </is>
      </c>
      <c r="S82">
        <f>HYPERLINK("https://klasma.github.io/Logging_0380/artfynd/A 9206-2024 artfynd.xlsx", "A 9206-2024")</f>
        <v/>
      </c>
      <c r="T82">
        <f>HYPERLINK("https://klasma.github.io/Logging_0380/kartor/A 9206-2024 karta.png", "A 9206-2024")</f>
        <v/>
      </c>
      <c r="U82">
        <f>HYPERLINK("https://klasma.github.io/Logging_0380/knärot/A 9206-2024 karta knärot.png", "A 9206-2024")</f>
        <v/>
      </c>
      <c r="V82">
        <f>HYPERLINK("https://klasma.github.io/Logging_0380/klagomål/A 9206-2024 FSC-klagomål.docx", "A 9206-2024")</f>
        <v/>
      </c>
      <c r="W82">
        <f>HYPERLINK("https://klasma.github.io/Logging_0380/klagomålsmail/A 9206-2024 FSC-klagomål mail.docx", "A 9206-2024")</f>
        <v/>
      </c>
      <c r="X82">
        <f>HYPERLINK("https://klasma.github.io/Logging_0380/tillsyn/A 9206-2024 tillsynsbegäran.docx", "A 9206-2024")</f>
        <v/>
      </c>
      <c r="Y82">
        <f>HYPERLINK("https://klasma.github.io/Logging_0380/tillsynsmail/A 9206-2024 tillsynsbegäran mail.docx", "A 9206-2024")</f>
        <v/>
      </c>
    </row>
    <row r="83" ht="15" customHeight="1">
      <c r="A83" t="inlineStr">
        <is>
          <t>A 26923-2025</t>
        </is>
      </c>
      <c r="B83" s="1" t="n">
        <v>45811.38710648148</v>
      </c>
      <c r="C83" s="1" t="n">
        <v>45968</v>
      </c>
      <c r="D83" t="inlineStr">
        <is>
          <t>UPPSALA LÄN</t>
        </is>
      </c>
      <c r="E83" t="inlineStr">
        <is>
          <t>UPPSALA</t>
        </is>
      </c>
      <c r="F83" t="inlineStr">
        <is>
          <t>Kyrkan</t>
        </is>
      </c>
      <c r="G83" t="n">
        <v>9.800000000000001</v>
      </c>
      <c r="H83" t="n">
        <v>1</v>
      </c>
      <c r="I83" t="n">
        <v>0</v>
      </c>
      <c r="J83" t="n">
        <v>0</v>
      </c>
      <c r="K83" t="n">
        <v>0</v>
      </c>
      <c r="L83" t="n">
        <v>0</v>
      </c>
      <c r="M83" t="n">
        <v>0</v>
      </c>
      <c r="N83" t="n">
        <v>0</v>
      </c>
      <c r="O83" t="n">
        <v>0</v>
      </c>
      <c r="P83" t="n">
        <v>0</v>
      </c>
      <c r="Q83" t="n">
        <v>1</v>
      </c>
      <c r="R83" s="2" t="inlineStr">
        <is>
          <t>Fläcknycklar</t>
        </is>
      </c>
      <c r="S83">
        <f>HYPERLINK("https://klasma.github.io/Logging_0380/artfynd/A 26923-2025 artfynd.xlsx", "A 26923-2025")</f>
        <v/>
      </c>
      <c r="T83">
        <f>HYPERLINK("https://klasma.github.io/Logging_0380/kartor/A 26923-2025 karta.png", "A 26923-2025")</f>
        <v/>
      </c>
      <c r="V83">
        <f>HYPERLINK("https://klasma.github.io/Logging_0380/klagomål/A 26923-2025 FSC-klagomål.docx", "A 26923-2025")</f>
        <v/>
      </c>
      <c r="W83">
        <f>HYPERLINK("https://klasma.github.io/Logging_0380/klagomålsmail/A 26923-2025 FSC-klagomål mail.docx", "A 26923-2025")</f>
        <v/>
      </c>
      <c r="X83">
        <f>HYPERLINK("https://klasma.github.io/Logging_0380/tillsyn/A 26923-2025 tillsynsbegäran.docx", "A 26923-2025")</f>
        <v/>
      </c>
      <c r="Y83">
        <f>HYPERLINK("https://klasma.github.io/Logging_0380/tillsynsmail/A 26923-2025 tillsynsbegäran mail.docx", "A 26923-2025")</f>
        <v/>
      </c>
    </row>
    <row r="84" ht="15" customHeight="1">
      <c r="A84" t="inlineStr">
        <is>
          <t>A 27848-2023</t>
        </is>
      </c>
      <c r="B84" s="1" t="n">
        <v>45098</v>
      </c>
      <c r="C84" s="1" t="n">
        <v>45968</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3304-2025</t>
        </is>
      </c>
      <c r="B85" s="1" t="n">
        <v>45679</v>
      </c>
      <c r="C85" s="1" t="n">
        <v>45968</v>
      </c>
      <c r="D85" t="inlineStr">
        <is>
          <t>UPPSALA LÄN</t>
        </is>
      </c>
      <c r="E85" t="inlineStr">
        <is>
          <t>UPPSALA</t>
        </is>
      </c>
      <c r="F85" t="inlineStr">
        <is>
          <t>Övriga statliga verk och myndigheter</t>
        </is>
      </c>
      <c r="G85" t="n">
        <v>3.8</v>
      </c>
      <c r="H85" t="n">
        <v>1</v>
      </c>
      <c r="I85" t="n">
        <v>0</v>
      </c>
      <c r="J85" t="n">
        <v>0</v>
      </c>
      <c r="K85" t="n">
        <v>0</v>
      </c>
      <c r="L85" t="n">
        <v>0</v>
      </c>
      <c r="M85" t="n">
        <v>0</v>
      </c>
      <c r="N85" t="n">
        <v>0</v>
      </c>
      <c r="O85" t="n">
        <v>0</v>
      </c>
      <c r="P85" t="n">
        <v>0</v>
      </c>
      <c r="Q85" t="n">
        <v>1</v>
      </c>
      <c r="R85" s="2" t="inlineStr">
        <is>
          <t>Blåsippa</t>
        </is>
      </c>
      <c r="S85">
        <f>HYPERLINK("https://klasma.github.io/Logging_0380/artfynd/A 3304-2025 artfynd.xlsx", "A 3304-2025")</f>
        <v/>
      </c>
      <c r="T85">
        <f>HYPERLINK("https://klasma.github.io/Logging_0380/kartor/A 3304-2025 karta.png", "A 3304-2025")</f>
        <v/>
      </c>
      <c r="V85">
        <f>HYPERLINK("https://klasma.github.io/Logging_0380/klagomål/A 3304-2025 FSC-klagomål.docx", "A 3304-2025")</f>
        <v/>
      </c>
      <c r="W85">
        <f>HYPERLINK("https://klasma.github.io/Logging_0380/klagomålsmail/A 3304-2025 FSC-klagomål mail.docx", "A 3304-2025")</f>
        <v/>
      </c>
      <c r="X85">
        <f>HYPERLINK("https://klasma.github.io/Logging_0380/tillsyn/A 3304-2025 tillsynsbegäran.docx", "A 3304-2025")</f>
        <v/>
      </c>
      <c r="Y85">
        <f>HYPERLINK("https://klasma.github.io/Logging_0380/tillsynsmail/A 3304-2025 tillsynsbegäran mail.docx", "A 3304-2025")</f>
        <v/>
      </c>
    </row>
    <row r="86" ht="15" customHeight="1">
      <c r="A86" t="inlineStr">
        <is>
          <t>A 28056-2025</t>
        </is>
      </c>
      <c r="B86" s="1" t="n">
        <v>45817</v>
      </c>
      <c r="C86" s="1" t="n">
        <v>45968</v>
      </c>
      <c r="D86" t="inlineStr">
        <is>
          <t>UPPSALA LÄN</t>
        </is>
      </c>
      <c r="E86" t="inlineStr">
        <is>
          <t>UPPSALA</t>
        </is>
      </c>
      <c r="G86" t="n">
        <v>19.3</v>
      </c>
      <c r="H86" t="n">
        <v>1</v>
      </c>
      <c r="I86" t="n">
        <v>0</v>
      </c>
      <c r="J86" t="n">
        <v>0</v>
      </c>
      <c r="K86" t="n">
        <v>1</v>
      </c>
      <c r="L86" t="n">
        <v>0</v>
      </c>
      <c r="M86" t="n">
        <v>0</v>
      </c>
      <c r="N86" t="n">
        <v>0</v>
      </c>
      <c r="O86" t="n">
        <v>1</v>
      </c>
      <c r="P86" t="n">
        <v>1</v>
      </c>
      <c r="Q86" t="n">
        <v>1</v>
      </c>
      <c r="R86" s="2" t="inlineStr">
        <is>
          <t>Knärot</t>
        </is>
      </c>
      <c r="S86">
        <f>HYPERLINK("https://klasma.github.io/Logging_0380/artfynd/A 28056-2025 artfynd.xlsx", "A 28056-2025")</f>
        <v/>
      </c>
      <c r="T86">
        <f>HYPERLINK("https://klasma.github.io/Logging_0380/kartor/A 28056-2025 karta.png", "A 28056-2025")</f>
        <v/>
      </c>
      <c r="U86">
        <f>HYPERLINK("https://klasma.github.io/Logging_0380/knärot/A 28056-2025 karta knärot.png", "A 28056-2025")</f>
        <v/>
      </c>
      <c r="V86">
        <f>HYPERLINK("https://klasma.github.io/Logging_0380/klagomål/A 28056-2025 FSC-klagomål.docx", "A 28056-2025")</f>
        <v/>
      </c>
      <c r="W86">
        <f>HYPERLINK("https://klasma.github.io/Logging_0380/klagomålsmail/A 28056-2025 FSC-klagomål mail.docx", "A 28056-2025")</f>
        <v/>
      </c>
      <c r="X86">
        <f>HYPERLINK("https://klasma.github.io/Logging_0380/tillsyn/A 28056-2025 tillsynsbegäran.docx", "A 28056-2025")</f>
        <v/>
      </c>
      <c r="Y86">
        <f>HYPERLINK("https://klasma.github.io/Logging_0380/tillsynsmail/A 28056-2025 tillsynsbegäran mail.docx", "A 28056-2025")</f>
        <v/>
      </c>
    </row>
    <row r="87" ht="15" customHeight="1">
      <c r="A87" t="inlineStr">
        <is>
          <t>A 27824-2025</t>
        </is>
      </c>
      <c r="B87" s="1" t="n">
        <v>45817.34614583333</v>
      </c>
      <c r="C87" s="1" t="n">
        <v>45968</v>
      </c>
      <c r="D87" t="inlineStr">
        <is>
          <t>UPPSALA LÄN</t>
        </is>
      </c>
      <c r="E87" t="inlineStr">
        <is>
          <t>UPPSALA</t>
        </is>
      </c>
      <c r="F87" t="inlineStr">
        <is>
          <t>Kyrkan</t>
        </is>
      </c>
      <c r="G87" t="n">
        <v>3.3</v>
      </c>
      <c r="H87" t="n">
        <v>0</v>
      </c>
      <c r="I87" t="n">
        <v>1</v>
      </c>
      <c r="J87" t="n">
        <v>0</v>
      </c>
      <c r="K87" t="n">
        <v>0</v>
      </c>
      <c r="L87" t="n">
        <v>0</v>
      </c>
      <c r="M87" t="n">
        <v>0</v>
      </c>
      <c r="N87" t="n">
        <v>0</v>
      </c>
      <c r="O87" t="n">
        <v>0</v>
      </c>
      <c r="P87" t="n">
        <v>0</v>
      </c>
      <c r="Q87" t="n">
        <v>1</v>
      </c>
      <c r="R87" s="2" t="inlineStr">
        <is>
          <t>Sårläka</t>
        </is>
      </c>
      <c r="S87">
        <f>HYPERLINK("https://klasma.github.io/Logging_0380/artfynd/A 27824-2025 artfynd.xlsx", "A 27824-2025")</f>
        <v/>
      </c>
      <c r="T87">
        <f>HYPERLINK("https://klasma.github.io/Logging_0380/kartor/A 27824-2025 karta.png", "A 27824-2025")</f>
        <v/>
      </c>
      <c r="V87">
        <f>HYPERLINK("https://klasma.github.io/Logging_0380/klagomål/A 27824-2025 FSC-klagomål.docx", "A 27824-2025")</f>
        <v/>
      </c>
      <c r="W87">
        <f>HYPERLINK("https://klasma.github.io/Logging_0380/klagomålsmail/A 27824-2025 FSC-klagomål mail.docx", "A 27824-2025")</f>
        <v/>
      </c>
      <c r="X87">
        <f>HYPERLINK("https://klasma.github.io/Logging_0380/tillsyn/A 27824-2025 tillsynsbegäran.docx", "A 27824-2025")</f>
        <v/>
      </c>
      <c r="Y87">
        <f>HYPERLINK("https://klasma.github.io/Logging_0380/tillsynsmail/A 27824-2025 tillsynsbegäran mail.docx", "A 27824-2025")</f>
        <v/>
      </c>
    </row>
    <row r="88" ht="15" customHeight="1">
      <c r="A88" t="inlineStr">
        <is>
          <t>A 28299-2025</t>
        </is>
      </c>
      <c r="B88" s="1" t="n">
        <v>45818.60254629629</v>
      </c>
      <c r="C88" s="1" t="n">
        <v>45968</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13526-2025</t>
        </is>
      </c>
      <c r="B89" s="1" t="n">
        <v>45736.49902777778</v>
      </c>
      <c r="C89" s="1" t="n">
        <v>45968</v>
      </c>
      <c r="D89" t="inlineStr">
        <is>
          <t>UPPSALA LÄN</t>
        </is>
      </c>
      <c r="E89" t="inlineStr">
        <is>
          <t>UPPSALA</t>
        </is>
      </c>
      <c r="F89" t="inlineStr">
        <is>
          <t>Allmännings- och besparingsskogar</t>
        </is>
      </c>
      <c r="G89" t="n">
        <v>3</v>
      </c>
      <c r="H89" t="n">
        <v>0</v>
      </c>
      <c r="I89" t="n">
        <v>0</v>
      </c>
      <c r="J89" t="n">
        <v>1</v>
      </c>
      <c r="K89" t="n">
        <v>0</v>
      </c>
      <c r="L89" t="n">
        <v>0</v>
      </c>
      <c r="M89" t="n">
        <v>0</v>
      </c>
      <c r="N89" t="n">
        <v>0</v>
      </c>
      <c r="O89" t="n">
        <v>1</v>
      </c>
      <c r="P89" t="n">
        <v>0</v>
      </c>
      <c r="Q89" t="n">
        <v>1</v>
      </c>
      <c r="R89" s="2" t="inlineStr">
        <is>
          <t>Vedtrappmossa</t>
        </is>
      </c>
      <c r="S89">
        <f>HYPERLINK("https://klasma.github.io/Logging_0380/artfynd/A 13526-2025 artfynd.xlsx", "A 13526-2025")</f>
        <v/>
      </c>
      <c r="T89">
        <f>HYPERLINK("https://klasma.github.io/Logging_0380/kartor/A 13526-2025 karta.png", "A 13526-2025")</f>
        <v/>
      </c>
      <c r="V89">
        <f>HYPERLINK("https://klasma.github.io/Logging_0380/klagomål/A 13526-2025 FSC-klagomål.docx", "A 13526-2025")</f>
        <v/>
      </c>
      <c r="W89">
        <f>HYPERLINK("https://klasma.github.io/Logging_0380/klagomålsmail/A 13526-2025 FSC-klagomål mail.docx", "A 13526-2025")</f>
        <v/>
      </c>
      <c r="X89">
        <f>HYPERLINK("https://klasma.github.io/Logging_0380/tillsyn/A 13526-2025 tillsynsbegäran.docx", "A 13526-2025")</f>
        <v/>
      </c>
      <c r="Y89">
        <f>HYPERLINK("https://klasma.github.io/Logging_0380/tillsynsmail/A 13526-2025 tillsynsbegäran mail.docx", "A 13526-2025")</f>
        <v/>
      </c>
    </row>
    <row r="90" ht="15" customHeight="1">
      <c r="A90" t="inlineStr">
        <is>
          <t>A 61818-2022</t>
        </is>
      </c>
      <c r="B90" s="1" t="n">
        <v>44917</v>
      </c>
      <c r="C90" s="1" t="n">
        <v>45968</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29664-2025</t>
        </is>
      </c>
      <c r="B91" s="1" t="n">
        <v>45825.49060185185</v>
      </c>
      <c r="C91" s="1" t="n">
        <v>45968</v>
      </c>
      <c r="D91" t="inlineStr">
        <is>
          <t>UPPSALA LÄN</t>
        </is>
      </c>
      <c r="E91" t="inlineStr">
        <is>
          <t>UPPSALA</t>
        </is>
      </c>
      <c r="F91" t="inlineStr">
        <is>
          <t>Holmen skog AB</t>
        </is>
      </c>
      <c r="G91" t="n">
        <v>16.8</v>
      </c>
      <c r="H91" t="n">
        <v>0</v>
      </c>
      <c r="I91" t="n">
        <v>1</v>
      </c>
      <c r="J91" t="n">
        <v>0</v>
      </c>
      <c r="K91" t="n">
        <v>0</v>
      </c>
      <c r="L91" t="n">
        <v>0</v>
      </c>
      <c r="M91" t="n">
        <v>0</v>
      </c>
      <c r="N91" t="n">
        <v>0</v>
      </c>
      <c r="O91" t="n">
        <v>0</v>
      </c>
      <c r="P91" t="n">
        <v>0</v>
      </c>
      <c r="Q91" t="n">
        <v>1</v>
      </c>
      <c r="R91" s="2" t="inlineStr">
        <is>
          <t>Fjällig taggsvamp s.str.</t>
        </is>
      </c>
      <c r="S91">
        <f>HYPERLINK("https://klasma.github.io/Logging_0380/artfynd/A 29664-2025 artfynd.xlsx", "A 29664-2025")</f>
        <v/>
      </c>
      <c r="T91">
        <f>HYPERLINK("https://klasma.github.io/Logging_0380/kartor/A 29664-2025 karta.png", "A 29664-2025")</f>
        <v/>
      </c>
      <c r="V91">
        <f>HYPERLINK("https://klasma.github.io/Logging_0380/klagomål/A 29664-2025 FSC-klagomål.docx", "A 29664-2025")</f>
        <v/>
      </c>
      <c r="W91">
        <f>HYPERLINK("https://klasma.github.io/Logging_0380/klagomålsmail/A 29664-2025 FSC-klagomål mail.docx", "A 29664-2025")</f>
        <v/>
      </c>
      <c r="X91">
        <f>HYPERLINK("https://klasma.github.io/Logging_0380/tillsyn/A 29664-2025 tillsynsbegäran.docx", "A 29664-2025")</f>
        <v/>
      </c>
      <c r="Y91">
        <f>HYPERLINK("https://klasma.github.io/Logging_0380/tillsynsmail/A 29664-2025 tillsynsbegäran mail.docx", "A 29664-2025")</f>
        <v/>
      </c>
    </row>
    <row r="92" ht="15" customHeight="1">
      <c r="A92" t="inlineStr">
        <is>
          <t>A 2729-2024</t>
        </is>
      </c>
      <c r="B92" s="1" t="n">
        <v>45314.55579861111</v>
      </c>
      <c r="C92" s="1" t="n">
        <v>45968</v>
      </c>
      <c r="D92" t="inlineStr">
        <is>
          <t>UPPSALA LÄN</t>
        </is>
      </c>
      <c r="E92" t="inlineStr">
        <is>
          <t>UPPSALA</t>
        </is>
      </c>
      <c r="G92" t="n">
        <v>3.3</v>
      </c>
      <c r="H92" t="n">
        <v>1</v>
      </c>
      <c r="I92" t="n">
        <v>0</v>
      </c>
      <c r="J92" t="n">
        <v>0</v>
      </c>
      <c r="K92" t="n">
        <v>0</v>
      </c>
      <c r="L92" t="n">
        <v>0</v>
      </c>
      <c r="M92" t="n">
        <v>0</v>
      </c>
      <c r="N92" t="n">
        <v>0</v>
      </c>
      <c r="O92" t="n">
        <v>0</v>
      </c>
      <c r="P92" t="n">
        <v>0</v>
      </c>
      <c r="Q92" t="n">
        <v>1</v>
      </c>
      <c r="R92" s="2" t="inlineStr">
        <is>
          <t>Revlummer</t>
        </is>
      </c>
      <c r="S92">
        <f>HYPERLINK("https://klasma.github.io/Logging_0380/artfynd/A 2729-2024 artfynd.xlsx", "A 2729-2024")</f>
        <v/>
      </c>
      <c r="T92">
        <f>HYPERLINK("https://klasma.github.io/Logging_0380/kartor/A 2729-2024 karta.png", "A 2729-2024")</f>
        <v/>
      </c>
      <c r="V92">
        <f>HYPERLINK("https://klasma.github.io/Logging_0380/klagomål/A 2729-2024 FSC-klagomål.docx", "A 2729-2024")</f>
        <v/>
      </c>
      <c r="W92">
        <f>HYPERLINK("https://klasma.github.io/Logging_0380/klagomålsmail/A 2729-2024 FSC-klagomål mail.docx", "A 2729-2024")</f>
        <v/>
      </c>
      <c r="X92">
        <f>HYPERLINK("https://klasma.github.io/Logging_0380/tillsyn/A 2729-2024 tillsynsbegäran.docx", "A 2729-2024")</f>
        <v/>
      </c>
      <c r="Y92">
        <f>HYPERLINK("https://klasma.github.io/Logging_0380/tillsynsmail/A 2729-2024 tillsynsbegäran mail.docx", "A 2729-2024")</f>
        <v/>
      </c>
    </row>
    <row r="93" ht="15" customHeight="1">
      <c r="A93" t="inlineStr">
        <is>
          <t>A 49015-2022</t>
        </is>
      </c>
      <c r="B93" s="1" t="n">
        <v>44855</v>
      </c>
      <c r="C93" s="1" t="n">
        <v>45968</v>
      </c>
      <c r="D93" t="inlineStr">
        <is>
          <t>UPPSALA LÄN</t>
        </is>
      </c>
      <c r="E93" t="inlineStr">
        <is>
          <t>UPPSALA</t>
        </is>
      </c>
      <c r="F93" t="inlineStr">
        <is>
          <t>Kommuner</t>
        </is>
      </c>
      <c r="G93" t="n">
        <v>4.5</v>
      </c>
      <c r="H93" t="n">
        <v>0</v>
      </c>
      <c r="I93" t="n">
        <v>0</v>
      </c>
      <c r="J93" t="n">
        <v>1</v>
      </c>
      <c r="K93" t="n">
        <v>0</v>
      </c>
      <c r="L93" t="n">
        <v>0</v>
      </c>
      <c r="M93" t="n">
        <v>0</v>
      </c>
      <c r="N93" t="n">
        <v>0</v>
      </c>
      <c r="O93" t="n">
        <v>1</v>
      </c>
      <c r="P93" t="n">
        <v>0</v>
      </c>
      <c r="Q93" t="n">
        <v>1</v>
      </c>
      <c r="R93" s="2" t="inlineStr">
        <is>
          <t>Harticka</t>
        </is>
      </c>
      <c r="S93">
        <f>HYPERLINK("https://klasma.github.io/Logging_0380/artfynd/A 49015-2022 artfynd.xlsx", "A 49015-2022")</f>
        <v/>
      </c>
      <c r="T93">
        <f>HYPERLINK("https://klasma.github.io/Logging_0380/kartor/A 49015-2022 karta.png", "A 49015-2022")</f>
        <v/>
      </c>
      <c r="V93">
        <f>HYPERLINK("https://klasma.github.io/Logging_0380/klagomål/A 49015-2022 FSC-klagomål.docx", "A 49015-2022")</f>
        <v/>
      </c>
      <c r="W93">
        <f>HYPERLINK("https://klasma.github.io/Logging_0380/klagomålsmail/A 49015-2022 FSC-klagomål mail.docx", "A 49015-2022")</f>
        <v/>
      </c>
      <c r="X93">
        <f>HYPERLINK("https://klasma.github.io/Logging_0380/tillsyn/A 49015-2022 tillsynsbegäran.docx", "A 49015-2022")</f>
        <v/>
      </c>
      <c r="Y93">
        <f>HYPERLINK("https://klasma.github.io/Logging_0380/tillsynsmail/A 49015-2022 tillsynsbegäran mail.docx", "A 49015-2022")</f>
        <v/>
      </c>
    </row>
    <row r="94" ht="15" customHeight="1">
      <c r="A94" t="inlineStr">
        <is>
          <t>A 5009-2023</t>
        </is>
      </c>
      <c r="B94" s="1" t="n">
        <v>44958</v>
      </c>
      <c r="C94" s="1" t="n">
        <v>45968</v>
      </c>
      <c r="D94" t="inlineStr">
        <is>
          <t>UPPSALA LÄN</t>
        </is>
      </c>
      <c r="E94" t="inlineStr">
        <is>
          <t>UPPSALA</t>
        </is>
      </c>
      <c r="G94" t="n">
        <v>4.7</v>
      </c>
      <c r="H94" t="n">
        <v>1</v>
      </c>
      <c r="I94" t="n">
        <v>0</v>
      </c>
      <c r="J94" t="n">
        <v>0</v>
      </c>
      <c r="K94" t="n">
        <v>0</v>
      </c>
      <c r="L94" t="n">
        <v>0</v>
      </c>
      <c r="M94" t="n">
        <v>0</v>
      </c>
      <c r="N94" t="n">
        <v>0</v>
      </c>
      <c r="O94" t="n">
        <v>0</v>
      </c>
      <c r="P94" t="n">
        <v>0</v>
      </c>
      <c r="Q94" t="n">
        <v>1</v>
      </c>
      <c r="R94" s="2" t="inlineStr">
        <is>
          <t>Blåsippa</t>
        </is>
      </c>
      <c r="S94">
        <f>HYPERLINK("https://klasma.github.io/Logging_0380/artfynd/A 5009-2023 artfynd.xlsx", "A 5009-2023")</f>
        <v/>
      </c>
      <c r="T94">
        <f>HYPERLINK("https://klasma.github.io/Logging_0380/kartor/A 5009-2023 karta.png", "A 5009-2023")</f>
        <v/>
      </c>
      <c r="V94">
        <f>HYPERLINK("https://klasma.github.io/Logging_0380/klagomål/A 5009-2023 FSC-klagomål.docx", "A 5009-2023")</f>
        <v/>
      </c>
      <c r="W94">
        <f>HYPERLINK("https://klasma.github.io/Logging_0380/klagomålsmail/A 5009-2023 FSC-klagomål mail.docx", "A 5009-2023")</f>
        <v/>
      </c>
      <c r="X94">
        <f>HYPERLINK("https://klasma.github.io/Logging_0380/tillsyn/A 5009-2023 tillsynsbegäran.docx", "A 5009-2023")</f>
        <v/>
      </c>
      <c r="Y94">
        <f>HYPERLINK("https://klasma.github.io/Logging_0380/tillsynsmail/A 5009-2023 tillsynsbegäran mail.docx", "A 5009-2023")</f>
        <v/>
      </c>
    </row>
    <row r="95" ht="15" customHeight="1">
      <c r="A95" t="inlineStr">
        <is>
          <t>A 29906-2023</t>
        </is>
      </c>
      <c r="B95" s="1" t="n">
        <v>45107</v>
      </c>
      <c r="C95" s="1" t="n">
        <v>45968</v>
      </c>
      <c r="D95" t="inlineStr">
        <is>
          <t>UPPSALA LÄN</t>
        </is>
      </c>
      <c r="E95" t="inlineStr">
        <is>
          <t>UPPSALA</t>
        </is>
      </c>
      <c r="F95" t="inlineStr">
        <is>
          <t>Kyrkan</t>
        </is>
      </c>
      <c r="G95" t="n">
        <v>0.5</v>
      </c>
      <c r="H95" t="n">
        <v>0</v>
      </c>
      <c r="I95" t="n">
        <v>1</v>
      </c>
      <c r="J95" t="n">
        <v>0</v>
      </c>
      <c r="K95" t="n">
        <v>0</v>
      </c>
      <c r="L95" t="n">
        <v>0</v>
      </c>
      <c r="M95" t="n">
        <v>0</v>
      </c>
      <c r="N95" t="n">
        <v>0</v>
      </c>
      <c r="O95" t="n">
        <v>0</v>
      </c>
      <c r="P95" t="n">
        <v>0</v>
      </c>
      <c r="Q95" t="n">
        <v>1</v>
      </c>
      <c r="R95" s="2" t="inlineStr">
        <is>
          <t>Sotriska</t>
        </is>
      </c>
      <c r="S95">
        <f>HYPERLINK("https://klasma.github.io/Logging_0380/artfynd/A 29906-2023 artfynd.xlsx", "A 29906-2023")</f>
        <v/>
      </c>
      <c r="T95">
        <f>HYPERLINK("https://klasma.github.io/Logging_0380/kartor/A 29906-2023 karta.png", "A 29906-2023")</f>
        <v/>
      </c>
      <c r="V95">
        <f>HYPERLINK("https://klasma.github.io/Logging_0380/klagomål/A 29906-2023 FSC-klagomål.docx", "A 29906-2023")</f>
        <v/>
      </c>
      <c r="W95">
        <f>HYPERLINK("https://klasma.github.io/Logging_0380/klagomålsmail/A 29906-2023 FSC-klagomål mail.docx", "A 29906-2023")</f>
        <v/>
      </c>
      <c r="X95">
        <f>HYPERLINK("https://klasma.github.io/Logging_0380/tillsyn/A 29906-2023 tillsynsbegäran.docx", "A 29906-2023")</f>
        <v/>
      </c>
      <c r="Y95">
        <f>HYPERLINK("https://klasma.github.io/Logging_0380/tillsynsmail/A 29906-2023 tillsynsbegäran mail.docx", "A 29906-2023")</f>
        <v/>
      </c>
    </row>
    <row r="96" ht="15" customHeight="1">
      <c r="A96" t="inlineStr">
        <is>
          <t>A 25729-2024</t>
        </is>
      </c>
      <c r="B96" s="1" t="n">
        <v>45464</v>
      </c>
      <c r="C96" s="1" t="n">
        <v>45968</v>
      </c>
      <c r="D96" t="inlineStr">
        <is>
          <t>UPPSALA LÄN</t>
        </is>
      </c>
      <c r="E96" t="inlineStr">
        <is>
          <t>UPPSALA</t>
        </is>
      </c>
      <c r="G96" t="n">
        <v>22.3</v>
      </c>
      <c r="H96" t="n">
        <v>0</v>
      </c>
      <c r="I96" t="n">
        <v>0</v>
      </c>
      <c r="J96" t="n">
        <v>1</v>
      </c>
      <c r="K96" t="n">
        <v>0</v>
      </c>
      <c r="L96" t="n">
        <v>0</v>
      </c>
      <c r="M96" t="n">
        <v>0</v>
      </c>
      <c r="N96" t="n">
        <v>0</v>
      </c>
      <c r="O96" t="n">
        <v>1</v>
      </c>
      <c r="P96" t="n">
        <v>0</v>
      </c>
      <c r="Q96" t="n">
        <v>1</v>
      </c>
      <c r="R96" s="2" t="inlineStr">
        <is>
          <t>Ullticka</t>
        </is>
      </c>
      <c r="S96">
        <f>HYPERLINK("https://klasma.github.io/Logging_0380/artfynd/A 25729-2024 artfynd.xlsx", "A 25729-2024")</f>
        <v/>
      </c>
      <c r="T96">
        <f>HYPERLINK("https://klasma.github.io/Logging_0380/kartor/A 25729-2024 karta.png", "A 25729-2024")</f>
        <v/>
      </c>
      <c r="V96">
        <f>HYPERLINK("https://klasma.github.io/Logging_0380/klagomål/A 25729-2024 FSC-klagomål.docx", "A 25729-2024")</f>
        <v/>
      </c>
      <c r="W96">
        <f>HYPERLINK("https://klasma.github.io/Logging_0380/klagomålsmail/A 25729-2024 FSC-klagomål mail.docx", "A 25729-2024")</f>
        <v/>
      </c>
      <c r="X96">
        <f>HYPERLINK("https://klasma.github.io/Logging_0380/tillsyn/A 25729-2024 tillsynsbegäran.docx", "A 25729-2024")</f>
        <v/>
      </c>
      <c r="Y96">
        <f>HYPERLINK("https://klasma.github.io/Logging_0380/tillsynsmail/A 25729-2024 tillsynsbegäran mail.docx", "A 25729-2024")</f>
        <v/>
      </c>
    </row>
    <row r="97" ht="15" customHeight="1">
      <c r="A97" t="inlineStr">
        <is>
          <t>A 16761-2022</t>
        </is>
      </c>
      <c r="B97" s="1" t="n">
        <v>44673.47858796296</v>
      </c>
      <c r="C97" s="1" t="n">
        <v>45968</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52849-2021</t>
        </is>
      </c>
      <c r="B98" s="1" t="n">
        <v>44467</v>
      </c>
      <c r="C98" s="1" t="n">
        <v>45968</v>
      </c>
      <c r="D98" t="inlineStr">
        <is>
          <t>UPPSALA LÄN</t>
        </is>
      </c>
      <c r="E98" t="inlineStr">
        <is>
          <t>UPPSALA</t>
        </is>
      </c>
      <c r="F98" t="inlineStr">
        <is>
          <t>Övriga Aktiebolag</t>
        </is>
      </c>
      <c r="G98" t="n">
        <v>3.3</v>
      </c>
      <c r="H98" t="n">
        <v>0</v>
      </c>
      <c r="I98" t="n">
        <v>0</v>
      </c>
      <c r="J98" t="n">
        <v>1</v>
      </c>
      <c r="K98" t="n">
        <v>0</v>
      </c>
      <c r="L98" t="n">
        <v>0</v>
      </c>
      <c r="M98" t="n">
        <v>0</v>
      </c>
      <c r="N98" t="n">
        <v>0</v>
      </c>
      <c r="O98" t="n">
        <v>1</v>
      </c>
      <c r="P98" t="n">
        <v>0</v>
      </c>
      <c r="Q98" t="n">
        <v>1</v>
      </c>
      <c r="R98" s="2" t="inlineStr">
        <is>
          <t>Skogshare</t>
        </is>
      </c>
      <c r="S98">
        <f>HYPERLINK("https://klasma.github.io/Logging_0380/artfynd/A 52849-2021 artfynd.xlsx", "A 52849-2021")</f>
        <v/>
      </c>
      <c r="T98">
        <f>HYPERLINK("https://klasma.github.io/Logging_0380/kartor/A 52849-2021 karta.png", "A 52849-2021")</f>
        <v/>
      </c>
      <c r="V98">
        <f>HYPERLINK("https://klasma.github.io/Logging_0380/klagomål/A 52849-2021 FSC-klagomål.docx", "A 52849-2021")</f>
        <v/>
      </c>
      <c r="W98">
        <f>HYPERLINK("https://klasma.github.io/Logging_0380/klagomålsmail/A 52849-2021 FSC-klagomål mail.docx", "A 52849-2021")</f>
        <v/>
      </c>
      <c r="X98">
        <f>HYPERLINK("https://klasma.github.io/Logging_0380/tillsyn/A 52849-2021 tillsynsbegäran.docx", "A 52849-2021")</f>
        <v/>
      </c>
      <c r="Y98">
        <f>HYPERLINK("https://klasma.github.io/Logging_0380/tillsynsmail/A 52849-2021 tillsynsbegäran mail.docx", "A 52849-2021")</f>
        <v/>
      </c>
    </row>
    <row r="99" ht="15" customHeight="1">
      <c r="A99" t="inlineStr">
        <is>
          <t>A 21657-2024</t>
        </is>
      </c>
      <c r="B99" s="1" t="n">
        <v>45442</v>
      </c>
      <c r="C99" s="1" t="n">
        <v>45968</v>
      </c>
      <c r="D99" t="inlineStr">
        <is>
          <t>UPPSALA LÄN</t>
        </is>
      </c>
      <c r="E99" t="inlineStr">
        <is>
          <t>UPPSALA</t>
        </is>
      </c>
      <c r="G99" t="n">
        <v>5.7</v>
      </c>
      <c r="H99" t="n">
        <v>1</v>
      </c>
      <c r="I99" t="n">
        <v>0</v>
      </c>
      <c r="J99" t="n">
        <v>0</v>
      </c>
      <c r="K99" t="n">
        <v>0</v>
      </c>
      <c r="L99" t="n">
        <v>0</v>
      </c>
      <c r="M99" t="n">
        <v>0</v>
      </c>
      <c r="N99" t="n">
        <v>0</v>
      </c>
      <c r="O99" t="n">
        <v>0</v>
      </c>
      <c r="P99" t="n">
        <v>0</v>
      </c>
      <c r="Q99" t="n">
        <v>1</v>
      </c>
      <c r="R99" s="2" t="inlineStr">
        <is>
          <t>Kungsfågel</t>
        </is>
      </c>
      <c r="S99">
        <f>HYPERLINK("https://klasma.github.io/Logging_0380/artfynd/A 21657-2024 artfynd.xlsx", "A 21657-2024")</f>
        <v/>
      </c>
      <c r="T99">
        <f>HYPERLINK("https://klasma.github.io/Logging_0380/kartor/A 21657-2024 karta.png", "A 21657-2024")</f>
        <v/>
      </c>
      <c r="V99">
        <f>HYPERLINK("https://klasma.github.io/Logging_0380/klagomål/A 21657-2024 FSC-klagomål.docx", "A 21657-2024")</f>
        <v/>
      </c>
      <c r="W99">
        <f>HYPERLINK("https://klasma.github.io/Logging_0380/klagomålsmail/A 21657-2024 FSC-klagomål mail.docx", "A 21657-2024")</f>
        <v/>
      </c>
      <c r="X99">
        <f>HYPERLINK("https://klasma.github.io/Logging_0380/tillsyn/A 21657-2024 tillsynsbegäran.docx", "A 21657-2024")</f>
        <v/>
      </c>
      <c r="Y99">
        <f>HYPERLINK("https://klasma.github.io/Logging_0380/tillsynsmail/A 21657-2024 tillsynsbegäran mail.docx", "A 21657-2024")</f>
        <v/>
      </c>
      <c r="Z99">
        <f>HYPERLINK("https://klasma.github.io/Logging_0380/fåglar/A 21657-2024 prioriterade fågelarter.docx", "A 21657-2024")</f>
        <v/>
      </c>
    </row>
    <row r="100" ht="15" customHeight="1">
      <c r="A100" t="inlineStr">
        <is>
          <t>A 35260-2025</t>
        </is>
      </c>
      <c r="B100" s="1" t="n">
        <v>45853.76976851852</v>
      </c>
      <c r="C100" s="1" t="n">
        <v>45968</v>
      </c>
      <c r="D100" t="inlineStr">
        <is>
          <t>UPPSALA LÄN</t>
        </is>
      </c>
      <c r="E100" t="inlineStr">
        <is>
          <t>UPPSALA</t>
        </is>
      </c>
      <c r="G100" t="n">
        <v>7.3</v>
      </c>
      <c r="H100" t="n">
        <v>0</v>
      </c>
      <c r="I100" t="n">
        <v>1</v>
      </c>
      <c r="J100" t="n">
        <v>0</v>
      </c>
      <c r="K100" t="n">
        <v>0</v>
      </c>
      <c r="L100" t="n">
        <v>0</v>
      </c>
      <c r="M100" t="n">
        <v>0</v>
      </c>
      <c r="N100" t="n">
        <v>0</v>
      </c>
      <c r="O100" t="n">
        <v>0</v>
      </c>
      <c r="P100" t="n">
        <v>0</v>
      </c>
      <c r="Q100" t="n">
        <v>1</v>
      </c>
      <c r="R100" s="2" t="inlineStr">
        <is>
          <t>Svavelriska</t>
        </is>
      </c>
      <c r="S100">
        <f>HYPERLINK("https://klasma.github.io/Logging_0380/artfynd/A 35260-2025 artfynd.xlsx", "A 35260-2025")</f>
        <v/>
      </c>
      <c r="T100">
        <f>HYPERLINK("https://klasma.github.io/Logging_0380/kartor/A 35260-2025 karta.png", "A 35260-2025")</f>
        <v/>
      </c>
      <c r="V100">
        <f>HYPERLINK("https://klasma.github.io/Logging_0380/klagomål/A 35260-2025 FSC-klagomål.docx", "A 35260-2025")</f>
        <v/>
      </c>
      <c r="W100">
        <f>HYPERLINK("https://klasma.github.io/Logging_0380/klagomålsmail/A 35260-2025 FSC-klagomål mail.docx", "A 35260-2025")</f>
        <v/>
      </c>
      <c r="X100">
        <f>HYPERLINK("https://klasma.github.io/Logging_0380/tillsyn/A 35260-2025 tillsynsbegäran.docx", "A 35260-2025")</f>
        <v/>
      </c>
      <c r="Y100">
        <f>HYPERLINK("https://klasma.github.io/Logging_0380/tillsynsmail/A 35260-2025 tillsynsbegäran mail.docx", "A 35260-2025")</f>
        <v/>
      </c>
    </row>
    <row r="101" ht="15" customHeight="1">
      <c r="A101" t="inlineStr">
        <is>
          <t>A 18373-2025</t>
        </is>
      </c>
      <c r="B101" s="1" t="n">
        <v>45762.57244212963</v>
      </c>
      <c r="C101" s="1" t="n">
        <v>45968</v>
      </c>
      <c r="D101" t="inlineStr">
        <is>
          <t>UPPSALA LÄN</t>
        </is>
      </c>
      <c r="E101" t="inlineStr">
        <is>
          <t>UPPSALA</t>
        </is>
      </c>
      <c r="G101" t="n">
        <v>9.5</v>
      </c>
      <c r="H101" t="n">
        <v>0</v>
      </c>
      <c r="I101" t="n">
        <v>0</v>
      </c>
      <c r="J101" t="n">
        <v>1</v>
      </c>
      <c r="K101" t="n">
        <v>0</v>
      </c>
      <c r="L101" t="n">
        <v>0</v>
      </c>
      <c r="M101" t="n">
        <v>0</v>
      </c>
      <c r="N101" t="n">
        <v>0</v>
      </c>
      <c r="O101" t="n">
        <v>1</v>
      </c>
      <c r="P101" t="n">
        <v>0</v>
      </c>
      <c r="Q101" t="n">
        <v>1</v>
      </c>
      <c r="R101" s="2" t="inlineStr">
        <is>
          <t>Ullticka</t>
        </is>
      </c>
      <c r="S101">
        <f>HYPERLINK("https://klasma.github.io/Logging_0380/artfynd/A 18373-2025 artfynd.xlsx", "A 18373-2025")</f>
        <v/>
      </c>
      <c r="T101">
        <f>HYPERLINK("https://klasma.github.io/Logging_0380/kartor/A 18373-2025 karta.png", "A 18373-2025")</f>
        <v/>
      </c>
      <c r="V101">
        <f>HYPERLINK("https://klasma.github.io/Logging_0380/klagomål/A 18373-2025 FSC-klagomål.docx", "A 18373-2025")</f>
        <v/>
      </c>
      <c r="W101">
        <f>HYPERLINK("https://klasma.github.io/Logging_0380/klagomålsmail/A 18373-2025 FSC-klagomål mail.docx", "A 18373-2025")</f>
        <v/>
      </c>
      <c r="X101">
        <f>HYPERLINK("https://klasma.github.io/Logging_0380/tillsyn/A 18373-2025 tillsynsbegäran.docx", "A 18373-2025")</f>
        <v/>
      </c>
      <c r="Y101">
        <f>HYPERLINK("https://klasma.github.io/Logging_0380/tillsynsmail/A 18373-2025 tillsynsbegäran mail.docx", "A 18373-2025")</f>
        <v/>
      </c>
    </row>
    <row r="102" ht="15" customHeight="1">
      <c r="A102" t="inlineStr">
        <is>
          <t>A 39741-2023</t>
        </is>
      </c>
      <c r="B102" s="1" t="n">
        <v>45167</v>
      </c>
      <c r="C102" s="1" t="n">
        <v>45968</v>
      </c>
      <c r="D102" t="inlineStr">
        <is>
          <t>UPPSALA LÄN</t>
        </is>
      </c>
      <c r="E102" t="inlineStr">
        <is>
          <t>UPPSALA</t>
        </is>
      </c>
      <c r="G102" t="n">
        <v>5.6</v>
      </c>
      <c r="H102" t="n">
        <v>1</v>
      </c>
      <c r="I102" t="n">
        <v>0</v>
      </c>
      <c r="J102" t="n">
        <v>1</v>
      </c>
      <c r="K102" t="n">
        <v>0</v>
      </c>
      <c r="L102" t="n">
        <v>0</v>
      </c>
      <c r="M102" t="n">
        <v>0</v>
      </c>
      <c r="N102" t="n">
        <v>0</v>
      </c>
      <c r="O102" t="n">
        <v>1</v>
      </c>
      <c r="P102" t="n">
        <v>0</v>
      </c>
      <c r="Q102" t="n">
        <v>1</v>
      </c>
      <c r="R102" s="2" t="inlineStr">
        <is>
          <t>Entita</t>
        </is>
      </c>
      <c r="S102">
        <f>HYPERLINK("https://klasma.github.io/Logging_0380/artfynd/A 39741-2023 artfynd.xlsx", "A 39741-2023")</f>
        <v/>
      </c>
      <c r="T102">
        <f>HYPERLINK("https://klasma.github.io/Logging_0380/kartor/A 39741-2023 karta.png", "A 39741-2023")</f>
        <v/>
      </c>
      <c r="V102">
        <f>HYPERLINK("https://klasma.github.io/Logging_0380/klagomål/A 39741-2023 FSC-klagomål.docx", "A 39741-2023")</f>
        <v/>
      </c>
      <c r="W102">
        <f>HYPERLINK("https://klasma.github.io/Logging_0380/klagomålsmail/A 39741-2023 FSC-klagomål mail.docx", "A 39741-2023")</f>
        <v/>
      </c>
      <c r="X102">
        <f>HYPERLINK("https://klasma.github.io/Logging_0380/tillsyn/A 39741-2023 tillsynsbegäran.docx", "A 39741-2023")</f>
        <v/>
      </c>
      <c r="Y102">
        <f>HYPERLINK("https://klasma.github.io/Logging_0380/tillsynsmail/A 39741-2023 tillsynsbegäran mail.docx", "A 39741-2023")</f>
        <v/>
      </c>
      <c r="Z102">
        <f>HYPERLINK("https://klasma.github.io/Logging_0380/fåglar/A 39741-2023 prioriterade fågelarter.docx", "A 39741-2023")</f>
        <v/>
      </c>
    </row>
    <row r="103" ht="15" customHeight="1">
      <c r="A103" t="inlineStr">
        <is>
          <t>A 26135-2025</t>
        </is>
      </c>
      <c r="B103" s="1" t="n">
        <v>45805.41232638889</v>
      </c>
      <c r="C103" s="1" t="n">
        <v>45968</v>
      </c>
      <c r="D103" t="inlineStr">
        <is>
          <t>UPPSALA LÄN</t>
        </is>
      </c>
      <c r="E103" t="inlineStr">
        <is>
          <t>UPPSALA</t>
        </is>
      </c>
      <c r="F103" t="inlineStr">
        <is>
          <t>Holmen skog AB</t>
        </is>
      </c>
      <c r="G103" t="n">
        <v>3.1</v>
      </c>
      <c r="H103" t="n">
        <v>0</v>
      </c>
      <c r="I103" t="n">
        <v>0</v>
      </c>
      <c r="J103" t="n">
        <v>1</v>
      </c>
      <c r="K103" t="n">
        <v>0</v>
      </c>
      <c r="L103" t="n">
        <v>0</v>
      </c>
      <c r="M103" t="n">
        <v>0</v>
      </c>
      <c r="N103" t="n">
        <v>0</v>
      </c>
      <c r="O103" t="n">
        <v>1</v>
      </c>
      <c r="P103" t="n">
        <v>0</v>
      </c>
      <c r="Q103" t="n">
        <v>1</v>
      </c>
      <c r="R103" s="2" t="inlineStr">
        <is>
          <t>Vedtrappmossa</t>
        </is>
      </c>
      <c r="S103">
        <f>HYPERLINK("https://klasma.github.io/Logging_0380/artfynd/A 26135-2025 artfynd.xlsx", "A 26135-2025")</f>
        <v/>
      </c>
      <c r="T103">
        <f>HYPERLINK("https://klasma.github.io/Logging_0380/kartor/A 26135-2025 karta.png", "A 26135-2025")</f>
        <v/>
      </c>
      <c r="V103">
        <f>HYPERLINK("https://klasma.github.io/Logging_0380/klagomål/A 26135-2025 FSC-klagomål.docx", "A 26135-2025")</f>
        <v/>
      </c>
      <c r="W103">
        <f>HYPERLINK("https://klasma.github.io/Logging_0380/klagomålsmail/A 26135-2025 FSC-klagomål mail.docx", "A 26135-2025")</f>
        <v/>
      </c>
      <c r="X103">
        <f>HYPERLINK("https://klasma.github.io/Logging_0380/tillsyn/A 26135-2025 tillsynsbegäran.docx", "A 26135-2025")</f>
        <v/>
      </c>
      <c r="Y103">
        <f>HYPERLINK("https://klasma.github.io/Logging_0380/tillsynsmail/A 26135-2025 tillsynsbegäran mail.docx", "A 26135-2025")</f>
        <v/>
      </c>
    </row>
    <row r="104" ht="15" customHeight="1">
      <c r="A104" t="inlineStr">
        <is>
          <t>A 36842-2025</t>
        </is>
      </c>
      <c r="B104" s="1" t="n">
        <v>45874</v>
      </c>
      <c r="C104" s="1" t="n">
        <v>45968</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45968</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29902-2023</t>
        </is>
      </c>
      <c r="B106" s="1" t="n">
        <v>45107</v>
      </c>
      <c r="C106" s="1" t="n">
        <v>45968</v>
      </c>
      <c r="D106" t="inlineStr">
        <is>
          <t>UPPSALA LÄN</t>
        </is>
      </c>
      <c r="E106" t="inlineStr">
        <is>
          <t>UPPSALA</t>
        </is>
      </c>
      <c r="F106" t="inlineStr">
        <is>
          <t>Kyrkan</t>
        </is>
      </c>
      <c r="G106" t="n">
        <v>10.6</v>
      </c>
      <c r="H106" t="n">
        <v>1</v>
      </c>
      <c r="I106" t="n">
        <v>0</v>
      </c>
      <c r="J106" t="n">
        <v>1</v>
      </c>
      <c r="K106" t="n">
        <v>0</v>
      </c>
      <c r="L106" t="n">
        <v>0</v>
      </c>
      <c r="M106" t="n">
        <v>0</v>
      </c>
      <c r="N106" t="n">
        <v>0</v>
      </c>
      <c r="O106" t="n">
        <v>1</v>
      </c>
      <c r="P106" t="n">
        <v>0</v>
      </c>
      <c r="Q106" t="n">
        <v>1</v>
      </c>
      <c r="R106" s="2" t="inlineStr">
        <is>
          <t>Järpe</t>
        </is>
      </c>
      <c r="S106">
        <f>HYPERLINK("https://klasma.github.io/Logging_0380/artfynd/A 29902-2023 artfynd.xlsx", "A 29902-2023")</f>
        <v/>
      </c>
      <c r="T106">
        <f>HYPERLINK("https://klasma.github.io/Logging_0380/kartor/A 29902-2023 karta.png", "A 29902-2023")</f>
        <v/>
      </c>
      <c r="V106">
        <f>HYPERLINK("https://klasma.github.io/Logging_0380/klagomål/A 29902-2023 FSC-klagomål.docx", "A 29902-2023")</f>
        <v/>
      </c>
      <c r="W106">
        <f>HYPERLINK("https://klasma.github.io/Logging_0380/klagomålsmail/A 29902-2023 FSC-klagomål mail.docx", "A 29902-2023")</f>
        <v/>
      </c>
      <c r="X106">
        <f>HYPERLINK("https://klasma.github.io/Logging_0380/tillsyn/A 29902-2023 tillsynsbegäran.docx", "A 29902-2023")</f>
        <v/>
      </c>
      <c r="Y106">
        <f>HYPERLINK("https://klasma.github.io/Logging_0380/tillsynsmail/A 29902-2023 tillsynsbegäran mail.docx", "A 29902-2023")</f>
        <v/>
      </c>
      <c r="Z106">
        <f>HYPERLINK("https://klasma.github.io/Logging_0380/fåglar/A 29902-2023 prioriterade fågelarter.docx", "A 29902-2023")</f>
        <v/>
      </c>
    </row>
    <row r="107" ht="15" customHeight="1">
      <c r="A107" t="inlineStr">
        <is>
          <t>A 844-2025</t>
        </is>
      </c>
      <c r="B107" s="1" t="n">
        <v>45665</v>
      </c>
      <c r="C107" s="1" t="n">
        <v>45968</v>
      </c>
      <c r="D107" t="inlineStr">
        <is>
          <t>UPPSALA LÄN</t>
        </is>
      </c>
      <c r="E107" t="inlineStr">
        <is>
          <t>UPPSALA</t>
        </is>
      </c>
      <c r="G107" t="n">
        <v>2.6</v>
      </c>
      <c r="H107" t="n">
        <v>1</v>
      </c>
      <c r="I107" t="n">
        <v>0</v>
      </c>
      <c r="J107" t="n">
        <v>0</v>
      </c>
      <c r="K107" t="n">
        <v>0</v>
      </c>
      <c r="L107" t="n">
        <v>0</v>
      </c>
      <c r="M107" t="n">
        <v>0</v>
      </c>
      <c r="N107" t="n">
        <v>0</v>
      </c>
      <c r="O107" t="n">
        <v>0</v>
      </c>
      <c r="P107" t="n">
        <v>0</v>
      </c>
      <c r="Q107" t="n">
        <v>1</v>
      </c>
      <c r="R107" s="2" t="inlineStr">
        <is>
          <t>Tjäder</t>
        </is>
      </c>
      <c r="S107">
        <f>HYPERLINK("https://klasma.github.io/Logging_0380/artfynd/A 844-2025 artfynd.xlsx", "A 844-2025")</f>
        <v/>
      </c>
      <c r="T107">
        <f>HYPERLINK("https://klasma.github.io/Logging_0380/kartor/A 844-2025 karta.png", "A 844-2025")</f>
        <v/>
      </c>
      <c r="V107">
        <f>HYPERLINK("https://klasma.github.io/Logging_0380/klagomål/A 844-2025 FSC-klagomål.docx", "A 844-2025")</f>
        <v/>
      </c>
      <c r="W107">
        <f>HYPERLINK("https://klasma.github.io/Logging_0380/klagomålsmail/A 844-2025 FSC-klagomål mail.docx", "A 844-2025")</f>
        <v/>
      </c>
      <c r="X107">
        <f>HYPERLINK("https://klasma.github.io/Logging_0380/tillsyn/A 844-2025 tillsynsbegäran.docx", "A 844-2025")</f>
        <v/>
      </c>
      <c r="Y107">
        <f>HYPERLINK("https://klasma.github.io/Logging_0380/tillsynsmail/A 844-2025 tillsynsbegäran mail.docx", "A 844-2025")</f>
        <v/>
      </c>
      <c r="Z107">
        <f>HYPERLINK("https://klasma.github.io/Logging_0380/fåglar/A 844-2025 prioriterade fågelarter.docx", "A 844-2025")</f>
        <v/>
      </c>
    </row>
    <row r="108" ht="15" customHeight="1">
      <c r="A108" t="inlineStr">
        <is>
          <t>A 60055-2022</t>
        </is>
      </c>
      <c r="B108" s="1" t="n">
        <v>44909</v>
      </c>
      <c r="C108" s="1" t="n">
        <v>45968</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57793-2022</t>
        </is>
      </c>
      <c r="B109" s="1" t="n">
        <v>44897</v>
      </c>
      <c r="C109" s="1" t="n">
        <v>45968</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45968</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45968</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63172-2023</t>
        </is>
      </c>
      <c r="B112" s="1" t="n">
        <v>45273</v>
      </c>
      <c r="C112" s="1" t="n">
        <v>45968</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17484-2025</t>
        </is>
      </c>
      <c r="B113" s="1" t="n">
        <v>45757.49934027778</v>
      </c>
      <c r="C113" s="1" t="n">
        <v>45968</v>
      </c>
      <c r="D113" t="inlineStr">
        <is>
          <t>UPPSALA LÄN</t>
        </is>
      </c>
      <c r="E113" t="inlineStr">
        <is>
          <t>UPPSALA</t>
        </is>
      </c>
      <c r="G113" t="n">
        <v>13.1</v>
      </c>
      <c r="H113" t="n">
        <v>1</v>
      </c>
      <c r="I113" t="n">
        <v>0</v>
      </c>
      <c r="J113" t="n">
        <v>0</v>
      </c>
      <c r="K113" t="n">
        <v>0</v>
      </c>
      <c r="L113" t="n">
        <v>0</v>
      </c>
      <c r="M113" t="n">
        <v>0</v>
      </c>
      <c r="N113" t="n">
        <v>0</v>
      </c>
      <c r="O113" t="n">
        <v>0</v>
      </c>
      <c r="P113" t="n">
        <v>0</v>
      </c>
      <c r="Q113" t="n">
        <v>1</v>
      </c>
      <c r="R113" s="2" t="inlineStr">
        <is>
          <t>Fläcknycklar</t>
        </is>
      </c>
      <c r="S113">
        <f>HYPERLINK("https://klasma.github.io/Logging_0380/artfynd/A 17484-2025 artfynd.xlsx", "A 17484-2025")</f>
        <v/>
      </c>
      <c r="T113">
        <f>HYPERLINK("https://klasma.github.io/Logging_0380/kartor/A 17484-2025 karta.png", "A 17484-2025")</f>
        <v/>
      </c>
      <c r="V113">
        <f>HYPERLINK("https://klasma.github.io/Logging_0380/klagomål/A 17484-2025 FSC-klagomål.docx", "A 17484-2025")</f>
        <v/>
      </c>
      <c r="W113">
        <f>HYPERLINK("https://klasma.github.io/Logging_0380/klagomålsmail/A 17484-2025 FSC-klagomål mail.docx", "A 17484-2025")</f>
        <v/>
      </c>
      <c r="X113">
        <f>HYPERLINK("https://klasma.github.io/Logging_0380/tillsyn/A 17484-2025 tillsynsbegäran.docx", "A 17484-2025")</f>
        <v/>
      </c>
      <c r="Y113">
        <f>HYPERLINK("https://klasma.github.io/Logging_0380/tillsynsmail/A 17484-2025 tillsynsbegäran mail.docx", "A 17484-2025")</f>
        <v/>
      </c>
    </row>
    <row r="114" ht="15" customHeight="1">
      <c r="A114" t="inlineStr">
        <is>
          <t>A 40568-2025</t>
        </is>
      </c>
      <c r="B114" s="1" t="n">
        <v>45896.47487268518</v>
      </c>
      <c r="C114" s="1" t="n">
        <v>45968</v>
      </c>
      <c r="D114" t="inlineStr">
        <is>
          <t>UPPSALA LÄN</t>
        </is>
      </c>
      <c r="E114" t="inlineStr">
        <is>
          <t>UPPSALA</t>
        </is>
      </c>
      <c r="F114" t="inlineStr">
        <is>
          <t>Kyrkan</t>
        </is>
      </c>
      <c r="G114" t="n">
        <v>2.1</v>
      </c>
      <c r="H114" t="n">
        <v>0</v>
      </c>
      <c r="I114" t="n">
        <v>1</v>
      </c>
      <c r="J114" t="n">
        <v>0</v>
      </c>
      <c r="K114" t="n">
        <v>0</v>
      </c>
      <c r="L114" t="n">
        <v>0</v>
      </c>
      <c r="M114" t="n">
        <v>0</v>
      </c>
      <c r="N114" t="n">
        <v>0</v>
      </c>
      <c r="O114" t="n">
        <v>0</v>
      </c>
      <c r="P114" t="n">
        <v>0</v>
      </c>
      <c r="Q114" t="n">
        <v>1</v>
      </c>
      <c r="R114" s="2" t="inlineStr">
        <is>
          <t>Rödgul trumpetsvamp</t>
        </is>
      </c>
      <c r="S114">
        <f>HYPERLINK("https://klasma.github.io/Logging_0380/artfynd/A 40568-2025 artfynd.xlsx", "A 40568-2025")</f>
        <v/>
      </c>
      <c r="T114">
        <f>HYPERLINK("https://klasma.github.io/Logging_0380/kartor/A 40568-2025 karta.png", "A 40568-2025")</f>
        <v/>
      </c>
      <c r="V114">
        <f>HYPERLINK("https://klasma.github.io/Logging_0380/klagomål/A 40568-2025 FSC-klagomål.docx", "A 40568-2025")</f>
        <v/>
      </c>
      <c r="W114">
        <f>HYPERLINK("https://klasma.github.io/Logging_0380/klagomålsmail/A 40568-2025 FSC-klagomål mail.docx", "A 40568-2025")</f>
        <v/>
      </c>
      <c r="X114">
        <f>HYPERLINK("https://klasma.github.io/Logging_0380/tillsyn/A 40568-2025 tillsynsbegäran.docx", "A 40568-2025")</f>
        <v/>
      </c>
      <c r="Y114">
        <f>HYPERLINK("https://klasma.github.io/Logging_0380/tillsynsmail/A 40568-2025 tillsynsbegäran mail.docx", "A 40568-2025")</f>
        <v/>
      </c>
    </row>
    <row r="115" ht="15" customHeight="1">
      <c r="A115" t="inlineStr">
        <is>
          <t>A 13093-2024</t>
        </is>
      </c>
      <c r="B115" s="1" t="n">
        <v>45385</v>
      </c>
      <c r="C115" s="1" t="n">
        <v>45968</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41606-2025</t>
        </is>
      </c>
      <c r="B116" s="1" t="n">
        <v>45901.66702546296</v>
      </c>
      <c r="C116" s="1" t="n">
        <v>45968</v>
      </c>
      <c r="D116" t="inlineStr">
        <is>
          <t>UPPSALA LÄN</t>
        </is>
      </c>
      <c r="E116" t="inlineStr">
        <is>
          <t>UPPSALA</t>
        </is>
      </c>
      <c r="G116" t="n">
        <v>5.1</v>
      </c>
      <c r="H116" t="n">
        <v>0</v>
      </c>
      <c r="I116" t="n">
        <v>1</v>
      </c>
      <c r="J116" t="n">
        <v>0</v>
      </c>
      <c r="K116" t="n">
        <v>0</v>
      </c>
      <c r="L116" t="n">
        <v>0</v>
      </c>
      <c r="M116" t="n">
        <v>0</v>
      </c>
      <c r="N116" t="n">
        <v>0</v>
      </c>
      <c r="O116" t="n">
        <v>0</v>
      </c>
      <c r="P116" t="n">
        <v>0</v>
      </c>
      <c r="Q116" t="n">
        <v>1</v>
      </c>
      <c r="R116" s="2" t="inlineStr">
        <is>
          <t>Granbräken</t>
        </is>
      </c>
      <c r="S116">
        <f>HYPERLINK("https://klasma.github.io/Logging_0380/artfynd/A 41606-2025 artfynd.xlsx", "A 41606-2025")</f>
        <v/>
      </c>
      <c r="T116">
        <f>HYPERLINK("https://klasma.github.io/Logging_0380/kartor/A 41606-2025 karta.png", "A 41606-2025")</f>
        <v/>
      </c>
      <c r="V116">
        <f>HYPERLINK("https://klasma.github.io/Logging_0380/klagomål/A 41606-2025 FSC-klagomål.docx", "A 41606-2025")</f>
        <v/>
      </c>
      <c r="W116">
        <f>HYPERLINK("https://klasma.github.io/Logging_0380/klagomålsmail/A 41606-2025 FSC-klagomål mail.docx", "A 41606-2025")</f>
        <v/>
      </c>
      <c r="X116">
        <f>HYPERLINK("https://klasma.github.io/Logging_0380/tillsyn/A 41606-2025 tillsynsbegäran.docx", "A 41606-2025")</f>
        <v/>
      </c>
      <c r="Y116">
        <f>HYPERLINK("https://klasma.github.io/Logging_0380/tillsynsmail/A 41606-2025 tillsynsbegäran mail.docx", "A 41606-2025")</f>
        <v/>
      </c>
    </row>
    <row r="117" ht="15" customHeight="1">
      <c r="A117" t="inlineStr">
        <is>
          <t>A 61830-2022</t>
        </is>
      </c>
      <c r="B117" s="1" t="n">
        <v>44917.59298611111</v>
      </c>
      <c r="C117" s="1" t="n">
        <v>45968</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21801-2025</t>
        </is>
      </c>
      <c r="B118" s="1" t="n">
        <v>45783</v>
      </c>
      <c r="C118" s="1" t="n">
        <v>45968</v>
      </c>
      <c r="D118" t="inlineStr">
        <is>
          <t>UPPSALA LÄN</t>
        </is>
      </c>
      <c r="E118" t="inlineStr">
        <is>
          <t>UPPSALA</t>
        </is>
      </c>
      <c r="G118" t="n">
        <v>7.9</v>
      </c>
      <c r="H118" t="n">
        <v>1</v>
      </c>
      <c r="I118" t="n">
        <v>0</v>
      </c>
      <c r="J118" t="n">
        <v>0</v>
      </c>
      <c r="K118" t="n">
        <v>0</v>
      </c>
      <c r="L118" t="n">
        <v>0</v>
      </c>
      <c r="M118" t="n">
        <v>0</v>
      </c>
      <c r="N118" t="n">
        <v>0</v>
      </c>
      <c r="O118" t="n">
        <v>0</v>
      </c>
      <c r="P118" t="n">
        <v>0</v>
      </c>
      <c r="Q118" t="n">
        <v>1</v>
      </c>
      <c r="R118" s="2" t="inlineStr">
        <is>
          <t>Mattlummer</t>
        </is>
      </c>
      <c r="S118">
        <f>HYPERLINK("https://klasma.github.io/Logging_0380/artfynd/A 21801-2025 artfynd.xlsx", "A 21801-2025")</f>
        <v/>
      </c>
      <c r="T118">
        <f>HYPERLINK("https://klasma.github.io/Logging_0380/kartor/A 21801-2025 karta.png", "A 21801-2025")</f>
        <v/>
      </c>
      <c r="V118">
        <f>HYPERLINK("https://klasma.github.io/Logging_0380/klagomål/A 21801-2025 FSC-klagomål.docx", "A 21801-2025")</f>
        <v/>
      </c>
      <c r="W118">
        <f>HYPERLINK("https://klasma.github.io/Logging_0380/klagomålsmail/A 21801-2025 FSC-klagomål mail.docx", "A 21801-2025")</f>
        <v/>
      </c>
      <c r="X118">
        <f>HYPERLINK("https://klasma.github.io/Logging_0380/tillsyn/A 21801-2025 tillsynsbegäran.docx", "A 21801-2025")</f>
        <v/>
      </c>
      <c r="Y118">
        <f>HYPERLINK("https://klasma.github.io/Logging_0380/tillsynsmail/A 21801-2025 tillsynsbegäran mail.docx", "A 21801-2025")</f>
        <v/>
      </c>
    </row>
    <row r="119" ht="15" customHeight="1">
      <c r="A119" t="inlineStr">
        <is>
          <t>A 4657-2025</t>
        </is>
      </c>
      <c r="B119" s="1" t="n">
        <v>45687</v>
      </c>
      <c r="C119" s="1" t="n">
        <v>45968</v>
      </c>
      <c r="D119" t="inlineStr">
        <is>
          <t>UPPSALA LÄN</t>
        </is>
      </c>
      <c r="E119" t="inlineStr">
        <is>
          <t>UPPSALA</t>
        </is>
      </c>
      <c r="G119" t="n">
        <v>2.9</v>
      </c>
      <c r="H119" t="n">
        <v>1</v>
      </c>
      <c r="I119" t="n">
        <v>0</v>
      </c>
      <c r="J119" t="n">
        <v>1</v>
      </c>
      <c r="K119" t="n">
        <v>0</v>
      </c>
      <c r="L119" t="n">
        <v>0</v>
      </c>
      <c r="M119" t="n">
        <v>0</v>
      </c>
      <c r="N119" t="n">
        <v>0</v>
      </c>
      <c r="O119" t="n">
        <v>1</v>
      </c>
      <c r="P119" t="n">
        <v>0</v>
      </c>
      <c r="Q119" t="n">
        <v>1</v>
      </c>
      <c r="R119" s="2" t="inlineStr">
        <is>
          <t>Grönsångare</t>
        </is>
      </c>
      <c r="S119">
        <f>HYPERLINK("https://klasma.github.io/Logging_0380/artfynd/A 4657-2025 artfynd.xlsx", "A 4657-2025")</f>
        <v/>
      </c>
      <c r="T119">
        <f>HYPERLINK("https://klasma.github.io/Logging_0380/kartor/A 4657-2025 karta.png", "A 4657-2025")</f>
        <v/>
      </c>
      <c r="V119">
        <f>HYPERLINK("https://klasma.github.io/Logging_0380/klagomål/A 4657-2025 FSC-klagomål.docx", "A 4657-2025")</f>
        <v/>
      </c>
      <c r="W119">
        <f>HYPERLINK("https://klasma.github.io/Logging_0380/klagomålsmail/A 4657-2025 FSC-klagomål mail.docx", "A 4657-2025")</f>
        <v/>
      </c>
      <c r="X119">
        <f>HYPERLINK("https://klasma.github.io/Logging_0380/tillsyn/A 4657-2025 tillsynsbegäran.docx", "A 4657-2025")</f>
        <v/>
      </c>
      <c r="Y119">
        <f>HYPERLINK("https://klasma.github.io/Logging_0380/tillsynsmail/A 4657-2025 tillsynsbegäran mail.docx", "A 4657-2025")</f>
        <v/>
      </c>
      <c r="Z119">
        <f>HYPERLINK("https://klasma.github.io/Logging_0380/fåglar/A 4657-2025 prioriterade fågelarter.docx", "A 4657-2025")</f>
        <v/>
      </c>
    </row>
    <row r="120" ht="15" customHeight="1">
      <c r="A120" t="inlineStr">
        <is>
          <t>A 13363-2022</t>
        </is>
      </c>
      <c r="B120" s="1" t="n">
        <v>44645</v>
      </c>
      <c r="C120" s="1" t="n">
        <v>45968</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51475-2025</t>
        </is>
      </c>
      <c r="B121" s="1" t="n">
        <v>45950</v>
      </c>
      <c r="C121" s="1" t="n">
        <v>45968</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6044-2024</t>
        </is>
      </c>
      <c r="B122" s="1" t="n">
        <v>45336</v>
      </c>
      <c r="C122" s="1" t="n">
        <v>45968</v>
      </c>
      <c r="D122" t="inlineStr">
        <is>
          <t>UPPSALA LÄN</t>
        </is>
      </c>
      <c r="E122" t="inlineStr">
        <is>
          <t>UPPSALA</t>
        </is>
      </c>
      <c r="F122" t="inlineStr">
        <is>
          <t>Holmen skog AB</t>
        </is>
      </c>
      <c r="G122" t="n">
        <v>7.4</v>
      </c>
      <c r="H122" t="n">
        <v>0</v>
      </c>
      <c r="I122" t="n">
        <v>0</v>
      </c>
      <c r="J122" t="n">
        <v>1</v>
      </c>
      <c r="K122" t="n">
        <v>0</v>
      </c>
      <c r="L122" t="n">
        <v>0</v>
      </c>
      <c r="M122" t="n">
        <v>0</v>
      </c>
      <c r="N122" t="n">
        <v>0</v>
      </c>
      <c r="O122" t="n">
        <v>1</v>
      </c>
      <c r="P122" t="n">
        <v>0</v>
      </c>
      <c r="Q122" t="n">
        <v>1</v>
      </c>
      <c r="R122" s="2" t="inlineStr">
        <is>
          <t>Gul dropplav</t>
        </is>
      </c>
      <c r="S122">
        <f>HYPERLINK("https://klasma.github.io/Logging_0380/artfynd/A 6044-2024 artfynd.xlsx", "A 6044-2024")</f>
        <v/>
      </c>
      <c r="T122">
        <f>HYPERLINK("https://klasma.github.io/Logging_0380/kartor/A 6044-2024 karta.png", "A 6044-2024")</f>
        <v/>
      </c>
      <c r="V122">
        <f>HYPERLINK("https://klasma.github.io/Logging_0380/klagomål/A 6044-2024 FSC-klagomål.docx", "A 6044-2024")</f>
        <v/>
      </c>
      <c r="W122">
        <f>HYPERLINK("https://klasma.github.io/Logging_0380/klagomålsmail/A 6044-2024 FSC-klagomål mail.docx", "A 6044-2024")</f>
        <v/>
      </c>
      <c r="X122">
        <f>HYPERLINK("https://klasma.github.io/Logging_0380/tillsyn/A 6044-2024 tillsynsbegäran.docx", "A 6044-2024")</f>
        <v/>
      </c>
      <c r="Y122">
        <f>HYPERLINK("https://klasma.github.io/Logging_0380/tillsynsmail/A 6044-2024 tillsynsbegäran mail.docx", "A 6044-2024")</f>
        <v/>
      </c>
    </row>
    <row r="123" ht="15" customHeight="1">
      <c r="A123" t="inlineStr">
        <is>
          <t>A 58288-2020</t>
        </is>
      </c>
      <c r="B123" s="1" t="n">
        <v>44144</v>
      </c>
      <c r="C123" s="1" t="n">
        <v>45968</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45968</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45968</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45968</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45968</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45968</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45968</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45968</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45968</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45968</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45968</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45968</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45968</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45968</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45968</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45968</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45968</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45968</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45968</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45968</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45968</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45968</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5663-2021</t>
        </is>
      </c>
      <c r="B145" s="1" t="n">
        <v>44230</v>
      </c>
      <c r="C145" s="1" t="n">
        <v>45968</v>
      </c>
      <c r="D145" t="inlineStr">
        <is>
          <t>UPPSALA LÄN</t>
        </is>
      </c>
      <c r="E145" t="inlineStr">
        <is>
          <t>UPPSALA</t>
        </is>
      </c>
      <c r="G145" t="n">
        <v>0.9</v>
      </c>
      <c r="H145" t="n">
        <v>0</v>
      </c>
      <c r="I145" t="n">
        <v>0</v>
      </c>
      <c r="J145" t="n">
        <v>0</v>
      </c>
      <c r="K145" t="n">
        <v>0</v>
      </c>
      <c r="L145" t="n">
        <v>0</v>
      </c>
      <c r="M145" t="n">
        <v>0</v>
      </c>
      <c r="N145" t="n">
        <v>0</v>
      </c>
      <c r="O145" t="n">
        <v>0</v>
      </c>
      <c r="P145" t="n">
        <v>0</v>
      </c>
      <c r="Q145" t="n">
        <v>0</v>
      </c>
      <c r="R145" s="2" t="inlineStr"/>
    </row>
    <row r="146" ht="15" customHeight="1">
      <c r="A146" t="inlineStr">
        <is>
          <t>A 59881-2021</t>
        </is>
      </c>
      <c r="B146" s="1" t="n">
        <v>44494</v>
      </c>
      <c r="C146" s="1" t="n">
        <v>45968</v>
      </c>
      <c r="D146" t="inlineStr">
        <is>
          <t>UPPSALA LÄN</t>
        </is>
      </c>
      <c r="E146" t="inlineStr">
        <is>
          <t>UPPSALA</t>
        </is>
      </c>
      <c r="F146" t="inlineStr">
        <is>
          <t>Allmännings- och besparingsskogar</t>
        </is>
      </c>
      <c r="G146" t="n">
        <v>1.6</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45968</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45968</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45968</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45968</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45968</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45968</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45968</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45968</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45968</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45968</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45968</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45968</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45968</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45968</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45968</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45968</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45968</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45968</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45968</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45968</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45968</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45968</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45968</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45968</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45968</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45968</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45968</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45968</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45968</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45968</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45968</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45968</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45968</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45968</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45968</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45968</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45968</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45968</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45968</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20980-2022</t>
        </is>
      </c>
      <c r="B186" s="1" t="n">
        <v>44702.70721064815</v>
      </c>
      <c r="C186" s="1" t="n">
        <v>45968</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45968</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45968</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46097-2021</t>
        </is>
      </c>
      <c r="B189" s="1" t="n">
        <v>44442.35195601852</v>
      </c>
      <c r="C189" s="1" t="n">
        <v>45968</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46099-2021</t>
        </is>
      </c>
      <c r="B190" s="1" t="n">
        <v>44442</v>
      </c>
      <c r="C190" s="1" t="n">
        <v>45968</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27763-2022</t>
        </is>
      </c>
      <c r="B191" s="1" t="n">
        <v>44743</v>
      </c>
      <c r="C191" s="1" t="n">
        <v>45968</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62865-2021</t>
        </is>
      </c>
      <c r="B192" s="1" t="n">
        <v>44504.59193287037</v>
      </c>
      <c r="C192" s="1" t="n">
        <v>45968</v>
      </c>
      <c r="D192" t="inlineStr">
        <is>
          <t>UPPSALA LÄN</t>
        </is>
      </c>
      <c r="E192" t="inlineStr">
        <is>
          <t>UPPSALA</t>
        </is>
      </c>
      <c r="F192" t="inlineStr">
        <is>
          <t>Bergvik skog öst AB</t>
        </is>
      </c>
      <c r="G192" t="n">
        <v>1.7</v>
      </c>
      <c r="H192" t="n">
        <v>0</v>
      </c>
      <c r="I192" t="n">
        <v>0</v>
      </c>
      <c r="J192" t="n">
        <v>0</v>
      </c>
      <c r="K192" t="n">
        <v>0</v>
      </c>
      <c r="L192" t="n">
        <v>0</v>
      </c>
      <c r="M192" t="n">
        <v>0</v>
      </c>
      <c r="N192" t="n">
        <v>0</v>
      </c>
      <c r="O192" t="n">
        <v>0</v>
      </c>
      <c r="P192" t="n">
        <v>0</v>
      </c>
      <c r="Q192" t="n">
        <v>0</v>
      </c>
      <c r="R192" s="2" t="inlineStr"/>
    </row>
    <row r="193" ht="15" customHeight="1">
      <c r="A193" t="inlineStr">
        <is>
          <t>A 13009-2022</t>
        </is>
      </c>
      <c r="B193" s="1" t="n">
        <v>44643.51446759259</v>
      </c>
      <c r="C193" s="1" t="n">
        <v>45968</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10411-2022</t>
        </is>
      </c>
      <c r="B194" s="1" t="n">
        <v>44623.4572337963</v>
      </c>
      <c r="C194" s="1" t="n">
        <v>45968</v>
      </c>
      <c r="D194" t="inlineStr">
        <is>
          <t>UPPSALA LÄN</t>
        </is>
      </c>
      <c r="E194" t="inlineStr">
        <is>
          <t>UPPSALA</t>
        </is>
      </c>
      <c r="F194" t="inlineStr">
        <is>
          <t>Övriga Aktiebolag</t>
        </is>
      </c>
      <c r="G194" t="n">
        <v>4.2</v>
      </c>
      <c r="H194" t="n">
        <v>0</v>
      </c>
      <c r="I194" t="n">
        <v>0</v>
      </c>
      <c r="J194" t="n">
        <v>0</v>
      </c>
      <c r="K194" t="n">
        <v>0</v>
      </c>
      <c r="L194" t="n">
        <v>0</v>
      </c>
      <c r="M194" t="n">
        <v>0</v>
      </c>
      <c r="N194" t="n">
        <v>0</v>
      </c>
      <c r="O194" t="n">
        <v>0</v>
      </c>
      <c r="P194" t="n">
        <v>0</v>
      </c>
      <c r="Q194" t="n">
        <v>0</v>
      </c>
      <c r="R194" s="2" t="inlineStr"/>
    </row>
    <row r="195" ht="15" customHeight="1">
      <c r="A195" t="inlineStr">
        <is>
          <t>A 29134-2022</t>
        </is>
      </c>
      <c r="B195" s="1" t="n">
        <v>44750.45800925926</v>
      </c>
      <c r="C195" s="1" t="n">
        <v>45968</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45849-2022</t>
        </is>
      </c>
      <c r="B196" s="1" t="n">
        <v>44846</v>
      </c>
      <c r="C196" s="1" t="n">
        <v>45968</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25120-2022</t>
        </is>
      </c>
      <c r="B197" s="1" t="n">
        <v>44729</v>
      </c>
      <c r="C197" s="1" t="n">
        <v>45968</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56463-2021</t>
        </is>
      </c>
      <c r="B198" s="1" t="n">
        <v>44479</v>
      </c>
      <c r="C198" s="1" t="n">
        <v>45968</v>
      </c>
      <c r="D198" t="inlineStr">
        <is>
          <t>UPPSALA LÄN</t>
        </is>
      </c>
      <c r="E198" t="inlineStr">
        <is>
          <t>UPPSALA</t>
        </is>
      </c>
      <c r="G198" t="n">
        <v>6.4</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45968</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58056-2020</t>
        </is>
      </c>
      <c r="B200" s="1" t="n">
        <v>44144</v>
      </c>
      <c r="C200" s="1" t="n">
        <v>45968</v>
      </c>
      <c r="D200" t="inlineStr">
        <is>
          <t>UPPSALA LÄN</t>
        </is>
      </c>
      <c r="E200" t="inlineStr">
        <is>
          <t>UPPSALA</t>
        </is>
      </c>
      <c r="G200" t="n">
        <v>5.5</v>
      </c>
      <c r="H200" t="n">
        <v>0</v>
      </c>
      <c r="I200" t="n">
        <v>0</v>
      </c>
      <c r="J200" t="n">
        <v>0</v>
      </c>
      <c r="K200" t="n">
        <v>0</v>
      </c>
      <c r="L200" t="n">
        <v>0</v>
      </c>
      <c r="M200" t="n">
        <v>0</v>
      </c>
      <c r="N200" t="n">
        <v>0</v>
      </c>
      <c r="O200" t="n">
        <v>0</v>
      </c>
      <c r="P200" t="n">
        <v>0</v>
      </c>
      <c r="Q200" t="n">
        <v>0</v>
      </c>
      <c r="R200" s="2" t="inlineStr"/>
    </row>
    <row r="201" ht="15" customHeight="1">
      <c r="A201" t="inlineStr">
        <is>
          <t>A 58767-2021</t>
        </is>
      </c>
      <c r="B201" s="1" t="n">
        <v>44489</v>
      </c>
      <c r="C201" s="1" t="n">
        <v>45968</v>
      </c>
      <c r="D201" t="inlineStr">
        <is>
          <t>UPPSALA LÄN</t>
        </is>
      </c>
      <c r="E201" t="inlineStr">
        <is>
          <t>UPPSALA</t>
        </is>
      </c>
      <c r="G201" t="n">
        <v>4.8</v>
      </c>
      <c r="H201" t="n">
        <v>0</v>
      </c>
      <c r="I201" t="n">
        <v>0</v>
      </c>
      <c r="J201" t="n">
        <v>0</v>
      </c>
      <c r="K201" t="n">
        <v>0</v>
      </c>
      <c r="L201" t="n">
        <v>0</v>
      </c>
      <c r="M201" t="n">
        <v>0</v>
      </c>
      <c r="N201" t="n">
        <v>0</v>
      </c>
      <c r="O201" t="n">
        <v>0</v>
      </c>
      <c r="P201" t="n">
        <v>0</v>
      </c>
      <c r="Q201" t="n">
        <v>0</v>
      </c>
      <c r="R201" s="2" t="inlineStr"/>
    </row>
    <row r="202" ht="15" customHeight="1">
      <c r="A202" t="inlineStr">
        <is>
          <t>A 12152-2021</t>
        </is>
      </c>
      <c r="B202" s="1" t="n">
        <v>44266.57917824074</v>
      </c>
      <c r="C202" s="1" t="n">
        <v>45968</v>
      </c>
      <c r="D202" t="inlineStr">
        <is>
          <t>UPPSALA LÄN</t>
        </is>
      </c>
      <c r="E202" t="inlineStr">
        <is>
          <t>UPPSALA</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71643-2021</t>
        </is>
      </c>
      <c r="B203" s="1" t="n">
        <v>44543.34697916666</v>
      </c>
      <c r="C203" s="1" t="n">
        <v>45968</v>
      </c>
      <c r="D203" t="inlineStr">
        <is>
          <t>UPPSALA LÄN</t>
        </is>
      </c>
      <c r="E203" t="inlineStr">
        <is>
          <t>UPPSALA</t>
        </is>
      </c>
      <c r="G203" t="n">
        <v>3</v>
      </c>
      <c r="H203" t="n">
        <v>0</v>
      </c>
      <c r="I203" t="n">
        <v>0</v>
      </c>
      <c r="J203" t="n">
        <v>0</v>
      </c>
      <c r="K203" t="n">
        <v>0</v>
      </c>
      <c r="L203" t="n">
        <v>0</v>
      </c>
      <c r="M203" t="n">
        <v>0</v>
      </c>
      <c r="N203" t="n">
        <v>0</v>
      </c>
      <c r="O203" t="n">
        <v>0</v>
      </c>
      <c r="P203" t="n">
        <v>0</v>
      </c>
      <c r="Q203" t="n">
        <v>0</v>
      </c>
      <c r="R203" s="2" t="inlineStr"/>
    </row>
    <row r="204" ht="15" customHeight="1">
      <c r="A204" t="inlineStr">
        <is>
          <t>A 46916-2021</t>
        </is>
      </c>
      <c r="B204" s="1" t="n">
        <v>44446.47693287037</v>
      </c>
      <c r="C204" s="1" t="n">
        <v>45968</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60032-2021</t>
        </is>
      </c>
      <c r="B205" s="1" t="n">
        <v>44495</v>
      </c>
      <c r="C205" s="1" t="n">
        <v>45968</v>
      </c>
      <c r="D205" t="inlineStr">
        <is>
          <t>UPPSALA LÄN</t>
        </is>
      </c>
      <c r="E205" t="inlineStr">
        <is>
          <t>UPPSALA</t>
        </is>
      </c>
      <c r="G205" t="n">
        <v>1.8</v>
      </c>
      <c r="H205" t="n">
        <v>0</v>
      </c>
      <c r="I205" t="n">
        <v>0</v>
      </c>
      <c r="J205" t="n">
        <v>0</v>
      </c>
      <c r="K205" t="n">
        <v>0</v>
      </c>
      <c r="L205" t="n">
        <v>0</v>
      </c>
      <c r="M205" t="n">
        <v>0</v>
      </c>
      <c r="N205" t="n">
        <v>0</v>
      </c>
      <c r="O205" t="n">
        <v>0</v>
      </c>
      <c r="P205" t="n">
        <v>0</v>
      </c>
      <c r="Q205" t="n">
        <v>0</v>
      </c>
      <c r="R205" s="2" t="inlineStr"/>
    </row>
    <row r="206" ht="15" customHeight="1">
      <c r="A206" t="inlineStr">
        <is>
          <t>A 874-2022</t>
        </is>
      </c>
      <c r="B206" s="1" t="n">
        <v>44571.44563657408</v>
      </c>
      <c r="C206" s="1" t="n">
        <v>45968</v>
      </c>
      <c r="D206" t="inlineStr">
        <is>
          <t>UPPSALA LÄN</t>
        </is>
      </c>
      <c r="E206" t="inlineStr">
        <is>
          <t>UPPSALA</t>
        </is>
      </c>
      <c r="G206" t="n">
        <v>7.2</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45968</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59500-2021</t>
        </is>
      </c>
      <c r="B208" s="1" t="n">
        <v>44491.54116898148</v>
      </c>
      <c r="C208" s="1" t="n">
        <v>45968</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45968</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45968</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66927-2021</t>
        </is>
      </c>
      <c r="B211" s="1" t="n">
        <v>44522.55518518519</v>
      </c>
      <c r="C211" s="1" t="n">
        <v>45968</v>
      </c>
      <c r="D211" t="inlineStr">
        <is>
          <t>UPPSALA LÄN</t>
        </is>
      </c>
      <c r="E211" t="inlineStr">
        <is>
          <t>UPPSALA</t>
        </is>
      </c>
      <c r="G211" t="n">
        <v>2.9</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45968</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62504-2020</t>
        </is>
      </c>
      <c r="B213" s="1" t="n">
        <v>44160</v>
      </c>
      <c r="C213" s="1" t="n">
        <v>45968</v>
      </c>
      <c r="D213" t="inlineStr">
        <is>
          <t>UPPSALA LÄN</t>
        </is>
      </c>
      <c r="E213" t="inlineStr">
        <is>
          <t>UPPSALA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45968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16615-2021</t>
        </is>
      </c>
      <c r="B215" s="1" t="n">
        <v>44294.37555555555</v>
      </c>
      <c r="C215" s="1" t="n">
        <v>45968</v>
      </c>
      <c r="D215" t="inlineStr">
        <is>
          <t>UPPSALA LÄN</t>
        </is>
      </c>
      <c r="E215" t="inlineStr">
        <is>
          <t>UPPSALA</t>
        </is>
      </c>
      <c r="F215" t="inlineStr">
        <is>
          <t>Övriga Aktiebolag</t>
        </is>
      </c>
      <c r="G215" t="n">
        <v>1.5</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45968</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45968</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15377-2022</t>
        </is>
      </c>
      <c r="B218" s="1" t="n">
        <v>44659.57912037037</v>
      </c>
      <c r="C218" s="1" t="n">
        <v>45968</v>
      </c>
      <c r="D218" t="inlineStr">
        <is>
          <t>UPPSALA LÄN</t>
        </is>
      </c>
      <c r="E218" t="inlineStr">
        <is>
          <t>UPPSALA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34061-2022</t>
        </is>
      </c>
      <c r="B219" s="1" t="n">
        <v>44791.38336805555</v>
      </c>
      <c r="C219" s="1" t="n">
        <v>45968</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13892-2022</t>
        </is>
      </c>
      <c r="B220" s="1" t="n">
        <v>44649</v>
      </c>
      <c r="C220" s="1" t="n">
        <v>45968</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11693-2022</t>
        </is>
      </c>
      <c r="B221" s="1" t="n">
        <v>44634</v>
      </c>
      <c r="C221" s="1" t="n">
        <v>45968</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10464-2022</t>
        </is>
      </c>
      <c r="B222" s="1" t="n">
        <v>44623</v>
      </c>
      <c r="C222" s="1" t="n">
        <v>45968</v>
      </c>
      <c r="D222" t="inlineStr">
        <is>
          <t>UPPSALA LÄN</t>
        </is>
      </c>
      <c r="E222" t="inlineStr">
        <is>
          <t>UPPSALA</t>
        </is>
      </c>
      <c r="F222" t="inlineStr">
        <is>
          <t>Övriga Aktiebolag</t>
        </is>
      </c>
      <c r="G222" t="n">
        <v>0.7</v>
      </c>
      <c r="H222" t="n">
        <v>0</v>
      </c>
      <c r="I222" t="n">
        <v>0</v>
      </c>
      <c r="J222" t="n">
        <v>0</v>
      </c>
      <c r="K222" t="n">
        <v>0</v>
      </c>
      <c r="L222" t="n">
        <v>0</v>
      </c>
      <c r="M222" t="n">
        <v>0</v>
      </c>
      <c r="N222" t="n">
        <v>0</v>
      </c>
      <c r="O222" t="n">
        <v>0</v>
      </c>
      <c r="P222" t="n">
        <v>0</v>
      </c>
      <c r="Q222" t="n">
        <v>0</v>
      </c>
      <c r="R222" s="2" t="inlineStr"/>
    </row>
    <row r="223" ht="15" customHeight="1">
      <c r="A223" t="inlineStr">
        <is>
          <t>A 30580-2022</t>
        </is>
      </c>
      <c r="B223" s="1" t="n">
        <v>44762</v>
      </c>
      <c r="C223" s="1" t="n">
        <v>45968</v>
      </c>
      <c r="D223" t="inlineStr">
        <is>
          <t>UPPSALA LÄN</t>
        </is>
      </c>
      <c r="E223" t="inlineStr">
        <is>
          <t>UPPSALA</t>
        </is>
      </c>
      <c r="F223" t="inlineStr">
        <is>
          <t>Bergvik skog öst AB</t>
        </is>
      </c>
      <c r="G223" t="n">
        <v>3.6</v>
      </c>
      <c r="H223" t="n">
        <v>0</v>
      </c>
      <c r="I223" t="n">
        <v>0</v>
      </c>
      <c r="J223" t="n">
        <v>0</v>
      </c>
      <c r="K223" t="n">
        <v>0</v>
      </c>
      <c r="L223" t="n">
        <v>0</v>
      </c>
      <c r="M223" t="n">
        <v>0</v>
      </c>
      <c r="N223" t="n">
        <v>0</v>
      </c>
      <c r="O223" t="n">
        <v>0</v>
      </c>
      <c r="P223" t="n">
        <v>0</v>
      </c>
      <c r="Q223" t="n">
        <v>0</v>
      </c>
      <c r="R223" s="2" t="inlineStr"/>
    </row>
    <row r="224" ht="15" customHeight="1">
      <c r="A224" t="inlineStr">
        <is>
          <t>A 35411-2022</t>
        </is>
      </c>
      <c r="B224" s="1" t="n">
        <v>44798</v>
      </c>
      <c r="C224" s="1" t="n">
        <v>45968</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58058-2020</t>
        </is>
      </c>
      <c r="B225" s="1" t="n">
        <v>44144</v>
      </c>
      <c r="C225" s="1" t="n">
        <v>45968</v>
      </c>
      <c r="D225" t="inlineStr">
        <is>
          <t>UPPSALA LÄN</t>
        </is>
      </c>
      <c r="E225" t="inlineStr">
        <is>
          <t>UPPSALA</t>
        </is>
      </c>
      <c r="G225" t="n">
        <v>4.4</v>
      </c>
      <c r="H225" t="n">
        <v>0</v>
      </c>
      <c r="I225" t="n">
        <v>0</v>
      </c>
      <c r="J225" t="n">
        <v>0</v>
      </c>
      <c r="K225" t="n">
        <v>0</v>
      </c>
      <c r="L225" t="n">
        <v>0</v>
      </c>
      <c r="M225" t="n">
        <v>0</v>
      </c>
      <c r="N225" t="n">
        <v>0</v>
      </c>
      <c r="O225" t="n">
        <v>0</v>
      </c>
      <c r="P225" t="n">
        <v>0</v>
      </c>
      <c r="Q225" t="n">
        <v>0</v>
      </c>
      <c r="R225" s="2" t="inlineStr"/>
    </row>
    <row r="226" ht="15" customHeight="1">
      <c r="A226" t="inlineStr">
        <is>
          <t>A 15310-2022</t>
        </is>
      </c>
      <c r="B226" s="1" t="n">
        <v>44659</v>
      </c>
      <c r="C226" s="1" t="n">
        <v>45968</v>
      </c>
      <c r="D226" t="inlineStr">
        <is>
          <t>UPPSALA LÄN</t>
        </is>
      </c>
      <c r="E226" t="inlineStr">
        <is>
          <t>UPPSALA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5006-2022</t>
        </is>
      </c>
      <c r="B227" s="1" t="n">
        <v>44593</v>
      </c>
      <c r="C227" s="1" t="n">
        <v>45968</v>
      </c>
      <c r="D227" t="inlineStr">
        <is>
          <t>UPPSALA LÄN</t>
        </is>
      </c>
      <c r="E227" t="inlineStr">
        <is>
          <t>UPPSALA</t>
        </is>
      </c>
      <c r="F227" t="inlineStr">
        <is>
          <t>BillerudKorsnäs AB</t>
        </is>
      </c>
      <c r="G227" t="n">
        <v>1.4</v>
      </c>
      <c r="H227" t="n">
        <v>0</v>
      </c>
      <c r="I227" t="n">
        <v>0</v>
      </c>
      <c r="J227" t="n">
        <v>0</v>
      </c>
      <c r="K227" t="n">
        <v>0</v>
      </c>
      <c r="L227" t="n">
        <v>0</v>
      </c>
      <c r="M227" t="n">
        <v>0</v>
      </c>
      <c r="N227" t="n">
        <v>0</v>
      </c>
      <c r="O227" t="n">
        <v>0</v>
      </c>
      <c r="P227" t="n">
        <v>0</v>
      </c>
      <c r="Q227" t="n">
        <v>0</v>
      </c>
      <c r="R227" s="2" t="inlineStr"/>
    </row>
    <row r="228" ht="15" customHeight="1">
      <c r="A228" t="inlineStr">
        <is>
          <t>A 5007-2022</t>
        </is>
      </c>
      <c r="B228" s="1" t="n">
        <v>44593.61355324074</v>
      </c>
      <c r="C228" s="1" t="n">
        <v>45968</v>
      </c>
      <c r="D228" t="inlineStr">
        <is>
          <t>UPPSALA LÄN</t>
        </is>
      </c>
      <c r="E228" t="inlineStr">
        <is>
          <t>UPPSALA</t>
        </is>
      </c>
      <c r="F228" t="inlineStr">
        <is>
          <t>BillerudKorsnäs AB</t>
        </is>
      </c>
      <c r="G228" t="n">
        <v>3.6</v>
      </c>
      <c r="H228" t="n">
        <v>0</v>
      </c>
      <c r="I228" t="n">
        <v>0</v>
      </c>
      <c r="J228" t="n">
        <v>0</v>
      </c>
      <c r="K228" t="n">
        <v>0</v>
      </c>
      <c r="L228" t="n">
        <v>0</v>
      </c>
      <c r="M228" t="n">
        <v>0</v>
      </c>
      <c r="N228" t="n">
        <v>0</v>
      </c>
      <c r="O228" t="n">
        <v>0</v>
      </c>
      <c r="P228" t="n">
        <v>0</v>
      </c>
      <c r="Q228" t="n">
        <v>0</v>
      </c>
      <c r="R228" s="2" t="inlineStr"/>
    </row>
    <row r="229" ht="15" customHeight="1">
      <c r="A229" t="inlineStr">
        <is>
          <t>A 9201-2024</t>
        </is>
      </c>
      <c r="B229" s="1" t="n">
        <v>45358</v>
      </c>
      <c r="C229" s="1" t="n">
        <v>45968</v>
      </c>
      <c r="D229" t="inlineStr">
        <is>
          <t>UPPSALA LÄN</t>
        </is>
      </c>
      <c r="E229" t="inlineStr">
        <is>
          <t>UPPSALA</t>
        </is>
      </c>
      <c r="F229" t="inlineStr">
        <is>
          <t>Allmännings- och besparingsskogar</t>
        </is>
      </c>
      <c r="G229" t="n">
        <v>6.5</v>
      </c>
      <c r="H229" t="n">
        <v>0</v>
      </c>
      <c r="I229" t="n">
        <v>0</v>
      </c>
      <c r="J229" t="n">
        <v>0</v>
      </c>
      <c r="K229" t="n">
        <v>0</v>
      </c>
      <c r="L229" t="n">
        <v>0</v>
      </c>
      <c r="M229" t="n">
        <v>0</v>
      </c>
      <c r="N229" t="n">
        <v>0</v>
      </c>
      <c r="O229" t="n">
        <v>0</v>
      </c>
      <c r="P229" t="n">
        <v>0</v>
      </c>
      <c r="Q229" t="n">
        <v>0</v>
      </c>
      <c r="R229" s="2" t="inlineStr"/>
    </row>
    <row r="230" ht="15" customHeight="1">
      <c r="A230" t="inlineStr">
        <is>
          <t>A 46293-2022</t>
        </is>
      </c>
      <c r="B230" s="1" t="n">
        <v>44847</v>
      </c>
      <c r="C230" s="1" t="n">
        <v>45968</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2980-2025</t>
        </is>
      </c>
      <c r="B231" s="1" t="n">
        <v>45678</v>
      </c>
      <c r="C231" s="1" t="n">
        <v>45968</v>
      </c>
      <c r="D231" t="inlineStr">
        <is>
          <t>UPPSALA LÄN</t>
        </is>
      </c>
      <c r="E231" t="inlineStr">
        <is>
          <t>UPPSALA</t>
        </is>
      </c>
      <c r="G231" t="n">
        <v>5</v>
      </c>
      <c r="H231" t="n">
        <v>0</v>
      </c>
      <c r="I231" t="n">
        <v>0</v>
      </c>
      <c r="J231" t="n">
        <v>0</v>
      </c>
      <c r="K231" t="n">
        <v>0</v>
      </c>
      <c r="L231" t="n">
        <v>0</v>
      </c>
      <c r="M231" t="n">
        <v>0</v>
      </c>
      <c r="N231" t="n">
        <v>0</v>
      </c>
      <c r="O231" t="n">
        <v>0</v>
      </c>
      <c r="P231" t="n">
        <v>0</v>
      </c>
      <c r="Q231" t="n">
        <v>0</v>
      </c>
      <c r="R231" s="2" t="inlineStr"/>
    </row>
    <row r="232" ht="15" customHeight="1">
      <c r="A232" t="inlineStr">
        <is>
          <t>A 56679-2022</t>
        </is>
      </c>
      <c r="B232" s="1" t="n">
        <v>44893</v>
      </c>
      <c r="C232" s="1" t="n">
        <v>45968</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8494-2021</t>
        </is>
      </c>
      <c r="B233" s="1" t="n">
        <v>44245</v>
      </c>
      <c r="C233" s="1" t="n">
        <v>45968</v>
      </c>
      <c r="D233" t="inlineStr">
        <is>
          <t>UPPSALA LÄN</t>
        </is>
      </c>
      <c r="E233" t="inlineStr">
        <is>
          <t>UPPSALA</t>
        </is>
      </c>
      <c r="G233" t="n">
        <v>1.3</v>
      </c>
      <c r="H233" t="n">
        <v>0</v>
      </c>
      <c r="I233" t="n">
        <v>0</v>
      </c>
      <c r="J233" t="n">
        <v>0</v>
      </c>
      <c r="K233" t="n">
        <v>0</v>
      </c>
      <c r="L233" t="n">
        <v>0</v>
      </c>
      <c r="M233" t="n">
        <v>0</v>
      </c>
      <c r="N233" t="n">
        <v>0</v>
      </c>
      <c r="O233" t="n">
        <v>0</v>
      </c>
      <c r="P233" t="n">
        <v>0</v>
      </c>
      <c r="Q233" t="n">
        <v>0</v>
      </c>
      <c r="R233" s="2" t="inlineStr"/>
    </row>
    <row r="234" ht="15" customHeight="1">
      <c r="A234" t="inlineStr">
        <is>
          <t>A 55066-2022</t>
        </is>
      </c>
      <c r="B234" s="1" t="n">
        <v>44886.58890046296</v>
      </c>
      <c r="C234" s="1" t="n">
        <v>45968</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29277-2022</t>
        </is>
      </c>
      <c r="B235" s="1" t="n">
        <v>44750.678125</v>
      </c>
      <c r="C235" s="1" t="n">
        <v>45968</v>
      </c>
      <c r="D235" t="inlineStr">
        <is>
          <t>UPPSALA LÄN</t>
        </is>
      </c>
      <c r="E235" t="inlineStr">
        <is>
          <t>UPPSALA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45-2024</t>
        </is>
      </c>
      <c r="B236" s="1" t="n">
        <v>45293</v>
      </c>
      <c r="C236" s="1" t="n">
        <v>45968</v>
      </c>
      <c r="D236" t="inlineStr">
        <is>
          <t>UPPSALA LÄN</t>
        </is>
      </c>
      <c r="E236" t="inlineStr">
        <is>
          <t>UPPSALA</t>
        </is>
      </c>
      <c r="G236" t="n">
        <v>12.5</v>
      </c>
      <c r="H236" t="n">
        <v>0</v>
      </c>
      <c r="I236" t="n">
        <v>0</v>
      </c>
      <c r="J236" t="n">
        <v>0</v>
      </c>
      <c r="K236" t="n">
        <v>0</v>
      </c>
      <c r="L236" t="n">
        <v>0</v>
      </c>
      <c r="M236" t="n">
        <v>0</v>
      </c>
      <c r="N236" t="n">
        <v>0</v>
      </c>
      <c r="O236" t="n">
        <v>0</v>
      </c>
      <c r="P236" t="n">
        <v>0</v>
      </c>
      <c r="Q236" t="n">
        <v>0</v>
      </c>
      <c r="R236" s="2" t="inlineStr"/>
    </row>
    <row r="237" ht="15" customHeight="1">
      <c r="A237" t="inlineStr">
        <is>
          <t>A 18330-2022</t>
        </is>
      </c>
      <c r="B237" s="1" t="n">
        <v>44685.6212037037</v>
      </c>
      <c r="C237" s="1" t="n">
        <v>45968</v>
      </c>
      <c r="D237" t="inlineStr">
        <is>
          <t>UPPSALA LÄN</t>
        </is>
      </c>
      <c r="E237" t="inlineStr">
        <is>
          <t>UPPSALA</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20265-2022</t>
        </is>
      </c>
      <c r="B238" s="1" t="n">
        <v>44698.67151620371</v>
      </c>
      <c r="C238" s="1" t="n">
        <v>45968</v>
      </c>
      <c r="D238" t="inlineStr">
        <is>
          <t>UPPSALA LÄN</t>
        </is>
      </c>
      <c r="E238" t="inlineStr">
        <is>
          <t>UPPSALA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14022-2021</t>
        </is>
      </c>
      <c r="B239" s="1" t="n">
        <v>44277.65263888889</v>
      </c>
      <c r="C239" s="1" t="n">
        <v>45968</v>
      </c>
      <c r="D239" t="inlineStr">
        <is>
          <t>UPPSALA LÄN</t>
        </is>
      </c>
      <c r="E239" t="inlineStr">
        <is>
          <t>UPPSALA</t>
        </is>
      </c>
      <c r="G239" t="n">
        <v>11.1</v>
      </c>
      <c r="H239" t="n">
        <v>0</v>
      </c>
      <c r="I239" t="n">
        <v>0</v>
      </c>
      <c r="J239" t="n">
        <v>0</v>
      </c>
      <c r="K239" t="n">
        <v>0</v>
      </c>
      <c r="L239" t="n">
        <v>0</v>
      </c>
      <c r="M239" t="n">
        <v>0</v>
      </c>
      <c r="N239" t="n">
        <v>0</v>
      </c>
      <c r="O239" t="n">
        <v>0</v>
      </c>
      <c r="P239" t="n">
        <v>0</v>
      </c>
      <c r="Q239" t="n">
        <v>0</v>
      </c>
      <c r="R239" s="2" t="inlineStr"/>
    </row>
    <row r="240" ht="15" customHeight="1">
      <c r="A240" t="inlineStr">
        <is>
          <t>A 5996-2022</t>
        </is>
      </c>
      <c r="B240" s="1" t="n">
        <v>44599.43265046296</v>
      </c>
      <c r="C240" s="1" t="n">
        <v>45968</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25745-2022</t>
        </is>
      </c>
      <c r="B241" s="1" t="n">
        <v>44733.43420138889</v>
      </c>
      <c r="C241" s="1" t="n">
        <v>45968</v>
      </c>
      <c r="D241" t="inlineStr">
        <is>
          <t>UPPSALA LÄN</t>
        </is>
      </c>
      <c r="E241" t="inlineStr">
        <is>
          <t>UPPSALA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22021-2022</t>
        </is>
      </c>
      <c r="B242" s="1" t="n">
        <v>44711</v>
      </c>
      <c r="C242" s="1" t="n">
        <v>45968</v>
      </c>
      <c r="D242" t="inlineStr">
        <is>
          <t>UPPSALA LÄN</t>
        </is>
      </c>
      <c r="E242" t="inlineStr">
        <is>
          <t>UPPSALA</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35539-2022</t>
        </is>
      </c>
      <c r="B243" s="1" t="n">
        <v>44799.36359953704</v>
      </c>
      <c r="C243" s="1" t="n">
        <v>45968</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2017-2022</t>
        </is>
      </c>
      <c r="B244" s="1" t="n">
        <v>44575</v>
      </c>
      <c r="C244" s="1" t="n">
        <v>45968</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50092-2022</t>
        </is>
      </c>
      <c r="B245" s="1" t="n">
        <v>44865</v>
      </c>
      <c r="C245" s="1" t="n">
        <v>45968</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51396-2021</t>
        </is>
      </c>
      <c r="B246" s="1" t="n">
        <v>44461.73350694445</v>
      </c>
      <c r="C246" s="1" t="n">
        <v>45968</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37588-2022</t>
        </is>
      </c>
      <c r="B247" s="1" t="n">
        <v>44809.92752314815</v>
      </c>
      <c r="C247" s="1" t="n">
        <v>45968</v>
      </c>
      <c r="D247" t="inlineStr">
        <is>
          <t>UPPSALA LÄN</t>
        </is>
      </c>
      <c r="E247" t="inlineStr">
        <is>
          <t>UPPSALA</t>
        </is>
      </c>
      <c r="G247" t="n">
        <v>1.2</v>
      </c>
      <c r="H247" t="n">
        <v>0</v>
      </c>
      <c r="I247" t="n">
        <v>0</v>
      </c>
      <c r="J247" t="n">
        <v>0</v>
      </c>
      <c r="K247" t="n">
        <v>0</v>
      </c>
      <c r="L247" t="n">
        <v>0</v>
      </c>
      <c r="M247" t="n">
        <v>0</v>
      </c>
      <c r="N247" t="n">
        <v>0</v>
      </c>
      <c r="O247" t="n">
        <v>0</v>
      </c>
      <c r="P247" t="n">
        <v>0</v>
      </c>
      <c r="Q247" t="n">
        <v>0</v>
      </c>
      <c r="R247" s="2" t="inlineStr"/>
    </row>
    <row r="248" ht="15" customHeight="1">
      <c r="A248" t="inlineStr">
        <is>
          <t>A 59549-2024</t>
        </is>
      </c>
      <c r="B248" s="1" t="n">
        <v>45638</v>
      </c>
      <c r="C248" s="1" t="n">
        <v>45968</v>
      </c>
      <c r="D248" t="inlineStr">
        <is>
          <t>UPPSALA LÄN</t>
        </is>
      </c>
      <c r="E248" t="inlineStr">
        <is>
          <t>UPPSALA</t>
        </is>
      </c>
      <c r="G248" t="n">
        <v>0.9</v>
      </c>
      <c r="H248" t="n">
        <v>0</v>
      </c>
      <c r="I248" t="n">
        <v>0</v>
      </c>
      <c r="J248" t="n">
        <v>0</v>
      </c>
      <c r="K248" t="n">
        <v>0</v>
      </c>
      <c r="L248" t="n">
        <v>0</v>
      </c>
      <c r="M248" t="n">
        <v>0</v>
      </c>
      <c r="N248" t="n">
        <v>0</v>
      </c>
      <c r="O248" t="n">
        <v>0</v>
      </c>
      <c r="P248" t="n">
        <v>0</v>
      </c>
      <c r="Q248" t="n">
        <v>0</v>
      </c>
      <c r="R248" s="2" t="inlineStr"/>
    </row>
    <row r="249" ht="15" customHeight="1">
      <c r="A249" t="inlineStr">
        <is>
          <t>A 1936-2022</t>
        </is>
      </c>
      <c r="B249" s="1" t="n">
        <v>44575.4366087963</v>
      </c>
      <c r="C249" s="1" t="n">
        <v>45968</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22946-2021</t>
        </is>
      </c>
      <c r="B250" s="1" t="n">
        <v>44328.57100694445</v>
      </c>
      <c r="C250" s="1" t="n">
        <v>45968</v>
      </c>
      <c r="D250" t="inlineStr">
        <is>
          <t>UPPSALA LÄN</t>
        </is>
      </c>
      <c r="E250" t="inlineStr">
        <is>
          <t>UPPSALA</t>
        </is>
      </c>
      <c r="G250" t="n">
        <v>2.3</v>
      </c>
      <c r="H250" t="n">
        <v>0</v>
      </c>
      <c r="I250" t="n">
        <v>0</v>
      </c>
      <c r="J250" t="n">
        <v>0</v>
      </c>
      <c r="K250" t="n">
        <v>0</v>
      </c>
      <c r="L250" t="n">
        <v>0</v>
      </c>
      <c r="M250" t="n">
        <v>0</v>
      </c>
      <c r="N250" t="n">
        <v>0</v>
      </c>
      <c r="O250" t="n">
        <v>0</v>
      </c>
      <c r="P250" t="n">
        <v>0</v>
      </c>
      <c r="Q250" t="n">
        <v>0</v>
      </c>
      <c r="R250" s="2" t="inlineStr"/>
    </row>
    <row r="251" ht="15" customHeight="1">
      <c r="A251" t="inlineStr">
        <is>
          <t>A 5081-2022</t>
        </is>
      </c>
      <c r="B251" s="1" t="n">
        <v>44593</v>
      </c>
      <c r="C251" s="1" t="n">
        <v>45968</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31646-2021</t>
        </is>
      </c>
      <c r="B252" s="1" t="n">
        <v>44369</v>
      </c>
      <c r="C252" s="1" t="n">
        <v>45968</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34509-2023</t>
        </is>
      </c>
      <c r="B253" s="1" t="n">
        <v>45133</v>
      </c>
      <c r="C253" s="1" t="n">
        <v>45968</v>
      </c>
      <c r="D253" t="inlineStr">
        <is>
          <t>UPPSALA LÄN</t>
        </is>
      </c>
      <c r="E253" t="inlineStr">
        <is>
          <t>UPPSALA</t>
        </is>
      </c>
      <c r="G253" t="n">
        <v>2.6</v>
      </c>
      <c r="H253" t="n">
        <v>0</v>
      </c>
      <c r="I253" t="n">
        <v>0</v>
      </c>
      <c r="J253" t="n">
        <v>0</v>
      </c>
      <c r="K253" t="n">
        <v>0</v>
      </c>
      <c r="L253" t="n">
        <v>0</v>
      </c>
      <c r="M253" t="n">
        <v>0</v>
      </c>
      <c r="N253" t="n">
        <v>0</v>
      </c>
      <c r="O253" t="n">
        <v>0</v>
      </c>
      <c r="P253" t="n">
        <v>0</v>
      </c>
      <c r="Q253" t="n">
        <v>0</v>
      </c>
      <c r="R253" s="2" t="inlineStr"/>
    </row>
    <row r="254" ht="15" customHeight="1">
      <c r="A254" t="inlineStr">
        <is>
          <t>A 33939-2024</t>
        </is>
      </c>
      <c r="B254" s="1" t="n">
        <v>45523</v>
      </c>
      <c r="C254" s="1" t="n">
        <v>45968</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781-2024</t>
        </is>
      </c>
      <c r="B255" s="1" t="n">
        <v>45300.55028935185</v>
      </c>
      <c r="C255" s="1" t="n">
        <v>45968</v>
      </c>
      <c r="D255" t="inlineStr">
        <is>
          <t>UPPSALA LÄN</t>
        </is>
      </c>
      <c r="E255" t="inlineStr">
        <is>
          <t>UPPSALA</t>
        </is>
      </c>
      <c r="G255" t="n">
        <v>6.3</v>
      </c>
      <c r="H255" t="n">
        <v>0</v>
      </c>
      <c r="I255" t="n">
        <v>0</v>
      </c>
      <c r="J255" t="n">
        <v>0</v>
      </c>
      <c r="K255" t="n">
        <v>0</v>
      </c>
      <c r="L255" t="n">
        <v>0</v>
      </c>
      <c r="M255" t="n">
        <v>0</v>
      </c>
      <c r="N255" t="n">
        <v>0</v>
      </c>
      <c r="O255" t="n">
        <v>0</v>
      </c>
      <c r="P255" t="n">
        <v>0</v>
      </c>
      <c r="Q255" t="n">
        <v>0</v>
      </c>
      <c r="R255" s="2" t="inlineStr"/>
    </row>
    <row r="256" ht="15" customHeight="1">
      <c r="A256" t="inlineStr">
        <is>
          <t>A 22951-2025</t>
        </is>
      </c>
      <c r="B256" s="1" t="n">
        <v>45790.51040509259</v>
      </c>
      <c r="C256" s="1" t="n">
        <v>45968</v>
      </c>
      <c r="D256" t="inlineStr">
        <is>
          <t>UPPSALA LÄN</t>
        </is>
      </c>
      <c r="E256" t="inlineStr">
        <is>
          <t>UPPSALA</t>
        </is>
      </c>
      <c r="G256" t="n">
        <v>0.9</v>
      </c>
      <c r="H256" t="n">
        <v>0</v>
      </c>
      <c r="I256" t="n">
        <v>0</v>
      </c>
      <c r="J256" t="n">
        <v>0</v>
      </c>
      <c r="K256" t="n">
        <v>0</v>
      </c>
      <c r="L256" t="n">
        <v>0</v>
      </c>
      <c r="M256" t="n">
        <v>0</v>
      </c>
      <c r="N256" t="n">
        <v>0</v>
      </c>
      <c r="O256" t="n">
        <v>0</v>
      </c>
      <c r="P256" t="n">
        <v>0</v>
      </c>
      <c r="Q256" t="n">
        <v>0</v>
      </c>
      <c r="R256" s="2" t="inlineStr"/>
    </row>
    <row r="257" ht="15" customHeight="1">
      <c r="A257" t="inlineStr">
        <is>
          <t>A 13343-2022</t>
        </is>
      </c>
      <c r="B257" s="1" t="n">
        <v>44645.39157407408</v>
      </c>
      <c r="C257" s="1" t="n">
        <v>45968</v>
      </c>
      <c r="D257" t="inlineStr">
        <is>
          <t>UPPSALA LÄN</t>
        </is>
      </c>
      <c r="E257" t="inlineStr">
        <is>
          <t>UPPSALA</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45968</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9242-2022</t>
        </is>
      </c>
      <c r="B259" s="1" t="n">
        <v>44616</v>
      </c>
      <c r="C259" s="1" t="n">
        <v>45968</v>
      </c>
      <c r="D259" t="inlineStr">
        <is>
          <t>UPPSALA LÄN</t>
        </is>
      </c>
      <c r="E259" t="inlineStr">
        <is>
          <t>UPPSALA</t>
        </is>
      </c>
      <c r="F259" t="inlineStr">
        <is>
          <t>Övriga Aktiebolag</t>
        </is>
      </c>
      <c r="G259" t="n">
        <v>5.9</v>
      </c>
      <c r="H259" t="n">
        <v>0</v>
      </c>
      <c r="I259" t="n">
        <v>0</v>
      </c>
      <c r="J259" t="n">
        <v>0</v>
      </c>
      <c r="K259" t="n">
        <v>0</v>
      </c>
      <c r="L259" t="n">
        <v>0</v>
      </c>
      <c r="M259" t="n">
        <v>0</v>
      </c>
      <c r="N259" t="n">
        <v>0</v>
      </c>
      <c r="O259" t="n">
        <v>0</v>
      </c>
      <c r="P259" t="n">
        <v>0</v>
      </c>
      <c r="Q259" t="n">
        <v>0</v>
      </c>
      <c r="R259" s="2" t="inlineStr"/>
    </row>
    <row r="260" ht="15" customHeight="1">
      <c r="A260" t="inlineStr">
        <is>
          <t>A 14907-2025</t>
        </is>
      </c>
      <c r="B260" s="1" t="n">
        <v>45743.50744212963</v>
      </c>
      <c r="C260" s="1" t="n">
        <v>45968</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9592-2022</t>
        </is>
      </c>
      <c r="B261" s="1" t="n">
        <v>44617.48311342593</v>
      </c>
      <c r="C261" s="1" t="n">
        <v>45968</v>
      </c>
      <c r="D261" t="inlineStr">
        <is>
          <t>UPPSALA LÄN</t>
        </is>
      </c>
      <c r="E261" t="inlineStr">
        <is>
          <t>UPPSALA</t>
        </is>
      </c>
      <c r="G261" t="n">
        <v>7.5</v>
      </c>
      <c r="H261" t="n">
        <v>0</v>
      </c>
      <c r="I261" t="n">
        <v>0</v>
      </c>
      <c r="J261" t="n">
        <v>0</v>
      </c>
      <c r="K261" t="n">
        <v>0</v>
      </c>
      <c r="L261" t="n">
        <v>0</v>
      </c>
      <c r="M261" t="n">
        <v>0</v>
      </c>
      <c r="N261" t="n">
        <v>0</v>
      </c>
      <c r="O261" t="n">
        <v>0</v>
      </c>
      <c r="P261" t="n">
        <v>0</v>
      </c>
      <c r="Q261" t="n">
        <v>0</v>
      </c>
      <c r="R261" s="2" t="inlineStr"/>
    </row>
    <row r="262" ht="15" customHeight="1">
      <c r="A262" t="inlineStr">
        <is>
          <t>A 18443-2023</t>
        </is>
      </c>
      <c r="B262" s="1" t="n">
        <v>45042</v>
      </c>
      <c r="C262" s="1" t="n">
        <v>45968</v>
      </c>
      <c r="D262" t="inlineStr">
        <is>
          <t>UPPSALA LÄN</t>
        </is>
      </c>
      <c r="E262" t="inlineStr">
        <is>
          <t>UPPSALA</t>
        </is>
      </c>
      <c r="G262" t="n">
        <v>0.4</v>
      </c>
      <c r="H262" t="n">
        <v>0</v>
      </c>
      <c r="I262" t="n">
        <v>0</v>
      </c>
      <c r="J262" t="n">
        <v>0</v>
      </c>
      <c r="K262" t="n">
        <v>0</v>
      </c>
      <c r="L262" t="n">
        <v>0</v>
      </c>
      <c r="M262" t="n">
        <v>0</v>
      </c>
      <c r="N262" t="n">
        <v>0</v>
      </c>
      <c r="O262" t="n">
        <v>0</v>
      </c>
      <c r="P262" t="n">
        <v>0</v>
      </c>
      <c r="Q262" t="n">
        <v>0</v>
      </c>
      <c r="R262" s="2" t="inlineStr"/>
    </row>
    <row r="263" ht="15" customHeight="1">
      <c r="A263" t="inlineStr">
        <is>
          <t>A 19017-2023</t>
        </is>
      </c>
      <c r="B263" s="1" t="n">
        <v>45047.31793981481</v>
      </c>
      <c r="C263" s="1" t="n">
        <v>45968</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29901-2023</t>
        </is>
      </c>
      <c r="B264" s="1" t="n">
        <v>45107</v>
      </c>
      <c r="C264" s="1" t="n">
        <v>45968</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29926-2023</t>
        </is>
      </c>
      <c r="B265" s="1" t="n">
        <v>45107</v>
      </c>
      <c r="C265" s="1" t="n">
        <v>45968</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10674-2022</t>
        </is>
      </c>
      <c r="B266" s="1" t="n">
        <v>44624.64538194444</v>
      </c>
      <c r="C266" s="1" t="n">
        <v>45968</v>
      </c>
      <c r="D266" t="inlineStr">
        <is>
          <t>UPPSALA LÄN</t>
        </is>
      </c>
      <c r="E266" t="inlineStr">
        <is>
          <t>UPPSALA</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30319-2024</t>
        </is>
      </c>
      <c r="B267" s="1" t="n">
        <v>45490</v>
      </c>
      <c r="C267" s="1" t="n">
        <v>45968</v>
      </c>
      <c r="D267" t="inlineStr">
        <is>
          <t>UPPSALA LÄN</t>
        </is>
      </c>
      <c r="E267" t="inlineStr">
        <is>
          <t>UPPSALA</t>
        </is>
      </c>
      <c r="G267" t="n">
        <v>2.3</v>
      </c>
      <c r="H267" t="n">
        <v>0</v>
      </c>
      <c r="I267" t="n">
        <v>0</v>
      </c>
      <c r="J267" t="n">
        <v>0</v>
      </c>
      <c r="K267" t="n">
        <v>0</v>
      </c>
      <c r="L267" t="n">
        <v>0</v>
      </c>
      <c r="M267" t="n">
        <v>0</v>
      </c>
      <c r="N267" t="n">
        <v>0</v>
      </c>
      <c r="O267" t="n">
        <v>0</v>
      </c>
      <c r="P267" t="n">
        <v>0</v>
      </c>
      <c r="Q267" t="n">
        <v>0</v>
      </c>
      <c r="R267" s="2" t="inlineStr"/>
    </row>
    <row r="268" ht="15" customHeight="1">
      <c r="A268" t="inlineStr">
        <is>
          <t>A 45885-2023</t>
        </is>
      </c>
      <c r="B268" s="1" t="n">
        <v>45195.64807870371</v>
      </c>
      <c r="C268" s="1" t="n">
        <v>45968</v>
      </c>
      <c r="D268" t="inlineStr">
        <is>
          <t>UPPSALA LÄN</t>
        </is>
      </c>
      <c r="E268" t="inlineStr">
        <is>
          <t>UPPSALA</t>
        </is>
      </c>
      <c r="G268" t="n">
        <v>6.5</v>
      </c>
      <c r="H268" t="n">
        <v>0</v>
      </c>
      <c r="I268" t="n">
        <v>0</v>
      </c>
      <c r="J268" t="n">
        <v>0</v>
      </c>
      <c r="K268" t="n">
        <v>0</v>
      </c>
      <c r="L268" t="n">
        <v>0</v>
      </c>
      <c r="M268" t="n">
        <v>0</v>
      </c>
      <c r="N268" t="n">
        <v>0</v>
      </c>
      <c r="O268" t="n">
        <v>0</v>
      </c>
      <c r="P268" t="n">
        <v>0</v>
      </c>
      <c r="Q268" t="n">
        <v>0</v>
      </c>
      <c r="R268" s="2" t="inlineStr"/>
    </row>
    <row r="269" ht="15" customHeight="1">
      <c r="A269" t="inlineStr">
        <is>
          <t>A 4509-2024</t>
        </is>
      </c>
      <c r="B269" s="1" t="n">
        <v>45327</v>
      </c>
      <c r="C269" s="1" t="n">
        <v>45968</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20903-2024</t>
        </is>
      </c>
      <c r="B270" s="1" t="n">
        <v>45439</v>
      </c>
      <c r="C270" s="1" t="n">
        <v>45968</v>
      </c>
      <c r="D270" t="inlineStr">
        <is>
          <t>UPPSALA LÄN</t>
        </is>
      </c>
      <c r="E270" t="inlineStr">
        <is>
          <t>UPPSALA</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19513-2023</t>
        </is>
      </c>
      <c r="B271" s="1" t="n">
        <v>45050.49392361111</v>
      </c>
      <c r="C271" s="1" t="n">
        <v>45968</v>
      </c>
      <c r="D271" t="inlineStr">
        <is>
          <t>UPPSALA LÄN</t>
        </is>
      </c>
      <c r="E271" t="inlineStr">
        <is>
          <t>UPPSALA</t>
        </is>
      </c>
      <c r="G271" t="n">
        <v>6.6</v>
      </c>
      <c r="H271" t="n">
        <v>0</v>
      </c>
      <c r="I271" t="n">
        <v>0</v>
      </c>
      <c r="J271" t="n">
        <v>0</v>
      </c>
      <c r="K271" t="n">
        <v>0</v>
      </c>
      <c r="L271" t="n">
        <v>0</v>
      </c>
      <c r="M271" t="n">
        <v>0</v>
      </c>
      <c r="N271" t="n">
        <v>0</v>
      </c>
      <c r="O271" t="n">
        <v>0</v>
      </c>
      <c r="P271" t="n">
        <v>0</v>
      </c>
      <c r="Q271" t="n">
        <v>0</v>
      </c>
      <c r="R271" s="2" t="inlineStr"/>
    </row>
    <row r="272" ht="15" customHeight="1">
      <c r="A272" t="inlineStr">
        <is>
          <t>A 5876-2024</t>
        </is>
      </c>
      <c r="B272" s="1" t="n">
        <v>45335.66331018518</v>
      </c>
      <c r="C272" s="1" t="n">
        <v>45968</v>
      </c>
      <c r="D272" t="inlineStr">
        <is>
          <t>UPPSALA LÄN</t>
        </is>
      </c>
      <c r="E272" t="inlineStr">
        <is>
          <t>UPPSALA</t>
        </is>
      </c>
      <c r="F272" t="inlineStr">
        <is>
          <t>Kyrkan</t>
        </is>
      </c>
      <c r="G272" t="n">
        <v>1.7</v>
      </c>
      <c r="H272" t="n">
        <v>0</v>
      </c>
      <c r="I272" t="n">
        <v>0</v>
      </c>
      <c r="J272" t="n">
        <v>0</v>
      </c>
      <c r="K272" t="n">
        <v>0</v>
      </c>
      <c r="L272" t="n">
        <v>0</v>
      </c>
      <c r="M272" t="n">
        <v>0</v>
      </c>
      <c r="N272" t="n">
        <v>0</v>
      </c>
      <c r="O272" t="n">
        <v>0</v>
      </c>
      <c r="P272" t="n">
        <v>0</v>
      </c>
      <c r="Q272" t="n">
        <v>0</v>
      </c>
      <c r="R272" s="2" t="inlineStr"/>
    </row>
    <row r="273" ht="15" customHeight="1">
      <c r="A273" t="inlineStr">
        <is>
          <t>A 51935-2023</t>
        </is>
      </c>
      <c r="B273" s="1" t="n">
        <v>45223</v>
      </c>
      <c r="C273" s="1" t="n">
        <v>45968</v>
      </c>
      <c r="D273" t="inlineStr">
        <is>
          <t>UPPSALA LÄN</t>
        </is>
      </c>
      <c r="E273" t="inlineStr">
        <is>
          <t>UPPSALA</t>
        </is>
      </c>
      <c r="G273" t="n">
        <v>4.8</v>
      </c>
      <c r="H273" t="n">
        <v>0</v>
      </c>
      <c r="I273" t="n">
        <v>0</v>
      </c>
      <c r="J273" t="n">
        <v>0</v>
      </c>
      <c r="K273" t="n">
        <v>0</v>
      </c>
      <c r="L273" t="n">
        <v>0</v>
      </c>
      <c r="M273" t="n">
        <v>0</v>
      </c>
      <c r="N273" t="n">
        <v>0</v>
      </c>
      <c r="O273" t="n">
        <v>0</v>
      </c>
      <c r="P273" t="n">
        <v>0</v>
      </c>
      <c r="Q273" t="n">
        <v>0</v>
      </c>
      <c r="R273" s="2" t="inlineStr"/>
    </row>
    <row r="274" ht="15" customHeight="1">
      <c r="A274" t="inlineStr">
        <is>
          <t>A 3353-2023</t>
        </is>
      </c>
      <c r="B274" s="1" t="n">
        <v>44949.4708912037</v>
      </c>
      <c r="C274" s="1" t="n">
        <v>45968</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17788-2023</t>
        </is>
      </c>
      <c r="B275" s="1" t="n">
        <v>45037</v>
      </c>
      <c r="C275" s="1" t="n">
        <v>45968</v>
      </c>
      <c r="D275" t="inlineStr">
        <is>
          <t>UPPSALA LÄN</t>
        </is>
      </c>
      <c r="E275" t="inlineStr">
        <is>
          <t>UPPSALA</t>
        </is>
      </c>
      <c r="F275" t="inlineStr">
        <is>
          <t>Övriga Aktiebolag</t>
        </is>
      </c>
      <c r="G275" t="n">
        <v>3.7</v>
      </c>
      <c r="H275" t="n">
        <v>0</v>
      </c>
      <c r="I275" t="n">
        <v>0</v>
      </c>
      <c r="J275" t="n">
        <v>0</v>
      </c>
      <c r="K275" t="n">
        <v>0</v>
      </c>
      <c r="L275" t="n">
        <v>0</v>
      </c>
      <c r="M275" t="n">
        <v>0</v>
      </c>
      <c r="N275" t="n">
        <v>0</v>
      </c>
      <c r="O275" t="n">
        <v>0</v>
      </c>
      <c r="P275" t="n">
        <v>0</v>
      </c>
      <c r="Q275" t="n">
        <v>0</v>
      </c>
      <c r="R275" s="2" t="inlineStr"/>
    </row>
    <row r="276" ht="15" customHeight="1">
      <c r="A276" t="inlineStr">
        <is>
          <t>A 59098-2024</t>
        </is>
      </c>
      <c r="B276" s="1" t="n">
        <v>45636</v>
      </c>
      <c r="C276" s="1" t="n">
        <v>45968</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24268-2025</t>
        </is>
      </c>
      <c r="B277" s="1" t="n">
        <v>45797.42777777778</v>
      </c>
      <c r="C277" s="1" t="n">
        <v>45968</v>
      </c>
      <c r="D277" t="inlineStr">
        <is>
          <t>UPPSALA LÄN</t>
        </is>
      </c>
      <c r="E277" t="inlineStr">
        <is>
          <t>UPPSALA</t>
        </is>
      </c>
      <c r="G277" t="n">
        <v>2.5</v>
      </c>
      <c r="H277" t="n">
        <v>0</v>
      </c>
      <c r="I277" t="n">
        <v>0</v>
      </c>
      <c r="J277" t="n">
        <v>0</v>
      </c>
      <c r="K277" t="n">
        <v>0</v>
      </c>
      <c r="L277" t="n">
        <v>0</v>
      </c>
      <c r="M277" t="n">
        <v>0</v>
      </c>
      <c r="N277" t="n">
        <v>0</v>
      </c>
      <c r="O277" t="n">
        <v>0</v>
      </c>
      <c r="P277" t="n">
        <v>0</v>
      </c>
      <c r="Q277" t="n">
        <v>0</v>
      </c>
      <c r="R277" s="2" t="inlineStr"/>
    </row>
    <row r="278" ht="15" customHeight="1">
      <c r="A278" t="inlineStr">
        <is>
          <t>A 14026-2021</t>
        </is>
      </c>
      <c r="B278" s="1" t="n">
        <v>44277.65650462963</v>
      </c>
      <c r="C278" s="1" t="n">
        <v>45968</v>
      </c>
      <c r="D278" t="inlineStr">
        <is>
          <t>UPPSALA LÄN</t>
        </is>
      </c>
      <c r="E278" t="inlineStr">
        <is>
          <t>UPPSALA</t>
        </is>
      </c>
      <c r="G278" t="n">
        <v>3.5</v>
      </c>
      <c r="H278" t="n">
        <v>0</v>
      </c>
      <c r="I278" t="n">
        <v>0</v>
      </c>
      <c r="J278" t="n">
        <v>0</v>
      </c>
      <c r="K278" t="n">
        <v>0</v>
      </c>
      <c r="L278" t="n">
        <v>0</v>
      </c>
      <c r="M278" t="n">
        <v>0</v>
      </c>
      <c r="N278" t="n">
        <v>0</v>
      </c>
      <c r="O278" t="n">
        <v>0</v>
      </c>
      <c r="P278" t="n">
        <v>0</v>
      </c>
      <c r="Q278" t="n">
        <v>0</v>
      </c>
      <c r="R278" s="2" t="inlineStr"/>
    </row>
    <row r="279" ht="15" customHeight="1">
      <c r="A279" t="inlineStr">
        <is>
          <t>A 24284-2025</t>
        </is>
      </c>
      <c r="B279" s="1" t="n">
        <v>45797.45900462963</v>
      </c>
      <c r="C279" s="1" t="n">
        <v>45968</v>
      </c>
      <c r="D279" t="inlineStr">
        <is>
          <t>UPPSALA LÄN</t>
        </is>
      </c>
      <c r="E279" t="inlineStr">
        <is>
          <t>UPPSALA</t>
        </is>
      </c>
      <c r="F279" t="inlineStr">
        <is>
          <t>Holmen skog AB</t>
        </is>
      </c>
      <c r="G279" t="n">
        <v>12.7</v>
      </c>
      <c r="H279" t="n">
        <v>0</v>
      </c>
      <c r="I279" t="n">
        <v>0</v>
      </c>
      <c r="J279" t="n">
        <v>0</v>
      </c>
      <c r="K279" t="n">
        <v>0</v>
      </c>
      <c r="L279" t="n">
        <v>0</v>
      </c>
      <c r="M279" t="n">
        <v>0</v>
      </c>
      <c r="N279" t="n">
        <v>0</v>
      </c>
      <c r="O279" t="n">
        <v>0</v>
      </c>
      <c r="P279" t="n">
        <v>0</v>
      </c>
      <c r="Q279" t="n">
        <v>0</v>
      </c>
      <c r="R279" s="2" t="inlineStr"/>
    </row>
    <row r="280" ht="15" customHeight="1">
      <c r="A280" t="inlineStr">
        <is>
          <t>A 787-2024</t>
        </is>
      </c>
      <c r="B280" s="1" t="n">
        <v>45300</v>
      </c>
      <c r="C280" s="1" t="n">
        <v>45968</v>
      </c>
      <c r="D280" t="inlineStr">
        <is>
          <t>UPPSALA LÄN</t>
        </is>
      </c>
      <c r="E280" t="inlineStr">
        <is>
          <t>UPPSALA</t>
        </is>
      </c>
      <c r="G280" t="n">
        <v>3</v>
      </c>
      <c r="H280" t="n">
        <v>0</v>
      </c>
      <c r="I280" t="n">
        <v>0</v>
      </c>
      <c r="J280" t="n">
        <v>0</v>
      </c>
      <c r="K280" t="n">
        <v>0</v>
      </c>
      <c r="L280" t="n">
        <v>0</v>
      </c>
      <c r="M280" t="n">
        <v>0</v>
      </c>
      <c r="N280" t="n">
        <v>0</v>
      </c>
      <c r="O280" t="n">
        <v>0</v>
      </c>
      <c r="P280" t="n">
        <v>0</v>
      </c>
      <c r="Q280" t="n">
        <v>0</v>
      </c>
      <c r="R280" s="2" t="inlineStr"/>
    </row>
    <row r="281" ht="15" customHeight="1">
      <c r="A281" t="inlineStr">
        <is>
          <t>A 34520-2024</t>
        </is>
      </c>
      <c r="B281" s="1" t="n">
        <v>45525</v>
      </c>
      <c r="C281" s="1" t="n">
        <v>45968</v>
      </c>
      <c r="D281" t="inlineStr">
        <is>
          <t>UPPSALA LÄN</t>
        </is>
      </c>
      <c r="E281" t="inlineStr">
        <is>
          <t>UPPSALA</t>
        </is>
      </c>
      <c r="G281" t="n">
        <v>2.5</v>
      </c>
      <c r="H281" t="n">
        <v>0</v>
      </c>
      <c r="I281" t="n">
        <v>0</v>
      </c>
      <c r="J281" t="n">
        <v>0</v>
      </c>
      <c r="K281" t="n">
        <v>0</v>
      </c>
      <c r="L281" t="n">
        <v>0</v>
      </c>
      <c r="M281" t="n">
        <v>0</v>
      </c>
      <c r="N281" t="n">
        <v>0</v>
      </c>
      <c r="O281" t="n">
        <v>0</v>
      </c>
      <c r="P281" t="n">
        <v>0</v>
      </c>
      <c r="Q281" t="n">
        <v>0</v>
      </c>
      <c r="R281" s="2" t="inlineStr"/>
    </row>
    <row r="282" ht="15" customHeight="1">
      <c r="A282" t="inlineStr">
        <is>
          <t>A 19539-2024</t>
        </is>
      </c>
      <c r="B282" s="1" t="n">
        <v>45429</v>
      </c>
      <c r="C282" s="1" t="n">
        <v>45968</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70031-2021</t>
        </is>
      </c>
      <c r="B283" s="1" t="n">
        <v>44533.46665509259</v>
      </c>
      <c r="C283" s="1" t="n">
        <v>45968</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265-2021</t>
        </is>
      </c>
      <c r="B284" s="1" t="n">
        <v>44200</v>
      </c>
      <c r="C284" s="1" t="n">
        <v>45968</v>
      </c>
      <c r="D284" t="inlineStr">
        <is>
          <t>UPPSALA LÄN</t>
        </is>
      </c>
      <c r="E284" t="inlineStr">
        <is>
          <t>UPPSALA</t>
        </is>
      </c>
      <c r="G284" t="n">
        <v>3.1</v>
      </c>
      <c r="H284" t="n">
        <v>0</v>
      </c>
      <c r="I284" t="n">
        <v>0</v>
      </c>
      <c r="J284" t="n">
        <v>0</v>
      </c>
      <c r="K284" t="n">
        <v>0</v>
      </c>
      <c r="L284" t="n">
        <v>0</v>
      </c>
      <c r="M284" t="n">
        <v>0</v>
      </c>
      <c r="N284" t="n">
        <v>0</v>
      </c>
      <c r="O284" t="n">
        <v>0</v>
      </c>
      <c r="P284" t="n">
        <v>0</v>
      </c>
      <c r="Q284" t="n">
        <v>0</v>
      </c>
      <c r="R284" s="2" t="inlineStr"/>
    </row>
    <row r="285" ht="15" customHeight="1">
      <c r="A285" t="inlineStr">
        <is>
          <t>A 24912-2025</t>
        </is>
      </c>
      <c r="B285" s="1" t="n">
        <v>45799.53803240741</v>
      </c>
      <c r="C285" s="1" t="n">
        <v>45968</v>
      </c>
      <c r="D285" t="inlineStr">
        <is>
          <t>UPPSALA LÄN</t>
        </is>
      </c>
      <c r="E285" t="inlineStr">
        <is>
          <t>UPPSALA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38493-2023</t>
        </is>
      </c>
      <c r="B286" s="1" t="n">
        <v>45162</v>
      </c>
      <c r="C286" s="1" t="n">
        <v>45968</v>
      </c>
      <c r="D286" t="inlineStr">
        <is>
          <t>UPPSALA LÄN</t>
        </is>
      </c>
      <c r="E286" t="inlineStr">
        <is>
          <t>UPPSALA</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36782-2023</t>
        </is>
      </c>
      <c r="B287" s="1" t="n">
        <v>45154.35092592592</v>
      </c>
      <c r="C287" s="1" t="n">
        <v>45968</v>
      </c>
      <c r="D287" t="inlineStr">
        <is>
          <t>UPPSALA LÄN</t>
        </is>
      </c>
      <c r="E287" t="inlineStr">
        <is>
          <t>UPPSALA</t>
        </is>
      </c>
      <c r="G287" t="n">
        <v>0.9</v>
      </c>
      <c r="H287" t="n">
        <v>0</v>
      </c>
      <c r="I287" t="n">
        <v>0</v>
      </c>
      <c r="J287" t="n">
        <v>0</v>
      </c>
      <c r="K287" t="n">
        <v>0</v>
      </c>
      <c r="L287" t="n">
        <v>0</v>
      </c>
      <c r="M287" t="n">
        <v>0</v>
      </c>
      <c r="N287" t="n">
        <v>0</v>
      </c>
      <c r="O287" t="n">
        <v>0</v>
      </c>
      <c r="P287" t="n">
        <v>0</v>
      </c>
      <c r="Q287" t="n">
        <v>0</v>
      </c>
      <c r="R287" s="2" t="inlineStr"/>
    </row>
    <row r="288" ht="15" customHeight="1">
      <c r="A288" t="inlineStr">
        <is>
          <t>A 36123-2023</t>
        </is>
      </c>
      <c r="B288" s="1" t="n">
        <v>45149.56928240741</v>
      </c>
      <c r="C288" s="1" t="n">
        <v>45968</v>
      </c>
      <c r="D288" t="inlineStr">
        <is>
          <t>UPPSALA LÄN</t>
        </is>
      </c>
      <c r="E288" t="inlineStr">
        <is>
          <t>UPPSALA</t>
        </is>
      </c>
      <c r="F288" t="inlineStr">
        <is>
          <t>Allmännings- och besparingsskogar</t>
        </is>
      </c>
      <c r="G288" t="n">
        <v>4.2</v>
      </c>
      <c r="H288" t="n">
        <v>0</v>
      </c>
      <c r="I288" t="n">
        <v>0</v>
      </c>
      <c r="J288" t="n">
        <v>0</v>
      </c>
      <c r="K288" t="n">
        <v>0</v>
      </c>
      <c r="L288" t="n">
        <v>0</v>
      </c>
      <c r="M288" t="n">
        <v>0</v>
      </c>
      <c r="N288" t="n">
        <v>0</v>
      </c>
      <c r="O288" t="n">
        <v>0</v>
      </c>
      <c r="P288" t="n">
        <v>0</v>
      </c>
      <c r="Q288" t="n">
        <v>0</v>
      </c>
      <c r="R288" s="2" t="inlineStr"/>
    </row>
    <row r="289" ht="15" customHeight="1">
      <c r="A289" t="inlineStr">
        <is>
          <t>A 6970-2025</t>
        </is>
      </c>
      <c r="B289" s="1" t="n">
        <v>45693</v>
      </c>
      <c r="C289" s="1" t="n">
        <v>45968</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37162-2021</t>
        </is>
      </c>
      <c r="B290" s="1" t="n">
        <v>44395</v>
      </c>
      <c r="C290" s="1" t="n">
        <v>45968</v>
      </c>
      <c r="D290" t="inlineStr">
        <is>
          <t>UPPSALA LÄN</t>
        </is>
      </c>
      <c r="E290" t="inlineStr">
        <is>
          <t>UPPSALA</t>
        </is>
      </c>
      <c r="G290" t="n">
        <v>3.5</v>
      </c>
      <c r="H290" t="n">
        <v>0</v>
      </c>
      <c r="I290" t="n">
        <v>0</v>
      </c>
      <c r="J290" t="n">
        <v>0</v>
      </c>
      <c r="K290" t="n">
        <v>0</v>
      </c>
      <c r="L290" t="n">
        <v>0</v>
      </c>
      <c r="M290" t="n">
        <v>0</v>
      </c>
      <c r="N290" t="n">
        <v>0</v>
      </c>
      <c r="O290" t="n">
        <v>0</v>
      </c>
      <c r="P290" t="n">
        <v>0</v>
      </c>
      <c r="Q290" t="n">
        <v>0</v>
      </c>
      <c r="R290" s="2" t="inlineStr"/>
    </row>
    <row r="291" ht="15" customHeight="1">
      <c r="A291" t="inlineStr">
        <is>
          <t>A 6059-2025</t>
        </is>
      </c>
      <c r="B291" s="1" t="n">
        <v>45695.8391550926</v>
      </c>
      <c r="C291" s="1" t="n">
        <v>45968</v>
      </c>
      <c r="D291" t="inlineStr">
        <is>
          <t>UPPSALA LÄN</t>
        </is>
      </c>
      <c r="E291" t="inlineStr">
        <is>
          <t>UPPSALA</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5068-2025</t>
        </is>
      </c>
      <c r="B292" s="1" t="n">
        <v>45691</v>
      </c>
      <c r="C292" s="1" t="n">
        <v>45968</v>
      </c>
      <c r="D292" t="inlineStr">
        <is>
          <t>UPPSALA LÄN</t>
        </is>
      </c>
      <c r="E292" t="inlineStr">
        <is>
          <t>UPPSALA</t>
        </is>
      </c>
      <c r="G292" t="n">
        <v>5.9</v>
      </c>
      <c r="H292" t="n">
        <v>0</v>
      </c>
      <c r="I292" t="n">
        <v>0</v>
      </c>
      <c r="J292" t="n">
        <v>0</v>
      </c>
      <c r="K292" t="n">
        <v>0</v>
      </c>
      <c r="L292" t="n">
        <v>0</v>
      </c>
      <c r="M292" t="n">
        <v>0</v>
      </c>
      <c r="N292" t="n">
        <v>0</v>
      </c>
      <c r="O292" t="n">
        <v>0</v>
      </c>
      <c r="P292" t="n">
        <v>0</v>
      </c>
      <c r="Q292" t="n">
        <v>0</v>
      </c>
      <c r="R292" s="2" t="inlineStr"/>
    </row>
    <row r="293" ht="15" customHeight="1">
      <c r="A293" t="inlineStr">
        <is>
          <t>A 46635-2022</t>
        </is>
      </c>
      <c r="B293" s="1" t="n">
        <v>44849</v>
      </c>
      <c r="C293" s="1" t="n">
        <v>45968</v>
      </c>
      <c r="D293" t="inlineStr">
        <is>
          <t>UPPSALA LÄN</t>
        </is>
      </c>
      <c r="E293" t="inlineStr">
        <is>
          <t>UPPSALA</t>
        </is>
      </c>
      <c r="G293" t="n">
        <v>3.4</v>
      </c>
      <c r="H293" t="n">
        <v>0</v>
      </c>
      <c r="I293" t="n">
        <v>0</v>
      </c>
      <c r="J293" t="n">
        <v>0</v>
      </c>
      <c r="K293" t="n">
        <v>0</v>
      </c>
      <c r="L293" t="n">
        <v>0</v>
      </c>
      <c r="M293" t="n">
        <v>0</v>
      </c>
      <c r="N293" t="n">
        <v>0</v>
      </c>
      <c r="O293" t="n">
        <v>0</v>
      </c>
      <c r="P293" t="n">
        <v>0</v>
      </c>
      <c r="Q293" t="n">
        <v>0</v>
      </c>
      <c r="R293" s="2" t="inlineStr"/>
    </row>
    <row r="294" ht="15" customHeight="1">
      <c r="A294" t="inlineStr">
        <is>
          <t>A 73326-2021</t>
        </is>
      </c>
      <c r="B294" s="1" t="n">
        <v>44548</v>
      </c>
      <c r="C294" s="1" t="n">
        <v>45968</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2897-2025</t>
        </is>
      </c>
      <c r="B295" s="1" t="n">
        <v>45677</v>
      </c>
      <c r="C295" s="1" t="n">
        <v>45968</v>
      </c>
      <c r="D295" t="inlineStr">
        <is>
          <t>UPPSALA LÄN</t>
        </is>
      </c>
      <c r="E295" t="inlineStr">
        <is>
          <t>UPPSALA</t>
        </is>
      </c>
      <c r="G295" t="n">
        <v>2.7</v>
      </c>
      <c r="H295" t="n">
        <v>0</v>
      </c>
      <c r="I295" t="n">
        <v>0</v>
      </c>
      <c r="J295" t="n">
        <v>0</v>
      </c>
      <c r="K295" t="n">
        <v>0</v>
      </c>
      <c r="L295" t="n">
        <v>0</v>
      </c>
      <c r="M295" t="n">
        <v>0</v>
      </c>
      <c r="N295" t="n">
        <v>0</v>
      </c>
      <c r="O295" t="n">
        <v>0</v>
      </c>
      <c r="P295" t="n">
        <v>0</v>
      </c>
      <c r="Q295" t="n">
        <v>0</v>
      </c>
      <c r="R295" s="2" t="inlineStr"/>
    </row>
    <row r="296" ht="15" customHeight="1">
      <c r="A296" t="inlineStr">
        <is>
          <t>A 24961-2025</t>
        </is>
      </c>
      <c r="B296" s="1" t="n">
        <v>45799.57714120371</v>
      </c>
      <c r="C296" s="1" t="n">
        <v>45968</v>
      </c>
      <c r="D296" t="inlineStr">
        <is>
          <t>UPPSALA LÄN</t>
        </is>
      </c>
      <c r="E296" t="inlineStr">
        <is>
          <t>UPPSALA</t>
        </is>
      </c>
      <c r="G296" t="n">
        <v>0.7</v>
      </c>
      <c r="H296" t="n">
        <v>0</v>
      </c>
      <c r="I296" t="n">
        <v>0</v>
      </c>
      <c r="J296" t="n">
        <v>0</v>
      </c>
      <c r="K296" t="n">
        <v>0</v>
      </c>
      <c r="L296" t="n">
        <v>0</v>
      </c>
      <c r="M296" t="n">
        <v>0</v>
      </c>
      <c r="N296" t="n">
        <v>0</v>
      </c>
      <c r="O296" t="n">
        <v>0</v>
      </c>
      <c r="P296" t="n">
        <v>0</v>
      </c>
      <c r="Q296" t="n">
        <v>0</v>
      </c>
      <c r="R296" s="2" t="inlineStr"/>
    </row>
    <row r="297" ht="15" customHeight="1">
      <c r="A297" t="inlineStr">
        <is>
          <t>A 17593-2025</t>
        </is>
      </c>
      <c r="B297" s="1" t="n">
        <v>45757.6997337963</v>
      </c>
      <c r="C297" s="1" t="n">
        <v>45968</v>
      </c>
      <c r="D297" t="inlineStr">
        <is>
          <t>UPPSALA LÄN</t>
        </is>
      </c>
      <c r="E297" t="inlineStr">
        <is>
          <t>UPPSALA</t>
        </is>
      </c>
      <c r="G297" t="n">
        <v>3.6</v>
      </c>
      <c r="H297" t="n">
        <v>0</v>
      </c>
      <c r="I297" t="n">
        <v>0</v>
      </c>
      <c r="J297" t="n">
        <v>0</v>
      </c>
      <c r="K297" t="n">
        <v>0</v>
      </c>
      <c r="L297" t="n">
        <v>0</v>
      </c>
      <c r="M297" t="n">
        <v>0</v>
      </c>
      <c r="N297" t="n">
        <v>0</v>
      </c>
      <c r="O297" t="n">
        <v>0</v>
      </c>
      <c r="P297" t="n">
        <v>0</v>
      </c>
      <c r="Q297" t="n">
        <v>0</v>
      </c>
      <c r="R297" s="2" t="inlineStr"/>
    </row>
    <row r="298" ht="15" customHeight="1">
      <c r="A298" t="inlineStr">
        <is>
          <t>A 17596-2025</t>
        </is>
      </c>
      <c r="B298" s="1" t="n">
        <v>45757</v>
      </c>
      <c r="C298" s="1" t="n">
        <v>45968</v>
      </c>
      <c r="D298" t="inlineStr">
        <is>
          <t>UPPSALA LÄN</t>
        </is>
      </c>
      <c r="E298" t="inlineStr">
        <is>
          <t>UPPSALA</t>
        </is>
      </c>
      <c r="G298" t="n">
        <v>4.8</v>
      </c>
      <c r="H298" t="n">
        <v>0</v>
      </c>
      <c r="I298" t="n">
        <v>0</v>
      </c>
      <c r="J298" t="n">
        <v>0</v>
      </c>
      <c r="K298" t="n">
        <v>0</v>
      </c>
      <c r="L298" t="n">
        <v>0</v>
      </c>
      <c r="M298" t="n">
        <v>0</v>
      </c>
      <c r="N298" t="n">
        <v>0</v>
      </c>
      <c r="O298" t="n">
        <v>0</v>
      </c>
      <c r="P298" t="n">
        <v>0</v>
      </c>
      <c r="Q298" t="n">
        <v>0</v>
      </c>
      <c r="R298" s="2" t="inlineStr"/>
    </row>
    <row r="299" ht="15" customHeight="1">
      <c r="A299" t="inlineStr">
        <is>
          <t>A 54512-2024</t>
        </is>
      </c>
      <c r="B299" s="1" t="n">
        <v>45617.59006944444</v>
      </c>
      <c r="C299" s="1" t="n">
        <v>45968</v>
      </c>
      <c r="D299" t="inlineStr">
        <is>
          <t>UPPSALA LÄN</t>
        </is>
      </c>
      <c r="E299" t="inlineStr">
        <is>
          <t>UPPSALA</t>
        </is>
      </c>
      <c r="G299" t="n">
        <v>3.2</v>
      </c>
      <c r="H299" t="n">
        <v>0</v>
      </c>
      <c r="I299" t="n">
        <v>0</v>
      </c>
      <c r="J299" t="n">
        <v>0</v>
      </c>
      <c r="K299" t="n">
        <v>0</v>
      </c>
      <c r="L299" t="n">
        <v>0</v>
      </c>
      <c r="M299" t="n">
        <v>0</v>
      </c>
      <c r="N299" t="n">
        <v>0</v>
      </c>
      <c r="O299" t="n">
        <v>0</v>
      </c>
      <c r="P299" t="n">
        <v>0</v>
      </c>
      <c r="Q299" t="n">
        <v>0</v>
      </c>
      <c r="R299" s="2" t="inlineStr"/>
    </row>
    <row r="300" ht="15" customHeight="1">
      <c r="A300" t="inlineStr">
        <is>
          <t>A 5309-2022</t>
        </is>
      </c>
      <c r="B300" s="1" t="n">
        <v>44594</v>
      </c>
      <c r="C300" s="1" t="n">
        <v>45968</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12828-2025</t>
        </is>
      </c>
      <c r="B301" s="1" t="n">
        <v>45733.62903935185</v>
      </c>
      <c r="C301" s="1" t="n">
        <v>45968</v>
      </c>
      <c r="D301" t="inlineStr">
        <is>
          <t>UPPSALA LÄN</t>
        </is>
      </c>
      <c r="E301" t="inlineStr">
        <is>
          <t>UPPSALA</t>
        </is>
      </c>
      <c r="G301" t="n">
        <v>5.3</v>
      </c>
      <c r="H301" t="n">
        <v>0</v>
      </c>
      <c r="I301" t="n">
        <v>0</v>
      </c>
      <c r="J301" t="n">
        <v>0</v>
      </c>
      <c r="K301" t="n">
        <v>0</v>
      </c>
      <c r="L301" t="n">
        <v>0</v>
      </c>
      <c r="M301" t="n">
        <v>0</v>
      </c>
      <c r="N301" t="n">
        <v>0</v>
      </c>
      <c r="O301" t="n">
        <v>0</v>
      </c>
      <c r="P301" t="n">
        <v>0</v>
      </c>
      <c r="Q301" t="n">
        <v>0</v>
      </c>
      <c r="R301" s="2" t="inlineStr"/>
    </row>
    <row r="302" ht="15" customHeight="1">
      <c r="A302" t="inlineStr">
        <is>
          <t>A 8473-2023</t>
        </is>
      </c>
      <c r="B302" s="1" t="n">
        <v>44977</v>
      </c>
      <c r="C302" s="1" t="n">
        <v>45968</v>
      </c>
      <c r="D302" t="inlineStr">
        <is>
          <t>UPPSALA LÄN</t>
        </is>
      </c>
      <c r="E302" t="inlineStr">
        <is>
          <t>UPPSALA</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24012-2023</t>
        </is>
      </c>
      <c r="B303" s="1" t="n">
        <v>45078</v>
      </c>
      <c r="C303" s="1" t="n">
        <v>45968</v>
      </c>
      <c r="D303" t="inlineStr">
        <is>
          <t>UPPSALA LÄN</t>
        </is>
      </c>
      <c r="E303" t="inlineStr">
        <is>
          <t>UPPSALA</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10612-2025</t>
        </is>
      </c>
      <c r="B304" s="1" t="n">
        <v>45721.60894675926</v>
      </c>
      <c r="C304" s="1" t="n">
        <v>45968</v>
      </c>
      <c r="D304" t="inlineStr">
        <is>
          <t>UPPSALA LÄN</t>
        </is>
      </c>
      <c r="E304" t="inlineStr">
        <is>
          <t>UPPSALA</t>
        </is>
      </c>
      <c r="G304" t="n">
        <v>3.5</v>
      </c>
      <c r="H304" t="n">
        <v>0</v>
      </c>
      <c r="I304" t="n">
        <v>0</v>
      </c>
      <c r="J304" t="n">
        <v>0</v>
      </c>
      <c r="K304" t="n">
        <v>0</v>
      </c>
      <c r="L304" t="n">
        <v>0</v>
      </c>
      <c r="M304" t="n">
        <v>0</v>
      </c>
      <c r="N304" t="n">
        <v>0</v>
      </c>
      <c r="O304" t="n">
        <v>0</v>
      </c>
      <c r="P304" t="n">
        <v>0</v>
      </c>
      <c r="Q304" t="n">
        <v>0</v>
      </c>
      <c r="R304" s="2" t="inlineStr"/>
    </row>
    <row r="305" ht="15" customHeight="1">
      <c r="A305" t="inlineStr">
        <is>
          <t>A 25026-2025</t>
        </is>
      </c>
      <c r="B305" s="1" t="n">
        <v>45799.65021990741</v>
      </c>
      <c r="C305" s="1" t="n">
        <v>45968</v>
      </c>
      <c r="D305" t="inlineStr">
        <is>
          <t>UPPSALA LÄN</t>
        </is>
      </c>
      <c r="E305" t="inlineStr">
        <is>
          <t>UPPSALA</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25030-2025</t>
        </is>
      </c>
      <c r="B306" s="1" t="n">
        <v>45799.6527199074</v>
      </c>
      <c r="C306" s="1" t="n">
        <v>45968</v>
      </c>
      <c r="D306" t="inlineStr">
        <is>
          <t>UPPSALA LÄN</t>
        </is>
      </c>
      <c r="E306" t="inlineStr">
        <is>
          <t>UPPSALA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13742-2025</t>
        </is>
      </c>
      <c r="B307" s="1" t="n">
        <v>45737.40503472222</v>
      </c>
      <c r="C307" s="1" t="n">
        <v>45968</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24913-2025</t>
        </is>
      </c>
      <c r="B308" s="1" t="n">
        <v>45799.53947916667</v>
      </c>
      <c r="C308" s="1" t="n">
        <v>45968</v>
      </c>
      <c r="D308" t="inlineStr">
        <is>
          <t>UPPSALA LÄN</t>
        </is>
      </c>
      <c r="E308" t="inlineStr">
        <is>
          <t>UPPSALA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24915-2025</t>
        </is>
      </c>
      <c r="B309" s="1" t="n">
        <v>45799.54104166666</v>
      </c>
      <c r="C309" s="1" t="n">
        <v>45968</v>
      </c>
      <c r="D309" t="inlineStr">
        <is>
          <t>UPPSALA LÄN</t>
        </is>
      </c>
      <c r="E309" t="inlineStr">
        <is>
          <t>UPPSALA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6988-2025</t>
        </is>
      </c>
      <c r="B310" s="1" t="n">
        <v>45693</v>
      </c>
      <c r="C310" s="1" t="n">
        <v>45968</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45968</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24916-2025</t>
        </is>
      </c>
      <c r="B312" s="1" t="n">
        <v>45799.5421875</v>
      </c>
      <c r="C312" s="1" t="n">
        <v>45968</v>
      </c>
      <c r="D312" t="inlineStr">
        <is>
          <t>UPPSALA LÄN</t>
        </is>
      </c>
      <c r="E312" t="inlineStr">
        <is>
          <t>UPPSALA</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25025-2025</t>
        </is>
      </c>
      <c r="B313" s="1" t="n">
        <v>45799.64877314815</v>
      </c>
      <c r="C313" s="1" t="n">
        <v>45968</v>
      </c>
      <c r="D313" t="inlineStr">
        <is>
          <t>UPPSALA LÄN</t>
        </is>
      </c>
      <c r="E313" t="inlineStr">
        <is>
          <t>UPPSALA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24525-2025</t>
        </is>
      </c>
      <c r="B314" s="1" t="n">
        <v>45798.42252314815</v>
      </c>
      <c r="C314" s="1" t="n">
        <v>45968</v>
      </c>
      <c r="D314" t="inlineStr">
        <is>
          <t>UPPSALA LÄN</t>
        </is>
      </c>
      <c r="E314" t="inlineStr">
        <is>
          <t>UPPSALA</t>
        </is>
      </c>
      <c r="G314" t="n">
        <v>3.2</v>
      </c>
      <c r="H314" t="n">
        <v>0</v>
      </c>
      <c r="I314" t="n">
        <v>0</v>
      </c>
      <c r="J314" t="n">
        <v>0</v>
      </c>
      <c r="K314" t="n">
        <v>0</v>
      </c>
      <c r="L314" t="n">
        <v>0</v>
      </c>
      <c r="M314" t="n">
        <v>0</v>
      </c>
      <c r="N314" t="n">
        <v>0</v>
      </c>
      <c r="O314" t="n">
        <v>0</v>
      </c>
      <c r="P314" t="n">
        <v>0</v>
      </c>
      <c r="Q314" t="n">
        <v>0</v>
      </c>
      <c r="R314" s="2" t="inlineStr"/>
    </row>
    <row r="315" ht="15" customHeight="1">
      <c r="A315" t="inlineStr">
        <is>
          <t>A 40503-2024</t>
        </is>
      </c>
      <c r="B315" s="1" t="n">
        <v>45555.5727662037</v>
      </c>
      <c r="C315" s="1" t="n">
        <v>45968</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26323-2023</t>
        </is>
      </c>
      <c r="B316" s="1" t="n">
        <v>45091.69766203704</v>
      </c>
      <c r="C316" s="1" t="n">
        <v>45968</v>
      </c>
      <c r="D316" t="inlineStr">
        <is>
          <t>UPPSALA LÄN</t>
        </is>
      </c>
      <c r="E316" t="inlineStr">
        <is>
          <t>UPPSALA</t>
        </is>
      </c>
      <c r="G316" t="n">
        <v>3.1</v>
      </c>
      <c r="H316" t="n">
        <v>0</v>
      </c>
      <c r="I316" t="n">
        <v>0</v>
      </c>
      <c r="J316" t="n">
        <v>0</v>
      </c>
      <c r="K316" t="n">
        <v>0</v>
      </c>
      <c r="L316" t="n">
        <v>0</v>
      </c>
      <c r="M316" t="n">
        <v>0</v>
      </c>
      <c r="N316" t="n">
        <v>0</v>
      </c>
      <c r="O316" t="n">
        <v>0</v>
      </c>
      <c r="P316" t="n">
        <v>0</v>
      </c>
      <c r="Q316" t="n">
        <v>0</v>
      </c>
      <c r="R316" s="2" t="inlineStr"/>
    </row>
    <row r="317" ht="15" customHeight="1">
      <c r="A317" t="inlineStr">
        <is>
          <t>A 2927-2022</t>
        </is>
      </c>
      <c r="B317" s="1" t="n">
        <v>44581.60254629629</v>
      </c>
      <c r="C317" s="1" t="n">
        <v>45968</v>
      </c>
      <c r="D317" t="inlineStr">
        <is>
          <t>UPPSALA LÄN</t>
        </is>
      </c>
      <c r="E317" t="inlineStr">
        <is>
          <t>UPPSALA</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43795-2023</t>
        </is>
      </c>
      <c r="B318" s="1" t="n">
        <v>45182</v>
      </c>
      <c r="C318" s="1" t="n">
        <v>45968</v>
      </c>
      <c r="D318" t="inlineStr">
        <is>
          <t>UPPSALA LÄN</t>
        </is>
      </c>
      <c r="E318" t="inlineStr">
        <is>
          <t>UPPSALA</t>
        </is>
      </c>
      <c r="G318" t="n">
        <v>4.7</v>
      </c>
      <c r="H318" t="n">
        <v>0</v>
      </c>
      <c r="I318" t="n">
        <v>0</v>
      </c>
      <c r="J318" t="n">
        <v>0</v>
      </c>
      <c r="K318" t="n">
        <v>0</v>
      </c>
      <c r="L318" t="n">
        <v>0</v>
      </c>
      <c r="M318" t="n">
        <v>0</v>
      </c>
      <c r="N318" t="n">
        <v>0</v>
      </c>
      <c r="O318" t="n">
        <v>0</v>
      </c>
      <c r="P318" t="n">
        <v>0</v>
      </c>
      <c r="Q318" t="n">
        <v>0</v>
      </c>
      <c r="R318" s="2" t="inlineStr"/>
    </row>
    <row r="319" ht="15" customHeight="1">
      <c r="A319" t="inlineStr">
        <is>
          <t>A 43818-2023</t>
        </is>
      </c>
      <c r="B319" s="1" t="n">
        <v>45182</v>
      </c>
      <c r="C319" s="1" t="n">
        <v>45968</v>
      </c>
      <c r="D319" t="inlineStr">
        <is>
          <t>UPPSALA LÄN</t>
        </is>
      </c>
      <c r="E319" t="inlineStr">
        <is>
          <t>UPPSALA</t>
        </is>
      </c>
      <c r="G319" t="n">
        <v>10.8</v>
      </c>
      <c r="H319" t="n">
        <v>0</v>
      </c>
      <c r="I319" t="n">
        <v>0</v>
      </c>
      <c r="J319" t="n">
        <v>0</v>
      </c>
      <c r="K319" t="n">
        <v>0</v>
      </c>
      <c r="L319" t="n">
        <v>0</v>
      </c>
      <c r="M319" t="n">
        <v>0</v>
      </c>
      <c r="N319" t="n">
        <v>0</v>
      </c>
      <c r="O319" t="n">
        <v>0</v>
      </c>
      <c r="P319" t="n">
        <v>0</v>
      </c>
      <c r="Q319" t="n">
        <v>0</v>
      </c>
      <c r="R319" s="2" t="inlineStr"/>
    </row>
    <row r="320" ht="15" customHeight="1">
      <c r="A320" t="inlineStr">
        <is>
          <t>A 25513-2025</t>
        </is>
      </c>
      <c r="B320" s="1" t="n">
        <v>45803.36384259259</v>
      </c>
      <c r="C320" s="1" t="n">
        <v>45968</v>
      </c>
      <c r="D320" t="inlineStr">
        <is>
          <t>UPPSALA LÄN</t>
        </is>
      </c>
      <c r="E320" t="inlineStr">
        <is>
          <t>UPPSALA</t>
        </is>
      </c>
      <c r="F320" t="inlineStr">
        <is>
          <t>Bergvik skog öst AB</t>
        </is>
      </c>
      <c r="G320" t="n">
        <v>8.9</v>
      </c>
      <c r="H320" t="n">
        <v>0</v>
      </c>
      <c r="I320" t="n">
        <v>0</v>
      </c>
      <c r="J320" t="n">
        <v>0</v>
      </c>
      <c r="K320" t="n">
        <v>0</v>
      </c>
      <c r="L320" t="n">
        <v>0</v>
      </c>
      <c r="M320" t="n">
        <v>0</v>
      </c>
      <c r="N320" t="n">
        <v>0</v>
      </c>
      <c r="O320" t="n">
        <v>0</v>
      </c>
      <c r="P320" t="n">
        <v>0</v>
      </c>
      <c r="Q320" t="n">
        <v>0</v>
      </c>
      <c r="R320" s="2" t="inlineStr"/>
    </row>
    <row r="321" ht="15" customHeight="1">
      <c r="A321" t="inlineStr">
        <is>
          <t>A 25280-2023</t>
        </is>
      </c>
      <c r="B321" s="1" t="n">
        <v>45086.7037037037</v>
      </c>
      <c r="C321" s="1" t="n">
        <v>45968</v>
      </c>
      <c r="D321" t="inlineStr">
        <is>
          <t>UPPSALA LÄN</t>
        </is>
      </c>
      <c r="E321" t="inlineStr">
        <is>
          <t>UPPSALA</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11739-2023</t>
        </is>
      </c>
      <c r="B322" s="1" t="n">
        <v>44993</v>
      </c>
      <c r="C322" s="1" t="n">
        <v>45968</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13420-2021</t>
        </is>
      </c>
      <c r="B323" s="1" t="n">
        <v>44273</v>
      </c>
      <c r="C323" s="1" t="n">
        <v>45968</v>
      </c>
      <c r="D323" t="inlineStr">
        <is>
          <t>UPPSALA LÄN</t>
        </is>
      </c>
      <c r="E323" t="inlineStr">
        <is>
          <t>UPPSALA</t>
        </is>
      </c>
      <c r="G323" t="n">
        <v>1.9</v>
      </c>
      <c r="H323" t="n">
        <v>0</v>
      </c>
      <c r="I323" t="n">
        <v>0</v>
      </c>
      <c r="J323" t="n">
        <v>0</v>
      </c>
      <c r="K323" t="n">
        <v>0</v>
      </c>
      <c r="L323" t="n">
        <v>0</v>
      </c>
      <c r="M323" t="n">
        <v>0</v>
      </c>
      <c r="N323" t="n">
        <v>0</v>
      </c>
      <c r="O323" t="n">
        <v>0</v>
      </c>
      <c r="P323" t="n">
        <v>0</v>
      </c>
      <c r="Q323" t="n">
        <v>0</v>
      </c>
      <c r="R323" s="2" t="inlineStr"/>
    </row>
    <row r="324" ht="15" customHeight="1">
      <c r="A324" t="inlineStr">
        <is>
          <t>A 25674-2025</t>
        </is>
      </c>
      <c r="B324" s="1" t="n">
        <v>45803.63395833333</v>
      </c>
      <c r="C324" s="1" t="n">
        <v>45968</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9206-2022</t>
        </is>
      </c>
      <c r="B325" s="1" t="n">
        <v>44616</v>
      </c>
      <c r="C325" s="1" t="n">
        <v>45968</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52197-2024</t>
        </is>
      </c>
      <c r="B326" s="1" t="n">
        <v>45608</v>
      </c>
      <c r="C326" s="1" t="n">
        <v>45968</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6628-2024</t>
        </is>
      </c>
      <c r="B327" s="1" t="n">
        <v>45341</v>
      </c>
      <c r="C327" s="1" t="n">
        <v>45968</v>
      </c>
      <c r="D327" t="inlineStr">
        <is>
          <t>UPPSALA LÄN</t>
        </is>
      </c>
      <c r="E327" t="inlineStr">
        <is>
          <t>UPPSALA</t>
        </is>
      </c>
      <c r="G327" t="n">
        <v>4.3</v>
      </c>
      <c r="H327" t="n">
        <v>0</v>
      </c>
      <c r="I327" t="n">
        <v>0</v>
      </c>
      <c r="J327" t="n">
        <v>0</v>
      </c>
      <c r="K327" t="n">
        <v>0</v>
      </c>
      <c r="L327" t="n">
        <v>0</v>
      </c>
      <c r="M327" t="n">
        <v>0</v>
      </c>
      <c r="N327" t="n">
        <v>0</v>
      </c>
      <c r="O327" t="n">
        <v>0</v>
      </c>
      <c r="P327" t="n">
        <v>0</v>
      </c>
      <c r="Q327" t="n">
        <v>0</v>
      </c>
      <c r="R327" s="2" t="inlineStr"/>
    </row>
    <row r="328" ht="15" customHeight="1">
      <c r="A328" t="inlineStr">
        <is>
          <t>A 15264-2025</t>
        </is>
      </c>
      <c r="B328" s="1" t="n">
        <v>45744</v>
      </c>
      <c r="C328" s="1" t="n">
        <v>45968</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21935-2023</t>
        </is>
      </c>
      <c r="B329" s="1" t="n">
        <v>45068.58563657408</v>
      </c>
      <c r="C329" s="1" t="n">
        <v>45968</v>
      </c>
      <c r="D329" t="inlineStr">
        <is>
          <t>UPPSALA LÄN</t>
        </is>
      </c>
      <c r="E329" t="inlineStr">
        <is>
          <t>UPPSALA</t>
        </is>
      </c>
      <c r="G329" t="n">
        <v>2.6</v>
      </c>
      <c r="H329" t="n">
        <v>0</v>
      </c>
      <c r="I329" t="n">
        <v>0</v>
      </c>
      <c r="J329" t="n">
        <v>0</v>
      </c>
      <c r="K329" t="n">
        <v>0</v>
      </c>
      <c r="L329" t="n">
        <v>0</v>
      </c>
      <c r="M329" t="n">
        <v>0</v>
      </c>
      <c r="N329" t="n">
        <v>0</v>
      </c>
      <c r="O329" t="n">
        <v>0</v>
      </c>
      <c r="P329" t="n">
        <v>0</v>
      </c>
      <c r="Q329" t="n">
        <v>0</v>
      </c>
      <c r="R329" s="2" t="inlineStr"/>
    </row>
    <row r="330" ht="15" customHeight="1">
      <c r="A330" t="inlineStr">
        <is>
          <t>A 367-2023</t>
        </is>
      </c>
      <c r="B330" s="1" t="n">
        <v>44929</v>
      </c>
      <c r="C330" s="1" t="n">
        <v>45968</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9981-2025</t>
        </is>
      </c>
      <c r="B331" s="1" t="n">
        <v>45719.40723379629</v>
      </c>
      <c r="C331" s="1" t="n">
        <v>45968</v>
      </c>
      <c r="D331" t="inlineStr">
        <is>
          <t>UPPSALA LÄN</t>
        </is>
      </c>
      <c r="E331" t="inlineStr">
        <is>
          <t>UPPSALA</t>
        </is>
      </c>
      <c r="F331" t="inlineStr">
        <is>
          <t>Kyrkan</t>
        </is>
      </c>
      <c r="G331" t="n">
        <v>2.9</v>
      </c>
      <c r="H331" t="n">
        <v>0</v>
      </c>
      <c r="I331" t="n">
        <v>0</v>
      </c>
      <c r="J331" t="n">
        <v>0</v>
      </c>
      <c r="K331" t="n">
        <v>0</v>
      </c>
      <c r="L331" t="n">
        <v>0</v>
      </c>
      <c r="M331" t="n">
        <v>0</v>
      </c>
      <c r="N331" t="n">
        <v>0</v>
      </c>
      <c r="O331" t="n">
        <v>0</v>
      </c>
      <c r="P331" t="n">
        <v>0</v>
      </c>
      <c r="Q331" t="n">
        <v>0</v>
      </c>
      <c r="R331" s="2" t="inlineStr"/>
    </row>
    <row r="332" ht="15" customHeight="1">
      <c r="A332" t="inlineStr">
        <is>
          <t>A 60698-2024</t>
        </is>
      </c>
      <c r="B332" s="1" t="n">
        <v>45644</v>
      </c>
      <c r="C332" s="1" t="n">
        <v>45968</v>
      </c>
      <c r="D332" t="inlineStr">
        <is>
          <t>UPPSALA LÄN</t>
        </is>
      </c>
      <c r="E332" t="inlineStr">
        <is>
          <t>UPPSALA</t>
        </is>
      </c>
      <c r="G332" t="n">
        <v>2</v>
      </c>
      <c r="H332" t="n">
        <v>0</v>
      </c>
      <c r="I332" t="n">
        <v>0</v>
      </c>
      <c r="J332" t="n">
        <v>0</v>
      </c>
      <c r="K332" t="n">
        <v>0</v>
      </c>
      <c r="L332" t="n">
        <v>0</v>
      </c>
      <c r="M332" t="n">
        <v>0</v>
      </c>
      <c r="N332" t="n">
        <v>0</v>
      </c>
      <c r="O332" t="n">
        <v>0</v>
      </c>
      <c r="P332" t="n">
        <v>0</v>
      </c>
      <c r="Q332" t="n">
        <v>0</v>
      </c>
      <c r="R332" s="2" t="inlineStr"/>
    </row>
    <row r="333" ht="15" customHeight="1">
      <c r="A333" t="inlineStr">
        <is>
          <t>A 60735-2024</t>
        </is>
      </c>
      <c r="B333" s="1" t="n">
        <v>45644</v>
      </c>
      <c r="C333" s="1" t="n">
        <v>45968</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5989-2022</t>
        </is>
      </c>
      <c r="B334" s="1" t="n">
        <v>44599.42277777778</v>
      </c>
      <c r="C334" s="1" t="n">
        <v>45968</v>
      </c>
      <c r="D334" t="inlineStr">
        <is>
          <t>UPPSALA LÄN</t>
        </is>
      </c>
      <c r="E334" t="inlineStr">
        <is>
          <t>UPPSALA</t>
        </is>
      </c>
      <c r="G334" t="n">
        <v>2.8</v>
      </c>
      <c r="H334" t="n">
        <v>0</v>
      </c>
      <c r="I334" t="n">
        <v>0</v>
      </c>
      <c r="J334" t="n">
        <v>0</v>
      </c>
      <c r="K334" t="n">
        <v>0</v>
      </c>
      <c r="L334" t="n">
        <v>0</v>
      </c>
      <c r="M334" t="n">
        <v>0</v>
      </c>
      <c r="N334" t="n">
        <v>0</v>
      </c>
      <c r="O334" t="n">
        <v>0</v>
      </c>
      <c r="P334" t="n">
        <v>0</v>
      </c>
      <c r="Q334" t="n">
        <v>0</v>
      </c>
      <c r="R334" s="2" t="inlineStr"/>
    </row>
    <row r="335" ht="15" customHeight="1">
      <c r="A335" t="inlineStr">
        <is>
          <t>A 61463-2024</t>
        </is>
      </c>
      <c r="B335" s="1" t="n">
        <v>45646.50211805556</v>
      </c>
      <c r="C335" s="1" t="n">
        <v>45968</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20206-2023</t>
        </is>
      </c>
      <c r="B336" s="1" t="n">
        <v>45055</v>
      </c>
      <c r="C336" s="1" t="n">
        <v>45968</v>
      </c>
      <c r="D336" t="inlineStr">
        <is>
          <t>UPPSALA LÄN</t>
        </is>
      </c>
      <c r="E336" t="inlineStr">
        <is>
          <t>UPPSALA</t>
        </is>
      </c>
      <c r="G336" t="n">
        <v>5.7</v>
      </c>
      <c r="H336" t="n">
        <v>0</v>
      </c>
      <c r="I336" t="n">
        <v>0</v>
      </c>
      <c r="J336" t="n">
        <v>0</v>
      </c>
      <c r="K336" t="n">
        <v>0</v>
      </c>
      <c r="L336" t="n">
        <v>0</v>
      </c>
      <c r="M336" t="n">
        <v>0</v>
      </c>
      <c r="N336" t="n">
        <v>0</v>
      </c>
      <c r="O336" t="n">
        <v>0</v>
      </c>
      <c r="P336" t="n">
        <v>0</v>
      </c>
      <c r="Q336" t="n">
        <v>0</v>
      </c>
      <c r="R336" s="2" t="inlineStr"/>
    </row>
    <row r="337" ht="15" customHeight="1">
      <c r="A337" t="inlineStr">
        <is>
          <t>A 26130-2025</t>
        </is>
      </c>
      <c r="B337" s="1" t="n">
        <v>45805.4094675926</v>
      </c>
      <c r="C337" s="1" t="n">
        <v>45968</v>
      </c>
      <c r="D337" t="inlineStr">
        <is>
          <t>UPPSALA LÄN</t>
        </is>
      </c>
      <c r="E337" t="inlineStr">
        <is>
          <t>UPPSALA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60701-2022</t>
        </is>
      </c>
      <c r="B338" s="1" t="n">
        <v>44912</v>
      </c>
      <c r="C338" s="1" t="n">
        <v>45968</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26139-2025</t>
        </is>
      </c>
      <c r="B339" s="1" t="n">
        <v>45805.41813657407</v>
      </c>
      <c r="C339" s="1" t="n">
        <v>45968</v>
      </c>
      <c r="D339" t="inlineStr">
        <is>
          <t>UPPSALA LÄN</t>
        </is>
      </c>
      <c r="E339" t="inlineStr">
        <is>
          <t>UPPSALA</t>
        </is>
      </c>
      <c r="F339" t="inlineStr">
        <is>
          <t>Holmen skog AB</t>
        </is>
      </c>
      <c r="G339" t="n">
        <v>0.7</v>
      </c>
      <c r="H339" t="n">
        <v>0</v>
      </c>
      <c r="I339" t="n">
        <v>0</v>
      </c>
      <c r="J339" t="n">
        <v>0</v>
      </c>
      <c r="K339" t="n">
        <v>0</v>
      </c>
      <c r="L339" t="n">
        <v>0</v>
      </c>
      <c r="M339" t="n">
        <v>0</v>
      </c>
      <c r="N339" t="n">
        <v>0</v>
      </c>
      <c r="O339" t="n">
        <v>0</v>
      </c>
      <c r="P339" t="n">
        <v>0</v>
      </c>
      <c r="Q339" t="n">
        <v>0</v>
      </c>
      <c r="R339" s="2" t="inlineStr"/>
    </row>
    <row r="340" ht="15" customHeight="1">
      <c r="A340" t="inlineStr">
        <is>
          <t>A 26141-2025</t>
        </is>
      </c>
      <c r="B340" s="1" t="n">
        <v>45805.4255787037</v>
      </c>
      <c r="C340" s="1" t="n">
        <v>45968</v>
      </c>
      <c r="D340" t="inlineStr">
        <is>
          <t>UPPSALA LÄN</t>
        </is>
      </c>
      <c r="E340" t="inlineStr">
        <is>
          <t>UPPSALA</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26155-2025</t>
        </is>
      </c>
      <c r="B341" s="1" t="n">
        <v>45805.43402777778</v>
      </c>
      <c r="C341" s="1" t="n">
        <v>45968</v>
      </c>
      <c r="D341" t="inlineStr">
        <is>
          <t>UPPSALA LÄN</t>
        </is>
      </c>
      <c r="E341" t="inlineStr">
        <is>
          <t>UPPSALA</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46069-2022</t>
        </is>
      </c>
      <c r="B342" s="1" t="n">
        <v>44847</v>
      </c>
      <c r="C342" s="1" t="n">
        <v>45968</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53614-2024</t>
        </is>
      </c>
      <c r="B343" s="1" t="n">
        <v>45611</v>
      </c>
      <c r="C343" s="1" t="n">
        <v>45968</v>
      </c>
      <c r="D343" t="inlineStr">
        <is>
          <t>UPPSALA LÄN</t>
        </is>
      </c>
      <c r="E343" t="inlineStr">
        <is>
          <t>UPPSALA</t>
        </is>
      </c>
      <c r="G343" t="n">
        <v>2.1</v>
      </c>
      <c r="H343" t="n">
        <v>0</v>
      </c>
      <c r="I343" t="n">
        <v>0</v>
      </c>
      <c r="J343" t="n">
        <v>0</v>
      </c>
      <c r="K343" t="n">
        <v>0</v>
      </c>
      <c r="L343" t="n">
        <v>0</v>
      </c>
      <c r="M343" t="n">
        <v>0</v>
      </c>
      <c r="N343" t="n">
        <v>0</v>
      </c>
      <c r="O343" t="n">
        <v>0</v>
      </c>
      <c r="P343" t="n">
        <v>0</v>
      </c>
      <c r="Q343" t="n">
        <v>0</v>
      </c>
      <c r="R343" s="2" t="inlineStr"/>
    </row>
    <row r="344" ht="15" customHeight="1">
      <c r="A344" t="inlineStr">
        <is>
          <t>A 50463-2024</t>
        </is>
      </c>
      <c r="B344" s="1" t="n">
        <v>45601</v>
      </c>
      <c r="C344" s="1" t="n">
        <v>45968</v>
      </c>
      <c r="D344" t="inlineStr">
        <is>
          <t>UPPSALA LÄN</t>
        </is>
      </c>
      <c r="E344" t="inlineStr">
        <is>
          <t>UPPSALA</t>
        </is>
      </c>
      <c r="F344" t="inlineStr">
        <is>
          <t>Allmännings- och besparingsskogar</t>
        </is>
      </c>
      <c r="G344" t="n">
        <v>12.6</v>
      </c>
      <c r="H344" t="n">
        <v>0</v>
      </c>
      <c r="I344" t="n">
        <v>0</v>
      </c>
      <c r="J344" t="n">
        <v>0</v>
      </c>
      <c r="K344" t="n">
        <v>0</v>
      </c>
      <c r="L344" t="n">
        <v>0</v>
      </c>
      <c r="M344" t="n">
        <v>0</v>
      </c>
      <c r="N344" t="n">
        <v>0</v>
      </c>
      <c r="O344" t="n">
        <v>0</v>
      </c>
      <c r="P344" t="n">
        <v>0</v>
      </c>
      <c r="Q344" t="n">
        <v>0</v>
      </c>
      <c r="R344" s="2" t="inlineStr"/>
    </row>
    <row r="345" ht="15" customHeight="1">
      <c r="A345" t="inlineStr">
        <is>
          <t>A 26131-2025</t>
        </is>
      </c>
      <c r="B345" s="1" t="n">
        <v>45805.41010416667</v>
      </c>
      <c r="C345" s="1" t="n">
        <v>45968</v>
      </c>
      <c r="D345" t="inlineStr">
        <is>
          <t>UPPSALA LÄN</t>
        </is>
      </c>
      <c r="E345" t="inlineStr">
        <is>
          <t>UPPSALA</t>
        </is>
      </c>
      <c r="F345" t="inlineStr">
        <is>
          <t>Bergvik skog öst AB</t>
        </is>
      </c>
      <c r="G345" t="n">
        <v>3.8</v>
      </c>
      <c r="H345" t="n">
        <v>0</v>
      </c>
      <c r="I345" t="n">
        <v>0</v>
      </c>
      <c r="J345" t="n">
        <v>0</v>
      </c>
      <c r="K345" t="n">
        <v>0</v>
      </c>
      <c r="L345" t="n">
        <v>0</v>
      </c>
      <c r="M345" t="n">
        <v>0</v>
      </c>
      <c r="N345" t="n">
        <v>0</v>
      </c>
      <c r="O345" t="n">
        <v>0</v>
      </c>
      <c r="P345" t="n">
        <v>0</v>
      </c>
      <c r="Q345" t="n">
        <v>0</v>
      </c>
      <c r="R345" s="2" t="inlineStr"/>
    </row>
    <row r="346" ht="15" customHeight="1">
      <c r="A346" t="inlineStr">
        <is>
          <t>A 72224-2021</t>
        </is>
      </c>
      <c r="B346" s="1" t="n">
        <v>44544</v>
      </c>
      <c r="C346" s="1" t="n">
        <v>45968</v>
      </c>
      <c r="D346" t="inlineStr">
        <is>
          <t>UPPSALA LÄN</t>
        </is>
      </c>
      <c r="E346" t="inlineStr">
        <is>
          <t>UPPSALA</t>
        </is>
      </c>
      <c r="G346" t="n">
        <v>2.5</v>
      </c>
      <c r="H346" t="n">
        <v>0</v>
      </c>
      <c r="I346" t="n">
        <v>0</v>
      </c>
      <c r="J346" t="n">
        <v>0</v>
      </c>
      <c r="K346" t="n">
        <v>0</v>
      </c>
      <c r="L346" t="n">
        <v>0</v>
      </c>
      <c r="M346" t="n">
        <v>0</v>
      </c>
      <c r="N346" t="n">
        <v>0</v>
      </c>
      <c r="O346" t="n">
        <v>0</v>
      </c>
      <c r="P346" t="n">
        <v>0</v>
      </c>
      <c r="Q346" t="n">
        <v>0</v>
      </c>
      <c r="R346" s="2" t="inlineStr"/>
    </row>
    <row r="347" ht="15" customHeight="1">
      <c r="A347" t="inlineStr">
        <is>
          <t>A 16434-2024</t>
        </is>
      </c>
      <c r="B347" s="1" t="n">
        <v>45407.69575231482</v>
      </c>
      <c r="C347" s="1" t="n">
        <v>45968</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37626-2023</t>
        </is>
      </c>
      <c r="B348" s="1" t="n">
        <v>45159.45748842593</v>
      </c>
      <c r="C348" s="1" t="n">
        <v>45968</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1825-2024</t>
        </is>
      </c>
      <c r="B349" s="1" t="n">
        <v>45307</v>
      </c>
      <c r="C349" s="1" t="n">
        <v>45968</v>
      </c>
      <c r="D349" t="inlineStr">
        <is>
          <t>UPPSALA LÄN</t>
        </is>
      </c>
      <c r="E349" t="inlineStr">
        <is>
          <t>UPPSALA</t>
        </is>
      </c>
      <c r="G349" t="n">
        <v>4.2</v>
      </c>
      <c r="H349" t="n">
        <v>0</v>
      </c>
      <c r="I349" t="n">
        <v>0</v>
      </c>
      <c r="J349" t="n">
        <v>0</v>
      </c>
      <c r="K349" t="n">
        <v>0</v>
      </c>
      <c r="L349" t="n">
        <v>0</v>
      </c>
      <c r="M349" t="n">
        <v>0</v>
      </c>
      <c r="N349" t="n">
        <v>0</v>
      </c>
      <c r="O349" t="n">
        <v>0</v>
      </c>
      <c r="P349" t="n">
        <v>0</v>
      </c>
      <c r="Q349" t="n">
        <v>0</v>
      </c>
      <c r="R349" s="2" t="inlineStr"/>
    </row>
    <row r="350" ht="15" customHeight="1">
      <c r="A350" t="inlineStr">
        <is>
          <t>A 56067-2024</t>
        </is>
      </c>
      <c r="B350" s="1" t="n">
        <v>45624</v>
      </c>
      <c r="C350" s="1" t="n">
        <v>45968</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64855-2021</t>
        </is>
      </c>
      <c r="B351" s="1" t="n">
        <v>44512</v>
      </c>
      <c r="C351" s="1" t="n">
        <v>45968</v>
      </c>
      <c r="D351" t="inlineStr">
        <is>
          <t>UPPSALA LÄN</t>
        </is>
      </c>
      <c r="E351" t="inlineStr">
        <is>
          <t>UPPSALA</t>
        </is>
      </c>
      <c r="G351" t="n">
        <v>3.1</v>
      </c>
      <c r="H351" t="n">
        <v>0</v>
      </c>
      <c r="I351" t="n">
        <v>0</v>
      </c>
      <c r="J351" t="n">
        <v>0</v>
      </c>
      <c r="K351" t="n">
        <v>0</v>
      </c>
      <c r="L351" t="n">
        <v>0</v>
      </c>
      <c r="M351" t="n">
        <v>0</v>
      </c>
      <c r="N351" t="n">
        <v>0</v>
      </c>
      <c r="O351" t="n">
        <v>0</v>
      </c>
      <c r="P351" t="n">
        <v>0</v>
      </c>
      <c r="Q351" t="n">
        <v>0</v>
      </c>
      <c r="R351" s="2" t="inlineStr"/>
    </row>
    <row r="352" ht="15" customHeight="1">
      <c r="A352" t="inlineStr">
        <is>
          <t>A 27622-2023</t>
        </is>
      </c>
      <c r="B352" s="1" t="n">
        <v>45097</v>
      </c>
      <c r="C352" s="1" t="n">
        <v>45968</v>
      </c>
      <c r="D352" t="inlineStr">
        <is>
          <t>UPPSALA LÄN</t>
        </is>
      </c>
      <c r="E352" t="inlineStr">
        <is>
          <t>UPPSALA</t>
        </is>
      </c>
      <c r="G352" t="n">
        <v>3.2</v>
      </c>
      <c r="H352" t="n">
        <v>0</v>
      </c>
      <c r="I352" t="n">
        <v>0</v>
      </c>
      <c r="J352" t="n">
        <v>0</v>
      </c>
      <c r="K352" t="n">
        <v>0</v>
      </c>
      <c r="L352" t="n">
        <v>0</v>
      </c>
      <c r="M352" t="n">
        <v>0</v>
      </c>
      <c r="N352" t="n">
        <v>0</v>
      </c>
      <c r="O352" t="n">
        <v>0</v>
      </c>
      <c r="P352" t="n">
        <v>0</v>
      </c>
      <c r="Q352" t="n">
        <v>0</v>
      </c>
      <c r="R352" s="2" t="inlineStr"/>
    </row>
    <row r="353" ht="15" customHeight="1">
      <c r="A353" t="inlineStr">
        <is>
          <t>A 9993-2025</t>
        </is>
      </c>
      <c r="B353" s="1" t="n">
        <v>45719.43755787037</v>
      </c>
      <c r="C353" s="1" t="n">
        <v>45968</v>
      </c>
      <c r="D353" t="inlineStr">
        <is>
          <t>UPPSALA LÄN</t>
        </is>
      </c>
      <c r="E353" t="inlineStr">
        <is>
          <t>UPPSALA</t>
        </is>
      </c>
      <c r="F353" t="inlineStr">
        <is>
          <t>Kyrkan</t>
        </is>
      </c>
      <c r="G353" t="n">
        <v>6.1</v>
      </c>
      <c r="H353" t="n">
        <v>0</v>
      </c>
      <c r="I353" t="n">
        <v>0</v>
      </c>
      <c r="J353" t="n">
        <v>0</v>
      </c>
      <c r="K353" t="n">
        <v>0</v>
      </c>
      <c r="L353" t="n">
        <v>0</v>
      </c>
      <c r="M353" t="n">
        <v>0</v>
      </c>
      <c r="N353" t="n">
        <v>0</v>
      </c>
      <c r="O353" t="n">
        <v>0</v>
      </c>
      <c r="P353" t="n">
        <v>0</v>
      </c>
      <c r="Q353" t="n">
        <v>0</v>
      </c>
      <c r="R353" s="2" t="inlineStr"/>
    </row>
    <row r="354" ht="15" customHeight="1">
      <c r="A354" t="inlineStr">
        <is>
          <t>A 6997-2023</t>
        </is>
      </c>
      <c r="B354" s="1" t="n">
        <v>44967.78984953704</v>
      </c>
      <c r="C354" s="1" t="n">
        <v>45968</v>
      </c>
      <c r="D354" t="inlineStr">
        <is>
          <t>UPPSALA LÄN</t>
        </is>
      </c>
      <c r="E354" t="inlineStr">
        <is>
          <t>UPPSALA</t>
        </is>
      </c>
      <c r="G354" t="n">
        <v>3.9</v>
      </c>
      <c r="H354" t="n">
        <v>0</v>
      </c>
      <c r="I354" t="n">
        <v>0</v>
      </c>
      <c r="J354" t="n">
        <v>0</v>
      </c>
      <c r="K354" t="n">
        <v>0</v>
      </c>
      <c r="L354" t="n">
        <v>0</v>
      </c>
      <c r="M354" t="n">
        <v>0</v>
      </c>
      <c r="N354" t="n">
        <v>0</v>
      </c>
      <c r="O354" t="n">
        <v>0</v>
      </c>
      <c r="P354" t="n">
        <v>0</v>
      </c>
      <c r="Q354" t="n">
        <v>0</v>
      </c>
      <c r="R354" s="2" t="inlineStr"/>
    </row>
    <row r="355" ht="15" customHeight="1">
      <c r="A355" t="inlineStr">
        <is>
          <t>A 12221-2022</t>
        </is>
      </c>
      <c r="B355" s="1" t="n">
        <v>44637.35744212963</v>
      </c>
      <c r="C355" s="1" t="n">
        <v>45968</v>
      </c>
      <c r="D355" t="inlineStr">
        <is>
          <t>UPPSALA LÄN</t>
        </is>
      </c>
      <c r="E355" t="inlineStr">
        <is>
          <t>UPPSALA</t>
        </is>
      </c>
      <c r="G355" t="n">
        <v>1.4</v>
      </c>
      <c r="H355" t="n">
        <v>0</v>
      </c>
      <c r="I355" t="n">
        <v>0</v>
      </c>
      <c r="J355" t="n">
        <v>0</v>
      </c>
      <c r="K355" t="n">
        <v>0</v>
      </c>
      <c r="L355" t="n">
        <v>0</v>
      </c>
      <c r="M355" t="n">
        <v>0</v>
      </c>
      <c r="N355" t="n">
        <v>0</v>
      </c>
      <c r="O355" t="n">
        <v>0</v>
      </c>
      <c r="P355" t="n">
        <v>0</v>
      </c>
      <c r="Q355" t="n">
        <v>0</v>
      </c>
      <c r="R355" s="2" t="inlineStr"/>
    </row>
    <row r="356" ht="15" customHeight="1">
      <c r="A356" t="inlineStr">
        <is>
          <t>A 53921-2024</t>
        </is>
      </c>
      <c r="B356" s="1" t="n">
        <v>45615</v>
      </c>
      <c r="C356" s="1" t="n">
        <v>45968</v>
      </c>
      <c r="D356" t="inlineStr">
        <is>
          <t>UPPSALA LÄN</t>
        </is>
      </c>
      <c r="E356" t="inlineStr">
        <is>
          <t>UPPSALA</t>
        </is>
      </c>
      <c r="G356" t="n">
        <v>8.1</v>
      </c>
      <c r="H356" t="n">
        <v>0</v>
      </c>
      <c r="I356" t="n">
        <v>0</v>
      </c>
      <c r="J356" t="n">
        <v>0</v>
      </c>
      <c r="K356" t="n">
        <v>0</v>
      </c>
      <c r="L356" t="n">
        <v>0</v>
      </c>
      <c r="M356" t="n">
        <v>0</v>
      </c>
      <c r="N356" t="n">
        <v>0</v>
      </c>
      <c r="O356" t="n">
        <v>0</v>
      </c>
      <c r="P356" t="n">
        <v>0</v>
      </c>
      <c r="Q356" t="n">
        <v>0</v>
      </c>
      <c r="R356" s="2" t="inlineStr"/>
    </row>
    <row r="357" ht="15" customHeight="1">
      <c r="A357" t="inlineStr">
        <is>
          <t>A 12293-2022</t>
        </is>
      </c>
      <c r="B357" s="1" t="n">
        <v>44637.56178240741</v>
      </c>
      <c r="C357" s="1" t="n">
        <v>45968</v>
      </c>
      <c r="D357" t="inlineStr">
        <is>
          <t>UPPSALA LÄN</t>
        </is>
      </c>
      <c r="E357" t="inlineStr">
        <is>
          <t>UPPSALA</t>
        </is>
      </c>
      <c r="F357" t="inlineStr">
        <is>
          <t>Kommuner</t>
        </is>
      </c>
      <c r="G357" t="n">
        <v>0.8</v>
      </c>
      <c r="H357" t="n">
        <v>0</v>
      </c>
      <c r="I357" t="n">
        <v>0</v>
      </c>
      <c r="J357" t="n">
        <v>0</v>
      </c>
      <c r="K357" t="n">
        <v>0</v>
      </c>
      <c r="L357" t="n">
        <v>0</v>
      </c>
      <c r="M357" t="n">
        <v>0</v>
      </c>
      <c r="N357" t="n">
        <v>0</v>
      </c>
      <c r="O357" t="n">
        <v>0</v>
      </c>
      <c r="P357" t="n">
        <v>0</v>
      </c>
      <c r="Q357" t="n">
        <v>0</v>
      </c>
      <c r="R357" s="2" t="inlineStr"/>
    </row>
    <row r="358" ht="15" customHeight="1">
      <c r="A358" t="inlineStr">
        <is>
          <t>A 6012-2025</t>
        </is>
      </c>
      <c r="B358" s="1" t="n">
        <v>45695.59805555556</v>
      </c>
      <c r="C358" s="1" t="n">
        <v>45968</v>
      </c>
      <c r="D358" t="inlineStr">
        <is>
          <t>UPPSALA LÄN</t>
        </is>
      </c>
      <c r="E358" t="inlineStr">
        <is>
          <t>UPPSALA</t>
        </is>
      </c>
      <c r="F358" t="inlineStr">
        <is>
          <t>Övriga Aktiebolag</t>
        </is>
      </c>
      <c r="G358" t="n">
        <v>14.3</v>
      </c>
      <c r="H358" t="n">
        <v>0</v>
      </c>
      <c r="I358" t="n">
        <v>0</v>
      </c>
      <c r="J358" t="n">
        <v>0</v>
      </c>
      <c r="K358" t="n">
        <v>0</v>
      </c>
      <c r="L358" t="n">
        <v>0</v>
      </c>
      <c r="M358" t="n">
        <v>0</v>
      </c>
      <c r="N358" t="n">
        <v>0</v>
      </c>
      <c r="O358" t="n">
        <v>0</v>
      </c>
      <c r="P358" t="n">
        <v>0</v>
      </c>
      <c r="Q358" t="n">
        <v>0</v>
      </c>
      <c r="R358" s="2" t="inlineStr"/>
    </row>
    <row r="359" ht="15" customHeight="1">
      <c r="A359" t="inlineStr">
        <is>
          <t>A 66686-2021</t>
        </is>
      </c>
      <c r="B359" s="1" t="n">
        <v>44519</v>
      </c>
      <c r="C359" s="1" t="n">
        <v>45968</v>
      </c>
      <c r="D359" t="inlineStr">
        <is>
          <t>UPPSALA LÄN</t>
        </is>
      </c>
      <c r="E359" t="inlineStr">
        <is>
          <t>UPPSALA</t>
        </is>
      </c>
      <c r="G359" t="n">
        <v>6.4</v>
      </c>
      <c r="H359" t="n">
        <v>0</v>
      </c>
      <c r="I359" t="n">
        <v>0</v>
      </c>
      <c r="J359" t="n">
        <v>0</v>
      </c>
      <c r="K359" t="n">
        <v>0</v>
      </c>
      <c r="L359" t="n">
        <v>0</v>
      </c>
      <c r="M359" t="n">
        <v>0</v>
      </c>
      <c r="N359" t="n">
        <v>0</v>
      </c>
      <c r="O359" t="n">
        <v>0</v>
      </c>
      <c r="P359" t="n">
        <v>0</v>
      </c>
      <c r="Q359" t="n">
        <v>0</v>
      </c>
      <c r="R359" s="2" t="inlineStr"/>
    </row>
    <row r="360" ht="15" customHeight="1">
      <c r="A360" t="inlineStr">
        <is>
          <t>A 26740-2025</t>
        </is>
      </c>
      <c r="B360" s="1" t="n">
        <v>45809</v>
      </c>
      <c r="C360" s="1" t="n">
        <v>45968</v>
      </c>
      <c r="D360" t="inlineStr">
        <is>
          <t>UPPSALA LÄN</t>
        </is>
      </c>
      <c r="E360" t="inlineStr">
        <is>
          <t>UPPSALA</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49996-2023</t>
        </is>
      </c>
      <c r="B361" s="1" t="n">
        <v>45215.44233796297</v>
      </c>
      <c r="C361" s="1" t="n">
        <v>45968</v>
      </c>
      <c r="D361" t="inlineStr">
        <is>
          <t>UPPSALA LÄN</t>
        </is>
      </c>
      <c r="E361" t="inlineStr">
        <is>
          <t>UPPSALA</t>
        </is>
      </c>
      <c r="G361" t="n">
        <v>2</v>
      </c>
      <c r="H361" t="n">
        <v>0</v>
      </c>
      <c r="I361" t="n">
        <v>0</v>
      </c>
      <c r="J361" t="n">
        <v>0</v>
      </c>
      <c r="K361" t="n">
        <v>0</v>
      </c>
      <c r="L361" t="n">
        <v>0</v>
      </c>
      <c r="M361" t="n">
        <v>0</v>
      </c>
      <c r="N361" t="n">
        <v>0</v>
      </c>
      <c r="O361" t="n">
        <v>0</v>
      </c>
      <c r="P361" t="n">
        <v>0</v>
      </c>
      <c r="Q361" t="n">
        <v>0</v>
      </c>
      <c r="R361" s="2" t="inlineStr"/>
    </row>
    <row r="362" ht="15" customHeight="1">
      <c r="A362" t="inlineStr">
        <is>
          <t>A 26697-2025</t>
        </is>
      </c>
      <c r="B362" s="1" t="n">
        <v>45810.44339120371</v>
      </c>
      <c r="C362" s="1" t="n">
        <v>45968</v>
      </c>
      <c r="D362" t="inlineStr">
        <is>
          <t>UPPSALA LÄN</t>
        </is>
      </c>
      <c r="E362" t="inlineStr">
        <is>
          <t>UPPSALA</t>
        </is>
      </c>
      <c r="F362" t="inlineStr">
        <is>
          <t>Bergvik skog öst AB</t>
        </is>
      </c>
      <c r="G362" t="n">
        <v>2.8</v>
      </c>
      <c r="H362" t="n">
        <v>0</v>
      </c>
      <c r="I362" t="n">
        <v>0</v>
      </c>
      <c r="J362" t="n">
        <v>0</v>
      </c>
      <c r="K362" t="n">
        <v>0</v>
      </c>
      <c r="L362" t="n">
        <v>0</v>
      </c>
      <c r="M362" t="n">
        <v>0</v>
      </c>
      <c r="N362" t="n">
        <v>0</v>
      </c>
      <c r="O362" t="n">
        <v>0</v>
      </c>
      <c r="P362" t="n">
        <v>0</v>
      </c>
      <c r="Q362" t="n">
        <v>0</v>
      </c>
      <c r="R362" s="2" t="inlineStr"/>
    </row>
    <row r="363" ht="15" customHeight="1">
      <c r="A363" t="inlineStr">
        <is>
          <t>A 26713-2025</t>
        </is>
      </c>
      <c r="B363" s="1" t="n">
        <v>45809</v>
      </c>
      <c r="C363" s="1" t="n">
        <v>45968</v>
      </c>
      <c r="D363" t="inlineStr">
        <is>
          <t>UPPSALA LÄN</t>
        </is>
      </c>
      <c r="E363" t="inlineStr">
        <is>
          <t>UPPSALA</t>
        </is>
      </c>
      <c r="G363" t="n">
        <v>3.8</v>
      </c>
      <c r="H363" t="n">
        <v>0</v>
      </c>
      <c r="I363" t="n">
        <v>0</v>
      </c>
      <c r="J363" t="n">
        <v>0</v>
      </c>
      <c r="K363" t="n">
        <v>0</v>
      </c>
      <c r="L363" t="n">
        <v>0</v>
      </c>
      <c r="M363" t="n">
        <v>0</v>
      </c>
      <c r="N363" t="n">
        <v>0</v>
      </c>
      <c r="O363" t="n">
        <v>0</v>
      </c>
      <c r="P363" t="n">
        <v>0</v>
      </c>
      <c r="Q363" t="n">
        <v>0</v>
      </c>
      <c r="R363" s="2" t="inlineStr"/>
    </row>
    <row r="364" ht="15" customHeight="1">
      <c r="A364" t="inlineStr">
        <is>
          <t>A 179-2024</t>
        </is>
      </c>
      <c r="B364" s="1" t="n">
        <v>45294.5666550926</v>
      </c>
      <c r="C364" s="1" t="n">
        <v>45968</v>
      </c>
      <c r="D364" t="inlineStr">
        <is>
          <t>UPPSALA LÄN</t>
        </is>
      </c>
      <c r="E364" t="inlineStr">
        <is>
          <t>UPPSALA</t>
        </is>
      </c>
      <c r="F364" t="inlineStr">
        <is>
          <t>Bergvik skog öst AB</t>
        </is>
      </c>
      <c r="G364" t="n">
        <v>12.7</v>
      </c>
      <c r="H364" t="n">
        <v>0</v>
      </c>
      <c r="I364" t="n">
        <v>0</v>
      </c>
      <c r="J364" t="n">
        <v>0</v>
      </c>
      <c r="K364" t="n">
        <v>0</v>
      </c>
      <c r="L364" t="n">
        <v>0</v>
      </c>
      <c r="M364" t="n">
        <v>0</v>
      </c>
      <c r="N364" t="n">
        <v>0</v>
      </c>
      <c r="O364" t="n">
        <v>0</v>
      </c>
      <c r="P364" t="n">
        <v>0</v>
      </c>
      <c r="Q364" t="n">
        <v>0</v>
      </c>
      <c r="R364" s="2" t="inlineStr"/>
    </row>
    <row r="365" ht="15" customHeight="1">
      <c r="A365" t="inlineStr">
        <is>
          <t>A 33191-2023</t>
        </is>
      </c>
      <c r="B365" s="1" t="n">
        <v>45127</v>
      </c>
      <c r="C365" s="1" t="n">
        <v>45968</v>
      </c>
      <c r="D365" t="inlineStr">
        <is>
          <t>UPPSALA LÄN</t>
        </is>
      </c>
      <c r="E365" t="inlineStr">
        <is>
          <t>UPPSALA</t>
        </is>
      </c>
      <c r="G365" t="n">
        <v>1.3</v>
      </c>
      <c r="H365" t="n">
        <v>0</v>
      </c>
      <c r="I365" t="n">
        <v>0</v>
      </c>
      <c r="J365" t="n">
        <v>0</v>
      </c>
      <c r="K365" t="n">
        <v>0</v>
      </c>
      <c r="L365" t="n">
        <v>0</v>
      </c>
      <c r="M365" t="n">
        <v>0</v>
      </c>
      <c r="N365" t="n">
        <v>0</v>
      </c>
      <c r="O365" t="n">
        <v>0</v>
      </c>
      <c r="P365" t="n">
        <v>0</v>
      </c>
      <c r="Q365" t="n">
        <v>0</v>
      </c>
      <c r="R365" s="2" t="inlineStr"/>
    </row>
    <row r="366" ht="15" customHeight="1">
      <c r="A366" t="inlineStr">
        <is>
          <t>A 23494-2024</t>
        </is>
      </c>
      <c r="B366" s="1" t="n">
        <v>45453.69339120371</v>
      </c>
      <c r="C366" s="1" t="n">
        <v>45968</v>
      </c>
      <c r="D366" t="inlineStr">
        <is>
          <t>UPPSALA LÄN</t>
        </is>
      </c>
      <c r="E366" t="inlineStr">
        <is>
          <t>UPPSALA</t>
        </is>
      </c>
      <c r="F366" t="inlineStr">
        <is>
          <t>Kyrkan</t>
        </is>
      </c>
      <c r="G366" t="n">
        <v>0.8</v>
      </c>
      <c r="H366" t="n">
        <v>0</v>
      </c>
      <c r="I366" t="n">
        <v>0</v>
      </c>
      <c r="J366" t="n">
        <v>0</v>
      </c>
      <c r="K366" t="n">
        <v>0</v>
      </c>
      <c r="L366" t="n">
        <v>0</v>
      </c>
      <c r="M366" t="n">
        <v>0</v>
      </c>
      <c r="N366" t="n">
        <v>0</v>
      </c>
      <c r="O366" t="n">
        <v>0</v>
      </c>
      <c r="P366" t="n">
        <v>0</v>
      </c>
      <c r="Q366" t="n">
        <v>0</v>
      </c>
      <c r="R366" s="2" t="inlineStr"/>
    </row>
    <row r="367" ht="15" customHeight="1">
      <c r="A367" t="inlineStr">
        <is>
          <t>A 17211-2025</t>
        </is>
      </c>
      <c r="B367" s="1" t="n">
        <v>45756.44024305556</v>
      </c>
      <c r="C367" s="1" t="n">
        <v>45968</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32127-2024</t>
        </is>
      </c>
      <c r="B368" s="1" t="n">
        <v>45511</v>
      </c>
      <c r="C368" s="1" t="n">
        <v>45968</v>
      </c>
      <c r="D368" t="inlineStr">
        <is>
          <t>UPPSALA LÄN</t>
        </is>
      </c>
      <c r="E368" t="inlineStr">
        <is>
          <t>UPPSALA</t>
        </is>
      </c>
      <c r="G368" t="n">
        <v>3.7</v>
      </c>
      <c r="H368" t="n">
        <v>0</v>
      </c>
      <c r="I368" t="n">
        <v>0</v>
      </c>
      <c r="J368" t="n">
        <v>0</v>
      </c>
      <c r="K368" t="n">
        <v>0</v>
      </c>
      <c r="L368" t="n">
        <v>0</v>
      </c>
      <c r="M368" t="n">
        <v>0</v>
      </c>
      <c r="N368" t="n">
        <v>0</v>
      </c>
      <c r="O368" t="n">
        <v>0</v>
      </c>
      <c r="P368" t="n">
        <v>0</v>
      </c>
      <c r="Q368" t="n">
        <v>0</v>
      </c>
      <c r="R368" s="2" t="inlineStr"/>
    </row>
    <row r="369" ht="15" customHeight="1">
      <c r="A369" t="inlineStr">
        <is>
          <t>A 43031-2023</t>
        </is>
      </c>
      <c r="B369" s="1" t="n">
        <v>45182</v>
      </c>
      <c r="C369" s="1" t="n">
        <v>45968</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50473-2023</t>
        </is>
      </c>
      <c r="B370" s="1" t="n">
        <v>45216</v>
      </c>
      <c r="C370" s="1" t="n">
        <v>45968</v>
      </c>
      <c r="D370" t="inlineStr">
        <is>
          <t>UPPSALA LÄN</t>
        </is>
      </c>
      <c r="E370" t="inlineStr">
        <is>
          <t>UPPSALA</t>
        </is>
      </c>
      <c r="F370" t="inlineStr">
        <is>
          <t>Allmännings- och besparingsskogar</t>
        </is>
      </c>
      <c r="G370" t="n">
        <v>7.6</v>
      </c>
      <c r="H370" t="n">
        <v>0</v>
      </c>
      <c r="I370" t="n">
        <v>0</v>
      </c>
      <c r="J370" t="n">
        <v>0</v>
      </c>
      <c r="K370" t="n">
        <v>0</v>
      </c>
      <c r="L370" t="n">
        <v>0</v>
      </c>
      <c r="M370" t="n">
        <v>0</v>
      </c>
      <c r="N370" t="n">
        <v>0</v>
      </c>
      <c r="O370" t="n">
        <v>0</v>
      </c>
      <c r="P370" t="n">
        <v>0</v>
      </c>
      <c r="Q370" t="n">
        <v>0</v>
      </c>
      <c r="R370" s="2" t="inlineStr"/>
    </row>
    <row r="371" ht="15" customHeight="1">
      <c r="A371" t="inlineStr">
        <is>
          <t>A 26696-2025</t>
        </is>
      </c>
      <c r="B371" s="1" t="n">
        <v>45810.44299768518</v>
      </c>
      <c r="C371" s="1" t="n">
        <v>45968</v>
      </c>
      <c r="D371" t="inlineStr">
        <is>
          <t>UPPSALA LÄN</t>
        </is>
      </c>
      <c r="E371" t="inlineStr">
        <is>
          <t>UPPSALA</t>
        </is>
      </c>
      <c r="F371" t="inlineStr">
        <is>
          <t>Bergvik skog öst AB</t>
        </is>
      </c>
      <c r="G371" t="n">
        <v>7.1</v>
      </c>
      <c r="H371" t="n">
        <v>0</v>
      </c>
      <c r="I371" t="n">
        <v>0</v>
      </c>
      <c r="J371" t="n">
        <v>0</v>
      </c>
      <c r="K371" t="n">
        <v>0</v>
      </c>
      <c r="L371" t="n">
        <v>0</v>
      </c>
      <c r="M371" t="n">
        <v>0</v>
      </c>
      <c r="N371" t="n">
        <v>0</v>
      </c>
      <c r="O371" t="n">
        <v>0</v>
      </c>
      <c r="P371" t="n">
        <v>0</v>
      </c>
      <c r="Q371" t="n">
        <v>0</v>
      </c>
      <c r="R371" s="2" t="inlineStr"/>
    </row>
    <row r="372" ht="15" customHeight="1">
      <c r="A372" t="inlineStr">
        <is>
          <t>A 60056-2022</t>
        </is>
      </c>
      <c r="B372" s="1" t="n">
        <v>44909</v>
      </c>
      <c r="C372" s="1" t="n">
        <v>45968</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59133-2022</t>
        </is>
      </c>
      <c r="B373" s="1" t="n">
        <v>44904</v>
      </c>
      <c r="C373" s="1" t="n">
        <v>45968</v>
      </c>
      <c r="D373" t="inlineStr">
        <is>
          <t>UPPSALA LÄN</t>
        </is>
      </c>
      <c r="E373" t="inlineStr">
        <is>
          <t>UPPSALA</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8090-2022</t>
        </is>
      </c>
      <c r="B374" s="1" t="n">
        <v>44608</v>
      </c>
      <c r="C374" s="1" t="n">
        <v>45968</v>
      </c>
      <c r="D374" t="inlineStr">
        <is>
          <t>UPPSALA LÄN</t>
        </is>
      </c>
      <c r="E374" t="inlineStr">
        <is>
          <t>UPPSALA</t>
        </is>
      </c>
      <c r="G374" t="n">
        <v>1.4</v>
      </c>
      <c r="H374" t="n">
        <v>0</v>
      </c>
      <c r="I374" t="n">
        <v>0</v>
      </c>
      <c r="J374" t="n">
        <v>0</v>
      </c>
      <c r="K374" t="n">
        <v>0</v>
      </c>
      <c r="L374" t="n">
        <v>0</v>
      </c>
      <c r="M374" t="n">
        <v>0</v>
      </c>
      <c r="N374" t="n">
        <v>0</v>
      </c>
      <c r="O374" t="n">
        <v>0</v>
      </c>
      <c r="P374" t="n">
        <v>0</v>
      </c>
      <c r="Q374" t="n">
        <v>0</v>
      </c>
      <c r="R374" s="2" t="inlineStr"/>
    </row>
    <row r="375" ht="15" customHeight="1">
      <c r="A375" t="inlineStr">
        <is>
          <t>A 27265-2025</t>
        </is>
      </c>
      <c r="B375" s="1" t="n">
        <v>45812.48032407407</v>
      </c>
      <c r="C375" s="1" t="n">
        <v>45968</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53365-2024</t>
        </is>
      </c>
      <c r="B376" s="1" t="n">
        <v>45614</v>
      </c>
      <c r="C376" s="1" t="n">
        <v>45968</v>
      </c>
      <c r="D376" t="inlineStr">
        <is>
          <t>UPPSALA LÄN</t>
        </is>
      </c>
      <c r="E376" t="inlineStr">
        <is>
          <t>UPPSALA</t>
        </is>
      </c>
      <c r="F376" t="inlineStr">
        <is>
          <t>Allmännings- och besparingsskogar</t>
        </is>
      </c>
      <c r="G376" t="n">
        <v>6.6</v>
      </c>
      <c r="H376" t="n">
        <v>0</v>
      </c>
      <c r="I376" t="n">
        <v>0</v>
      </c>
      <c r="J376" t="n">
        <v>0</v>
      </c>
      <c r="K376" t="n">
        <v>0</v>
      </c>
      <c r="L376" t="n">
        <v>0</v>
      </c>
      <c r="M376" t="n">
        <v>0</v>
      </c>
      <c r="N376" t="n">
        <v>0</v>
      </c>
      <c r="O376" t="n">
        <v>0</v>
      </c>
      <c r="P376" t="n">
        <v>0</v>
      </c>
      <c r="Q376" t="n">
        <v>0</v>
      </c>
      <c r="R376" s="2" t="inlineStr"/>
    </row>
    <row r="377" ht="15" customHeight="1">
      <c r="A377" t="inlineStr">
        <is>
          <t>A 35142-2023</t>
        </is>
      </c>
      <c r="B377" s="1" t="n">
        <v>45145</v>
      </c>
      <c r="C377" s="1" t="n">
        <v>45968</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27538-2025</t>
        </is>
      </c>
      <c r="B378" s="1" t="n">
        <v>45813.46034722222</v>
      </c>
      <c r="C378" s="1" t="n">
        <v>45968</v>
      </c>
      <c r="D378" t="inlineStr">
        <is>
          <t>UPPSALA LÄN</t>
        </is>
      </c>
      <c r="E378" t="inlineStr">
        <is>
          <t>UPPSALA</t>
        </is>
      </c>
      <c r="G378" t="n">
        <v>3.1</v>
      </c>
      <c r="H378" t="n">
        <v>0</v>
      </c>
      <c r="I378" t="n">
        <v>0</v>
      </c>
      <c r="J378" t="n">
        <v>0</v>
      </c>
      <c r="K378" t="n">
        <v>0</v>
      </c>
      <c r="L378" t="n">
        <v>0</v>
      </c>
      <c r="M378" t="n">
        <v>0</v>
      </c>
      <c r="N378" t="n">
        <v>0</v>
      </c>
      <c r="O378" t="n">
        <v>0</v>
      </c>
      <c r="P378" t="n">
        <v>0</v>
      </c>
      <c r="Q378" t="n">
        <v>0</v>
      </c>
      <c r="R378" s="2" t="inlineStr"/>
    </row>
    <row r="379" ht="15" customHeight="1">
      <c r="A379" t="inlineStr">
        <is>
          <t>A 42124-2021</t>
        </is>
      </c>
      <c r="B379" s="1" t="n">
        <v>44426</v>
      </c>
      <c r="C379" s="1" t="n">
        <v>45968</v>
      </c>
      <c r="D379" t="inlineStr">
        <is>
          <t>UPPSALA LÄN</t>
        </is>
      </c>
      <c r="E379" t="inlineStr">
        <is>
          <t>UPPSALA</t>
        </is>
      </c>
      <c r="G379" t="n">
        <v>6.3</v>
      </c>
      <c r="H379" t="n">
        <v>0</v>
      </c>
      <c r="I379" t="n">
        <v>0</v>
      </c>
      <c r="J379" t="n">
        <v>0</v>
      </c>
      <c r="K379" t="n">
        <v>0</v>
      </c>
      <c r="L379" t="n">
        <v>0</v>
      </c>
      <c r="M379" t="n">
        <v>0</v>
      </c>
      <c r="N379" t="n">
        <v>0</v>
      </c>
      <c r="O379" t="n">
        <v>0</v>
      </c>
      <c r="P379" t="n">
        <v>0</v>
      </c>
      <c r="Q379" t="n">
        <v>0</v>
      </c>
      <c r="R379" s="2" t="inlineStr"/>
    </row>
    <row r="380" ht="15" customHeight="1">
      <c r="A380" t="inlineStr">
        <is>
          <t>A 10489-2025</t>
        </is>
      </c>
      <c r="B380" s="1" t="n">
        <v>45721.34715277778</v>
      </c>
      <c r="C380" s="1" t="n">
        <v>45968</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73531-2021</t>
        </is>
      </c>
      <c r="B381" s="1" t="n">
        <v>44551.76711805556</v>
      </c>
      <c r="C381" s="1" t="n">
        <v>45968</v>
      </c>
      <c r="D381" t="inlineStr">
        <is>
          <t>UPPSALA LÄN</t>
        </is>
      </c>
      <c r="E381" t="inlineStr">
        <is>
          <t>UPPSALA</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27917-2025</t>
        </is>
      </c>
      <c r="B382" s="1" t="n">
        <v>45814</v>
      </c>
      <c r="C382" s="1" t="n">
        <v>45968</v>
      </c>
      <c r="D382" t="inlineStr">
        <is>
          <t>UPPSALA LÄN</t>
        </is>
      </c>
      <c r="E382" t="inlineStr">
        <is>
          <t>UPPSALA</t>
        </is>
      </c>
      <c r="G382" t="n">
        <v>4</v>
      </c>
      <c r="H382" t="n">
        <v>0</v>
      </c>
      <c r="I382" t="n">
        <v>0</v>
      </c>
      <c r="J382" t="n">
        <v>0</v>
      </c>
      <c r="K382" t="n">
        <v>0</v>
      </c>
      <c r="L382" t="n">
        <v>0</v>
      </c>
      <c r="M382" t="n">
        <v>0</v>
      </c>
      <c r="N382" t="n">
        <v>0</v>
      </c>
      <c r="O382" t="n">
        <v>0</v>
      </c>
      <c r="P382" t="n">
        <v>0</v>
      </c>
      <c r="Q382" t="n">
        <v>0</v>
      </c>
      <c r="R382" s="2" t="inlineStr"/>
    </row>
    <row r="383" ht="15" customHeight="1">
      <c r="A383" t="inlineStr">
        <is>
          <t>A 39795-2022</t>
        </is>
      </c>
      <c r="B383" s="1" t="n">
        <v>44819.50233796296</v>
      </c>
      <c r="C383" s="1" t="n">
        <v>45968</v>
      </c>
      <c r="D383" t="inlineStr">
        <is>
          <t>UPPSALA LÄN</t>
        </is>
      </c>
      <c r="E383" t="inlineStr">
        <is>
          <t>UPPSALA</t>
        </is>
      </c>
      <c r="F383" t="inlineStr">
        <is>
          <t>Övriga Aktiebolag</t>
        </is>
      </c>
      <c r="G383" t="n">
        <v>3.5</v>
      </c>
      <c r="H383" t="n">
        <v>0</v>
      </c>
      <c r="I383" t="n">
        <v>0</v>
      </c>
      <c r="J383" t="n">
        <v>0</v>
      </c>
      <c r="K383" t="n">
        <v>0</v>
      </c>
      <c r="L383" t="n">
        <v>0</v>
      </c>
      <c r="M383" t="n">
        <v>0</v>
      </c>
      <c r="N383" t="n">
        <v>0</v>
      </c>
      <c r="O383" t="n">
        <v>0</v>
      </c>
      <c r="P383" t="n">
        <v>0</v>
      </c>
      <c r="Q383" t="n">
        <v>0</v>
      </c>
      <c r="R383" s="2" t="inlineStr"/>
    </row>
    <row r="384" ht="15" customHeight="1">
      <c r="A384" t="inlineStr">
        <is>
          <t>A 11409-2025</t>
        </is>
      </c>
      <c r="B384" s="1" t="n">
        <v>45726</v>
      </c>
      <c r="C384" s="1" t="n">
        <v>45968</v>
      </c>
      <c r="D384" t="inlineStr">
        <is>
          <t>UPPSALA LÄN</t>
        </is>
      </c>
      <c r="E384" t="inlineStr">
        <is>
          <t>UPPSALA</t>
        </is>
      </c>
      <c r="G384" t="n">
        <v>0.3</v>
      </c>
      <c r="H384" t="n">
        <v>0</v>
      </c>
      <c r="I384" t="n">
        <v>0</v>
      </c>
      <c r="J384" t="n">
        <v>0</v>
      </c>
      <c r="K384" t="n">
        <v>0</v>
      </c>
      <c r="L384" t="n">
        <v>0</v>
      </c>
      <c r="M384" t="n">
        <v>0</v>
      </c>
      <c r="N384" t="n">
        <v>0</v>
      </c>
      <c r="O384" t="n">
        <v>0</v>
      </c>
      <c r="P384" t="n">
        <v>0</v>
      </c>
      <c r="Q384" t="n">
        <v>0</v>
      </c>
      <c r="R384" s="2" t="inlineStr"/>
    </row>
    <row r="385" ht="15" customHeight="1">
      <c r="A385" t="inlineStr">
        <is>
          <t>A 668-2025</t>
        </is>
      </c>
      <c r="B385" s="1" t="n">
        <v>45664</v>
      </c>
      <c r="C385" s="1" t="n">
        <v>45968</v>
      </c>
      <c r="D385" t="inlineStr">
        <is>
          <t>UPPSALA LÄN</t>
        </is>
      </c>
      <c r="E385" t="inlineStr">
        <is>
          <t>UPPSALA</t>
        </is>
      </c>
      <c r="F385" t="inlineStr">
        <is>
          <t>Bergvik skog öst AB</t>
        </is>
      </c>
      <c r="G385" t="n">
        <v>4.7</v>
      </c>
      <c r="H385" t="n">
        <v>0</v>
      </c>
      <c r="I385" t="n">
        <v>0</v>
      </c>
      <c r="J385" t="n">
        <v>0</v>
      </c>
      <c r="K385" t="n">
        <v>0</v>
      </c>
      <c r="L385" t="n">
        <v>0</v>
      </c>
      <c r="M385" t="n">
        <v>0</v>
      </c>
      <c r="N385" t="n">
        <v>0</v>
      </c>
      <c r="O385" t="n">
        <v>0</v>
      </c>
      <c r="P385" t="n">
        <v>0</v>
      </c>
      <c r="Q385" t="n">
        <v>0</v>
      </c>
      <c r="R385" s="2" t="inlineStr"/>
    </row>
    <row r="386" ht="15" customHeight="1">
      <c r="A386" t="inlineStr">
        <is>
          <t>A 28121-2025</t>
        </is>
      </c>
      <c r="B386" s="1" t="n">
        <v>45817</v>
      </c>
      <c r="C386" s="1" t="n">
        <v>45968</v>
      </c>
      <c r="D386" t="inlineStr">
        <is>
          <t>UPPSALA LÄN</t>
        </is>
      </c>
      <c r="E386" t="inlineStr">
        <is>
          <t>UPPSALA</t>
        </is>
      </c>
      <c r="G386" t="n">
        <v>5.6</v>
      </c>
      <c r="H386" t="n">
        <v>0</v>
      </c>
      <c r="I386" t="n">
        <v>0</v>
      </c>
      <c r="J386" t="n">
        <v>0</v>
      </c>
      <c r="K386" t="n">
        <v>0</v>
      </c>
      <c r="L386" t="n">
        <v>0</v>
      </c>
      <c r="M386" t="n">
        <v>0</v>
      </c>
      <c r="N386" t="n">
        <v>0</v>
      </c>
      <c r="O386" t="n">
        <v>0</v>
      </c>
      <c r="P386" t="n">
        <v>0</v>
      </c>
      <c r="Q386" t="n">
        <v>0</v>
      </c>
      <c r="R386" s="2" t="inlineStr"/>
    </row>
    <row r="387" ht="15" customHeight="1">
      <c r="A387" t="inlineStr">
        <is>
          <t>A 6408-2022</t>
        </is>
      </c>
      <c r="B387" s="1" t="n">
        <v>44600</v>
      </c>
      <c r="C387" s="1" t="n">
        <v>45968</v>
      </c>
      <c r="D387" t="inlineStr">
        <is>
          <t>UPPSALA LÄN</t>
        </is>
      </c>
      <c r="E387" t="inlineStr">
        <is>
          <t>UPPSALA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24098-2024</t>
        </is>
      </c>
      <c r="B388" s="1" t="n">
        <v>45456.59535879629</v>
      </c>
      <c r="C388" s="1" t="n">
        <v>45968</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5722-2025</t>
        </is>
      </c>
      <c r="B389" s="1" t="n">
        <v>45694</v>
      </c>
      <c r="C389" s="1" t="n">
        <v>45968</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37316-2022</t>
        </is>
      </c>
      <c r="B390" s="1" t="n">
        <v>44806</v>
      </c>
      <c r="C390" s="1" t="n">
        <v>45968</v>
      </c>
      <c r="D390" t="inlineStr">
        <is>
          <t>UPPSALA LÄN</t>
        </is>
      </c>
      <c r="E390" t="inlineStr">
        <is>
          <t>UPPSALA</t>
        </is>
      </c>
      <c r="G390" t="n">
        <v>10.6</v>
      </c>
      <c r="H390" t="n">
        <v>0</v>
      </c>
      <c r="I390" t="n">
        <v>0</v>
      </c>
      <c r="J390" t="n">
        <v>0</v>
      </c>
      <c r="K390" t="n">
        <v>0</v>
      </c>
      <c r="L390" t="n">
        <v>0</v>
      </c>
      <c r="M390" t="n">
        <v>0</v>
      </c>
      <c r="N390" t="n">
        <v>0</v>
      </c>
      <c r="O390" t="n">
        <v>0</v>
      </c>
      <c r="P390" t="n">
        <v>0</v>
      </c>
      <c r="Q390" t="n">
        <v>0</v>
      </c>
      <c r="R390" s="2" t="inlineStr"/>
    </row>
    <row r="391" ht="15" customHeight="1">
      <c r="A391" t="inlineStr">
        <is>
          <t>A 54783-2023</t>
        </is>
      </c>
      <c r="B391" s="1" t="n">
        <v>45236.47697916667</v>
      </c>
      <c r="C391" s="1" t="n">
        <v>45968</v>
      </c>
      <c r="D391" t="inlineStr">
        <is>
          <t>UPPSALA LÄN</t>
        </is>
      </c>
      <c r="E391" t="inlineStr">
        <is>
          <t>UPPSALA</t>
        </is>
      </c>
      <c r="G391" t="n">
        <v>2.2</v>
      </c>
      <c r="H391" t="n">
        <v>0</v>
      </c>
      <c r="I391" t="n">
        <v>0</v>
      </c>
      <c r="J391" t="n">
        <v>0</v>
      </c>
      <c r="K391" t="n">
        <v>0</v>
      </c>
      <c r="L391" t="n">
        <v>0</v>
      </c>
      <c r="M391" t="n">
        <v>0</v>
      </c>
      <c r="N391" t="n">
        <v>0</v>
      </c>
      <c r="O391" t="n">
        <v>0</v>
      </c>
      <c r="P391" t="n">
        <v>0</v>
      </c>
      <c r="Q391" t="n">
        <v>0</v>
      </c>
      <c r="R391" s="2" t="inlineStr"/>
    </row>
    <row r="392" ht="15" customHeight="1">
      <c r="A392" t="inlineStr">
        <is>
          <t>A 39148-2022</t>
        </is>
      </c>
      <c r="B392" s="1" t="n">
        <v>44816</v>
      </c>
      <c r="C392" s="1" t="n">
        <v>45968</v>
      </c>
      <c r="D392" t="inlineStr">
        <is>
          <t>UPPSALA LÄN</t>
        </is>
      </c>
      <c r="E392" t="inlineStr">
        <is>
          <t>UPPSALA</t>
        </is>
      </c>
      <c r="F392" t="inlineStr">
        <is>
          <t>Övriga statliga verk och myndigheter</t>
        </is>
      </c>
      <c r="G392" t="n">
        <v>1.7</v>
      </c>
      <c r="H392" t="n">
        <v>0</v>
      </c>
      <c r="I392" t="n">
        <v>0</v>
      </c>
      <c r="J392" t="n">
        <v>0</v>
      </c>
      <c r="K392" t="n">
        <v>0</v>
      </c>
      <c r="L392" t="n">
        <v>0</v>
      </c>
      <c r="M392" t="n">
        <v>0</v>
      </c>
      <c r="N392" t="n">
        <v>0</v>
      </c>
      <c r="O392" t="n">
        <v>0</v>
      </c>
      <c r="P392" t="n">
        <v>0</v>
      </c>
      <c r="Q392" t="n">
        <v>0</v>
      </c>
      <c r="R392" s="2" t="inlineStr"/>
    </row>
    <row r="393" ht="15" customHeight="1">
      <c r="A393" t="inlineStr">
        <is>
          <t>A 5729-2025</t>
        </is>
      </c>
      <c r="B393" s="1" t="n">
        <v>45694.49037037037</v>
      </c>
      <c r="C393" s="1" t="n">
        <v>45968</v>
      </c>
      <c r="D393" t="inlineStr">
        <is>
          <t>UPPSALA LÄN</t>
        </is>
      </c>
      <c r="E393" t="inlineStr">
        <is>
          <t>UPPSALA</t>
        </is>
      </c>
      <c r="G393" t="n">
        <v>1</v>
      </c>
      <c r="H393" t="n">
        <v>0</v>
      </c>
      <c r="I393" t="n">
        <v>0</v>
      </c>
      <c r="J393" t="n">
        <v>0</v>
      </c>
      <c r="K393" t="n">
        <v>0</v>
      </c>
      <c r="L393" t="n">
        <v>0</v>
      </c>
      <c r="M393" t="n">
        <v>0</v>
      </c>
      <c r="N393" t="n">
        <v>0</v>
      </c>
      <c r="O393" t="n">
        <v>0</v>
      </c>
      <c r="P393" t="n">
        <v>0</v>
      </c>
      <c r="Q393" t="n">
        <v>0</v>
      </c>
      <c r="R393" s="2" t="inlineStr"/>
    </row>
    <row r="394" ht="15" customHeight="1">
      <c r="A394" t="inlineStr">
        <is>
          <t>A 6677-2024</t>
        </is>
      </c>
      <c r="B394" s="1" t="n">
        <v>45341</v>
      </c>
      <c r="C394" s="1" t="n">
        <v>45968</v>
      </c>
      <c r="D394" t="inlineStr">
        <is>
          <t>UPPSALA LÄN</t>
        </is>
      </c>
      <c r="E394" t="inlineStr">
        <is>
          <t>UPPSALA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28275-2025</t>
        </is>
      </c>
      <c r="B395" s="1" t="n">
        <v>45818.57910879629</v>
      </c>
      <c r="C395" s="1" t="n">
        <v>45968</v>
      </c>
      <c r="D395" t="inlineStr">
        <is>
          <t>UPPSALA LÄN</t>
        </is>
      </c>
      <c r="E395" t="inlineStr">
        <is>
          <t>UPPSALA</t>
        </is>
      </c>
      <c r="F395" t="inlineStr">
        <is>
          <t>Holmen skog AB</t>
        </is>
      </c>
      <c r="G395" t="n">
        <v>6.5</v>
      </c>
      <c r="H395" t="n">
        <v>0</v>
      </c>
      <c r="I395" t="n">
        <v>0</v>
      </c>
      <c r="J395" t="n">
        <v>0</v>
      </c>
      <c r="K395" t="n">
        <v>0</v>
      </c>
      <c r="L395" t="n">
        <v>0</v>
      </c>
      <c r="M395" t="n">
        <v>0</v>
      </c>
      <c r="N395" t="n">
        <v>0</v>
      </c>
      <c r="O395" t="n">
        <v>0</v>
      </c>
      <c r="P395" t="n">
        <v>0</v>
      </c>
      <c r="Q395" t="n">
        <v>0</v>
      </c>
      <c r="R395" s="2" t="inlineStr"/>
    </row>
    <row r="396" ht="15" customHeight="1">
      <c r="A396" t="inlineStr">
        <is>
          <t>A 6363-2024</t>
        </is>
      </c>
      <c r="B396" s="1" t="n">
        <v>45338.49412037037</v>
      </c>
      <c r="C396" s="1" t="n">
        <v>45968</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27922-2025</t>
        </is>
      </c>
      <c r="B397" s="1" t="n">
        <v>45817</v>
      </c>
      <c r="C397" s="1" t="n">
        <v>45968</v>
      </c>
      <c r="D397" t="inlineStr">
        <is>
          <t>UPPSALA LÄN</t>
        </is>
      </c>
      <c r="E397" t="inlineStr">
        <is>
          <t>UPPSALA</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13526-2023</t>
        </is>
      </c>
      <c r="B398" s="1" t="n">
        <v>45006</v>
      </c>
      <c r="C398" s="1" t="n">
        <v>45968</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47221-2023</t>
        </is>
      </c>
      <c r="B399" s="1" t="n">
        <v>45202</v>
      </c>
      <c r="C399" s="1" t="n">
        <v>45968</v>
      </c>
      <c r="D399" t="inlineStr">
        <is>
          <t>UPPSALA LÄN</t>
        </is>
      </c>
      <c r="E399" t="inlineStr">
        <is>
          <t>UPPSALA</t>
        </is>
      </c>
      <c r="G399" t="n">
        <v>8.6</v>
      </c>
      <c r="H399" t="n">
        <v>0</v>
      </c>
      <c r="I399" t="n">
        <v>0</v>
      </c>
      <c r="J399" t="n">
        <v>0</v>
      </c>
      <c r="K399" t="n">
        <v>0</v>
      </c>
      <c r="L399" t="n">
        <v>0</v>
      </c>
      <c r="M399" t="n">
        <v>0</v>
      </c>
      <c r="N399" t="n">
        <v>0</v>
      </c>
      <c r="O399" t="n">
        <v>0</v>
      </c>
      <c r="P399" t="n">
        <v>0</v>
      </c>
      <c r="Q399" t="n">
        <v>0</v>
      </c>
      <c r="R399" s="2" t="inlineStr"/>
    </row>
    <row r="400" ht="15" customHeight="1">
      <c r="A400" t="inlineStr">
        <is>
          <t>A 54808-2023</t>
        </is>
      </c>
      <c r="B400" s="1" t="n">
        <v>45236</v>
      </c>
      <c r="C400" s="1" t="n">
        <v>45968</v>
      </c>
      <c r="D400" t="inlineStr">
        <is>
          <t>UPPSALA LÄN</t>
        </is>
      </c>
      <c r="E400" t="inlineStr">
        <is>
          <t>UPPSALA</t>
        </is>
      </c>
      <c r="G400" t="n">
        <v>4.1</v>
      </c>
      <c r="H400" t="n">
        <v>0</v>
      </c>
      <c r="I400" t="n">
        <v>0</v>
      </c>
      <c r="J400" t="n">
        <v>0</v>
      </c>
      <c r="K400" t="n">
        <v>0</v>
      </c>
      <c r="L400" t="n">
        <v>0</v>
      </c>
      <c r="M400" t="n">
        <v>0</v>
      </c>
      <c r="N400" t="n">
        <v>0</v>
      </c>
      <c r="O400" t="n">
        <v>0</v>
      </c>
      <c r="P400" t="n">
        <v>0</v>
      </c>
      <c r="Q400" t="n">
        <v>0</v>
      </c>
      <c r="R400" s="2" t="inlineStr"/>
    </row>
    <row r="401" ht="15" customHeight="1">
      <c r="A401" t="inlineStr">
        <is>
          <t>A 27442-2024</t>
        </is>
      </c>
      <c r="B401" s="1" t="n">
        <v>45474.41729166666</v>
      </c>
      <c r="C401" s="1" t="n">
        <v>45968</v>
      </c>
      <c r="D401" t="inlineStr">
        <is>
          <t>UPPSALA LÄN</t>
        </is>
      </c>
      <c r="E401" t="inlineStr">
        <is>
          <t>UPPSALA</t>
        </is>
      </c>
      <c r="F401" t="inlineStr">
        <is>
          <t>Holmen skog AB</t>
        </is>
      </c>
      <c r="G401" t="n">
        <v>2.6</v>
      </c>
      <c r="H401" t="n">
        <v>0</v>
      </c>
      <c r="I401" t="n">
        <v>0</v>
      </c>
      <c r="J401" t="n">
        <v>0</v>
      </c>
      <c r="K401" t="n">
        <v>0</v>
      </c>
      <c r="L401" t="n">
        <v>0</v>
      </c>
      <c r="M401" t="n">
        <v>0</v>
      </c>
      <c r="N401" t="n">
        <v>0</v>
      </c>
      <c r="O401" t="n">
        <v>0</v>
      </c>
      <c r="P401" t="n">
        <v>0</v>
      </c>
      <c r="Q401" t="n">
        <v>0</v>
      </c>
      <c r="R401" s="2" t="inlineStr"/>
    </row>
    <row r="402" ht="15" customHeight="1">
      <c r="A402" t="inlineStr">
        <is>
          <t>A 3040-2023</t>
        </is>
      </c>
      <c r="B402" s="1" t="n">
        <v>44946</v>
      </c>
      <c r="C402" s="1" t="n">
        <v>45968</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54813-2022</t>
        </is>
      </c>
      <c r="B403" s="1" t="n">
        <v>44883</v>
      </c>
      <c r="C403" s="1" t="n">
        <v>45968</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28876-2025</t>
        </is>
      </c>
      <c r="B404" s="1" t="n">
        <v>45820</v>
      </c>
      <c r="C404" s="1" t="n">
        <v>45968</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66983-2021</t>
        </is>
      </c>
      <c r="B405" s="1" t="n">
        <v>44522</v>
      </c>
      <c r="C405" s="1" t="n">
        <v>45968</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28871-2025</t>
        </is>
      </c>
      <c r="B406" s="1" t="n">
        <v>45820</v>
      </c>
      <c r="C406" s="1" t="n">
        <v>45968</v>
      </c>
      <c r="D406" t="inlineStr">
        <is>
          <t>UPPSALA LÄN</t>
        </is>
      </c>
      <c r="E406" t="inlineStr">
        <is>
          <t>UPPSALA</t>
        </is>
      </c>
      <c r="G406" t="n">
        <v>6.5</v>
      </c>
      <c r="H406" t="n">
        <v>0</v>
      </c>
      <c r="I406" t="n">
        <v>0</v>
      </c>
      <c r="J406" t="n">
        <v>0</v>
      </c>
      <c r="K406" t="n">
        <v>0</v>
      </c>
      <c r="L406" t="n">
        <v>0</v>
      </c>
      <c r="M406" t="n">
        <v>0</v>
      </c>
      <c r="N406" t="n">
        <v>0</v>
      </c>
      <c r="O406" t="n">
        <v>0</v>
      </c>
      <c r="P406" t="n">
        <v>0</v>
      </c>
      <c r="Q406" t="n">
        <v>0</v>
      </c>
      <c r="R406" s="2" t="inlineStr"/>
    </row>
    <row r="407" ht="15" customHeight="1">
      <c r="A407" t="inlineStr">
        <is>
          <t>A 28878-2025</t>
        </is>
      </c>
      <c r="B407" s="1" t="n">
        <v>45820</v>
      </c>
      <c r="C407" s="1" t="n">
        <v>45968</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29030-2025</t>
        </is>
      </c>
      <c r="B408" s="1" t="n">
        <v>45821.44101851852</v>
      </c>
      <c r="C408" s="1" t="n">
        <v>45968</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35542-2022</t>
        </is>
      </c>
      <c r="B409" s="1" t="n">
        <v>44799.36695601852</v>
      </c>
      <c r="C409" s="1" t="n">
        <v>45968</v>
      </c>
      <c r="D409" t="inlineStr">
        <is>
          <t>UPPSALA LÄN</t>
        </is>
      </c>
      <c r="E409" t="inlineStr">
        <is>
          <t>UPPSALA</t>
        </is>
      </c>
      <c r="G409" t="n">
        <v>3.2</v>
      </c>
      <c r="H409" t="n">
        <v>0</v>
      </c>
      <c r="I409" t="n">
        <v>0</v>
      </c>
      <c r="J409" t="n">
        <v>0</v>
      </c>
      <c r="K409" t="n">
        <v>0</v>
      </c>
      <c r="L409" t="n">
        <v>0</v>
      </c>
      <c r="M409" t="n">
        <v>0</v>
      </c>
      <c r="N409" t="n">
        <v>0</v>
      </c>
      <c r="O409" t="n">
        <v>0</v>
      </c>
      <c r="P409" t="n">
        <v>0</v>
      </c>
      <c r="Q409" t="n">
        <v>0</v>
      </c>
      <c r="R409" s="2" t="inlineStr"/>
    </row>
    <row r="410" ht="15" customHeight="1">
      <c r="A410" t="inlineStr">
        <is>
          <t>A 5028-2022</t>
        </is>
      </c>
      <c r="B410" s="1" t="n">
        <v>44593.64863425926</v>
      </c>
      <c r="C410" s="1" t="n">
        <v>45968</v>
      </c>
      <c r="D410" t="inlineStr">
        <is>
          <t>UPPSALA LÄN</t>
        </is>
      </c>
      <c r="E410" t="inlineStr">
        <is>
          <t>UPPSALA</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36479-2023</t>
        </is>
      </c>
      <c r="B411" s="1" t="n">
        <v>45152</v>
      </c>
      <c r="C411" s="1" t="n">
        <v>45968</v>
      </c>
      <c r="D411" t="inlineStr">
        <is>
          <t>UPPSALA LÄN</t>
        </is>
      </c>
      <c r="E411" t="inlineStr">
        <is>
          <t>UPPSALA</t>
        </is>
      </c>
      <c r="F411" t="inlineStr">
        <is>
          <t>Allmännings- och besparingsskogar</t>
        </is>
      </c>
      <c r="G411" t="n">
        <v>3.4</v>
      </c>
      <c r="H411" t="n">
        <v>0</v>
      </c>
      <c r="I411" t="n">
        <v>0</v>
      </c>
      <c r="J411" t="n">
        <v>0</v>
      </c>
      <c r="K411" t="n">
        <v>0</v>
      </c>
      <c r="L411" t="n">
        <v>0</v>
      </c>
      <c r="M411" t="n">
        <v>0</v>
      </c>
      <c r="N411" t="n">
        <v>0</v>
      </c>
      <c r="O411" t="n">
        <v>0</v>
      </c>
      <c r="P411" t="n">
        <v>0</v>
      </c>
      <c r="Q411" t="n">
        <v>0</v>
      </c>
      <c r="R411" s="2" t="inlineStr"/>
    </row>
    <row r="412" ht="15" customHeight="1">
      <c r="A412" t="inlineStr">
        <is>
          <t>A 600-2024</t>
        </is>
      </c>
      <c r="B412" s="1" t="n">
        <v>45299</v>
      </c>
      <c r="C412" s="1" t="n">
        <v>45968</v>
      </c>
      <c r="D412" t="inlineStr">
        <is>
          <t>UPPSALA LÄN</t>
        </is>
      </c>
      <c r="E412" t="inlineStr">
        <is>
          <t>UPPSALA</t>
        </is>
      </c>
      <c r="G412" t="n">
        <v>0.6</v>
      </c>
      <c r="H412" t="n">
        <v>0</v>
      </c>
      <c r="I412" t="n">
        <v>0</v>
      </c>
      <c r="J412" t="n">
        <v>0</v>
      </c>
      <c r="K412" t="n">
        <v>0</v>
      </c>
      <c r="L412" t="n">
        <v>0</v>
      </c>
      <c r="M412" t="n">
        <v>0</v>
      </c>
      <c r="N412" t="n">
        <v>0</v>
      </c>
      <c r="O412" t="n">
        <v>0</v>
      </c>
      <c r="P412" t="n">
        <v>0</v>
      </c>
      <c r="Q412" t="n">
        <v>0</v>
      </c>
      <c r="R412" s="2" t="inlineStr"/>
    </row>
    <row r="413" ht="15" customHeight="1">
      <c r="A413" t="inlineStr">
        <is>
          <t>A 37819-2021</t>
        </is>
      </c>
      <c r="B413" s="1" t="n">
        <v>44403.29719907408</v>
      </c>
      <c r="C413" s="1" t="n">
        <v>45968</v>
      </c>
      <c r="D413" t="inlineStr">
        <is>
          <t>UPPSALA LÄN</t>
        </is>
      </c>
      <c r="E413" t="inlineStr">
        <is>
          <t>UPPSALA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47316-2023</t>
        </is>
      </c>
      <c r="B414" s="1" t="n">
        <v>45202.4997337963</v>
      </c>
      <c r="C414" s="1" t="n">
        <v>45968</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29287-2025</t>
        </is>
      </c>
      <c r="B415" s="1" t="n">
        <v>45824.43798611111</v>
      </c>
      <c r="C415" s="1" t="n">
        <v>45968</v>
      </c>
      <c r="D415" t="inlineStr">
        <is>
          <t>UPPSALA LÄN</t>
        </is>
      </c>
      <c r="E415" t="inlineStr">
        <is>
          <t>UPPSALA</t>
        </is>
      </c>
      <c r="F415" t="inlineStr">
        <is>
          <t>Kyrkan</t>
        </is>
      </c>
      <c r="G415" t="n">
        <v>5.2</v>
      </c>
      <c r="H415" t="n">
        <v>0</v>
      </c>
      <c r="I415" t="n">
        <v>0</v>
      </c>
      <c r="J415" t="n">
        <v>0</v>
      </c>
      <c r="K415" t="n">
        <v>0</v>
      </c>
      <c r="L415" t="n">
        <v>0</v>
      </c>
      <c r="M415" t="n">
        <v>0</v>
      </c>
      <c r="N415" t="n">
        <v>0</v>
      </c>
      <c r="O415" t="n">
        <v>0</v>
      </c>
      <c r="P415" t="n">
        <v>0</v>
      </c>
      <c r="Q415" t="n">
        <v>0</v>
      </c>
      <c r="R415" s="2" t="inlineStr"/>
    </row>
    <row r="416" ht="15" customHeight="1">
      <c r="A416" t="inlineStr">
        <is>
          <t>A 6851-2022</t>
        </is>
      </c>
      <c r="B416" s="1" t="n">
        <v>44602</v>
      </c>
      <c r="C416" s="1" t="n">
        <v>45968</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60003-2024</t>
        </is>
      </c>
      <c r="B417" s="1" t="n">
        <v>45642</v>
      </c>
      <c r="C417" s="1" t="n">
        <v>45968</v>
      </c>
      <c r="D417" t="inlineStr">
        <is>
          <t>UPPSALA LÄN</t>
        </is>
      </c>
      <c r="E417" t="inlineStr">
        <is>
          <t>UPPSALA</t>
        </is>
      </c>
      <c r="F417" t="inlineStr">
        <is>
          <t>Bergvik skog väst AB</t>
        </is>
      </c>
      <c r="G417" t="n">
        <v>14.5</v>
      </c>
      <c r="H417" t="n">
        <v>0</v>
      </c>
      <c r="I417" t="n">
        <v>0</v>
      </c>
      <c r="J417" t="n">
        <v>0</v>
      </c>
      <c r="K417" t="n">
        <v>0</v>
      </c>
      <c r="L417" t="n">
        <v>0</v>
      </c>
      <c r="M417" t="n">
        <v>0</v>
      </c>
      <c r="N417" t="n">
        <v>0</v>
      </c>
      <c r="O417" t="n">
        <v>0</v>
      </c>
      <c r="P417" t="n">
        <v>0</v>
      </c>
      <c r="Q417" t="n">
        <v>0</v>
      </c>
      <c r="R417" s="2" t="inlineStr"/>
    </row>
    <row r="418" ht="15" customHeight="1">
      <c r="A418" t="inlineStr">
        <is>
          <t>A 39107-2023</t>
        </is>
      </c>
      <c r="B418" s="1" t="n">
        <v>45164.82913194445</v>
      </c>
      <c r="C418" s="1" t="n">
        <v>45968</v>
      </c>
      <c r="D418" t="inlineStr">
        <is>
          <t>UPPSALA LÄN</t>
        </is>
      </c>
      <c r="E418" t="inlineStr">
        <is>
          <t>UPPSALA</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29627-2025</t>
        </is>
      </c>
      <c r="B419" s="1" t="n">
        <v>45825.44482638889</v>
      </c>
      <c r="C419" s="1" t="n">
        <v>45968</v>
      </c>
      <c r="D419" t="inlineStr">
        <is>
          <t>UPPSALA LÄN</t>
        </is>
      </c>
      <c r="E419" t="inlineStr">
        <is>
          <t>UPPSALA</t>
        </is>
      </c>
      <c r="F419" t="inlineStr">
        <is>
          <t>Kommuner</t>
        </is>
      </c>
      <c r="G419" t="n">
        <v>1.6</v>
      </c>
      <c r="H419" t="n">
        <v>0</v>
      </c>
      <c r="I419" t="n">
        <v>0</v>
      </c>
      <c r="J419" t="n">
        <v>0</v>
      </c>
      <c r="K419" t="n">
        <v>0</v>
      </c>
      <c r="L419" t="n">
        <v>0</v>
      </c>
      <c r="M419" t="n">
        <v>0</v>
      </c>
      <c r="N419" t="n">
        <v>0</v>
      </c>
      <c r="O419" t="n">
        <v>0</v>
      </c>
      <c r="P419" t="n">
        <v>0</v>
      </c>
      <c r="Q419" t="n">
        <v>0</v>
      </c>
      <c r="R419" s="2" t="inlineStr"/>
    </row>
    <row r="420" ht="15" customHeight="1">
      <c r="A420" t="inlineStr">
        <is>
          <t>A 29047-2025</t>
        </is>
      </c>
      <c r="B420" s="1" t="n">
        <v>45821.45905092593</v>
      </c>
      <c r="C420" s="1" t="n">
        <v>45968</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1838-2024</t>
        </is>
      </c>
      <c r="B421" s="1" t="n">
        <v>45307</v>
      </c>
      <c r="C421" s="1" t="n">
        <v>45968</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8109-2024</t>
        </is>
      </c>
      <c r="B422" s="1" t="n">
        <v>45351.48662037037</v>
      </c>
      <c r="C422" s="1" t="n">
        <v>45968</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11744-2023</t>
        </is>
      </c>
      <c r="B423" s="1" t="n">
        <v>44993</v>
      </c>
      <c r="C423" s="1" t="n">
        <v>45968</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30437-2025</t>
        </is>
      </c>
      <c r="B424" s="1" t="n">
        <v>45827.64092592592</v>
      </c>
      <c r="C424" s="1" t="n">
        <v>45968</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11201-2024</t>
        </is>
      </c>
      <c r="B425" s="1" t="n">
        <v>45371</v>
      </c>
      <c r="C425" s="1" t="n">
        <v>45968</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30282-2025</t>
        </is>
      </c>
      <c r="B426" s="1" t="n">
        <v>45827.46288194445</v>
      </c>
      <c r="C426" s="1" t="n">
        <v>45968</v>
      </c>
      <c r="D426" t="inlineStr">
        <is>
          <t>UPPSALA LÄN</t>
        </is>
      </c>
      <c r="E426" t="inlineStr">
        <is>
          <t>UPPSALA</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48564-2023</t>
        </is>
      </c>
      <c r="B427" s="1" t="n">
        <v>45208.4350462963</v>
      </c>
      <c r="C427" s="1" t="n">
        <v>45968</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21727-2023</t>
        </is>
      </c>
      <c r="B428" s="1" t="n">
        <v>45065.43013888889</v>
      </c>
      <c r="C428" s="1" t="n">
        <v>45968</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18668-2024</t>
        </is>
      </c>
      <c r="B429" s="1" t="n">
        <v>45426.34148148148</v>
      </c>
      <c r="C429" s="1" t="n">
        <v>45968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30429-2025</t>
        </is>
      </c>
      <c r="B430" s="1" t="n">
        <v>45827.62096064815</v>
      </c>
      <c r="C430" s="1" t="n">
        <v>45968</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30567-2025</t>
        </is>
      </c>
      <c r="B431" s="1" t="n">
        <v>45831.40671296296</v>
      </c>
      <c r="C431" s="1" t="n">
        <v>45968</v>
      </c>
      <c r="D431" t="inlineStr">
        <is>
          <t>UPPSALA LÄN</t>
        </is>
      </c>
      <c r="E431" t="inlineStr">
        <is>
          <t>UPPSALA</t>
        </is>
      </c>
      <c r="G431" t="n">
        <v>1.1</v>
      </c>
      <c r="H431" t="n">
        <v>0</v>
      </c>
      <c r="I431" t="n">
        <v>0</v>
      </c>
      <c r="J431" t="n">
        <v>0</v>
      </c>
      <c r="K431" t="n">
        <v>0</v>
      </c>
      <c r="L431" t="n">
        <v>0</v>
      </c>
      <c r="M431" t="n">
        <v>0</v>
      </c>
      <c r="N431" t="n">
        <v>0</v>
      </c>
      <c r="O431" t="n">
        <v>0</v>
      </c>
      <c r="P431" t="n">
        <v>0</v>
      </c>
      <c r="Q431" t="n">
        <v>0</v>
      </c>
      <c r="R431" s="2" t="inlineStr"/>
    </row>
    <row r="432" ht="15" customHeight="1">
      <c r="A432" t="inlineStr">
        <is>
          <t>A 32276-2021</t>
        </is>
      </c>
      <c r="B432" s="1" t="n">
        <v>44371.49178240741</v>
      </c>
      <c r="C432" s="1" t="n">
        <v>45968</v>
      </c>
      <c r="D432" t="inlineStr">
        <is>
          <t>UPPSALA LÄN</t>
        </is>
      </c>
      <c r="E432" t="inlineStr">
        <is>
          <t>UPPSALA</t>
        </is>
      </c>
      <c r="G432" t="n">
        <v>3.7</v>
      </c>
      <c r="H432" t="n">
        <v>0</v>
      </c>
      <c r="I432" t="n">
        <v>0</v>
      </c>
      <c r="J432" t="n">
        <v>0</v>
      </c>
      <c r="K432" t="n">
        <v>0</v>
      </c>
      <c r="L432" t="n">
        <v>0</v>
      </c>
      <c r="M432" t="n">
        <v>0</v>
      </c>
      <c r="N432" t="n">
        <v>0</v>
      </c>
      <c r="O432" t="n">
        <v>0</v>
      </c>
      <c r="P432" t="n">
        <v>0</v>
      </c>
      <c r="Q432" t="n">
        <v>0</v>
      </c>
      <c r="R432" s="2" t="inlineStr"/>
    </row>
    <row r="433" ht="15" customHeight="1">
      <c r="A433" t="inlineStr">
        <is>
          <t>A 11103-2025</t>
        </is>
      </c>
      <c r="B433" s="1" t="n">
        <v>45723</v>
      </c>
      <c r="C433" s="1" t="n">
        <v>45968</v>
      </c>
      <c r="D433" t="inlineStr">
        <is>
          <t>UPPSALA LÄN</t>
        </is>
      </c>
      <c r="E433" t="inlineStr">
        <is>
          <t>UPPSALA</t>
        </is>
      </c>
      <c r="G433" t="n">
        <v>7.9</v>
      </c>
      <c r="H433" t="n">
        <v>0</v>
      </c>
      <c r="I433" t="n">
        <v>0</v>
      </c>
      <c r="J433" t="n">
        <v>0</v>
      </c>
      <c r="K433" t="n">
        <v>0</v>
      </c>
      <c r="L433" t="n">
        <v>0</v>
      </c>
      <c r="M433" t="n">
        <v>0</v>
      </c>
      <c r="N433" t="n">
        <v>0</v>
      </c>
      <c r="O433" t="n">
        <v>0</v>
      </c>
      <c r="P433" t="n">
        <v>0</v>
      </c>
      <c r="Q433" t="n">
        <v>0</v>
      </c>
      <c r="R433" s="2" t="inlineStr"/>
    </row>
    <row r="434" ht="15" customHeight="1">
      <c r="A434" t="inlineStr">
        <is>
          <t>A 29145-2021</t>
        </is>
      </c>
      <c r="B434" s="1" t="n">
        <v>44358.63490740741</v>
      </c>
      <c r="C434" s="1" t="n">
        <v>45968</v>
      </c>
      <c r="D434" t="inlineStr">
        <is>
          <t>UPPSALA LÄN</t>
        </is>
      </c>
      <c r="E434" t="inlineStr">
        <is>
          <t>UPPSALA</t>
        </is>
      </c>
      <c r="G434" t="n">
        <v>2.4</v>
      </c>
      <c r="H434" t="n">
        <v>0</v>
      </c>
      <c r="I434" t="n">
        <v>0</v>
      </c>
      <c r="J434" t="n">
        <v>0</v>
      </c>
      <c r="K434" t="n">
        <v>0</v>
      </c>
      <c r="L434" t="n">
        <v>0</v>
      </c>
      <c r="M434" t="n">
        <v>0</v>
      </c>
      <c r="N434" t="n">
        <v>0</v>
      </c>
      <c r="O434" t="n">
        <v>0</v>
      </c>
      <c r="P434" t="n">
        <v>0</v>
      </c>
      <c r="Q434" t="n">
        <v>0</v>
      </c>
      <c r="R434" s="2" t="inlineStr"/>
    </row>
    <row r="435" ht="15" customHeight="1">
      <c r="A435" t="inlineStr">
        <is>
          <t>A 6549-2025</t>
        </is>
      </c>
      <c r="B435" s="1" t="n">
        <v>45699</v>
      </c>
      <c r="C435" s="1" t="n">
        <v>45968</v>
      </c>
      <c r="D435" t="inlineStr">
        <is>
          <t>UPPSALA LÄN</t>
        </is>
      </c>
      <c r="E435" t="inlineStr">
        <is>
          <t>UPPSALA</t>
        </is>
      </c>
      <c r="G435" t="n">
        <v>2.4</v>
      </c>
      <c r="H435" t="n">
        <v>0</v>
      </c>
      <c r="I435" t="n">
        <v>0</v>
      </c>
      <c r="J435" t="n">
        <v>0</v>
      </c>
      <c r="K435" t="n">
        <v>0</v>
      </c>
      <c r="L435" t="n">
        <v>0</v>
      </c>
      <c r="M435" t="n">
        <v>0</v>
      </c>
      <c r="N435" t="n">
        <v>0</v>
      </c>
      <c r="O435" t="n">
        <v>0</v>
      </c>
      <c r="P435" t="n">
        <v>0</v>
      </c>
      <c r="Q435" t="n">
        <v>0</v>
      </c>
      <c r="R435" s="2" t="inlineStr"/>
    </row>
    <row r="436" ht="15" customHeight="1">
      <c r="A436" t="inlineStr">
        <is>
          <t>A 6999-2023</t>
        </is>
      </c>
      <c r="B436" s="1" t="n">
        <v>44967.80034722222</v>
      </c>
      <c r="C436" s="1" t="n">
        <v>45968</v>
      </c>
      <c r="D436" t="inlineStr">
        <is>
          <t>UPPSALA LÄN</t>
        </is>
      </c>
      <c r="E436" t="inlineStr">
        <is>
          <t>UPPSALA</t>
        </is>
      </c>
      <c r="G436" t="n">
        <v>1</v>
      </c>
      <c r="H436" t="n">
        <v>0</v>
      </c>
      <c r="I436" t="n">
        <v>0</v>
      </c>
      <c r="J436" t="n">
        <v>0</v>
      </c>
      <c r="K436" t="n">
        <v>0</v>
      </c>
      <c r="L436" t="n">
        <v>0</v>
      </c>
      <c r="M436" t="n">
        <v>0</v>
      </c>
      <c r="N436" t="n">
        <v>0</v>
      </c>
      <c r="O436" t="n">
        <v>0</v>
      </c>
      <c r="P436" t="n">
        <v>0</v>
      </c>
      <c r="Q436" t="n">
        <v>0</v>
      </c>
      <c r="R436" s="2" t="inlineStr"/>
    </row>
    <row r="437" ht="15" customHeight="1">
      <c r="A437" t="inlineStr">
        <is>
          <t>A 7002-2023</t>
        </is>
      </c>
      <c r="B437" s="1" t="n">
        <v>44967</v>
      </c>
      <c r="C437" s="1" t="n">
        <v>45968</v>
      </c>
      <c r="D437" t="inlineStr">
        <is>
          <t>UPPSALA LÄN</t>
        </is>
      </c>
      <c r="E437" t="inlineStr">
        <is>
          <t>UPPSALA</t>
        </is>
      </c>
      <c r="G437" t="n">
        <v>5</v>
      </c>
      <c r="H437" t="n">
        <v>0</v>
      </c>
      <c r="I437" t="n">
        <v>0</v>
      </c>
      <c r="J437" t="n">
        <v>0</v>
      </c>
      <c r="K437" t="n">
        <v>0</v>
      </c>
      <c r="L437" t="n">
        <v>0</v>
      </c>
      <c r="M437" t="n">
        <v>0</v>
      </c>
      <c r="N437" t="n">
        <v>0</v>
      </c>
      <c r="O437" t="n">
        <v>0</v>
      </c>
      <c r="P437" t="n">
        <v>0</v>
      </c>
      <c r="Q437" t="n">
        <v>0</v>
      </c>
      <c r="R437" s="2" t="inlineStr"/>
    </row>
    <row r="438" ht="15" customHeight="1">
      <c r="A438" t="inlineStr">
        <is>
          <t>A 8132-2024</t>
        </is>
      </c>
      <c r="B438" s="1" t="n">
        <v>45351.54596064815</v>
      </c>
      <c r="C438" s="1" t="n">
        <v>45968</v>
      </c>
      <c r="D438" t="inlineStr">
        <is>
          <t>UPPSALA LÄN</t>
        </is>
      </c>
      <c r="E438" t="inlineStr">
        <is>
          <t>UPPSALA</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59719-2022</t>
        </is>
      </c>
      <c r="B439" s="1" t="n">
        <v>44908.425625</v>
      </c>
      <c r="C439" s="1" t="n">
        <v>45968</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30838-2025</t>
        </is>
      </c>
      <c r="B440" s="1" t="n">
        <v>45831.72686342592</v>
      </c>
      <c r="C440" s="1" t="n">
        <v>45968</v>
      </c>
      <c r="D440" t="inlineStr">
        <is>
          <t>UPPSALA LÄN</t>
        </is>
      </c>
      <c r="E440" t="inlineStr">
        <is>
          <t>UPPSALA</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38934-2023</t>
        </is>
      </c>
      <c r="B441" s="1" t="n">
        <v>45163.59913194444</v>
      </c>
      <c r="C441" s="1" t="n">
        <v>45968</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30839-2025</t>
        </is>
      </c>
      <c r="B442" s="1" t="n">
        <v>45831.73</v>
      </c>
      <c r="C442" s="1" t="n">
        <v>45968</v>
      </c>
      <c r="D442" t="inlineStr">
        <is>
          <t>UPPSALA LÄN</t>
        </is>
      </c>
      <c r="E442" t="inlineStr">
        <is>
          <t>UPPSALA</t>
        </is>
      </c>
      <c r="F442" t="inlineStr">
        <is>
          <t>Kyrkan</t>
        </is>
      </c>
      <c r="G442" t="n">
        <v>2.2</v>
      </c>
      <c r="H442" t="n">
        <v>0</v>
      </c>
      <c r="I442" t="n">
        <v>0</v>
      </c>
      <c r="J442" t="n">
        <v>0</v>
      </c>
      <c r="K442" t="n">
        <v>0</v>
      </c>
      <c r="L442" t="n">
        <v>0</v>
      </c>
      <c r="M442" t="n">
        <v>0</v>
      </c>
      <c r="N442" t="n">
        <v>0</v>
      </c>
      <c r="O442" t="n">
        <v>0</v>
      </c>
      <c r="P442" t="n">
        <v>0</v>
      </c>
      <c r="Q442" t="n">
        <v>0</v>
      </c>
      <c r="R442" s="2" t="inlineStr"/>
    </row>
    <row r="443" ht="15" customHeight="1">
      <c r="A443" t="inlineStr">
        <is>
          <t>A 30585-2025</t>
        </is>
      </c>
      <c r="B443" s="1" t="n">
        <v>45831.42616898148</v>
      </c>
      <c r="C443" s="1" t="n">
        <v>45968</v>
      </c>
      <c r="D443" t="inlineStr">
        <is>
          <t>UPPSALA LÄN</t>
        </is>
      </c>
      <c r="E443" t="inlineStr">
        <is>
          <t>UPPSALA</t>
        </is>
      </c>
      <c r="G443" t="n">
        <v>0.5</v>
      </c>
      <c r="H443" t="n">
        <v>0</v>
      </c>
      <c r="I443" t="n">
        <v>0</v>
      </c>
      <c r="J443" t="n">
        <v>0</v>
      </c>
      <c r="K443" t="n">
        <v>0</v>
      </c>
      <c r="L443" t="n">
        <v>0</v>
      </c>
      <c r="M443" t="n">
        <v>0</v>
      </c>
      <c r="N443" t="n">
        <v>0</v>
      </c>
      <c r="O443" t="n">
        <v>0</v>
      </c>
      <c r="P443" t="n">
        <v>0</v>
      </c>
      <c r="Q443" t="n">
        <v>0</v>
      </c>
      <c r="R443" s="2" t="inlineStr"/>
    </row>
    <row r="444" ht="15" customHeight="1">
      <c r="A444" t="inlineStr">
        <is>
          <t>A 42681-2023</t>
        </is>
      </c>
      <c r="B444" s="1" t="n">
        <v>45181.58055555556</v>
      </c>
      <c r="C444" s="1" t="n">
        <v>45968</v>
      </c>
      <c r="D444" t="inlineStr">
        <is>
          <t>UPPSALA LÄN</t>
        </is>
      </c>
      <c r="E444" t="inlineStr">
        <is>
          <t>UPPSALA</t>
        </is>
      </c>
      <c r="F444" t="inlineStr">
        <is>
          <t>Bergvik skog öst AB</t>
        </is>
      </c>
      <c r="G444" t="n">
        <v>3.1</v>
      </c>
      <c r="H444" t="n">
        <v>0</v>
      </c>
      <c r="I444" t="n">
        <v>0</v>
      </c>
      <c r="J444" t="n">
        <v>0</v>
      </c>
      <c r="K444" t="n">
        <v>0</v>
      </c>
      <c r="L444" t="n">
        <v>0</v>
      </c>
      <c r="M444" t="n">
        <v>0</v>
      </c>
      <c r="N444" t="n">
        <v>0</v>
      </c>
      <c r="O444" t="n">
        <v>0</v>
      </c>
      <c r="P444" t="n">
        <v>0</v>
      </c>
      <c r="Q444" t="n">
        <v>0</v>
      </c>
      <c r="R444" s="2" t="inlineStr"/>
    </row>
    <row r="445" ht="15" customHeight="1">
      <c r="A445" t="inlineStr">
        <is>
          <t>A 57871-2024</t>
        </is>
      </c>
      <c r="B445" s="1" t="n">
        <v>45631.44464120371</v>
      </c>
      <c r="C445" s="1" t="n">
        <v>45968</v>
      </c>
      <c r="D445" t="inlineStr">
        <is>
          <t>UPPSALA LÄN</t>
        </is>
      </c>
      <c r="E445" t="inlineStr">
        <is>
          <t>UPPSALA</t>
        </is>
      </c>
      <c r="G445" t="n">
        <v>2.9</v>
      </c>
      <c r="H445" t="n">
        <v>0</v>
      </c>
      <c r="I445" t="n">
        <v>0</v>
      </c>
      <c r="J445" t="n">
        <v>0</v>
      </c>
      <c r="K445" t="n">
        <v>0</v>
      </c>
      <c r="L445" t="n">
        <v>0</v>
      </c>
      <c r="M445" t="n">
        <v>0</v>
      </c>
      <c r="N445" t="n">
        <v>0</v>
      </c>
      <c r="O445" t="n">
        <v>0</v>
      </c>
      <c r="P445" t="n">
        <v>0</v>
      </c>
      <c r="Q445" t="n">
        <v>0</v>
      </c>
      <c r="R445" s="2" t="inlineStr"/>
    </row>
    <row r="446" ht="15" customHeight="1">
      <c r="A446" t="inlineStr">
        <is>
          <t>A 30897-2025</t>
        </is>
      </c>
      <c r="B446" s="1" t="n">
        <v>45832.35545138889</v>
      </c>
      <c r="C446" s="1" t="n">
        <v>45968</v>
      </c>
      <c r="D446" t="inlineStr">
        <is>
          <t>UPPSALA LÄN</t>
        </is>
      </c>
      <c r="E446" t="inlineStr">
        <is>
          <t>UPPSALA</t>
        </is>
      </c>
      <c r="F446" t="inlineStr">
        <is>
          <t>Kyrkan</t>
        </is>
      </c>
      <c r="G446" t="n">
        <v>2.8</v>
      </c>
      <c r="H446" t="n">
        <v>0</v>
      </c>
      <c r="I446" t="n">
        <v>0</v>
      </c>
      <c r="J446" t="n">
        <v>0</v>
      </c>
      <c r="K446" t="n">
        <v>0</v>
      </c>
      <c r="L446" t="n">
        <v>0</v>
      </c>
      <c r="M446" t="n">
        <v>0</v>
      </c>
      <c r="N446" t="n">
        <v>0</v>
      </c>
      <c r="O446" t="n">
        <v>0</v>
      </c>
      <c r="P446" t="n">
        <v>0</v>
      </c>
      <c r="Q446" t="n">
        <v>0</v>
      </c>
      <c r="R446" s="2" t="inlineStr"/>
    </row>
    <row r="447" ht="15" customHeight="1">
      <c r="A447" t="inlineStr">
        <is>
          <t>A 33941-2023</t>
        </is>
      </c>
      <c r="B447" s="1" t="n">
        <v>45134.57021990741</v>
      </c>
      <c r="C447" s="1" t="n">
        <v>45968</v>
      </c>
      <c r="D447" t="inlineStr">
        <is>
          <t>UPPSALA LÄN</t>
        </is>
      </c>
      <c r="E447" t="inlineStr">
        <is>
          <t>UPPSALA</t>
        </is>
      </c>
      <c r="F447" t="inlineStr">
        <is>
          <t>Holmen skog AB</t>
        </is>
      </c>
      <c r="G447" t="n">
        <v>0.6</v>
      </c>
      <c r="H447" t="n">
        <v>0</v>
      </c>
      <c r="I447" t="n">
        <v>0</v>
      </c>
      <c r="J447" t="n">
        <v>0</v>
      </c>
      <c r="K447" t="n">
        <v>0</v>
      </c>
      <c r="L447" t="n">
        <v>0</v>
      </c>
      <c r="M447" t="n">
        <v>0</v>
      </c>
      <c r="N447" t="n">
        <v>0</v>
      </c>
      <c r="O447" t="n">
        <v>0</v>
      </c>
      <c r="P447" t="n">
        <v>0</v>
      </c>
      <c r="Q447" t="n">
        <v>0</v>
      </c>
      <c r="R447" s="2" t="inlineStr"/>
    </row>
    <row r="448" ht="15" customHeight="1">
      <c r="A448" t="inlineStr">
        <is>
          <t>A 62471-2021</t>
        </is>
      </c>
      <c r="B448" s="1" t="n">
        <v>44503</v>
      </c>
      <c r="C448" s="1" t="n">
        <v>45968</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30898-2025</t>
        </is>
      </c>
      <c r="B449" s="1" t="n">
        <v>45832.35590277778</v>
      </c>
      <c r="C449" s="1" t="n">
        <v>45968</v>
      </c>
      <c r="D449" t="inlineStr">
        <is>
          <t>UPPSALA LÄN</t>
        </is>
      </c>
      <c r="E449" t="inlineStr">
        <is>
          <t>UPPSALA</t>
        </is>
      </c>
      <c r="F449" t="inlineStr">
        <is>
          <t>Kyrkan</t>
        </is>
      </c>
      <c r="G449" t="n">
        <v>2.8</v>
      </c>
      <c r="H449" t="n">
        <v>0</v>
      </c>
      <c r="I449" t="n">
        <v>0</v>
      </c>
      <c r="J449" t="n">
        <v>0</v>
      </c>
      <c r="K449" t="n">
        <v>0</v>
      </c>
      <c r="L449" t="n">
        <v>0</v>
      </c>
      <c r="M449" t="n">
        <v>0</v>
      </c>
      <c r="N449" t="n">
        <v>0</v>
      </c>
      <c r="O449" t="n">
        <v>0</v>
      </c>
      <c r="P449" t="n">
        <v>0</v>
      </c>
      <c r="Q449" t="n">
        <v>0</v>
      </c>
      <c r="R449" s="2" t="inlineStr"/>
    </row>
    <row r="450" ht="15" customHeight="1">
      <c r="A450" t="inlineStr">
        <is>
          <t>A 50954-2022</t>
        </is>
      </c>
      <c r="B450" s="1" t="n">
        <v>44866</v>
      </c>
      <c r="C450" s="1" t="n">
        <v>45968</v>
      </c>
      <c r="D450" t="inlineStr">
        <is>
          <t>UPPSALA LÄN</t>
        </is>
      </c>
      <c r="E450" t="inlineStr">
        <is>
          <t>UPPSALA</t>
        </is>
      </c>
      <c r="G450" t="n">
        <v>0.6</v>
      </c>
      <c r="H450" t="n">
        <v>0</v>
      </c>
      <c r="I450" t="n">
        <v>0</v>
      </c>
      <c r="J450" t="n">
        <v>0</v>
      </c>
      <c r="K450" t="n">
        <v>0</v>
      </c>
      <c r="L450" t="n">
        <v>0</v>
      </c>
      <c r="M450" t="n">
        <v>0</v>
      </c>
      <c r="N450" t="n">
        <v>0</v>
      </c>
      <c r="O450" t="n">
        <v>0</v>
      </c>
      <c r="P450" t="n">
        <v>0</v>
      </c>
      <c r="Q450" t="n">
        <v>0</v>
      </c>
      <c r="R450" s="2" t="inlineStr"/>
    </row>
    <row r="451" ht="15" customHeight="1">
      <c r="A451" t="inlineStr">
        <is>
          <t>A 36392-2023</t>
        </is>
      </c>
      <c r="B451" s="1" t="n">
        <v>45152</v>
      </c>
      <c r="C451" s="1" t="n">
        <v>45968</v>
      </c>
      <c r="D451" t="inlineStr">
        <is>
          <t>UPPSALA LÄN</t>
        </is>
      </c>
      <c r="E451" t="inlineStr">
        <is>
          <t>UPPSALA</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12606-2023</t>
        </is>
      </c>
      <c r="B452" s="1" t="n">
        <v>45000.44666666666</v>
      </c>
      <c r="C452" s="1" t="n">
        <v>45968</v>
      </c>
      <c r="D452" t="inlineStr">
        <is>
          <t>UPPSALA LÄN</t>
        </is>
      </c>
      <c r="E452" t="inlineStr">
        <is>
          <t>UPPSALA</t>
        </is>
      </c>
      <c r="G452" t="n">
        <v>0.5</v>
      </c>
      <c r="H452" t="n">
        <v>0</v>
      </c>
      <c r="I452" t="n">
        <v>0</v>
      </c>
      <c r="J452" t="n">
        <v>0</v>
      </c>
      <c r="K452" t="n">
        <v>0</v>
      </c>
      <c r="L452" t="n">
        <v>0</v>
      </c>
      <c r="M452" t="n">
        <v>0</v>
      </c>
      <c r="N452" t="n">
        <v>0</v>
      </c>
      <c r="O452" t="n">
        <v>0</v>
      </c>
      <c r="P452" t="n">
        <v>0</v>
      </c>
      <c r="Q452" t="n">
        <v>0</v>
      </c>
      <c r="R452" s="2" t="inlineStr"/>
    </row>
    <row r="453" ht="15" customHeight="1">
      <c r="A453" t="inlineStr">
        <is>
          <t>A 6602-2023</t>
        </is>
      </c>
      <c r="B453" s="1" t="n">
        <v>44966</v>
      </c>
      <c r="C453" s="1" t="n">
        <v>45968</v>
      </c>
      <c r="D453" t="inlineStr">
        <is>
          <t>UPPSALA LÄN</t>
        </is>
      </c>
      <c r="E453" t="inlineStr">
        <is>
          <t>UPPSALA</t>
        </is>
      </c>
      <c r="F453" t="inlineStr">
        <is>
          <t>Allmännings- och besparingsskogar</t>
        </is>
      </c>
      <c r="G453" t="n">
        <v>20.2</v>
      </c>
      <c r="H453" t="n">
        <v>0</v>
      </c>
      <c r="I453" t="n">
        <v>0</v>
      </c>
      <c r="J453" t="n">
        <v>0</v>
      </c>
      <c r="K453" t="n">
        <v>0</v>
      </c>
      <c r="L453" t="n">
        <v>0</v>
      </c>
      <c r="M453" t="n">
        <v>0</v>
      </c>
      <c r="N453" t="n">
        <v>0</v>
      </c>
      <c r="O453" t="n">
        <v>0</v>
      </c>
      <c r="P453" t="n">
        <v>0</v>
      </c>
      <c r="Q453" t="n">
        <v>0</v>
      </c>
      <c r="R453" s="2" t="inlineStr"/>
    </row>
    <row r="454" ht="15" customHeight="1">
      <c r="A454" t="inlineStr">
        <is>
          <t>A 44115-2023</t>
        </is>
      </c>
      <c r="B454" s="1" t="n">
        <v>45188</v>
      </c>
      <c r="C454" s="1" t="n">
        <v>45968</v>
      </c>
      <c r="D454" t="inlineStr">
        <is>
          <t>UPPSALA LÄN</t>
        </is>
      </c>
      <c r="E454" t="inlineStr">
        <is>
          <t>UPPSALA</t>
        </is>
      </c>
      <c r="F454" t="inlineStr">
        <is>
          <t>Holmen skog AB</t>
        </is>
      </c>
      <c r="G454" t="n">
        <v>1.8</v>
      </c>
      <c r="H454" t="n">
        <v>0</v>
      </c>
      <c r="I454" t="n">
        <v>0</v>
      </c>
      <c r="J454" t="n">
        <v>0</v>
      </c>
      <c r="K454" t="n">
        <v>0</v>
      </c>
      <c r="L454" t="n">
        <v>0</v>
      </c>
      <c r="M454" t="n">
        <v>0</v>
      </c>
      <c r="N454" t="n">
        <v>0</v>
      </c>
      <c r="O454" t="n">
        <v>0</v>
      </c>
      <c r="P454" t="n">
        <v>0</v>
      </c>
      <c r="Q454" t="n">
        <v>0</v>
      </c>
      <c r="R454" s="2" t="inlineStr"/>
    </row>
    <row r="455" ht="15" customHeight="1">
      <c r="A455" t="inlineStr">
        <is>
          <t>A 42063-2023</t>
        </is>
      </c>
      <c r="B455" s="1" t="n">
        <v>45177.56940972222</v>
      </c>
      <c r="C455" s="1" t="n">
        <v>45968</v>
      </c>
      <c r="D455" t="inlineStr">
        <is>
          <t>UPPSALA LÄN</t>
        </is>
      </c>
      <c r="E455" t="inlineStr">
        <is>
          <t>UPPSALA</t>
        </is>
      </c>
      <c r="G455" t="n">
        <v>5.6</v>
      </c>
      <c r="H455" t="n">
        <v>0</v>
      </c>
      <c r="I455" t="n">
        <v>0</v>
      </c>
      <c r="J455" t="n">
        <v>0</v>
      </c>
      <c r="K455" t="n">
        <v>0</v>
      </c>
      <c r="L455" t="n">
        <v>0</v>
      </c>
      <c r="M455" t="n">
        <v>0</v>
      </c>
      <c r="N455" t="n">
        <v>0</v>
      </c>
      <c r="O455" t="n">
        <v>0</v>
      </c>
      <c r="P455" t="n">
        <v>0</v>
      </c>
      <c r="Q455" t="n">
        <v>0</v>
      </c>
      <c r="R455" s="2" t="inlineStr"/>
    </row>
    <row r="456" ht="15" customHeight="1">
      <c r="A456" t="inlineStr">
        <is>
          <t>A 74493-2021</t>
        </is>
      </c>
      <c r="B456" s="1" t="n">
        <v>44560</v>
      </c>
      <c r="C456" s="1" t="n">
        <v>45968</v>
      </c>
      <c r="D456" t="inlineStr">
        <is>
          <t>UPPSALA LÄN</t>
        </is>
      </c>
      <c r="E456" t="inlineStr">
        <is>
          <t>UPPSALA</t>
        </is>
      </c>
      <c r="G456" t="n">
        <v>1.2</v>
      </c>
      <c r="H456" t="n">
        <v>0</v>
      </c>
      <c r="I456" t="n">
        <v>0</v>
      </c>
      <c r="J456" t="n">
        <v>0</v>
      </c>
      <c r="K456" t="n">
        <v>0</v>
      </c>
      <c r="L456" t="n">
        <v>0</v>
      </c>
      <c r="M456" t="n">
        <v>0</v>
      </c>
      <c r="N456" t="n">
        <v>0</v>
      </c>
      <c r="O456" t="n">
        <v>0</v>
      </c>
      <c r="P456" t="n">
        <v>0</v>
      </c>
      <c r="Q456" t="n">
        <v>0</v>
      </c>
      <c r="R456" s="2" t="inlineStr"/>
    </row>
    <row r="457" ht="15" customHeight="1">
      <c r="A457" t="inlineStr">
        <is>
          <t>A 17481-2023</t>
        </is>
      </c>
      <c r="B457" s="1" t="n">
        <v>45036</v>
      </c>
      <c r="C457" s="1" t="n">
        <v>45968</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6630-2024</t>
        </is>
      </c>
      <c r="B458" s="1" t="n">
        <v>45341.63811342593</v>
      </c>
      <c r="C458" s="1" t="n">
        <v>45968</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22431-2024</t>
        </is>
      </c>
      <c r="B459" s="1" t="n">
        <v>45446.78256944445</v>
      </c>
      <c r="C459" s="1" t="n">
        <v>45968</v>
      </c>
      <c r="D459" t="inlineStr">
        <is>
          <t>UPPSALA LÄN</t>
        </is>
      </c>
      <c r="E459" t="inlineStr">
        <is>
          <t>UPPSALA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2695-2025</t>
        </is>
      </c>
      <c r="B460" s="1" t="n">
        <v>45677.39440972222</v>
      </c>
      <c r="C460" s="1" t="n">
        <v>45968</v>
      </c>
      <c r="D460" t="inlineStr">
        <is>
          <t>UPPSALA LÄN</t>
        </is>
      </c>
      <c r="E460" t="inlineStr">
        <is>
          <t>UPPSALA</t>
        </is>
      </c>
      <c r="G460" t="n">
        <v>2.2</v>
      </c>
      <c r="H460" t="n">
        <v>0</v>
      </c>
      <c r="I460" t="n">
        <v>0</v>
      </c>
      <c r="J460" t="n">
        <v>0</v>
      </c>
      <c r="K460" t="n">
        <v>0</v>
      </c>
      <c r="L460" t="n">
        <v>0</v>
      </c>
      <c r="M460" t="n">
        <v>0</v>
      </c>
      <c r="N460" t="n">
        <v>0</v>
      </c>
      <c r="O460" t="n">
        <v>0</v>
      </c>
      <c r="P460" t="n">
        <v>0</v>
      </c>
      <c r="Q460" t="n">
        <v>0</v>
      </c>
      <c r="R460" s="2" t="inlineStr"/>
    </row>
    <row r="461" ht="15" customHeight="1">
      <c r="A461" t="inlineStr">
        <is>
          <t>A 1855-2021</t>
        </is>
      </c>
      <c r="B461" s="1" t="n">
        <v>44210</v>
      </c>
      <c r="C461" s="1" t="n">
        <v>45968</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34114-2024</t>
        </is>
      </c>
      <c r="B462" s="1" t="n">
        <v>45524</v>
      </c>
      <c r="C462" s="1" t="n">
        <v>45968</v>
      </c>
      <c r="D462" t="inlineStr">
        <is>
          <t>UPPSALA LÄN</t>
        </is>
      </c>
      <c r="E462" t="inlineStr">
        <is>
          <t>UPPSALA</t>
        </is>
      </c>
      <c r="F462" t="inlineStr">
        <is>
          <t>Allmännings- och besparingsskogar</t>
        </is>
      </c>
      <c r="G462" t="n">
        <v>1.3</v>
      </c>
      <c r="H462" t="n">
        <v>0</v>
      </c>
      <c r="I462" t="n">
        <v>0</v>
      </c>
      <c r="J462" t="n">
        <v>0</v>
      </c>
      <c r="K462" t="n">
        <v>0</v>
      </c>
      <c r="L462" t="n">
        <v>0</v>
      </c>
      <c r="M462" t="n">
        <v>0</v>
      </c>
      <c r="N462" t="n">
        <v>0</v>
      </c>
      <c r="O462" t="n">
        <v>0</v>
      </c>
      <c r="P462" t="n">
        <v>0</v>
      </c>
      <c r="Q462" t="n">
        <v>0</v>
      </c>
      <c r="R462" s="2" t="inlineStr"/>
    </row>
    <row r="463" ht="15" customHeight="1">
      <c r="A463" t="inlineStr">
        <is>
          <t>A 32252-2025</t>
        </is>
      </c>
      <c r="B463" s="1" t="n">
        <v>45835.62752314815</v>
      </c>
      <c r="C463" s="1" t="n">
        <v>45968</v>
      </c>
      <c r="D463" t="inlineStr">
        <is>
          <t>UPPSALA LÄN</t>
        </is>
      </c>
      <c r="E463" t="inlineStr">
        <is>
          <t>UPPSALA</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15629-2023</t>
        </is>
      </c>
      <c r="B464" s="1" t="n">
        <v>45021.29524305555</v>
      </c>
      <c r="C464" s="1" t="n">
        <v>45968</v>
      </c>
      <c r="D464" t="inlineStr">
        <is>
          <t>UPPSALA LÄN</t>
        </is>
      </c>
      <c r="E464" t="inlineStr">
        <is>
          <t>UPPSALA</t>
        </is>
      </c>
      <c r="F464" t="inlineStr">
        <is>
          <t>Övriga Aktiebolag</t>
        </is>
      </c>
      <c r="G464" t="n">
        <v>7</v>
      </c>
      <c r="H464" t="n">
        <v>0</v>
      </c>
      <c r="I464" t="n">
        <v>0</v>
      </c>
      <c r="J464" t="n">
        <v>0</v>
      </c>
      <c r="K464" t="n">
        <v>0</v>
      </c>
      <c r="L464" t="n">
        <v>0</v>
      </c>
      <c r="M464" t="n">
        <v>0</v>
      </c>
      <c r="N464" t="n">
        <v>0</v>
      </c>
      <c r="O464" t="n">
        <v>0</v>
      </c>
      <c r="P464" t="n">
        <v>0</v>
      </c>
      <c r="Q464" t="n">
        <v>0</v>
      </c>
      <c r="R464" s="2" t="inlineStr"/>
    </row>
    <row r="465" ht="15" customHeight="1">
      <c r="A465" t="inlineStr">
        <is>
          <t>A 20497-2022</t>
        </is>
      </c>
      <c r="B465" s="1" t="n">
        <v>44699</v>
      </c>
      <c r="C465" s="1" t="n">
        <v>45968</v>
      </c>
      <c r="D465" t="inlineStr">
        <is>
          <t>UPPSALA LÄN</t>
        </is>
      </c>
      <c r="E465" t="inlineStr">
        <is>
          <t>UPPSALA</t>
        </is>
      </c>
      <c r="F465" t="inlineStr">
        <is>
          <t>Övriga statliga verk och myndigheter</t>
        </is>
      </c>
      <c r="G465" t="n">
        <v>1</v>
      </c>
      <c r="H465" t="n">
        <v>0</v>
      </c>
      <c r="I465" t="n">
        <v>0</v>
      </c>
      <c r="J465" t="n">
        <v>0</v>
      </c>
      <c r="K465" t="n">
        <v>0</v>
      </c>
      <c r="L465" t="n">
        <v>0</v>
      </c>
      <c r="M465" t="n">
        <v>0</v>
      </c>
      <c r="N465" t="n">
        <v>0</v>
      </c>
      <c r="O465" t="n">
        <v>0</v>
      </c>
      <c r="P465" t="n">
        <v>0</v>
      </c>
      <c r="Q465" t="n">
        <v>0</v>
      </c>
      <c r="R465" s="2" t="inlineStr"/>
    </row>
    <row r="466" ht="15" customHeight="1">
      <c r="A466" t="inlineStr">
        <is>
          <t>A 44080-2023</t>
        </is>
      </c>
      <c r="B466" s="1" t="n">
        <v>45188.42052083334</v>
      </c>
      <c r="C466" s="1" t="n">
        <v>45968</v>
      </c>
      <c r="D466" t="inlineStr">
        <is>
          <t>UPPSALA LÄN</t>
        </is>
      </c>
      <c r="E466" t="inlineStr">
        <is>
          <t>UPPSALA</t>
        </is>
      </c>
      <c r="G466" t="n">
        <v>13.3</v>
      </c>
      <c r="H466" t="n">
        <v>0</v>
      </c>
      <c r="I466" t="n">
        <v>0</v>
      </c>
      <c r="J466" t="n">
        <v>0</v>
      </c>
      <c r="K466" t="n">
        <v>0</v>
      </c>
      <c r="L466" t="n">
        <v>0</v>
      </c>
      <c r="M466" t="n">
        <v>0</v>
      </c>
      <c r="N466" t="n">
        <v>0</v>
      </c>
      <c r="O466" t="n">
        <v>0</v>
      </c>
      <c r="P466" t="n">
        <v>0</v>
      </c>
      <c r="Q466" t="n">
        <v>0</v>
      </c>
      <c r="R466" s="2" t="inlineStr"/>
    </row>
    <row r="467" ht="15" customHeight="1">
      <c r="A467" t="inlineStr">
        <is>
          <t>A 10490-2025</t>
        </is>
      </c>
      <c r="B467" s="1" t="n">
        <v>45721.35173611111</v>
      </c>
      <c r="C467" s="1" t="n">
        <v>45968</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55021-2022</t>
        </is>
      </c>
      <c r="B468" s="1" t="n">
        <v>44886</v>
      </c>
      <c r="C468" s="1" t="n">
        <v>45968</v>
      </c>
      <c r="D468" t="inlineStr">
        <is>
          <t>UPPSALA LÄN</t>
        </is>
      </c>
      <c r="E468" t="inlineStr">
        <is>
          <t>UPPSALA</t>
        </is>
      </c>
      <c r="G468" t="n">
        <v>1.2</v>
      </c>
      <c r="H468" t="n">
        <v>0</v>
      </c>
      <c r="I468" t="n">
        <v>0</v>
      </c>
      <c r="J468" t="n">
        <v>0</v>
      </c>
      <c r="K468" t="n">
        <v>0</v>
      </c>
      <c r="L468" t="n">
        <v>0</v>
      </c>
      <c r="M468" t="n">
        <v>0</v>
      </c>
      <c r="N468" t="n">
        <v>0</v>
      </c>
      <c r="O468" t="n">
        <v>0</v>
      </c>
      <c r="P468" t="n">
        <v>0</v>
      </c>
      <c r="Q468" t="n">
        <v>0</v>
      </c>
      <c r="R468" s="2" t="inlineStr"/>
    </row>
    <row r="469" ht="15" customHeight="1">
      <c r="A469" t="inlineStr">
        <is>
          <t>A 65659-2021</t>
        </is>
      </c>
      <c r="B469" s="1" t="n">
        <v>44516</v>
      </c>
      <c r="C469" s="1" t="n">
        <v>45968</v>
      </c>
      <c r="D469" t="inlineStr">
        <is>
          <t>UPPSALA LÄN</t>
        </is>
      </c>
      <c r="E469" t="inlineStr">
        <is>
          <t>UPPSALA</t>
        </is>
      </c>
      <c r="G469" t="n">
        <v>2.2</v>
      </c>
      <c r="H469" t="n">
        <v>0</v>
      </c>
      <c r="I469" t="n">
        <v>0</v>
      </c>
      <c r="J469" t="n">
        <v>0</v>
      </c>
      <c r="K469" t="n">
        <v>0</v>
      </c>
      <c r="L469" t="n">
        <v>0</v>
      </c>
      <c r="M469" t="n">
        <v>0</v>
      </c>
      <c r="N469" t="n">
        <v>0</v>
      </c>
      <c r="O469" t="n">
        <v>0</v>
      </c>
      <c r="P469" t="n">
        <v>0</v>
      </c>
      <c r="Q469" t="n">
        <v>0</v>
      </c>
      <c r="R469" s="2" t="inlineStr"/>
    </row>
    <row r="470" ht="15" customHeight="1">
      <c r="A470" t="inlineStr">
        <is>
          <t>A 784-2024</t>
        </is>
      </c>
      <c r="B470" s="1" t="n">
        <v>45300.55680555556</v>
      </c>
      <c r="C470" s="1" t="n">
        <v>45968</v>
      </c>
      <c r="D470" t="inlineStr">
        <is>
          <t>UPPSALA LÄN</t>
        </is>
      </c>
      <c r="E470" t="inlineStr">
        <is>
          <t>UPPSALA</t>
        </is>
      </c>
      <c r="G470" t="n">
        <v>6.6</v>
      </c>
      <c r="H470" t="n">
        <v>0</v>
      </c>
      <c r="I470" t="n">
        <v>0</v>
      </c>
      <c r="J470" t="n">
        <v>0</v>
      </c>
      <c r="K470" t="n">
        <v>0</v>
      </c>
      <c r="L470" t="n">
        <v>0</v>
      </c>
      <c r="M470" t="n">
        <v>0</v>
      </c>
      <c r="N470" t="n">
        <v>0</v>
      </c>
      <c r="O470" t="n">
        <v>0</v>
      </c>
      <c r="P470" t="n">
        <v>0</v>
      </c>
      <c r="Q470" t="n">
        <v>0</v>
      </c>
      <c r="R470" s="2" t="inlineStr"/>
    </row>
    <row r="471" ht="15" customHeight="1">
      <c r="A471" t="inlineStr">
        <is>
          <t>A 61271-2020</t>
        </is>
      </c>
      <c r="B471" s="1" t="n">
        <v>44155</v>
      </c>
      <c r="C471" s="1" t="n">
        <v>45968</v>
      </c>
      <c r="D471" t="inlineStr">
        <is>
          <t>UPPSALA LÄN</t>
        </is>
      </c>
      <c r="E471" t="inlineStr">
        <is>
          <t>UPPSALA</t>
        </is>
      </c>
      <c r="G471" t="n">
        <v>3.5</v>
      </c>
      <c r="H471" t="n">
        <v>0</v>
      </c>
      <c r="I471" t="n">
        <v>0</v>
      </c>
      <c r="J471" t="n">
        <v>0</v>
      </c>
      <c r="K471" t="n">
        <v>0</v>
      </c>
      <c r="L471" t="n">
        <v>0</v>
      </c>
      <c r="M471" t="n">
        <v>0</v>
      </c>
      <c r="N471" t="n">
        <v>0</v>
      </c>
      <c r="O471" t="n">
        <v>0</v>
      </c>
      <c r="P471" t="n">
        <v>0</v>
      </c>
      <c r="Q471" t="n">
        <v>0</v>
      </c>
      <c r="R471" s="2" t="inlineStr"/>
    </row>
    <row r="472" ht="15" customHeight="1">
      <c r="A472" t="inlineStr">
        <is>
          <t>A 28958-2025</t>
        </is>
      </c>
      <c r="B472" s="1" t="n">
        <v>45821.31292824074</v>
      </c>
      <c r="C472" s="1" t="n">
        <v>45968</v>
      </c>
      <c r="D472" t="inlineStr">
        <is>
          <t>UPPSALA LÄN</t>
        </is>
      </c>
      <c r="E472" t="inlineStr">
        <is>
          <t>UPPSALA</t>
        </is>
      </c>
      <c r="G472" t="n">
        <v>4.6</v>
      </c>
      <c r="H472" t="n">
        <v>0</v>
      </c>
      <c r="I472" t="n">
        <v>0</v>
      </c>
      <c r="J472" t="n">
        <v>0</v>
      </c>
      <c r="K472" t="n">
        <v>0</v>
      </c>
      <c r="L472" t="n">
        <v>0</v>
      </c>
      <c r="M472" t="n">
        <v>0</v>
      </c>
      <c r="N472" t="n">
        <v>0</v>
      </c>
      <c r="O472" t="n">
        <v>0</v>
      </c>
      <c r="P472" t="n">
        <v>0</v>
      </c>
      <c r="Q472" t="n">
        <v>0</v>
      </c>
      <c r="R472" s="2" t="inlineStr"/>
    </row>
    <row r="473" ht="15" customHeight="1">
      <c r="A473" t="inlineStr">
        <is>
          <t>A 32923-2025</t>
        </is>
      </c>
      <c r="B473" s="1" t="n">
        <v>45839</v>
      </c>
      <c r="C473" s="1" t="n">
        <v>45968</v>
      </c>
      <c r="D473" t="inlineStr">
        <is>
          <t>UPPSALA LÄN</t>
        </is>
      </c>
      <c r="E473" t="inlineStr">
        <is>
          <t>UPPSALA</t>
        </is>
      </c>
      <c r="G473" t="n">
        <v>5.1</v>
      </c>
      <c r="H473" t="n">
        <v>0</v>
      </c>
      <c r="I473" t="n">
        <v>0</v>
      </c>
      <c r="J473" t="n">
        <v>0</v>
      </c>
      <c r="K473" t="n">
        <v>0</v>
      </c>
      <c r="L473" t="n">
        <v>0</v>
      </c>
      <c r="M473" t="n">
        <v>0</v>
      </c>
      <c r="N473" t="n">
        <v>0</v>
      </c>
      <c r="O473" t="n">
        <v>0</v>
      </c>
      <c r="P473" t="n">
        <v>0</v>
      </c>
      <c r="Q473" t="n">
        <v>0</v>
      </c>
      <c r="R473" s="2" t="inlineStr"/>
    </row>
    <row r="474" ht="15" customHeight="1">
      <c r="A474" t="inlineStr">
        <is>
          <t>A 58023-2022</t>
        </is>
      </c>
      <c r="B474" s="1" t="n">
        <v>44900.54711805555</v>
      </c>
      <c r="C474" s="1" t="n">
        <v>45968</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48571-2023</t>
        </is>
      </c>
      <c r="B475" s="1" t="n">
        <v>45208.46130787037</v>
      </c>
      <c r="C475" s="1" t="n">
        <v>45968</v>
      </c>
      <c r="D475" t="inlineStr">
        <is>
          <t>UPPSALA LÄN</t>
        </is>
      </c>
      <c r="E475" t="inlineStr">
        <is>
          <t>UPPSALA</t>
        </is>
      </c>
      <c r="G475" t="n">
        <v>1.8</v>
      </c>
      <c r="H475" t="n">
        <v>0</v>
      </c>
      <c r="I475" t="n">
        <v>0</v>
      </c>
      <c r="J475" t="n">
        <v>0</v>
      </c>
      <c r="K475" t="n">
        <v>0</v>
      </c>
      <c r="L475" t="n">
        <v>0</v>
      </c>
      <c r="M475" t="n">
        <v>0</v>
      </c>
      <c r="N475" t="n">
        <v>0</v>
      </c>
      <c r="O475" t="n">
        <v>0</v>
      </c>
      <c r="P475" t="n">
        <v>0</v>
      </c>
      <c r="Q475" t="n">
        <v>0</v>
      </c>
      <c r="R475" s="2" t="inlineStr"/>
    </row>
    <row r="476" ht="15" customHeight="1">
      <c r="A476" t="inlineStr">
        <is>
          <t>A 51661-2022</t>
        </is>
      </c>
      <c r="B476" s="1" t="n">
        <v>44872</v>
      </c>
      <c r="C476" s="1" t="n">
        <v>45968</v>
      </c>
      <c r="D476" t="inlineStr">
        <is>
          <t>UPPSALA LÄN</t>
        </is>
      </c>
      <c r="E476" t="inlineStr">
        <is>
          <t>UPPSALA</t>
        </is>
      </c>
      <c r="G476" t="n">
        <v>8.9</v>
      </c>
      <c r="H476" t="n">
        <v>0</v>
      </c>
      <c r="I476" t="n">
        <v>0</v>
      </c>
      <c r="J476" t="n">
        <v>0</v>
      </c>
      <c r="K476" t="n">
        <v>0</v>
      </c>
      <c r="L476" t="n">
        <v>0</v>
      </c>
      <c r="M476" t="n">
        <v>0</v>
      </c>
      <c r="N476" t="n">
        <v>0</v>
      </c>
      <c r="O476" t="n">
        <v>0</v>
      </c>
      <c r="P476" t="n">
        <v>0</v>
      </c>
      <c r="Q476" t="n">
        <v>0</v>
      </c>
      <c r="R476" s="2" t="inlineStr"/>
    </row>
    <row r="477" ht="15" customHeight="1">
      <c r="A477" t="inlineStr">
        <is>
          <t>A 7276-2024</t>
        </is>
      </c>
      <c r="B477" s="1" t="n">
        <v>45344</v>
      </c>
      <c r="C477" s="1" t="n">
        <v>45968</v>
      </c>
      <c r="D477" t="inlineStr">
        <is>
          <t>UPPSALA LÄN</t>
        </is>
      </c>
      <c r="E477" t="inlineStr">
        <is>
          <t>UPPSALA</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32711-2025</t>
        </is>
      </c>
      <c r="B478" s="1" t="n">
        <v>45839</v>
      </c>
      <c r="C478" s="1" t="n">
        <v>45968</v>
      </c>
      <c r="D478" t="inlineStr">
        <is>
          <t>UPPSALA LÄN</t>
        </is>
      </c>
      <c r="E478" t="inlineStr">
        <is>
          <t>UPPSALA</t>
        </is>
      </c>
      <c r="G478" t="n">
        <v>0.8</v>
      </c>
      <c r="H478" t="n">
        <v>0</v>
      </c>
      <c r="I478" t="n">
        <v>0</v>
      </c>
      <c r="J478" t="n">
        <v>0</v>
      </c>
      <c r="K478" t="n">
        <v>0</v>
      </c>
      <c r="L478" t="n">
        <v>0</v>
      </c>
      <c r="M478" t="n">
        <v>0</v>
      </c>
      <c r="N478" t="n">
        <v>0</v>
      </c>
      <c r="O478" t="n">
        <v>0</v>
      </c>
      <c r="P478" t="n">
        <v>0</v>
      </c>
      <c r="Q478" t="n">
        <v>0</v>
      </c>
      <c r="R478" s="2" t="inlineStr"/>
      <c r="U478">
        <f>HYPERLINK("https://klasma.github.io/Logging_0380/knärot/A 32711-2025 karta knärot.png", "A 32711-2025")</f>
        <v/>
      </c>
      <c r="V478">
        <f>HYPERLINK("https://klasma.github.io/Logging_0380/klagomål/A 32711-2025 FSC-klagomål.docx", "A 32711-2025")</f>
        <v/>
      </c>
      <c r="W478">
        <f>HYPERLINK("https://klasma.github.io/Logging_0380/klagomålsmail/A 32711-2025 FSC-klagomål mail.docx", "A 32711-2025")</f>
        <v/>
      </c>
      <c r="X478">
        <f>HYPERLINK("https://klasma.github.io/Logging_0380/tillsyn/A 32711-2025 tillsynsbegäran.docx", "A 32711-2025")</f>
        <v/>
      </c>
      <c r="Y478">
        <f>HYPERLINK("https://klasma.github.io/Logging_0380/tillsynsmail/A 32711-2025 tillsynsbegäran mail.docx", "A 32711-2025")</f>
        <v/>
      </c>
    </row>
    <row r="479" ht="15" customHeight="1">
      <c r="A479" t="inlineStr">
        <is>
          <t>A 41002-2023</t>
        </is>
      </c>
      <c r="B479" s="1" t="n">
        <v>45173</v>
      </c>
      <c r="C479" s="1" t="n">
        <v>45968</v>
      </c>
      <c r="D479" t="inlineStr">
        <is>
          <t>UPPSALA LÄN</t>
        </is>
      </c>
      <c r="E479" t="inlineStr">
        <is>
          <t>UPPSALA</t>
        </is>
      </c>
      <c r="G479" t="n">
        <v>6.2</v>
      </c>
      <c r="H479" t="n">
        <v>0</v>
      </c>
      <c r="I479" t="n">
        <v>0</v>
      </c>
      <c r="J479" t="n">
        <v>0</v>
      </c>
      <c r="K479" t="n">
        <v>0</v>
      </c>
      <c r="L479" t="n">
        <v>0</v>
      </c>
      <c r="M479" t="n">
        <v>0</v>
      </c>
      <c r="N479" t="n">
        <v>0</v>
      </c>
      <c r="O479" t="n">
        <v>0</v>
      </c>
      <c r="P479" t="n">
        <v>0</v>
      </c>
      <c r="Q479" t="n">
        <v>0</v>
      </c>
      <c r="R479" s="2" t="inlineStr"/>
    </row>
    <row r="480" ht="15" customHeight="1">
      <c r="A480" t="inlineStr">
        <is>
          <t>A 33571-2025</t>
        </is>
      </c>
      <c r="B480" s="1" t="n">
        <v>45841.5847337963</v>
      </c>
      <c r="C480" s="1" t="n">
        <v>45968</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39608-2022</t>
        </is>
      </c>
      <c r="B481" s="1" t="n">
        <v>44817</v>
      </c>
      <c r="C481" s="1" t="n">
        <v>45968</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42622-2022</t>
        </is>
      </c>
      <c r="B482" s="1" t="n">
        <v>44831</v>
      </c>
      <c r="C482" s="1" t="n">
        <v>45968</v>
      </c>
      <c r="D482" t="inlineStr">
        <is>
          <t>UPPSALA LÄN</t>
        </is>
      </c>
      <c r="E482" t="inlineStr">
        <is>
          <t>UPPSALA</t>
        </is>
      </c>
      <c r="G482" t="n">
        <v>2.4</v>
      </c>
      <c r="H482" t="n">
        <v>0</v>
      </c>
      <c r="I482" t="n">
        <v>0</v>
      </c>
      <c r="J482" t="n">
        <v>0</v>
      </c>
      <c r="K482" t="n">
        <v>0</v>
      </c>
      <c r="L482" t="n">
        <v>0</v>
      </c>
      <c r="M482" t="n">
        <v>0</v>
      </c>
      <c r="N482" t="n">
        <v>0</v>
      </c>
      <c r="O482" t="n">
        <v>0</v>
      </c>
      <c r="P482" t="n">
        <v>0</v>
      </c>
      <c r="Q482" t="n">
        <v>0</v>
      </c>
      <c r="R482" s="2" t="inlineStr"/>
    </row>
    <row r="483" ht="15" customHeight="1">
      <c r="A483" t="inlineStr">
        <is>
          <t>A 33261-2025</t>
        </is>
      </c>
      <c r="B483" s="1" t="n">
        <v>45840</v>
      </c>
      <c r="C483" s="1" t="n">
        <v>45968</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11162-2022</t>
        </is>
      </c>
      <c r="B484" s="1" t="n">
        <v>44629.42423611111</v>
      </c>
      <c r="C484" s="1" t="n">
        <v>45968</v>
      </c>
      <c r="D484" t="inlineStr">
        <is>
          <t>UPPSALA LÄN</t>
        </is>
      </c>
      <c r="E484" t="inlineStr">
        <is>
          <t>UPPSALA</t>
        </is>
      </c>
      <c r="G484" t="n">
        <v>1.5</v>
      </c>
      <c r="H484" t="n">
        <v>0</v>
      </c>
      <c r="I484" t="n">
        <v>0</v>
      </c>
      <c r="J484" t="n">
        <v>0</v>
      </c>
      <c r="K484" t="n">
        <v>0</v>
      </c>
      <c r="L484" t="n">
        <v>0</v>
      </c>
      <c r="M484" t="n">
        <v>0</v>
      </c>
      <c r="N484" t="n">
        <v>0</v>
      </c>
      <c r="O484" t="n">
        <v>0</v>
      </c>
      <c r="P484" t="n">
        <v>0</v>
      </c>
      <c r="Q484" t="n">
        <v>0</v>
      </c>
      <c r="R484" s="2" t="inlineStr"/>
    </row>
    <row r="485" ht="15" customHeight="1">
      <c r="A485" t="inlineStr">
        <is>
          <t>A 34243-2021</t>
        </is>
      </c>
      <c r="B485" s="1" t="n">
        <v>44379.56163194445</v>
      </c>
      <c r="C485" s="1" t="n">
        <v>45968</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1731-2022</t>
        </is>
      </c>
      <c r="B486" s="1" t="n">
        <v>44574</v>
      </c>
      <c r="C486" s="1" t="n">
        <v>45968</v>
      </c>
      <c r="D486" t="inlineStr">
        <is>
          <t>UPPSALA LÄN</t>
        </is>
      </c>
      <c r="E486" t="inlineStr">
        <is>
          <t>UPPSALA</t>
        </is>
      </c>
      <c r="G486" t="n">
        <v>10.1</v>
      </c>
      <c r="H486" t="n">
        <v>0</v>
      </c>
      <c r="I486" t="n">
        <v>0</v>
      </c>
      <c r="J486" t="n">
        <v>0</v>
      </c>
      <c r="K486" t="n">
        <v>0</v>
      </c>
      <c r="L486" t="n">
        <v>0</v>
      </c>
      <c r="M486" t="n">
        <v>0</v>
      </c>
      <c r="N486" t="n">
        <v>0</v>
      </c>
      <c r="O486" t="n">
        <v>0</v>
      </c>
      <c r="P486" t="n">
        <v>0</v>
      </c>
      <c r="Q486" t="n">
        <v>0</v>
      </c>
      <c r="R486" s="2" t="inlineStr"/>
    </row>
    <row r="487" ht="15" customHeight="1">
      <c r="A487" t="inlineStr">
        <is>
          <t>A 45489-2023</t>
        </is>
      </c>
      <c r="B487" s="1" t="n">
        <v>45194</v>
      </c>
      <c r="C487" s="1" t="n">
        <v>45968</v>
      </c>
      <c r="D487" t="inlineStr">
        <is>
          <t>UPPSALA LÄN</t>
        </is>
      </c>
      <c r="E487" t="inlineStr">
        <is>
          <t>UPPSALA</t>
        </is>
      </c>
      <c r="F487" t="inlineStr">
        <is>
          <t>Allmännings- och besparingsskogar</t>
        </is>
      </c>
      <c r="G487" t="n">
        <v>15.8</v>
      </c>
      <c r="H487" t="n">
        <v>0</v>
      </c>
      <c r="I487" t="n">
        <v>0</v>
      </c>
      <c r="J487" t="n">
        <v>0</v>
      </c>
      <c r="K487" t="n">
        <v>0</v>
      </c>
      <c r="L487" t="n">
        <v>0</v>
      </c>
      <c r="M487" t="n">
        <v>0</v>
      </c>
      <c r="N487" t="n">
        <v>0</v>
      </c>
      <c r="O487" t="n">
        <v>0</v>
      </c>
      <c r="P487" t="n">
        <v>0</v>
      </c>
      <c r="Q487" t="n">
        <v>0</v>
      </c>
      <c r="R487" s="2" t="inlineStr"/>
    </row>
    <row r="488" ht="15" customHeight="1">
      <c r="A488" t="inlineStr">
        <is>
          <t>A 53906-2023</t>
        </is>
      </c>
      <c r="B488" s="1" t="n">
        <v>45231</v>
      </c>
      <c r="C488" s="1" t="n">
        <v>45968</v>
      </c>
      <c r="D488" t="inlineStr">
        <is>
          <t>UPPSALA LÄN</t>
        </is>
      </c>
      <c r="E488" t="inlineStr">
        <is>
          <t>UPPSALA</t>
        </is>
      </c>
      <c r="G488" t="n">
        <v>13.2</v>
      </c>
      <c r="H488" t="n">
        <v>0</v>
      </c>
      <c r="I488" t="n">
        <v>0</v>
      </c>
      <c r="J488" t="n">
        <v>0</v>
      </c>
      <c r="K488" t="n">
        <v>0</v>
      </c>
      <c r="L488" t="n">
        <v>0</v>
      </c>
      <c r="M488" t="n">
        <v>0</v>
      </c>
      <c r="N488" t="n">
        <v>0</v>
      </c>
      <c r="O488" t="n">
        <v>0</v>
      </c>
      <c r="P488" t="n">
        <v>0</v>
      </c>
      <c r="Q488" t="n">
        <v>0</v>
      </c>
      <c r="R488" s="2" t="inlineStr"/>
    </row>
    <row r="489" ht="15" customHeight="1">
      <c r="A489" t="inlineStr">
        <is>
          <t>A 33272-2025</t>
        </is>
      </c>
      <c r="B489" s="1" t="n">
        <v>45840.68518518518</v>
      </c>
      <c r="C489" s="1" t="n">
        <v>45968</v>
      </c>
      <c r="D489" t="inlineStr">
        <is>
          <t>UPPSALA LÄN</t>
        </is>
      </c>
      <c r="E489" t="inlineStr">
        <is>
          <t>UPPSALA</t>
        </is>
      </c>
      <c r="G489" t="n">
        <v>4.7</v>
      </c>
      <c r="H489" t="n">
        <v>0</v>
      </c>
      <c r="I489" t="n">
        <v>0</v>
      </c>
      <c r="J489" t="n">
        <v>0</v>
      </c>
      <c r="K489" t="n">
        <v>0</v>
      </c>
      <c r="L489" t="n">
        <v>0</v>
      </c>
      <c r="M489" t="n">
        <v>0</v>
      </c>
      <c r="N489" t="n">
        <v>0</v>
      </c>
      <c r="O489" t="n">
        <v>0</v>
      </c>
      <c r="P489" t="n">
        <v>0</v>
      </c>
      <c r="Q489" t="n">
        <v>0</v>
      </c>
      <c r="R489" s="2" t="inlineStr"/>
    </row>
    <row r="490" ht="15" customHeight="1">
      <c r="A490" t="inlineStr">
        <is>
          <t>A 55073-2022</t>
        </is>
      </c>
      <c r="B490" s="1" t="n">
        <v>44886.5928125</v>
      </c>
      <c r="C490" s="1" t="n">
        <v>45968</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27068-2023</t>
        </is>
      </c>
      <c r="B491" s="1" t="n">
        <v>45096</v>
      </c>
      <c r="C491" s="1" t="n">
        <v>45968</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33816-2024</t>
        </is>
      </c>
      <c r="B492" s="1" t="n">
        <v>45520</v>
      </c>
      <c r="C492" s="1" t="n">
        <v>45968</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47083-2023</t>
        </is>
      </c>
      <c r="B493" s="1" t="n">
        <v>45201.62318287037</v>
      </c>
      <c r="C493" s="1" t="n">
        <v>45968</v>
      </c>
      <c r="D493" t="inlineStr">
        <is>
          <t>UPPSALA LÄN</t>
        </is>
      </c>
      <c r="E493" t="inlineStr">
        <is>
          <t>UPPSALA</t>
        </is>
      </c>
      <c r="G493" t="n">
        <v>0.7</v>
      </c>
      <c r="H493" t="n">
        <v>0</v>
      </c>
      <c r="I493" t="n">
        <v>0</v>
      </c>
      <c r="J493" t="n">
        <v>0</v>
      </c>
      <c r="K493" t="n">
        <v>0</v>
      </c>
      <c r="L493" t="n">
        <v>0</v>
      </c>
      <c r="M493" t="n">
        <v>0</v>
      </c>
      <c r="N493" t="n">
        <v>0</v>
      </c>
      <c r="O493" t="n">
        <v>0</v>
      </c>
      <c r="P493" t="n">
        <v>0</v>
      </c>
      <c r="Q493" t="n">
        <v>0</v>
      </c>
      <c r="R493" s="2" t="inlineStr"/>
    </row>
    <row r="494" ht="15" customHeight="1">
      <c r="A494" t="inlineStr">
        <is>
          <t>A 45878-2024</t>
        </is>
      </c>
      <c r="B494" s="1" t="n">
        <v>45580</v>
      </c>
      <c r="C494" s="1" t="n">
        <v>45968</v>
      </c>
      <c r="D494" t="inlineStr">
        <is>
          <t>UPPSALA LÄN</t>
        </is>
      </c>
      <c r="E494" t="inlineStr">
        <is>
          <t>UPPSALA</t>
        </is>
      </c>
      <c r="G494" t="n">
        <v>2.8</v>
      </c>
      <c r="H494" t="n">
        <v>0</v>
      </c>
      <c r="I494" t="n">
        <v>0</v>
      </c>
      <c r="J494" t="n">
        <v>0</v>
      </c>
      <c r="K494" t="n">
        <v>0</v>
      </c>
      <c r="L494" t="n">
        <v>0</v>
      </c>
      <c r="M494" t="n">
        <v>0</v>
      </c>
      <c r="N494" t="n">
        <v>0</v>
      </c>
      <c r="O494" t="n">
        <v>0</v>
      </c>
      <c r="P494" t="n">
        <v>0</v>
      </c>
      <c r="Q494" t="n">
        <v>0</v>
      </c>
      <c r="R494" s="2" t="inlineStr"/>
    </row>
    <row r="495" ht="15" customHeight="1">
      <c r="A495" t="inlineStr">
        <is>
          <t>A 43-2024</t>
        </is>
      </c>
      <c r="B495" s="1" t="n">
        <v>45293</v>
      </c>
      <c r="C495" s="1" t="n">
        <v>45968</v>
      </c>
      <c r="D495" t="inlineStr">
        <is>
          <t>UPPSALA LÄN</t>
        </is>
      </c>
      <c r="E495" t="inlineStr">
        <is>
          <t>UPPSALA</t>
        </is>
      </c>
      <c r="G495" t="n">
        <v>2.8</v>
      </c>
      <c r="H495" t="n">
        <v>0</v>
      </c>
      <c r="I495" t="n">
        <v>0</v>
      </c>
      <c r="J495" t="n">
        <v>0</v>
      </c>
      <c r="K495" t="n">
        <v>0</v>
      </c>
      <c r="L495" t="n">
        <v>0</v>
      </c>
      <c r="M495" t="n">
        <v>0</v>
      </c>
      <c r="N495" t="n">
        <v>0</v>
      </c>
      <c r="O495" t="n">
        <v>0</v>
      </c>
      <c r="P495" t="n">
        <v>0</v>
      </c>
      <c r="Q495" t="n">
        <v>0</v>
      </c>
      <c r="R495" s="2" t="inlineStr"/>
    </row>
    <row r="496" ht="15" customHeight="1">
      <c r="A496" t="inlineStr">
        <is>
          <t>A 62044-2024</t>
        </is>
      </c>
      <c r="B496" s="1" t="n">
        <v>45656</v>
      </c>
      <c r="C496" s="1" t="n">
        <v>45968</v>
      </c>
      <c r="D496" t="inlineStr">
        <is>
          <t>UPPSALA LÄN</t>
        </is>
      </c>
      <c r="E496" t="inlineStr">
        <is>
          <t>UPPSALA</t>
        </is>
      </c>
      <c r="F496" t="inlineStr">
        <is>
          <t>Övriga statliga verk och myndigheter</t>
        </is>
      </c>
      <c r="G496" t="n">
        <v>11.6</v>
      </c>
      <c r="H496" t="n">
        <v>0</v>
      </c>
      <c r="I496" t="n">
        <v>0</v>
      </c>
      <c r="J496" t="n">
        <v>0</v>
      </c>
      <c r="K496" t="n">
        <v>0</v>
      </c>
      <c r="L496" t="n">
        <v>0</v>
      </c>
      <c r="M496" t="n">
        <v>0</v>
      </c>
      <c r="N496" t="n">
        <v>0</v>
      </c>
      <c r="O496" t="n">
        <v>0</v>
      </c>
      <c r="P496" t="n">
        <v>0</v>
      </c>
      <c r="Q496" t="n">
        <v>0</v>
      </c>
      <c r="R496" s="2" t="inlineStr"/>
    </row>
    <row r="497" ht="15" customHeight="1">
      <c r="A497" t="inlineStr">
        <is>
          <t>A 49682-2023</t>
        </is>
      </c>
      <c r="B497" s="1" t="n">
        <v>45212.34997685185</v>
      </c>
      <c r="C497" s="1" t="n">
        <v>45968</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33964-2025</t>
        </is>
      </c>
      <c r="B498" s="1" t="n">
        <v>45842.74049768518</v>
      </c>
      <c r="C498" s="1" t="n">
        <v>45968</v>
      </c>
      <c r="D498" t="inlineStr">
        <is>
          <t>UPPSALA LÄN</t>
        </is>
      </c>
      <c r="E498" t="inlineStr">
        <is>
          <t>UPPSALA</t>
        </is>
      </c>
      <c r="G498" t="n">
        <v>2.7</v>
      </c>
      <c r="H498" t="n">
        <v>0</v>
      </c>
      <c r="I498" t="n">
        <v>0</v>
      </c>
      <c r="J498" t="n">
        <v>0</v>
      </c>
      <c r="K498" t="n">
        <v>0</v>
      </c>
      <c r="L498" t="n">
        <v>0</v>
      </c>
      <c r="M498" t="n">
        <v>0</v>
      </c>
      <c r="N498" t="n">
        <v>0</v>
      </c>
      <c r="O498" t="n">
        <v>0</v>
      </c>
      <c r="P498" t="n">
        <v>0</v>
      </c>
      <c r="Q498" t="n">
        <v>0</v>
      </c>
      <c r="R498" s="2" t="inlineStr"/>
    </row>
    <row r="499" ht="15" customHeight="1">
      <c r="A499" t="inlineStr">
        <is>
          <t>A 36478-2023</t>
        </is>
      </c>
      <c r="B499" s="1" t="n">
        <v>45152</v>
      </c>
      <c r="C499" s="1" t="n">
        <v>45968</v>
      </c>
      <c r="D499" t="inlineStr">
        <is>
          <t>UPPSALA LÄN</t>
        </is>
      </c>
      <c r="E499" t="inlineStr">
        <is>
          <t>UPPSALA</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17587-2025</t>
        </is>
      </c>
      <c r="B500" s="1" t="n">
        <v>45757.67611111111</v>
      </c>
      <c r="C500" s="1" t="n">
        <v>45968</v>
      </c>
      <c r="D500" t="inlineStr">
        <is>
          <t>UPPSALA LÄN</t>
        </is>
      </c>
      <c r="E500" t="inlineStr">
        <is>
          <t>UPPSALA</t>
        </is>
      </c>
      <c r="G500" t="n">
        <v>2.4</v>
      </c>
      <c r="H500" t="n">
        <v>0</v>
      </c>
      <c r="I500" t="n">
        <v>0</v>
      </c>
      <c r="J500" t="n">
        <v>0</v>
      </c>
      <c r="K500" t="n">
        <v>0</v>
      </c>
      <c r="L500" t="n">
        <v>0</v>
      </c>
      <c r="M500" t="n">
        <v>0</v>
      </c>
      <c r="N500" t="n">
        <v>0</v>
      </c>
      <c r="O500" t="n">
        <v>0</v>
      </c>
      <c r="P500" t="n">
        <v>0</v>
      </c>
      <c r="Q500" t="n">
        <v>0</v>
      </c>
      <c r="R500" s="2" t="inlineStr"/>
    </row>
    <row r="501" ht="15" customHeight="1">
      <c r="A501" t="inlineStr">
        <is>
          <t>A 3314-2025</t>
        </is>
      </c>
      <c r="B501" s="1" t="n">
        <v>45679</v>
      </c>
      <c r="C501" s="1" t="n">
        <v>45968</v>
      </c>
      <c r="D501" t="inlineStr">
        <is>
          <t>UPPSALA LÄN</t>
        </is>
      </c>
      <c r="E501" t="inlineStr">
        <is>
          <t>UPPSALA</t>
        </is>
      </c>
      <c r="G501" t="n">
        <v>0.8</v>
      </c>
      <c r="H501" t="n">
        <v>0</v>
      </c>
      <c r="I501" t="n">
        <v>0</v>
      </c>
      <c r="J501" t="n">
        <v>0</v>
      </c>
      <c r="K501" t="n">
        <v>0</v>
      </c>
      <c r="L501" t="n">
        <v>0</v>
      </c>
      <c r="M501" t="n">
        <v>0</v>
      </c>
      <c r="N501" t="n">
        <v>0</v>
      </c>
      <c r="O501" t="n">
        <v>0</v>
      </c>
      <c r="P501" t="n">
        <v>0</v>
      </c>
      <c r="Q501" t="n">
        <v>0</v>
      </c>
      <c r="R501" s="2" t="inlineStr"/>
    </row>
    <row r="502" ht="15" customHeight="1">
      <c r="A502" t="inlineStr">
        <is>
          <t>A 37670-2022</t>
        </is>
      </c>
      <c r="B502" s="1" t="n">
        <v>44810</v>
      </c>
      <c r="C502" s="1" t="n">
        <v>45968</v>
      </c>
      <c r="D502" t="inlineStr">
        <is>
          <t>UPPSALA LÄN</t>
        </is>
      </c>
      <c r="E502" t="inlineStr">
        <is>
          <t>UPPSALA</t>
        </is>
      </c>
      <c r="G502" t="n">
        <v>2.4</v>
      </c>
      <c r="H502" t="n">
        <v>0</v>
      </c>
      <c r="I502" t="n">
        <v>0</v>
      </c>
      <c r="J502" t="n">
        <v>0</v>
      </c>
      <c r="K502" t="n">
        <v>0</v>
      </c>
      <c r="L502" t="n">
        <v>0</v>
      </c>
      <c r="M502" t="n">
        <v>0</v>
      </c>
      <c r="N502" t="n">
        <v>0</v>
      </c>
      <c r="O502" t="n">
        <v>0</v>
      </c>
      <c r="P502" t="n">
        <v>0</v>
      </c>
      <c r="Q502" t="n">
        <v>0</v>
      </c>
      <c r="R502" s="2" t="inlineStr"/>
    </row>
    <row r="503" ht="15" customHeight="1">
      <c r="A503" t="inlineStr">
        <is>
          <t>A 18625-2025</t>
        </is>
      </c>
      <c r="B503" s="1" t="n">
        <v>45763.52744212963</v>
      </c>
      <c r="C503" s="1" t="n">
        <v>45968</v>
      </c>
      <c r="D503" t="inlineStr">
        <is>
          <t>UPPSALA LÄN</t>
        </is>
      </c>
      <c r="E503" t="inlineStr">
        <is>
          <t>UPPSALA</t>
        </is>
      </c>
      <c r="G503" t="n">
        <v>1.8</v>
      </c>
      <c r="H503" t="n">
        <v>0</v>
      </c>
      <c r="I503" t="n">
        <v>0</v>
      </c>
      <c r="J503" t="n">
        <v>0</v>
      </c>
      <c r="K503" t="n">
        <v>0</v>
      </c>
      <c r="L503" t="n">
        <v>0</v>
      </c>
      <c r="M503" t="n">
        <v>0</v>
      </c>
      <c r="N503" t="n">
        <v>0</v>
      </c>
      <c r="O503" t="n">
        <v>0</v>
      </c>
      <c r="P503" t="n">
        <v>0</v>
      </c>
      <c r="Q503" t="n">
        <v>0</v>
      </c>
      <c r="R503" s="2" t="inlineStr"/>
    </row>
    <row r="504" ht="15" customHeight="1">
      <c r="A504" t="inlineStr">
        <is>
          <t>A 74495-2021</t>
        </is>
      </c>
      <c r="B504" s="1" t="n">
        <v>44560</v>
      </c>
      <c r="C504" s="1" t="n">
        <v>45968</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46920-2021</t>
        </is>
      </c>
      <c r="B505" s="1" t="n">
        <v>44446</v>
      </c>
      <c r="C505" s="1" t="n">
        <v>45968</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69691-2021</t>
        </is>
      </c>
      <c r="B506" s="1" t="n">
        <v>44532</v>
      </c>
      <c r="C506" s="1" t="n">
        <v>45968</v>
      </c>
      <c r="D506" t="inlineStr">
        <is>
          <t>UPPSALA LÄN</t>
        </is>
      </c>
      <c r="E506" t="inlineStr">
        <is>
          <t>UPPSALA</t>
        </is>
      </c>
      <c r="G506" t="n">
        <v>2.3</v>
      </c>
      <c r="H506" t="n">
        <v>0</v>
      </c>
      <c r="I506" t="n">
        <v>0</v>
      </c>
      <c r="J506" t="n">
        <v>0</v>
      </c>
      <c r="K506" t="n">
        <v>0</v>
      </c>
      <c r="L506" t="n">
        <v>0</v>
      </c>
      <c r="M506" t="n">
        <v>0</v>
      </c>
      <c r="N506" t="n">
        <v>0</v>
      </c>
      <c r="O506" t="n">
        <v>0</v>
      </c>
      <c r="P506" t="n">
        <v>0</v>
      </c>
      <c r="Q506" t="n">
        <v>0</v>
      </c>
      <c r="R506" s="2" t="inlineStr"/>
    </row>
    <row r="507" ht="15" customHeight="1">
      <c r="A507" t="inlineStr">
        <is>
          <t>A 5189-2022</t>
        </is>
      </c>
      <c r="B507" s="1" t="n">
        <v>44594</v>
      </c>
      <c r="C507" s="1" t="n">
        <v>45968</v>
      </c>
      <c r="D507" t="inlineStr">
        <is>
          <t>UPPSALA LÄN</t>
        </is>
      </c>
      <c r="E507" t="inlineStr">
        <is>
          <t>UPPSALA</t>
        </is>
      </c>
      <c r="G507" t="n">
        <v>5.9</v>
      </c>
      <c r="H507" t="n">
        <v>0</v>
      </c>
      <c r="I507" t="n">
        <v>0</v>
      </c>
      <c r="J507" t="n">
        <v>0</v>
      </c>
      <c r="K507" t="n">
        <v>0</v>
      </c>
      <c r="L507" t="n">
        <v>0</v>
      </c>
      <c r="M507" t="n">
        <v>0</v>
      </c>
      <c r="N507" t="n">
        <v>0</v>
      </c>
      <c r="O507" t="n">
        <v>0</v>
      </c>
      <c r="P507" t="n">
        <v>0</v>
      </c>
      <c r="Q507" t="n">
        <v>0</v>
      </c>
      <c r="R507" s="2" t="inlineStr"/>
    </row>
    <row r="508" ht="15" customHeight="1">
      <c r="A508" t="inlineStr">
        <is>
          <t>A 39812-2024</t>
        </is>
      </c>
      <c r="B508" s="1" t="n">
        <v>45552</v>
      </c>
      <c r="C508" s="1" t="n">
        <v>45968</v>
      </c>
      <c r="D508" t="inlineStr">
        <is>
          <t>UPPSALA LÄN</t>
        </is>
      </c>
      <c r="E508" t="inlineStr">
        <is>
          <t>UPPSALA</t>
        </is>
      </c>
      <c r="G508" t="n">
        <v>7.9</v>
      </c>
      <c r="H508" t="n">
        <v>0</v>
      </c>
      <c r="I508" t="n">
        <v>0</v>
      </c>
      <c r="J508" t="n">
        <v>0</v>
      </c>
      <c r="K508" t="n">
        <v>0</v>
      </c>
      <c r="L508" t="n">
        <v>0</v>
      </c>
      <c r="M508" t="n">
        <v>0</v>
      </c>
      <c r="N508" t="n">
        <v>0</v>
      </c>
      <c r="O508" t="n">
        <v>0</v>
      </c>
      <c r="P508" t="n">
        <v>0</v>
      </c>
      <c r="Q508" t="n">
        <v>0</v>
      </c>
      <c r="R508" s="2" t="inlineStr"/>
    </row>
    <row r="509" ht="15" customHeight="1">
      <c r="A509" t="inlineStr">
        <is>
          <t>A 5362-2023</t>
        </is>
      </c>
      <c r="B509" s="1" t="n">
        <v>44944</v>
      </c>
      <c r="C509" s="1" t="n">
        <v>45968</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18677-2024</t>
        </is>
      </c>
      <c r="B510" s="1" t="n">
        <v>45426</v>
      </c>
      <c r="C510" s="1" t="n">
        <v>45968</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32688-2023</t>
        </is>
      </c>
      <c r="B511" s="1" t="n">
        <v>45121</v>
      </c>
      <c r="C511" s="1" t="n">
        <v>45968</v>
      </c>
      <c r="D511" t="inlineStr">
        <is>
          <t>UPPSALA LÄN</t>
        </is>
      </c>
      <c r="E511" t="inlineStr">
        <is>
          <t>UPPSALA</t>
        </is>
      </c>
      <c r="F511" t="inlineStr">
        <is>
          <t>Holmen skog AB</t>
        </is>
      </c>
      <c r="G511" t="n">
        <v>4.3</v>
      </c>
      <c r="H511" t="n">
        <v>0</v>
      </c>
      <c r="I511" t="n">
        <v>0</v>
      </c>
      <c r="J511" t="n">
        <v>0</v>
      </c>
      <c r="K511" t="n">
        <v>0</v>
      </c>
      <c r="L511" t="n">
        <v>0</v>
      </c>
      <c r="M511" t="n">
        <v>0</v>
      </c>
      <c r="N511" t="n">
        <v>0</v>
      </c>
      <c r="O511" t="n">
        <v>0</v>
      </c>
      <c r="P511" t="n">
        <v>0</v>
      </c>
      <c r="Q511" t="n">
        <v>0</v>
      </c>
      <c r="R511" s="2" t="inlineStr"/>
    </row>
    <row r="512" ht="15" customHeight="1">
      <c r="A512" t="inlineStr">
        <is>
          <t>A 26762-2023</t>
        </is>
      </c>
      <c r="B512" s="1" t="n">
        <v>45093.46706018518</v>
      </c>
      <c r="C512" s="1" t="n">
        <v>45968</v>
      </c>
      <c r="D512" t="inlineStr">
        <is>
          <t>UPPSALA LÄN</t>
        </is>
      </c>
      <c r="E512" t="inlineStr">
        <is>
          <t>UPPSALA</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34132-2025</t>
        </is>
      </c>
      <c r="B513" s="1" t="n">
        <v>45845.53202546296</v>
      </c>
      <c r="C513" s="1" t="n">
        <v>45968</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53266-2024</t>
        </is>
      </c>
      <c r="B514" s="1" t="n">
        <v>45614</v>
      </c>
      <c r="C514" s="1" t="n">
        <v>45968</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60702-2022</t>
        </is>
      </c>
      <c r="B515" s="1" t="n">
        <v>44912.29869212963</v>
      </c>
      <c r="C515" s="1" t="n">
        <v>45968</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6930-2023</t>
        </is>
      </c>
      <c r="B516" s="1" t="n">
        <v>44967.55960648148</v>
      </c>
      <c r="C516" s="1" t="n">
        <v>45968</v>
      </c>
      <c r="D516" t="inlineStr">
        <is>
          <t>UPPSALA LÄN</t>
        </is>
      </c>
      <c r="E516" t="inlineStr">
        <is>
          <t>UPPSALA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8877-2022</t>
        </is>
      </c>
      <c r="B517" s="1" t="n">
        <v>44614.59027777778</v>
      </c>
      <c r="C517" s="1" t="n">
        <v>45968</v>
      </c>
      <c r="D517" t="inlineStr">
        <is>
          <t>UPPSALA LÄN</t>
        </is>
      </c>
      <c r="E517" t="inlineStr">
        <is>
          <t>UPPSALA</t>
        </is>
      </c>
      <c r="G517" t="n">
        <v>1.4</v>
      </c>
      <c r="H517" t="n">
        <v>0</v>
      </c>
      <c r="I517" t="n">
        <v>0</v>
      </c>
      <c r="J517" t="n">
        <v>0</v>
      </c>
      <c r="K517" t="n">
        <v>0</v>
      </c>
      <c r="L517" t="n">
        <v>0</v>
      </c>
      <c r="M517" t="n">
        <v>0</v>
      </c>
      <c r="N517" t="n">
        <v>0</v>
      </c>
      <c r="O517" t="n">
        <v>0</v>
      </c>
      <c r="P517" t="n">
        <v>0</v>
      </c>
      <c r="Q517" t="n">
        <v>0</v>
      </c>
      <c r="R517" s="2" t="inlineStr"/>
    </row>
    <row r="518" ht="15" customHeight="1">
      <c r="A518" t="inlineStr">
        <is>
          <t>A 554-2023</t>
        </is>
      </c>
      <c r="B518" s="1" t="n">
        <v>44930</v>
      </c>
      <c r="C518" s="1" t="n">
        <v>45968</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27903-2023</t>
        </is>
      </c>
      <c r="B519" s="1" t="n">
        <v>45098.62966435185</v>
      </c>
      <c r="C519" s="1" t="n">
        <v>45968</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12282-2025</t>
        </is>
      </c>
      <c r="B520" s="1" t="n">
        <v>45729</v>
      </c>
      <c r="C520" s="1" t="n">
        <v>45968</v>
      </c>
      <c r="D520" t="inlineStr">
        <is>
          <t>UPPSALA LÄN</t>
        </is>
      </c>
      <c r="E520" t="inlineStr">
        <is>
          <t>UPPSALA</t>
        </is>
      </c>
      <c r="G520" t="n">
        <v>3.3</v>
      </c>
      <c r="H520" t="n">
        <v>0</v>
      </c>
      <c r="I520" t="n">
        <v>0</v>
      </c>
      <c r="J520" t="n">
        <v>0</v>
      </c>
      <c r="K520" t="n">
        <v>0</v>
      </c>
      <c r="L520" t="n">
        <v>0</v>
      </c>
      <c r="M520" t="n">
        <v>0</v>
      </c>
      <c r="N520" t="n">
        <v>0</v>
      </c>
      <c r="O520" t="n">
        <v>0</v>
      </c>
      <c r="P520" t="n">
        <v>0</v>
      </c>
      <c r="Q520" t="n">
        <v>0</v>
      </c>
      <c r="R520" s="2" t="inlineStr"/>
    </row>
    <row r="521" ht="15" customHeight="1">
      <c r="A521" t="inlineStr">
        <is>
          <t>A 17250-2025</t>
        </is>
      </c>
      <c r="B521" s="1" t="n">
        <v>45756.50738425926</v>
      </c>
      <c r="C521" s="1" t="n">
        <v>45968</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14784-2023</t>
        </is>
      </c>
      <c r="B522" s="1" t="n">
        <v>45014</v>
      </c>
      <c r="C522" s="1" t="n">
        <v>45968</v>
      </c>
      <c r="D522" t="inlineStr">
        <is>
          <t>UPPSALA LÄN</t>
        </is>
      </c>
      <c r="E522" t="inlineStr">
        <is>
          <t>UPPSALA</t>
        </is>
      </c>
      <c r="G522" t="n">
        <v>4.7</v>
      </c>
      <c r="H522" t="n">
        <v>0</v>
      </c>
      <c r="I522" t="n">
        <v>0</v>
      </c>
      <c r="J522" t="n">
        <v>0</v>
      </c>
      <c r="K522" t="n">
        <v>0</v>
      </c>
      <c r="L522" t="n">
        <v>0</v>
      </c>
      <c r="M522" t="n">
        <v>0</v>
      </c>
      <c r="N522" t="n">
        <v>0</v>
      </c>
      <c r="O522" t="n">
        <v>0</v>
      </c>
      <c r="P522" t="n">
        <v>0</v>
      </c>
      <c r="Q522" t="n">
        <v>0</v>
      </c>
      <c r="R522" s="2" t="inlineStr"/>
    </row>
    <row r="523" ht="15" customHeight="1">
      <c r="A523" t="inlineStr">
        <is>
          <t>A 59116-2024</t>
        </is>
      </c>
      <c r="B523" s="1" t="n">
        <v>45637</v>
      </c>
      <c r="C523" s="1" t="n">
        <v>45968</v>
      </c>
      <c r="D523" t="inlineStr">
        <is>
          <t>UPPSALA LÄN</t>
        </is>
      </c>
      <c r="E523" t="inlineStr">
        <is>
          <t>UPPSALA</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41422-2023</t>
        </is>
      </c>
      <c r="B524" s="1" t="n">
        <v>45175</v>
      </c>
      <c r="C524" s="1" t="n">
        <v>45968</v>
      </c>
      <c r="D524" t="inlineStr">
        <is>
          <t>UPPSALA LÄN</t>
        </is>
      </c>
      <c r="E524" t="inlineStr">
        <is>
          <t>UPPSALA</t>
        </is>
      </c>
      <c r="F524" t="inlineStr">
        <is>
          <t>Kyrkan</t>
        </is>
      </c>
      <c r="G524" t="n">
        <v>5.2</v>
      </c>
      <c r="H524" t="n">
        <v>0</v>
      </c>
      <c r="I524" t="n">
        <v>0</v>
      </c>
      <c r="J524" t="n">
        <v>0</v>
      </c>
      <c r="K524" t="n">
        <v>0</v>
      </c>
      <c r="L524" t="n">
        <v>0</v>
      </c>
      <c r="M524" t="n">
        <v>0</v>
      </c>
      <c r="N524" t="n">
        <v>0</v>
      </c>
      <c r="O524" t="n">
        <v>0</v>
      </c>
      <c r="P524" t="n">
        <v>0</v>
      </c>
      <c r="Q524" t="n">
        <v>0</v>
      </c>
      <c r="R524" s="2" t="inlineStr"/>
    </row>
    <row r="525" ht="15" customHeight="1">
      <c r="A525" t="inlineStr">
        <is>
          <t>A 27473-2024</t>
        </is>
      </c>
      <c r="B525" s="1" t="n">
        <v>45474</v>
      </c>
      <c r="C525" s="1" t="n">
        <v>45968</v>
      </c>
      <c r="D525" t="inlineStr">
        <is>
          <t>UPPSALA LÄN</t>
        </is>
      </c>
      <c r="E525" t="inlineStr">
        <is>
          <t>UPPSALA</t>
        </is>
      </c>
      <c r="G525" t="n">
        <v>0.6</v>
      </c>
      <c r="H525" t="n">
        <v>0</v>
      </c>
      <c r="I525" t="n">
        <v>0</v>
      </c>
      <c r="J525" t="n">
        <v>0</v>
      </c>
      <c r="K525" t="n">
        <v>0</v>
      </c>
      <c r="L525" t="n">
        <v>0</v>
      </c>
      <c r="M525" t="n">
        <v>0</v>
      </c>
      <c r="N525" t="n">
        <v>0</v>
      </c>
      <c r="O525" t="n">
        <v>0</v>
      </c>
      <c r="P525" t="n">
        <v>0</v>
      </c>
      <c r="Q525" t="n">
        <v>0</v>
      </c>
      <c r="R525" s="2" t="inlineStr"/>
    </row>
    <row r="526" ht="15" customHeight="1">
      <c r="A526" t="inlineStr">
        <is>
          <t>A 34893-2025</t>
        </is>
      </c>
      <c r="B526" s="1" t="n">
        <v>45849.49259259259</v>
      </c>
      <c r="C526" s="1" t="n">
        <v>45968</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13799-2024</t>
        </is>
      </c>
      <c r="B527" s="1" t="n">
        <v>45391.37361111111</v>
      </c>
      <c r="C527" s="1" t="n">
        <v>45968</v>
      </c>
      <c r="D527" t="inlineStr">
        <is>
          <t>UPPSALA LÄN</t>
        </is>
      </c>
      <c r="E527" t="inlineStr">
        <is>
          <t>UPPSALA</t>
        </is>
      </c>
      <c r="G527" t="n">
        <v>1.9</v>
      </c>
      <c r="H527" t="n">
        <v>0</v>
      </c>
      <c r="I527" t="n">
        <v>0</v>
      </c>
      <c r="J527" t="n">
        <v>0</v>
      </c>
      <c r="K527" t="n">
        <v>0</v>
      </c>
      <c r="L527" t="n">
        <v>0</v>
      </c>
      <c r="M527" t="n">
        <v>0</v>
      </c>
      <c r="N527" t="n">
        <v>0</v>
      </c>
      <c r="O527" t="n">
        <v>0</v>
      </c>
      <c r="P527" t="n">
        <v>0</v>
      </c>
      <c r="Q527" t="n">
        <v>0</v>
      </c>
      <c r="R527" s="2" t="inlineStr"/>
    </row>
    <row r="528" ht="15" customHeight="1">
      <c r="A528" t="inlineStr">
        <is>
          <t>A 60820-2024</t>
        </is>
      </c>
      <c r="B528" s="1" t="n">
        <v>45644.62677083333</v>
      </c>
      <c r="C528" s="1" t="n">
        <v>45968</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35056-2025</t>
        </is>
      </c>
      <c r="B529" s="1" t="n">
        <v>45852.39642361111</v>
      </c>
      <c r="C529" s="1" t="n">
        <v>45968</v>
      </c>
      <c r="D529" t="inlineStr">
        <is>
          <t>UPPSALA LÄN</t>
        </is>
      </c>
      <c r="E529" t="inlineStr">
        <is>
          <t>UPPSALA</t>
        </is>
      </c>
      <c r="G529" t="n">
        <v>2.6</v>
      </c>
      <c r="H529" t="n">
        <v>0</v>
      </c>
      <c r="I529" t="n">
        <v>0</v>
      </c>
      <c r="J529" t="n">
        <v>0</v>
      </c>
      <c r="K529" t="n">
        <v>0</v>
      </c>
      <c r="L529" t="n">
        <v>0</v>
      </c>
      <c r="M529" t="n">
        <v>0</v>
      </c>
      <c r="N529" t="n">
        <v>0</v>
      </c>
      <c r="O529" t="n">
        <v>0</v>
      </c>
      <c r="P529" t="n">
        <v>0</v>
      </c>
      <c r="Q529" t="n">
        <v>0</v>
      </c>
      <c r="R529" s="2" t="inlineStr"/>
    </row>
    <row r="530" ht="15" customHeight="1">
      <c r="A530" t="inlineStr">
        <is>
          <t>A 18675-2024</t>
        </is>
      </c>
      <c r="B530" s="1" t="n">
        <v>45426</v>
      </c>
      <c r="C530" s="1" t="n">
        <v>45968</v>
      </c>
      <c r="D530" t="inlineStr">
        <is>
          <t>UPPSALA LÄN</t>
        </is>
      </c>
      <c r="E530" t="inlineStr">
        <is>
          <t>UPPSALA</t>
        </is>
      </c>
      <c r="G530" t="n">
        <v>8.1</v>
      </c>
      <c r="H530" t="n">
        <v>0</v>
      </c>
      <c r="I530" t="n">
        <v>0</v>
      </c>
      <c r="J530" t="n">
        <v>0</v>
      </c>
      <c r="K530" t="n">
        <v>0</v>
      </c>
      <c r="L530" t="n">
        <v>0</v>
      </c>
      <c r="M530" t="n">
        <v>0</v>
      </c>
      <c r="N530" t="n">
        <v>0</v>
      </c>
      <c r="O530" t="n">
        <v>0</v>
      </c>
      <c r="P530" t="n">
        <v>0</v>
      </c>
      <c r="Q530" t="n">
        <v>0</v>
      </c>
      <c r="R530" s="2" t="inlineStr"/>
    </row>
    <row r="531" ht="15" customHeight="1">
      <c r="A531" t="inlineStr">
        <is>
          <t>A 35167-2025</t>
        </is>
      </c>
      <c r="B531" s="1" t="n">
        <v>45852.72965277778</v>
      </c>
      <c r="C531" s="1" t="n">
        <v>45968</v>
      </c>
      <c r="D531" t="inlineStr">
        <is>
          <t>UPPSALA LÄN</t>
        </is>
      </c>
      <c r="E531" t="inlineStr">
        <is>
          <t>UPPSALA</t>
        </is>
      </c>
      <c r="F531" t="inlineStr">
        <is>
          <t>Holmen skog AB</t>
        </is>
      </c>
      <c r="G531" t="n">
        <v>10</v>
      </c>
      <c r="H531" t="n">
        <v>0</v>
      </c>
      <c r="I531" t="n">
        <v>0</v>
      </c>
      <c r="J531" t="n">
        <v>0</v>
      </c>
      <c r="K531" t="n">
        <v>0</v>
      </c>
      <c r="L531" t="n">
        <v>0</v>
      </c>
      <c r="M531" t="n">
        <v>0</v>
      </c>
      <c r="N531" t="n">
        <v>0</v>
      </c>
      <c r="O531" t="n">
        <v>0</v>
      </c>
      <c r="P531" t="n">
        <v>0</v>
      </c>
      <c r="Q531" t="n">
        <v>0</v>
      </c>
      <c r="R531" s="2" t="inlineStr"/>
    </row>
    <row r="532" ht="15" customHeight="1">
      <c r="A532" t="inlineStr">
        <is>
          <t>A 35150-2025</t>
        </is>
      </c>
      <c r="B532" s="1" t="n">
        <v>45852</v>
      </c>
      <c r="C532" s="1" t="n">
        <v>45968</v>
      </c>
      <c r="D532" t="inlineStr">
        <is>
          <t>UPPSALA LÄN</t>
        </is>
      </c>
      <c r="E532" t="inlineStr">
        <is>
          <t>UPPSALA</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35015-2025</t>
        </is>
      </c>
      <c r="B533" s="1" t="n">
        <v>45851.62018518519</v>
      </c>
      <c r="C533" s="1" t="n">
        <v>45968</v>
      </c>
      <c r="D533" t="inlineStr">
        <is>
          <t>UPPSALA LÄN</t>
        </is>
      </c>
      <c r="E533" t="inlineStr">
        <is>
          <t>UPPSALA</t>
        </is>
      </c>
      <c r="F533" t="inlineStr">
        <is>
          <t>Bergvik skog öst AB</t>
        </is>
      </c>
      <c r="G533" t="n">
        <v>0.3</v>
      </c>
      <c r="H533" t="n">
        <v>0</v>
      </c>
      <c r="I533" t="n">
        <v>0</v>
      </c>
      <c r="J533" t="n">
        <v>0</v>
      </c>
      <c r="K533" t="n">
        <v>0</v>
      </c>
      <c r="L533" t="n">
        <v>0</v>
      </c>
      <c r="M533" t="n">
        <v>0</v>
      </c>
      <c r="N533" t="n">
        <v>0</v>
      </c>
      <c r="O533" t="n">
        <v>0</v>
      </c>
      <c r="P533" t="n">
        <v>0</v>
      </c>
      <c r="Q533" t="n">
        <v>0</v>
      </c>
      <c r="R533" s="2" t="inlineStr"/>
    </row>
    <row r="534" ht="15" customHeight="1">
      <c r="A534" t="inlineStr">
        <is>
          <t>A 45662-2023</t>
        </is>
      </c>
      <c r="B534" s="1" t="n">
        <v>45194</v>
      </c>
      <c r="C534" s="1" t="n">
        <v>45968</v>
      </c>
      <c r="D534" t="inlineStr">
        <is>
          <t>UPPSALA LÄN</t>
        </is>
      </c>
      <c r="E534" t="inlineStr">
        <is>
          <t>UPPSALA</t>
        </is>
      </c>
      <c r="F534" t="inlineStr">
        <is>
          <t>Bergvik skog öst AB</t>
        </is>
      </c>
      <c r="G534" t="n">
        <v>2.8</v>
      </c>
      <c r="H534" t="n">
        <v>0</v>
      </c>
      <c r="I534" t="n">
        <v>0</v>
      </c>
      <c r="J534" t="n">
        <v>0</v>
      </c>
      <c r="K534" t="n">
        <v>0</v>
      </c>
      <c r="L534" t="n">
        <v>0</v>
      </c>
      <c r="M534" t="n">
        <v>0</v>
      </c>
      <c r="N534" t="n">
        <v>0</v>
      </c>
      <c r="O534" t="n">
        <v>0</v>
      </c>
      <c r="P534" t="n">
        <v>0</v>
      </c>
      <c r="Q534" t="n">
        <v>0</v>
      </c>
      <c r="R534" s="2" t="inlineStr"/>
    </row>
    <row r="535" ht="15" customHeight="1">
      <c r="A535" t="inlineStr">
        <is>
          <t>A 42772-2022</t>
        </is>
      </c>
      <c r="B535" s="1" t="n">
        <v>44832.49594907407</v>
      </c>
      <c r="C535" s="1" t="n">
        <v>45968</v>
      </c>
      <c r="D535" t="inlineStr">
        <is>
          <t>UPPSALA LÄN</t>
        </is>
      </c>
      <c r="E535" t="inlineStr">
        <is>
          <t>UPPSALA</t>
        </is>
      </c>
      <c r="G535" t="n">
        <v>17.7</v>
      </c>
      <c r="H535" t="n">
        <v>0</v>
      </c>
      <c r="I535" t="n">
        <v>0</v>
      </c>
      <c r="J535" t="n">
        <v>0</v>
      </c>
      <c r="K535" t="n">
        <v>0</v>
      </c>
      <c r="L535" t="n">
        <v>0</v>
      </c>
      <c r="M535" t="n">
        <v>0</v>
      </c>
      <c r="N535" t="n">
        <v>0</v>
      </c>
      <c r="O535" t="n">
        <v>0</v>
      </c>
      <c r="P535" t="n">
        <v>0</v>
      </c>
      <c r="Q535" t="n">
        <v>0</v>
      </c>
      <c r="R535" s="2" t="inlineStr"/>
    </row>
    <row r="536" ht="15" customHeight="1">
      <c r="A536" t="inlineStr">
        <is>
          <t>A 35155-2025</t>
        </is>
      </c>
      <c r="B536" s="1" t="n">
        <v>45852.68978009259</v>
      </c>
      <c r="C536" s="1" t="n">
        <v>45968</v>
      </c>
      <c r="D536" t="inlineStr">
        <is>
          <t>UPPSALA LÄN</t>
        </is>
      </c>
      <c r="E536" t="inlineStr">
        <is>
          <t>UPPSALA</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35148-2025</t>
        </is>
      </c>
      <c r="B537" s="1" t="n">
        <v>45852.67366898148</v>
      </c>
      <c r="C537" s="1" t="n">
        <v>45968</v>
      </c>
      <c r="D537" t="inlineStr">
        <is>
          <t>UPPSALA LÄN</t>
        </is>
      </c>
      <c r="E537" t="inlineStr">
        <is>
          <t>UPPSALA</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35053-2025</t>
        </is>
      </c>
      <c r="B538" s="1" t="n">
        <v>45852.36871527778</v>
      </c>
      <c r="C538" s="1" t="n">
        <v>45968</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35014-2025</t>
        </is>
      </c>
      <c r="B539" s="1" t="n">
        <v>45851.60097222222</v>
      </c>
      <c r="C539" s="1" t="n">
        <v>45968</v>
      </c>
      <c r="D539" t="inlineStr">
        <is>
          <t>UPPSALA LÄN</t>
        </is>
      </c>
      <c r="E539" t="inlineStr">
        <is>
          <t>UPPSALA</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3261-2024</t>
        </is>
      </c>
      <c r="B540" s="1" t="n">
        <v>45317</v>
      </c>
      <c r="C540" s="1" t="n">
        <v>45968</v>
      </c>
      <c r="D540" t="inlineStr">
        <is>
          <t>UPPSALA LÄN</t>
        </is>
      </c>
      <c r="E540" t="inlineStr">
        <is>
          <t>UPPSALA</t>
        </is>
      </c>
      <c r="G540" t="n">
        <v>2.8</v>
      </c>
      <c r="H540" t="n">
        <v>0</v>
      </c>
      <c r="I540" t="n">
        <v>0</v>
      </c>
      <c r="J540" t="n">
        <v>0</v>
      </c>
      <c r="K540" t="n">
        <v>0</v>
      </c>
      <c r="L540" t="n">
        <v>0</v>
      </c>
      <c r="M540" t="n">
        <v>0</v>
      </c>
      <c r="N540" t="n">
        <v>0</v>
      </c>
      <c r="O540" t="n">
        <v>0</v>
      </c>
      <c r="P540" t="n">
        <v>0</v>
      </c>
      <c r="Q540" t="n">
        <v>0</v>
      </c>
      <c r="R540" s="2" t="inlineStr"/>
    </row>
    <row r="541" ht="15" customHeight="1">
      <c r="A541" t="inlineStr">
        <is>
          <t>A 39865-2022</t>
        </is>
      </c>
      <c r="B541" s="1" t="n">
        <v>44819.62</v>
      </c>
      <c r="C541" s="1" t="n">
        <v>45968</v>
      </c>
      <c r="D541" t="inlineStr">
        <is>
          <t>UPPSALA LÄN</t>
        </is>
      </c>
      <c r="E541" t="inlineStr">
        <is>
          <t>UPPSALA</t>
        </is>
      </c>
      <c r="G541" t="n">
        <v>2.5</v>
      </c>
      <c r="H541" t="n">
        <v>0</v>
      </c>
      <c r="I541" t="n">
        <v>0</v>
      </c>
      <c r="J541" t="n">
        <v>0</v>
      </c>
      <c r="K541" t="n">
        <v>0</v>
      </c>
      <c r="L541" t="n">
        <v>0</v>
      </c>
      <c r="M541" t="n">
        <v>0</v>
      </c>
      <c r="N541" t="n">
        <v>0</v>
      </c>
      <c r="O541" t="n">
        <v>0</v>
      </c>
      <c r="P541" t="n">
        <v>0</v>
      </c>
      <c r="Q541" t="n">
        <v>0</v>
      </c>
      <c r="R541" s="2" t="inlineStr"/>
    </row>
    <row r="542" ht="15" customHeight="1">
      <c r="A542" t="inlineStr">
        <is>
          <t>A 5899-2024</t>
        </is>
      </c>
      <c r="B542" s="1" t="n">
        <v>45335</v>
      </c>
      <c r="C542" s="1" t="n">
        <v>45968</v>
      </c>
      <c r="D542" t="inlineStr">
        <is>
          <t>UPPSALA LÄN</t>
        </is>
      </c>
      <c r="E542" t="inlineStr">
        <is>
          <t>UPPSALA</t>
        </is>
      </c>
      <c r="F542" t="inlineStr">
        <is>
          <t>Allmännings- och besparingsskogar</t>
        </is>
      </c>
      <c r="G542" t="n">
        <v>3.7</v>
      </c>
      <c r="H542" t="n">
        <v>0</v>
      </c>
      <c r="I542" t="n">
        <v>0</v>
      </c>
      <c r="J542" t="n">
        <v>0</v>
      </c>
      <c r="K542" t="n">
        <v>0</v>
      </c>
      <c r="L542" t="n">
        <v>0</v>
      </c>
      <c r="M542" t="n">
        <v>0</v>
      </c>
      <c r="N542" t="n">
        <v>0</v>
      </c>
      <c r="O542" t="n">
        <v>0</v>
      </c>
      <c r="P542" t="n">
        <v>0</v>
      </c>
      <c r="Q542" t="n">
        <v>0</v>
      </c>
      <c r="R542" s="2" t="inlineStr"/>
    </row>
    <row r="543" ht="15" customHeight="1">
      <c r="A543" t="inlineStr">
        <is>
          <t>A 59489-2023</t>
        </is>
      </c>
      <c r="B543" s="1" t="n">
        <v>45254</v>
      </c>
      <c r="C543" s="1" t="n">
        <v>45968</v>
      </c>
      <c r="D543" t="inlineStr">
        <is>
          <t>UPPSALA LÄN</t>
        </is>
      </c>
      <c r="E543" t="inlineStr">
        <is>
          <t>UPPSALA</t>
        </is>
      </c>
      <c r="G543" t="n">
        <v>6.5</v>
      </c>
      <c r="H543" t="n">
        <v>0</v>
      </c>
      <c r="I543" t="n">
        <v>0</v>
      </c>
      <c r="J543" t="n">
        <v>0</v>
      </c>
      <c r="K543" t="n">
        <v>0</v>
      </c>
      <c r="L543" t="n">
        <v>0</v>
      </c>
      <c r="M543" t="n">
        <v>0</v>
      </c>
      <c r="N543" t="n">
        <v>0</v>
      </c>
      <c r="O543" t="n">
        <v>0</v>
      </c>
      <c r="P543" t="n">
        <v>0</v>
      </c>
      <c r="Q543" t="n">
        <v>0</v>
      </c>
      <c r="R543" s="2" t="inlineStr"/>
    </row>
    <row r="544" ht="15" customHeight="1">
      <c r="A544" t="inlineStr">
        <is>
          <t>A 7058-2023</t>
        </is>
      </c>
      <c r="B544" s="1" t="n">
        <v>44969</v>
      </c>
      <c r="C544" s="1" t="n">
        <v>45968</v>
      </c>
      <c r="D544" t="inlineStr">
        <is>
          <t>UPPSALA LÄN</t>
        </is>
      </c>
      <c r="E544" t="inlineStr">
        <is>
          <t>UPPSALA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35305-2025</t>
        </is>
      </c>
      <c r="B545" s="1" t="n">
        <v>45854.44017361111</v>
      </c>
      <c r="C545" s="1" t="n">
        <v>45968</v>
      </c>
      <c r="D545" t="inlineStr">
        <is>
          <t>UPPSALA LÄN</t>
        </is>
      </c>
      <c r="E545" t="inlineStr">
        <is>
          <t>UPPSALA</t>
        </is>
      </c>
      <c r="F545" t="inlineStr">
        <is>
          <t>Holmen skog AB</t>
        </is>
      </c>
      <c r="G545" t="n">
        <v>3.3</v>
      </c>
      <c r="H545" t="n">
        <v>0</v>
      </c>
      <c r="I545" t="n">
        <v>0</v>
      </c>
      <c r="J545" t="n">
        <v>0</v>
      </c>
      <c r="K545" t="n">
        <v>0</v>
      </c>
      <c r="L545" t="n">
        <v>0</v>
      </c>
      <c r="M545" t="n">
        <v>0</v>
      </c>
      <c r="N545" t="n">
        <v>0</v>
      </c>
      <c r="O545" t="n">
        <v>0</v>
      </c>
      <c r="P545" t="n">
        <v>0</v>
      </c>
      <c r="Q545" t="n">
        <v>0</v>
      </c>
      <c r="R545" s="2" t="inlineStr"/>
    </row>
    <row r="546" ht="15" customHeight="1">
      <c r="A546" t="inlineStr">
        <is>
          <t>A 18805-2025</t>
        </is>
      </c>
      <c r="B546" s="1" t="n">
        <v>45763</v>
      </c>
      <c r="C546" s="1" t="n">
        <v>45968</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35504-2025</t>
        </is>
      </c>
      <c r="B547" s="1" t="n">
        <v>45856.34034722222</v>
      </c>
      <c r="C547" s="1" t="n">
        <v>45968</v>
      </c>
      <c r="D547" t="inlineStr">
        <is>
          <t>UPPSALA LÄN</t>
        </is>
      </c>
      <c r="E547" t="inlineStr">
        <is>
          <t>UPPSALA</t>
        </is>
      </c>
      <c r="F547" t="inlineStr">
        <is>
          <t>Bergvik skog öst AB</t>
        </is>
      </c>
      <c r="G547" t="n">
        <v>6.7</v>
      </c>
      <c r="H547" t="n">
        <v>0</v>
      </c>
      <c r="I547" t="n">
        <v>0</v>
      </c>
      <c r="J547" t="n">
        <v>0</v>
      </c>
      <c r="K547" t="n">
        <v>0</v>
      </c>
      <c r="L547" t="n">
        <v>0</v>
      </c>
      <c r="M547" t="n">
        <v>0</v>
      </c>
      <c r="N547" t="n">
        <v>0</v>
      </c>
      <c r="O547" t="n">
        <v>0</v>
      </c>
      <c r="P547" t="n">
        <v>0</v>
      </c>
      <c r="Q547" t="n">
        <v>0</v>
      </c>
      <c r="R547" s="2" t="inlineStr"/>
    </row>
    <row r="548" ht="15" customHeight="1">
      <c r="A548" t="inlineStr">
        <is>
          <t>A 35505-2025</t>
        </is>
      </c>
      <c r="B548" s="1" t="n">
        <v>45856.34231481481</v>
      </c>
      <c r="C548" s="1" t="n">
        <v>45968</v>
      </c>
      <c r="D548" t="inlineStr">
        <is>
          <t>UPPSALA LÄN</t>
        </is>
      </c>
      <c r="E548" t="inlineStr">
        <is>
          <t>UPPSALA</t>
        </is>
      </c>
      <c r="F548" t="inlineStr">
        <is>
          <t>Bergvik skog öst AB</t>
        </is>
      </c>
      <c r="G548" t="n">
        <v>7.9</v>
      </c>
      <c r="H548" t="n">
        <v>0</v>
      </c>
      <c r="I548" t="n">
        <v>0</v>
      </c>
      <c r="J548" t="n">
        <v>0</v>
      </c>
      <c r="K548" t="n">
        <v>0</v>
      </c>
      <c r="L548" t="n">
        <v>0</v>
      </c>
      <c r="M548" t="n">
        <v>0</v>
      </c>
      <c r="N548" t="n">
        <v>0</v>
      </c>
      <c r="O548" t="n">
        <v>0</v>
      </c>
      <c r="P548" t="n">
        <v>0</v>
      </c>
      <c r="Q548" t="n">
        <v>0</v>
      </c>
      <c r="R548" s="2" t="inlineStr"/>
    </row>
    <row r="549" ht="15" customHeight="1">
      <c r="A549" t="inlineStr">
        <is>
          <t>A 6679-2024</t>
        </is>
      </c>
      <c r="B549" s="1" t="n">
        <v>45341</v>
      </c>
      <c r="C549" s="1" t="n">
        <v>45968</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35509-2025</t>
        </is>
      </c>
      <c r="B550" s="1" t="n">
        <v>45856.34959490741</v>
      </c>
      <c r="C550" s="1" t="n">
        <v>45968</v>
      </c>
      <c r="D550" t="inlineStr">
        <is>
          <t>UPPSALA LÄN</t>
        </is>
      </c>
      <c r="E550" t="inlineStr">
        <is>
          <t>UPPSALA</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35510-2025</t>
        </is>
      </c>
      <c r="B551" s="1" t="n">
        <v>45856</v>
      </c>
      <c r="C551" s="1" t="n">
        <v>45968</v>
      </c>
      <c r="D551" t="inlineStr">
        <is>
          <t>UPPSALA LÄN</t>
        </is>
      </c>
      <c r="E551" t="inlineStr">
        <is>
          <t>UPPSALA</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1032-2023</t>
        </is>
      </c>
      <c r="B552" s="1" t="n">
        <v>44935</v>
      </c>
      <c r="C552" s="1" t="n">
        <v>45968</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32484-2025</t>
        </is>
      </c>
      <c r="B553" s="1" t="n">
        <v>45838</v>
      </c>
      <c r="C553" s="1" t="n">
        <v>45968</v>
      </c>
      <c r="D553" t="inlineStr">
        <is>
          <t>UPPSALA LÄN</t>
        </is>
      </c>
      <c r="E553" t="inlineStr">
        <is>
          <t>UPPSALA</t>
        </is>
      </c>
      <c r="G553" t="n">
        <v>1.2</v>
      </c>
      <c r="H553" t="n">
        <v>0</v>
      </c>
      <c r="I553" t="n">
        <v>0</v>
      </c>
      <c r="J553" t="n">
        <v>0</v>
      </c>
      <c r="K553" t="n">
        <v>0</v>
      </c>
      <c r="L553" t="n">
        <v>0</v>
      </c>
      <c r="M553" t="n">
        <v>0</v>
      </c>
      <c r="N553" t="n">
        <v>0</v>
      </c>
      <c r="O553" t="n">
        <v>0</v>
      </c>
      <c r="P553" t="n">
        <v>0</v>
      </c>
      <c r="Q553" t="n">
        <v>0</v>
      </c>
      <c r="R553" s="2" t="inlineStr"/>
    </row>
    <row r="554" ht="15" customHeight="1">
      <c r="A554" t="inlineStr">
        <is>
          <t>A 51576-2023</t>
        </is>
      </c>
      <c r="B554" s="1" t="n">
        <v>45222</v>
      </c>
      <c r="C554" s="1" t="n">
        <v>45968</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32475-2025</t>
        </is>
      </c>
      <c r="B555" s="1" t="n">
        <v>45838</v>
      </c>
      <c r="C555" s="1" t="n">
        <v>45968</v>
      </c>
      <c r="D555" t="inlineStr">
        <is>
          <t>UPPSALA LÄN</t>
        </is>
      </c>
      <c r="E555" t="inlineStr">
        <is>
          <t>UPPSALA</t>
        </is>
      </c>
      <c r="G555" t="n">
        <v>3</v>
      </c>
      <c r="H555" t="n">
        <v>0</v>
      </c>
      <c r="I555" t="n">
        <v>0</v>
      </c>
      <c r="J555" t="n">
        <v>0</v>
      </c>
      <c r="K555" t="n">
        <v>0</v>
      </c>
      <c r="L555" t="n">
        <v>0</v>
      </c>
      <c r="M555" t="n">
        <v>0</v>
      </c>
      <c r="N555" t="n">
        <v>0</v>
      </c>
      <c r="O555" t="n">
        <v>0</v>
      </c>
      <c r="P555" t="n">
        <v>0</v>
      </c>
      <c r="Q555" t="n">
        <v>0</v>
      </c>
      <c r="R555" s="2" t="inlineStr"/>
    </row>
    <row r="556" ht="15" customHeight="1">
      <c r="A556" t="inlineStr">
        <is>
          <t>A 50267-2023</t>
        </is>
      </c>
      <c r="B556" s="1" t="n">
        <v>45216.39040509259</v>
      </c>
      <c r="C556" s="1" t="n">
        <v>45968</v>
      </c>
      <c r="D556" t="inlineStr">
        <is>
          <t>UPPSALA LÄN</t>
        </is>
      </c>
      <c r="E556" t="inlineStr">
        <is>
          <t>UPPSALA</t>
        </is>
      </c>
      <c r="G556" t="n">
        <v>1</v>
      </c>
      <c r="H556" t="n">
        <v>0</v>
      </c>
      <c r="I556" t="n">
        <v>0</v>
      </c>
      <c r="J556" t="n">
        <v>0</v>
      </c>
      <c r="K556" t="n">
        <v>0</v>
      </c>
      <c r="L556" t="n">
        <v>0</v>
      </c>
      <c r="M556" t="n">
        <v>0</v>
      </c>
      <c r="N556" t="n">
        <v>0</v>
      </c>
      <c r="O556" t="n">
        <v>0</v>
      </c>
      <c r="P556" t="n">
        <v>0</v>
      </c>
      <c r="Q556" t="n">
        <v>0</v>
      </c>
      <c r="R556" s="2" t="inlineStr"/>
    </row>
    <row r="557" ht="15" customHeight="1">
      <c r="A557" t="inlineStr">
        <is>
          <t>A 32479-2025</t>
        </is>
      </c>
      <c r="B557" s="1" t="n">
        <v>45838</v>
      </c>
      <c r="C557" s="1" t="n">
        <v>45968</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35978-2025</t>
        </is>
      </c>
      <c r="B558" s="1" t="n">
        <v>45863.44648148148</v>
      </c>
      <c r="C558" s="1" t="n">
        <v>45968</v>
      </c>
      <c r="D558" t="inlineStr">
        <is>
          <t>UPPSALA LÄN</t>
        </is>
      </c>
      <c r="E558" t="inlineStr">
        <is>
          <t>UPPSALA</t>
        </is>
      </c>
      <c r="G558" t="n">
        <v>1.6</v>
      </c>
      <c r="H558" t="n">
        <v>0</v>
      </c>
      <c r="I558" t="n">
        <v>0</v>
      </c>
      <c r="J558" t="n">
        <v>0</v>
      </c>
      <c r="K558" t="n">
        <v>0</v>
      </c>
      <c r="L558" t="n">
        <v>0</v>
      </c>
      <c r="M558" t="n">
        <v>0</v>
      </c>
      <c r="N558" t="n">
        <v>0</v>
      </c>
      <c r="O558" t="n">
        <v>0</v>
      </c>
      <c r="P558" t="n">
        <v>0</v>
      </c>
      <c r="Q558" t="n">
        <v>0</v>
      </c>
      <c r="R558" s="2" t="inlineStr"/>
    </row>
    <row r="559" ht="15" customHeight="1">
      <c r="A559" t="inlineStr">
        <is>
          <t>A 9235-2025</t>
        </is>
      </c>
      <c r="B559" s="1" t="n">
        <v>45714.55368055555</v>
      </c>
      <c r="C559" s="1" t="n">
        <v>45968</v>
      </c>
      <c r="D559" t="inlineStr">
        <is>
          <t>UPPSALA LÄN</t>
        </is>
      </c>
      <c r="E559" t="inlineStr">
        <is>
          <t>UPPSALA</t>
        </is>
      </c>
      <c r="G559" t="n">
        <v>1.3</v>
      </c>
      <c r="H559" t="n">
        <v>0</v>
      </c>
      <c r="I559" t="n">
        <v>0</v>
      </c>
      <c r="J559" t="n">
        <v>0</v>
      </c>
      <c r="K559" t="n">
        <v>0</v>
      </c>
      <c r="L559" t="n">
        <v>0</v>
      </c>
      <c r="M559" t="n">
        <v>0</v>
      </c>
      <c r="N559" t="n">
        <v>0</v>
      </c>
      <c r="O559" t="n">
        <v>0</v>
      </c>
      <c r="P559" t="n">
        <v>0</v>
      </c>
      <c r="Q559" t="n">
        <v>0</v>
      </c>
      <c r="R559" s="2" t="inlineStr"/>
    </row>
    <row r="560" ht="15" customHeight="1">
      <c r="A560" t="inlineStr">
        <is>
          <t>A 9984-2025</t>
        </is>
      </c>
      <c r="B560" s="1" t="n">
        <v>45719.42197916667</v>
      </c>
      <c r="C560" s="1" t="n">
        <v>45968</v>
      </c>
      <c r="D560" t="inlineStr">
        <is>
          <t>UPPSALA LÄN</t>
        </is>
      </c>
      <c r="E560" t="inlineStr">
        <is>
          <t>UPPSALA</t>
        </is>
      </c>
      <c r="F560" t="inlineStr">
        <is>
          <t>Kyrkan</t>
        </is>
      </c>
      <c r="G560" t="n">
        <v>2</v>
      </c>
      <c r="H560" t="n">
        <v>0</v>
      </c>
      <c r="I560" t="n">
        <v>0</v>
      </c>
      <c r="J560" t="n">
        <v>0</v>
      </c>
      <c r="K560" t="n">
        <v>0</v>
      </c>
      <c r="L560" t="n">
        <v>0</v>
      </c>
      <c r="M560" t="n">
        <v>0</v>
      </c>
      <c r="N560" t="n">
        <v>0</v>
      </c>
      <c r="O560" t="n">
        <v>0</v>
      </c>
      <c r="P560" t="n">
        <v>0</v>
      </c>
      <c r="Q560" t="n">
        <v>0</v>
      </c>
      <c r="R560" s="2" t="inlineStr"/>
    </row>
    <row r="561" ht="15" customHeight="1">
      <c r="A561" t="inlineStr">
        <is>
          <t>A 9991-2025</t>
        </is>
      </c>
      <c r="B561" s="1" t="n">
        <v>45719.43646990741</v>
      </c>
      <c r="C561" s="1" t="n">
        <v>45968</v>
      </c>
      <c r="D561" t="inlineStr">
        <is>
          <t>UPPSALA LÄN</t>
        </is>
      </c>
      <c r="E561" t="inlineStr">
        <is>
          <t>UPPSALA</t>
        </is>
      </c>
      <c r="F561" t="inlineStr">
        <is>
          <t>Kyrkan</t>
        </is>
      </c>
      <c r="G561" t="n">
        <v>6.1</v>
      </c>
      <c r="H561" t="n">
        <v>0</v>
      </c>
      <c r="I561" t="n">
        <v>0</v>
      </c>
      <c r="J561" t="n">
        <v>0</v>
      </c>
      <c r="K561" t="n">
        <v>0</v>
      </c>
      <c r="L561" t="n">
        <v>0</v>
      </c>
      <c r="M561" t="n">
        <v>0</v>
      </c>
      <c r="N561" t="n">
        <v>0</v>
      </c>
      <c r="O561" t="n">
        <v>0</v>
      </c>
      <c r="P561" t="n">
        <v>0</v>
      </c>
      <c r="Q561" t="n">
        <v>0</v>
      </c>
      <c r="R561" s="2" t="inlineStr"/>
    </row>
    <row r="562" ht="15" customHeight="1">
      <c r="A562" t="inlineStr">
        <is>
          <t>A 6058-2025</t>
        </is>
      </c>
      <c r="B562" s="1" t="n">
        <v>45695.83655092592</v>
      </c>
      <c r="C562" s="1" t="n">
        <v>45968</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16811-2023</t>
        </is>
      </c>
      <c r="B563" s="1" t="n">
        <v>45033</v>
      </c>
      <c r="C563" s="1" t="n">
        <v>45968</v>
      </c>
      <c r="D563" t="inlineStr">
        <is>
          <t>UPPSALA LÄN</t>
        </is>
      </c>
      <c r="E563" t="inlineStr">
        <is>
          <t>UPPSALA</t>
        </is>
      </c>
      <c r="G563" t="n">
        <v>10.1</v>
      </c>
      <c r="H563" t="n">
        <v>0</v>
      </c>
      <c r="I563" t="n">
        <v>0</v>
      </c>
      <c r="J563" t="n">
        <v>0</v>
      </c>
      <c r="K563" t="n">
        <v>0</v>
      </c>
      <c r="L563" t="n">
        <v>0</v>
      </c>
      <c r="M563" t="n">
        <v>0</v>
      </c>
      <c r="N563" t="n">
        <v>0</v>
      </c>
      <c r="O563" t="n">
        <v>0</v>
      </c>
      <c r="P563" t="n">
        <v>0</v>
      </c>
      <c r="Q563" t="n">
        <v>0</v>
      </c>
      <c r="R563" s="2" t="inlineStr"/>
    </row>
    <row r="564" ht="15" customHeight="1">
      <c r="A564" t="inlineStr">
        <is>
          <t>A 35984-2025</t>
        </is>
      </c>
      <c r="B564" s="1" t="n">
        <v>45863.45355324074</v>
      </c>
      <c r="C564" s="1" t="n">
        <v>45968</v>
      </c>
      <c r="D564" t="inlineStr">
        <is>
          <t>UPPSALA LÄN</t>
        </is>
      </c>
      <c r="E564" t="inlineStr">
        <is>
          <t>UPPSALA</t>
        </is>
      </c>
      <c r="G564" t="n">
        <v>6.1</v>
      </c>
      <c r="H564" t="n">
        <v>0</v>
      </c>
      <c r="I564" t="n">
        <v>0</v>
      </c>
      <c r="J564" t="n">
        <v>0</v>
      </c>
      <c r="K564" t="n">
        <v>0</v>
      </c>
      <c r="L564" t="n">
        <v>0</v>
      </c>
      <c r="M564" t="n">
        <v>0</v>
      </c>
      <c r="N564" t="n">
        <v>0</v>
      </c>
      <c r="O564" t="n">
        <v>0</v>
      </c>
      <c r="P564" t="n">
        <v>0</v>
      </c>
      <c r="Q564" t="n">
        <v>0</v>
      </c>
      <c r="R564" s="2" t="inlineStr"/>
    </row>
    <row r="565" ht="15" customHeight="1">
      <c r="A565" t="inlineStr">
        <is>
          <t>A 59358-2024</t>
        </is>
      </c>
      <c r="B565" s="1" t="n">
        <v>45638</v>
      </c>
      <c r="C565" s="1" t="n">
        <v>45968</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7727-2024</t>
        </is>
      </c>
      <c r="B566" s="1" t="n">
        <v>45349</v>
      </c>
      <c r="C566" s="1" t="n">
        <v>45968</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36253-2025</t>
        </is>
      </c>
      <c r="B567" s="1" t="n">
        <v>45867.58056712963</v>
      </c>
      <c r="C567" s="1" t="n">
        <v>45968</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17232-2022</t>
        </is>
      </c>
      <c r="B568" s="1" t="n">
        <v>44678.3315625</v>
      </c>
      <c r="C568" s="1" t="n">
        <v>45968</v>
      </c>
      <c r="D568" t="inlineStr">
        <is>
          <t>UPPSALA LÄN</t>
        </is>
      </c>
      <c r="E568" t="inlineStr">
        <is>
          <t>UPPSALA</t>
        </is>
      </c>
      <c r="F568" t="inlineStr">
        <is>
          <t>Övriga Aktiebolag</t>
        </is>
      </c>
      <c r="G568" t="n">
        <v>7.4</v>
      </c>
      <c r="H568" t="n">
        <v>0</v>
      </c>
      <c r="I568" t="n">
        <v>0</v>
      </c>
      <c r="J568" t="n">
        <v>0</v>
      </c>
      <c r="K568" t="n">
        <v>0</v>
      </c>
      <c r="L568" t="n">
        <v>0</v>
      </c>
      <c r="M568" t="n">
        <v>0</v>
      </c>
      <c r="N568" t="n">
        <v>0</v>
      </c>
      <c r="O568" t="n">
        <v>0</v>
      </c>
      <c r="P568" t="n">
        <v>0</v>
      </c>
      <c r="Q568" t="n">
        <v>0</v>
      </c>
      <c r="R568" s="2" t="inlineStr"/>
    </row>
    <row r="569" ht="15" customHeight="1">
      <c r="A569" t="inlineStr">
        <is>
          <t>A 61805-2021</t>
        </is>
      </c>
      <c r="B569" s="1" t="n">
        <v>44501.71344907407</v>
      </c>
      <c r="C569" s="1" t="n">
        <v>45968</v>
      </c>
      <c r="D569" t="inlineStr">
        <is>
          <t>UPPSALA LÄN</t>
        </is>
      </c>
      <c r="E569" t="inlineStr">
        <is>
          <t>UPPSALA</t>
        </is>
      </c>
      <c r="F569" t="inlineStr">
        <is>
          <t>Bergvik skog öst AB</t>
        </is>
      </c>
      <c r="G569" t="n">
        <v>3.8</v>
      </c>
      <c r="H569" t="n">
        <v>0</v>
      </c>
      <c r="I569" t="n">
        <v>0</v>
      </c>
      <c r="J569" t="n">
        <v>0</v>
      </c>
      <c r="K569" t="n">
        <v>0</v>
      </c>
      <c r="L569" t="n">
        <v>0</v>
      </c>
      <c r="M569" t="n">
        <v>0</v>
      </c>
      <c r="N569" t="n">
        <v>0</v>
      </c>
      <c r="O569" t="n">
        <v>0</v>
      </c>
      <c r="P569" t="n">
        <v>0</v>
      </c>
      <c r="Q569" t="n">
        <v>0</v>
      </c>
      <c r="R569" s="2" t="inlineStr"/>
    </row>
    <row r="570" ht="15" customHeight="1">
      <c r="A570" t="inlineStr">
        <is>
          <t>A 4312-2022</t>
        </is>
      </c>
      <c r="B570" s="1" t="n">
        <v>44588</v>
      </c>
      <c r="C570" s="1" t="n">
        <v>45968</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60814-2023</t>
        </is>
      </c>
      <c r="B571" s="1" t="n">
        <v>45259</v>
      </c>
      <c r="C571" s="1" t="n">
        <v>45968</v>
      </c>
      <c r="D571" t="inlineStr">
        <is>
          <t>UPPSALA LÄN</t>
        </is>
      </c>
      <c r="E571" t="inlineStr">
        <is>
          <t>UPPSALA</t>
        </is>
      </c>
      <c r="G571" t="n">
        <v>5.9</v>
      </c>
      <c r="H571" t="n">
        <v>0</v>
      </c>
      <c r="I571" t="n">
        <v>0</v>
      </c>
      <c r="J571" t="n">
        <v>0</v>
      </c>
      <c r="K571" t="n">
        <v>0</v>
      </c>
      <c r="L571" t="n">
        <v>0</v>
      </c>
      <c r="M571" t="n">
        <v>0</v>
      </c>
      <c r="N571" t="n">
        <v>0</v>
      </c>
      <c r="O571" t="n">
        <v>0</v>
      </c>
      <c r="P571" t="n">
        <v>0</v>
      </c>
      <c r="Q571" t="n">
        <v>0</v>
      </c>
      <c r="R571" s="2" t="inlineStr"/>
    </row>
    <row r="572" ht="15" customHeight="1">
      <c r="A572" t="inlineStr">
        <is>
          <t>A 64353-2020</t>
        </is>
      </c>
      <c r="B572" s="1" t="n">
        <v>44168.55746527778</v>
      </c>
      <c r="C572" s="1" t="n">
        <v>45968</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53963-2023</t>
        </is>
      </c>
      <c r="B573" s="1" t="n">
        <v>45231.62840277778</v>
      </c>
      <c r="C573" s="1" t="n">
        <v>45968</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7501-2025</t>
        </is>
      </c>
      <c r="B574" s="1" t="n">
        <v>45705</v>
      </c>
      <c r="C574" s="1" t="n">
        <v>45968</v>
      </c>
      <c r="D574" t="inlineStr">
        <is>
          <t>UPPSALA LÄN</t>
        </is>
      </c>
      <c r="E574" t="inlineStr">
        <is>
          <t>UPPSALA</t>
        </is>
      </c>
      <c r="G574" t="n">
        <v>4.2</v>
      </c>
      <c r="H574" t="n">
        <v>0</v>
      </c>
      <c r="I574" t="n">
        <v>0</v>
      </c>
      <c r="J574" t="n">
        <v>0</v>
      </c>
      <c r="K574" t="n">
        <v>0</v>
      </c>
      <c r="L574" t="n">
        <v>0</v>
      </c>
      <c r="M574" t="n">
        <v>0</v>
      </c>
      <c r="N574" t="n">
        <v>0</v>
      </c>
      <c r="O574" t="n">
        <v>0</v>
      </c>
      <c r="P574" t="n">
        <v>0</v>
      </c>
      <c r="Q574" t="n">
        <v>0</v>
      </c>
      <c r="R574" s="2" t="inlineStr"/>
    </row>
    <row r="575" ht="15" customHeight="1">
      <c r="A575" t="inlineStr">
        <is>
          <t>A 60444-2023</t>
        </is>
      </c>
      <c r="B575" s="1" t="n">
        <v>45259.52809027778</v>
      </c>
      <c r="C575" s="1" t="n">
        <v>45968</v>
      </c>
      <c r="D575" t="inlineStr">
        <is>
          <t>UPPSALA LÄN</t>
        </is>
      </c>
      <c r="E575" t="inlineStr">
        <is>
          <t>UPPSALA</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60984-2022</t>
        </is>
      </c>
      <c r="B576" s="1" t="n">
        <v>44914.67600694444</v>
      </c>
      <c r="C576" s="1" t="n">
        <v>45968</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9820-2023</t>
        </is>
      </c>
      <c r="B577" s="1" t="n">
        <v>44984.69216435185</v>
      </c>
      <c r="C577" s="1" t="n">
        <v>45968</v>
      </c>
      <c r="D577" t="inlineStr">
        <is>
          <t>UPPSALA LÄN</t>
        </is>
      </c>
      <c r="E577" t="inlineStr">
        <is>
          <t>UPPSALA</t>
        </is>
      </c>
      <c r="F577" t="inlineStr">
        <is>
          <t>Kyrkan</t>
        </is>
      </c>
      <c r="G577" t="n">
        <v>2</v>
      </c>
      <c r="H577" t="n">
        <v>0</v>
      </c>
      <c r="I577" t="n">
        <v>0</v>
      </c>
      <c r="J577" t="n">
        <v>0</v>
      </c>
      <c r="K577" t="n">
        <v>0</v>
      </c>
      <c r="L577" t="n">
        <v>0</v>
      </c>
      <c r="M577" t="n">
        <v>0</v>
      </c>
      <c r="N577" t="n">
        <v>0</v>
      </c>
      <c r="O577" t="n">
        <v>0</v>
      </c>
      <c r="P577" t="n">
        <v>0</v>
      </c>
      <c r="Q577" t="n">
        <v>0</v>
      </c>
      <c r="R577" s="2" t="inlineStr"/>
    </row>
    <row r="578" ht="15" customHeight="1">
      <c r="A578" t="inlineStr">
        <is>
          <t>A 34265-2021</t>
        </is>
      </c>
      <c r="B578" s="1" t="n">
        <v>44379.5745949074</v>
      </c>
      <c r="C578" s="1" t="n">
        <v>45968</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62352-2020</t>
        </is>
      </c>
      <c r="B579" s="1" t="n">
        <v>44159</v>
      </c>
      <c r="C579" s="1" t="n">
        <v>45968</v>
      </c>
      <c r="D579" t="inlineStr">
        <is>
          <t>UPPSALA LÄN</t>
        </is>
      </c>
      <c r="E579" t="inlineStr">
        <is>
          <t>UPPSALA</t>
        </is>
      </c>
      <c r="F579" t="inlineStr">
        <is>
          <t>Allmännings- och besparingsskogar</t>
        </is>
      </c>
      <c r="G579" t="n">
        <v>12.9</v>
      </c>
      <c r="H579" t="n">
        <v>0</v>
      </c>
      <c r="I579" t="n">
        <v>0</v>
      </c>
      <c r="J579" t="n">
        <v>0</v>
      </c>
      <c r="K579" t="n">
        <v>0</v>
      </c>
      <c r="L579" t="n">
        <v>0</v>
      </c>
      <c r="M579" t="n">
        <v>0</v>
      </c>
      <c r="N579" t="n">
        <v>0</v>
      </c>
      <c r="O579" t="n">
        <v>0</v>
      </c>
      <c r="P579" t="n">
        <v>0</v>
      </c>
      <c r="Q579" t="n">
        <v>0</v>
      </c>
      <c r="R579" s="2" t="inlineStr"/>
    </row>
    <row r="580" ht="15" customHeight="1">
      <c r="A580" t="inlineStr">
        <is>
          <t>A 59996-2024</t>
        </is>
      </c>
      <c r="B580" s="1" t="n">
        <v>45642</v>
      </c>
      <c r="C580" s="1" t="n">
        <v>45968</v>
      </c>
      <c r="D580" t="inlineStr">
        <is>
          <t>UPPSALA LÄN</t>
        </is>
      </c>
      <c r="E580" t="inlineStr">
        <is>
          <t>UPPSALA</t>
        </is>
      </c>
      <c r="F580" t="inlineStr">
        <is>
          <t>Bergvik skog väst AB</t>
        </is>
      </c>
      <c r="G580" t="n">
        <v>14.5</v>
      </c>
      <c r="H580" t="n">
        <v>0</v>
      </c>
      <c r="I580" t="n">
        <v>0</v>
      </c>
      <c r="J580" t="n">
        <v>0</v>
      </c>
      <c r="K580" t="n">
        <v>0</v>
      </c>
      <c r="L580" t="n">
        <v>0</v>
      </c>
      <c r="M580" t="n">
        <v>0</v>
      </c>
      <c r="N580" t="n">
        <v>0</v>
      </c>
      <c r="O580" t="n">
        <v>0</v>
      </c>
      <c r="P580" t="n">
        <v>0</v>
      </c>
      <c r="Q580" t="n">
        <v>0</v>
      </c>
      <c r="R580" s="2" t="inlineStr"/>
    </row>
    <row r="581" ht="15" customHeight="1">
      <c r="A581" t="inlineStr">
        <is>
          <t>A 1020-2021</t>
        </is>
      </c>
      <c r="B581" s="1" t="n">
        <v>44207</v>
      </c>
      <c r="C581" s="1" t="n">
        <v>45968</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13644-2024</t>
        </is>
      </c>
      <c r="B582" s="1" t="n">
        <v>45390</v>
      </c>
      <c r="C582" s="1" t="n">
        <v>45968</v>
      </c>
      <c r="D582" t="inlineStr">
        <is>
          <t>UPPSALA LÄN</t>
        </is>
      </c>
      <c r="E582" t="inlineStr">
        <is>
          <t>UPPSALA</t>
        </is>
      </c>
      <c r="G582" t="n">
        <v>0.5</v>
      </c>
      <c r="H582" t="n">
        <v>0</v>
      </c>
      <c r="I582" t="n">
        <v>0</v>
      </c>
      <c r="J582" t="n">
        <v>0</v>
      </c>
      <c r="K582" t="n">
        <v>0</v>
      </c>
      <c r="L582" t="n">
        <v>0</v>
      </c>
      <c r="M582" t="n">
        <v>0</v>
      </c>
      <c r="N582" t="n">
        <v>0</v>
      </c>
      <c r="O582" t="n">
        <v>0</v>
      </c>
      <c r="P582" t="n">
        <v>0</v>
      </c>
      <c r="Q582" t="n">
        <v>0</v>
      </c>
      <c r="R582" s="2" t="inlineStr"/>
    </row>
    <row r="583" ht="15" customHeight="1">
      <c r="A583" t="inlineStr">
        <is>
          <t>A 44815-2023</t>
        </is>
      </c>
      <c r="B583" s="1" t="n">
        <v>45190</v>
      </c>
      <c r="C583" s="1" t="n">
        <v>45968</v>
      </c>
      <c r="D583" t="inlineStr">
        <is>
          <t>UPPSALA LÄN</t>
        </is>
      </c>
      <c r="E583" t="inlineStr">
        <is>
          <t>UPPSALA</t>
        </is>
      </c>
      <c r="G583" t="n">
        <v>2.3</v>
      </c>
      <c r="H583" t="n">
        <v>0</v>
      </c>
      <c r="I583" t="n">
        <v>0</v>
      </c>
      <c r="J583" t="n">
        <v>0</v>
      </c>
      <c r="K583" t="n">
        <v>0</v>
      </c>
      <c r="L583" t="n">
        <v>0</v>
      </c>
      <c r="M583" t="n">
        <v>0</v>
      </c>
      <c r="N583" t="n">
        <v>0</v>
      </c>
      <c r="O583" t="n">
        <v>0</v>
      </c>
      <c r="P583" t="n">
        <v>0</v>
      </c>
      <c r="Q583" t="n">
        <v>0</v>
      </c>
      <c r="R583" s="2" t="inlineStr"/>
    </row>
    <row r="584" ht="15" customHeight="1">
      <c r="A584" t="inlineStr">
        <is>
          <t>A 34147-2024</t>
        </is>
      </c>
      <c r="B584" s="1" t="n">
        <v>45524</v>
      </c>
      <c r="C584" s="1" t="n">
        <v>45968</v>
      </c>
      <c r="D584" t="inlineStr">
        <is>
          <t>UPPSALA LÄN</t>
        </is>
      </c>
      <c r="E584" t="inlineStr">
        <is>
          <t>UPPSALA</t>
        </is>
      </c>
      <c r="F584" t="inlineStr">
        <is>
          <t>Allmännings- och besparingsskogar</t>
        </is>
      </c>
      <c r="G584" t="n">
        <v>0.2</v>
      </c>
      <c r="H584" t="n">
        <v>0</v>
      </c>
      <c r="I584" t="n">
        <v>0</v>
      </c>
      <c r="J584" t="n">
        <v>0</v>
      </c>
      <c r="K584" t="n">
        <v>0</v>
      </c>
      <c r="L584" t="n">
        <v>0</v>
      </c>
      <c r="M584" t="n">
        <v>0</v>
      </c>
      <c r="N584" t="n">
        <v>0</v>
      </c>
      <c r="O584" t="n">
        <v>0</v>
      </c>
      <c r="P584" t="n">
        <v>0</v>
      </c>
      <c r="Q584" t="n">
        <v>0</v>
      </c>
      <c r="R584" s="2" t="inlineStr"/>
    </row>
    <row r="585" ht="15" customHeight="1">
      <c r="A585" t="inlineStr">
        <is>
          <t>A 20102-2023</t>
        </is>
      </c>
      <c r="B585" s="1" t="n">
        <v>45054.95675925926</v>
      </c>
      <c r="C585" s="1" t="n">
        <v>45968</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1975-2022</t>
        </is>
      </c>
      <c r="B586" s="1" t="n">
        <v>44575</v>
      </c>
      <c r="C586" s="1" t="n">
        <v>45968</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10456-2022</t>
        </is>
      </c>
      <c r="B587" s="1" t="n">
        <v>44623.5571875</v>
      </c>
      <c r="C587" s="1" t="n">
        <v>45968</v>
      </c>
      <c r="D587" t="inlineStr">
        <is>
          <t>UPPSALA LÄN</t>
        </is>
      </c>
      <c r="E587" t="inlineStr">
        <is>
          <t>UPPSALA</t>
        </is>
      </c>
      <c r="F587" t="inlineStr">
        <is>
          <t>Övriga Aktiebolag</t>
        </is>
      </c>
      <c r="G587" t="n">
        <v>12.6</v>
      </c>
      <c r="H587" t="n">
        <v>0</v>
      </c>
      <c r="I587" t="n">
        <v>0</v>
      </c>
      <c r="J587" t="n">
        <v>0</v>
      </c>
      <c r="K587" t="n">
        <v>0</v>
      </c>
      <c r="L587" t="n">
        <v>0</v>
      </c>
      <c r="M587" t="n">
        <v>0</v>
      </c>
      <c r="N587" t="n">
        <v>0</v>
      </c>
      <c r="O587" t="n">
        <v>0</v>
      </c>
      <c r="P587" t="n">
        <v>0</v>
      </c>
      <c r="Q587" t="n">
        <v>0</v>
      </c>
      <c r="R587" s="2" t="inlineStr"/>
    </row>
    <row r="588" ht="15" customHeight="1">
      <c r="A588" t="inlineStr">
        <is>
          <t>A 11568-2023</t>
        </is>
      </c>
      <c r="B588" s="1" t="n">
        <v>44994</v>
      </c>
      <c r="C588" s="1" t="n">
        <v>45968</v>
      </c>
      <c r="D588" t="inlineStr">
        <is>
          <t>UPPSALA LÄN</t>
        </is>
      </c>
      <c r="E588" t="inlineStr">
        <is>
          <t>UPPSALA</t>
        </is>
      </c>
      <c r="G588" t="n">
        <v>0.8</v>
      </c>
      <c r="H588" t="n">
        <v>0</v>
      </c>
      <c r="I588" t="n">
        <v>0</v>
      </c>
      <c r="J588" t="n">
        <v>0</v>
      </c>
      <c r="K588" t="n">
        <v>0</v>
      </c>
      <c r="L588" t="n">
        <v>0</v>
      </c>
      <c r="M588" t="n">
        <v>0</v>
      </c>
      <c r="N588" t="n">
        <v>0</v>
      </c>
      <c r="O588" t="n">
        <v>0</v>
      </c>
      <c r="P588" t="n">
        <v>0</v>
      </c>
      <c r="Q588" t="n">
        <v>0</v>
      </c>
      <c r="R588" s="2" t="inlineStr"/>
    </row>
    <row r="589" ht="15" customHeight="1">
      <c r="A589" t="inlineStr">
        <is>
          <t>A 5663-2023</t>
        </is>
      </c>
      <c r="B589" s="1" t="n">
        <v>44960</v>
      </c>
      <c r="C589" s="1" t="n">
        <v>45968</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5675-2023</t>
        </is>
      </c>
      <c r="B590" s="1" t="n">
        <v>44960.66233796296</v>
      </c>
      <c r="C590" s="1" t="n">
        <v>45968</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17562-2022</t>
        </is>
      </c>
      <c r="B591" s="1" t="n">
        <v>44679.68706018518</v>
      </c>
      <c r="C591" s="1" t="n">
        <v>45968</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60445-2024</t>
        </is>
      </c>
      <c r="B592" s="1" t="n">
        <v>45643</v>
      </c>
      <c r="C592" s="1" t="n">
        <v>45968</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30616-2025</t>
        </is>
      </c>
      <c r="B593" s="1" t="n">
        <v>45831.46731481481</v>
      </c>
      <c r="C593" s="1" t="n">
        <v>45968</v>
      </c>
      <c r="D593" t="inlineStr">
        <is>
          <t>UPPSALA LÄN</t>
        </is>
      </c>
      <c r="E593" t="inlineStr">
        <is>
          <t>UPPSALA</t>
        </is>
      </c>
      <c r="G593" t="n">
        <v>2.1</v>
      </c>
      <c r="H593" t="n">
        <v>0</v>
      </c>
      <c r="I593" t="n">
        <v>0</v>
      </c>
      <c r="J593" t="n">
        <v>0</v>
      </c>
      <c r="K593" t="n">
        <v>0</v>
      </c>
      <c r="L593" t="n">
        <v>0</v>
      </c>
      <c r="M593" t="n">
        <v>0</v>
      </c>
      <c r="N593" t="n">
        <v>0</v>
      </c>
      <c r="O593" t="n">
        <v>0</v>
      </c>
      <c r="P593" t="n">
        <v>0</v>
      </c>
      <c r="Q593" t="n">
        <v>0</v>
      </c>
      <c r="R593" s="2" t="inlineStr"/>
    </row>
    <row r="594" ht="15" customHeight="1">
      <c r="A594" t="inlineStr">
        <is>
          <t>A 25776-2022</t>
        </is>
      </c>
      <c r="B594" s="1" t="n">
        <v>44733</v>
      </c>
      <c r="C594" s="1" t="n">
        <v>45968</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69698-2021</t>
        </is>
      </c>
      <c r="B595" s="1" t="n">
        <v>44532</v>
      </c>
      <c r="C595" s="1" t="n">
        <v>45968</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40100-2022</t>
        </is>
      </c>
      <c r="B596" s="1" t="n">
        <v>44820.47935185185</v>
      </c>
      <c r="C596" s="1" t="n">
        <v>45968</v>
      </c>
      <c r="D596" t="inlineStr">
        <is>
          <t>UPPSALA LÄN</t>
        </is>
      </c>
      <c r="E596" t="inlineStr">
        <is>
          <t>UPPSALA</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8672-2024</t>
        </is>
      </c>
      <c r="B597" s="1" t="n">
        <v>45352</v>
      </c>
      <c r="C597" s="1" t="n">
        <v>45968</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42528-2023</t>
        </is>
      </c>
      <c r="B598" s="1" t="n">
        <v>45181.33571759259</v>
      </c>
      <c r="C598" s="1" t="n">
        <v>45968</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9255-2024</t>
        </is>
      </c>
      <c r="B599" s="1" t="n">
        <v>45358</v>
      </c>
      <c r="C599" s="1" t="n">
        <v>45968</v>
      </c>
      <c r="D599" t="inlineStr">
        <is>
          <t>UPPSALA LÄN</t>
        </is>
      </c>
      <c r="E599" t="inlineStr">
        <is>
          <t>UPPSALA</t>
        </is>
      </c>
      <c r="G599" t="n">
        <v>1.8</v>
      </c>
      <c r="H599" t="n">
        <v>0</v>
      </c>
      <c r="I599" t="n">
        <v>0</v>
      </c>
      <c r="J599" t="n">
        <v>0</v>
      </c>
      <c r="K599" t="n">
        <v>0</v>
      </c>
      <c r="L599" t="n">
        <v>0</v>
      </c>
      <c r="M599" t="n">
        <v>0</v>
      </c>
      <c r="N599" t="n">
        <v>0</v>
      </c>
      <c r="O599" t="n">
        <v>0</v>
      </c>
      <c r="P599" t="n">
        <v>0</v>
      </c>
      <c r="Q599" t="n">
        <v>0</v>
      </c>
      <c r="R599" s="2" t="inlineStr"/>
    </row>
    <row r="600" ht="15" customHeight="1">
      <c r="A600" t="inlineStr">
        <is>
          <t>A 9982-2025</t>
        </is>
      </c>
      <c r="B600" s="1" t="n">
        <v>45719.4094212963</v>
      </c>
      <c r="C600" s="1" t="n">
        <v>45968</v>
      </c>
      <c r="D600" t="inlineStr">
        <is>
          <t>UPPSALA LÄN</t>
        </is>
      </c>
      <c r="E600" t="inlineStr">
        <is>
          <t>UPPSALA</t>
        </is>
      </c>
      <c r="F600" t="inlineStr">
        <is>
          <t>Kyrkan</t>
        </is>
      </c>
      <c r="G600" t="n">
        <v>2.9</v>
      </c>
      <c r="H600" t="n">
        <v>0</v>
      </c>
      <c r="I600" t="n">
        <v>0</v>
      </c>
      <c r="J600" t="n">
        <v>0</v>
      </c>
      <c r="K600" t="n">
        <v>0</v>
      </c>
      <c r="L600" t="n">
        <v>0</v>
      </c>
      <c r="M600" t="n">
        <v>0</v>
      </c>
      <c r="N600" t="n">
        <v>0</v>
      </c>
      <c r="O600" t="n">
        <v>0</v>
      </c>
      <c r="P600" t="n">
        <v>0</v>
      </c>
      <c r="Q600" t="n">
        <v>0</v>
      </c>
      <c r="R600" s="2" t="inlineStr"/>
    </row>
    <row r="601" ht="15" customHeight="1">
      <c r="A601" t="inlineStr">
        <is>
          <t>A 9995-2025</t>
        </is>
      </c>
      <c r="B601" s="1" t="n">
        <v>45719.43872685185</v>
      </c>
      <c r="C601" s="1" t="n">
        <v>45968</v>
      </c>
      <c r="D601" t="inlineStr">
        <is>
          <t>UPPSALA LÄN</t>
        </is>
      </c>
      <c r="E601" t="inlineStr">
        <is>
          <t>UPPSALA</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36913-2025</t>
        </is>
      </c>
      <c r="B602" s="1" t="n">
        <v>45874</v>
      </c>
      <c r="C602" s="1" t="n">
        <v>45968</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19276-2023</t>
        </is>
      </c>
      <c r="B603" s="1" t="n">
        <v>45049</v>
      </c>
      <c r="C603" s="1" t="n">
        <v>45968</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47287-2023</t>
        </is>
      </c>
      <c r="B604" s="1" t="n">
        <v>45202</v>
      </c>
      <c r="C604" s="1" t="n">
        <v>45968</v>
      </c>
      <c r="D604" t="inlineStr">
        <is>
          <t>UPPSALA LÄN</t>
        </is>
      </c>
      <c r="E604" t="inlineStr">
        <is>
          <t>UPPSALA</t>
        </is>
      </c>
      <c r="F604" t="inlineStr">
        <is>
          <t>Holmen skog AB</t>
        </is>
      </c>
      <c r="G604" t="n">
        <v>0.4</v>
      </c>
      <c r="H604" t="n">
        <v>0</v>
      </c>
      <c r="I604" t="n">
        <v>0</v>
      </c>
      <c r="J604" t="n">
        <v>0</v>
      </c>
      <c r="K604" t="n">
        <v>0</v>
      </c>
      <c r="L604" t="n">
        <v>0</v>
      </c>
      <c r="M604" t="n">
        <v>0</v>
      </c>
      <c r="N604" t="n">
        <v>0</v>
      </c>
      <c r="O604" t="n">
        <v>0</v>
      </c>
      <c r="P604" t="n">
        <v>0</v>
      </c>
      <c r="Q604" t="n">
        <v>0</v>
      </c>
      <c r="R604" s="2" t="inlineStr"/>
    </row>
    <row r="605" ht="15" customHeight="1">
      <c r="A605" t="inlineStr">
        <is>
          <t>A 60447-2023</t>
        </is>
      </c>
      <c r="B605" s="1" t="n">
        <v>45259</v>
      </c>
      <c r="C605" s="1" t="n">
        <v>45968</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37010-2025</t>
        </is>
      </c>
      <c r="B606" s="1" t="n">
        <v>45874.705</v>
      </c>
      <c r="C606" s="1" t="n">
        <v>45968</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56889-2022</t>
        </is>
      </c>
      <c r="B607" s="1" t="n">
        <v>44894.57065972222</v>
      </c>
      <c r="C607" s="1" t="n">
        <v>45968</v>
      </c>
      <c r="D607" t="inlineStr">
        <is>
          <t>UPPSALA LÄN</t>
        </is>
      </c>
      <c r="E607" t="inlineStr">
        <is>
          <t>UPPSALA</t>
        </is>
      </c>
      <c r="F607" t="inlineStr">
        <is>
          <t>Övriga Aktiebolag</t>
        </is>
      </c>
      <c r="G607" t="n">
        <v>21.6</v>
      </c>
      <c r="H607" t="n">
        <v>0</v>
      </c>
      <c r="I607" t="n">
        <v>0</v>
      </c>
      <c r="J607" t="n">
        <v>0</v>
      </c>
      <c r="K607" t="n">
        <v>0</v>
      </c>
      <c r="L607" t="n">
        <v>0</v>
      </c>
      <c r="M607" t="n">
        <v>0</v>
      </c>
      <c r="N607" t="n">
        <v>0</v>
      </c>
      <c r="O607" t="n">
        <v>0</v>
      </c>
      <c r="P607" t="n">
        <v>0</v>
      </c>
      <c r="Q607" t="n">
        <v>0</v>
      </c>
      <c r="R607" s="2" t="inlineStr"/>
    </row>
    <row r="608" ht="15" customHeight="1">
      <c r="A608" t="inlineStr">
        <is>
          <t>A 33797-2021</t>
        </is>
      </c>
      <c r="B608" s="1" t="n">
        <v>44378.56137731481</v>
      </c>
      <c r="C608" s="1" t="n">
        <v>45968</v>
      </c>
      <c r="D608" t="inlineStr">
        <is>
          <t>UPPSALA LÄN</t>
        </is>
      </c>
      <c r="E608" t="inlineStr">
        <is>
          <t>UPPSALA</t>
        </is>
      </c>
      <c r="G608" t="n">
        <v>1</v>
      </c>
      <c r="H608" t="n">
        <v>0</v>
      </c>
      <c r="I608" t="n">
        <v>0</v>
      </c>
      <c r="J608" t="n">
        <v>0</v>
      </c>
      <c r="K608" t="n">
        <v>0</v>
      </c>
      <c r="L608" t="n">
        <v>0</v>
      </c>
      <c r="M608" t="n">
        <v>0</v>
      </c>
      <c r="N608" t="n">
        <v>0</v>
      </c>
      <c r="O608" t="n">
        <v>0</v>
      </c>
      <c r="P608" t="n">
        <v>0</v>
      </c>
      <c r="Q608" t="n">
        <v>0</v>
      </c>
      <c r="R608" s="2" t="inlineStr"/>
    </row>
    <row r="609" ht="15" customHeight="1">
      <c r="A609" t="inlineStr">
        <is>
          <t>A 37486-2025</t>
        </is>
      </c>
      <c r="B609" s="1" t="n">
        <v>45877.62969907407</v>
      </c>
      <c r="C609" s="1" t="n">
        <v>45968</v>
      </c>
      <c r="D609" t="inlineStr">
        <is>
          <t>UPPSALA LÄN</t>
        </is>
      </c>
      <c r="E609" t="inlineStr">
        <is>
          <t>UPPSALA</t>
        </is>
      </c>
      <c r="G609" t="n">
        <v>2.2</v>
      </c>
      <c r="H609" t="n">
        <v>0</v>
      </c>
      <c r="I609" t="n">
        <v>0</v>
      </c>
      <c r="J609" t="n">
        <v>0</v>
      </c>
      <c r="K609" t="n">
        <v>0</v>
      </c>
      <c r="L609" t="n">
        <v>0</v>
      </c>
      <c r="M609" t="n">
        <v>0</v>
      </c>
      <c r="N609" t="n">
        <v>0</v>
      </c>
      <c r="O609" t="n">
        <v>0</v>
      </c>
      <c r="P609" t="n">
        <v>0</v>
      </c>
      <c r="Q609" t="n">
        <v>0</v>
      </c>
      <c r="R609" s="2" t="inlineStr"/>
    </row>
    <row r="610" ht="15" customHeight="1">
      <c r="A610" t="inlineStr">
        <is>
          <t>A 5374-2023</t>
        </is>
      </c>
      <c r="B610" s="1" t="n">
        <v>44944</v>
      </c>
      <c r="C610" s="1" t="n">
        <v>45968</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37351-2025</t>
        </is>
      </c>
      <c r="B611" s="1" t="n">
        <v>45876</v>
      </c>
      <c r="C611" s="1" t="n">
        <v>45968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35016-2025</t>
        </is>
      </c>
      <c r="B612" s="1" t="n">
        <v>45851.62179398148</v>
      </c>
      <c r="C612" s="1" t="n">
        <v>45968</v>
      </c>
      <c r="D612" t="inlineStr">
        <is>
          <t>UPPSALA LÄN</t>
        </is>
      </c>
      <c r="E612" t="inlineStr">
        <is>
          <t>UPPSALA</t>
        </is>
      </c>
      <c r="F612" t="inlineStr">
        <is>
          <t>Bergvik skog öst AB</t>
        </is>
      </c>
      <c r="G612" t="n">
        <v>7</v>
      </c>
      <c r="H612" t="n">
        <v>0</v>
      </c>
      <c r="I612" t="n">
        <v>0</v>
      </c>
      <c r="J612" t="n">
        <v>0</v>
      </c>
      <c r="K612" t="n">
        <v>0</v>
      </c>
      <c r="L612" t="n">
        <v>0</v>
      </c>
      <c r="M612" t="n">
        <v>0</v>
      </c>
      <c r="N612" t="n">
        <v>0</v>
      </c>
      <c r="O612" t="n">
        <v>0</v>
      </c>
      <c r="P612" t="n">
        <v>0</v>
      </c>
      <c r="Q612" t="n">
        <v>0</v>
      </c>
      <c r="R612" s="2" t="inlineStr"/>
    </row>
    <row r="613" ht="15" customHeight="1">
      <c r="A613" t="inlineStr">
        <is>
          <t>A 63011-2021</t>
        </is>
      </c>
      <c r="B613" s="1" t="n">
        <v>44504</v>
      </c>
      <c r="C613" s="1" t="n">
        <v>45968</v>
      </c>
      <c r="D613" t="inlineStr">
        <is>
          <t>UPPSALA LÄN</t>
        </is>
      </c>
      <c r="E613" t="inlineStr">
        <is>
          <t>UPPSALA</t>
        </is>
      </c>
      <c r="G613" t="n">
        <v>11.2</v>
      </c>
      <c r="H613" t="n">
        <v>0</v>
      </c>
      <c r="I613" t="n">
        <v>0</v>
      </c>
      <c r="J613" t="n">
        <v>0</v>
      </c>
      <c r="K613" t="n">
        <v>0</v>
      </c>
      <c r="L613" t="n">
        <v>0</v>
      </c>
      <c r="M613" t="n">
        <v>0</v>
      </c>
      <c r="N613" t="n">
        <v>0</v>
      </c>
      <c r="O613" t="n">
        <v>0</v>
      </c>
      <c r="P613" t="n">
        <v>0</v>
      </c>
      <c r="Q613" t="n">
        <v>0</v>
      </c>
      <c r="R613" s="2" t="inlineStr"/>
    </row>
    <row r="614" ht="15" customHeight="1">
      <c r="A614" t="inlineStr">
        <is>
          <t>A 3955-2021</t>
        </is>
      </c>
      <c r="B614" s="1" t="n">
        <v>44222</v>
      </c>
      <c r="C614" s="1" t="n">
        <v>45968</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53893-2023</t>
        </is>
      </c>
      <c r="B615" s="1" t="n">
        <v>45231</v>
      </c>
      <c r="C615" s="1" t="n">
        <v>45968</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37352-2025</t>
        </is>
      </c>
      <c r="B616" s="1" t="n">
        <v>45876</v>
      </c>
      <c r="C616" s="1" t="n">
        <v>45968</v>
      </c>
      <c r="D616" t="inlineStr">
        <is>
          <t>UPPSALA LÄN</t>
        </is>
      </c>
      <c r="E616" t="inlineStr">
        <is>
          <t>UPPSALA</t>
        </is>
      </c>
      <c r="G616" t="n">
        <v>2.6</v>
      </c>
      <c r="H616" t="n">
        <v>0</v>
      </c>
      <c r="I616" t="n">
        <v>0</v>
      </c>
      <c r="J616" t="n">
        <v>0</v>
      </c>
      <c r="K616" t="n">
        <v>0</v>
      </c>
      <c r="L616" t="n">
        <v>0</v>
      </c>
      <c r="M616" t="n">
        <v>0</v>
      </c>
      <c r="N616" t="n">
        <v>0</v>
      </c>
      <c r="O616" t="n">
        <v>0</v>
      </c>
      <c r="P616" t="n">
        <v>0</v>
      </c>
      <c r="Q616" t="n">
        <v>0</v>
      </c>
      <c r="R616" s="2" t="inlineStr"/>
    </row>
    <row r="617" ht="15" customHeight="1">
      <c r="A617" t="inlineStr">
        <is>
          <t>A 52503-2023</t>
        </is>
      </c>
      <c r="B617" s="1" t="n">
        <v>45225.46480324074</v>
      </c>
      <c r="C617" s="1" t="n">
        <v>45968</v>
      </c>
      <c r="D617" t="inlineStr">
        <is>
          <t>UPPSALA LÄN</t>
        </is>
      </c>
      <c r="E617" t="inlineStr">
        <is>
          <t>UPPSALA</t>
        </is>
      </c>
      <c r="G617" t="n">
        <v>1.7</v>
      </c>
      <c r="H617" t="n">
        <v>0</v>
      </c>
      <c r="I617" t="n">
        <v>0</v>
      </c>
      <c r="J617" t="n">
        <v>0</v>
      </c>
      <c r="K617" t="n">
        <v>0</v>
      </c>
      <c r="L617" t="n">
        <v>0</v>
      </c>
      <c r="M617" t="n">
        <v>0</v>
      </c>
      <c r="N617" t="n">
        <v>0</v>
      </c>
      <c r="O617" t="n">
        <v>0</v>
      </c>
      <c r="P617" t="n">
        <v>0</v>
      </c>
      <c r="Q617" t="n">
        <v>0</v>
      </c>
      <c r="R617" s="2" t="inlineStr"/>
    </row>
    <row r="618" ht="15" customHeight="1">
      <c r="A618" t="inlineStr">
        <is>
          <t>A 37468-2025</t>
        </is>
      </c>
      <c r="B618" s="1" t="n">
        <v>45877.57847222222</v>
      </c>
      <c r="C618" s="1" t="n">
        <v>45968</v>
      </c>
      <c r="D618" t="inlineStr">
        <is>
          <t>UPPSALA LÄN</t>
        </is>
      </c>
      <c r="E618" t="inlineStr">
        <is>
          <t>UPPSALA</t>
        </is>
      </c>
      <c r="G618" t="n">
        <v>2.9</v>
      </c>
      <c r="H618" t="n">
        <v>0</v>
      </c>
      <c r="I618" t="n">
        <v>0</v>
      </c>
      <c r="J618" t="n">
        <v>0</v>
      </c>
      <c r="K618" t="n">
        <v>0</v>
      </c>
      <c r="L618" t="n">
        <v>0</v>
      </c>
      <c r="M618" t="n">
        <v>0</v>
      </c>
      <c r="N618" t="n">
        <v>0</v>
      </c>
      <c r="O618" t="n">
        <v>0</v>
      </c>
      <c r="P618" t="n">
        <v>0</v>
      </c>
      <c r="Q618" t="n">
        <v>0</v>
      </c>
      <c r="R618" s="2" t="inlineStr"/>
    </row>
    <row r="619" ht="15" customHeight="1">
      <c r="A619" t="inlineStr">
        <is>
          <t>A 37561-2025</t>
        </is>
      </c>
      <c r="B619" s="1" t="n">
        <v>45880.34064814815</v>
      </c>
      <c r="C619" s="1" t="n">
        <v>45968</v>
      </c>
      <c r="D619" t="inlineStr">
        <is>
          <t>UPPSALA LÄN</t>
        </is>
      </c>
      <c r="E619" t="inlineStr">
        <is>
          <t>UPPSALA</t>
        </is>
      </c>
      <c r="G619" t="n">
        <v>1.4</v>
      </c>
      <c r="H619" t="n">
        <v>0</v>
      </c>
      <c r="I619" t="n">
        <v>0</v>
      </c>
      <c r="J619" t="n">
        <v>0</v>
      </c>
      <c r="K619" t="n">
        <v>0</v>
      </c>
      <c r="L619" t="n">
        <v>0</v>
      </c>
      <c r="M619" t="n">
        <v>0</v>
      </c>
      <c r="N619" t="n">
        <v>0</v>
      </c>
      <c r="O619" t="n">
        <v>0</v>
      </c>
      <c r="P619" t="n">
        <v>0</v>
      </c>
      <c r="Q619" t="n">
        <v>0</v>
      </c>
      <c r="R619" s="2" t="inlineStr"/>
    </row>
    <row r="620" ht="15" customHeight="1">
      <c r="A620" t="inlineStr">
        <is>
          <t>A 56084-2024</t>
        </is>
      </c>
      <c r="B620" s="1" t="n">
        <v>45624</v>
      </c>
      <c r="C620" s="1" t="n">
        <v>45968</v>
      </c>
      <c r="D620" t="inlineStr">
        <is>
          <t>UPPSALA LÄN</t>
        </is>
      </c>
      <c r="E620" t="inlineStr">
        <is>
          <t>UPPSALA</t>
        </is>
      </c>
      <c r="G620" t="n">
        <v>3.8</v>
      </c>
      <c r="H620" t="n">
        <v>0</v>
      </c>
      <c r="I620" t="n">
        <v>0</v>
      </c>
      <c r="J620" t="n">
        <v>0</v>
      </c>
      <c r="K620" t="n">
        <v>0</v>
      </c>
      <c r="L620" t="n">
        <v>0</v>
      </c>
      <c r="M620" t="n">
        <v>0</v>
      </c>
      <c r="N620" t="n">
        <v>0</v>
      </c>
      <c r="O620" t="n">
        <v>0</v>
      </c>
      <c r="P620" t="n">
        <v>0</v>
      </c>
      <c r="Q620" t="n">
        <v>0</v>
      </c>
      <c r="R620" s="2" t="inlineStr"/>
    </row>
    <row r="621" ht="15" customHeight="1">
      <c r="A621" t="inlineStr">
        <is>
          <t>A 40325-2023</t>
        </is>
      </c>
      <c r="B621" s="1" t="n">
        <v>45169</v>
      </c>
      <c r="C621" s="1" t="n">
        <v>45968</v>
      </c>
      <c r="D621" t="inlineStr">
        <is>
          <t>UPPSALA LÄN</t>
        </is>
      </c>
      <c r="E621" t="inlineStr">
        <is>
          <t>UPPSALA</t>
        </is>
      </c>
      <c r="F621" t="inlineStr">
        <is>
          <t>Kommuner</t>
        </is>
      </c>
      <c r="G621" t="n">
        <v>1.3</v>
      </c>
      <c r="H621" t="n">
        <v>0</v>
      </c>
      <c r="I621" t="n">
        <v>0</v>
      </c>
      <c r="J621" t="n">
        <v>0</v>
      </c>
      <c r="K621" t="n">
        <v>0</v>
      </c>
      <c r="L621" t="n">
        <v>0</v>
      </c>
      <c r="M621" t="n">
        <v>0</v>
      </c>
      <c r="N621" t="n">
        <v>0</v>
      </c>
      <c r="O621" t="n">
        <v>0</v>
      </c>
      <c r="P621" t="n">
        <v>0</v>
      </c>
      <c r="Q621" t="n">
        <v>0</v>
      </c>
      <c r="R621" s="2" t="inlineStr"/>
    </row>
    <row r="622" ht="15" customHeight="1">
      <c r="A622" t="inlineStr">
        <is>
          <t>A 37611-2025</t>
        </is>
      </c>
      <c r="B622" s="1" t="n">
        <v>45880</v>
      </c>
      <c r="C622" s="1" t="n">
        <v>45968</v>
      </c>
      <c r="D622" t="inlineStr">
        <is>
          <t>UPPSALA LÄN</t>
        </is>
      </c>
      <c r="E622" t="inlineStr">
        <is>
          <t>UPPSALA</t>
        </is>
      </c>
      <c r="G622" t="n">
        <v>2.9</v>
      </c>
      <c r="H622" t="n">
        <v>0</v>
      </c>
      <c r="I622" t="n">
        <v>0</v>
      </c>
      <c r="J622" t="n">
        <v>0</v>
      </c>
      <c r="K622" t="n">
        <v>0</v>
      </c>
      <c r="L622" t="n">
        <v>0</v>
      </c>
      <c r="M622" t="n">
        <v>0</v>
      </c>
      <c r="N622" t="n">
        <v>0</v>
      </c>
      <c r="O622" t="n">
        <v>0</v>
      </c>
      <c r="P622" t="n">
        <v>0</v>
      </c>
      <c r="Q622" t="n">
        <v>0</v>
      </c>
      <c r="R622" s="2" t="inlineStr"/>
    </row>
    <row r="623" ht="15" customHeight="1">
      <c r="A623" t="inlineStr">
        <is>
          <t>A 37759-2025</t>
        </is>
      </c>
      <c r="B623" s="1" t="n">
        <v>45880.68200231482</v>
      </c>
      <c r="C623" s="1" t="n">
        <v>45968</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37851-2025</t>
        </is>
      </c>
      <c r="B624" s="1" t="n">
        <v>45881.44938657407</v>
      </c>
      <c r="C624" s="1" t="n">
        <v>45968</v>
      </c>
      <c r="D624" t="inlineStr">
        <is>
          <t>UPPSALA LÄN</t>
        </is>
      </c>
      <c r="E624" t="inlineStr">
        <is>
          <t>UPPSALA</t>
        </is>
      </c>
      <c r="G624" t="n">
        <v>2.3</v>
      </c>
      <c r="H624" t="n">
        <v>0</v>
      </c>
      <c r="I624" t="n">
        <v>0</v>
      </c>
      <c r="J624" t="n">
        <v>0</v>
      </c>
      <c r="K624" t="n">
        <v>0</v>
      </c>
      <c r="L624" t="n">
        <v>0</v>
      </c>
      <c r="M624" t="n">
        <v>0</v>
      </c>
      <c r="N624" t="n">
        <v>0</v>
      </c>
      <c r="O624" t="n">
        <v>0</v>
      </c>
      <c r="P624" t="n">
        <v>0</v>
      </c>
      <c r="Q624" t="n">
        <v>0</v>
      </c>
      <c r="R624" s="2" t="inlineStr"/>
    </row>
    <row r="625" ht="15" customHeight="1">
      <c r="A625" t="inlineStr">
        <is>
          <t>A 50395-2023</t>
        </is>
      </c>
      <c r="B625" s="1" t="n">
        <v>45216</v>
      </c>
      <c r="C625" s="1" t="n">
        <v>45968</v>
      </c>
      <c r="D625" t="inlineStr">
        <is>
          <t>UPPSALA LÄN</t>
        </is>
      </c>
      <c r="E625" t="inlineStr">
        <is>
          <t>UPPSALA</t>
        </is>
      </c>
      <c r="G625" t="n">
        <v>2.3</v>
      </c>
      <c r="H625" t="n">
        <v>0</v>
      </c>
      <c r="I625" t="n">
        <v>0</v>
      </c>
      <c r="J625" t="n">
        <v>0</v>
      </c>
      <c r="K625" t="n">
        <v>0</v>
      </c>
      <c r="L625" t="n">
        <v>0</v>
      </c>
      <c r="M625" t="n">
        <v>0</v>
      </c>
      <c r="N625" t="n">
        <v>0</v>
      </c>
      <c r="O625" t="n">
        <v>0</v>
      </c>
      <c r="P625" t="n">
        <v>0</v>
      </c>
      <c r="Q625" t="n">
        <v>0</v>
      </c>
      <c r="R625" s="2" t="inlineStr"/>
    </row>
    <row r="626" ht="15" customHeight="1">
      <c r="A626" t="inlineStr">
        <is>
          <t>A 22996-2021</t>
        </is>
      </c>
      <c r="B626" s="1" t="n">
        <v>44328</v>
      </c>
      <c r="C626" s="1" t="n">
        <v>45968</v>
      </c>
      <c r="D626" t="inlineStr">
        <is>
          <t>UPPSALA LÄN</t>
        </is>
      </c>
      <c r="E626" t="inlineStr">
        <is>
          <t>UPPSALA</t>
        </is>
      </c>
      <c r="F626" t="inlineStr">
        <is>
          <t>Bergvik skog öst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37557-2025</t>
        </is>
      </c>
      <c r="B627" s="1" t="n">
        <v>45880.32907407408</v>
      </c>
      <c r="C627" s="1" t="n">
        <v>45968</v>
      </c>
      <c r="D627" t="inlineStr">
        <is>
          <t>UPPSALA LÄN</t>
        </is>
      </c>
      <c r="E627" t="inlineStr">
        <is>
          <t>UPPSALA</t>
        </is>
      </c>
      <c r="G627" t="n">
        <v>1.6</v>
      </c>
      <c r="H627" t="n">
        <v>0</v>
      </c>
      <c r="I627" t="n">
        <v>0</v>
      </c>
      <c r="J627" t="n">
        <v>0</v>
      </c>
      <c r="K627" t="n">
        <v>0</v>
      </c>
      <c r="L627" t="n">
        <v>0</v>
      </c>
      <c r="M627" t="n">
        <v>0</v>
      </c>
      <c r="N627" t="n">
        <v>0</v>
      </c>
      <c r="O627" t="n">
        <v>0</v>
      </c>
      <c r="P627" t="n">
        <v>0</v>
      </c>
      <c r="Q627" t="n">
        <v>0</v>
      </c>
      <c r="R627" s="2" t="inlineStr"/>
    </row>
    <row r="628" ht="15" customHeight="1">
      <c r="A628" t="inlineStr">
        <is>
          <t>A 59585-2023</t>
        </is>
      </c>
      <c r="B628" s="1" t="n">
        <v>45254</v>
      </c>
      <c r="C628" s="1" t="n">
        <v>45968</v>
      </c>
      <c r="D628" t="inlineStr">
        <is>
          <t>UPPSALA LÄN</t>
        </is>
      </c>
      <c r="E628" t="inlineStr">
        <is>
          <t>UPPSALA</t>
        </is>
      </c>
      <c r="G628" t="n">
        <v>4.4</v>
      </c>
      <c r="H628" t="n">
        <v>0</v>
      </c>
      <c r="I628" t="n">
        <v>0</v>
      </c>
      <c r="J628" t="n">
        <v>0</v>
      </c>
      <c r="K628" t="n">
        <v>0</v>
      </c>
      <c r="L628" t="n">
        <v>0</v>
      </c>
      <c r="M628" t="n">
        <v>0</v>
      </c>
      <c r="N628" t="n">
        <v>0</v>
      </c>
      <c r="O628" t="n">
        <v>0</v>
      </c>
      <c r="P628" t="n">
        <v>0</v>
      </c>
      <c r="Q628" t="n">
        <v>0</v>
      </c>
      <c r="R628" s="2" t="inlineStr"/>
    </row>
    <row r="629" ht="15" customHeight="1">
      <c r="A629" t="inlineStr">
        <is>
          <t>A 6989-2022</t>
        </is>
      </c>
      <c r="B629" s="1" t="n">
        <v>44603</v>
      </c>
      <c r="C629" s="1" t="n">
        <v>45968</v>
      </c>
      <c r="D629" t="inlineStr">
        <is>
          <t>UPPSALA LÄN</t>
        </is>
      </c>
      <c r="E629" t="inlineStr">
        <is>
          <t>UPPSALA</t>
        </is>
      </c>
      <c r="G629" t="n">
        <v>3.1</v>
      </c>
      <c r="H629" t="n">
        <v>0</v>
      </c>
      <c r="I629" t="n">
        <v>0</v>
      </c>
      <c r="J629" t="n">
        <v>0</v>
      </c>
      <c r="K629" t="n">
        <v>0</v>
      </c>
      <c r="L629" t="n">
        <v>0</v>
      </c>
      <c r="M629" t="n">
        <v>0</v>
      </c>
      <c r="N629" t="n">
        <v>0</v>
      </c>
      <c r="O629" t="n">
        <v>0</v>
      </c>
      <c r="P629" t="n">
        <v>0</v>
      </c>
      <c r="Q629" t="n">
        <v>0</v>
      </c>
      <c r="R629" s="2" t="inlineStr"/>
    </row>
    <row r="630" ht="15" customHeight="1">
      <c r="A630" t="inlineStr">
        <is>
          <t>A 37856-2025</t>
        </is>
      </c>
      <c r="B630" s="1" t="n">
        <v>45881.45898148148</v>
      </c>
      <c r="C630" s="1" t="n">
        <v>45968</v>
      </c>
      <c r="D630" t="inlineStr">
        <is>
          <t>UPPSALA LÄN</t>
        </is>
      </c>
      <c r="E630" t="inlineStr">
        <is>
          <t>UPPSALA</t>
        </is>
      </c>
      <c r="G630" t="n">
        <v>1.7</v>
      </c>
      <c r="H630" t="n">
        <v>0</v>
      </c>
      <c r="I630" t="n">
        <v>0</v>
      </c>
      <c r="J630" t="n">
        <v>0</v>
      </c>
      <c r="K630" t="n">
        <v>0</v>
      </c>
      <c r="L630" t="n">
        <v>0</v>
      </c>
      <c r="M630" t="n">
        <v>0</v>
      </c>
      <c r="N630" t="n">
        <v>0</v>
      </c>
      <c r="O630" t="n">
        <v>0</v>
      </c>
      <c r="P630" t="n">
        <v>0</v>
      </c>
      <c r="Q630" t="n">
        <v>0</v>
      </c>
      <c r="R630" s="2" t="inlineStr"/>
    </row>
    <row r="631" ht="15" customHeight="1">
      <c r="A631" t="inlineStr">
        <is>
          <t>A 32553-2024</t>
        </is>
      </c>
      <c r="B631" s="1" t="n">
        <v>45513.51815972223</v>
      </c>
      <c r="C631" s="1" t="n">
        <v>45968</v>
      </c>
      <c r="D631" t="inlineStr">
        <is>
          <t>UPPSALA LÄN</t>
        </is>
      </c>
      <c r="E631" t="inlineStr">
        <is>
          <t>UPPSALA</t>
        </is>
      </c>
      <c r="F631" t="inlineStr">
        <is>
          <t>Bergvik skog öst AB</t>
        </is>
      </c>
      <c r="G631" t="n">
        <v>4.1</v>
      </c>
      <c r="H631" t="n">
        <v>0</v>
      </c>
      <c r="I631" t="n">
        <v>0</v>
      </c>
      <c r="J631" t="n">
        <v>0</v>
      </c>
      <c r="K631" t="n">
        <v>0</v>
      </c>
      <c r="L631" t="n">
        <v>0</v>
      </c>
      <c r="M631" t="n">
        <v>0</v>
      </c>
      <c r="N631" t="n">
        <v>0</v>
      </c>
      <c r="O631" t="n">
        <v>0</v>
      </c>
      <c r="P631" t="n">
        <v>0</v>
      </c>
      <c r="Q631" t="n">
        <v>0</v>
      </c>
      <c r="R631" s="2" t="inlineStr"/>
    </row>
    <row r="632" ht="15" customHeight="1">
      <c r="A632" t="inlineStr">
        <is>
          <t>A 4412-2024</t>
        </is>
      </c>
      <c r="B632" s="1" t="n">
        <v>45327</v>
      </c>
      <c r="C632" s="1" t="n">
        <v>45968</v>
      </c>
      <c r="D632" t="inlineStr">
        <is>
          <t>UPPSALA LÄN</t>
        </is>
      </c>
      <c r="E632" t="inlineStr">
        <is>
          <t>UPPSALA</t>
        </is>
      </c>
      <c r="G632" t="n">
        <v>5.4</v>
      </c>
      <c r="H632" t="n">
        <v>0</v>
      </c>
      <c r="I632" t="n">
        <v>0</v>
      </c>
      <c r="J632" t="n">
        <v>0</v>
      </c>
      <c r="K632" t="n">
        <v>0</v>
      </c>
      <c r="L632" t="n">
        <v>0</v>
      </c>
      <c r="M632" t="n">
        <v>0</v>
      </c>
      <c r="N632" t="n">
        <v>0</v>
      </c>
      <c r="O632" t="n">
        <v>0</v>
      </c>
      <c r="P632" t="n">
        <v>0</v>
      </c>
      <c r="Q632" t="n">
        <v>0</v>
      </c>
      <c r="R632" s="2" t="inlineStr"/>
    </row>
    <row r="633" ht="15" customHeight="1">
      <c r="A633" t="inlineStr">
        <is>
          <t>A 3287-2025</t>
        </is>
      </c>
      <c r="B633" s="1" t="n">
        <v>45679</v>
      </c>
      <c r="C633" s="1" t="n">
        <v>45968</v>
      </c>
      <c r="D633" t="inlineStr">
        <is>
          <t>UPPSALA LÄN</t>
        </is>
      </c>
      <c r="E633" t="inlineStr">
        <is>
          <t>UPPSALA</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46807-2022</t>
        </is>
      </c>
      <c r="B634" s="1" t="n">
        <v>44848</v>
      </c>
      <c r="C634" s="1" t="n">
        <v>45968</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44781-2021</t>
        </is>
      </c>
      <c r="B635" s="1" t="n">
        <v>44438</v>
      </c>
      <c r="C635" s="1" t="n">
        <v>45968</v>
      </c>
      <c r="D635" t="inlineStr">
        <is>
          <t>UPPSALA LÄN</t>
        </is>
      </c>
      <c r="E635" t="inlineStr">
        <is>
          <t>UPPSALA</t>
        </is>
      </c>
      <c r="F635" t="inlineStr">
        <is>
          <t>Sveaskog</t>
        </is>
      </c>
      <c r="G635" t="n">
        <v>0.1</v>
      </c>
      <c r="H635" t="n">
        <v>0</v>
      </c>
      <c r="I635" t="n">
        <v>0</v>
      </c>
      <c r="J635" t="n">
        <v>0</v>
      </c>
      <c r="K635" t="n">
        <v>0</v>
      </c>
      <c r="L635" t="n">
        <v>0</v>
      </c>
      <c r="M635" t="n">
        <v>0</v>
      </c>
      <c r="N635" t="n">
        <v>0</v>
      </c>
      <c r="O635" t="n">
        <v>0</v>
      </c>
      <c r="P635" t="n">
        <v>0</v>
      </c>
      <c r="Q635" t="n">
        <v>0</v>
      </c>
      <c r="R635" s="2" t="inlineStr"/>
    </row>
    <row r="636" ht="15" customHeight="1">
      <c r="A636" t="inlineStr">
        <is>
          <t>A 62287-2023</t>
        </is>
      </c>
      <c r="B636" s="1" t="n">
        <v>45267</v>
      </c>
      <c r="C636" s="1" t="n">
        <v>45968</v>
      </c>
      <c r="D636" t="inlineStr">
        <is>
          <t>UPPSALA LÄN</t>
        </is>
      </c>
      <c r="E636" t="inlineStr">
        <is>
          <t>UPPSALA</t>
        </is>
      </c>
      <c r="F636" t="inlineStr">
        <is>
          <t>Allmännings- och besparingsskogar</t>
        </is>
      </c>
      <c r="G636" t="n">
        <v>2.8</v>
      </c>
      <c r="H636" t="n">
        <v>0</v>
      </c>
      <c r="I636" t="n">
        <v>0</v>
      </c>
      <c r="J636" t="n">
        <v>0</v>
      </c>
      <c r="K636" t="n">
        <v>0</v>
      </c>
      <c r="L636" t="n">
        <v>0</v>
      </c>
      <c r="M636" t="n">
        <v>0</v>
      </c>
      <c r="N636" t="n">
        <v>0</v>
      </c>
      <c r="O636" t="n">
        <v>0</v>
      </c>
      <c r="P636" t="n">
        <v>0</v>
      </c>
      <c r="Q636" t="n">
        <v>0</v>
      </c>
      <c r="R636" s="2" t="inlineStr"/>
    </row>
    <row r="637" ht="15" customHeight="1">
      <c r="A637" t="inlineStr">
        <is>
          <t>A 5605-2025</t>
        </is>
      </c>
      <c r="B637" s="1" t="n">
        <v>45693</v>
      </c>
      <c r="C637" s="1" t="n">
        <v>45968</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12507-2024</t>
        </is>
      </c>
      <c r="B638" s="1" t="n">
        <v>45379</v>
      </c>
      <c r="C638" s="1" t="n">
        <v>45968</v>
      </c>
      <c r="D638" t="inlineStr">
        <is>
          <t>UPPSALA LÄN</t>
        </is>
      </c>
      <c r="E638" t="inlineStr">
        <is>
          <t>UPPSALA</t>
        </is>
      </c>
      <c r="G638" t="n">
        <v>4.6</v>
      </c>
      <c r="H638" t="n">
        <v>0</v>
      </c>
      <c r="I638" t="n">
        <v>0</v>
      </c>
      <c r="J638" t="n">
        <v>0</v>
      </c>
      <c r="K638" t="n">
        <v>0</v>
      </c>
      <c r="L638" t="n">
        <v>0</v>
      </c>
      <c r="M638" t="n">
        <v>0</v>
      </c>
      <c r="N638" t="n">
        <v>0</v>
      </c>
      <c r="O638" t="n">
        <v>0</v>
      </c>
      <c r="P638" t="n">
        <v>0</v>
      </c>
      <c r="Q638" t="n">
        <v>0</v>
      </c>
      <c r="R638" s="2" t="inlineStr"/>
    </row>
    <row r="639" ht="15" customHeight="1">
      <c r="A639" t="inlineStr">
        <is>
          <t>A 9313-2023</t>
        </is>
      </c>
      <c r="B639" s="1" t="n">
        <v>44980</v>
      </c>
      <c r="C639" s="1" t="n">
        <v>45968</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4065-2024</t>
        </is>
      </c>
      <c r="B640" s="1" t="n">
        <v>45323.55914351852</v>
      </c>
      <c r="C640" s="1" t="n">
        <v>45968</v>
      </c>
      <c r="D640" t="inlineStr">
        <is>
          <t>UPPSALA LÄN</t>
        </is>
      </c>
      <c r="E640" t="inlineStr">
        <is>
          <t>UPPSALA</t>
        </is>
      </c>
      <c r="F640" t="inlineStr">
        <is>
          <t>Holmen skog AB</t>
        </is>
      </c>
      <c r="G640" t="n">
        <v>1.7</v>
      </c>
      <c r="H640" t="n">
        <v>0</v>
      </c>
      <c r="I640" t="n">
        <v>0</v>
      </c>
      <c r="J640" t="n">
        <v>0</v>
      </c>
      <c r="K640" t="n">
        <v>0</v>
      </c>
      <c r="L640" t="n">
        <v>0</v>
      </c>
      <c r="M640" t="n">
        <v>0</v>
      </c>
      <c r="N640" t="n">
        <v>0</v>
      </c>
      <c r="O640" t="n">
        <v>0</v>
      </c>
      <c r="P640" t="n">
        <v>0</v>
      </c>
      <c r="Q640" t="n">
        <v>0</v>
      </c>
      <c r="R640" s="2" t="inlineStr"/>
    </row>
    <row r="641" ht="15" customHeight="1">
      <c r="A641" t="inlineStr">
        <is>
          <t>A 38034-2025</t>
        </is>
      </c>
      <c r="B641" s="1" t="n">
        <v>45882.37202546297</v>
      </c>
      <c r="C641" s="1" t="n">
        <v>45968</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16288-2025</t>
        </is>
      </c>
      <c r="B642" s="1" t="n">
        <v>45751.32001157408</v>
      </c>
      <c r="C642" s="1" t="n">
        <v>45968</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39818-2024</t>
        </is>
      </c>
      <c r="B643" s="1" t="n">
        <v>45552</v>
      </c>
      <c r="C643" s="1" t="n">
        <v>45968</v>
      </c>
      <c r="D643" t="inlineStr">
        <is>
          <t>UPPSALA LÄN</t>
        </is>
      </c>
      <c r="E643" t="inlineStr">
        <is>
          <t>UPPSALA</t>
        </is>
      </c>
      <c r="G643" t="n">
        <v>1.9</v>
      </c>
      <c r="H643" t="n">
        <v>0</v>
      </c>
      <c r="I643" t="n">
        <v>0</v>
      </c>
      <c r="J643" t="n">
        <v>0</v>
      </c>
      <c r="K643" t="n">
        <v>0</v>
      </c>
      <c r="L643" t="n">
        <v>0</v>
      </c>
      <c r="M643" t="n">
        <v>0</v>
      </c>
      <c r="N643" t="n">
        <v>0</v>
      </c>
      <c r="O643" t="n">
        <v>0</v>
      </c>
      <c r="P643" t="n">
        <v>0</v>
      </c>
      <c r="Q643" t="n">
        <v>0</v>
      </c>
      <c r="R643" s="2" t="inlineStr"/>
    </row>
    <row r="644" ht="15" customHeight="1">
      <c r="A644" t="inlineStr">
        <is>
          <t>A 17658-2025</t>
        </is>
      </c>
      <c r="B644" s="1" t="n">
        <v>45758</v>
      </c>
      <c r="C644" s="1" t="n">
        <v>45968</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4993-2025</t>
        </is>
      </c>
      <c r="B645" s="1" t="n">
        <v>45691</v>
      </c>
      <c r="C645" s="1" t="n">
        <v>45968</v>
      </c>
      <c r="D645" t="inlineStr">
        <is>
          <t>UPPSALA LÄN</t>
        </is>
      </c>
      <c r="E645" t="inlineStr">
        <is>
          <t>UPPSALA</t>
        </is>
      </c>
      <c r="F645" t="inlineStr">
        <is>
          <t>Kyrkan</t>
        </is>
      </c>
      <c r="G645" t="n">
        <v>6.7</v>
      </c>
      <c r="H645" t="n">
        <v>0</v>
      </c>
      <c r="I645" t="n">
        <v>0</v>
      </c>
      <c r="J645" t="n">
        <v>0</v>
      </c>
      <c r="K645" t="n">
        <v>0</v>
      </c>
      <c r="L645" t="n">
        <v>0</v>
      </c>
      <c r="M645" t="n">
        <v>0</v>
      </c>
      <c r="N645" t="n">
        <v>0</v>
      </c>
      <c r="O645" t="n">
        <v>0</v>
      </c>
      <c r="P645" t="n">
        <v>0</v>
      </c>
      <c r="Q645" t="n">
        <v>0</v>
      </c>
      <c r="R645" s="2" t="inlineStr"/>
    </row>
    <row r="646" ht="15" customHeight="1">
      <c r="A646" t="inlineStr">
        <is>
          <t>A 38113-2025</t>
        </is>
      </c>
      <c r="B646" s="1" t="n">
        <v>45882.52290509259</v>
      </c>
      <c r="C646" s="1" t="n">
        <v>45968</v>
      </c>
      <c r="D646" t="inlineStr">
        <is>
          <t>UPPSALA LÄN</t>
        </is>
      </c>
      <c r="E646" t="inlineStr">
        <is>
          <t>UPPSALA</t>
        </is>
      </c>
      <c r="G646" t="n">
        <v>5.8</v>
      </c>
      <c r="H646" t="n">
        <v>0</v>
      </c>
      <c r="I646" t="n">
        <v>0</v>
      </c>
      <c r="J646" t="n">
        <v>0</v>
      </c>
      <c r="K646" t="n">
        <v>0</v>
      </c>
      <c r="L646" t="n">
        <v>0</v>
      </c>
      <c r="M646" t="n">
        <v>0</v>
      </c>
      <c r="N646" t="n">
        <v>0</v>
      </c>
      <c r="O646" t="n">
        <v>0</v>
      </c>
      <c r="P646" t="n">
        <v>0</v>
      </c>
      <c r="Q646" t="n">
        <v>0</v>
      </c>
      <c r="R646" s="2" t="inlineStr"/>
    </row>
    <row r="647" ht="15" customHeight="1">
      <c r="A647" t="inlineStr">
        <is>
          <t>A 46983-2025</t>
        </is>
      </c>
      <c r="B647" s="1" t="n">
        <v>45929.53203703704</v>
      </c>
      <c r="C647" s="1" t="n">
        <v>45968</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47131-2025</t>
        </is>
      </c>
      <c r="B648" s="1" t="n">
        <v>45929.69553240741</v>
      </c>
      <c r="C648" s="1" t="n">
        <v>45968</v>
      </c>
      <c r="D648" t="inlineStr">
        <is>
          <t>UPPSALA LÄN</t>
        </is>
      </c>
      <c r="E648" t="inlineStr">
        <is>
          <t>UPPSALA</t>
        </is>
      </c>
      <c r="F648" t="inlineStr">
        <is>
          <t>Kyrkan</t>
        </is>
      </c>
      <c r="G648" t="n">
        <v>1.9</v>
      </c>
      <c r="H648" t="n">
        <v>0</v>
      </c>
      <c r="I648" t="n">
        <v>0</v>
      </c>
      <c r="J648" t="n">
        <v>0</v>
      </c>
      <c r="K648" t="n">
        <v>0</v>
      </c>
      <c r="L648" t="n">
        <v>0</v>
      </c>
      <c r="M648" t="n">
        <v>0</v>
      </c>
      <c r="N648" t="n">
        <v>0</v>
      </c>
      <c r="O648" t="n">
        <v>0</v>
      </c>
      <c r="P648" t="n">
        <v>0</v>
      </c>
      <c r="Q648" t="n">
        <v>0</v>
      </c>
      <c r="R648" s="2" t="inlineStr"/>
    </row>
    <row r="649" ht="15" customHeight="1">
      <c r="A649" t="inlineStr">
        <is>
          <t>A 47132-2025</t>
        </is>
      </c>
      <c r="B649" s="1" t="n">
        <v>45929.6965162037</v>
      </c>
      <c r="C649" s="1" t="n">
        <v>45968</v>
      </c>
      <c r="D649" t="inlineStr">
        <is>
          <t>UPPSALA LÄN</t>
        </is>
      </c>
      <c r="E649" t="inlineStr">
        <is>
          <t>UPPSALA</t>
        </is>
      </c>
      <c r="F649" t="inlineStr">
        <is>
          <t>Kyrkan</t>
        </is>
      </c>
      <c r="G649" t="n">
        <v>1.9</v>
      </c>
      <c r="H649" t="n">
        <v>0</v>
      </c>
      <c r="I649" t="n">
        <v>0</v>
      </c>
      <c r="J649" t="n">
        <v>0</v>
      </c>
      <c r="K649" t="n">
        <v>0</v>
      </c>
      <c r="L649" t="n">
        <v>0</v>
      </c>
      <c r="M649" t="n">
        <v>0</v>
      </c>
      <c r="N649" t="n">
        <v>0</v>
      </c>
      <c r="O649" t="n">
        <v>0</v>
      </c>
      <c r="P649" t="n">
        <v>0</v>
      </c>
      <c r="Q649" t="n">
        <v>0</v>
      </c>
      <c r="R649" s="2" t="inlineStr"/>
    </row>
    <row r="650" ht="15" customHeight="1">
      <c r="A650" t="inlineStr">
        <is>
          <t>A 18781-2025</t>
        </is>
      </c>
      <c r="B650" s="1" t="n">
        <v>45763</v>
      </c>
      <c r="C650" s="1" t="n">
        <v>45968</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46564-2025</t>
        </is>
      </c>
      <c r="B651" s="1" t="n">
        <v>45926.35917824074</v>
      </c>
      <c r="C651" s="1" t="n">
        <v>45968</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46565-2025</t>
        </is>
      </c>
      <c r="B652" s="1" t="n">
        <v>45926.35998842592</v>
      </c>
      <c r="C652" s="1" t="n">
        <v>45968</v>
      </c>
      <c r="D652" t="inlineStr">
        <is>
          <t>UPPSALA LÄN</t>
        </is>
      </c>
      <c r="E652" t="inlineStr">
        <is>
          <t>UPPSALA</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18607-2024</t>
        </is>
      </c>
      <c r="B653" s="1" t="n">
        <v>45425.94947916667</v>
      </c>
      <c r="C653" s="1" t="n">
        <v>45968</v>
      </c>
      <c r="D653" t="inlineStr">
        <is>
          <t>UPPSALA LÄN</t>
        </is>
      </c>
      <c r="E653" t="inlineStr">
        <is>
          <t>UPPSALA</t>
        </is>
      </c>
      <c r="G653" t="n">
        <v>4.3</v>
      </c>
      <c r="H653" t="n">
        <v>0</v>
      </c>
      <c r="I653" t="n">
        <v>0</v>
      </c>
      <c r="J653" t="n">
        <v>0</v>
      </c>
      <c r="K653" t="n">
        <v>0</v>
      </c>
      <c r="L653" t="n">
        <v>0</v>
      </c>
      <c r="M653" t="n">
        <v>0</v>
      </c>
      <c r="N653" t="n">
        <v>0</v>
      </c>
      <c r="O653" t="n">
        <v>0</v>
      </c>
      <c r="P653" t="n">
        <v>0</v>
      </c>
      <c r="Q653" t="n">
        <v>0</v>
      </c>
      <c r="R653" s="2" t="inlineStr"/>
    </row>
    <row r="654" ht="15" customHeight="1">
      <c r="A654" t="inlineStr">
        <is>
          <t>A 59547-2024</t>
        </is>
      </c>
      <c r="B654" s="1" t="n">
        <v>45638</v>
      </c>
      <c r="C654" s="1" t="n">
        <v>45968</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45968</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54715-2022</t>
        </is>
      </c>
      <c r="B656" s="1" t="n">
        <v>44883</v>
      </c>
      <c r="C656" s="1" t="n">
        <v>45968</v>
      </c>
      <c r="D656" t="inlineStr">
        <is>
          <t>UPPSALA LÄN</t>
        </is>
      </c>
      <c r="E656" t="inlineStr">
        <is>
          <t>UPPSALA</t>
        </is>
      </c>
      <c r="F656" t="inlineStr">
        <is>
          <t>Övriga Aktiebolag</t>
        </is>
      </c>
      <c r="G656" t="n">
        <v>9.5</v>
      </c>
      <c r="H656" t="n">
        <v>0</v>
      </c>
      <c r="I656" t="n">
        <v>0</v>
      </c>
      <c r="J656" t="n">
        <v>0</v>
      </c>
      <c r="K656" t="n">
        <v>0</v>
      </c>
      <c r="L656" t="n">
        <v>0</v>
      </c>
      <c r="M656" t="n">
        <v>0</v>
      </c>
      <c r="N656" t="n">
        <v>0</v>
      </c>
      <c r="O656" t="n">
        <v>0</v>
      </c>
      <c r="P656" t="n">
        <v>0</v>
      </c>
      <c r="Q656" t="n">
        <v>0</v>
      </c>
      <c r="R656" s="2" t="inlineStr"/>
    </row>
    <row r="657" ht="15" customHeight="1">
      <c r="A657" t="inlineStr">
        <is>
          <t>A 46772-2025</t>
        </is>
      </c>
      <c r="B657" s="1" t="n">
        <v>45926.63232638889</v>
      </c>
      <c r="C657" s="1" t="n">
        <v>45968</v>
      </c>
      <c r="D657" t="inlineStr">
        <is>
          <t>UPPSALA LÄN</t>
        </is>
      </c>
      <c r="E657" t="inlineStr">
        <is>
          <t>UPPSALA</t>
        </is>
      </c>
      <c r="F657" t="inlineStr">
        <is>
          <t>Kyrkan</t>
        </is>
      </c>
      <c r="G657" t="n">
        <v>0.9</v>
      </c>
      <c r="H657" t="n">
        <v>0</v>
      </c>
      <c r="I657" t="n">
        <v>0</v>
      </c>
      <c r="J657" t="n">
        <v>0</v>
      </c>
      <c r="K657" t="n">
        <v>0</v>
      </c>
      <c r="L657" t="n">
        <v>0</v>
      </c>
      <c r="M657" t="n">
        <v>0</v>
      </c>
      <c r="N657" t="n">
        <v>0</v>
      </c>
      <c r="O657" t="n">
        <v>0</v>
      </c>
      <c r="P657" t="n">
        <v>0</v>
      </c>
      <c r="Q657" t="n">
        <v>0</v>
      </c>
      <c r="R657" s="2" t="inlineStr"/>
    </row>
    <row r="658" ht="15" customHeight="1">
      <c r="A658" t="inlineStr">
        <is>
          <t>A 46773-2025</t>
        </is>
      </c>
      <c r="B658" s="1" t="n">
        <v>45926.63290509259</v>
      </c>
      <c r="C658" s="1" t="n">
        <v>45968</v>
      </c>
      <c r="D658" t="inlineStr">
        <is>
          <t>UPPSALA LÄN</t>
        </is>
      </c>
      <c r="E658" t="inlineStr">
        <is>
          <t>UPPSALA</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6973-2025</t>
        </is>
      </c>
      <c r="B659" s="1" t="n">
        <v>45693</v>
      </c>
      <c r="C659" s="1" t="n">
        <v>45968</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74019-2021</t>
        </is>
      </c>
      <c r="B660" s="1" t="n">
        <v>44553</v>
      </c>
      <c r="C660" s="1" t="n">
        <v>45968</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56872-2023</t>
        </is>
      </c>
      <c r="B661" s="1" t="n">
        <v>45244.52202546296</v>
      </c>
      <c r="C661" s="1" t="n">
        <v>45968</v>
      </c>
      <c r="D661" t="inlineStr">
        <is>
          <t>UPPSALA LÄN</t>
        </is>
      </c>
      <c r="E661" t="inlineStr">
        <is>
          <t>UPPSALA</t>
        </is>
      </c>
      <c r="F661" t="inlineStr">
        <is>
          <t>Holmen skog AB</t>
        </is>
      </c>
      <c r="G661" t="n">
        <v>3.5</v>
      </c>
      <c r="H661" t="n">
        <v>0</v>
      </c>
      <c r="I661" t="n">
        <v>0</v>
      </c>
      <c r="J661" t="n">
        <v>0</v>
      </c>
      <c r="K661" t="n">
        <v>0</v>
      </c>
      <c r="L661" t="n">
        <v>0</v>
      </c>
      <c r="M661" t="n">
        <v>0</v>
      </c>
      <c r="N661" t="n">
        <v>0</v>
      </c>
      <c r="O661" t="n">
        <v>0</v>
      </c>
      <c r="P661" t="n">
        <v>0</v>
      </c>
      <c r="Q661" t="n">
        <v>0</v>
      </c>
      <c r="R661" s="2" t="inlineStr"/>
    </row>
    <row r="662" ht="15" customHeight="1">
      <c r="A662" t="inlineStr">
        <is>
          <t>A 19613-2025</t>
        </is>
      </c>
      <c r="B662" s="1" t="n">
        <v>45770.61341435185</v>
      </c>
      <c r="C662" s="1" t="n">
        <v>45968</v>
      </c>
      <c r="D662" t="inlineStr">
        <is>
          <t>UPPSALA LÄN</t>
        </is>
      </c>
      <c r="E662" t="inlineStr">
        <is>
          <t>UPPSALA</t>
        </is>
      </c>
      <c r="F662" t="inlineStr">
        <is>
          <t>Övriga Aktiebolag</t>
        </is>
      </c>
      <c r="G662" t="n">
        <v>2.2</v>
      </c>
      <c r="H662" t="n">
        <v>0</v>
      </c>
      <c r="I662" t="n">
        <v>0</v>
      </c>
      <c r="J662" t="n">
        <v>0</v>
      </c>
      <c r="K662" t="n">
        <v>0</v>
      </c>
      <c r="L662" t="n">
        <v>0</v>
      </c>
      <c r="M662" t="n">
        <v>0</v>
      </c>
      <c r="N662" t="n">
        <v>0</v>
      </c>
      <c r="O662" t="n">
        <v>0</v>
      </c>
      <c r="P662" t="n">
        <v>0</v>
      </c>
      <c r="Q662" t="n">
        <v>0</v>
      </c>
      <c r="R662" s="2" t="inlineStr"/>
    </row>
    <row r="663" ht="15" customHeight="1">
      <c r="A663" t="inlineStr">
        <is>
          <t>A 31161-2023</t>
        </is>
      </c>
      <c r="B663" s="1" t="n">
        <v>45113.80170138889</v>
      </c>
      <c r="C663" s="1" t="n">
        <v>45968</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6155-2023</t>
        </is>
      </c>
      <c r="B664" s="1" t="n">
        <v>44964.65261574074</v>
      </c>
      <c r="C664" s="1" t="n">
        <v>45968</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5204-2025</t>
        </is>
      </c>
      <c r="B665" s="1" t="n">
        <v>45691</v>
      </c>
      <c r="C665" s="1" t="n">
        <v>45968</v>
      </c>
      <c r="D665" t="inlineStr">
        <is>
          <t>UPPSALA LÄN</t>
        </is>
      </c>
      <c r="E665" t="inlineStr">
        <is>
          <t>UPPSALA</t>
        </is>
      </c>
      <c r="G665" t="n">
        <v>3.7</v>
      </c>
      <c r="H665" t="n">
        <v>0</v>
      </c>
      <c r="I665" t="n">
        <v>0</v>
      </c>
      <c r="J665" t="n">
        <v>0</v>
      </c>
      <c r="K665" t="n">
        <v>0</v>
      </c>
      <c r="L665" t="n">
        <v>0</v>
      </c>
      <c r="M665" t="n">
        <v>0</v>
      </c>
      <c r="N665" t="n">
        <v>0</v>
      </c>
      <c r="O665" t="n">
        <v>0</v>
      </c>
      <c r="P665" t="n">
        <v>0</v>
      </c>
      <c r="Q665" t="n">
        <v>0</v>
      </c>
      <c r="R665" s="2" t="inlineStr"/>
    </row>
    <row r="666" ht="15" customHeight="1">
      <c r="A666" t="inlineStr">
        <is>
          <t>A 1588-2025</t>
        </is>
      </c>
      <c r="B666" s="1" t="n">
        <v>45670</v>
      </c>
      <c r="C666" s="1" t="n">
        <v>45968</v>
      </c>
      <c r="D666" t="inlineStr">
        <is>
          <t>UPPSALA LÄN</t>
        </is>
      </c>
      <c r="E666" t="inlineStr">
        <is>
          <t>UPPSALA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27119-2023</t>
        </is>
      </c>
      <c r="B667" s="1" t="n">
        <v>45096</v>
      </c>
      <c r="C667" s="1" t="n">
        <v>45968</v>
      </c>
      <c r="D667" t="inlineStr">
        <is>
          <t>UPPSALA LÄN</t>
        </is>
      </c>
      <c r="E667" t="inlineStr">
        <is>
          <t>UPPSALA</t>
        </is>
      </c>
      <c r="G667" t="n">
        <v>3.1</v>
      </c>
      <c r="H667" t="n">
        <v>0</v>
      </c>
      <c r="I667" t="n">
        <v>0</v>
      </c>
      <c r="J667" t="n">
        <v>0</v>
      </c>
      <c r="K667" t="n">
        <v>0</v>
      </c>
      <c r="L667" t="n">
        <v>0</v>
      </c>
      <c r="M667" t="n">
        <v>0</v>
      </c>
      <c r="N667" t="n">
        <v>0</v>
      </c>
      <c r="O667" t="n">
        <v>0</v>
      </c>
      <c r="P667" t="n">
        <v>0</v>
      </c>
      <c r="Q667" t="n">
        <v>0</v>
      </c>
      <c r="R667" s="2" t="inlineStr"/>
    </row>
    <row r="668" ht="15" customHeight="1">
      <c r="A668" t="inlineStr">
        <is>
          <t>A 31157-2023</t>
        </is>
      </c>
      <c r="B668" s="1" t="n">
        <v>45113</v>
      </c>
      <c r="C668" s="1" t="n">
        <v>45968</v>
      </c>
      <c r="D668" t="inlineStr">
        <is>
          <t>UPPSALA LÄN</t>
        </is>
      </c>
      <c r="E668" t="inlineStr">
        <is>
          <t>UPPSALA</t>
        </is>
      </c>
      <c r="G668" t="n">
        <v>1.6</v>
      </c>
      <c r="H668" t="n">
        <v>0</v>
      </c>
      <c r="I668" t="n">
        <v>0</v>
      </c>
      <c r="J668" t="n">
        <v>0</v>
      </c>
      <c r="K668" t="n">
        <v>0</v>
      </c>
      <c r="L668" t="n">
        <v>0</v>
      </c>
      <c r="M668" t="n">
        <v>0</v>
      </c>
      <c r="N668" t="n">
        <v>0</v>
      </c>
      <c r="O668" t="n">
        <v>0</v>
      </c>
      <c r="P668" t="n">
        <v>0</v>
      </c>
      <c r="Q668" t="n">
        <v>0</v>
      </c>
      <c r="R668" s="2" t="inlineStr"/>
    </row>
    <row r="669" ht="15" customHeight="1">
      <c r="A669" t="inlineStr">
        <is>
          <t>A 35906-2023</t>
        </is>
      </c>
      <c r="B669" s="1" t="n">
        <v>45148</v>
      </c>
      <c r="C669" s="1" t="n">
        <v>45968</v>
      </c>
      <c r="D669" t="inlineStr">
        <is>
          <t>UPPSALA LÄN</t>
        </is>
      </c>
      <c r="E669" t="inlineStr">
        <is>
          <t>UPPSALA</t>
        </is>
      </c>
      <c r="G669" t="n">
        <v>1.7</v>
      </c>
      <c r="H669" t="n">
        <v>0</v>
      </c>
      <c r="I669" t="n">
        <v>0</v>
      </c>
      <c r="J669" t="n">
        <v>0</v>
      </c>
      <c r="K669" t="n">
        <v>0</v>
      </c>
      <c r="L669" t="n">
        <v>0</v>
      </c>
      <c r="M669" t="n">
        <v>0</v>
      </c>
      <c r="N669" t="n">
        <v>0</v>
      </c>
      <c r="O669" t="n">
        <v>0</v>
      </c>
      <c r="P669" t="n">
        <v>0</v>
      </c>
      <c r="Q669" t="n">
        <v>0</v>
      </c>
      <c r="R669" s="2" t="inlineStr"/>
    </row>
    <row r="670" ht="15" customHeight="1">
      <c r="A670" t="inlineStr">
        <is>
          <t>A 17595-2025</t>
        </is>
      </c>
      <c r="B670" s="1" t="n">
        <v>45757</v>
      </c>
      <c r="C670" s="1" t="n">
        <v>45968</v>
      </c>
      <c r="D670" t="inlineStr">
        <is>
          <t>UPPSALA LÄN</t>
        </is>
      </c>
      <c r="E670" t="inlineStr">
        <is>
          <t>UPPSALA</t>
        </is>
      </c>
      <c r="G670" t="n">
        <v>2.7</v>
      </c>
      <c r="H670" t="n">
        <v>0</v>
      </c>
      <c r="I670" t="n">
        <v>0</v>
      </c>
      <c r="J670" t="n">
        <v>0</v>
      </c>
      <c r="K670" t="n">
        <v>0</v>
      </c>
      <c r="L670" t="n">
        <v>0</v>
      </c>
      <c r="M670" t="n">
        <v>0</v>
      </c>
      <c r="N670" t="n">
        <v>0</v>
      </c>
      <c r="O670" t="n">
        <v>0</v>
      </c>
      <c r="P670" t="n">
        <v>0</v>
      </c>
      <c r="Q670" t="n">
        <v>0</v>
      </c>
      <c r="R670" s="2" t="inlineStr"/>
    </row>
    <row r="671" ht="15" customHeight="1">
      <c r="A671" t="inlineStr">
        <is>
          <t>A 5678-2023</t>
        </is>
      </c>
      <c r="B671" s="1" t="n">
        <v>44960</v>
      </c>
      <c r="C671" s="1" t="n">
        <v>45968</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9295-2023</t>
        </is>
      </c>
      <c r="B672" s="1" t="n">
        <v>44980</v>
      </c>
      <c r="C672" s="1" t="n">
        <v>45968</v>
      </c>
      <c r="D672" t="inlineStr">
        <is>
          <t>UPPSALA LÄN</t>
        </is>
      </c>
      <c r="E672" t="inlineStr">
        <is>
          <t>UPPSALA</t>
        </is>
      </c>
      <c r="G672" t="n">
        <v>2.1</v>
      </c>
      <c r="H672" t="n">
        <v>0</v>
      </c>
      <c r="I672" t="n">
        <v>0</v>
      </c>
      <c r="J672" t="n">
        <v>0</v>
      </c>
      <c r="K672" t="n">
        <v>0</v>
      </c>
      <c r="L672" t="n">
        <v>0</v>
      </c>
      <c r="M672" t="n">
        <v>0</v>
      </c>
      <c r="N672" t="n">
        <v>0</v>
      </c>
      <c r="O672" t="n">
        <v>0</v>
      </c>
      <c r="P672" t="n">
        <v>0</v>
      </c>
      <c r="Q672" t="n">
        <v>0</v>
      </c>
      <c r="R672" s="2" t="inlineStr"/>
    </row>
    <row r="673" ht="15" customHeight="1">
      <c r="A673" t="inlineStr">
        <is>
          <t>A 29019-2023</t>
        </is>
      </c>
      <c r="B673" s="1" t="n">
        <v>45104.6828125</v>
      </c>
      <c r="C673" s="1" t="n">
        <v>45968</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33332-2022</t>
        </is>
      </c>
      <c r="B674" s="1" t="n">
        <v>44788</v>
      </c>
      <c r="C674" s="1" t="n">
        <v>45968</v>
      </c>
      <c r="D674" t="inlineStr">
        <is>
          <t>UPPSALA LÄN</t>
        </is>
      </c>
      <c r="E674" t="inlineStr">
        <is>
          <t>UPPSALA</t>
        </is>
      </c>
      <c r="G674" t="n">
        <v>1</v>
      </c>
      <c r="H674" t="n">
        <v>0</v>
      </c>
      <c r="I674" t="n">
        <v>0</v>
      </c>
      <c r="J674" t="n">
        <v>0</v>
      </c>
      <c r="K674" t="n">
        <v>0</v>
      </c>
      <c r="L674" t="n">
        <v>0</v>
      </c>
      <c r="M674" t="n">
        <v>0</v>
      </c>
      <c r="N674" t="n">
        <v>0</v>
      </c>
      <c r="O674" t="n">
        <v>0</v>
      </c>
      <c r="P674" t="n">
        <v>0</v>
      </c>
      <c r="Q674" t="n">
        <v>0</v>
      </c>
      <c r="R674" s="2" t="inlineStr"/>
    </row>
    <row r="675" ht="15" customHeight="1">
      <c r="A675" t="inlineStr">
        <is>
          <t>A 27912-2023</t>
        </is>
      </c>
      <c r="B675" s="1" t="n">
        <v>45098.63572916666</v>
      </c>
      <c r="C675" s="1" t="n">
        <v>45968</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1592-2025</t>
        </is>
      </c>
      <c r="B676" s="1" t="n">
        <v>45670</v>
      </c>
      <c r="C676" s="1" t="n">
        <v>45968</v>
      </c>
      <c r="D676" t="inlineStr">
        <is>
          <t>UPPSALA LÄN</t>
        </is>
      </c>
      <c r="E676" t="inlineStr">
        <is>
          <t>UPPSALA</t>
        </is>
      </c>
      <c r="F676" t="inlineStr">
        <is>
          <t>Bergvik skog väst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28782-2024</t>
        </is>
      </c>
      <c r="B677" s="1" t="n">
        <v>45478.60802083334</v>
      </c>
      <c r="C677" s="1" t="n">
        <v>45968</v>
      </c>
      <c r="D677" t="inlineStr">
        <is>
          <t>UPPSALA LÄN</t>
        </is>
      </c>
      <c r="E677" t="inlineStr">
        <is>
          <t>UPPSALA</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27125-2023</t>
        </is>
      </c>
      <c r="B678" s="1" t="n">
        <v>45096</v>
      </c>
      <c r="C678" s="1" t="n">
        <v>45968</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9426-2023</t>
        </is>
      </c>
      <c r="B679" s="1" t="n">
        <v>44977</v>
      </c>
      <c r="C679" s="1" t="n">
        <v>45968</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1573-2021</t>
        </is>
      </c>
      <c r="B680" s="1" t="n">
        <v>44209</v>
      </c>
      <c r="C680" s="1" t="n">
        <v>45968</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53900-2023</t>
        </is>
      </c>
      <c r="B681" s="1" t="n">
        <v>45231.54601851852</v>
      </c>
      <c r="C681" s="1" t="n">
        <v>45968</v>
      </c>
      <c r="D681" t="inlineStr">
        <is>
          <t>UPPSALA LÄN</t>
        </is>
      </c>
      <c r="E681" t="inlineStr">
        <is>
          <t>UPPSALA</t>
        </is>
      </c>
      <c r="G681" t="n">
        <v>2.1</v>
      </c>
      <c r="H681" t="n">
        <v>0</v>
      </c>
      <c r="I681" t="n">
        <v>0</v>
      </c>
      <c r="J681" t="n">
        <v>0</v>
      </c>
      <c r="K681" t="n">
        <v>0</v>
      </c>
      <c r="L681" t="n">
        <v>0</v>
      </c>
      <c r="M681" t="n">
        <v>0</v>
      </c>
      <c r="N681" t="n">
        <v>0</v>
      </c>
      <c r="O681" t="n">
        <v>0</v>
      </c>
      <c r="P681" t="n">
        <v>0</v>
      </c>
      <c r="Q681" t="n">
        <v>0</v>
      </c>
      <c r="R681" s="2" t="inlineStr"/>
    </row>
    <row r="682" ht="15" customHeight="1">
      <c r="A682" t="inlineStr">
        <is>
          <t>A 46796-2024</t>
        </is>
      </c>
      <c r="B682" s="1" t="n">
        <v>45583</v>
      </c>
      <c r="C682" s="1" t="n">
        <v>45968</v>
      </c>
      <c r="D682" t="inlineStr">
        <is>
          <t>UPPSALA LÄN</t>
        </is>
      </c>
      <c r="E682" t="inlineStr">
        <is>
          <t>UPPSALA</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46632-2025</t>
        </is>
      </c>
      <c r="B683" s="1" t="n">
        <v>45926.45846064815</v>
      </c>
      <c r="C683" s="1" t="n">
        <v>45968</v>
      </c>
      <c r="D683" t="inlineStr">
        <is>
          <t>UPPSALA LÄN</t>
        </is>
      </c>
      <c r="E683" t="inlineStr">
        <is>
          <t>UPPSALA</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8132-2022</t>
        </is>
      </c>
      <c r="B684" s="1" t="n">
        <v>44609.60171296296</v>
      </c>
      <c r="C684" s="1" t="n">
        <v>45968</v>
      </c>
      <c r="D684" t="inlineStr">
        <is>
          <t>UPPSALA LÄN</t>
        </is>
      </c>
      <c r="E684" t="inlineStr">
        <is>
          <t>UPPSALA</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341-2024</t>
        </is>
      </c>
      <c r="B685" s="1" t="n">
        <v>45295</v>
      </c>
      <c r="C685" s="1" t="n">
        <v>45968</v>
      </c>
      <c r="D685" t="inlineStr">
        <is>
          <t>UPPSALA LÄN</t>
        </is>
      </c>
      <c r="E685" t="inlineStr">
        <is>
          <t>UPPSALA</t>
        </is>
      </c>
      <c r="F685" t="inlineStr">
        <is>
          <t>Allmännings- och besparingsskogar</t>
        </is>
      </c>
      <c r="G685" t="n">
        <v>1.8</v>
      </c>
      <c r="H685" t="n">
        <v>0</v>
      </c>
      <c r="I685" t="n">
        <v>0</v>
      </c>
      <c r="J685" t="n">
        <v>0</v>
      </c>
      <c r="K685" t="n">
        <v>0</v>
      </c>
      <c r="L685" t="n">
        <v>0</v>
      </c>
      <c r="M685" t="n">
        <v>0</v>
      </c>
      <c r="N685" t="n">
        <v>0</v>
      </c>
      <c r="O685" t="n">
        <v>0</v>
      </c>
      <c r="P685" t="n">
        <v>0</v>
      </c>
      <c r="Q685" t="n">
        <v>0</v>
      </c>
      <c r="R685" s="2" t="inlineStr"/>
    </row>
    <row r="686" ht="15" customHeight="1">
      <c r="A686" t="inlineStr">
        <is>
          <t>A 9611-2024</t>
        </is>
      </c>
      <c r="B686" s="1" t="n">
        <v>45361.57299768519</v>
      </c>
      <c r="C686" s="1" t="n">
        <v>45968</v>
      </c>
      <c r="D686" t="inlineStr">
        <is>
          <t>UPPSALA LÄN</t>
        </is>
      </c>
      <c r="E686" t="inlineStr">
        <is>
          <t>UPPSALA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18054-2025</t>
        </is>
      </c>
      <c r="B687" s="1" t="n">
        <v>45761.47540509259</v>
      </c>
      <c r="C687" s="1" t="n">
        <v>45968</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18058-2025</t>
        </is>
      </c>
      <c r="B688" s="1" t="n">
        <v>45761.47748842592</v>
      </c>
      <c r="C688" s="1" t="n">
        <v>45968</v>
      </c>
      <c r="D688" t="inlineStr">
        <is>
          <t>UPPSALA LÄN</t>
        </is>
      </c>
      <c r="E688" t="inlineStr">
        <is>
          <t>UPPSALA</t>
        </is>
      </c>
      <c r="G688" t="n">
        <v>0.8</v>
      </c>
      <c r="H688" t="n">
        <v>0</v>
      </c>
      <c r="I688" t="n">
        <v>0</v>
      </c>
      <c r="J688" t="n">
        <v>0</v>
      </c>
      <c r="K688" t="n">
        <v>0</v>
      </c>
      <c r="L688" t="n">
        <v>0</v>
      </c>
      <c r="M688" t="n">
        <v>0</v>
      </c>
      <c r="N688" t="n">
        <v>0</v>
      </c>
      <c r="O688" t="n">
        <v>0</v>
      </c>
      <c r="P688" t="n">
        <v>0</v>
      </c>
      <c r="Q688" t="n">
        <v>0</v>
      </c>
      <c r="R688" s="2" t="inlineStr"/>
    </row>
    <row r="689" ht="15" customHeight="1">
      <c r="A689" t="inlineStr">
        <is>
          <t>A 24091-2024</t>
        </is>
      </c>
      <c r="B689" s="1" t="n">
        <v>45456.58491898148</v>
      </c>
      <c r="C689" s="1" t="n">
        <v>45968</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46775-2025</t>
        </is>
      </c>
      <c r="B690" s="1" t="n">
        <v>45926.63366898148</v>
      </c>
      <c r="C690" s="1" t="n">
        <v>45968</v>
      </c>
      <c r="D690" t="inlineStr">
        <is>
          <t>UPPSALA LÄN</t>
        </is>
      </c>
      <c r="E690" t="inlineStr">
        <is>
          <t>UPPSALA</t>
        </is>
      </c>
      <c r="F690" t="inlineStr">
        <is>
          <t>Kyrkan</t>
        </is>
      </c>
      <c r="G690" t="n">
        <v>0.9</v>
      </c>
      <c r="H690" t="n">
        <v>0</v>
      </c>
      <c r="I690" t="n">
        <v>0</v>
      </c>
      <c r="J690" t="n">
        <v>0</v>
      </c>
      <c r="K690" t="n">
        <v>0</v>
      </c>
      <c r="L690" t="n">
        <v>0</v>
      </c>
      <c r="M690" t="n">
        <v>0</v>
      </c>
      <c r="N690" t="n">
        <v>0</v>
      </c>
      <c r="O690" t="n">
        <v>0</v>
      </c>
      <c r="P690" t="n">
        <v>0</v>
      </c>
      <c r="Q690" t="n">
        <v>0</v>
      </c>
      <c r="R690" s="2" t="inlineStr"/>
    </row>
    <row r="691" ht="15" customHeight="1">
      <c r="A691" t="inlineStr">
        <is>
          <t>A 40872-2023</t>
        </is>
      </c>
      <c r="B691" s="1" t="n">
        <v>45173</v>
      </c>
      <c r="C691" s="1" t="n">
        <v>45968</v>
      </c>
      <c r="D691" t="inlineStr">
        <is>
          <t>UPPSALA LÄN</t>
        </is>
      </c>
      <c r="E691" t="inlineStr">
        <is>
          <t>UPPSALA</t>
        </is>
      </c>
      <c r="G691" t="n">
        <v>1.1</v>
      </c>
      <c r="H691" t="n">
        <v>0</v>
      </c>
      <c r="I691" t="n">
        <v>0</v>
      </c>
      <c r="J691" t="n">
        <v>0</v>
      </c>
      <c r="K691" t="n">
        <v>0</v>
      </c>
      <c r="L691" t="n">
        <v>0</v>
      </c>
      <c r="M691" t="n">
        <v>0</v>
      </c>
      <c r="N691" t="n">
        <v>0</v>
      </c>
      <c r="O691" t="n">
        <v>0</v>
      </c>
      <c r="P691" t="n">
        <v>0</v>
      </c>
      <c r="Q691" t="n">
        <v>0</v>
      </c>
      <c r="R691" s="2" t="inlineStr"/>
    </row>
    <row r="692" ht="15" customHeight="1">
      <c r="A692" t="inlineStr">
        <is>
          <t>A 6550-2025</t>
        </is>
      </c>
      <c r="B692" s="1" t="n">
        <v>45699.71063657408</v>
      </c>
      <c r="C692" s="1" t="n">
        <v>45968</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5006-2022</t>
        </is>
      </c>
      <c r="B693" s="1" t="n">
        <v>44593</v>
      </c>
      <c r="C693" s="1" t="n">
        <v>45968</v>
      </c>
      <c r="D693" t="inlineStr">
        <is>
          <t>UPPSALA LÄN</t>
        </is>
      </c>
      <c r="E693" t="inlineStr">
        <is>
          <t>UPPSALA</t>
        </is>
      </c>
      <c r="F693" t="inlineStr">
        <is>
          <t>BillerudKorsnäs AB</t>
        </is>
      </c>
      <c r="G693" t="n">
        <v>1.4</v>
      </c>
      <c r="H693" t="n">
        <v>0</v>
      </c>
      <c r="I693" t="n">
        <v>0</v>
      </c>
      <c r="J693" t="n">
        <v>0</v>
      </c>
      <c r="K693" t="n">
        <v>0</v>
      </c>
      <c r="L693" t="n">
        <v>0</v>
      </c>
      <c r="M693" t="n">
        <v>0</v>
      </c>
      <c r="N693" t="n">
        <v>0</v>
      </c>
      <c r="O693" t="n">
        <v>0</v>
      </c>
      <c r="P693" t="n">
        <v>0</v>
      </c>
      <c r="Q693" t="n">
        <v>0</v>
      </c>
      <c r="R693" s="2" t="inlineStr"/>
    </row>
    <row r="694" ht="15" customHeight="1">
      <c r="A694" t="inlineStr">
        <is>
          <t>A 38469-2025</t>
        </is>
      </c>
      <c r="B694" s="1" t="n">
        <v>45884</v>
      </c>
      <c r="C694" s="1" t="n">
        <v>45968</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32928-2025</t>
        </is>
      </c>
      <c r="B695" s="1" t="n">
        <v>45839</v>
      </c>
      <c r="C695" s="1" t="n">
        <v>45968</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55862-2022</t>
        </is>
      </c>
      <c r="B696" s="1" t="n">
        <v>44888</v>
      </c>
      <c r="C696" s="1" t="n">
        <v>45968</v>
      </c>
      <c r="D696" t="inlineStr">
        <is>
          <t>UPPSALA LÄN</t>
        </is>
      </c>
      <c r="E696" t="inlineStr">
        <is>
          <t>UPPSALA</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32428-2023</t>
        </is>
      </c>
      <c r="B697" s="1" t="n">
        <v>45110</v>
      </c>
      <c r="C697" s="1" t="n">
        <v>45968</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60781-2023</t>
        </is>
      </c>
      <c r="B698" s="1" t="n">
        <v>45259</v>
      </c>
      <c r="C698" s="1" t="n">
        <v>45968</v>
      </c>
      <c r="D698" t="inlineStr">
        <is>
          <t>UPPSALA LÄN</t>
        </is>
      </c>
      <c r="E698" t="inlineStr">
        <is>
          <t>UPPSALA</t>
        </is>
      </c>
      <c r="G698" t="n">
        <v>4.1</v>
      </c>
      <c r="H698" t="n">
        <v>0</v>
      </c>
      <c r="I698" t="n">
        <v>0</v>
      </c>
      <c r="J698" t="n">
        <v>0</v>
      </c>
      <c r="K698" t="n">
        <v>0</v>
      </c>
      <c r="L698" t="n">
        <v>0</v>
      </c>
      <c r="M698" t="n">
        <v>0</v>
      </c>
      <c r="N698" t="n">
        <v>0</v>
      </c>
      <c r="O698" t="n">
        <v>0</v>
      </c>
      <c r="P698" t="n">
        <v>0</v>
      </c>
      <c r="Q698" t="n">
        <v>0</v>
      </c>
      <c r="R698" s="2" t="inlineStr"/>
    </row>
    <row r="699" ht="15" customHeight="1">
      <c r="A699" t="inlineStr">
        <is>
          <t>A 24787-2024</t>
        </is>
      </c>
      <c r="B699" s="1" t="n">
        <v>45460</v>
      </c>
      <c r="C699" s="1" t="n">
        <v>45968</v>
      </c>
      <c r="D699" t="inlineStr">
        <is>
          <t>UPPSALA LÄN</t>
        </is>
      </c>
      <c r="E699" t="inlineStr">
        <is>
          <t>UPPSALA</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60167-2024</t>
        </is>
      </c>
      <c r="B700" s="1" t="n">
        <v>45642.63524305556</v>
      </c>
      <c r="C700" s="1" t="n">
        <v>45968</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18717-2025</t>
        </is>
      </c>
      <c r="B701" s="1" t="n">
        <v>45763.6503125</v>
      </c>
      <c r="C701" s="1" t="n">
        <v>45968</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49050-2024</t>
        </is>
      </c>
      <c r="B702" s="1" t="n">
        <v>45594</v>
      </c>
      <c r="C702" s="1" t="n">
        <v>45968</v>
      </c>
      <c r="D702" t="inlineStr">
        <is>
          <t>UPPSALA LÄN</t>
        </is>
      </c>
      <c r="E702" t="inlineStr">
        <is>
          <t>UPPSALA</t>
        </is>
      </c>
      <c r="F702" t="inlineStr">
        <is>
          <t>Övriga statliga verk och myndigheter</t>
        </is>
      </c>
      <c r="G702" t="n">
        <v>3.9</v>
      </c>
      <c r="H702" t="n">
        <v>0</v>
      </c>
      <c r="I702" t="n">
        <v>0</v>
      </c>
      <c r="J702" t="n">
        <v>0</v>
      </c>
      <c r="K702" t="n">
        <v>0</v>
      </c>
      <c r="L702" t="n">
        <v>0</v>
      </c>
      <c r="M702" t="n">
        <v>0</v>
      </c>
      <c r="N702" t="n">
        <v>0</v>
      </c>
      <c r="O702" t="n">
        <v>0</v>
      </c>
      <c r="P702" t="n">
        <v>0</v>
      </c>
      <c r="Q702" t="n">
        <v>0</v>
      </c>
      <c r="R702" s="2" t="inlineStr"/>
    </row>
    <row r="703" ht="15" customHeight="1">
      <c r="A703" t="inlineStr">
        <is>
          <t>A 46571-2025</t>
        </is>
      </c>
      <c r="B703" s="1" t="n">
        <v>45926.366875</v>
      </c>
      <c r="C703" s="1" t="n">
        <v>45968</v>
      </c>
      <c r="D703" t="inlineStr">
        <is>
          <t>UPPSALA LÄN</t>
        </is>
      </c>
      <c r="E703" t="inlineStr">
        <is>
          <t>UPPSALA</t>
        </is>
      </c>
      <c r="F703" t="inlineStr">
        <is>
          <t>Bergvik skog öst AB</t>
        </is>
      </c>
      <c r="G703" t="n">
        <v>11.1</v>
      </c>
      <c r="H703" t="n">
        <v>0</v>
      </c>
      <c r="I703" t="n">
        <v>0</v>
      </c>
      <c r="J703" t="n">
        <v>0</v>
      </c>
      <c r="K703" t="n">
        <v>0</v>
      </c>
      <c r="L703" t="n">
        <v>0</v>
      </c>
      <c r="M703" t="n">
        <v>0</v>
      </c>
      <c r="N703" t="n">
        <v>0</v>
      </c>
      <c r="O703" t="n">
        <v>0</v>
      </c>
      <c r="P703" t="n">
        <v>0</v>
      </c>
      <c r="Q703" t="n">
        <v>0</v>
      </c>
      <c r="R703" s="2" t="inlineStr"/>
    </row>
    <row r="704" ht="15" customHeight="1">
      <c r="A704" t="inlineStr">
        <is>
          <t>A 47558-2025</t>
        </is>
      </c>
      <c r="B704" s="1" t="n">
        <v>45931.37796296296</v>
      </c>
      <c r="C704" s="1" t="n">
        <v>45968</v>
      </c>
      <c r="D704" t="inlineStr">
        <is>
          <t>UPPSALA LÄN</t>
        </is>
      </c>
      <c r="E704" t="inlineStr">
        <is>
          <t>UPPSALA</t>
        </is>
      </c>
      <c r="F704" t="inlineStr">
        <is>
          <t>Kyrkan</t>
        </is>
      </c>
      <c r="G704" t="n">
        <v>1.9</v>
      </c>
      <c r="H704" t="n">
        <v>0</v>
      </c>
      <c r="I704" t="n">
        <v>0</v>
      </c>
      <c r="J704" t="n">
        <v>0</v>
      </c>
      <c r="K704" t="n">
        <v>0</v>
      </c>
      <c r="L704" t="n">
        <v>0</v>
      </c>
      <c r="M704" t="n">
        <v>0</v>
      </c>
      <c r="N704" t="n">
        <v>0</v>
      </c>
      <c r="O704" t="n">
        <v>0</v>
      </c>
      <c r="P704" t="n">
        <v>0</v>
      </c>
      <c r="Q704" t="n">
        <v>0</v>
      </c>
      <c r="R704" s="2" t="inlineStr"/>
    </row>
    <row r="705" ht="15" customHeight="1">
      <c r="A705" t="inlineStr">
        <is>
          <t>A 47316-2025</t>
        </is>
      </c>
      <c r="B705" s="1" t="n">
        <v>45930.55024305556</v>
      </c>
      <c r="C705" s="1" t="n">
        <v>45968</v>
      </c>
      <c r="D705" t="inlineStr">
        <is>
          <t>UPPSALA LÄN</t>
        </is>
      </c>
      <c r="E705" t="inlineStr">
        <is>
          <t>UPPSALA</t>
        </is>
      </c>
      <c r="G705" t="n">
        <v>1.5</v>
      </c>
      <c r="H705" t="n">
        <v>0</v>
      </c>
      <c r="I705" t="n">
        <v>0</v>
      </c>
      <c r="J705" t="n">
        <v>0</v>
      </c>
      <c r="K705" t="n">
        <v>0</v>
      </c>
      <c r="L705" t="n">
        <v>0</v>
      </c>
      <c r="M705" t="n">
        <v>0</v>
      </c>
      <c r="N705" t="n">
        <v>0</v>
      </c>
      <c r="O705" t="n">
        <v>0</v>
      </c>
      <c r="P705" t="n">
        <v>0</v>
      </c>
      <c r="Q705" t="n">
        <v>0</v>
      </c>
      <c r="R705" s="2" t="inlineStr"/>
    </row>
    <row r="706" ht="15" customHeight="1">
      <c r="A706" t="inlineStr">
        <is>
          <t>A 38865-2022</t>
        </is>
      </c>
      <c r="B706" s="1" t="n">
        <v>44816</v>
      </c>
      <c r="C706" s="1" t="n">
        <v>45968</v>
      </c>
      <c r="D706" t="inlineStr">
        <is>
          <t>UPPSALA LÄN</t>
        </is>
      </c>
      <c r="E706" t="inlineStr">
        <is>
          <t>UPPSALA</t>
        </is>
      </c>
      <c r="G706" t="n">
        <v>14.6</v>
      </c>
      <c r="H706" t="n">
        <v>0</v>
      </c>
      <c r="I706" t="n">
        <v>0</v>
      </c>
      <c r="J706" t="n">
        <v>0</v>
      </c>
      <c r="K706" t="n">
        <v>0</v>
      </c>
      <c r="L706" t="n">
        <v>0</v>
      </c>
      <c r="M706" t="n">
        <v>0</v>
      </c>
      <c r="N706" t="n">
        <v>0</v>
      </c>
      <c r="O706" t="n">
        <v>0</v>
      </c>
      <c r="P706" t="n">
        <v>0</v>
      </c>
      <c r="Q706" t="n">
        <v>0</v>
      </c>
      <c r="R706" s="2" t="inlineStr"/>
    </row>
    <row r="707" ht="15" customHeight="1">
      <c r="A707" t="inlineStr">
        <is>
          <t>A 1994-2024</t>
        </is>
      </c>
      <c r="B707" s="1" t="n">
        <v>45308.63298611111</v>
      </c>
      <c r="C707" s="1" t="n">
        <v>45968</v>
      </c>
      <c r="D707" t="inlineStr">
        <is>
          <t>UPPSALA LÄN</t>
        </is>
      </c>
      <c r="E707" t="inlineStr">
        <is>
          <t>UPPSALA</t>
        </is>
      </c>
      <c r="G707" t="n">
        <v>1.6</v>
      </c>
      <c r="H707" t="n">
        <v>0</v>
      </c>
      <c r="I707" t="n">
        <v>0</v>
      </c>
      <c r="J707" t="n">
        <v>0</v>
      </c>
      <c r="K707" t="n">
        <v>0</v>
      </c>
      <c r="L707" t="n">
        <v>0</v>
      </c>
      <c r="M707" t="n">
        <v>0</v>
      </c>
      <c r="N707" t="n">
        <v>0</v>
      </c>
      <c r="O707" t="n">
        <v>0</v>
      </c>
      <c r="P707" t="n">
        <v>0</v>
      </c>
      <c r="Q707" t="n">
        <v>0</v>
      </c>
      <c r="R707" s="2" t="inlineStr"/>
    </row>
    <row r="708" ht="15" customHeight="1">
      <c r="A708" t="inlineStr">
        <is>
          <t>A 29927-2023</t>
        </is>
      </c>
      <c r="B708" s="1" t="n">
        <v>45107</v>
      </c>
      <c r="C708" s="1" t="n">
        <v>45968</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70228-2021</t>
        </is>
      </c>
      <c r="B709" s="1" t="n">
        <v>44535</v>
      </c>
      <c r="C709" s="1" t="n">
        <v>45968</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11224-2022</t>
        </is>
      </c>
      <c r="B710" s="1" t="n">
        <v>44629.57741898148</v>
      </c>
      <c r="C710" s="1" t="n">
        <v>45968</v>
      </c>
      <c r="D710" t="inlineStr">
        <is>
          <t>UPPSALA LÄN</t>
        </is>
      </c>
      <c r="E710" t="inlineStr">
        <is>
          <t>UPPSALA</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7899-2022</t>
        </is>
      </c>
      <c r="B711" s="1" t="n">
        <v>44608</v>
      </c>
      <c r="C711" s="1" t="n">
        <v>45968</v>
      </c>
      <c r="D711" t="inlineStr">
        <is>
          <t>UPPSALA LÄN</t>
        </is>
      </c>
      <c r="E711" t="inlineStr">
        <is>
          <t>UPPSALA</t>
        </is>
      </c>
      <c r="F711" t="inlineStr">
        <is>
          <t>Övriga Aktiebolag</t>
        </is>
      </c>
      <c r="G711" t="n">
        <v>7.1</v>
      </c>
      <c r="H711" t="n">
        <v>0</v>
      </c>
      <c r="I711" t="n">
        <v>0</v>
      </c>
      <c r="J711" t="n">
        <v>0</v>
      </c>
      <c r="K711" t="n">
        <v>0</v>
      </c>
      <c r="L711" t="n">
        <v>0</v>
      </c>
      <c r="M711" t="n">
        <v>0</v>
      </c>
      <c r="N711" t="n">
        <v>0</v>
      </c>
      <c r="O711" t="n">
        <v>0</v>
      </c>
      <c r="P711" t="n">
        <v>0</v>
      </c>
      <c r="Q711" t="n">
        <v>0</v>
      </c>
      <c r="R711" s="2" t="inlineStr"/>
    </row>
    <row r="712" ht="15" customHeight="1">
      <c r="A712" t="inlineStr">
        <is>
          <t>A 47690-2025</t>
        </is>
      </c>
      <c r="B712" s="1" t="n">
        <v>45931.59373842592</v>
      </c>
      <c r="C712" s="1" t="n">
        <v>45968</v>
      </c>
      <c r="D712" t="inlineStr">
        <is>
          <t>UPPSALA LÄN</t>
        </is>
      </c>
      <c r="E712" t="inlineStr">
        <is>
          <t>UPPSALA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1573-2021</t>
        </is>
      </c>
      <c r="B713" s="1" t="n">
        <v>44209</v>
      </c>
      <c r="C713" s="1" t="n">
        <v>45968</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47688-2025</t>
        </is>
      </c>
      <c r="B714" s="1" t="n">
        <v>45931.59091435185</v>
      </c>
      <c r="C714" s="1" t="n">
        <v>45968</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10383-2022</t>
        </is>
      </c>
      <c r="B715" s="1" t="n">
        <v>44623.41775462963</v>
      </c>
      <c r="C715" s="1" t="n">
        <v>45968</v>
      </c>
      <c r="D715" t="inlineStr">
        <is>
          <t>UPPSALA LÄN</t>
        </is>
      </c>
      <c r="E715" t="inlineStr">
        <is>
          <t>UPPSALA</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8164-2025</t>
        </is>
      </c>
      <c r="B716" s="1" t="n">
        <v>45707</v>
      </c>
      <c r="C716" s="1" t="n">
        <v>45968</v>
      </c>
      <c r="D716" t="inlineStr">
        <is>
          <t>UPPSALA LÄN</t>
        </is>
      </c>
      <c r="E716" t="inlineStr">
        <is>
          <t>UPPSALA</t>
        </is>
      </c>
      <c r="F716" t="inlineStr">
        <is>
          <t>Övriga Aktiebolag</t>
        </is>
      </c>
      <c r="G716" t="n">
        <v>12.2</v>
      </c>
      <c r="H716" t="n">
        <v>0</v>
      </c>
      <c r="I716" t="n">
        <v>0</v>
      </c>
      <c r="J716" t="n">
        <v>0</v>
      </c>
      <c r="K716" t="n">
        <v>0</v>
      </c>
      <c r="L716" t="n">
        <v>0</v>
      </c>
      <c r="M716" t="n">
        <v>0</v>
      </c>
      <c r="N716" t="n">
        <v>0</v>
      </c>
      <c r="O716" t="n">
        <v>0</v>
      </c>
      <c r="P716" t="n">
        <v>0</v>
      </c>
      <c r="Q716" t="n">
        <v>0</v>
      </c>
      <c r="R716" s="2" t="inlineStr"/>
    </row>
    <row r="717" ht="15" customHeight="1">
      <c r="A717" t="inlineStr">
        <is>
          <t>A 60729-2024</t>
        </is>
      </c>
      <c r="B717" s="1" t="n">
        <v>45644</v>
      </c>
      <c r="C717" s="1" t="n">
        <v>45968</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60925-2021</t>
        </is>
      </c>
      <c r="B718" s="1" t="n">
        <v>44497.4666087963</v>
      </c>
      <c r="C718" s="1" t="n">
        <v>45968</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3086-2023</t>
        </is>
      </c>
      <c r="B719" s="1" t="n">
        <v>44946.43564814814</v>
      </c>
      <c r="C719" s="1" t="n">
        <v>45968</v>
      </c>
      <c r="D719" t="inlineStr">
        <is>
          <t>UPPSALA LÄN</t>
        </is>
      </c>
      <c r="E719" t="inlineStr">
        <is>
          <t>UPPSALA</t>
        </is>
      </c>
      <c r="G719" t="n">
        <v>2</v>
      </c>
      <c r="H719" t="n">
        <v>0</v>
      </c>
      <c r="I719" t="n">
        <v>0</v>
      </c>
      <c r="J719" t="n">
        <v>0</v>
      </c>
      <c r="K719" t="n">
        <v>0</v>
      </c>
      <c r="L719" t="n">
        <v>0</v>
      </c>
      <c r="M719" t="n">
        <v>0</v>
      </c>
      <c r="N719" t="n">
        <v>0</v>
      </c>
      <c r="O719" t="n">
        <v>0</v>
      </c>
      <c r="P719" t="n">
        <v>0</v>
      </c>
      <c r="Q719" t="n">
        <v>0</v>
      </c>
      <c r="R719" s="2" t="inlineStr"/>
    </row>
    <row r="720" ht="15" customHeight="1">
      <c r="A720" t="inlineStr">
        <is>
          <t>A 60691-2024</t>
        </is>
      </c>
      <c r="B720" s="1" t="n">
        <v>45644.47723379629</v>
      </c>
      <c r="C720" s="1" t="n">
        <v>45968</v>
      </c>
      <c r="D720" t="inlineStr">
        <is>
          <t>UPPSALA LÄN</t>
        </is>
      </c>
      <c r="E720" t="inlineStr">
        <is>
          <t>UPPSALA</t>
        </is>
      </c>
      <c r="G720" t="n">
        <v>1.4</v>
      </c>
      <c r="H720" t="n">
        <v>0</v>
      </c>
      <c r="I720" t="n">
        <v>0</v>
      </c>
      <c r="J720" t="n">
        <v>0</v>
      </c>
      <c r="K720" t="n">
        <v>0</v>
      </c>
      <c r="L720" t="n">
        <v>0</v>
      </c>
      <c r="M720" t="n">
        <v>0</v>
      </c>
      <c r="N720" t="n">
        <v>0</v>
      </c>
      <c r="O720" t="n">
        <v>0</v>
      </c>
      <c r="P720" t="n">
        <v>0</v>
      </c>
      <c r="Q720" t="n">
        <v>0</v>
      </c>
      <c r="R720" s="2" t="inlineStr"/>
    </row>
    <row r="721" ht="15" customHeight="1">
      <c r="A721" t="inlineStr">
        <is>
          <t>A 6422-2023</t>
        </is>
      </c>
      <c r="B721" s="1" t="n">
        <v>44965</v>
      </c>
      <c r="C721" s="1" t="n">
        <v>45968</v>
      </c>
      <c r="D721" t="inlineStr">
        <is>
          <t>UPPSALA LÄN</t>
        </is>
      </c>
      <c r="E721" t="inlineStr">
        <is>
          <t>UPPSALA</t>
        </is>
      </c>
      <c r="G721" t="n">
        <v>3.1</v>
      </c>
      <c r="H721" t="n">
        <v>0</v>
      </c>
      <c r="I721" t="n">
        <v>0</v>
      </c>
      <c r="J721" t="n">
        <v>0</v>
      </c>
      <c r="K721" t="n">
        <v>0</v>
      </c>
      <c r="L721" t="n">
        <v>0</v>
      </c>
      <c r="M721" t="n">
        <v>0</v>
      </c>
      <c r="N721" t="n">
        <v>0</v>
      </c>
      <c r="O721" t="n">
        <v>0</v>
      </c>
      <c r="P721" t="n">
        <v>0</v>
      </c>
      <c r="Q721" t="n">
        <v>0</v>
      </c>
      <c r="R721" s="2" t="inlineStr"/>
    </row>
    <row r="722" ht="15" customHeight="1">
      <c r="A722" t="inlineStr">
        <is>
          <t>A 6423-2023</t>
        </is>
      </c>
      <c r="B722" s="1" t="n">
        <v>44965</v>
      </c>
      <c r="C722" s="1" t="n">
        <v>45968</v>
      </c>
      <c r="D722" t="inlineStr">
        <is>
          <t>UPPSALA LÄN</t>
        </is>
      </c>
      <c r="E722" t="inlineStr">
        <is>
          <t>UPPSALA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23157-2023</t>
        </is>
      </c>
      <c r="B723" s="1" t="n">
        <v>45075.51982638889</v>
      </c>
      <c r="C723" s="1" t="n">
        <v>45968</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10827-2024</t>
        </is>
      </c>
      <c r="B724" s="1" t="n">
        <v>45369</v>
      </c>
      <c r="C724" s="1" t="n">
        <v>45968</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17448-2022</t>
        </is>
      </c>
      <c r="B725" s="1" t="n">
        <v>44679</v>
      </c>
      <c r="C725" s="1" t="n">
        <v>45968</v>
      </c>
      <c r="D725" t="inlineStr">
        <is>
          <t>UPPSALA LÄN</t>
        </is>
      </c>
      <c r="E725" t="inlineStr">
        <is>
          <t>UPPSALA</t>
        </is>
      </c>
      <c r="G725" t="n">
        <v>2.7</v>
      </c>
      <c r="H725" t="n">
        <v>0</v>
      </c>
      <c r="I725" t="n">
        <v>0</v>
      </c>
      <c r="J725" t="n">
        <v>0</v>
      </c>
      <c r="K725" t="n">
        <v>0</v>
      </c>
      <c r="L725" t="n">
        <v>0</v>
      </c>
      <c r="M725" t="n">
        <v>0</v>
      </c>
      <c r="N725" t="n">
        <v>0</v>
      </c>
      <c r="O725" t="n">
        <v>0</v>
      </c>
      <c r="P725" t="n">
        <v>0</v>
      </c>
      <c r="Q725" t="n">
        <v>0</v>
      </c>
      <c r="R725" s="2" t="inlineStr"/>
    </row>
    <row r="726" ht="15" customHeight="1">
      <c r="A726" t="inlineStr">
        <is>
          <t>A 53589-2024</t>
        </is>
      </c>
      <c r="B726" s="1" t="n">
        <v>45614.67020833334</v>
      </c>
      <c r="C726" s="1" t="n">
        <v>45968</v>
      </c>
      <c r="D726" t="inlineStr">
        <is>
          <t>UPPSALA LÄN</t>
        </is>
      </c>
      <c r="E726" t="inlineStr">
        <is>
          <t>UPPSALA</t>
        </is>
      </c>
      <c r="G726" t="n">
        <v>4</v>
      </c>
      <c r="H726" t="n">
        <v>0</v>
      </c>
      <c r="I726" t="n">
        <v>0</v>
      </c>
      <c r="J726" t="n">
        <v>0</v>
      </c>
      <c r="K726" t="n">
        <v>0</v>
      </c>
      <c r="L726" t="n">
        <v>0</v>
      </c>
      <c r="M726" t="n">
        <v>0</v>
      </c>
      <c r="N726" t="n">
        <v>0</v>
      </c>
      <c r="O726" t="n">
        <v>0</v>
      </c>
      <c r="P726" t="n">
        <v>0</v>
      </c>
      <c r="Q726" t="n">
        <v>0</v>
      </c>
      <c r="R726" s="2" t="inlineStr"/>
    </row>
    <row r="727" ht="15" customHeight="1">
      <c r="A727" t="inlineStr">
        <is>
          <t>A 12830-2025</t>
        </is>
      </c>
      <c r="B727" s="1" t="n">
        <v>45733.63099537037</v>
      </c>
      <c r="C727" s="1" t="n">
        <v>45968</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5974-2024</t>
        </is>
      </c>
      <c r="B728" s="1" t="n">
        <v>45336.53908564815</v>
      </c>
      <c r="C728" s="1" t="n">
        <v>45968</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47649-2025</t>
        </is>
      </c>
      <c r="B729" s="1" t="n">
        <v>45931.52792824074</v>
      </c>
      <c r="C729" s="1" t="n">
        <v>45968</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35914-2023</t>
        </is>
      </c>
      <c r="B730" s="1" t="n">
        <v>45148</v>
      </c>
      <c r="C730" s="1" t="n">
        <v>45968</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35916-2023</t>
        </is>
      </c>
      <c r="B731" s="1" t="n">
        <v>45148</v>
      </c>
      <c r="C731" s="1" t="n">
        <v>45968</v>
      </c>
      <c r="D731" t="inlineStr">
        <is>
          <t>UPPSALA LÄN</t>
        </is>
      </c>
      <c r="E731" t="inlineStr">
        <is>
          <t>UPPSALA</t>
        </is>
      </c>
      <c r="G731" t="n">
        <v>3.1</v>
      </c>
      <c r="H731" t="n">
        <v>0</v>
      </c>
      <c r="I731" t="n">
        <v>0</v>
      </c>
      <c r="J731" t="n">
        <v>0</v>
      </c>
      <c r="K731" t="n">
        <v>0</v>
      </c>
      <c r="L731" t="n">
        <v>0</v>
      </c>
      <c r="M731" t="n">
        <v>0</v>
      </c>
      <c r="N731" t="n">
        <v>0</v>
      </c>
      <c r="O731" t="n">
        <v>0</v>
      </c>
      <c r="P731" t="n">
        <v>0</v>
      </c>
      <c r="Q731" t="n">
        <v>0</v>
      </c>
      <c r="R731" s="2" t="inlineStr"/>
    </row>
    <row r="732" ht="15" customHeight="1">
      <c r="A732" t="inlineStr">
        <is>
          <t>A 43029-2023</t>
        </is>
      </c>
      <c r="B732" s="1" t="n">
        <v>45182</v>
      </c>
      <c r="C732" s="1" t="n">
        <v>45968</v>
      </c>
      <c r="D732" t="inlineStr">
        <is>
          <t>UPPSALA LÄN</t>
        </is>
      </c>
      <c r="E732" t="inlineStr">
        <is>
          <t>UPPSALA</t>
        </is>
      </c>
      <c r="G732" t="n">
        <v>1.1</v>
      </c>
      <c r="H732" t="n">
        <v>0</v>
      </c>
      <c r="I732" t="n">
        <v>0</v>
      </c>
      <c r="J732" t="n">
        <v>0</v>
      </c>
      <c r="K732" t="n">
        <v>0</v>
      </c>
      <c r="L732" t="n">
        <v>0</v>
      </c>
      <c r="M732" t="n">
        <v>0</v>
      </c>
      <c r="N732" t="n">
        <v>0</v>
      </c>
      <c r="O732" t="n">
        <v>0</v>
      </c>
      <c r="P732" t="n">
        <v>0</v>
      </c>
      <c r="Q732" t="n">
        <v>0</v>
      </c>
      <c r="R732" s="2" t="inlineStr"/>
    </row>
    <row r="733" ht="15" customHeight="1">
      <c r="A733" t="inlineStr">
        <is>
          <t>A 9914-2024</t>
        </is>
      </c>
      <c r="B733" s="1" t="n">
        <v>45363.54878472222</v>
      </c>
      <c r="C733" s="1" t="n">
        <v>45968</v>
      </c>
      <c r="D733" t="inlineStr">
        <is>
          <t>UPPSALA LÄN</t>
        </is>
      </c>
      <c r="E733" t="inlineStr">
        <is>
          <t>UPPSALA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61947-2023</t>
        </is>
      </c>
      <c r="B734" s="1" t="n">
        <v>45266</v>
      </c>
      <c r="C734" s="1" t="n">
        <v>45968</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61574-2024</t>
        </is>
      </c>
      <c r="B735" s="1" t="n">
        <v>45646.61892361111</v>
      </c>
      <c r="C735" s="1" t="n">
        <v>45968</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5975-2024</t>
        </is>
      </c>
      <c r="B736" s="1" t="n">
        <v>45336.54270833333</v>
      </c>
      <c r="C736" s="1" t="n">
        <v>45968</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47557-2025</t>
        </is>
      </c>
      <c r="B737" s="1" t="n">
        <v>45931.37734953704</v>
      </c>
      <c r="C737" s="1" t="n">
        <v>45968</v>
      </c>
      <c r="D737" t="inlineStr">
        <is>
          <t>UPPSALA LÄN</t>
        </is>
      </c>
      <c r="E737" t="inlineStr">
        <is>
          <t>UPPSALA</t>
        </is>
      </c>
      <c r="F737" t="inlineStr">
        <is>
          <t>Kyrkan</t>
        </is>
      </c>
      <c r="G737" t="n">
        <v>1.9</v>
      </c>
      <c r="H737" t="n">
        <v>0</v>
      </c>
      <c r="I737" t="n">
        <v>0</v>
      </c>
      <c r="J737" t="n">
        <v>0</v>
      </c>
      <c r="K737" t="n">
        <v>0</v>
      </c>
      <c r="L737" t="n">
        <v>0</v>
      </c>
      <c r="M737" t="n">
        <v>0</v>
      </c>
      <c r="N737" t="n">
        <v>0</v>
      </c>
      <c r="O737" t="n">
        <v>0</v>
      </c>
      <c r="P737" t="n">
        <v>0</v>
      </c>
      <c r="Q737" t="n">
        <v>0</v>
      </c>
      <c r="R737" s="2" t="inlineStr"/>
    </row>
    <row r="738" ht="15" customHeight="1">
      <c r="A738" t="inlineStr">
        <is>
          <t>A 25462-2023</t>
        </is>
      </c>
      <c r="B738" s="1" t="n">
        <v>45089</v>
      </c>
      <c r="C738" s="1" t="n">
        <v>45968</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14337-2022</t>
        </is>
      </c>
      <c r="B739" s="1" t="n">
        <v>44652</v>
      </c>
      <c r="C739" s="1" t="n">
        <v>45968</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46745-2024</t>
        </is>
      </c>
      <c r="B740" s="1" t="n">
        <v>45583</v>
      </c>
      <c r="C740" s="1" t="n">
        <v>45968</v>
      </c>
      <c r="D740" t="inlineStr">
        <is>
          <t>UPPSALA LÄN</t>
        </is>
      </c>
      <c r="E740" t="inlineStr">
        <is>
          <t>UPPSALA</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46748-2024</t>
        </is>
      </c>
      <c r="B741" s="1" t="n">
        <v>45583</v>
      </c>
      <c r="C741" s="1" t="n">
        <v>45968</v>
      </c>
      <c r="D741" t="inlineStr">
        <is>
          <t>UPPSALA LÄN</t>
        </is>
      </c>
      <c r="E741" t="inlineStr">
        <is>
          <t>UPPSALA</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47961-2025</t>
        </is>
      </c>
      <c r="B742" s="1" t="n">
        <v>45932.59373842592</v>
      </c>
      <c r="C742" s="1" t="n">
        <v>45968</v>
      </c>
      <c r="D742" t="inlineStr">
        <is>
          <t>UPPSALA LÄN</t>
        </is>
      </c>
      <c r="E742" t="inlineStr">
        <is>
          <t>UPPSALA</t>
        </is>
      </c>
      <c r="F742" t="inlineStr">
        <is>
          <t>Allmännings- och besparingsskogar</t>
        </is>
      </c>
      <c r="G742" t="n">
        <v>1.5</v>
      </c>
      <c r="H742" t="n">
        <v>0</v>
      </c>
      <c r="I742" t="n">
        <v>0</v>
      </c>
      <c r="J742" t="n">
        <v>0</v>
      </c>
      <c r="K742" t="n">
        <v>0</v>
      </c>
      <c r="L742" t="n">
        <v>0</v>
      </c>
      <c r="M742" t="n">
        <v>0</v>
      </c>
      <c r="N742" t="n">
        <v>0</v>
      </c>
      <c r="O742" t="n">
        <v>0</v>
      </c>
      <c r="P742" t="n">
        <v>0</v>
      </c>
      <c r="Q742" t="n">
        <v>0</v>
      </c>
      <c r="R742" s="2" t="inlineStr"/>
    </row>
    <row r="743" ht="15" customHeight="1">
      <c r="A743" t="inlineStr">
        <is>
          <t>A 4875-2021</t>
        </is>
      </c>
      <c r="B743" s="1" t="n">
        <v>44223</v>
      </c>
      <c r="C743" s="1" t="n">
        <v>45968</v>
      </c>
      <c r="D743" t="inlineStr">
        <is>
          <t>UPPSALA LÄN</t>
        </is>
      </c>
      <c r="E743" t="inlineStr">
        <is>
          <t>UPPSALA</t>
        </is>
      </c>
      <c r="G743" t="n">
        <v>0.4</v>
      </c>
      <c r="H743" t="n">
        <v>0</v>
      </c>
      <c r="I743" t="n">
        <v>0</v>
      </c>
      <c r="J743" t="n">
        <v>0</v>
      </c>
      <c r="K743" t="n">
        <v>0</v>
      </c>
      <c r="L743" t="n">
        <v>0</v>
      </c>
      <c r="M743" t="n">
        <v>0</v>
      </c>
      <c r="N743" t="n">
        <v>0</v>
      </c>
      <c r="O743" t="n">
        <v>0</v>
      </c>
      <c r="P743" t="n">
        <v>0</v>
      </c>
      <c r="Q743" t="n">
        <v>0</v>
      </c>
      <c r="R743" s="2" t="inlineStr"/>
    </row>
    <row r="744" ht="15" customHeight="1">
      <c r="A744" t="inlineStr">
        <is>
          <t>A 39792-2025</t>
        </is>
      </c>
      <c r="B744" s="1" t="n">
        <v>45891.4865625</v>
      </c>
      <c r="C744" s="1" t="n">
        <v>45968</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47978-2025</t>
        </is>
      </c>
      <c r="B745" s="1" t="n">
        <v>45932.61177083333</v>
      </c>
      <c r="C745" s="1" t="n">
        <v>45968</v>
      </c>
      <c r="D745" t="inlineStr">
        <is>
          <t>UPPSALA LÄN</t>
        </is>
      </c>
      <c r="E745" t="inlineStr">
        <is>
          <t>UPPSALA</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39777-2025</t>
        </is>
      </c>
      <c r="B746" s="1" t="n">
        <v>45891.46827546296</v>
      </c>
      <c r="C746" s="1" t="n">
        <v>45968</v>
      </c>
      <c r="D746" t="inlineStr">
        <is>
          <t>UPPSALA LÄN</t>
        </is>
      </c>
      <c r="E746" t="inlineStr">
        <is>
          <t>UPPSALA</t>
        </is>
      </c>
      <c r="G746" t="n">
        <v>6.5</v>
      </c>
      <c r="H746" t="n">
        <v>0</v>
      </c>
      <c r="I746" t="n">
        <v>0</v>
      </c>
      <c r="J746" t="n">
        <v>0</v>
      </c>
      <c r="K746" t="n">
        <v>0</v>
      </c>
      <c r="L746" t="n">
        <v>0</v>
      </c>
      <c r="M746" t="n">
        <v>0</v>
      </c>
      <c r="N746" t="n">
        <v>0</v>
      </c>
      <c r="O746" t="n">
        <v>0</v>
      </c>
      <c r="P746" t="n">
        <v>0</v>
      </c>
      <c r="Q746" t="n">
        <v>0</v>
      </c>
      <c r="R746" s="2" t="inlineStr"/>
    </row>
    <row r="747" ht="15" customHeight="1">
      <c r="A747" t="inlineStr">
        <is>
          <t>A 39721-2025</t>
        </is>
      </c>
      <c r="B747" s="1" t="n">
        <v>45891.33204861111</v>
      </c>
      <c r="C747" s="1" t="n">
        <v>45968</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60954-2024</t>
        </is>
      </c>
      <c r="B748" s="1" t="n">
        <v>45645</v>
      </c>
      <c r="C748" s="1" t="n">
        <v>45968</v>
      </c>
      <c r="D748" t="inlineStr">
        <is>
          <t>UPPSALA LÄN</t>
        </is>
      </c>
      <c r="E748" t="inlineStr">
        <is>
          <t>UPPSALA</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8933-2022</t>
        </is>
      </c>
      <c r="B749" s="1" t="n">
        <v>44614.69730324074</v>
      </c>
      <c r="C749" s="1" t="n">
        <v>45968</v>
      </c>
      <c r="D749" t="inlineStr">
        <is>
          <t>UPPSALA LÄN</t>
        </is>
      </c>
      <c r="E749" t="inlineStr">
        <is>
          <t>UPPSALA</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6541-2025</t>
        </is>
      </c>
      <c r="B750" s="1" t="n">
        <v>45699</v>
      </c>
      <c r="C750" s="1" t="n">
        <v>45968</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60714-2023</t>
        </is>
      </c>
      <c r="B751" s="1" t="n">
        <v>45259</v>
      </c>
      <c r="C751" s="1" t="n">
        <v>45968</v>
      </c>
      <c r="D751" t="inlineStr">
        <is>
          <t>UPPSALA LÄN</t>
        </is>
      </c>
      <c r="E751" t="inlineStr">
        <is>
          <t>UPPSALA</t>
        </is>
      </c>
      <c r="G751" t="n">
        <v>3.3</v>
      </c>
      <c r="H751" t="n">
        <v>0</v>
      </c>
      <c r="I751" t="n">
        <v>0</v>
      </c>
      <c r="J751" t="n">
        <v>0</v>
      </c>
      <c r="K751" t="n">
        <v>0</v>
      </c>
      <c r="L751" t="n">
        <v>0</v>
      </c>
      <c r="M751" t="n">
        <v>0</v>
      </c>
      <c r="N751" t="n">
        <v>0</v>
      </c>
      <c r="O751" t="n">
        <v>0</v>
      </c>
      <c r="P751" t="n">
        <v>0</v>
      </c>
      <c r="Q751" t="n">
        <v>0</v>
      </c>
      <c r="R751" s="2" t="inlineStr"/>
    </row>
    <row r="752" ht="15" customHeight="1">
      <c r="A752" t="inlineStr">
        <is>
          <t>A 33562-2023</t>
        </is>
      </c>
      <c r="B752" s="1" t="n">
        <v>45131</v>
      </c>
      <c r="C752" s="1" t="n">
        <v>45968</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5725-2025</t>
        </is>
      </c>
      <c r="B753" s="1" t="n">
        <v>45694</v>
      </c>
      <c r="C753" s="1" t="n">
        <v>45968</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10565-2022</t>
        </is>
      </c>
      <c r="B754" s="1" t="n">
        <v>44624.35083333333</v>
      </c>
      <c r="C754" s="1" t="n">
        <v>45968</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47999-2025</t>
        </is>
      </c>
      <c r="B755" s="1" t="n">
        <v>45932.62907407407</v>
      </c>
      <c r="C755" s="1" t="n">
        <v>45968</v>
      </c>
      <c r="D755" t="inlineStr">
        <is>
          <t>UPPSALA LÄN</t>
        </is>
      </c>
      <c r="E755" t="inlineStr">
        <is>
          <t>UPPSALA</t>
        </is>
      </c>
      <c r="F755" t="inlineStr">
        <is>
          <t>Allmännings- och besparingsskogar</t>
        </is>
      </c>
      <c r="G755" t="n">
        <v>1</v>
      </c>
      <c r="H755" t="n">
        <v>0</v>
      </c>
      <c r="I755" t="n">
        <v>0</v>
      </c>
      <c r="J755" t="n">
        <v>0</v>
      </c>
      <c r="K755" t="n">
        <v>0</v>
      </c>
      <c r="L755" t="n">
        <v>0</v>
      </c>
      <c r="M755" t="n">
        <v>0</v>
      </c>
      <c r="N755" t="n">
        <v>0</v>
      </c>
      <c r="O755" t="n">
        <v>0</v>
      </c>
      <c r="P755" t="n">
        <v>0</v>
      </c>
      <c r="Q755" t="n">
        <v>0</v>
      </c>
      <c r="R755" s="2" t="inlineStr"/>
    </row>
    <row r="756" ht="15" customHeight="1">
      <c r="A756" t="inlineStr">
        <is>
          <t>A 48153-2024</t>
        </is>
      </c>
      <c r="B756" s="1" t="n">
        <v>45589</v>
      </c>
      <c r="C756" s="1" t="n">
        <v>45968</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48154-2024</t>
        </is>
      </c>
      <c r="B757" s="1" t="n">
        <v>45589</v>
      </c>
      <c r="C757" s="1" t="n">
        <v>45968</v>
      </c>
      <c r="D757" t="inlineStr">
        <is>
          <t>UPPSALA LÄN</t>
        </is>
      </c>
      <c r="E757" t="inlineStr">
        <is>
          <t>UPPSALA</t>
        </is>
      </c>
      <c r="G757" t="n">
        <v>5.1</v>
      </c>
      <c r="H757" t="n">
        <v>0</v>
      </c>
      <c r="I757" t="n">
        <v>0</v>
      </c>
      <c r="J757" t="n">
        <v>0</v>
      </c>
      <c r="K757" t="n">
        <v>0</v>
      </c>
      <c r="L757" t="n">
        <v>0</v>
      </c>
      <c r="M757" t="n">
        <v>0</v>
      </c>
      <c r="N757" t="n">
        <v>0</v>
      </c>
      <c r="O757" t="n">
        <v>0</v>
      </c>
      <c r="P757" t="n">
        <v>0</v>
      </c>
      <c r="Q757" t="n">
        <v>0</v>
      </c>
      <c r="R757" s="2" t="inlineStr"/>
    </row>
    <row r="758" ht="15" customHeight="1">
      <c r="A758" t="inlineStr">
        <is>
          <t>A 4240-2025</t>
        </is>
      </c>
      <c r="B758" s="1" t="n">
        <v>45685.5778125</v>
      </c>
      <c r="C758" s="1" t="n">
        <v>45968</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6060-2025</t>
        </is>
      </c>
      <c r="B759" s="1" t="n">
        <v>45695.84078703704</v>
      </c>
      <c r="C759" s="1" t="n">
        <v>45968</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39529-2025</t>
        </is>
      </c>
      <c r="B760" s="1" t="n">
        <v>45890</v>
      </c>
      <c r="C760" s="1" t="n">
        <v>45968</v>
      </c>
      <c r="D760" t="inlineStr">
        <is>
          <t>UPPSALA LÄN</t>
        </is>
      </c>
      <c r="E760" t="inlineStr">
        <is>
          <t>UPPSALA</t>
        </is>
      </c>
      <c r="F760" t="inlineStr">
        <is>
          <t>Allmännings- och besparingsskogar</t>
        </is>
      </c>
      <c r="G760" t="n">
        <v>3.9</v>
      </c>
      <c r="H760" t="n">
        <v>0</v>
      </c>
      <c r="I760" t="n">
        <v>0</v>
      </c>
      <c r="J760" t="n">
        <v>0</v>
      </c>
      <c r="K760" t="n">
        <v>0</v>
      </c>
      <c r="L760" t="n">
        <v>0</v>
      </c>
      <c r="M760" t="n">
        <v>0</v>
      </c>
      <c r="N760" t="n">
        <v>0</v>
      </c>
      <c r="O760" t="n">
        <v>0</v>
      </c>
      <c r="P760" t="n">
        <v>0</v>
      </c>
      <c r="Q760" t="n">
        <v>0</v>
      </c>
      <c r="R760" s="2" t="inlineStr"/>
    </row>
    <row r="761" ht="15" customHeight="1">
      <c r="A761" t="inlineStr">
        <is>
          <t>A 47840-2025</t>
        </is>
      </c>
      <c r="B761" s="1" t="n">
        <v>45932.37375</v>
      </c>
      <c r="C761" s="1" t="n">
        <v>45968</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6006-2025</t>
        </is>
      </c>
      <c r="B762" s="1" t="n">
        <v>45695.59197916667</v>
      </c>
      <c r="C762" s="1" t="n">
        <v>45968</v>
      </c>
      <c r="D762" t="inlineStr">
        <is>
          <t>UPPSALA LÄN</t>
        </is>
      </c>
      <c r="E762" t="inlineStr">
        <is>
          <t>UPPSALA</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28825-2024</t>
        </is>
      </c>
      <c r="B763" s="1" t="n">
        <v>45478</v>
      </c>
      <c r="C763" s="1" t="n">
        <v>45968</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45592-2023</t>
        </is>
      </c>
      <c r="B764" s="1" t="n">
        <v>45194.63479166666</v>
      </c>
      <c r="C764" s="1" t="n">
        <v>45968</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45194.60876157408</v>
      </c>
      <c r="C765" s="1" t="n">
        <v>45968</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45968</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27599-2023</t>
        </is>
      </c>
      <c r="B767" s="1" t="n">
        <v>45097</v>
      </c>
      <c r="C767" s="1" t="n">
        <v>45968</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50535-2024</t>
        </is>
      </c>
      <c r="B768" s="1" t="n">
        <v>45600</v>
      </c>
      <c r="C768" s="1" t="n">
        <v>45968</v>
      </c>
      <c r="D768" t="inlineStr">
        <is>
          <t>UPPSALA LÄN</t>
        </is>
      </c>
      <c r="E768" t="inlineStr">
        <is>
          <t>UPPSALA</t>
        </is>
      </c>
      <c r="F768" t="inlineStr">
        <is>
          <t>Övriga statliga verk och myndigheter</t>
        </is>
      </c>
      <c r="G768" t="n">
        <v>3.2</v>
      </c>
      <c r="H768" t="n">
        <v>0</v>
      </c>
      <c r="I768" t="n">
        <v>0</v>
      </c>
      <c r="J768" t="n">
        <v>0</v>
      </c>
      <c r="K768" t="n">
        <v>0</v>
      </c>
      <c r="L768" t="n">
        <v>0</v>
      </c>
      <c r="M768" t="n">
        <v>0</v>
      </c>
      <c r="N768" t="n">
        <v>0</v>
      </c>
      <c r="O768" t="n">
        <v>0</v>
      </c>
      <c r="P768" t="n">
        <v>0</v>
      </c>
      <c r="Q768" t="n">
        <v>0</v>
      </c>
      <c r="R768" s="2" t="inlineStr"/>
    </row>
    <row r="769" ht="15" customHeight="1">
      <c r="A769" t="inlineStr">
        <is>
          <t>A 48757-2025</t>
        </is>
      </c>
      <c r="B769" s="1" t="n">
        <v>45936.73660879629</v>
      </c>
      <c r="C769" s="1" t="n">
        <v>45968</v>
      </c>
      <c r="D769" t="inlineStr">
        <is>
          <t>UPPSALA LÄN</t>
        </is>
      </c>
      <c r="E769" t="inlineStr">
        <is>
          <t>UPPSALA</t>
        </is>
      </c>
      <c r="G769" t="n">
        <v>4.2</v>
      </c>
      <c r="H769" t="n">
        <v>0</v>
      </c>
      <c r="I769" t="n">
        <v>0</v>
      </c>
      <c r="J769" t="n">
        <v>0</v>
      </c>
      <c r="K769" t="n">
        <v>0</v>
      </c>
      <c r="L769" t="n">
        <v>0</v>
      </c>
      <c r="M769" t="n">
        <v>0</v>
      </c>
      <c r="N769" t="n">
        <v>0</v>
      </c>
      <c r="O769" t="n">
        <v>0</v>
      </c>
      <c r="P769" t="n">
        <v>0</v>
      </c>
      <c r="Q769" t="n">
        <v>0</v>
      </c>
      <c r="R769" s="2" t="inlineStr"/>
    </row>
    <row r="770" ht="15" customHeight="1">
      <c r="A770" t="inlineStr">
        <is>
          <t>A 16126-2022</t>
        </is>
      </c>
      <c r="B770" s="1" t="n">
        <v>44665</v>
      </c>
      <c r="C770" s="1" t="n">
        <v>45968</v>
      </c>
      <c r="D770" t="inlineStr">
        <is>
          <t>UPPSALA LÄN</t>
        </is>
      </c>
      <c r="E770" t="inlineStr">
        <is>
          <t>UPPSALA</t>
        </is>
      </c>
      <c r="F770" t="inlineStr">
        <is>
          <t>Bergvik skog öst AB</t>
        </is>
      </c>
      <c r="G770" t="n">
        <v>4.4</v>
      </c>
      <c r="H770" t="n">
        <v>0</v>
      </c>
      <c r="I770" t="n">
        <v>0</v>
      </c>
      <c r="J770" t="n">
        <v>0</v>
      </c>
      <c r="K770" t="n">
        <v>0</v>
      </c>
      <c r="L770" t="n">
        <v>0</v>
      </c>
      <c r="M770" t="n">
        <v>0</v>
      </c>
      <c r="N770" t="n">
        <v>0</v>
      </c>
      <c r="O770" t="n">
        <v>0</v>
      </c>
      <c r="P770" t="n">
        <v>0</v>
      </c>
      <c r="Q770" t="n">
        <v>0</v>
      </c>
      <c r="R770" s="2" t="inlineStr"/>
    </row>
    <row r="771" ht="15" customHeight="1">
      <c r="A771" t="inlineStr">
        <is>
          <t>A 48418-2025</t>
        </is>
      </c>
      <c r="B771" s="1" t="n">
        <v>45934.55967592593</v>
      </c>
      <c r="C771" s="1" t="n">
        <v>45968</v>
      </c>
      <c r="D771" t="inlineStr">
        <is>
          <t>UPPSALA LÄN</t>
        </is>
      </c>
      <c r="E771" t="inlineStr">
        <is>
          <t>UPPSALA</t>
        </is>
      </c>
      <c r="F771" t="inlineStr">
        <is>
          <t>Bergvik skog öst AB</t>
        </is>
      </c>
      <c r="G771" t="n">
        <v>5.2</v>
      </c>
      <c r="H771" t="n">
        <v>0</v>
      </c>
      <c r="I771" t="n">
        <v>0</v>
      </c>
      <c r="J771" t="n">
        <v>0</v>
      </c>
      <c r="K771" t="n">
        <v>0</v>
      </c>
      <c r="L771" t="n">
        <v>0</v>
      </c>
      <c r="M771" t="n">
        <v>0</v>
      </c>
      <c r="N771" t="n">
        <v>0</v>
      </c>
      <c r="O771" t="n">
        <v>0</v>
      </c>
      <c r="P771" t="n">
        <v>0</v>
      </c>
      <c r="Q771" t="n">
        <v>0</v>
      </c>
      <c r="R771" s="2" t="inlineStr"/>
    </row>
    <row r="772" ht="15" customHeight="1">
      <c r="A772" t="inlineStr">
        <is>
          <t>A 20301-2024</t>
        </is>
      </c>
      <c r="B772" s="1" t="n">
        <v>45435.34778935185</v>
      </c>
      <c r="C772" s="1" t="n">
        <v>45968</v>
      </c>
      <c r="D772" t="inlineStr">
        <is>
          <t>UPPSALA LÄN</t>
        </is>
      </c>
      <c r="E772" t="inlineStr">
        <is>
          <t>UPPSALA</t>
        </is>
      </c>
      <c r="F772" t="inlineStr">
        <is>
          <t>Kyrkan</t>
        </is>
      </c>
      <c r="G772" t="n">
        <v>2.8</v>
      </c>
      <c r="H772" t="n">
        <v>0</v>
      </c>
      <c r="I772" t="n">
        <v>0</v>
      </c>
      <c r="J772" t="n">
        <v>0</v>
      </c>
      <c r="K772" t="n">
        <v>0</v>
      </c>
      <c r="L772" t="n">
        <v>0</v>
      </c>
      <c r="M772" t="n">
        <v>0</v>
      </c>
      <c r="N772" t="n">
        <v>0</v>
      </c>
      <c r="O772" t="n">
        <v>0</v>
      </c>
      <c r="P772" t="n">
        <v>0</v>
      </c>
      <c r="Q772" t="n">
        <v>0</v>
      </c>
      <c r="R772" s="2" t="inlineStr"/>
    </row>
    <row r="773" ht="15" customHeight="1">
      <c r="A773" t="inlineStr">
        <is>
          <t>A 7388-2024</t>
        </is>
      </c>
      <c r="B773" s="1" t="n">
        <v>45345.56</v>
      </c>
      <c r="C773" s="1" t="n">
        <v>45968</v>
      </c>
      <c r="D773" t="inlineStr">
        <is>
          <t>UPPSALA LÄN</t>
        </is>
      </c>
      <c r="E773" t="inlineStr">
        <is>
          <t>UPPSALA</t>
        </is>
      </c>
      <c r="G773" t="n">
        <v>0.5</v>
      </c>
      <c r="H773" t="n">
        <v>0</v>
      </c>
      <c r="I773" t="n">
        <v>0</v>
      </c>
      <c r="J773" t="n">
        <v>0</v>
      </c>
      <c r="K773" t="n">
        <v>0</v>
      </c>
      <c r="L773" t="n">
        <v>0</v>
      </c>
      <c r="M773" t="n">
        <v>0</v>
      </c>
      <c r="N773" t="n">
        <v>0</v>
      </c>
      <c r="O773" t="n">
        <v>0</v>
      </c>
      <c r="P773" t="n">
        <v>0</v>
      </c>
      <c r="Q773" t="n">
        <v>0</v>
      </c>
      <c r="R773" s="2" t="inlineStr"/>
    </row>
    <row r="774" ht="15" customHeight="1">
      <c r="A774" t="inlineStr">
        <is>
          <t>A 57714-2022</t>
        </is>
      </c>
      <c r="B774" s="1" t="n">
        <v>44897</v>
      </c>
      <c r="C774" s="1" t="n">
        <v>45968</v>
      </c>
      <c r="D774" t="inlineStr">
        <is>
          <t>UPPSALA LÄN</t>
        </is>
      </c>
      <c r="E774" t="inlineStr">
        <is>
          <t>UPPSALA</t>
        </is>
      </c>
      <c r="G774" t="n">
        <v>8.9</v>
      </c>
      <c r="H774" t="n">
        <v>0</v>
      </c>
      <c r="I774" t="n">
        <v>0</v>
      </c>
      <c r="J774" t="n">
        <v>0</v>
      </c>
      <c r="K774" t="n">
        <v>0</v>
      </c>
      <c r="L774" t="n">
        <v>0</v>
      </c>
      <c r="M774" t="n">
        <v>0</v>
      </c>
      <c r="N774" t="n">
        <v>0</v>
      </c>
      <c r="O774" t="n">
        <v>0</v>
      </c>
      <c r="P774" t="n">
        <v>0</v>
      </c>
      <c r="Q774" t="n">
        <v>0</v>
      </c>
      <c r="R774" s="2" t="inlineStr"/>
    </row>
    <row r="775" ht="15" customHeight="1">
      <c r="A775" t="inlineStr">
        <is>
          <t>A 3260-2024</t>
        </is>
      </c>
      <c r="B775" s="1" t="n">
        <v>45317</v>
      </c>
      <c r="C775" s="1" t="n">
        <v>45968</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42273-2023</t>
        </is>
      </c>
      <c r="B776" s="1" t="n">
        <v>45180.40255787037</v>
      </c>
      <c r="C776" s="1" t="n">
        <v>45968</v>
      </c>
      <c r="D776" t="inlineStr">
        <is>
          <t>UPPSALA LÄN</t>
        </is>
      </c>
      <c r="E776" t="inlineStr">
        <is>
          <t>UPPSALA</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14400-2025</t>
        </is>
      </c>
      <c r="B777" s="1" t="n">
        <v>45741.45114583334</v>
      </c>
      <c r="C777" s="1" t="n">
        <v>45968</v>
      </c>
      <c r="D777" t="inlineStr">
        <is>
          <t>UPPSALA LÄN</t>
        </is>
      </c>
      <c r="E777" t="inlineStr">
        <is>
          <t>UPPSALA</t>
        </is>
      </c>
      <c r="G777" t="n">
        <v>6.6</v>
      </c>
      <c r="H777" t="n">
        <v>0</v>
      </c>
      <c r="I777" t="n">
        <v>0</v>
      </c>
      <c r="J777" t="n">
        <v>0</v>
      </c>
      <c r="K777" t="n">
        <v>0</v>
      </c>
      <c r="L777" t="n">
        <v>0</v>
      </c>
      <c r="M777" t="n">
        <v>0</v>
      </c>
      <c r="N777" t="n">
        <v>0</v>
      </c>
      <c r="O777" t="n">
        <v>0</v>
      </c>
      <c r="P777" t="n">
        <v>0</v>
      </c>
      <c r="Q777" t="n">
        <v>0</v>
      </c>
      <c r="R777" s="2" t="inlineStr"/>
    </row>
    <row r="778" ht="15" customHeight="1">
      <c r="A778" t="inlineStr">
        <is>
          <t>A 53615-2024</t>
        </is>
      </c>
      <c r="B778" s="1" t="n">
        <v>45611</v>
      </c>
      <c r="C778" s="1" t="n">
        <v>45968</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36781-2023</t>
        </is>
      </c>
      <c r="B779" s="1" t="n">
        <v>45154.34931712963</v>
      </c>
      <c r="C779" s="1" t="n">
        <v>45968</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40610-2025</t>
        </is>
      </c>
      <c r="B780" s="1" t="n">
        <v>45896.57368055556</v>
      </c>
      <c r="C780" s="1" t="n">
        <v>45968</v>
      </c>
      <c r="D780" t="inlineStr">
        <is>
          <t>UPPSALA LÄN</t>
        </is>
      </c>
      <c r="E780" t="inlineStr">
        <is>
          <t>UPPSALA</t>
        </is>
      </c>
      <c r="G780" t="n">
        <v>2.3</v>
      </c>
      <c r="H780" t="n">
        <v>0</v>
      </c>
      <c r="I780" t="n">
        <v>0</v>
      </c>
      <c r="J780" t="n">
        <v>0</v>
      </c>
      <c r="K780" t="n">
        <v>0</v>
      </c>
      <c r="L780" t="n">
        <v>0</v>
      </c>
      <c r="M780" t="n">
        <v>0</v>
      </c>
      <c r="N780" t="n">
        <v>0</v>
      </c>
      <c r="O780" t="n">
        <v>0</v>
      </c>
      <c r="P780" t="n">
        <v>0</v>
      </c>
      <c r="Q780" t="n">
        <v>0</v>
      </c>
      <c r="R780" s="2" t="inlineStr"/>
    </row>
    <row r="781" ht="15" customHeight="1">
      <c r="A781" t="inlineStr">
        <is>
          <t>A 49164-2025</t>
        </is>
      </c>
      <c r="B781" s="1" t="n">
        <v>45938.3615625</v>
      </c>
      <c r="C781" s="1" t="n">
        <v>45968</v>
      </c>
      <c r="D781" t="inlineStr">
        <is>
          <t>UPPSALA LÄN</t>
        </is>
      </c>
      <c r="E781" t="inlineStr">
        <is>
          <t>UPPSALA</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40504-2025</t>
        </is>
      </c>
      <c r="B782" s="1" t="n">
        <v>45896</v>
      </c>
      <c r="C782" s="1" t="n">
        <v>45968</v>
      </c>
      <c r="D782" t="inlineStr">
        <is>
          <t>UPPSALA LÄN</t>
        </is>
      </c>
      <c r="E782" t="inlineStr">
        <is>
          <t>UPPSALA</t>
        </is>
      </c>
      <c r="G782" t="n">
        <v>4.4</v>
      </c>
      <c r="H782" t="n">
        <v>0</v>
      </c>
      <c r="I782" t="n">
        <v>0</v>
      </c>
      <c r="J782" t="n">
        <v>0</v>
      </c>
      <c r="K782" t="n">
        <v>0</v>
      </c>
      <c r="L782" t="n">
        <v>0</v>
      </c>
      <c r="M782" t="n">
        <v>0</v>
      </c>
      <c r="N782" t="n">
        <v>0</v>
      </c>
      <c r="O782" t="n">
        <v>0</v>
      </c>
      <c r="P782" t="n">
        <v>0</v>
      </c>
      <c r="Q782" t="n">
        <v>0</v>
      </c>
      <c r="R782" s="2" t="inlineStr"/>
    </row>
    <row r="783" ht="15" customHeight="1">
      <c r="A783" t="inlineStr">
        <is>
          <t>A 19380-2023</t>
        </is>
      </c>
      <c r="B783" s="1" t="n">
        <v>45049.66025462963</v>
      </c>
      <c r="C783" s="1" t="n">
        <v>45968</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37618-2023</t>
        </is>
      </c>
      <c r="B784" s="1" t="n">
        <v>45159.44694444445</v>
      </c>
      <c r="C784" s="1" t="n">
        <v>45968</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21859-2024</t>
        </is>
      </c>
      <c r="B785" s="1" t="n">
        <v>45443</v>
      </c>
      <c r="C785" s="1" t="n">
        <v>45968</v>
      </c>
      <c r="D785" t="inlineStr">
        <is>
          <t>UPPSALA LÄN</t>
        </is>
      </c>
      <c r="E785" t="inlineStr">
        <is>
          <t>UPPSALA</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6009-2022</t>
        </is>
      </c>
      <c r="B786" s="1" t="n">
        <v>44599.44832175926</v>
      </c>
      <c r="C786" s="1" t="n">
        <v>45968</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59521-2023</t>
        </is>
      </c>
      <c r="B787" s="1" t="n">
        <v>45254.49552083333</v>
      </c>
      <c r="C787" s="1" t="n">
        <v>45968</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2357-2024</t>
        </is>
      </c>
      <c r="B788" s="1" t="n">
        <v>45310</v>
      </c>
      <c r="C788" s="1" t="n">
        <v>45968</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4503-2024</t>
        </is>
      </c>
      <c r="B789" s="1" t="n">
        <v>45327.61831018519</v>
      </c>
      <c r="C789" s="1" t="n">
        <v>45968</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40606-2025</t>
        </is>
      </c>
      <c r="B790" s="1" t="n">
        <v>45896.57171296296</v>
      </c>
      <c r="C790" s="1" t="n">
        <v>45968</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7226-2024</t>
        </is>
      </c>
      <c r="B791" s="1" t="n">
        <v>45344.64759259259</v>
      </c>
      <c r="C791" s="1" t="n">
        <v>45968</v>
      </c>
      <c r="D791" t="inlineStr">
        <is>
          <t>UPPSALA LÄN</t>
        </is>
      </c>
      <c r="E791" t="inlineStr">
        <is>
          <t>UPPSALA</t>
        </is>
      </c>
      <c r="F791" t="inlineStr">
        <is>
          <t>Kyrkan</t>
        </is>
      </c>
      <c r="G791" t="n">
        <v>1.2</v>
      </c>
      <c r="H791" t="n">
        <v>0</v>
      </c>
      <c r="I791" t="n">
        <v>0</v>
      </c>
      <c r="J791" t="n">
        <v>0</v>
      </c>
      <c r="K791" t="n">
        <v>0</v>
      </c>
      <c r="L791" t="n">
        <v>0</v>
      </c>
      <c r="M791" t="n">
        <v>0</v>
      </c>
      <c r="N791" t="n">
        <v>0</v>
      </c>
      <c r="O791" t="n">
        <v>0</v>
      </c>
      <c r="P791" t="n">
        <v>0</v>
      </c>
      <c r="Q791" t="n">
        <v>0</v>
      </c>
      <c r="R791" s="2" t="inlineStr"/>
    </row>
    <row r="792" ht="15" customHeight="1">
      <c r="A792" t="inlineStr">
        <is>
          <t>A 40501-2025</t>
        </is>
      </c>
      <c r="B792" s="1" t="n">
        <v>45896</v>
      </c>
      <c r="C792" s="1" t="n">
        <v>45968</v>
      </c>
      <c r="D792" t="inlineStr">
        <is>
          <t>UPPSALA LÄN</t>
        </is>
      </c>
      <c r="E792" t="inlineStr">
        <is>
          <t>UPPSALA</t>
        </is>
      </c>
      <c r="G792" t="n">
        <v>0.6</v>
      </c>
      <c r="H792" t="n">
        <v>0</v>
      </c>
      <c r="I792" t="n">
        <v>0</v>
      </c>
      <c r="J792" t="n">
        <v>0</v>
      </c>
      <c r="K792" t="n">
        <v>0</v>
      </c>
      <c r="L792" t="n">
        <v>0</v>
      </c>
      <c r="M792" t="n">
        <v>0</v>
      </c>
      <c r="N792" t="n">
        <v>0</v>
      </c>
      <c r="O792" t="n">
        <v>0</v>
      </c>
      <c r="P792" t="n">
        <v>0</v>
      </c>
      <c r="Q792" t="n">
        <v>0</v>
      </c>
      <c r="R792" s="2" t="inlineStr"/>
    </row>
    <row r="793" ht="15" customHeight="1">
      <c r="A793" t="inlineStr">
        <is>
          <t>A 44315-2021</t>
        </is>
      </c>
      <c r="B793" s="1" t="n">
        <v>44435.38657407407</v>
      </c>
      <c r="C793" s="1" t="n">
        <v>45968</v>
      </c>
      <c r="D793" t="inlineStr">
        <is>
          <t>UPPSALA LÄN</t>
        </is>
      </c>
      <c r="E793" t="inlineStr">
        <is>
          <t>UPPSALA</t>
        </is>
      </c>
      <c r="G793" t="n">
        <v>5.2</v>
      </c>
      <c r="H793" t="n">
        <v>0</v>
      </c>
      <c r="I793" t="n">
        <v>0</v>
      </c>
      <c r="J793" t="n">
        <v>0</v>
      </c>
      <c r="K793" t="n">
        <v>0</v>
      </c>
      <c r="L793" t="n">
        <v>0</v>
      </c>
      <c r="M793" t="n">
        <v>0</v>
      </c>
      <c r="N793" t="n">
        <v>0</v>
      </c>
      <c r="O793" t="n">
        <v>0</v>
      </c>
      <c r="P793" t="n">
        <v>0</v>
      </c>
      <c r="Q793" t="n">
        <v>0</v>
      </c>
      <c r="R793" s="2" t="inlineStr"/>
    </row>
    <row r="794" ht="15" customHeight="1">
      <c r="A794" t="inlineStr">
        <is>
          <t>A 40855-2025</t>
        </is>
      </c>
      <c r="B794" s="1" t="n">
        <v>45897</v>
      </c>
      <c r="C794" s="1" t="n">
        <v>45968</v>
      </c>
      <c r="D794" t="inlineStr">
        <is>
          <t>UPPSALA LÄN</t>
        </is>
      </c>
      <c r="E794" t="inlineStr">
        <is>
          <t>UPPSALA</t>
        </is>
      </c>
      <c r="G794" t="n">
        <v>2.9</v>
      </c>
      <c r="H794" t="n">
        <v>0</v>
      </c>
      <c r="I794" t="n">
        <v>0</v>
      </c>
      <c r="J794" t="n">
        <v>0</v>
      </c>
      <c r="K794" t="n">
        <v>0</v>
      </c>
      <c r="L794" t="n">
        <v>0</v>
      </c>
      <c r="M794" t="n">
        <v>0</v>
      </c>
      <c r="N794" t="n">
        <v>0</v>
      </c>
      <c r="O794" t="n">
        <v>0</v>
      </c>
      <c r="P794" t="n">
        <v>0</v>
      </c>
      <c r="Q794" t="n">
        <v>0</v>
      </c>
      <c r="R794" s="2" t="inlineStr"/>
    </row>
    <row r="795" ht="15" customHeight="1">
      <c r="A795" t="inlineStr">
        <is>
          <t>A 4461-2024</t>
        </is>
      </c>
      <c r="B795" s="1" t="n">
        <v>45327</v>
      </c>
      <c r="C795" s="1" t="n">
        <v>45968</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49160-2025</t>
        </is>
      </c>
      <c r="B796" s="1" t="n">
        <v>45938.35063657408</v>
      </c>
      <c r="C796" s="1" t="n">
        <v>45968</v>
      </c>
      <c r="D796" t="inlineStr">
        <is>
          <t>UPPSALA LÄN</t>
        </is>
      </c>
      <c r="E796" t="inlineStr">
        <is>
          <t>UPPSALA</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40639-2025</t>
        </is>
      </c>
      <c r="B797" s="1" t="n">
        <v>45896.61050925926</v>
      </c>
      <c r="C797" s="1" t="n">
        <v>45968</v>
      </c>
      <c r="D797" t="inlineStr">
        <is>
          <t>UPPSALA LÄN</t>
        </is>
      </c>
      <c r="E797" t="inlineStr">
        <is>
          <t>UPPSALA</t>
        </is>
      </c>
      <c r="G797" t="n">
        <v>6.9</v>
      </c>
      <c r="H797" t="n">
        <v>0</v>
      </c>
      <c r="I797" t="n">
        <v>0</v>
      </c>
      <c r="J797" t="n">
        <v>0</v>
      </c>
      <c r="K797" t="n">
        <v>0</v>
      </c>
      <c r="L797" t="n">
        <v>0</v>
      </c>
      <c r="M797" t="n">
        <v>0</v>
      </c>
      <c r="N797" t="n">
        <v>0</v>
      </c>
      <c r="O797" t="n">
        <v>0</v>
      </c>
      <c r="P797" t="n">
        <v>0</v>
      </c>
      <c r="Q797" t="n">
        <v>0</v>
      </c>
      <c r="R797" s="2" t="inlineStr"/>
    </row>
    <row r="798" ht="15" customHeight="1">
      <c r="A798" t="inlineStr">
        <is>
          <t>A 49463-2025</t>
        </is>
      </c>
      <c r="B798" s="1" t="n">
        <v>45939.32621527778</v>
      </c>
      <c r="C798" s="1" t="n">
        <v>45968</v>
      </c>
      <c r="D798" t="inlineStr">
        <is>
          <t>UPPSALA LÄN</t>
        </is>
      </c>
      <c r="E798" t="inlineStr">
        <is>
          <t>UPPSALA</t>
        </is>
      </c>
      <c r="G798" t="n">
        <v>3.4</v>
      </c>
      <c r="H798" t="n">
        <v>0</v>
      </c>
      <c r="I798" t="n">
        <v>0</v>
      </c>
      <c r="J798" t="n">
        <v>0</v>
      </c>
      <c r="K798" t="n">
        <v>0</v>
      </c>
      <c r="L798" t="n">
        <v>0</v>
      </c>
      <c r="M798" t="n">
        <v>0</v>
      </c>
      <c r="N798" t="n">
        <v>0</v>
      </c>
      <c r="O798" t="n">
        <v>0</v>
      </c>
      <c r="P798" t="n">
        <v>0</v>
      </c>
      <c r="Q798" t="n">
        <v>0</v>
      </c>
      <c r="R798" s="2" t="inlineStr"/>
    </row>
    <row r="799" ht="15" customHeight="1">
      <c r="A799" t="inlineStr">
        <is>
          <t>A 12209-2025</t>
        </is>
      </c>
      <c r="B799" s="1" t="n">
        <v>45729</v>
      </c>
      <c r="C799" s="1" t="n">
        <v>45968</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41444-2025</t>
        </is>
      </c>
      <c r="B800" s="1" t="n">
        <v>45901.41756944444</v>
      </c>
      <c r="C800" s="1" t="n">
        <v>45968</v>
      </c>
      <c r="D800" t="inlineStr">
        <is>
          <t>UPPSALA LÄN</t>
        </is>
      </c>
      <c r="E800" t="inlineStr">
        <is>
          <t>UPPSALA</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49937-2025</t>
        </is>
      </c>
      <c r="B801" s="1" t="n">
        <v>45940.67084490741</v>
      </c>
      <c r="C801" s="1" t="n">
        <v>45968</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49940-2025</t>
        </is>
      </c>
      <c r="B802" s="1" t="n">
        <v>45940.67305555556</v>
      </c>
      <c r="C802" s="1" t="n">
        <v>45968</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50102-2025</t>
        </is>
      </c>
      <c r="B803" s="1" t="n">
        <v>45943.53341435185</v>
      </c>
      <c r="C803" s="1" t="n">
        <v>45968</v>
      </c>
      <c r="D803" t="inlineStr">
        <is>
          <t>UPPSALA LÄN</t>
        </is>
      </c>
      <c r="E803" t="inlineStr">
        <is>
          <t>UPPSALA</t>
        </is>
      </c>
      <c r="F803" t="inlineStr">
        <is>
          <t>Bergvik skog öst AB</t>
        </is>
      </c>
      <c r="G803" t="n">
        <v>5.8</v>
      </c>
      <c r="H803" t="n">
        <v>0</v>
      </c>
      <c r="I803" t="n">
        <v>0</v>
      </c>
      <c r="J803" t="n">
        <v>0</v>
      </c>
      <c r="K803" t="n">
        <v>0</v>
      </c>
      <c r="L803" t="n">
        <v>0</v>
      </c>
      <c r="M803" t="n">
        <v>0</v>
      </c>
      <c r="N803" t="n">
        <v>0</v>
      </c>
      <c r="O803" t="n">
        <v>0</v>
      </c>
      <c r="P803" t="n">
        <v>0</v>
      </c>
      <c r="Q803" t="n">
        <v>0</v>
      </c>
      <c r="R803" s="2" t="inlineStr"/>
    </row>
    <row r="804" ht="15" customHeight="1">
      <c r="A804" t="inlineStr">
        <is>
          <t>A 50106-2025</t>
        </is>
      </c>
      <c r="B804" s="1" t="n">
        <v>45943.53659722222</v>
      </c>
      <c r="C804" s="1" t="n">
        <v>45968</v>
      </c>
      <c r="D804" t="inlineStr">
        <is>
          <t>UPPSALA LÄN</t>
        </is>
      </c>
      <c r="E804" t="inlineStr">
        <is>
          <t>UPPSALA</t>
        </is>
      </c>
      <c r="F804" t="inlineStr">
        <is>
          <t>Bergvik skog öst AB</t>
        </is>
      </c>
      <c r="G804" t="n">
        <v>3.4</v>
      </c>
      <c r="H804" t="n">
        <v>0</v>
      </c>
      <c r="I804" t="n">
        <v>0</v>
      </c>
      <c r="J804" t="n">
        <v>0</v>
      </c>
      <c r="K804" t="n">
        <v>0</v>
      </c>
      <c r="L804" t="n">
        <v>0</v>
      </c>
      <c r="M804" t="n">
        <v>0</v>
      </c>
      <c r="N804" t="n">
        <v>0</v>
      </c>
      <c r="O804" t="n">
        <v>0</v>
      </c>
      <c r="P804" t="n">
        <v>0</v>
      </c>
      <c r="Q804" t="n">
        <v>0</v>
      </c>
      <c r="R804" s="2" t="inlineStr"/>
    </row>
    <row r="805" ht="15" customHeight="1">
      <c r="A805" t="inlineStr">
        <is>
          <t>A 50104-2025</t>
        </is>
      </c>
      <c r="B805" s="1" t="n">
        <v>45943.5354050926</v>
      </c>
      <c r="C805" s="1" t="n">
        <v>45968</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50232-2025</t>
        </is>
      </c>
      <c r="B806" s="1" t="n">
        <v>45943.70756944444</v>
      </c>
      <c r="C806" s="1" t="n">
        <v>45968</v>
      </c>
      <c r="D806" t="inlineStr">
        <is>
          <t>UPPSALA LÄN</t>
        </is>
      </c>
      <c r="E806" t="inlineStr">
        <is>
          <t>UPPSALA</t>
        </is>
      </c>
      <c r="F806" t="inlineStr">
        <is>
          <t>Holmen skog AB</t>
        </is>
      </c>
      <c r="G806" t="n">
        <v>2</v>
      </c>
      <c r="H806" t="n">
        <v>0</v>
      </c>
      <c r="I806" t="n">
        <v>0</v>
      </c>
      <c r="J806" t="n">
        <v>0</v>
      </c>
      <c r="K806" t="n">
        <v>0</v>
      </c>
      <c r="L806" t="n">
        <v>0</v>
      </c>
      <c r="M806" t="n">
        <v>0</v>
      </c>
      <c r="N806" t="n">
        <v>0</v>
      </c>
      <c r="O806" t="n">
        <v>0</v>
      </c>
      <c r="P806" t="n">
        <v>0</v>
      </c>
      <c r="Q806" t="n">
        <v>0</v>
      </c>
      <c r="R806" s="2" t="inlineStr"/>
    </row>
    <row r="807" ht="15" customHeight="1">
      <c r="A807" t="inlineStr">
        <is>
          <t>A 19345-2025</t>
        </is>
      </c>
      <c r="B807" s="1" t="n">
        <v>45769.6009375</v>
      </c>
      <c r="C807" s="1" t="n">
        <v>45968</v>
      </c>
      <c r="D807" t="inlineStr">
        <is>
          <t>UPPSALA LÄN</t>
        </is>
      </c>
      <c r="E807" t="inlineStr">
        <is>
          <t>UPPSALA</t>
        </is>
      </c>
      <c r="G807" t="n">
        <v>1.8</v>
      </c>
      <c r="H807" t="n">
        <v>0</v>
      </c>
      <c r="I807" t="n">
        <v>0</v>
      </c>
      <c r="J807" t="n">
        <v>0</v>
      </c>
      <c r="K807" t="n">
        <v>0</v>
      </c>
      <c r="L807" t="n">
        <v>0</v>
      </c>
      <c r="M807" t="n">
        <v>0</v>
      </c>
      <c r="N807" t="n">
        <v>0</v>
      </c>
      <c r="O807" t="n">
        <v>0</v>
      </c>
      <c r="P807" t="n">
        <v>0</v>
      </c>
      <c r="Q807" t="n">
        <v>0</v>
      </c>
      <c r="R807" s="2" t="inlineStr"/>
    </row>
    <row r="808" ht="15" customHeight="1">
      <c r="A808" t="inlineStr">
        <is>
          <t>A 18410-2025</t>
        </is>
      </c>
      <c r="B808" s="1" t="n">
        <v>45762.61341435185</v>
      </c>
      <c r="C808" s="1" t="n">
        <v>45968</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49988-2025</t>
        </is>
      </c>
      <c r="B809" s="1" t="n">
        <v>45942.80318287037</v>
      </c>
      <c r="C809" s="1" t="n">
        <v>45968</v>
      </c>
      <c r="D809" t="inlineStr">
        <is>
          <t>UPPSALA LÄN</t>
        </is>
      </c>
      <c r="E809" t="inlineStr">
        <is>
          <t>UPPSALA</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49990-2025</t>
        </is>
      </c>
      <c r="B810" s="1" t="n">
        <v>45942.84414351852</v>
      </c>
      <c r="C810" s="1" t="n">
        <v>45968</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3813-2024</t>
        </is>
      </c>
      <c r="B811" s="1" t="n">
        <v>45321</v>
      </c>
      <c r="C811" s="1" t="n">
        <v>45968</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8404-2022</t>
        </is>
      </c>
      <c r="B812" s="1" t="n">
        <v>44610</v>
      </c>
      <c r="C812" s="1" t="n">
        <v>45968</v>
      </c>
      <c r="D812" t="inlineStr">
        <is>
          <t>UPPSALA LÄN</t>
        </is>
      </c>
      <c r="E812" t="inlineStr">
        <is>
          <t>UPPSALA</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41445-2025</t>
        </is>
      </c>
      <c r="B813" s="1" t="n">
        <v>45901.41853009259</v>
      </c>
      <c r="C813" s="1" t="n">
        <v>45968</v>
      </c>
      <c r="D813" t="inlineStr">
        <is>
          <t>UPPSALA LÄN</t>
        </is>
      </c>
      <c r="E813" t="inlineStr">
        <is>
          <t>UPPSALA</t>
        </is>
      </c>
      <c r="F813" t="inlineStr">
        <is>
          <t>Kyrkan</t>
        </is>
      </c>
      <c r="G813" t="n">
        <v>4.5</v>
      </c>
      <c r="H813" t="n">
        <v>0</v>
      </c>
      <c r="I813" t="n">
        <v>0</v>
      </c>
      <c r="J813" t="n">
        <v>0</v>
      </c>
      <c r="K813" t="n">
        <v>0</v>
      </c>
      <c r="L813" t="n">
        <v>0</v>
      </c>
      <c r="M813" t="n">
        <v>0</v>
      </c>
      <c r="N813" t="n">
        <v>0</v>
      </c>
      <c r="O813" t="n">
        <v>0</v>
      </c>
      <c r="P813" t="n">
        <v>0</v>
      </c>
      <c r="Q813" t="n">
        <v>0</v>
      </c>
      <c r="R813" s="2" t="inlineStr"/>
    </row>
    <row r="814" ht="15" customHeight="1">
      <c r="A814" t="inlineStr">
        <is>
          <t>A 49986-2025</t>
        </is>
      </c>
      <c r="B814" s="1" t="n">
        <v>45942.79476851852</v>
      </c>
      <c r="C814" s="1" t="n">
        <v>45968</v>
      </c>
      <c r="D814" t="inlineStr">
        <is>
          <t>UPPSALA LÄN</t>
        </is>
      </c>
      <c r="E814" t="inlineStr">
        <is>
          <t>UPPSALA</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49989-2025</t>
        </is>
      </c>
      <c r="B815" s="1" t="n">
        <v>45942.8396412037</v>
      </c>
      <c r="C815" s="1" t="n">
        <v>45968</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37820-2021</t>
        </is>
      </c>
      <c r="B816" s="1" t="n">
        <v>44403.3119212963</v>
      </c>
      <c r="C816" s="1" t="n">
        <v>45968</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49829-2025</t>
        </is>
      </c>
      <c r="B817" s="1" t="n">
        <v>45940.45038194444</v>
      </c>
      <c r="C817" s="1" t="n">
        <v>45968</v>
      </c>
      <c r="D817" t="inlineStr">
        <is>
          <t>UPPSALA LÄN</t>
        </is>
      </c>
      <c r="E817" t="inlineStr">
        <is>
          <t>UPPSALA</t>
        </is>
      </c>
      <c r="F817" t="inlineStr">
        <is>
          <t>Bergvik skog öst AB</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49987-2025</t>
        </is>
      </c>
      <c r="B818" s="1" t="n">
        <v>45942.80185185185</v>
      </c>
      <c r="C818" s="1" t="n">
        <v>45968</v>
      </c>
      <c r="D818" t="inlineStr">
        <is>
          <t>UPPSALA LÄN</t>
        </is>
      </c>
      <c r="E818" t="inlineStr">
        <is>
          <t>UPPSALA</t>
        </is>
      </c>
      <c r="F818" t="inlineStr">
        <is>
          <t>Bergvik skog öst AB</t>
        </is>
      </c>
      <c r="G818" t="n">
        <v>3.4</v>
      </c>
      <c r="H818" t="n">
        <v>0</v>
      </c>
      <c r="I818" t="n">
        <v>0</v>
      </c>
      <c r="J818" t="n">
        <v>0</v>
      </c>
      <c r="K818" t="n">
        <v>0</v>
      </c>
      <c r="L818" t="n">
        <v>0</v>
      </c>
      <c r="M818" t="n">
        <v>0</v>
      </c>
      <c r="N818" t="n">
        <v>0</v>
      </c>
      <c r="O818" t="n">
        <v>0</v>
      </c>
      <c r="P818" t="n">
        <v>0</v>
      </c>
      <c r="Q818" t="n">
        <v>0</v>
      </c>
      <c r="R818" s="2" t="inlineStr"/>
    </row>
    <row r="819" ht="15" customHeight="1">
      <c r="A819" t="inlineStr">
        <is>
          <t>A 40507-2021</t>
        </is>
      </c>
      <c r="B819" s="1" t="n">
        <v>44420</v>
      </c>
      <c r="C819" s="1" t="n">
        <v>45968</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49094-2025</t>
        </is>
      </c>
      <c r="B820" s="1" t="n">
        <v>45937.68865740741</v>
      </c>
      <c r="C820" s="1" t="n">
        <v>45968</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40111-2024</t>
        </is>
      </c>
      <c r="B821" s="1" t="n">
        <v>45554</v>
      </c>
      <c r="C821" s="1" t="n">
        <v>45968</v>
      </c>
      <c r="D821" t="inlineStr">
        <is>
          <t>UPPSALA LÄN</t>
        </is>
      </c>
      <c r="E821" t="inlineStr">
        <is>
          <t>UPPSALA</t>
        </is>
      </c>
      <c r="G821" t="n">
        <v>3.7</v>
      </c>
      <c r="H821" t="n">
        <v>0</v>
      </c>
      <c r="I821" t="n">
        <v>0</v>
      </c>
      <c r="J821" t="n">
        <v>0</v>
      </c>
      <c r="K821" t="n">
        <v>0</v>
      </c>
      <c r="L821" t="n">
        <v>0</v>
      </c>
      <c r="M821" t="n">
        <v>0</v>
      </c>
      <c r="N821" t="n">
        <v>0</v>
      </c>
      <c r="O821" t="n">
        <v>0</v>
      </c>
      <c r="P821" t="n">
        <v>0</v>
      </c>
      <c r="Q821" t="n">
        <v>0</v>
      </c>
      <c r="R821" s="2" t="inlineStr"/>
    </row>
    <row r="822" ht="15" customHeight="1">
      <c r="A822" t="inlineStr">
        <is>
          <t>A 41112-2025</t>
        </is>
      </c>
      <c r="B822" s="1" t="n">
        <v>45898.46040509259</v>
      </c>
      <c r="C822" s="1" t="n">
        <v>45968</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41954-2025</t>
        </is>
      </c>
      <c r="B823" s="1" t="n">
        <v>45903</v>
      </c>
      <c r="C823" s="1" t="n">
        <v>45968</v>
      </c>
      <c r="D823" t="inlineStr">
        <is>
          <t>UPPSALA LÄN</t>
        </is>
      </c>
      <c r="E823" t="inlineStr">
        <is>
          <t>UPPSALA</t>
        </is>
      </c>
      <c r="G823" t="n">
        <v>7.5</v>
      </c>
      <c r="H823" t="n">
        <v>0</v>
      </c>
      <c r="I823" t="n">
        <v>0</v>
      </c>
      <c r="J823" t="n">
        <v>0</v>
      </c>
      <c r="K823" t="n">
        <v>0</v>
      </c>
      <c r="L823" t="n">
        <v>0</v>
      </c>
      <c r="M823" t="n">
        <v>0</v>
      </c>
      <c r="N823" t="n">
        <v>0</v>
      </c>
      <c r="O823" t="n">
        <v>0</v>
      </c>
      <c r="P823" t="n">
        <v>0</v>
      </c>
      <c r="Q823" t="n">
        <v>0</v>
      </c>
      <c r="R823" s="2" t="inlineStr"/>
    </row>
    <row r="824" ht="15" customHeight="1">
      <c r="A824" t="inlineStr">
        <is>
          <t>A 2790-2025</t>
        </is>
      </c>
      <c r="B824" s="1" t="n">
        <v>45677</v>
      </c>
      <c r="C824" s="1" t="n">
        <v>45968</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12414-2025</t>
        </is>
      </c>
      <c r="B825" s="1" t="n">
        <v>45730.43966435185</v>
      </c>
      <c r="C825" s="1" t="n">
        <v>45968</v>
      </c>
      <c r="D825" t="inlineStr">
        <is>
          <t>UPPSALA LÄN</t>
        </is>
      </c>
      <c r="E825" t="inlineStr">
        <is>
          <t>UPPSALA</t>
        </is>
      </c>
      <c r="F825" t="inlineStr">
        <is>
          <t>Övriga statliga verk och myndigheter</t>
        </is>
      </c>
      <c r="G825" t="n">
        <v>6.8</v>
      </c>
      <c r="H825" t="n">
        <v>0</v>
      </c>
      <c r="I825" t="n">
        <v>0</v>
      </c>
      <c r="J825" t="n">
        <v>0</v>
      </c>
      <c r="K825" t="n">
        <v>0</v>
      </c>
      <c r="L825" t="n">
        <v>0</v>
      </c>
      <c r="M825" t="n">
        <v>0</v>
      </c>
      <c r="N825" t="n">
        <v>0</v>
      </c>
      <c r="O825" t="n">
        <v>0</v>
      </c>
      <c r="P825" t="n">
        <v>0</v>
      </c>
      <c r="Q825" t="n">
        <v>0</v>
      </c>
      <c r="R825" s="2" t="inlineStr"/>
    </row>
    <row r="826" ht="15" customHeight="1">
      <c r="A826" t="inlineStr">
        <is>
          <t>A 23291-2024</t>
        </is>
      </c>
      <c r="B826" s="1" t="n">
        <v>45453</v>
      </c>
      <c r="C826" s="1" t="n">
        <v>45968</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59562-2024</t>
        </is>
      </c>
      <c r="B827" s="1" t="n">
        <v>45638</v>
      </c>
      <c r="C827" s="1" t="n">
        <v>45968</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4929-2022</t>
        </is>
      </c>
      <c r="B828" s="1" t="n">
        <v>44593</v>
      </c>
      <c r="C828" s="1" t="n">
        <v>45968</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33622-2024</t>
        </is>
      </c>
      <c r="B829" s="1" t="n">
        <v>45520</v>
      </c>
      <c r="C829" s="1" t="n">
        <v>45968</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41545-2023</t>
        </is>
      </c>
      <c r="B830" s="1" t="n">
        <v>45175.57060185185</v>
      </c>
      <c r="C830" s="1" t="n">
        <v>45968</v>
      </c>
      <c r="D830" t="inlineStr">
        <is>
          <t>UPPSALA LÄN</t>
        </is>
      </c>
      <c r="E830" t="inlineStr">
        <is>
          <t>UPPSALA</t>
        </is>
      </c>
      <c r="G830" t="n">
        <v>6.6</v>
      </c>
      <c r="H830" t="n">
        <v>0</v>
      </c>
      <c r="I830" t="n">
        <v>0</v>
      </c>
      <c r="J830" t="n">
        <v>0</v>
      </c>
      <c r="K830" t="n">
        <v>0</v>
      </c>
      <c r="L830" t="n">
        <v>0</v>
      </c>
      <c r="M830" t="n">
        <v>0</v>
      </c>
      <c r="N830" t="n">
        <v>0</v>
      </c>
      <c r="O830" t="n">
        <v>0</v>
      </c>
      <c r="P830" t="n">
        <v>0</v>
      </c>
      <c r="Q830" t="n">
        <v>0</v>
      </c>
      <c r="R830" s="2" t="inlineStr"/>
    </row>
    <row r="831" ht="15" customHeight="1">
      <c r="A831" t="inlineStr">
        <is>
          <t>A 20797-2025</t>
        </is>
      </c>
      <c r="B831" s="1" t="n">
        <v>45776.6415162037</v>
      </c>
      <c r="C831" s="1" t="n">
        <v>45968</v>
      </c>
      <c r="D831" t="inlineStr">
        <is>
          <t>UPPSALA LÄN</t>
        </is>
      </c>
      <c r="E831" t="inlineStr">
        <is>
          <t>UPPSALA</t>
        </is>
      </c>
      <c r="F831" t="inlineStr">
        <is>
          <t>Kommuner</t>
        </is>
      </c>
      <c r="G831" t="n">
        <v>4.6</v>
      </c>
      <c r="H831" t="n">
        <v>0</v>
      </c>
      <c r="I831" t="n">
        <v>0</v>
      </c>
      <c r="J831" t="n">
        <v>0</v>
      </c>
      <c r="K831" t="n">
        <v>0</v>
      </c>
      <c r="L831" t="n">
        <v>0</v>
      </c>
      <c r="M831" t="n">
        <v>0</v>
      </c>
      <c r="N831" t="n">
        <v>0</v>
      </c>
      <c r="O831" t="n">
        <v>0</v>
      </c>
      <c r="P831" t="n">
        <v>0</v>
      </c>
      <c r="Q831" t="n">
        <v>0</v>
      </c>
      <c r="R831" s="2" t="inlineStr"/>
    </row>
    <row r="832" ht="15" customHeight="1">
      <c r="A832" t="inlineStr">
        <is>
          <t>A 60047-2022</t>
        </is>
      </c>
      <c r="B832" s="1" t="n">
        <v>44909.51885416666</v>
      </c>
      <c r="C832" s="1" t="n">
        <v>45968</v>
      </c>
      <c r="D832" t="inlineStr">
        <is>
          <t>UPPSALA LÄN</t>
        </is>
      </c>
      <c r="E832" t="inlineStr">
        <is>
          <t>UPPSALA</t>
        </is>
      </c>
      <c r="F832" t="inlineStr">
        <is>
          <t>Kyrkan</t>
        </is>
      </c>
      <c r="G832" t="n">
        <v>0.7</v>
      </c>
      <c r="H832" t="n">
        <v>0</v>
      </c>
      <c r="I832" t="n">
        <v>0</v>
      </c>
      <c r="J832" t="n">
        <v>0</v>
      </c>
      <c r="K832" t="n">
        <v>0</v>
      </c>
      <c r="L832" t="n">
        <v>0</v>
      </c>
      <c r="M832" t="n">
        <v>0</v>
      </c>
      <c r="N832" t="n">
        <v>0</v>
      </c>
      <c r="O832" t="n">
        <v>0</v>
      </c>
      <c r="P832" t="n">
        <v>0</v>
      </c>
      <c r="Q832" t="n">
        <v>0</v>
      </c>
      <c r="R832" s="2" t="inlineStr"/>
    </row>
    <row r="833" ht="15" customHeight="1">
      <c r="A833" t="inlineStr">
        <is>
          <t>A 12284-2025</t>
        </is>
      </c>
      <c r="B833" s="1" t="n">
        <v>45729</v>
      </c>
      <c r="C833" s="1" t="n">
        <v>45968</v>
      </c>
      <c r="D833" t="inlineStr">
        <is>
          <t>UPPSALA LÄN</t>
        </is>
      </c>
      <c r="E833" t="inlineStr">
        <is>
          <t>UPPSALA</t>
        </is>
      </c>
      <c r="G833" t="n">
        <v>6.7</v>
      </c>
      <c r="H833" t="n">
        <v>0</v>
      </c>
      <c r="I833" t="n">
        <v>0</v>
      </c>
      <c r="J833" t="n">
        <v>0</v>
      </c>
      <c r="K833" t="n">
        <v>0</v>
      </c>
      <c r="L833" t="n">
        <v>0</v>
      </c>
      <c r="M833" t="n">
        <v>0</v>
      </c>
      <c r="N833" t="n">
        <v>0</v>
      </c>
      <c r="O833" t="n">
        <v>0</v>
      </c>
      <c r="P833" t="n">
        <v>0</v>
      </c>
      <c r="Q833" t="n">
        <v>0</v>
      </c>
      <c r="R833" s="2" t="inlineStr"/>
    </row>
    <row r="834" ht="15" customHeight="1">
      <c r="A834" t="inlineStr">
        <is>
          <t>A 12287-2025</t>
        </is>
      </c>
      <c r="B834" s="1" t="n">
        <v>45729</v>
      </c>
      <c r="C834" s="1" t="n">
        <v>45968</v>
      </c>
      <c r="D834" t="inlineStr">
        <is>
          <t>UPPSALA LÄN</t>
        </is>
      </c>
      <c r="E834" t="inlineStr">
        <is>
          <t>UPPSALA</t>
        </is>
      </c>
      <c r="G834" t="n">
        <v>4.6</v>
      </c>
      <c r="H834" t="n">
        <v>0</v>
      </c>
      <c r="I834" t="n">
        <v>0</v>
      </c>
      <c r="J834" t="n">
        <v>0</v>
      </c>
      <c r="K834" t="n">
        <v>0</v>
      </c>
      <c r="L834" t="n">
        <v>0</v>
      </c>
      <c r="M834" t="n">
        <v>0</v>
      </c>
      <c r="N834" t="n">
        <v>0</v>
      </c>
      <c r="O834" t="n">
        <v>0</v>
      </c>
      <c r="P834" t="n">
        <v>0</v>
      </c>
      <c r="Q834" t="n">
        <v>0</v>
      </c>
      <c r="R834" s="2" t="inlineStr"/>
    </row>
    <row r="835" ht="15" customHeight="1">
      <c r="A835" t="inlineStr">
        <is>
          <t>A 42543-2023</t>
        </is>
      </c>
      <c r="B835" s="1" t="n">
        <v>45181.36815972222</v>
      </c>
      <c r="C835" s="1" t="n">
        <v>45968</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33667-2024</t>
        </is>
      </c>
      <c r="B836" s="1" t="n">
        <v>45520</v>
      </c>
      <c r="C836" s="1" t="n">
        <v>45968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20888-2025</t>
        </is>
      </c>
      <c r="B837" s="1" t="n">
        <v>45777.37119212963</v>
      </c>
      <c r="C837" s="1" t="n">
        <v>45968</v>
      </c>
      <c r="D837" t="inlineStr">
        <is>
          <t>UPPSALA LÄN</t>
        </is>
      </c>
      <c r="E837" t="inlineStr">
        <is>
          <t>UPPSALA</t>
        </is>
      </c>
      <c r="F837" t="inlineStr">
        <is>
          <t>Övriga statliga verk och myndigheter</t>
        </is>
      </c>
      <c r="G837" t="n">
        <v>5.1</v>
      </c>
      <c r="H837" t="n">
        <v>0</v>
      </c>
      <c r="I837" t="n">
        <v>0</v>
      </c>
      <c r="J837" t="n">
        <v>0</v>
      </c>
      <c r="K837" t="n">
        <v>0</v>
      </c>
      <c r="L837" t="n">
        <v>0</v>
      </c>
      <c r="M837" t="n">
        <v>0</v>
      </c>
      <c r="N837" t="n">
        <v>0</v>
      </c>
      <c r="O837" t="n">
        <v>0</v>
      </c>
      <c r="P837" t="n">
        <v>0</v>
      </c>
      <c r="Q837" t="n">
        <v>0</v>
      </c>
      <c r="R837" s="2" t="inlineStr"/>
    </row>
    <row r="838" ht="15" customHeight="1">
      <c r="A838" t="inlineStr">
        <is>
          <t>A 8931-2025</t>
        </is>
      </c>
      <c r="B838" s="1" t="n">
        <v>45713.44519675926</v>
      </c>
      <c r="C838" s="1" t="n">
        <v>45968</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20928-2025</t>
        </is>
      </c>
      <c r="B839" s="1" t="n">
        <v>45777</v>
      </c>
      <c r="C839" s="1" t="n">
        <v>45968</v>
      </c>
      <c r="D839" t="inlineStr">
        <is>
          <t>UPPSALA LÄN</t>
        </is>
      </c>
      <c r="E839" t="inlineStr">
        <is>
          <t>UPPSALA</t>
        </is>
      </c>
      <c r="G839" t="n">
        <v>11.9</v>
      </c>
      <c r="H839" t="n">
        <v>0</v>
      </c>
      <c r="I839" t="n">
        <v>0</v>
      </c>
      <c r="J839" t="n">
        <v>0</v>
      </c>
      <c r="K839" t="n">
        <v>0</v>
      </c>
      <c r="L839" t="n">
        <v>0</v>
      </c>
      <c r="M839" t="n">
        <v>0</v>
      </c>
      <c r="N839" t="n">
        <v>0</v>
      </c>
      <c r="O839" t="n">
        <v>0</v>
      </c>
      <c r="P839" t="n">
        <v>0</v>
      </c>
      <c r="Q839" t="n">
        <v>0</v>
      </c>
      <c r="R839" s="2" t="inlineStr"/>
    </row>
    <row r="840" ht="15" customHeight="1">
      <c r="A840" t="inlineStr">
        <is>
          <t>A 29815-2023</t>
        </is>
      </c>
      <c r="B840" s="1" t="n">
        <v>45107.55574074074</v>
      </c>
      <c r="C840" s="1" t="n">
        <v>45968</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20686-2025</t>
        </is>
      </c>
      <c r="B841" s="1" t="n">
        <v>45776.45263888889</v>
      </c>
      <c r="C841" s="1" t="n">
        <v>45968</v>
      </c>
      <c r="D841" t="inlineStr">
        <is>
          <t>UPPSALA LÄN</t>
        </is>
      </c>
      <c r="E841" t="inlineStr">
        <is>
          <t>UPPSALA</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74023-2021</t>
        </is>
      </c>
      <c r="B842" s="1" t="n">
        <v>44553</v>
      </c>
      <c r="C842" s="1" t="n">
        <v>45968</v>
      </c>
      <c r="D842" t="inlineStr">
        <is>
          <t>UPPSALA LÄN</t>
        </is>
      </c>
      <c r="E842" t="inlineStr">
        <is>
          <t>UPPSALA</t>
        </is>
      </c>
      <c r="G842" t="n">
        <v>5.4</v>
      </c>
      <c r="H842" t="n">
        <v>0</v>
      </c>
      <c r="I842" t="n">
        <v>0</v>
      </c>
      <c r="J842" t="n">
        <v>0</v>
      </c>
      <c r="K842" t="n">
        <v>0</v>
      </c>
      <c r="L842" t="n">
        <v>0</v>
      </c>
      <c r="M842" t="n">
        <v>0</v>
      </c>
      <c r="N842" t="n">
        <v>0</v>
      </c>
      <c r="O842" t="n">
        <v>0</v>
      </c>
      <c r="P842" t="n">
        <v>0</v>
      </c>
      <c r="Q842" t="n">
        <v>0</v>
      </c>
      <c r="R842" s="2" t="inlineStr"/>
    </row>
    <row r="843" ht="15" customHeight="1">
      <c r="A843" t="inlineStr">
        <is>
          <t>A 42084-2025</t>
        </is>
      </c>
      <c r="B843" s="1" t="n">
        <v>45903.69096064815</v>
      </c>
      <c r="C843" s="1" t="n">
        <v>45968</v>
      </c>
      <c r="D843" t="inlineStr">
        <is>
          <t>UPPSALA LÄN</t>
        </is>
      </c>
      <c r="E843" t="inlineStr">
        <is>
          <t>UPPSALA</t>
        </is>
      </c>
      <c r="F843" t="inlineStr">
        <is>
          <t>Bergvik skog öst AB</t>
        </is>
      </c>
      <c r="G843" t="n">
        <v>1.8</v>
      </c>
      <c r="H843" t="n">
        <v>0</v>
      </c>
      <c r="I843" t="n">
        <v>0</v>
      </c>
      <c r="J843" t="n">
        <v>0</v>
      </c>
      <c r="K843" t="n">
        <v>0</v>
      </c>
      <c r="L843" t="n">
        <v>0</v>
      </c>
      <c r="M843" t="n">
        <v>0</v>
      </c>
      <c r="N843" t="n">
        <v>0</v>
      </c>
      <c r="O843" t="n">
        <v>0</v>
      </c>
      <c r="P843" t="n">
        <v>0</v>
      </c>
      <c r="Q843" t="n">
        <v>0</v>
      </c>
      <c r="R843" s="2" t="inlineStr"/>
    </row>
    <row r="844" ht="15" customHeight="1">
      <c r="A844" t="inlineStr">
        <is>
          <t>A 21033-2025</t>
        </is>
      </c>
      <c r="B844" s="1" t="n">
        <v>45777.52655092593</v>
      </c>
      <c r="C844" s="1" t="n">
        <v>45968</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20874-2025</t>
        </is>
      </c>
      <c r="B845" s="1" t="n">
        <v>45777.34894675926</v>
      </c>
      <c r="C845" s="1" t="n">
        <v>45968</v>
      </c>
      <c r="D845" t="inlineStr">
        <is>
          <t>UPPSALA LÄN</t>
        </is>
      </c>
      <c r="E845" t="inlineStr">
        <is>
          <t>UPPSALA</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44847-2024</t>
        </is>
      </c>
      <c r="B846" s="1" t="n">
        <v>45574</v>
      </c>
      <c r="C846" s="1" t="n">
        <v>45968</v>
      </c>
      <c r="D846" t="inlineStr">
        <is>
          <t>UPPSALA LÄN</t>
        </is>
      </c>
      <c r="E846" t="inlineStr">
        <is>
          <t>UPPSALA</t>
        </is>
      </c>
      <c r="G846" t="n">
        <v>6.3</v>
      </c>
      <c r="H846" t="n">
        <v>0</v>
      </c>
      <c r="I846" t="n">
        <v>0</v>
      </c>
      <c r="J846" t="n">
        <v>0</v>
      </c>
      <c r="K846" t="n">
        <v>0</v>
      </c>
      <c r="L846" t="n">
        <v>0</v>
      </c>
      <c r="M846" t="n">
        <v>0</v>
      </c>
      <c r="N846" t="n">
        <v>0</v>
      </c>
      <c r="O846" t="n">
        <v>0</v>
      </c>
      <c r="P846" t="n">
        <v>0</v>
      </c>
      <c r="Q846" t="n">
        <v>0</v>
      </c>
      <c r="R846" s="2" t="inlineStr"/>
    </row>
    <row r="847" ht="15" customHeight="1">
      <c r="A847" t="inlineStr">
        <is>
          <t>A 42085-2025</t>
        </is>
      </c>
      <c r="B847" s="1" t="n">
        <v>45903.69358796296</v>
      </c>
      <c r="C847" s="1" t="n">
        <v>45968</v>
      </c>
      <c r="D847" t="inlineStr">
        <is>
          <t>UPPSALA LÄN</t>
        </is>
      </c>
      <c r="E847" t="inlineStr">
        <is>
          <t>UPPSALA</t>
        </is>
      </c>
      <c r="F847" t="inlineStr">
        <is>
          <t>Bergvik skog öst AB</t>
        </is>
      </c>
      <c r="G847" t="n">
        <v>1.7</v>
      </c>
      <c r="H847" t="n">
        <v>0</v>
      </c>
      <c r="I847" t="n">
        <v>0</v>
      </c>
      <c r="J847" t="n">
        <v>0</v>
      </c>
      <c r="K847" t="n">
        <v>0</v>
      </c>
      <c r="L847" t="n">
        <v>0</v>
      </c>
      <c r="M847" t="n">
        <v>0</v>
      </c>
      <c r="N847" t="n">
        <v>0</v>
      </c>
      <c r="O847" t="n">
        <v>0</v>
      </c>
      <c r="P847" t="n">
        <v>0</v>
      </c>
      <c r="Q847" t="n">
        <v>0</v>
      </c>
      <c r="R847" s="2" t="inlineStr"/>
    </row>
    <row r="848" ht="15" customHeight="1">
      <c r="A848" t="inlineStr">
        <is>
          <t>A 20703-2025</t>
        </is>
      </c>
      <c r="B848" s="1" t="n">
        <v>45776.48275462963</v>
      </c>
      <c r="C848" s="1" t="n">
        <v>45968</v>
      </c>
      <c r="D848" t="inlineStr">
        <is>
          <t>UPPSALA LÄN</t>
        </is>
      </c>
      <c r="E848" t="inlineStr">
        <is>
          <t>UPPSALA</t>
        </is>
      </c>
      <c r="F848" t="inlineStr">
        <is>
          <t>Holmen skog AB</t>
        </is>
      </c>
      <c r="G848" t="n">
        <v>3.5</v>
      </c>
      <c r="H848" t="n">
        <v>0</v>
      </c>
      <c r="I848" t="n">
        <v>0</v>
      </c>
      <c r="J848" t="n">
        <v>0</v>
      </c>
      <c r="K848" t="n">
        <v>0</v>
      </c>
      <c r="L848" t="n">
        <v>0</v>
      </c>
      <c r="M848" t="n">
        <v>0</v>
      </c>
      <c r="N848" t="n">
        <v>0</v>
      </c>
      <c r="O848" t="n">
        <v>0</v>
      </c>
      <c r="P848" t="n">
        <v>0</v>
      </c>
      <c r="Q848" t="n">
        <v>0</v>
      </c>
      <c r="R848" s="2" t="inlineStr"/>
    </row>
    <row r="849" ht="15" customHeight="1">
      <c r="A849" t="inlineStr">
        <is>
          <t>A 20712-2025</t>
        </is>
      </c>
      <c r="B849" s="1" t="n">
        <v>45776</v>
      </c>
      <c r="C849" s="1" t="n">
        <v>45968</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20858-2025</t>
        </is>
      </c>
      <c r="B850" s="1" t="n">
        <v>45777.32731481481</v>
      </c>
      <c r="C850" s="1" t="n">
        <v>45968</v>
      </c>
      <c r="D850" t="inlineStr">
        <is>
          <t>UPPSALA LÄN</t>
        </is>
      </c>
      <c r="E850" t="inlineStr">
        <is>
          <t>UPPSALA</t>
        </is>
      </c>
      <c r="F850" t="inlineStr">
        <is>
          <t>Övriga Aktiebolag</t>
        </is>
      </c>
      <c r="G850" t="n">
        <v>4.1</v>
      </c>
      <c r="H850" t="n">
        <v>0</v>
      </c>
      <c r="I850" t="n">
        <v>0</v>
      </c>
      <c r="J850" t="n">
        <v>0</v>
      </c>
      <c r="K850" t="n">
        <v>0</v>
      </c>
      <c r="L850" t="n">
        <v>0</v>
      </c>
      <c r="M850" t="n">
        <v>0</v>
      </c>
      <c r="N850" t="n">
        <v>0</v>
      </c>
      <c r="O850" t="n">
        <v>0</v>
      </c>
      <c r="P850" t="n">
        <v>0</v>
      </c>
      <c r="Q850" t="n">
        <v>0</v>
      </c>
      <c r="R850" s="2" t="inlineStr"/>
    </row>
    <row r="851" ht="15" customHeight="1">
      <c r="A851" t="inlineStr">
        <is>
          <t>A 44830-2023</t>
        </is>
      </c>
      <c r="B851" s="1" t="n">
        <v>45190</v>
      </c>
      <c r="C851" s="1" t="n">
        <v>45968</v>
      </c>
      <c r="D851" t="inlineStr">
        <is>
          <t>UPPSALA LÄN</t>
        </is>
      </c>
      <c r="E851" t="inlineStr">
        <is>
          <t>UPPSALA</t>
        </is>
      </c>
      <c r="G851" t="n">
        <v>1.9</v>
      </c>
      <c r="H851" t="n">
        <v>0</v>
      </c>
      <c r="I851" t="n">
        <v>0</v>
      </c>
      <c r="J851" t="n">
        <v>0</v>
      </c>
      <c r="K851" t="n">
        <v>0</v>
      </c>
      <c r="L851" t="n">
        <v>0</v>
      </c>
      <c r="M851" t="n">
        <v>0</v>
      </c>
      <c r="N851" t="n">
        <v>0</v>
      </c>
      <c r="O851" t="n">
        <v>0</v>
      </c>
      <c r="P851" t="n">
        <v>0</v>
      </c>
      <c r="Q851" t="n">
        <v>0</v>
      </c>
      <c r="R851" s="2" t="inlineStr"/>
    </row>
    <row r="852" ht="15" customHeight="1">
      <c r="A852" t="inlineStr">
        <is>
          <t>A 41707-2025</t>
        </is>
      </c>
      <c r="B852" s="1" t="n">
        <v>45902.42243055555</v>
      </c>
      <c r="C852" s="1" t="n">
        <v>45968</v>
      </c>
      <c r="D852" t="inlineStr">
        <is>
          <t>UPPSALA LÄN</t>
        </is>
      </c>
      <c r="E852" t="inlineStr">
        <is>
          <t>UPPSALA</t>
        </is>
      </c>
      <c r="F852" t="inlineStr">
        <is>
          <t>Allmännings- och besparingsskogar</t>
        </is>
      </c>
      <c r="G852" t="n">
        <v>3.3</v>
      </c>
      <c r="H852" t="n">
        <v>0</v>
      </c>
      <c r="I852" t="n">
        <v>0</v>
      </c>
      <c r="J852" t="n">
        <v>0</v>
      </c>
      <c r="K852" t="n">
        <v>0</v>
      </c>
      <c r="L852" t="n">
        <v>0</v>
      </c>
      <c r="M852" t="n">
        <v>0</v>
      </c>
      <c r="N852" t="n">
        <v>0</v>
      </c>
      <c r="O852" t="n">
        <v>0</v>
      </c>
      <c r="P852" t="n">
        <v>0</v>
      </c>
      <c r="Q852" t="n">
        <v>0</v>
      </c>
      <c r="R852" s="2" t="inlineStr"/>
    </row>
    <row r="853" ht="15" customHeight="1">
      <c r="A853" t="inlineStr">
        <is>
          <t>A 49080-2025</t>
        </is>
      </c>
      <c r="B853" s="1" t="n">
        <v>45937</v>
      </c>
      <c r="C853" s="1" t="n">
        <v>45968</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21217-2025</t>
        </is>
      </c>
      <c r="B854" s="1" t="n">
        <v>45779.49085648148</v>
      </c>
      <c r="C854" s="1" t="n">
        <v>45968</v>
      </c>
      <c r="D854" t="inlineStr">
        <is>
          <t>UPPSALA LÄN</t>
        </is>
      </c>
      <c r="E854" t="inlineStr">
        <is>
          <t>UPPSALA</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73044-2021</t>
        </is>
      </c>
      <c r="B855" s="1" t="n">
        <v>44550.37994212963</v>
      </c>
      <c r="C855" s="1" t="n">
        <v>45968</v>
      </c>
      <c r="D855" t="inlineStr">
        <is>
          <t>UPPSALA LÄN</t>
        </is>
      </c>
      <c r="E855" t="inlineStr">
        <is>
          <t>UPPSALA</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21281-2025</t>
        </is>
      </c>
      <c r="B856" s="1" t="n">
        <v>45779.6665162037</v>
      </c>
      <c r="C856" s="1" t="n">
        <v>45968</v>
      </c>
      <c r="D856" t="inlineStr">
        <is>
          <t>UPPSALA LÄN</t>
        </is>
      </c>
      <c r="E856" t="inlineStr">
        <is>
          <t>UPPSALA</t>
        </is>
      </c>
      <c r="F856" t="inlineStr">
        <is>
          <t>Övriga Aktiebolag</t>
        </is>
      </c>
      <c r="G856" t="n">
        <v>5.9</v>
      </c>
      <c r="H856" t="n">
        <v>0</v>
      </c>
      <c r="I856" t="n">
        <v>0</v>
      </c>
      <c r="J856" t="n">
        <v>0</v>
      </c>
      <c r="K856" t="n">
        <v>0</v>
      </c>
      <c r="L856" t="n">
        <v>0</v>
      </c>
      <c r="M856" t="n">
        <v>0</v>
      </c>
      <c r="N856" t="n">
        <v>0</v>
      </c>
      <c r="O856" t="n">
        <v>0</v>
      </c>
      <c r="P856" t="n">
        <v>0</v>
      </c>
      <c r="Q856" t="n">
        <v>0</v>
      </c>
      <c r="R856" s="2" t="inlineStr"/>
    </row>
    <row r="857" ht="15" customHeight="1">
      <c r="A857" t="inlineStr">
        <is>
          <t>A 42541-2025</t>
        </is>
      </c>
      <c r="B857" s="1" t="n">
        <v>45905.5756712963</v>
      </c>
      <c r="C857" s="1" t="n">
        <v>45968</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21279-2025</t>
        </is>
      </c>
      <c r="B858" s="1" t="n">
        <v>45779.65787037037</v>
      </c>
      <c r="C858" s="1" t="n">
        <v>45968</v>
      </c>
      <c r="D858" t="inlineStr">
        <is>
          <t>UPPSALA LÄN</t>
        </is>
      </c>
      <c r="E858" t="inlineStr">
        <is>
          <t>UPPSALA</t>
        </is>
      </c>
      <c r="F858" t="inlineStr">
        <is>
          <t>Övriga Aktiebolag</t>
        </is>
      </c>
      <c r="G858" t="n">
        <v>0.8</v>
      </c>
      <c r="H858" t="n">
        <v>0</v>
      </c>
      <c r="I858" t="n">
        <v>0</v>
      </c>
      <c r="J858" t="n">
        <v>0</v>
      </c>
      <c r="K858" t="n">
        <v>0</v>
      </c>
      <c r="L858" t="n">
        <v>0</v>
      </c>
      <c r="M858" t="n">
        <v>0</v>
      </c>
      <c r="N858" t="n">
        <v>0</v>
      </c>
      <c r="O858" t="n">
        <v>0</v>
      </c>
      <c r="P858" t="n">
        <v>0</v>
      </c>
      <c r="Q858" t="n">
        <v>0</v>
      </c>
      <c r="R858" s="2" t="inlineStr"/>
    </row>
    <row r="859" ht="15" customHeight="1">
      <c r="A859" t="inlineStr">
        <is>
          <t>A 24909-2025</t>
        </is>
      </c>
      <c r="B859" s="1" t="n">
        <v>45799.53348379629</v>
      </c>
      <c r="C859" s="1" t="n">
        <v>45968</v>
      </c>
      <c r="D859" t="inlineStr">
        <is>
          <t>UPPSALA LÄN</t>
        </is>
      </c>
      <c r="E859" t="inlineStr">
        <is>
          <t>UPPSALA</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26739-2025</t>
        </is>
      </c>
      <c r="B860" s="1" t="n">
        <v>45809</v>
      </c>
      <c r="C860" s="1" t="n">
        <v>45968</v>
      </c>
      <c r="D860" t="inlineStr">
        <is>
          <t>UPPSALA LÄN</t>
        </is>
      </c>
      <c r="E860" t="inlineStr">
        <is>
          <t>UPPSALA</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50951-2025</t>
        </is>
      </c>
      <c r="B861" s="1" t="n">
        <v>45946.76038194444</v>
      </c>
      <c r="C861" s="1" t="n">
        <v>45968</v>
      </c>
      <c r="D861" t="inlineStr">
        <is>
          <t>UPPSALA LÄN</t>
        </is>
      </c>
      <c r="E861" t="inlineStr">
        <is>
          <t>UPPSALA</t>
        </is>
      </c>
      <c r="G861" t="n">
        <v>2.9</v>
      </c>
      <c r="H861" t="n">
        <v>0</v>
      </c>
      <c r="I861" t="n">
        <v>0</v>
      </c>
      <c r="J861" t="n">
        <v>0</v>
      </c>
      <c r="K861" t="n">
        <v>0</v>
      </c>
      <c r="L861" t="n">
        <v>0</v>
      </c>
      <c r="M861" t="n">
        <v>0</v>
      </c>
      <c r="N861" t="n">
        <v>0</v>
      </c>
      <c r="O861" t="n">
        <v>0</v>
      </c>
      <c r="P861" t="n">
        <v>0</v>
      </c>
      <c r="Q861" t="n">
        <v>0</v>
      </c>
      <c r="R861" s="2" t="inlineStr"/>
    </row>
    <row r="862" ht="15" customHeight="1">
      <c r="A862" t="inlineStr">
        <is>
          <t>A 19139-2023</t>
        </is>
      </c>
      <c r="B862" s="1" t="n">
        <v>45048.55349537037</v>
      </c>
      <c r="C862" s="1" t="n">
        <v>45968</v>
      </c>
      <c r="D862" t="inlineStr">
        <is>
          <t>UPPSALA LÄN</t>
        </is>
      </c>
      <c r="E862" t="inlineStr">
        <is>
          <t>UPPSALA</t>
        </is>
      </c>
      <c r="G862" t="n">
        <v>3</v>
      </c>
      <c r="H862" t="n">
        <v>0</v>
      </c>
      <c r="I862" t="n">
        <v>0</v>
      </c>
      <c r="J862" t="n">
        <v>0</v>
      </c>
      <c r="K862" t="n">
        <v>0</v>
      </c>
      <c r="L862" t="n">
        <v>0</v>
      </c>
      <c r="M862" t="n">
        <v>0</v>
      </c>
      <c r="N862" t="n">
        <v>0</v>
      </c>
      <c r="O862" t="n">
        <v>0</v>
      </c>
      <c r="P862" t="n">
        <v>0</v>
      </c>
      <c r="Q862" t="n">
        <v>0</v>
      </c>
      <c r="R862" s="2" t="inlineStr"/>
    </row>
    <row r="863" ht="15" customHeight="1">
      <c r="A863" t="inlineStr">
        <is>
          <t>A 42347-2025</t>
        </is>
      </c>
      <c r="B863" s="1" t="n">
        <v>45904.77746527778</v>
      </c>
      <c r="C863" s="1" t="n">
        <v>45968</v>
      </c>
      <c r="D863" t="inlineStr">
        <is>
          <t>UPPSALA LÄN</t>
        </is>
      </c>
      <c r="E863" t="inlineStr">
        <is>
          <t>UPPSALA</t>
        </is>
      </c>
      <c r="G863" t="n">
        <v>2.7</v>
      </c>
      <c r="H863" t="n">
        <v>0</v>
      </c>
      <c r="I863" t="n">
        <v>0</v>
      </c>
      <c r="J863" t="n">
        <v>0</v>
      </c>
      <c r="K863" t="n">
        <v>0</v>
      </c>
      <c r="L863" t="n">
        <v>0</v>
      </c>
      <c r="M863" t="n">
        <v>0</v>
      </c>
      <c r="N863" t="n">
        <v>0</v>
      </c>
      <c r="O863" t="n">
        <v>0</v>
      </c>
      <c r="P863" t="n">
        <v>0</v>
      </c>
      <c r="Q863" t="n">
        <v>0</v>
      </c>
      <c r="R863" s="2" t="inlineStr"/>
    </row>
    <row r="864" ht="15" customHeight="1">
      <c r="A864" t="inlineStr">
        <is>
          <t>A 12211-2025</t>
        </is>
      </c>
      <c r="B864" s="1" t="n">
        <v>45729</v>
      </c>
      <c r="C864" s="1" t="n">
        <v>45968</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21748-2025</t>
        </is>
      </c>
      <c r="B865" s="1" t="n">
        <v>45783.61053240741</v>
      </c>
      <c r="C865" s="1" t="n">
        <v>45968</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1617-2021</t>
        </is>
      </c>
      <c r="B866" s="1" t="n">
        <v>44209</v>
      </c>
      <c r="C866" s="1" t="n">
        <v>45968</v>
      </c>
      <c r="D866" t="inlineStr">
        <is>
          <t>UPPSALA LÄN</t>
        </is>
      </c>
      <c r="E866" t="inlineStr">
        <is>
          <t>UPPSALA</t>
        </is>
      </c>
      <c r="G866" t="n">
        <v>2.5</v>
      </c>
      <c r="H866" t="n">
        <v>0</v>
      </c>
      <c r="I866" t="n">
        <v>0</v>
      </c>
      <c r="J866" t="n">
        <v>0</v>
      </c>
      <c r="K866" t="n">
        <v>0</v>
      </c>
      <c r="L866" t="n">
        <v>0</v>
      </c>
      <c r="M866" t="n">
        <v>0</v>
      </c>
      <c r="N866" t="n">
        <v>0</v>
      </c>
      <c r="O866" t="n">
        <v>0</v>
      </c>
      <c r="P866" t="n">
        <v>0</v>
      </c>
      <c r="Q866" t="n">
        <v>0</v>
      </c>
      <c r="R866" s="2" t="inlineStr"/>
    </row>
    <row r="867" ht="15" customHeight="1">
      <c r="A867" t="inlineStr">
        <is>
          <t>A 29799-2023</t>
        </is>
      </c>
      <c r="B867" s="1" t="n">
        <v>45107.53688657407</v>
      </c>
      <c r="C867" s="1" t="n">
        <v>45968</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179-2023</t>
        </is>
      </c>
      <c r="B868" s="1" t="n">
        <v>44928</v>
      </c>
      <c r="C868" s="1" t="n">
        <v>45968</v>
      </c>
      <c r="D868" t="inlineStr">
        <is>
          <t>UPPSALA LÄN</t>
        </is>
      </c>
      <c r="E868" t="inlineStr">
        <is>
          <t>UPPSALA</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21052-2023</t>
        </is>
      </c>
      <c r="B869" s="1" t="n">
        <v>45061</v>
      </c>
      <c r="C869" s="1" t="n">
        <v>45968</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50706-2025</t>
        </is>
      </c>
      <c r="B870" s="1" t="n">
        <v>45946.30063657407</v>
      </c>
      <c r="C870" s="1" t="n">
        <v>45968</v>
      </c>
      <c r="D870" t="inlineStr">
        <is>
          <t>UPPSALA LÄN</t>
        </is>
      </c>
      <c r="E870" t="inlineStr">
        <is>
          <t>UPPSALA</t>
        </is>
      </c>
      <c r="G870" t="n">
        <v>3.6</v>
      </c>
      <c r="H870" t="n">
        <v>0</v>
      </c>
      <c r="I870" t="n">
        <v>0</v>
      </c>
      <c r="J870" t="n">
        <v>0</v>
      </c>
      <c r="K870" t="n">
        <v>0</v>
      </c>
      <c r="L870" t="n">
        <v>0</v>
      </c>
      <c r="M870" t="n">
        <v>0</v>
      </c>
      <c r="N870" t="n">
        <v>0</v>
      </c>
      <c r="O870" t="n">
        <v>0</v>
      </c>
      <c r="P870" t="n">
        <v>0</v>
      </c>
      <c r="Q870" t="n">
        <v>0</v>
      </c>
      <c r="R870" s="2" t="inlineStr"/>
    </row>
    <row r="871" ht="15" customHeight="1">
      <c r="A871" t="inlineStr">
        <is>
          <t>A 50708-2025</t>
        </is>
      </c>
      <c r="B871" s="1" t="n">
        <v>45946.31299768519</v>
      </c>
      <c r="C871" s="1" t="n">
        <v>45968</v>
      </c>
      <c r="D871" t="inlineStr">
        <is>
          <t>UPPSALA LÄN</t>
        </is>
      </c>
      <c r="E871" t="inlineStr">
        <is>
          <t>UPPSALA</t>
        </is>
      </c>
      <c r="G871" t="n">
        <v>6.7</v>
      </c>
      <c r="H871" t="n">
        <v>0</v>
      </c>
      <c r="I871" t="n">
        <v>0</v>
      </c>
      <c r="J871" t="n">
        <v>0</v>
      </c>
      <c r="K871" t="n">
        <v>0</v>
      </c>
      <c r="L871" t="n">
        <v>0</v>
      </c>
      <c r="M871" t="n">
        <v>0</v>
      </c>
      <c r="N871" t="n">
        <v>0</v>
      </c>
      <c r="O871" t="n">
        <v>0</v>
      </c>
      <c r="P871" t="n">
        <v>0</v>
      </c>
      <c r="Q871" t="n">
        <v>0</v>
      </c>
      <c r="R871" s="2" t="inlineStr"/>
    </row>
    <row r="872" ht="15" customHeight="1">
      <c r="A872" t="inlineStr">
        <is>
          <t>A 51090-2025</t>
        </is>
      </c>
      <c r="B872" s="1" t="n">
        <v>45947.4724537037</v>
      </c>
      <c r="C872" s="1" t="n">
        <v>45968</v>
      </c>
      <c r="D872" t="inlineStr">
        <is>
          <t>UPPSALA LÄN</t>
        </is>
      </c>
      <c r="E872" t="inlineStr">
        <is>
          <t>UPPSALA</t>
        </is>
      </c>
      <c r="F872" t="inlineStr">
        <is>
          <t>Övriga Aktiebolag</t>
        </is>
      </c>
      <c r="G872" t="n">
        <v>17.5</v>
      </c>
      <c r="H872" t="n">
        <v>0</v>
      </c>
      <c r="I872" t="n">
        <v>0</v>
      </c>
      <c r="J872" t="n">
        <v>0</v>
      </c>
      <c r="K872" t="n">
        <v>0</v>
      </c>
      <c r="L872" t="n">
        <v>0</v>
      </c>
      <c r="M872" t="n">
        <v>0</v>
      </c>
      <c r="N872" t="n">
        <v>0</v>
      </c>
      <c r="O872" t="n">
        <v>0</v>
      </c>
      <c r="P872" t="n">
        <v>0</v>
      </c>
      <c r="Q872" t="n">
        <v>0</v>
      </c>
      <c r="R872" s="2" t="inlineStr"/>
    </row>
    <row r="873" ht="15" customHeight="1">
      <c r="A873" t="inlineStr">
        <is>
          <t>A 50949-2025</t>
        </is>
      </c>
      <c r="B873" s="1" t="n">
        <v>45946.75140046296</v>
      </c>
      <c r="C873" s="1" t="n">
        <v>45968</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42593-2025</t>
        </is>
      </c>
      <c r="B874" s="1" t="n">
        <v>45905.64862268518</v>
      </c>
      <c r="C874" s="1" t="n">
        <v>45968</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22018-2025</t>
        </is>
      </c>
      <c r="B875" s="1" t="n">
        <v>45784.80497685185</v>
      </c>
      <c r="C875" s="1" t="n">
        <v>45968</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26738-2025</t>
        </is>
      </c>
      <c r="B876" s="1" t="n">
        <v>45809</v>
      </c>
      <c r="C876" s="1" t="n">
        <v>45968</v>
      </c>
      <c r="D876" t="inlineStr">
        <is>
          <t>UPPSALA LÄN</t>
        </is>
      </c>
      <c r="E876" t="inlineStr">
        <is>
          <t>UPPSALA</t>
        </is>
      </c>
      <c r="F876" t="inlineStr">
        <is>
          <t>Övriga Aktiebolag</t>
        </is>
      </c>
      <c r="G876" t="n">
        <v>2.2</v>
      </c>
      <c r="H876" t="n">
        <v>0</v>
      </c>
      <c r="I876" t="n">
        <v>0</v>
      </c>
      <c r="J876" t="n">
        <v>0</v>
      </c>
      <c r="K876" t="n">
        <v>0</v>
      </c>
      <c r="L876" t="n">
        <v>0</v>
      </c>
      <c r="M876" t="n">
        <v>0</v>
      </c>
      <c r="N876" t="n">
        <v>0</v>
      </c>
      <c r="O876" t="n">
        <v>0</v>
      </c>
      <c r="P876" t="n">
        <v>0</v>
      </c>
      <c r="Q876" t="n">
        <v>0</v>
      </c>
      <c r="R876" s="2" t="inlineStr"/>
    </row>
    <row r="877" ht="15" customHeight="1">
      <c r="A877" t="inlineStr">
        <is>
          <t>A 51158-2025</t>
        </is>
      </c>
      <c r="B877" s="1" t="n">
        <v>45947.58105324074</v>
      </c>
      <c r="C877" s="1" t="n">
        <v>45968</v>
      </c>
      <c r="D877" t="inlineStr">
        <is>
          <t>UPPSALA LÄN</t>
        </is>
      </c>
      <c r="E877" t="inlineStr">
        <is>
          <t>UPPSALA</t>
        </is>
      </c>
      <c r="F877" t="inlineStr">
        <is>
          <t>Övriga Aktiebolag</t>
        </is>
      </c>
      <c r="G877" t="n">
        <v>12.1</v>
      </c>
      <c r="H877" t="n">
        <v>0</v>
      </c>
      <c r="I877" t="n">
        <v>0</v>
      </c>
      <c r="J877" t="n">
        <v>0</v>
      </c>
      <c r="K877" t="n">
        <v>0</v>
      </c>
      <c r="L877" t="n">
        <v>0</v>
      </c>
      <c r="M877" t="n">
        <v>0</v>
      </c>
      <c r="N877" t="n">
        <v>0</v>
      </c>
      <c r="O877" t="n">
        <v>0</v>
      </c>
      <c r="P877" t="n">
        <v>0</v>
      </c>
      <c r="Q877" t="n">
        <v>0</v>
      </c>
      <c r="R877" s="2" t="inlineStr"/>
    </row>
    <row r="878" ht="15" customHeight="1">
      <c r="A878" t="inlineStr">
        <is>
          <t>A 42134-2025</t>
        </is>
      </c>
      <c r="B878" s="1" t="n">
        <v>45904</v>
      </c>
      <c r="C878" s="1" t="n">
        <v>45968</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50897-2025</t>
        </is>
      </c>
      <c r="B879" s="1" t="n">
        <v>45946.64121527778</v>
      </c>
      <c r="C879" s="1" t="n">
        <v>45968</v>
      </c>
      <c r="D879" t="inlineStr">
        <is>
          <t>UPPSALA LÄN</t>
        </is>
      </c>
      <c r="E879" t="inlineStr">
        <is>
          <t>UPPSALA</t>
        </is>
      </c>
      <c r="F879" t="inlineStr">
        <is>
          <t>Bergvik skog öst AB</t>
        </is>
      </c>
      <c r="G879" t="n">
        <v>3</v>
      </c>
      <c r="H879" t="n">
        <v>0</v>
      </c>
      <c r="I879" t="n">
        <v>0</v>
      </c>
      <c r="J879" t="n">
        <v>0</v>
      </c>
      <c r="K879" t="n">
        <v>0</v>
      </c>
      <c r="L879" t="n">
        <v>0</v>
      </c>
      <c r="M879" t="n">
        <v>0</v>
      </c>
      <c r="N879" t="n">
        <v>0</v>
      </c>
      <c r="O879" t="n">
        <v>0</v>
      </c>
      <c r="P879" t="n">
        <v>0</v>
      </c>
      <c r="Q879" t="n">
        <v>0</v>
      </c>
      <c r="R879" s="2" t="inlineStr"/>
    </row>
    <row r="880" ht="15" customHeight="1">
      <c r="A880" t="inlineStr">
        <is>
          <t>A 62054-2024</t>
        </is>
      </c>
      <c r="B880" s="1" t="n">
        <v>45656</v>
      </c>
      <c r="C880" s="1" t="n">
        <v>45968</v>
      </c>
      <c r="D880" t="inlineStr">
        <is>
          <t>UPPSALA LÄN</t>
        </is>
      </c>
      <c r="E880" t="inlineStr">
        <is>
          <t>UPPSALA</t>
        </is>
      </c>
      <c r="F880" t="inlineStr">
        <is>
          <t>Övriga statliga verk och myndigheter</t>
        </is>
      </c>
      <c r="G880" t="n">
        <v>29.3</v>
      </c>
      <c r="H880" t="n">
        <v>0</v>
      </c>
      <c r="I880" t="n">
        <v>0</v>
      </c>
      <c r="J880" t="n">
        <v>0</v>
      </c>
      <c r="K880" t="n">
        <v>0</v>
      </c>
      <c r="L880" t="n">
        <v>0</v>
      </c>
      <c r="M880" t="n">
        <v>0</v>
      </c>
      <c r="N880" t="n">
        <v>0</v>
      </c>
      <c r="O880" t="n">
        <v>0</v>
      </c>
      <c r="P880" t="n">
        <v>0</v>
      </c>
      <c r="Q880" t="n">
        <v>0</v>
      </c>
      <c r="R880" s="2" t="inlineStr"/>
    </row>
    <row r="881" ht="15" customHeight="1">
      <c r="A881" t="inlineStr">
        <is>
          <t>A 9398-2023</t>
        </is>
      </c>
      <c r="B881" s="1" t="n">
        <v>44977</v>
      </c>
      <c r="C881" s="1" t="n">
        <v>45968</v>
      </c>
      <c r="D881" t="inlineStr">
        <is>
          <t>UPPSALA LÄN</t>
        </is>
      </c>
      <c r="E881" t="inlineStr">
        <is>
          <t>UPPSALA</t>
        </is>
      </c>
      <c r="G881" t="n">
        <v>5.1</v>
      </c>
      <c r="H881" t="n">
        <v>0</v>
      </c>
      <c r="I881" t="n">
        <v>0</v>
      </c>
      <c r="J881" t="n">
        <v>0</v>
      </c>
      <c r="K881" t="n">
        <v>0</v>
      </c>
      <c r="L881" t="n">
        <v>0</v>
      </c>
      <c r="M881" t="n">
        <v>0</v>
      </c>
      <c r="N881" t="n">
        <v>0</v>
      </c>
      <c r="O881" t="n">
        <v>0</v>
      </c>
      <c r="P881" t="n">
        <v>0</v>
      </c>
      <c r="Q881" t="n">
        <v>0</v>
      </c>
      <c r="R881" s="2" t="inlineStr"/>
    </row>
    <row r="882" ht="15" customHeight="1">
      <c r="A882" t="inlineStr">
        <is>
          <t>A 21936-2025</t>
        </is>
      </c>
      <c r="B882" s="1" t="n">
        <v>45784.57266203704</v>
      </c>
      <c r="C882" s="1" t="n">
        <v>45968</v>
      </c>
      <c r="D882" t="inlineStr">
        <is>
          <t>UPPSALA LÄN</t>
        </is>
      </c>
      <c r="E882" t="inlineStr">
        <is>
          <t>UPPSALA</t>
        </is>
      </c>
      <c r="F882" t="inlineStr">
        <is>
          <t>Bergvik skog öst AB</t>
        </is>
      </c>
      <c r="G882" t="n">
        <v>1.7</v>
      </c>
      <c r="H882" t="n">
        <v>0</v>
      </c>
      <c r="I882" t="n">
        <v>0</v>
      </c>
      <c r="J882" t="n">
        <v>0</v>
      </c>
      <c r="K882" t="n">
        <v>0</v>
      </c>
      <c r="L882" t="n">
        <v>0</v>
      </c>
      <c r="M882" t="n">
        <v>0</v>
      </c>
      <c r="N882" t="n">
        <v>0</v>
      </c>
      <c r="O882" t="n">
        <v>0</v>
      </c>
      <c r="P882" t="n">
        <v>0</v>
      </c>
      <c r="Q882" t="n">
        <v>0</v>
      </c>
      <c r="R882" s="2" t="inlineStr"/>
    </row>
    <row r="883" ht="15" customHeight="1">
      <c r="A883" t="inlineStr">
        <is>
          <t>A 39548-2023</t>
        </is>
      </c>
      <c r="B883" s="1" t="n">
        <v>45167.3721412037</v>
      </c>
      <c r="C883" s="1" t="n">
        <v>45968</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26099-2024</t>
        </is>
      </c>
      <c r="B884" s="1" t="n">
        <v>45468</v>
      </c>
      <c r="C884" s="1" t="n">
        <v>45968</v>
      </c>
      <c r="D884" t="inlineStr">
        <is>
          <t>UPPSALA LÄN</t>
        </is>
      </c>
      <c r="E884" t="inlineStr">
        <is>
          <t>UPPSALA</t>
        </is>
      </c>
      <c r="G884" t="n">
        <v>0.3</v>
      </c>
      <c r="H884" t="n">
        <v>0</v>
      </c>
      <c r="I884" t="n">
        <v>0</v>
      </c>
      <c r="J884" t="n">
        <v>0</v>
      </c>
      <c r="K884" t="n">
        <v>0</v>
      </c>
      <c r="L884" t="n">
        <v>0</v>
      </c>
      <c r="M884" t="n">
        <v>0</v>
      </c>
      <c r="N884" t="n">
        <v>0</v>
      </c>
      <c r="O884" t="n">
        <v>0</v>
      </c>
      <c r="P884" t="n">
        <v>0</v>
      </c>
      <c r="Q884" t="n">
        <v>0</v>
      </c>
      <c r="R884" s="2" t="inlineStr"/>
    </row>
    <row r="885" ht="15" customHeight="1">
      <c r="A885" t="inlineStr">
        <is>
          <t>A 10394-2025</t>
        </is>
      </c>
      <c r="B885" s="1" t="n">
        <v>45720.60410879629</v>
      </c>
      <c r="C885" s="1" t="n">
        <v>45968</v>
      </c>
      <c r="D885" t="inlineStr">
        <is>
          <t>UPPSALA LÄN</t>
        </is>
      </c>
      <c r="E885" t="inlineStr">
        <is>
          <t>UPPSALA</t>
        </is>
      </c>
      <c r="G885" t="n">
        <v>3.4</v>
      </c>
      <c r="H885" t="n">
        <v>0</v>
      </c>
      <c r="I885" t="n">
        <v>0</v>
      </c>
      <c r="J885" t="n">
        <v>0</v>
      </c>
      <c r="K885" t="n">
        <v>0</v>
      </c>
      <c r="L885" t="n">
        <v>0</v>
      </c>
      <c r="M885" t="n">
        <v>0</v>
      </c>
      <c r="N885" t="n">
        <v>0</v>
      </c>
      <c r="O885" t="n">
        <v>0</v>
      </c>
      <c r="P885" t="n">
        <v>0</v>
      </c>
      <c r="Q885" t="n">
        <v>0</v>
      </c>
      <c r="R885" s="2" t="inlineStr"/>
    </row>
    <row r="886" ht="15" customHeight="1">
      <c r="A886" t="inlineStr">
        <is>
          <t>A 17558-2022</t>
        </is>
      </c>
      <c r="B886" s="1" t="n">
        <v>44679.66694444444</v>
      </c>
      <c r="C886" s="1" t="n">
        <v>45968</v>
      </c>
      <c r="D886" t="inlineStr">
        <is>
          <t>UPPSALA LÄN</t>
        </is>
      </c>
      <c r="E886" t="inlineStr">
        <is>
          <t>UPPSALA</t>
        </is>
      </c>
      <c r="F886" t="inlineStr">
        <is>
          <t>Bergvik skog öst AB</t>
        </is>
      </c>
      <c r="G886" t="n">
        <v>0.9</v>
      </c>
      <c r="H886" t="n">
        <v>0</v>
      </c>
      <c r="I886" t="n">
        <v>0</v>
      </c>
      <c r="J886" t="n">
        <v>0</v>
      </c>
      <c r="K886" t="n">
        <v>0</v>
      </c>
      <c r="L886" t="n">
        <v>0</v>
      </c>
      <c r="M886" t="n">
        <v>0</v>
      </c>
      <c r="N886" t="n">
        <v>0</v>
      </c>
      <c r="O886" t="n">
        <v>0</v>
      </c>
      <c r="P886" t="n">
        <v>0</v>
      </c>
      <c r="Q886" t="n">
        <v>0</v>
      </c>
      <c r="R886" s="2" t="inlineStr"/>
    </row>
    <row r="887" ht="15" customHeight="1">
      <c r="A887" t="inlineStr">
        <is>
          <t>A 33689-2023</t>
        </is>
      </c>
      <c r="B887" s="1" t="n">
        <v>45119</v>
      </c>
      <c r="C887" s="1" t="n">
        <v>45968</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18626-2025</t>
        </is>
      </c>
      <c r="B888" s="1" t="n">
        <v>45763.52995370371</v>
      </c>
      <c r="C888" s="1" t="n">
        <v>45968</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3183-2024</t>
        </is>
      </c>
      <c r="B889" s="1" t="n">
        <v>45316</v>
      </c>
      <c r="C889" s="1" t="n">
        <v>45968</v>
      </c>
      <c r="D889" t="inlineStr">
        <is>
          <t>UPPSALA LÄN</t>
        </is>
      </c>
      <c r="E889" t="inlineStr">
        <is>
          <t>UPPSALA</t>
        </is>
      </c>
      <c r="F889" t="inlineStr">
        <is>
          <t>Bergvik skog öst AB</t>
        </is>
      </c>
      <c r="G889" t="n">
        <v>1.8</v>
      </c>
      <c r="H889" t="n">
        <v>0</v>
      </c>
      <c r="I889" t="n">
        <v>0</v>
      </c>
      <c r="J889" t="n">
        <v>0</v>
      </c>
      <c r="K889" t="n">
        <v>0</v>
      </c>
      <c r="L889" t="n">
        <v>0</v>
      </c>
      <c r="M889" t="n">
        <v>0</v>
      </c>
      <c r="N889" t="n">
        <v>0</v>
      </c>
      <c r="O889" t="n">
        <v>0</v>
      </c>
      <c r="P889" t="n">
        <v>0</v>
      </c>
      <c r="Q889" t="n">
        <v>0</v>
      </c>
      <c r="R889" s="2" t="inlineStr"/>
    </row>
    <row r="890" ht="15" customHeight="1">
      <c r="A890" t="inlineStr">
        <is>
          <t>A 40701-2024</t>
        </is>
      </c>
      <c r="B890" s="1" t="n">
        <v>45558.42498842593</v>
      </c>
      <c r="C890" s="1" t="n">
        <v>45968</v>
      </c>
      <c r="D890" t="inlineStr">
        <is>
          <t>UPPSALA LÄN</t>
        </is>
      </c>
      <c r="E890" t="inlineStr">
        <is>
          <t>UPPSALA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53569-2024</t>
        </is>
      </c>
      <c r="B891" s="1" t="n">
        <v>45614.65928240741</v>
      </c>
      <c r="C891" s="1" t="n">
        <v>45968</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758-2022</t>
        </is>
      </c>
      <c r="B892" s="1" t="n">
        <v>44569.69358796296</v>
      </c>
      <c r="C892" s="1" t="n">
        <v>45968</v>
      </c>
      <c r="D892" t="inlineStr">
        <is>
          <t>UPPSALA LÄN</t>
        </is>
      </c>
      <c r="E892" t="inlineStr">
        <is>
          <t>UPPSALA</t>
        </is>
      </c>
      <c r="F892" t="inlineStr">
        <is>
          <t>Holmen skog AB</t>
        </is>
      </c>
      <c r="G892" t="n">
        <v>5.2</v>
      </c>
      <c r="H892" t="n">
        <v>0</v>
      </c>
      <c r="I892" t="n">
        <v>0</v>
      </c>
      <c r="J892" t="n">
        <v>0</v>
      </c>
      <c r="K892" t="n">
        <v>0</v>
      </c>
      <c r="L892" t="n">
        <v>0</v>
      </c>
      <c r="M892" t="n">
        <v>0</v>
      </c>
      <c r="N892" t="n">
        <v>0</v>
      </c>
      <c r="O892" t="n">
        <v>0</v>
      </c>
      <c r="P892" t="n">
        <v>0</v>
      </c>
      <c r="Q892" t="n">
        <v>0</v>
      </c>
      <c r="R892" s="2" t="inlineStr"/>
    </row>
    <row r="893" ht="15" customHeight="1">
      <c r="A893" t="inlineStr">
        <is>
          <t>A 59570-2023</t>
        </is>
      </c>
      <c r="B893" s="1" t="n">
        <v>45254</v>
      </c>
      <c r="C893" s="1" t="n">
        <v>45968</v>
      </c>
      <c r="D893" t="inlineStr">
        <is>
          <t>UPPSALA LÄN</t>
        </is>
      </c>
      <c r="E893" t="inlineStr">
        <is>
          <t>UPPSALA</t>
        </is>
      </c>
      <c r="G893" t="n">
        <v>6.7</v>
      </c>
      <c r="H893" t="n">
        <v>0</v>
      </c>
      <c r="I893" t="n">
        <v>0</v>
      </c>
      <c r="J893" t="n">
        <v>0</v>
      </c>
      <c r="K893" t="n">
        <v>0</v>
      </c>
      <c r="L893" t="n">
        <v>0</v>
      </c>
      <c r="M893" t="n">
        <v>0</v>
      </c>
      <c r="N893" t="n">
        <v>0</v>
      </c>
      <c r="O893" t="n">
        <v>0</v>
      </c>
      <c r="P893" t="n">
        <v>0</v>
      </c>
      <c r="Q893" t="n">
        <v>0</v>
      </c>
      <c r="R893" s="2" t="inlineStr"/>
    </row>
    <row r="894" ht="15" customHeight="1">
      <c r="A894" t="inlineStr">
        <is>
          <t>A 10650-2024</t>
        </is>
      </c>
      <c r="B894" s="1" t="n">
        <v>45368.64787037037</v>
      </c>
      <c r="C894" s="1" t="n">
        <v>45968</v>
      </c>
      <c r="D894" t="inlineStr">
        <is>
          <t>UPPSALA LÄN</t>
        </is>
      </c>
      <c r="E894" t="inlineStr">
        <is>
          <t>UPPSALA</t>
        </is>
      </c>
      <c r="F894" t="inlineStr">
        <is>
          <t>Bergvik skog öst AB</t>
        </is>
      </c>
      <c r="G894" t="n">
        <v>1</v>
      </c>
      <c r="H894" t="n">
        <v>0</v>
      </c>
      <c r="I894" t="n">
        <v>0</v>
      </c>
      <c r="J894" t="n">
        <v>0</v>
      </c>
      <c r="K894" t="n">
        <v>0</v>
      </c>
      <c r="L894" t="n">
        <v>0</v>
      </c>
      <c r="M894" t="n">
        <v>0</v>
      </c>
      <c r="N894" t="n">
        <v>0</v>
      </c>
      <c r="O894" t="n">
        <v>0</v>
      </c>
      <c r="P894" t="n">
        <v>0</v>
      </c>
      <c r="Q894" t="n">
        <v>0</v>
      </c>
      <c r="R894" s="2" t="inlineStr"/>
    </row>
    <row r="895" ht="15" customHeight="1">
      <c r="A895" t="inlineStr">
        <is>
          <t>A 69436-2021</t>
        </is>
      </c>
      <c r="B895" s="1" t="n">
        <v>44531</v>
      </c>
      <c r="C895" s="1" t="n">
        <v>45968</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43056-2025</t>
        </is>
      </c>
      <c r="B896" s="1" t="n">
        <v>45909.57565972222</v>
      </c>
      <c r="C896" s="1" t="n">
        <v>45968</v>
      </c>
      <c r="D896" t="inlineStr">
        <is>
          <t>UPPSALA LÄN</t>
        </is>
      </c>
      <c r="E896" t="inlineStr">
        <is>
          <t>UPPSALA</t>
        </is>
      </c>
      <c r="F896" t="inlineStr">
        <is>
          <t>Allmännings- och besparingsskogar</t>
        </is>
      </c>
      <c r="G896" t="n">
        <v>11.8</v>
      </c>
      <c r="H896" t="n">
        <v>0</v>
      </c>
      <c r="I896" t="n">
        <v>0</v>
      </c>
      <c r="J896" t="n">
        <v>0</v>
      </c>
      <c r="K896" t="n">
        <v>0</v>
      </c>
      <c r="L896" t="n">
        <v>0</v>
      </c>
      <c r="M896" t="n">
        <v>0</v>
      </c>
      <c r="N896" t="n">
        <v>0</v>
      </c>
      <c r="O896" t="n">
        <v>0</v>
      </c>
      <c r="P896" t="n">
        <v>0</v>
      </c>
      <c r="Q896" t="n">
        <v>0</v>
      </c>
      <c r="R896" s="2" t="inlineStr"/>
    </row>
    <row r="897" ht="15" customHeight="1">
      <c r="A897" t="inlineStr">
        <is>
          <t>A 46925-2024</t>
        </is>
      </c>
      <c r="B897" s="1" t="n">
        <v>45584.60038194444</v>
      </c>
      <c r="C897" s="1" t="n">
        <v>45968</v>
      </c>
      <c r="D897" t="inlineStr">
        <is>
          <t>UPPSALA LÄN</t>
        </is>
      </c>
      <c r="E897" t="inlineStr">
        <is>
          <t>UPPSALA</t>
        </is>
      </c>
      <c r="G897" t="n">
        <v>0.7</v>
      </c>
      <c r="H897" t="n">
        <v>0</v>
      </c>
      <c r="I897" t="n">
        <v>0</v>
      </c>
      <c r="J897" t="n">
        <v>0</v>
      </c>
      <c r="K897" t="n">
        <v>0</v>
      </c>
      <c r="L897" t="n">
        <v>0</v>
      </c>
      <c r="M897" t="n">
        <v>0</v>
      </c>
      <c r="N897" t="n">
        <v>0</v>
      </c>
      <c r="O897" t="n">
        <v>0</v>
      </c>
      <c r="P897" t="n">
        <v>0</v>
      </c>
      <c r="Q897" t="n">
        <v>0</v>
      </c>
      <c r="R897" s="2" t="inlineStr"/>
    </row>
    <row r="898" ht="15" customHeight="1">
      <c r="A898" t="inlineStr">
        <is>
          <t>A 7253-2024</t>
        </is>
      </c>
      <c r="B898" s="1" t="n">
        <v>45344.69567129629</v>
      </c>
      <c r="C898" s="1" t="n">
        <v>45968</v>
      </c>
      <c r="D898" t="inlineStr">
        <is>
          <t>UPPSALA LÄN</t>
        </is>
      </c>
      <c r="E898" t="inlineStr">
        <is>
          <t>UPPSALA</t>
        </is>
      </c>
      <c r="F898" t="inlineStr">
        <is>
          <t>Kyrkan</t>
        </is>
      </c>
      <c r="G898" t="n">
        <v>2.5</v>
      </c>
      <c r="H898" t="n">
        <v>0</v>
      </c>
      <c r="I898" t="n">
        <v>0</v>
      </c>
      <c r="J898" t="n">
        <v>0</v>
      </c>
      <c r="K898" t="n">
        <v>0</v>
      </c>
      <c r="L898" t="n">
        <v>0</v>
      </c>
      <c r="M898" t="n">
        <v>0</v>
      </c>
      <c r="N898" t="n">
        <v>0</v>
      </c>
      <c r="O898" t="n">
        <v>0</v>
      </c>
      <c r="P898" t="n">
        <v>0</v>
      </c>
      <c r="Q898" t="n">
        <v>0</v>
      </c>
      <c r="R898" s="2" t="inlineStr"/>
    </row>
    <row r="899" ht="15" customHeight="1">
      <c r="A899" t="inlineStr">
        <is>
          <t>A 5764-2025</t>
        </is>
      </c>
      <c r="B899" s="1" t="n">
        <v>45694</v>
      </c>
      <c r="C899" s="1" t="n">
        <v>45968</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26208-2023</t>
        </is>
      </c>
      <c r="B900" s="1" t="n">
        <v>45091</v>
      </c>
      <c r="C900" s="1" t="n">
        <v>45968</v>
      </c>
      <c r="D900" t="inlineStr">
        <is>
          <t>UPPSALA LÄN</t>
        </is>
      </c>
      <c r="E900" t="inlineStr">
        <is>
          <t>UPPSALA</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11260-2024</t>
        </is>
      </c>
      <c r="B901" s="1" t="n">
        <v>45371.67368055556</v>
      </c>
      <c r="C901" s="1" t="n">
        <v>45968</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3973-2025</t>
        </is>
      </c>
      <c r="B902" s="1" t="n">
        <v>45684</v>
      </c>
      <c r="C902" s="1" t="n">
        <v>45968</v>
      </c>
      <c r="D902" t="inlineStr">
        <is>
          <t>UPPSALA LÄN</t>
        </is>
      </c>
      <c r="E902" t="inlineStr">
        <is>
          <t>UPPSALA</t>
        </is>
      </c>
      <c r="G902" t="n">
        <v>8</v>
      </c>
      <c r="H902" t="n">
        <v>0</v>
      </c>
      <c r="I902" t="n">
        <v>0</v>
      </c>
      <c r="J902" t="n">
        <v>0</v>
      </c>
      <c r="K902" t="n">
        <v>0</v>
      </c>
      <c r="L902" t="n">
        <v>0</v>
      </c>
      <c r="M902" t="n">
        <v>0</v>
      </c>
      <c r="N902" t="n">
        <v>0</v>
      </c>
      <c r="O902" t="n">
        <v>0</v>
      </c>
      <c r="P902" t="n">
        <v>0</v>
      </c>
      <c r="Q902" t="n">
        <v>0</v>
      </c>
      <c r="R902" s="2" t="inlineStr"/>
    </row>
    <row r="903" ht="15" customHeight="1">
      <c r="A903" t="inlineStr">
        <is>
          <t>A 16324-2024</t>
        </is>
      </c>
      <c r="B903" s="1" t="n">
        <v>45407.49721064815</v>
      </c>
      <c r="C903" s="1" t="n">
        <v>45968</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42276-2024</t>
        </is>
      </c>
      <c r="B904" s="1" t="n">
        <v>45562</v>
      </c>
      <c r="C904" s="1" t="n">
        <v>45968</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42131-2023</t>
        </is>
      </c>
      <c r="B905" s="1" t="n">
        <v>45177.79766203704</v>
      </c>
      <c r="C905" s="1" t="n">
        <v>45968</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56564-2024</t>
        </is>
      </c>
      <c r="B906" s="1" t="n">
        <v>45625.58501157408</v>
      </c>
      <c r="C906" s="1" t="n">
        <v>45968</v>
      </c>
      <c r="D906" t="inlineStr">
        <is>
          <t>UPPSALA LÄN</t>
        </is>
      </c>
      <c r="E906" t="inlineStr">
        <is>
          <t>UPPSALA</t>
        </is>
      </c>
      <c r="F906" t="inlineStr">
        <is>
          <t>Övriga Aktiebolag</t>
        </is>
      </c>
      <c r="G906" t="n">
        <v>1.8</v>
      </c>
      <c r="H906" t="n">
        <v>0</v>
      </c>
      <c r="I906" t="n">
        <v>0</v>
      </c>
      <c r="J906" t="n">
        <v>0</v>
      </c>
      <c r="K906" t="n">
        <v>0</v>
      </c>
      <c r="L906" t="n">
        <v>0</v>
      </c>
      <c r="M906" t="n">
        <v>0</v>
      </c>
      <c r="N906" t="n">
        <v>0</v>
      </c>
      <c r="O906" t="n">
        <v>0</v>
      </c>
      <c r="P906" t="n">
        <v>0</v>
      </c>
      <c r="Q906" t="n">
        <v>0</v>
      </c>
      <c r="R906" s="2" t="inlineStr"/>
    </row>
    <row r="907" ht="15" customHeight="1">
      <c r="A907" t="inlineStr">
        <is>
          <t>A 51433-2025</t>
        </is>
      </c>
      <c r="B907" s="1" t="n">
        <v>45950.55603009259</v>
      </c>
      <c r="C907" s="1" t="n">
        <v>45968</v>
      </c>
      <c r="D907" t="inlineStr">
        <is>
          <t>UPPSALA LÄN</t>
        </is>
      </c>
      <c r="E907" t="inlineStr">
        <is>
          <t>UPPSALA</t>
        </is>
      </c>
      <c r="F907" t="inlineStr">
        <is>
          <t>Bergvik skog öst AB</t>
        </is>
      </c>
      <c r="G907" t="n">
        <v>14.7</v>
      </c>
      <c r="H907" t="n">
        <v>0</v>
      </c>
      <c r="I907" t="n">
        <v>0</v>
      </c>
      <c r="J907" t="n">
        <v>0</v>
      </c>
      <c r="K907" t="n">
        <v>0</v>
      </c>
      <c r="L907" t="n">
        <v>0</v>
      </c>
      <c r="M907" t="n">
        <v>0</v>
      </c>
      <c r="N907" t="n">
        <v>0</v>
      </c>
      <c r="O907" t="n">
        <v>0</v>
      </c>
      <c r="P907" t="n">
        <v>0</v>
      </c>
      <c r="Q907" t="n">
        <v>0</v>
      </c>
      <c r="R907" s="2" t="inlineStr"/>
    </row>
    <row r="908" ht="15" customHeight="1">
      <c r="A908" t="inlineStr">
        <is>
          <t>A 4980-2024</t>
        </is>
      </c>
      <c r="B908" s="1" t="n">
        <v>45329</v>
      </c>
      <c r="C908" s="1" t="n">
        <v>45968</v>
      </c>
      <c r="D908" t="inlineStr">
        <is>
          <t>UPPSALA LÄN</t>
        </is>
      </c>
      <c r="E908" t="inlineStr">
        <is>
          <t>UPPSALA</t>
        </is>
      </c>
      <c r="G908" t="n">
        <v>10.8</v>
      </c>
      <c r="H908" t="n">
        <v>0</v>
      </c>
      <c r="I908" t="n">
        <v>0</v>
      </c>
      <c r="J908" t="n">
        <v>0</v>
      </c>
      <c r="K908" t="n">
        <v>0</v>
      </c>
      <c r="L908" t="n">
        <v>0</v>
      </c>
      <c r="M908" t="n">
        <v>0</v>
      </c>
      <c r="N908" t="n">
        <v>0</v>
      </c>
      <c r="O908" t="n">
        <v>0</v>
      </c>
      <c r="P908" t="n">
        <v>0</v>
      </c>
      <c r="Q908" t="n">
        <v>0</v>
      </c>
      <c r="R908" s="2" t="inlineStr"/>
    </row>
    <row r="909" ht="15" customHeight="1">
      <c r="A909" t="inlineStr">
        <is>
          <t>A 63307-2021</t>
        </is>
      </c>
      <c r="B909" s="1" t="n">
        <v>44508.44033564815</v>
      </c>
      <c r="C909" s="1" t="n">
        <v>45968</v>
      </c>
      <c r="D909" t="inlineStr">
        <is>
          <t>UPPSALA LÄN</t>
        </is>
      </c>
      <c r="E909" t="inlineStr">
        <is>
          <t>UPPSALA</t>
        </is>
      </c>
      <c r="F909" t="inlineStr">
        <is>
          <t>Bergvik skog öst AB</t>
        </is>
      </c>
      <c r="G909" t="n">
        <v>2.8</v>
      </c>
      <c r="H909" t="n">
        <v>0</v>
      </c>
      <c r="I909" t="n">
        <v>0</v>
      </c>
      <c r="J909" t="n">
        <v>0</v>
      </c>
      <c r="K909" t="n">
        <v>0</v>
      </c>
      <c r="L909" t="n">
        <v>0</v>
      </c>
      <c r="M909" t="n">
        <v>0</v>
      </c>
      <c r="N909" t="n">
        <v>0</v>
      </c>
      <c r="O909" t="n">
        <v>0</v>
      </c>
      <c r="P909" t="n">
        <v>0</v>
      </c>
      <c r="Q909" t="n">
        <v>0</v>
      </c>
      <c r="R909" s="2" t="inlineStr"/>
    </row>
    <row r="910" ht="15" customHeight="1">
      <c r="A910" t="inlineStr">
        <is>
          <t>A 750-2022</t>
        </is>
      </c>
      <c r="B910" s="1" t="n">
        <v>44569.49344907407</v>
      </c>
      <c r="C910" s="1" t="n">
        <v>45968</v>
      </c>
      <c r="D910" t="inlineStr">
        <is>
          <t>UPPSALA LÄN</t>
        </is>
      </c>
      <c r="E910" t="inlineStr">
        <is>
          <t>UPPSALA</t>
        </is>
      </c>
      <c r="F910" t="inlineStr">
        <is>
          <t>Holmen skog AB</t>
        </is>
      </c>
      <c r="G910" t="n">
        <v>6</v>
      </c>
      <c r="H910" t="n">
        <v>0</v>
      </c>
      <c r="I910" t="n">
        <v>0</v>
      </c>
      <c r="J910" t="n">
        <v>0</v>
      </c>
      <c r="K910" t="n">
        <v>0</v>
      </c>
      <c r="L910" t="n">
        <v>0</v>
      </c>
      <c r="M910" t="n">
        <v>0</v>
      </c>
      <c r="N910" t="n">
        <v>0</v>
      </c>
      <c r="O910" t="n">
        <v>0</v>
      </c>
      <c r="P910" t="n">
        <v>0</v>
      </c>
      <c r="Q910" t="n">
        <v>0</v>
      </c>
      <c r="R910" s="2" t="inlineStr"/>
    </row>
    <row r="911" ht="15" customHeight="1">
      <c r="A911" t="inlineStr">
        <is>
          <t>A 46751-2024</t>
        </is>
      </c>
      <c r="B911" s="1" t="n">
        <v>45583.48449074074</v>
      </c>
      <c r="C911" s="1" t="n">
        <v>45968</v>
      </c>
      <c r="D911" t="inlineStr">
        <is>
          <t>UPPSALA LÄN</t>
        </is>
      </c>
      <c r="E911" t="inlineStr">
        <is>
          <t>UPPSALA</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13128-2022</t>
        </is>
      </c>
      <c r="B912" s="1" t="n">
        <v>44644.37548611111</v>
      </c>
      <c r="C912" s="1" t="n">
        <v>45968</v>
      </c>
      <c r="D912" t="inlineStr">
        <is>
          <t>UPPSALA LÄN</t>
        </is>
      </c>
      <c r="E912" t="inlineStr">
        <is>
          <t>UPPSALA</t>
        </is>
      </c>
      <c r="F912" t="inlineStr">
        <is>
          <t>Övriga Aktiebolag</t>
        </is>
      </c>
      <c r="G912" t="n">
        <v>3.7</v>
      </c>
      <c r="H912" t="n">
        <v>0</v>
      </c>
      <c r="I912" t="n">
        <v>0</v>
      </c>
      <c r="J912" t="n">
        <v>0</v>
      </c>
      <c r="K912" t="n">
        <v>0</v>
      </c>
      <c r="L912" t="n">
        <v>0</v>
      </c>
      <c r="M912" t="n">
        <v>0</v>
      </c>
      <c r="N912" t="n">
        <v>0</v>
      </c>
      <c r="O912" t="n">
        <v>0</v>
      </c>
      <c r="P912" t="n">
        <v>0</v>
      </c>
      <c r="Q912" t="n">
        <v>0</v>
      </c>
      <c r="R912" s="2" t="inlineStr"/>
    </row>
    <row r="913" ht="15" customHeight="1">
      <c r="A913" t="inlineStr">
        <is>
          <t>A 18808-2024</t>
        </is>
      </c>
      <c r="B913" s="1" t="n">
        <v>45426.61569444444</v>
      </c>
      <c r="C913" s="1" t="n">
        <v>45968</v>
      </c>
      <c r="D913" t="inlineStr">
        <is>
          <t>UPPSALA LÄN</t>
        </is>
      </c>
      <c r="E913" t="inlineStr">
        <is>
          <t>UPPSALA</t>
        </is>
      </c>
      <c r="G913" t="n">
        <v>11.5</v>
      </c>
      <c r="H913" t="n">
        <v>0</v>
      </c>
      <c r="I913" t="n">
        <v>0</v>
      </c>
      <c r="J913" t="n">
        <v>0</v>
      </c>
      <c r="K913" t="n">
        <v>0</v>
      </c>
      <c r="L913" t="n">
        <v>0</v>
      </c>
      <c r="M913" t="n">
        <v>0</v>
      </c>
      <c r="N913" t="n">
        <v>0</v>
      </c>
      <c r="O913" t="n">
        <v>0</v>
      </c>
      <c r="P913" t="n">
        <v>0</v>
      </c>
      <c r="Q913" t="n">
        <v>0</v>
      </c>
      <c r="R913" s="2" t="inlineStr"/>
    </row>
    <row r="914" ht="15" customHeight="1">
      <c r="A914" t="inlineStr">
        <is>
          <t>A 52267-2025</t>
        </is>
      </c>
      <c r="B914" s="1" t="n">
        <v>45953.53460648148</v>
      </c>
      <c r="C914" s="1" t="n">
        <v>45968</v>
      </c>
      <c r="D914" t="inlineStr">
        <is>
          <t>UPPSALA LÄN</t>
        </is>
      </c>
      <c r="E914" t="inlineStr">
        <is>
          <t>UPPSALA</t>
        </is>
      </c>
      <c r="G914" t="n">
        <v>1.9</v>
      </c>
      <c r="H914" t="n">
        <v>0</v>
      </c>
      <c r="I914" t="n">
        <v>0</v>
      </c>
      <c r="J914" t="n">
        <v>0</v>
      </c>
      <c r="K914" t="n">
        <v>0</v>
      </c>
      <c r="L914" t="n">
        <v>0</v>
      </c>
      <c r="M914" t="n">
        <v>0</v>
      </c>
      <c r="N914" t="n">
        <v>0</v>
      </c>
      <c r="O914" t="n">
        <v>0</v>
      </c>
      <c r="P914" t="n">
        <v>0</v>
      </c>
      <c r="Q914" t="n">
        <v>0</v>
      </c>
      <c r="R914" s="2" t="inlineStr"/>
    </row>
    <row r="915" ht="15" customHeight="1">
      <c r="A915" t="inlineStr">
        <is>
          <t>A 22930-2025</t>
        </is>
      </c>
      <c r="B915" s="1" t="n">
        <v>45790.44972222222</v>
      </c>
      <c r="C915" s="1" t="n">
        <v>45968</v>
      </c>
      <c r="D915" t="inlineStr">
        <is>
          <t>UPPSALA LÄN</t>
        </is>
      </c>
      <c r="E915" t="inlineStr">
        <is>
          <t>UPPSALA</t>
        </is>
      </c>
      <c r="G915" t="n">
        <v>7.7</v>
      </c>
      <c r="H915" t="n">
        <v>0</v>
      </c>
      <c r="I915" t="n">
        <v>0</v>
      </c>
      <c r="J915" t="n">
        <v>0</v>
      </c>
      <c r="K915" t="n">
        <v>0</v>
      </c>
      <c r="L915" t="n">
        <v>0</v>
      </c>
      <c r="M915" t="n">
        <v>0</v>
      </c>
      <c r="N915" t="n">
        <v>0</v>
      </c>
      <c r="O915" t="n">
        <v>0</v>
      </c>
      <c r="P915" t="n">
        <v>0</v>
      </c>
      <c r="Q915" t="n">
        <v>0</v>
      </c>
      <c r="R915" s="2" t="inlineStr"/>
    </row>
    <row r="916" ht="15" customHeight="1">
      <c r="A916" t="inlineStr">
        <is>
          <t>A 43855-2023</t>
        </is>
      </c>
      <c r="B916" s="1" t="n">
        <v>45187.61136574074</v>
      </c>
      <c r="C916" s="1" t="n">
        <v>45968</v>
      </c>
      <c r="D916" t="inlineStr">
        <is>
          <t>UPPSALA LÄN</t>
        </is>
      </c>
      <c r="E916" t="inlineStr">
        <is>
          <t>UPPSALA</t>
        </is>
      </c>
      <c r="F916" t="inlineStr">
        <is>
          <t>Bergvik skog öst AB</t>
        </is>
      </c>
      <c r="G916" t="n">
        <v>2</v>
      </c>
      <c r="H916" t="n">
        <v>0</v>
      </c>
      <c r="I916" t="n">
        <v>0</v>
      </c>
      <c r="J916" t="n">
        <v>0</v>
      </c>
      <c r="K916" t="n">
        <v>0</v>
      </c>
      <c r="L916" t="n">
        <v>0</v>
      </c>
      <c r="M916" t="n">
        <v>0</v>
      </c>
      <c r="N916" t="n">
        <v>0</v>
      </c>
      <c r="O916" t="n">
        <v>0</v>
      </c>
      <c r="P916" t="n">
        <v>0</v>
      </c>
      <c r="Q916" t="n">
        <v>0</v>
      </c>
      <c r="R916" s="2" t="inlineStr"/>
    </row>
    <row r="917" ht="15" customHeight="1">
      <c r="A917" t="inlineStr">
        <is>
          <t>A 52269-2025</t>
        </is>
      </c>
      <c r="B917" s="1" t="n">
        <v>45953.53765046296</v>
      </c>
      <c r="C917" s="1" t="n">
        <v>45968</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69432-2021</t>
        </is>
      </c>
      <c r="B918" s="1" t="n">
        <v>44531</v>
      </c>
      <c r="C918" s="1" t="n">
        <v>45968</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37763-2021</t>
        </is>
      </c>
      <c r="B919" s="1" t="n">
        <v>44400.6750925926</v>
      </c>
      <c r="C919" s="1" t="n">
        <v>45968</v>
      </c>
      <c r="D919" t="inlineStr">
        <is>
          <t>UPPSALA LÄN</t>
        </is>
      </c>
      <c r="E919" t="inlineStr">
        <is>
          <t>UPPSALA</t>
        </is>
      </c>
      <c r="F919" t="inlineStr">
        <is>
          <t>Bergvik skog öst AB</t>
        </is>
      </c>
      <c r="G919" t="n">
        <v>1</v>
      </c>
      <c r="H919" t="n">
        <v>0</v>
      </c>
      <c r="I919" t="n">
        <v>0</v>
      </c>
      <c r="J919" t="n">
        <v>0</v>
      </c>
      <c r="K919" t="n">
        <v>0</v>
      </c>
      <c r="L919" t="n">
        <v>0</v>
      </c>
      <c r="M919" t="n">
        <v>0</v>
      </c>
      <c r="N919" t="n">
        <v>0</v>
      </c>
      <c r="O919" t="n">
        <v>0</v>
      </c>
      <c r="P919" t="n">
        <v>0</v>
      </c>
      <c r="Q919" t="n">
        <v>0</v>
      </c>
      <c r="R919" s="2" t="inlineStr"/>
    </row>
    <row r="920" ht="15" customHeight="1">
      <c r="A920" t="inlineStr">
        <is>
          <t>A 11339-2025</t>
        </is>
      </c>
      <c r="B920" s="1" t="n">
        <v>45726</v>
      </c>
      <c r="C920" s="1" t="n">
        <v>45968</v>
      </c>
      <c r="D920" t="inlineStr">
        <is>
          <t>UPPSALA LÄN</t>
        </is>
      </c>
      <c r="E920" t="inlineStr">
        <is>
          <t>UPPSALA</t>
        </is>
      </c>
      <c r="G920" t="n">
        <v>13.4</v>
      </c>
      <c r="H920" t="n">
        <v>0</v>
      </c>
      <c r="I920" t="n">
        <v>0</v>
      </c>
      <c r="J920" t="n">
        <v>0</v>
      </c>
      <c r="K920" t="n">
        <v>0</v>
      </c>
      <c r="L920" t="n">
        <v>0</v>
      </c>
      <c r="M920" t="n">
        <v>0</v>
      </c>
      <c r="N920" t="n">
        <v>0</v>
      </c>
      <c r="O920" t="n">
        <v>0</v>
      </c>
      <c r="P920" t="n">
        <v>0</v>
      </c>
      <c r="Q920" t="n">
        <v>0</v>
      </c>
      <c r="R920" s="2" t="inlineStr"/>
    </row>
    <row r="921" ht="15" customHeight="1">
      <c r="A921" t="inlineStr">
        <is>
          <t>A 69595-2021</t>
        </is>
      </c>
      <c r="B921" s="1" t="n">
        <v>44532</v>
      </c>
      <c r="C921" s="1" t="n">
        <v>45968</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51275-2025</t>
        </is>
      </c>
      <c r="B922" s="1" t="n">
        <v>45949</v>
      </c>
      <c r="C922" s="1" t="n">
        <v>45968</v>
      </c>
      <c r="D922" t="inlineStr">
        <is>
          <t>UPPSALA LÄN</t>
        </is>
      </c>
      <c r="E922" t="inlineStr">
        <is>
          <t>UPPSALA</t>
        </is>
      </c>
      <c r="G922" t="n">
        <v>0.3</v>
      </c>
      <c r="H922" t="n">
        <v>0</v>
      </c>
      <c r="I922" t="n">
        <v>0</v>
      </c>
      <c r="J922" t="n">
        <v>0</v>
      </c>
      <c r="K922" t="n">
        <v>0</v>
      </c>
      <c r="L922" t="n">
        <v>0</v>
      </c>
      <c r="M922" t="n">
        <v>0</v>
      </c>
      <c r="N922" t="n">
        <v>0</v>
      </c>
      <c r="O922" t="n">
        <v>0</v>
      </c>
      <c r="P922" t="n">
        <v>0</v>
      </c>
      <c r="Q922" t="n">
        <v>0</v>
      </c>
      <c r="R922" s="2" t="inlineStr"/>
    </row>
    <row r="923" ht="15" customHeight="1">
      <c r="A923" t="inlineStr">
        <is>
          <t>A 51493-2025</t>
        </is>
      </c>
      <c r="B923" s="1" t="n">
        <v>45950</v>
      </c>
      <c r="C923" s="1" t="n">
        <v>45968</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3214-2023</t>
        </is>
      </c>
      <c r="B924" s="1" t="n">
        <v>44944</v>
      </c>
      <c r="C924" s="1" t="n">
        <v>45968</v>
      </c>
      <c r="D924" t="inlineStr">
        <is>
          <t>UPPSALA LÄN</t>
        </is>
      </c>
      <c r="E924" t="inlineStr">
        <is>
          <t>UPPSALA</t>
        </is>
      </c>
      <c r="G924" t="n">
        <v>4.1</v>
      </c>
      <c r="H924" t="n">
        <v>0</v>
      </c>
      <c r="I924" t="n">
        <v>0</v>
      </c>
      <c r="J924" t="n">
        <v>0</v>
      </c>
      <c r="K924" t="n">
        <v>0</v>
      </c>
      <c r="L924" t="n">
        <v>0</v>
      </c>
      <c r="M924" t="n">
        <v>0</v>
      </c>
      <c r="N924" t="n">
        <v>0</v>
      </c>
      <c r="O924" t="n">
        <v>0</v>
      </c>
      <c r="P924" t="n">
        <v>0</v>
      </c>
      <c r="Q924" t="n">
        <v>0</v>
      </c>
      <c r="R924" s="2" t="inlineStr"/>
    </row>
    <row r="925" ht="15" customHeight="1">
      <c r="A925" t="inlineStr">
        <is>
          <t>A 43893-2025</t>
        </is>
      </c>
      <c r="B925" s="1" t="n">
        <v>45912.7097337963</v>
      </c>
      <c r="C925" s="1" t="n">
        <v>45968</v>
      </c>
      <c r="D925" t="inlineStr">
        <is>
          <t>UPPSALA LÄN</t>
        </is>
      </c>
      <c r="E925" t="inlineStr">
        <is>
          <t>UPPSALA</t>
        </is>
      </c>
      <c r="F925" t="inlineStr">
        <is>
          <t>Kyrkan</t>
        </is>
      </c>
      <c r="G925" t="n">
        <v>5.7</v>
      </c>
      <c r="H925" t="n">
        <v>0</v>
      </c>
      <c r="I925" t="n">
        <v>0</v>
      </c>
      <c r="J925" t="n">
        <v>0</v>
      </c>
      <c r="K925" t="n">
        <v>0</v>
      </c>
      <c r="L925" t="n">
        <v>0</v>
      </c>
      <c r="M925" t="n">
        <v>0</v>
      </c>
      <c r="N925" t="n">
        <v>0</v>
      </c>
      <c r="O925" t="n">
        <v>0</v>
      </c>
      <c r="P925" t="n">
        <v>0</v>
      </c>
      <c r="Q925" t="n">
        <v>0</v>
      </c>
      <c r="R925" s="2" t="inlineStr"/>
    </row>
    <row r="926" ht="15" customHeight="1">
      <c r="A926" t="inlineStr">
        <is>
          <t>A 38190-2023</t>
        </is>
      </c>
      <c r="B926" s="1" t="n">
        <v>45161</v>
      </c>
      <c r="C926" s="1" t="n">
        <v>45968</v>
      </c>
      <c r="D926" t="inlineStr">
        <is>
          <t>UPPSALA LÄN</t>
        </is>
      </c>
      <c r="E926" t="inlineStr">
        <is>
          <t>UPPSALA</t>
        </is>
      </c>
      <c r="G926" t="n">
        <v>0.4</v>
      </c>
      <c r="H926" t="n">
        <v>0</v>
      </c>
      <c r="I926" t="n">
        <v>0</v>
      </c>
      <c r="J926" t="n">
        <v>0</v>
      </c>
      <c r="K926" t="n">
        <v>0</v>
      </c>
      <c r="L926" t="n">
        <v>0</v>
      </c>
      <c r="M926" t="n">
        <v>0</v>
      </c>
      <c r="N926" t="n">
        <v>0</v>
      </c>
      <c r="O926" t="n">
        <v>0</v>
      </c>
      <c r="P926" t="n">
        <v>0</v>
      </c>
      <c r="Q926" t="n">
        <v>0</v>
      </c>
      <c r="R926" s="2" t="inlineStr"/>
    </row>
    <row r="927" ht="15" customHeight="1">
      <c r="A927" t="inlineStr">
        <is>
          <t>A 52523-2025</t>
        </is>
      </c>
      <c r="B927" s="1" t="n">
        <v>45954.528125</v>
      </c>
      <c r="C927" s="1" t="n">
        <v>45968</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44226-2025</t>
        </is>
      </c>
      <c r="B928" s="1" t="n">
        <v>45915.64064814815</v>
      </c>
      <c r="C928" s="1" t="n">
        <v>45968</v>
      </c>
      <c r="D928" t="inlineStr">
        <is>
          <t>UPPSALA LÄN</t>
        </is>
      </c>
      <c r="E928" t="inlineStr">
        <is>
          <t>UPPSALA</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43903-2025</t>
        </is>
      </c>
      <c r="B929" s="1" t="n">
        <v>45913.39467592593</v>
      </c>
      <c r="C929" s="1" t="n">
        <v>45968</v>
      </c>
      <c r="D929" t="inlineStr">
        <is>
          <t>UPPSALA LÄN</t>
        </is>
      </c>
      <c r="E929" t="inlineStr">
        <is>
          <t>UPPSALA</t>
        </is>
      </c>
      <c r="F929" t="inlineStr">
        <is>
          <t>Bergvik skog öst AB</t>
        </is>
      </c>
      <c r="G929" t="n">
        <v>3.5</v>
      </c>
      <c r="H929" t="n">
        <v>0</v>
      </c>
      <c r="I929" t="n">
        <v>0</v>
      </c>
      <c r="J929" t="n">
        <v>0</v>
      </c>
      <c r="K929" t="n">
        <v>0</v>
      </c>
      <c r="L929" t="n">
        <v>0</v>
      </c>
      <c r="M929" t="n">
        <v>0</v>
      </c>
      <c r="N929" t="n">
        <v>0</v>
      </c>
      <c r="O929" t="n">
        <v>0</v>
      </c>
      <c r="P929" t="n">
        <v>0</v>
      </c>
      <c r="Q929" t="n">
        <v>0</v>
      </c>
      <c r="R929" s="2" t="inlineStr"/>
    </row>
    <row r="930" ht="15" customHeight="1">
      <c r="A930" t="inlineStr">
        <is>
          <t>A 54924-2024</t>
        </is>
      </c>
      <c r="B930" s="1" t="n">
        <v>45618.71140046296</v>
      </c>
      <c r="C930" s="1" t="n">
        <v>45968</v>
      </c>
      <c r="D930" t="inlineStr">
        <is>
          <t>UPPSALA LÄN</t>
        </is>
      </c>
      <c r="E930" t="inlineStr">
        <is>
          <t>UPPSALA</t>
        </is>
      </c>
      <c r="G930" t="n">
        <v>2.4</v>
      </c>
      <c r="H930" t="n">
        <v>0</v>
      </c>
      <c r="I930" t="n">
        <v>0</v>
      </c>
      <c r="J930" t="n">
        <v>0</v>
      </c>
      <c r="K930" t="n">
        <v>0</v>
      </c>
      <c r="L930" t="n">
        <v>0</v>
      </c>
      <c r="M930" t="n">
        <v>0</v>
      </c>
      <c r="N930" t="n">
        <v>0</v>
      </c>
      <c r="O930" t="n">
        <v>0</v>
      </c>
      <c r="P930" t="n">
        <v>0</v>
      </c>
      <c r="Q930" t="n">
        <v>0</v>
      </c>
      <c r="R930" s="2" t="inlineStr"/>
    </row>
    <row r="931" ht="15" customHeight="1">
      <c r="A931" t="inlineStr">
        <is>
          <t>A 39007-2024</t>
        </is>
      </c>
      <c r="B931" s="1" t="n">
        <v>45548.42854166667</v>
      </c>
      <c r="C931" s="1" t="n">
        <v>45968</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49098-2025</t>
        </is>
      </c>
      <c r="B932" s="1" t="n">
        <v>45937</v>
      </c>
      <c r="C932" s="1" t="n">
        <v>45968</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52517-2025</t>
        </is>
      </c>
      <c r="B933" s="1" t="n">
        <v>45954.51438657408</v>
      </c>
      <c r="C933" s="1" t="n">
        <v>45968</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27543-2022</t>
        </is>
      </c>
      <c r="B934" s="1" t="n">
        <v>44742</v>
      </c>
      <c r="C934" s="1" t="n">
        <v>45968</v>
      </c>
      <c r="D934" t="inlineStr">
        <is>
          <t>UPPSALA LÄN</t>
        </is>
      </c>
      <c r="E934" t="inlineStr">
        <is>
          <t>UPPSALA</t>
        </is>
      </c>
      <c r="F934" t="inlineStr">
        <is>
          <t>Kyrkan</t>
        </is>
      </c>
      <c r="G934" t="n">
        <v>2.6</v>
      </c>
      <c r="H934" t="n">
        <v>0</v>
      </c>
      <c r="I934" t="n">
        <v>0</v>
      </c>
      <c r="J934" t="n">
        <v>0</v>
      </c>
      <c r="K934" t="n">
        <v>0</v>
      </c>
      <c r="L934" t="n">
        <v>0</v>
      </c>
      <c r="M934" t="n">
        <v>0</v>
      </c>
      <c r="N934" t="n">
        <v>0</v>
      </c>
      <c r="O934" t="n">
        <v>0</v>
      </c>
      <c r="P934" t="n">
        <v>0</v>
      </c>
      <c r="Q934" t="n">
        <v>0</v>
      </c>
      <c r="R934" s="2" t="inlineStr"/>
    </row>
    <row r="935" ht="15" customHeight="1">
      <c r="A935" t="inlineStr">
        <is>
          <t>A 46743-2024</t>
        </is>
      </c>
      <c r="B935" s="1" t="n">
        <v>45583.47836805556</v>
      </c>
      <c r="C935" s="1" t="n">
        <v>45968</v>
      </c>
      <c r="D935" t="inlineStr">
        <is>
          <t>UPPSALA LÄN</t>
        </is>
      </c>
      <c r="E935" t="inlineStr">
        <is>
          <t>UPPSALA</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66690-2021</t>
        </is>
      </c>
      <c r="B936" s="1" t="n">
        <v>44519.64902777778</v>
      </c>
      <c r="C936" s="1" t="n">
        <v>45968</v>
      </c>
      <c r="D936" t="inlineStr">
        <is>
          <t>UPPSALA LÄN</t>
        </is>
      </c>
      <c r="E936" t="inlineStr">
        <is>
          <t>UPPSALA</t>
        </is>
      </c>
      <c r="G936" t="n">
        <v>2.2</v>
      </c>
      <c r="H936" t="n">
        <v>0</v>
      </c>
      <c r="I936" t="n">
        <v>0</v>
      </c>
      <c r="J936" t="n">
        <v>0</v>
      </c>
      <c r="K936" t="n">
        <v>0</v>
      </c>
      <c r="L936" t="n">
        <v>0</v>
      </c>
      <c r="M936" t="n">
        <v>0</v>
      </c>
      <c r="N936" t="n">
        <v>0</v>
      </c>
      <c r="O936" t="n">
        <v>0</v>
      </c>
      <c r="P936" t="n">
        <v>0</v>
      </c>
      <c r="Q936" t="n">
        <v>0</v>
      </c>
      <c r="R936" s="2" t="inlineStr"/>
    </row>
    <row r="937" ht="15" customHeight="1">
      <c r="A937" t="inlineStr">
        <is>
          <t>A 13602-2025</t>
        </is>
      </c>
      <c r="B937" s="1" t="n">
        <v>45736.60863425926</v>
      </c>
      <c r="C937" s="1" t="n">
        <v>45968</v>
      </c>
      <c r="D937" t="inlineStr">
        <is>
          <t>UPPSALA LÄN</t>
        </is>
      </c>
      <c r="E937" t="inlineStr">
        <is>
          <t>UPPSALA</t>
        </is>
      </c>
      <c r="F937" t="inlineStr">
        <is>
          <t>Allmännings- och besparingsskogar</t>
        </is>
      </c>
      <c r="G937" t="n">
        <v>9.5</v>
      </c>
      <c r="H937" t="n">
        <v>0</v>
      </c>
      <c r="I937" t="n">
        <v>0</v>
      </c>
      <c r="J937" t="n">
        <v>0</v>
      </c>
      <c r="K937" t="n">
        <v>0</v>
      </c>
      <c r="L937" t="n">
        <v>0</v>
      </c>
      <c r="M937" t="n">
        <v>0</v>
      </c>
      <c r="N937" t="n">
        <v>0</v>
      </c>
      <c r="O937" t="n">
        <v>0</v>
      </c>
      <c r="P937" t="n">
        <v>0</v>
      </c>
      <c r="Q937" t="n">
        <v>0</v>
      </c>
      <c r="R937" s="2" t="inlineStr"/>
    </row>
    <row r="938" ht="15" customHeight="1">
      <c r="A938" t="inlineStr">
        <is>
          <t>A 52963-2025</t>
        </is>
      </c>
      <c r="B938" s="1" t="n">
        <v>45957.66506944445</v>
      </c>
      <c r="C938" s="1" t="n">
        <v>45968</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7611-2023</t>
        </is>
      </c>
      <c r="B939" s="1" t="n">
        <v>44967</v>
      </c>
      <c r="C939" s="1" t="n">
        <v>45968</v>
      </c>
      <c r="D939" t="inlineStr">
        <is>
          <t>UPPSALA LÄN</t>
        </is>
      </c>
      <c r="E939" t="inlineStr">
        <is>
          <t>UPPSALA</t>
        </is>
      </c>
      <c r="G939" t="n">
        <v>3.5</v>
      </c>
      <c r="H939" t="n">
        <v>0</v>
      </c>
      <c r="I939" t="n">
        <v>0</v>
      </c>
      <c r="J939" t="n">
        <v>0</v>
      </c>
      <c r="K939" t="n">
        <v>0</v>
      </c>
      <c r="L939" t="n">
        <v>0</v>
      </c>
      <c r="M939" t="n">
        <v>0</v>
      </c>
      <c r="N939" t="n">
        <v>0</v>
      </c>
      <c r="O939" t="n">
        <v>0</v>
      </c>
      <c r="P939" t="n">
        <v>0</v>
      </c>
      <c r="Q939" t="n">
        <v>0</v>
      </c>
      <c r="R939" s="2" t="inlineStr"/>
    </row>
    <row r="940" ht="15" customHeight="1">
      <c r="A940" t="inlineStr">
        <is>
          <t>A 52429-2025</t>
        </is>
      </c>
      <c r="B940" s="1" t="n">
        <v>45954.38475694445</v>
      </c>
      <c r="C940" s="1" t="n">
        <v>45968</v>
      </c>
      <c r="D940" t="inlineStr">
        <is>
          <t>UPPSALA LÄN</t>
        </is>
      </c>
      <c r="E940" t="inlineStr">
        <is>
          <t>UPPSALA</t>
        </is>
      </c>
      <c r="G940" t="n">
        <v>16.6</v>
      </c>
      <c r="H940" t="n">
        <v>0</v>
      </c>
      <c r="I940" t="n">
        <v>0</v>
      </c>
      <c r="J940" t="n">
        <v>0</v>
      </c>
      <c r="K940" t="n">
        <v>0</v>
      </c>
      <c r="L940" t="n">
        <v>0</v>
      </c>
      <c r="M940" t="n">
        <v>0</v>
      </c>
      <c r="N940" t="n">
        <v>0</v>
      </c>
      <c r="O940" t="n">
        <v>0</v>
      </c>
      <c r="P940" t="n">
        <v>0</v>
      </c>
      <c r="Q940" t="n">
        <v>0</v>
      </c>
      <c r="R940" s="2" t="inlineStr"/>
    </row>
    <row r="941" ht="15" customHeight="1">
      <c r="A941" t="inlineStr">
        <is>
          <t>A 53322-2025</t>
        </is>
      </c>
      <c r="B941" s="1" t="n">
        <v>45959.35965277778</v>
      </c>
      <c r="C941" s="1" t="n">
        <v>45968</v>
      </c>
      <c r="D941" t="inlineStr">
        <is>
          <t>UPPSALA LÄN</t>
        </is>
      </c>
      <c r="E941" t="inlineStr">
        <is>
          <t>UPPSALA</t>
        </is>
      </c>
      <c r="F941" t="inlineStr">
        <is>
          <t>Bergvik skog öst AB</t>
        </is>
      </c>
      <c r="G941" t="n">
        <v>2.4</v>
      </c>
      <c r="H941" t="n">
        <v>0</v>
      </c>
      <c r="I941" t="n">
        <v>0</v>
      </c>
      <c r="J941" t="n">
        <v>0</v>
      </c>
      <c r="K941" t="n">
        <v>0</v>
      </c>
      <c r="L941" t="n">
        <v>0</v>
      </c>
      <c r="M941" t="n">
        <v>0</v>
      </c>
      <c r="N941" t="n">
        <v>0</v>
      </c>
      <c r="O941" t="n">
        <v>0</v>
      </c>
      <c r="P941" t="n">
        <v>0</v>
      </c>
      <c r="Q941" t="n">
        <v>0</v>
      </c>
      <c r="R941" s="2" t="inlineStr"/>
    </row>
    <row r="942" ht="15" customHeight="1">
      <c r="A942" t="inlineStr">
        <is>
          <t>A 53324-2025</t>
        </is>
      </c>
      <c r="B942" s="1" t="n">
        <v>45959.36146990741</v>
      </c>
      <c r="C942" s="1" t="n">
        <v>45968</v>
      </c>
      <c r="D942" t="inlineStr">
        <is>
          <t>UPPSALA LÄN</t>
        </is>
      </c>
      <c r="E942" t="inlineStr">
        <is>
          <t>UPPSALA</t>
        </is>
      </c>
      <c r="F942" t="inlineStr">
        <is>
          <t>Bergvik skog öst AB</t>
        </is>
      </c>
      <c r="G942" t="n">
        <v>1.2</v>
      </c>
      <c r="H942" t="n">
        <v>0</v>
      </c>
      <c r="I942" t="n">
        <v>0</v>
      </c>
      <c r="J942" t="n">
        <v>0</v>
      </c>
      <c r="K942" t="n">
        <v>0</v>
      </c>
      <c r="L942" t="n">
        <v>0</v>
      </c>
      <c r="M942" t="n">
        <v>0</v>
      </c>
      <c r="N942" t="n">
        <v>0</v>
      </c>
      <c r="O942" t="n">
        <v>0</v>
      </c>
      <c r="P942" t="n">
        <v>0</v>
      </c>
      <c r="Q942" t="n">
        <v>0</v>
      </c>
      <c r="R942" s="2" t="inlineStr"/>
    </row>
    <row r="943" ht="15" customHeight="1">
      <c r="A943" t="inlineStr">
        <is>
          <t>A 53021-2025</t>
        </is>
      </c>
      <c r="B943" s="1" t="n">
        <v>45957.95233796296</v>
      </c>
      <c r="C943" s="1" t="n">
        <v>45968</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733-2022</t>
        </is>
      </c>
      <c r="B944" s="1" t="n">
        <v>44568.67040509259</v>
      </c>
      <c r="C944" s="1" t="n">
        <v>45968</v>
      </c>
      <c r="D944" t="inlineStr">
        <is>
          <t>UPPSALA LÄN</t>
        </is>
      </c>
      <c r="E944" t="inlineStr">
        <is>
          <t>UPPSALA</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20087-2023</t>
        </is>
      </c>
      <c r="B945" s="1" t="n">
        <v>45054.9271875</v>
      </c>
      <c r="C945" s="1" t="n">
        <v>45968</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44385-2025</t>
        </is>
      </c>
      <c r="B946" s="1" t="n">
        <v>45916.48704861111</v>
      </c>
      <c r="C946" s="1" t="n">
        <v>45968</v>
      </c>
      <c r="D946" t="inlineStr">
        <is>
          <t>UPPSALA LÄN</t>
        </is>
      </c>
      <c r="E946" t="inlineStr">
        <is>
          <t>UPPSALA</t>
        </is>
      </c>
      <c r="F946" t="inlineStr">
        <is>
          <t>Bergvik skog öst AB</t>
        </is>
      </c>
      <c r="G946" t="n">
        <v>6.8</v>
      </c>
      <c r="H946" t="n">
        <v>0</v>
      </c>
      <c r="I946" t="n">
        <v>0</v>
      </c>
      <c r="J946" t="n">
        <v>0</v>
      </c>
      <c r="K946" t="n">
        <v>0</v>
      </c>
      <c r="L946" t="n">
        <v>0</v>
      </c>
      <c r="M946" t="n">
        <v>0</v>
      </c>
      <c r="N946" t="n">
        <v>0</v>
      </c>
      <c r="O946" t="n">
        <v>0</v>
      </c>
      <c r="P946" t="n">
        <v>0</v>
      </c>
      <c r="Q946" t="n">
        <v>0</v>
      </c>
      <c r="R946" s="2" t="inlineStr"/>
    </row>
    <row r="947" ht="15" customHeight="1">
      <c r="A947" t="inlineStr">
        <is>
          <t>A 48588-2022</t>
        </is>
      </c>
      <c r="B947" s="1" t="n">
        <v>44859.36896990741</v>
      </c>
      <c r="C947" s="1" t="n">
        <v>45968</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53161-2025</t>
        </is>
      </c>
      <c r="B948" s="1" t="n">
        <v>45958.49162037037</v>
      </c>
      <c r="C948" s="1" t="n">
        <v>45968</v>
      </c>
      <c r="D948" t="inlineStr">
        <is>
          <t>UPPSALA LÄN</t>
        </is>
      </c>
      <c r="E948" t="inlineStr">
        <is>
          <t>UPPSALA</t>
        </is>
      </c>
      <c r="F948" t="inlineStr">
        <is>
          <t>Bergvik skog väst AB</t>
        </is>
      </c>
      <c r="G948" t="n">
        <v>14.5</v>
      </c>
      <c r="H948" t="n">
        <v>0</v>
      </c>
      <c r="I948" t="n">
        <v>0</v>
      </c>
      <c r="J948" t="n">
        <v>0</v>
      </c>
      <c r="K948" t="n">
        <v>0</v>
      </c>
      <c r="L948" t="n">
        <v>0</v>
      </c>
      <c r="M948" t="n">
        <v>0</v>
      </c>
      <c r="N948" t="n">
        <v>0</v>
      </c>
      <c r="O948" t="n">
        <v>0</v>
      </c>
      <c r="P948" t="n">
        <v>0</v>
      </c>
      <c r="Q948" t="n">
        <v>0</v>
      </c>
      <c r="R948" s="2" t="inlineStr"/>
    </row>
    <row r="949" ht="15" customHeight="1">
      <c r="A949" t="inlineStr">
        <is>
          <t>A 6971-2025</t>
        </is>
      </c>
      <c r="B949" s="1" t="n">
        <v>45693</v>
      </c>
      <c r="C949" s="1" t="n">
        <v>45968</v>
      </c>
      <c r="D949" t="inlineStr">
        <is>
          <t>UPPSALA LÄN</t>
        </is>
      </c>
      <c r="E949" t="inlineStr">
        <is>
          <t>UPPSALA</t>
        </is>
      </c>
      <c r="G949" t="n">
        <v>1.7</v>
      </c>
      <c r="H949" t="n">
        <v>0</v>
      </c>
      <c r="I949" t="n">
        <v>0</v>
      </c>
      <c r="J949" t="n">
        <v>0</v>
      </c>
      <c r="K949" t="n">
        <v>0</v>
      </c>
      <c r="L949" t="n">
        <v>0</v>
      </c>
      <c r="M949" t="n">
        <v>0</v>
      </c>
      <c r="N949" t="n">
        <v>0</v>
      </c>
      <c r="O949" t="n">
        <v>0</v>
      </c>
      <c r="P949" t="n">
        <v>0</v>
      </c>
      <c r="Q949" t="n">
        <v>0</v>
      </c>
      <c r="R949" s="2" t="inlineStr"/>
    </row>
    <row r="950" ht="15" customHeight="1">
      <c r="A950" t="inlineStr">
        <is>
          <t>A 43032-2022</t>
        </is>
      </c>
      <c r="B950" s="1" t="n">
        <v>44832</v>
      </c>
      <c r="C950" s="1" t="n">
        <v>45968</v>
      </c>
      <c r="D950" t="inlineStr">
        <is>
          <t>UPPSALA LÄN</t>
        </is>
      </c>
      <c r="E950" t="inlineStr">
        <is>
          <t>UPPSALA</t>
        </is>
      </c>
      <c r="G950" t="n">
        <v>1.5</v>
      </c>
      <c r="H950" t="n">
        <v>0</v>
      </c>
      <c r="I950" t="n">
        <v>0</v>
      </c>
      <c r="J950" t="n">
        <v>0</v>
      </c>
      <c r="K950" t="n">
        <v>0</v>
      </c>
      <c r="L950" t="n">
        <v>0</v>
      </c>
      <c r="M950" t="n">
        <v>0</v>
      </c>
      <c r="N950" t="n">
        <v>0</v>
      </c>
      <c r="O950" t="n">
        <v>0</v>
      </c>
      <c r="P950" t="n">
        <v>0</v>
      </c>
      <c r="Q950" t="n">
        <v>0</v>
      </c>
      <c r="R950" s="2" t="inlineStr"/>
    </row>
    <row r="951" ht="15" customHeight="1">
      <c r="A951" t="inlineStr">
        <is>
          <t>A 53062-2025</t>
        </is>
      </c>
      <c r="B951" s="1" t="n">
        <v>45958.37273148148</v>
      </c>
      <c r="C951" s="1" t="n">
        <v>45968</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53206-2025</t>
        </is>
      </c>
      <c r="B952" s="1" t="n">
        <v>45958.58711805556</v>
      </c>
      <c r="C952" s="1" t="n">
        <v>45968</v>
      </c>
      <c r="D952" t="inlineStr">
        <is>
          <t>UPPSALA LÄN</t>
        </is>
      </c>
      <c r="E952" t="inlineStr">
        <is>
          <t>UPPSALA</t>
        </is>
      </c>
      <c r="F952" t="inlineStr">
        <is>
          <t>Bergvik skog väst AB</t>
        </is>
      </c>
      <c r="G952" t="n">
        <v>18.6</v>
      </c>
      <c r="H952" t="n">
        <v>0</v>
      </c>
      <c r="I952" t="n">
        <v>0</v>
      </c>
      <c r="J952" t="n">
        <v>0</v>
      </c>
      <c r="K952" t="n">
        <v>0</v>
      </c>
      <c r="L952" t="n">
        <v>0</v>
      </c>
      <c r="M952" t="n">
        <v>0</v>
      </c>
      <c r="N952" t="n">
        <v>0</v>
      </c>
      <c r="O952" t="n">
        <v>0</v>
      </c>
      <c r="P952" t="n">
        <v>0</v>
      </c>
      <c r="Q952" t="n">
        <v>0</v>
      </c>
      <c r="R952" s="2" t="inlineStr"/>
    </row>
    <row r="953" ht="15" customHeight="1">
      <c r="A953" t="inlineStr">
        <is>
          <t>A 53238-2025</t>
        </is>
      </c>
      <c r="B953" s="1" t="n">
        <v>45958.63368055555</v>
      </c>
      <c r="C953" s="1" t="n">
        <v>45968</v>
      </c>
      <c r="D953" t="inlineStr">
        <is>
          <t>UPPSALA LÄN</t>
        </is>
      </c>
      <c r="E953" t="inlineStr">
        <is>
          <t>UPPSALA</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53244-2025</t>
        </is>
      </c>
      <c r="B954" s="1" t="n">
        <v>45957</v>
      </c>
      <c r="C954" s="1" t="n">
        <v>45968</v>
      </c>
      <c r="D954" t="inlineStr">
        <is>
          <t>UPPSALA LÄN</t>
        </is>
      </c>
      <c r="E954" t="inlineStr">
        <is>
          <t>UPPSALA</t>
        </is>
      </c>
      <c r="G954" t="n">
        <v>2.6</v>
      </c>
      <c r="H954" t="n">
        <v>0</v>
      </c>
      <c r="I954" t="n">
        <v>0</v>
      </c>
      <c r="J954" t="n">
        <v>0</v>
      </c>
      <c r="K954" t="n">
        <v>0</v>
      </c>
      <c r="L954" t="n">
        <v>0</v>
      </c>
      <c r="M954" t="n">
        <v>0</v>
      </c>
      <c r="N954" t="n">
        <v>0</v>
      </c>
      <c r="O954" t="n">
        <v>0</v>
      </c>
      <c r="P954" t="n">
        <v>0</v>
      </c>
      <c r="Q954" t="n">
        <v>0</v>
      </c>
      <c r="R954" s="2" t="inlineStr"/>
    </row>
    <row r="955" ht="15" customHeight="1">
      <c r="A955" t="inlineStr">
        <is>
          <t>A 53248-2025</t>
        </is>
      </c>
      <c r="B955" s="1" t="n">
        <v>45958.6516087963</v>
      </c>
      <c r="C955" s="1" t="n">
        <v>45968</v>
      </c>
      <c r="D955" t="inlineStr">
        <is>
          <t>UPPSALA LÄN</t>
        </is>
      </c>
      <c r="E955" t="inlineStr">
        <is>
          <t>UPPSALA</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53423-2025</t>
        </is>
      </c>
      <c r="B956" s="1" t="n">
        <v>45959.60851851852</v>
      </c>
      <c r="C956" s="1" t="n">
        <v>45968</v>
      </c>
      <c r="D956" t="inlineStr">
        <is>
          <t>UPPSALA LÄN</t>
        </is>
      </c>
      <c r="E956" t="inlineStr">
        <is>
          <t>UPPSALA</t>
        </is>
      </c>
      <c r="F956" t="inlineStr">
        <is>
          <t>Övriga Aktiebolag</t>
        </is>
      </c>
      <c r="G956" t="n">
        <v>23.6</v>
      </c>
      <c r="H956" t="n">
        <v>0</v>
      </c>
      <c r="I956" t="n">
        <v>0</v>
      </c>
      <c r="J956" t="n">
        <v>0</v>
      </c>
      <c r="K956" t="n">
        <v>0</v>
      </c>
      <c r="L956" t="n">
        <v>0</v>
      </c>
      <c r="M956" t="n">
        <v>0</v>
      </c>
      <c r="N956" t="n">
        <v>0</v>
      </c>
      <c r="O956" t="n">
        <v>0</v>
      </c>
      <c r="P956" t="n">
        <v>0</v>
      </c>
      <c r="Q956" t="n">
        <v>0</v>
      </c>
      <c r="R956" s="2" t="inlineStr"/>
    </row>
    <row r="957" ht="15" customHeight="1">
      <c r="A957" t="inlineStr">
        <is>
          <t>A 30583-2025</t>
        </is>
      </c>
      <c r="B957" s="1" t="n">
        <v>45831.42365740741</v>
      </c>
      <c r="C957" s="1" t="n">
        <v>45968</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44470-2025</t>
        </is>
      </c>
      <c r="B958" s="1" t="n">
        <v>45916</v>
      </c>
      <c r="C958" s="1" t="n">
        <v>45968</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50669-2024</t>
        </is>
      </c>
      <c r="B959" s="1" t="n">
        <v>45601</v>
      </c>
      <c r="C959" s="1" t="n">
        <v>45968</v>
      </c>
      <c r="D959" t="inlineStr">
        <is>
          <t>UPPSALA LÄN</t>
        </is>
      </c>
      <c r="E959" t="inlineStr">
        <is>
          <t>UPPSALA</t>
        </is>
      </c>
      <c r="G959" t="n">
        <v>1.2</v>
      </c>
      <c r="H959" t="n">
        <v>0</v>
      </c>
      <c r="I959" t="n">
        <v>0</v>
      </c>
      <c r="J959" t="n">
        <v>0</v>
      </c>
      <c r="K959" t="n">
        <v>0</v>
      </c>
      <c r="L959" t="n">
        <v>0</v>
      </c>
      <c r="M959" t="n">
        <v>0</v>
      </c>
      <c r="N959" t="n">
        <v>0</v>
      </c>
      <c r="O959" t="n">
        <v>0</v>
      </c>
      <c r="P959" t="n">
        <v>0</v>
      </c>
      <c r="Q959" t="n">
        <v>0</v>
      </c>
      <c r="R959" s="2" t="inlineStr"/>
    </row>
    <row r="960" ht="15" customHeight="1">
      <c r="A960" t="inlineStr">
        <is>
          <t>A 53228-2025</t>
        </is>
      </c>
      <c r="B960" s="1" t="n">
        <v>45958.61577546296</v>
      </c>
      <c r="C960" s="1" t="n">
        <v>45968</v>
      </c>
      <c r="D960" t="inlineStr">
        <is>
          <t>UPPSALA LÄN</t>
        </is>
      </c>
      <c r="E960" t="inlineStr">
        <is>
          <t>UPPSALA</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53230-2025</t>
        </is>
      </c>
      <c r="B961" s="1" t="n">
        <v>45958.62303240741</v>
      </c>
      <c r="C961" s="1" t="n">
        <v>45968</v>
      </c>
      <c r="D961" t="inlineStr">
        <is>
          <t>UPPSALA LÄN</t>
        </is>
      </c>
      <c r="E961" t="inlineStr">
        <is>
          <t>UPPSALA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53234-2025</t>
        </is>
      </c>
      <c r="B962" s="1" t="n">
        <v>45958.62765046296</v>
      </c>
      <c r="C962" s="1" t="n">
        <v>45968</v>
      </c>
      <c r="D962" t="inlineStr">
        <is>
          <t>UPPSALA LÄN</t>
        </is>
      </c>
      <c r="E962" t="inlineStr">
        <is>
          <t>UPPSALA</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53242-2025</t>
        </is>
      </c>
      <c r="B963" s="1" t="n">
        <v>45958.64146990741</v>
      </c>
      <c r="C963" s="1" t="n">
        <v>45968</v>
      </c>
      <c r="D963" t="inlineStr">
        <is>
          <t>UPPSALA LÄN</t>
        </is>
      </c>
      <c r="E963" t="inlineStr">
        <is>
          <t>UPPSALA</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50103-2025</t>
        </is>
      </c>
      <c r="B964" s="1" t="n">
        <v>45943.53451388889</v>
      </c>
      <c r="C964" s="1" t="n">
        <v>45968</v>
      </c>
      <c r="D964" t="inlineStr">
        <is>
          <t>UPPSALA LÄN</t>
        </is>
      </c>
      <c r="E964" t="inlineStr">
        <is>
          <t>UPPSALA</t>
        </is>
      </c>
      <c r="F964" t="inlineStr">
        <is>
          <t>Bergvik skog öst AB</t>
        </is>
      </c>
      <c r="G964" t="n">
        <v>3.5</v>
      </c>
      <c r="H964" t="n">
        <v>0</v>
      </c>
      <c r="I964" t="n">
        <v>0</v>
      </c>
      <c r="J964" t="n">
        <v>0</v>
      </c>
      <c r="K964" t="n">
        <v>0</v>
      </c>
      <c r="L964" t="n">
        <v>0</v>
      </c>
      <c r="M964" t="n">
        <v>0</v>
      </c>
      <c r="N964" t="n">
        <v>0</v>
      </c>
      <c r="O964" t="n">
        <v>0</v>
      </c>
      <c r="P964" t="n">
        <v>0</v>
      </c>
      <c r="Q964" t="n">
        <v>0</v>
      </c>
      <c r="R964" s="2" t="inlineStr"/>
    </row>
    <row r="965" ht="15" customHeight="1">
      <c r="A965" t="inlineStr">
        <is>
          <t>A 53224-2025</t>
        </is>
      </c>
      <c r="B965" s="1" t="n">
        <v>45958.60826388889</v>
      </c>
      <c r="C965" s="1" t="n">
        <v>45968</v>
      </c>
      <c r="D965" t="inlineStr">
        <is>
          <t>UPPSALA LÄN</t>
        </is>
      </c>
      <c r="E965" t="inlineStr">
        <is>
          <t>UPPSALA</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53235-2025</t>
        </is>
      </c>
      <c r="B966" s="1" t="n">
        <v>45958.62983796297</v>
      </c>
      <c r="C966" s="1" t="n">
        <v>45968</v>
      </c>
      <c r="D966" t="inlineStr">
        <is>
          <t>UPPSALA LÄN</t>
        </is>
      </c>
      <c r="E966" t="inlineStr">
        <is>
          <t>UPPSALA</t>
        </is>
      </c>
      <c r="F966" t="inlineStr">
        <is>
          <t>Bergvik skog väst AB</t>
        </is>
      </c>
      <c r="G966" t="n">
        <v>0.8</v>
      </c>
      <c r="H966" t="n">
        <v>0</v>
      </c>
      <c r="I966" t="n">
        <v>0</v>
      </c>
      <c r="J966" t="n">
        <v>0</v>
      </c>
      <c r="K966" t="n">
        <v>0</v>
      </c>
      <c r="L966" t="n">
        <v>0</v>
      </c>
      <c r="M966" t="n">
        <v>0</v>
      </c>
      <c r="N966" t="n">
        <v>0</v>
      </c>
      <c r="O966" t="n">
        <v>0</v>
      </c>
      <c r="P966" t="n">
        <v>0</v>
      </c>
      <c r="Q966" t="n">
        <v>0</v>
      </c>
      <c r="R966" s="2" t="inlineStr"/>
    </row>
    <row r="967" ht="15" customHeight="1">
      <c r="A967" t="inlineStr">
        <is>
          <t>A 53384-2024</t>
        </is>
      </c>
      <c r="B967" s="1" t="n">
        <v>45614</v>
      </c>
      <c r="C967" s="1" t="n">
        <v>45968</v>
      </c>
      <c r="D967" t="inlineStr">
        <is>
          <t>UPPSALA LÄN</t>
        </is>
      </c>
      <c r="E967" t="inlineStr">
        <is>
          <t>UPPSALA</t>
        </is>
      </c>
      <c r="G967" t="n">
        <v>3.7</v>
      </c>
      <c r="H967" t="n">
        <v>0</v>
      </c>
      <c r="I967" t="n">
        <v>0</v>
      </c>
      <c r="J967" t="n">
        <v>0</v>
      </c>
      <c r="K967" t="n">
        <v>0</v>
      </c>
      <c r="L967" t="n">
        <v>0</v>
      </c>
      <c r="M967" t="n">
        <v>0</v>
      </c>
      <c r="N967" t="n">
        <v>0</v>
      </c>
      <c r="O967" t="n">
        <v>0</v>
      </c>
      <c r="P967" t="n">
        <v>0</v>
      </c>
      <c r="Q967" t="n">
        <v>0</v>
      </c>
      <c r="R967" s="2" t="inlineStr"/>
    </row>
    <row r="968" ht="15" customHeight="1">
      <c r="A968" t="inlineStr">
        <is>
          <t>A 53886-2025</t>
        </is>
      </c>
      <c r="B968" s="1" t="n">
        <v>45961.40716435185</v>
      </c>
      <c r="C968" s="1" t="n">
        <v>45968</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53870-2025</t>
        </is>
      </c>
      <c r="B969" s="1" t="n">
        <v>45961.38690972222</v>
      </c>
      <c r="C969" s="1" t="n">
        <v>45968</v>
      </c>
      <c r="D969" t="inlineStr">
        <is>
          <t>UPPSALA LÄN</t>
        </is>
      </c>
      <c r="E969" t="inlineStr">
        <is>
          <t>UPPSALA</t>
        </is>
      </c>
      <c r="G969" t="n">
        <v>2.3</v>
      </c>
      <c r="H969" t="n">
        <v>0</v>
      </c>
      <c r="I969" t="n">
        <v>0</v>
      </c>
      <c r="J969" t="n">
        <v>0</v>
      </c>
      <c r="K969" t="n">
        <v>0</v>
      </c>
      <c r="L969" t="n">
        <v>0</v>
      </c>
      <c r="M969" t="n">
        <v>0</v>
      </c>
      <c r="N969" t="n">
        <v>0</v>
      </c>
      <c r="O969" t="n">
        <v>0</v>
      </c>
      <c r="P969" t="n">
        <v>0</v>
      </c>
      <c r="Q969" t="n">
        <v>0</v>
      </c>
      <c r="R969" s="2" t="inlineStr"/>
    </row>
    <row r="970" ht="15" customHeight="1">
      <c r="A970" t="inlineStr">
        <is>
          <t>A 53891-2025</t>
        </is>
      </c>
      <c r="B970" s="1" t="n">
        <v>45961.41853009259</v>
      </c>
      <c r="C970" s="1" t="n">
        <v>45968</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44813-2025</t>
        </is>
      </c>
      <c r="B971" s="1" t="n">
        <v>45918.37322916667</v>
      </c>
      <c r="C971" s="1" t="n">
        <v>45968</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53582-2025</t>
        </is>
      </c>
      <c r="B972" s="1" t="n">
        <v>45960.43065972222</v>
      </c>
      <c r="C972" s="1" t="n">
        <v>45968</v>
      </c>
      <c r="D972" t="inlineStr">
        <is>
          <t>UPPSALA LÄN</t>
        </is>
      </c>
      <c r="E972" t="inlineStr">
        <is>
          <t>UPPSALA</t>
        </is>
      </c>
      <c r="G972" t="n">
        <v>12.2</v>
      </c>
      <c r="H972" t="n">
        <v>0</v>
      </c>
      <c r="I972" t="n">
        <v>0</v>
      </c>
      <c r="J972" t="n">
        <v>0</v>
      </c>
      <c r="K972" t="n">
        <v>0</v>
      </c>
      <c r="L972" t="n">
        <v>0</v>
      </c>
      <c r="M972" t="n">
        <v>0</v>
      </c>
      <c r="N972" t="n">
        <v>0</v>
      </c>
      <c r="O972" t="n">
        <v>0</v>
      </c>
      <c r="P972" t="n">
        <v>0</v>
      </c>
      <c r="Q972" t="n">
        <v>0</v>
      </c>
      <c r="R972" s="2" t="inlineStr"/>
    </row>
    <row r="973" ht="15" customHeight="1">
      <c r="A973" t="inlineStr">
        <is>
          <t>A 51505-2025</t>
        </is>
      </c>
      <c r="B973" s="1" t="n">
        <v>45950</v>
      </c>
      <c r="C973" s="1" t="n">
        <v>45968</v>
      </c>
      <c r="D973" t="inlineStr">
        <is>
          <t>UPPSALA LÄN</t>
        </is>
      </c>
      <c r="E973" t="inlineStr">
        <is>
          <t>UPPSALA</t>
        </is>
      </c>
      <c r="G973" t="n">
        <v>6.7</v>
      </c>
      <c r="H973" t="n">
        <v>0</v>
      </c>
      <c r="I973" t="n">
        <v>0</v>
      </c>
      <c r="J973" t="n">
        <v>0</v>
      </c>
      <c r="K973" t="n">
        <v>0</v>
      </c>
      <c r="L973" t="n">
        <v>0</v>
      </c>
      <c r="M973" t="n">
        <v>0</v>
      </c>
      <c r="N973" t="n">
        <v>0</v>
      </c>
      <c r="O973" t="n">
        <v>0</v>
      </c>
      <c r="P973" t="n">
        <v>0</v>
      </c>
      <c r="Q973" t="n">
        <v>0</v>
      </c>
      <c r="R973" s="2" t="inlineStr"/>
    </row>
    <row r="974" ht="15" customHeight="1">
      <c r="A974" t="inlineStr">
        <is>
          <t>A 53851-2025</t>
        </is>
      </c>
      <c r="B974" s="1" t="n">
        <v>45961.37217592593</v>
      </c>
      <c r="C974" s="1" t="n">
        <v>45968</v>
      </c>
      <c r="D974" t="inlineStr">
        <is>
          <t>UPPSALA LÄN</t>
        </is>
      </c>
      <c r="E974" t="inlineStr">
        <is>
          <t>UPPSALA</t>
        </is>
      </c>
      <c r="G974" t="n">
        <v>2.6</v>
      </c>
      <c r="H974" t="n">
        <v>0</v>
      </c>
      <c r="I974" t="n">
        <v>0</v>
      </c>
      <c r="J974" t="n">
        <v>0</v>
      </c>
      <c r="K974" t="n">
        <v>0</v>
      </c>
      <c r="L974" t="n">
        <v>0</v>
      </c>
      <c r="M974" t="n">
        <v>0</v>
      </c>
      <c r="N974" t="n">
        <v>0</v>
      </c>
      <c r="O974" t="n">
        <v>0</v>
      </c>
      <c r="P974" t="n">
        <v>0</v>
      </c>
      <c r="Q974" t="n">
        <v>0</v>
      </c>
      <c r="R974" s="2" t="inlineStr"/>
    </row>
    <row r="975" ht="15" customHeight="1">
      <c r="A975" t="inlineStr">
        <is>
          <t>A 53589-2025</t>
        </is>
      </c>
      <c r="B975" s="1" t="n">
        <v>45960.43780092592</v>
      </c>
      <c r="C975" s="1" t="n">
        <v>45968</v>
      </c>
      <c r="D975" t="inlineStr">
        <is>
          <t>UPPSALA LÄN</t>
        </is>
      </c>
      <c r="E975" t="inlineStr">
        <is>
          <t>UPPSALA</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54601-2025</t>
        </is>
      </c>
      <c r="B976" s="1" t="n">
        <v>45965.82398148148</v>
      </c>
      <c r="C976" s="1" t="n">
        <v>45968</v>
      </c>
      <c r="D976" t="inlineStr">
        <is>
          <t>UPPSALA LÄN</t>
        </is>
      </c>
      <c r="E976" t="inlineStr">
        <is>
          <t>UPPSALA</t>
        </is>
      </c>
      <c r="F976" t="inlineStr">
        <is>
          <t>Bergvik skog öst AB</t>
        </is>
      </c>
      <c r="G976" t="n">
        <v>0.5</v>
      </c>
      <c r="H976" t="n">
        <v>0</v>
      </c>
      <c r="I976" t="n">
        <v>0</v>
      </c>
      <c r="J976" t="n">
        <v>0</v>
      </c>
      <c r="K976" t="n">
        <v>0</v>
      </c>
      <c r="L976" t="n">
        <v>0</v>
      </c>
      <c r="M976" t="n">
        <v>0</v>
      </c>
      <c r="N976" t="n">
        <v>0</v>
      </c>
      <c r="O976" t="n">
        <v>0</v>
      </c>
      <c r="P976" t="n">
        <v>0</v>
      </c>
      <c r="Q976" t="n">
        <v>0</v>
      </c>
      <c r="R976" s="2" t="inlineStr"/>
    </row>
    <row r="977" ht="15" customHeight="1">
      <c r="A977" t="inlineStr">
        <is>
          <t>A 54393-2025</t>
        </is>
      </c>
      <c r="B977" s="1" t="n">
        <v>45965.44563657408</v>
      </c>
      <c r="C977" s="1" t="n">
        <v>45968</v>
      </c>
      <c r="D977" t="inlineStr">
        <is>
          <t>UPPSALA LÄN</t>
        </is>
      </c>
      <c r="E977" t="inlineStr">
        <is>
          <t>UPPSALA</t>
        </is>
      </c>
      <c r="F977" t="inlineStr">
        <is>
          <t>Kyrkan</t>
        </is>
      </c>
      <c r="G977" t="n">
        <v>1</v>
      </c>
      <c r="H977" t="n">
        <v>0</v>
      </c>
      <c r="I977" t="n">
        <v>0</v>
      </c>
      <c r="J977" t="n">
        <v>0</v>
      </c>
      <c r="K977" t="n">
        <v>0</v>
      </c>
      <c r="L977" t="n">
        <v>0</v>
      </c>
      <c r="M977" t="n">
        <v>0</v>
      </c>
      <c r="N977" t="n">
        <v>0</v>
      </c>
      <c r="O977" t="n">
        <v>0</v>
      </c>
      <c r="P977" t="n">
        <v>0</v>
      </c>
      <c r="Q977" t="n">
        <v>0</v>
      </c>
      <c r="R977" s="2" t="inlineStr"/>
    </row>
    <row r="978" ht="15" customHeight="1">
      <c r="A978" t="inlineStr">
        <is>
          <t>A 45519-2025</t>
        </is>
      </c>
      <c r="B978" s="1" t="n">
        <v>45922</v>
      </c>
      <c r="C978" s="1" t="n">
        <v>45968</v>
      </c>
      <c r="D978" t="inlineStr">
        <is>
          <t>UPPSALA LÄN</t>
        </is>
      </c>
      <c r="E978" t="inlineStr">
        <is>
          <t>UPPSALA</t>
        </is>
      </c>
      <c r="G978" t="n">
        <v>0.3</v>
      </c>
      <c r="H978" t="n">
        <v>0</v>
      </c>
      <c r="I978" t="n">
        <v>0</v>
      </c>
      <c r="J978" t="n">
        <v>0</v>
      </c>
      <c r="K978" t="n">
        <v>0</v>
      </c>
      <c r="L978" t="n">
        <v>0</v>
      </c>
      <c r="M978" t="n">
        <v>0</v>
      </c>
      <c r="N978" t="n">
        <v>0</v>
      </c>
      <c r="O978" t="n">
        <v>0</v>
      </c>
      <c r="P978" t="n">
        <v>0</v>
      </c>
      <c r="Q978" t="n">
        <v>0</v>
      </c>
      <c r="R978" s="2" t="inlineStr"/>
    </row>
    <row r="979" ht="15" customHeight="1">
      <c r="A979" t="inlineStr">
        <is>
          <t>A 49938-2025</t>
        </is>
      </c>
      <c r="B979" s="1" t="n">
        <v>45940</v>
      </c>
      <c r="C979" s="1" t="n">
        <v>45968</v>
      </c>
      <c r="D979" t="inlineStr">
        <is>
          <t>UPPSALA LÄN</t>
        </is>
      </c>
      <c r="E979" t="inlineStr">
        <is>
          <t>UPPSALA</t>
        </is>
      </c>
      <c r="G979" t="n">
        <v>1.6</v>
      </c>
      <c r="H979" t="n">
        <v>0</v>
      </c>
      <c r="I979" t="n">
        <v>0</v>
      </c>
      <c r="J979" t="n">
        <v>0</v>
      </c>
      <c r="K979" t="n">
        <v>0</v>
      </c>
      <c r="L979" t="n">
        <v>0</v>
      </c>
      <c r="M979" t="n">
        <v>0</v>
      </c>
      <c r="N979" t="n">
        <v>0</v>
      </c>
      <c r="O979" t="n">
        <v>0</v>
      </c>
      <c r="P979" t="n">
        <v>0</v>
      </c>
      <c r="Q979" t="n">
        <v>0</v>
      </c>
      <c r="R979" s="2" t="inlineStr"/>
    </row>
    <row r="980" ht="15" customHeight="1">
      <c r="A980" t="inlineStr">
        <is>
          <t>A 45588-2025</t>
        </is>
      </c>
      <c r="B980" s="1" t="n">
        <v>45922</v>
      </c>
      <c r="C980" s="1" t="n">
        <v>45968</v>
      </c>
      <c r="D980" t="inlineStr">
        <is>
          <t>UPPSALA LÄN</t>
        </is>
      </c>
      <c r="E980" t="inlineStr">
        <is>
          <t>UPPSALA</t>
        </is>
      </c>
      <c r="G980" t="n">
        <v>2.9</v>
      </c>
      <c r="H980" t="n">
        <v>0</v>
      </c>
      <c r="I980" t="n">
        <v>0</v>
      </c>
      <c r="J980" t="n">
        <v>0</v>
      </c>
      <c r="K980" t="n">
        <v>0</v>
      </c>
      <c r="L980" t="n">
        <v>0</v>
      </c>
      <c r="M980" t="n">
        <v>0</v>
      </c>
      <c r="N980" t="n">
        <v>0</v>
      </c>
      <c r="O980" t="n">
        <v>0</v>
      </c>
      <c r="P980" t="n">
        <v>0</v>
      </c>
      <c r="Q980" t="n">
        <v>0</v>
      </c>
      <c r="R980" s="2" t="inlineStr"/>
    </row>
    <row r="981" ht="15" customHeight="1">
      <c r="A981" t="inlineStr">
        <is>
          <t>A 45904-2025</t>
        </is>
      </c>
      <c r="B981" s="1" t="n">
        <v>45923.70230324074</v>
      </c>
      <c r="C981" s="1" t="n">
        <v>45968</v>
      </c>
      <c r="D981" t="inlineStr">
        <is>
          <t>UPPSALA LÄN</t>
        </is>
      </c>
      <c r="E981" t="inlineStr">
        <is>
          <t>UPPSALA</t>
        </is>
      </c>
      <c r="F981" t="inlineStr">
        <is>
          <t>Kyrkan</t>
        </is>
      </c>
      <c r="G981" t="n">
        <v>1.4</v>
      </c>
      <c r="H981" t="n">
        <v>0</v>
      </c>
      <c r="I981" t="n">
        <v>0</v>
      </c>
      <c r="J981" t="n">
        <v>0</v>
      </c>
      <c r="K981" t="n">
        <v>0</v>
      </c>
      <c r="L981" t="n">
        <v>0</v>
      </c>
      <c r="M981" t="n">
        <v>0</v>
      </c>
      <c r="N981" t="n">
        <v>0</v>
      </c>
      <c r="O981" t="n">
        <v>0</v>
      </c>
      <c r="P981" t="n">
        <v>0</v>
      </c>
      <c r="Q981" t="n">
        <v>0</v>
      </c>
      <c r="R981" s="2" t="inlineStr"/>
    </row>
    <row r="982" ht="15" customHeight="1">
      <c r="A982" t="inlineStr">
        <is>
          <t>A 54507-2025</t>
        </is>
      </c>
      <c r="B982" s="1" t="n">
        <v>45965.61792824074</v>
      </c>
      <c r="C982" s="1" t="n">
        <v>45968</v>
      </c>
      <c r="D982" t="inlineStr">
        <is>
          <t>UPPSALA LÄN</t>
        </is>
      </c>
      <c r="E982" t="inlineStr">
        <is>
          <t>UPPSALA</t>
        </is>
      </c>
      <c r="G982" t="n">
        <v>7.7</v>
      </c>
      <c r="H982" t="n">
        <v>0</v>
      </c>
      <c r="I982" t="n">
        <v>0</v>
      </c>
      <c r="J982" t="n">
        <v>0</v>
      </c>
      <c r="K982" t="n">
        <v>0</v>
      </c>
      <c r="L982" t="n">
        <v>0</v>
      </c>
      <c r="M982" t="n">
        <v>0</v>
      </c>
      <c r="N982" t="n">
        <v>0</v>
      </c>
      <c r="O982" t="n">
        <v>0</v>
      </c>
      <c r="P982" t="n">
        <v>0</v>
      </c>
      <c r="Q982" t="n">
        <v>0</v>
      </c>
      <c r="R982" s="2" t="inlineStr"/>
    </row>
    <row r="983" ht="15" customHeight="1">
      <c r="A983" t="inlineStr">
        <is>
          <t>A 50591-2025</t>
        </is>
      </c>
      <c r="B983" s="1" t="n">
        <v>45944</v>
      </c>
      <c r="C983" s="1" t="n">
        <v>45968</v>
      </c>
      <c r="D983" t="inlineStr">
        <is>
          <t>UPPSALA LÄN</t>
        </is>
      </c>
      <c r="E983" t="inlineStr">
        <is>
          <t>UPPSALA</t>
        </is>
      </c>
      <c r="G983" t="n">
        <v>4.2</v>
      </c>
      <c r="H983" t="n">
        <v>0</v>
      </c>
      <c r="I983" t="n">
        <v>0</v>
      </c>
      <c r="J983" t="n">
        <v>0</v>
      </c>
      <c r="K983" t="n">
        <v>0</v>
      </c>
      <c r="L983" t="n">
        <v>0</v>
      </c>
      <c r="M983" t="n">
        <v>0</v>
      </c>
      <c r="N983" t="n">
        <v>0</v>
      </c>
      <c r="O983" t="n">
        <v>0</v>
      </c>
      <c r="P983" t="n">
        <v>0</v>
      </c>
      <c r="Q983" t="n">
        <v>0</v>
      </c>
      <c r="R983" s="2" t="inlineStr"/>
    </row>
    <row r="984" ht="15" customHeight="1">
      <c r="A984" t="inlineStr">
        <is>
          <t>A 45436-2025</t>
        </is>
      </c>
      <c r="B984" s="1" t="n">
        <v>45922.46763888889</v>
      </c>
      <c r="C984" s="1" t="n">
        <v>45968</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45405-2025</t>
        </is>
      </c>
      <c r="B985" s="1" t="n">
        <v>45922.42865740741</v>
      </c>
      <c r="C985" s="1" t="n">
        <v>45968</v>
      </c>
      <c r="D985" t="inlineStr">
        <is>
          <t>UPPSALA LÄN</t>
        </is>
      </c>
      <c r="E985" t="inlineStr">
        <is>
          <t>UPPSALA</t>
        </is>
      </c>
      <c r="G985" t="n">
        <v>1.6</v>
      </c>
      <c r="H985" t="n">
        <v>0</v>
      </c>
      <c r="I985" t="n">
        <v>0</v>
      </c>
      <c r="J985" t="n">
        <v>0</v>
      </c>
      <c r="K985" t="n">
        <v>0</v>
      </c>
      <c r="L985" t="n">
        <v>0</v>
      </c>
      <c r="M985" t="n">
        <v>0</v>
      </c>
      <c r="N985" t="n">
        <v>0</v>
      </c>
      <c r="O985" t="n">
        <v>0</v>
      </c>
      <c r="P985" t="n">
        <v>0</v>
      </c>
      <c r="Q985" t="n">
        <v>0</v>
      </c>
      <c r="R985" s="2" t="inlineStr"/>
    </row>
    <row r="986" ht="15" customHeight="1">
      <c r="A986" t="inlineStr">
        <is>
          <t>A 45903-2025</t>
        </is>
      </c>
      <c r="B986" s="1" t="n">
        <v>45923.70146990741</v>
      </c>
      <c r="C986" s="1" t="n">
        <v>45968</v>
      </c>
      <c r="D986" t="inlineStr">
        <is>
          <t>UPPSALA LÄN</t>
        </is>
      </c>
      <c r="E986" t="inlineStr">
        <is>
          <t>UPPSALA</t>
        </is>
      </c>
      <c r="F986" t="inlineStr">
        <is>
          <t>Kyrkan</t>
        </is>
      </c>
      <c r="G986" t="n">
        <v>1.4</v>
      </c>
      <c r="H986" t="n">
        <v>0</v>
      </c>
      <c r="I986" t="n">
        <v>0</v>
      </c>
      <c r="J986" t="n">
        <v>0</v>
      </c>
      <c r="K986" t="n">
        <v>0</v>
      </c>
      <c r="L986" t="n">
        <v>0</v>
      </c>
      <c r="M986" t="n">
        <v>0</v>
      </c>
      <c r="N986" t="n">
        <v>0</v>
      </c>
      <c r="O986" t="n">
        <v>0</v>
      </c>
      <c r="P986" t="n">
        <v>0</v>
      </c>
      <c r="Q986" t="n">
        <v>0</v>
      </c>
      <c r="R986" s="2" t="inlineStr"/>
    </row>
    <row r="987" ht="15" customHeight="1">
      <c r="A987" t="inlineStr">
        <is>
          <t>A 54600-2025</t>
        </is>
      </c>
      <c r="B987" s="1" t="n">
        <v>45965.81543981482</v>
      </c>
      <c r="C987" s="1" t="n">
        <v>45968</v>
      </c>
      <c r="D987" t="inlineStr">
        <is>
          <t>UPPSALA LÄN</t>
        </is>
      </c>
      <c r="E987" t="inlineStr">
        <is>
          <t>UPPSALA</t>
        </is>
      </c>
      <c r="F987" t="inlineStr">
        <is>
          <t>Bergvik skog öst AB</t>
        </is>
      </c>
      <c r="G987" t="n">
        <v>4.7</v>
      </c>
      <c r="H987" t="n">
        <v>0</v>
      </c>
      <c r="I987" t="n">
        <v>0</v>
      </c>
      <c r="J987" t="n">
        <v>0</v>
      </c>
      <c r="K987" t="n">
        <v>0</v>
      </c>
      <c r="L987" t="n">
        <v>0</v>
      </c>
      <c r="M987" t="n">
        <v>0</v>
      </c>
      <c r="N987" t="n">
        <v>0</v>
      </c>
      <c r="O987" t="n">
        <v>0</v>
      </c>
      <c r="P987" t="n">
        <v>0</v>
      </c>
      <c r="Q987" t="n">
        <v>0</v>
      </c>
      <c r="R987" s="2" t="inlineStr"/>
    </row>
    <row r="988" ht="15" customHeight="1">
      <c r="A988" t="inlineStr">
        <is>
          <t>A 54284-2025</t>
        </is>
      </c>
      <c r="B988" s="1" t="n">
        <v>45964.76486111111</v>
      </c>
      <c r="C988" s="1" t="n">
        <v>45968</v>
      </c>
      <c r="D988" t="inlineStr">
        <is>
          <t>UPPSALA LÄN</t>
        </is>
      </c>
      <c r="E988" t="inlineStr">
        <is>
          <t>UPPSALA</t>
        </is>
      </c>
      <c r="G988" t="n">
        <v>3.9</v>
      </c>
      <c r="H988" t="n">
        <v>0</v>
      </c>
      <c r="I988" t="n">
        <v>0</v>
      </c>
      <c r="J988" t="n">
        <v>0</v>
      </c>
      <c r="K988" t="n">
        <v>0</v>
      </c>
      <c r="L988" t="n">
        <v>0</v>
      </c>
      <c r="M988" t="n">
        <v>0</v>
      </c>
      <c r="N988" t="n">
        <v>0</v>
      </c>
      <c r="O988" t="n">
        <v>0</v>
      </c>
      <c r="P988" t="n">
        <v>0</v>
      </c>
      <c r="Q988" t="n">
        <v>0</v>
      </c>
      <c r="R988" s="2" t="inlineStr"/>
    </row>
    <row r="989" ht="15" customHeight="1">
      <c r="A989" t="inlineStr">
        <is>
          <t>A 45447-2025</t>
        </is>
      </c>
      <c r="B989" s="1" t="n">
        <v>45922.48148148148</v>
      </c>
      <c r="C989" s="1" t="n">
        <v>45968</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c r="U989">
        <f>HYPERLINK("https://klasma.github.io/Logging_0380/knärot/A 45447-2025 karta knärot.png", "A 45447-2025")</f>
        <v/>
      </c>
      <c r="V989">
        <f>HYPERLINK("https://klasma.github.io/Logging_0380/klagomål/A 45447-2025 FSC-klagomål.docx", "A 45447-2025")</f>
        <v/>
      </c>
      <c r="W989">
        <f>HYPERLINK("https://klasma.github.io/Logging_0380/klagomålsmail/A 45447-2025 FSC-klagomål mail.docx", "A 45447-2025")</f>
        <v/>
      </c>
      <c r="X989">
        <f>HYPERLINK("https://klasma.github.io/Logging_0380/tillsyn/A 45447-2025 tillsynsbegäran.docx", "A 45447-2025")</f>
        <v/>
      </c>
      <c r="Y989">
        <f>HYPERLINK("https://klasma.github.io/Logging_0380/tillsynsmail/A 45447-2025 tillsynsbegäran mail.docx", "A 45447-2025")</f>
        <v/>
      </c>
    </row>
    <row r="990" ht="15" customHeight="1">
      <c r="A990" t="inlineStr">
        <is>
          <t>A 54723-2025</t>
        </is>
      </c>
      <c r="B990" s="1" t="n">
        <v>45966.53721064814</v>
      </c>
      <c r="C990" s="1" t="n">
        <v>45968</v>
      </c>
      <c r="D990" t="inlineStr">
        <is>
          <t>UPPSALA LÄN</t>
        </is>
      </c>
      <c r="E990" t="inlineStr">
        <is>
          <t>UPPSALA</t>
        </is>
      </c>
      <c r="F990" t="inlineStr">
        <is>
          <t>Bergvik skog öst AB</t>
        </is>
      </c>
      <c r="G990" t="n">
        <v>4.7</v>
      </c>
      <c r="H990" t="n">
        <v>0</v>
      </c>
      <c r="I990" t="n">
        <v>0</v>
      </c>
      <c r="J990" t="n">
        <v>0</v>
      </c>
      <c r="K990" t="n">
        <v>0</v>
      </c>
      <c r="L990" t="n">
        <v>0</v>
      </c>
      <c r="M990" t="n">
        <v>0</v>
      </c>
      <c r="N990" t="n">
        <v>0</v>
      </c>
      <c r="O990" t="n">
        <v>0</v>
      </c>
      <c r="P990" t="n">
        <v>0</v>
      </c>
      <c r="Q990" t="n">
        <v>0</v>
      </c>
      <c r="R990" s="2" t="inlineStr"/>
    </row>
    <row r="991">
      <c r="A991" t="inlineStr">
        <is>
          <t>A 54724-2025</t>
        </is>
      </c>
      <c r="B991" s="1" t="n">
        <v>45966.53849537037</v>
      </c>
      <c r="C991" s="1" t="n">
        <v>45968</v>
      </c>
      <c r="D991" t="inlineStr">
        <is>
          <t>UPPSALA LÄN</t>
        </is>
      </c>
      <c r="E991" t="inlineStr">
        <is>
          <t>UPPSALA</t>
        </is>
      </c>
      <c r="F991" t="inlineStr">
        <is>
          <t>Bergvik skog öst AB</t>
        </is>
      </c>
      <c r="G991" t="n">
        <v>3.9</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2025-11-07T10:13:28Z</dcterms:created>
  <dcterms:modified xmlns:dcterms="http://purl.org/dc/terms/" xmlns:xsi="http://www.w3.org/2001/XMLSchema-instance" xsi:type="dcterms:W3CDTF">2025-11-07T10:13:29Z</dcterms:modified>
</cp:coreProperties>
</file>