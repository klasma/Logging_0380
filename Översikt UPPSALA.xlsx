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45964</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45964</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45964</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45964</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45964</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45964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45964</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45964</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45964</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7380-2023</t>
        </is>
      </c>
      <c r="B14" s="1" t="n">
        <v>44971</v>
      </c>
      <c r="C14" s="1" t="n">
        <v>45964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45964</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45964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45964</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45964</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45964</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45964</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45964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48755-2025</t>
        </is>
      </c>
      <c r="B22" s="1" t="n">
        <v>45936.71939814815</v>
      </c>
      <c r="C22" s="1" t="n">
        <v>45964</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28450-2021</t>
        </is>
      </c>
      <c r="B23" s="1" t="n">
        <v>44356</v>
      </c>
      <c r="C23" s="1" t="n">
        <v>45964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45964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45964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45964</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61014-2021</t>
        </is>
      </c>
      <c r="B27" s="1" t="n">
        <v>44497</v>
      </c>
      <c r="C27" s="1" t="n">
        <v>45964</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21674-2024</t>
        </is>
      </c>
      <c r="B28" s="1" t="n">
        <v>45442</v>
      </c>
      <c r="C28" s="1" t="n">
        <v>45964</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45964</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34459-2022</t>
        </is>
      </c>
      <c r="B30" s="1" t="n">
        <v>44792</v>
      </c>
      <c r="C30" s="1" t="n">
        <v>45964</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45964</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45964</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45964</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3100-2024</t>
        </is>
      </c>
      <c r="B34" s="1" t="n">
        <v>45316</v>
      </c>
      <c r="C34" s="1" t="n">
        <v>45964</v>
      </c>
      <c r="D34" t="inlineStr">
        <is>
          <t>UPPSALA LÄN</t>
        </is>
      </c>
      <c r="E34" t="inlineStr">
        <is>
          <t>UPPSALA</t>
        </is>
      </c>
      <c r="F34" t="inlineStr">
        <is>
          <t>Holmen skog AB</t>
        </is>
      </c>
      <c r="G34" t="n">
        <v>3.5</v>
      </c>
      <c r="H34" t="n">
        <v>5</v>
      </c>
      <c r="I34" t="n">
        <v>1</v>
      </c>
      <c r="J34" t="n">
        <v>0</v>
      </c>
      <c r="K34" t="n">
        <v>0</v>
      </c>
      <c r="L34" t="n">
        <v>0</v>
      </c>
      <c r="M34" t="n">
        <v>0</v>
      </c>
      <c r="N34" t="n">
        <v>0</v>
      </c>
      <c r="O34" t="n">
        <v>0</v>
      </c>
      <c r="P34" t="n">
        <v>0</v>
      </c>
      <c r="Q34" t="n">
        <v>5</v>
      </c>
      <c r="R34" s="2" t="inlineStr">
        <is>
          <t>Nästrot
Grönsiska
Järnsparv
Kungsfågel
Blåsippa</t>
        </is>
      </c>
      <c r="S34">
        <f>HYPERLINK("https://klasma.github.io/Logging_0380/artfynd/A 3100-2024 artfynd.xlsx", "A 3100-2024")</f>
        <v/>
      </c>
      <c r="T34">
        <f>HYPERLINK("https://klasma.github.io/Logging_0380/kartor/A 3100-2024 karta.png", "A 3100-2024")</f>
        <v/>
      </c>
      <c r="V34">
        <f>HYPERLINK("https://klasma.github.io/Logging_0380/klagomål/A 3100-2024 FSC-klagomål.docx", "A 3100-2024")</f>
        <v/>
      </c>
      <c r="W34">
        <f>HYPERLINK("https://klasma.github.io/Logging_0380/klagomålsmail/A 3100-2024 FSC-klagomål mail.docx", "A 3100-2024")</f>
        <v/>
      </c>
      <c r="X34">
        <f>HYPERLINK("https://klasma.github.io/Logging_0380/tillsyn/A 3100-2024 tillsynsbegäran.docx", "A 3100-2024")</f>
        <v/>
      </c>
      <c r="Y34">
        <f>HYPERLINK("https://klasma.github.io/Logging_0380/tillsynsmail/A 3100-2024 tillsynsbegäran mail.docx", "A 3100-2024")</f>
        <v/>
      </c>
      <c r="Z34">
        <f>HYPERLINK("https://klasma.github.io/Logging_0380/fåglar/A 3100-2024 prioriterade fågelarter.docx", "A 3100-2024")</f>
        <v/>
      </c>
    </row>
    <row r="35" ht="15" customHeight="1">
      <c r="A35" t="inlineStr">
        <is>
          <t>A 13546-2025</t>
        </is>
      </c>
      <c r="B35" s="1" t="n">
        <v>45736.53695601852</v>
      </c>
      <c r="C35" s="1" t="n">
        <v>45964</v>
      </c>
      <c r="D35" t="inlineStr">
        <is>
          <t>UPPSALA LÄN</t>
        </is>
      </c>
      <c r="E35" t="inlineStr">
        <is>
          <t>UPPSALA</t>
        </is>
      </c>
      <c r="F35" t="inlineStr">
        <is>
          <t>Allmännings- och besparingsskogar</t>
        </is>
      </c>
      <c r="G35" t="n">
        <v>3.7</v>
      </c>
      <c r="H35" t="n">
        <v>1</v>
      </c>
      <c r="I35" t="n">
        <v>3</v>
      </c>
      <c r="J35" t="n">
        <v>1</v>
      </c>
      <c r="K35" t="n">
        <v>0</v>
      </c>
      <c r="L35" t="n">
        <v>0</v>
      </c>
      <c r="M35" t="n">
        <v>0</v>
      </c>
      <c r="N35" t="n">
        <v>0</v>
      </c>
      <c r="O35" t="n">
        <v>1</v>
      </c>
      <c r="P35" t="n">
        <v>0</v>
      </c>
      <c r="Q35" t="n">
        <v>5</v>
      </c>
      <c r="R35" s="2" t="inlineStr">
        <is>
          <t>Ullticka
Bronshjon
Thomsons trägnagare
Vanlig flatbagge
Blåsippa</t>
        </is>
      </c>
      <c r="S35">
        <f>HYPERLINK("https://klasma.github.io/Logging_0380/artfynd/A 13546-2025 artfynd.xlsx", "A 13546-2025")</f>
        <v/>
      </c>
      <c r="T35">
        <f>HYPERLINK("https://klasma.github.io/Logging_0380/kartor/A 13546-2025 karta.png", "A 13546-2025")</f>
        <v/>
      </c>
      <c r="V35">
        <f>HYPERLINK("https://klasma.github.io/Logging_0380/klagomål/A 13546-2025 FSC-klagomål.docx", "A 13546-2025")</f>
        <v/>
      </c>
      <c r="W35">
        <f>HYPERLINK("https://klasma.github.io/Logging_0380/klagomålsmail/A 13546-2025 FSC-klagomål mail.docx", "A 13546-2025")</f>
        <v/>
      </c>
      <c r="X35">
        <f>HYPERLINK("https://klasma.github.io/Logging_0380/tillsyn/A 13546-2025 tillsynsbegäran.docx", "A 13546-2025")</f>
        <v/>
      </c>
      <c r="Y35">
        <f>HYPERLINK("https://klasma.github.io/Logging_0380/tillsynsmail/A 13546-2025 tillsynsbegäran mail.docx", "A 13546-2025")</f>
        <v/>
      </c>
    </row>
    <row r="36" ht="15" customHeight="1">
      <c r="A36" t="inlineStr">
        <is>
          <t>A 27625-2023</t>
        </is>
      </c>
      <c r="B36" s="1" t="n">
        <v>45097</v>
      </c>
      <c r="C36" s="1" t="n">
        <v>45964</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27389-2021</t>
        </is>
      </c>
      <c r="B37" s="1" t="n">
        <v>44351</v>
      </c>
      <c r="C37" s="1" t="n">
        <v>45964</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61388-2021</t>
        </is>
      </c>
      <c r="B38" s="1" t="n">
        <v>44500</v>
      </c>
      <c r="C38" s="1" t="n">
        <v>45964</v>
      </c>
      <c r="D38" t="inlineStr">
        <is>
          <t>UPPSALA LÄN</t>
        </is>
      </c>
      <c r="E38" t="inlineStr">
        <is>
          <t>UPPSALA</t>
        </is>
      </c>
      <c r="G38" t="n">
        <v>4.8</v>
      </c>
      <c r="H38" t="n">
        <v>0</v>
      </c>
      <c r="I38" t="n">
        <v>4</v>
      </c>
      <c r="J38" t="n">
        <v>1</v>
      </c>
      <c r="K38" t="n">
        <v>0</v>
      </c>
      <c r="L38" t="n">
        <v>0</v>
      </c>
      <c r="M38" t="n">
        <v>0</v>
      </c>
      <c r="N38" t="n">
        <v>0</v>
      </c>
      <c r="O38" t="n">
        <v>1</v>
      </c>
      <c r="P38" t="n">
        <v>0</v>
      </c>
      <c r="Q38" t="n">
        <v>5</v>
      </c>
      <c r="R38" s="2" t="inlineStr">
        <is>
          <t>Skogshare
Björksplintborre
Bronshjon
Jättesvampmal
Thomsons trägnagare</t>
        </is>
      </c>
      <c r="S38">
        <f>HYPERLINK("https://klasma.github.io/Logging_0380/artfynd/A 61388-2021 artfynd.xlsx", "A 61388-2021")</f>
        <v/>
      </c>
      <c r="T38">
        <f>HYPERLINK("https://klasma.github.io/Logging_0380/kartor/A 61388-2021 karta.png", "A 61388-2021")</f>
        <v/>
      </c>
      <c r="U38">
        <f>HYPERLINK("https://klasma.github.io/Logging_0380/knärot/A 61388-2021 karta knärot.png", "A 61388-2021")</f>
        <v/>
      </c>
      <c r="V38">
        <f>HYPERLINK("https://klasma.github.io/Logging_0380/klagomål/A 61388-2021 FSC-klagomål.docx", "A 61388-2021")</f>
        <v/>
      </c>
      <c r="W38">
        <f>HYPERLINK("https://klasma.github.io/Logging_0380/klagomålsmail/A 61388-2021 FSC-klagomål mail.docx", "A 61388-2021")</f>
        <v/>
      </c>
      <c r="X38">
        <f>HYPERLINK("https://klasma.github.io/Logging_0380/tillsyn/A 61388-2021 tillsynsbegäran.docx", "A 61388-2021")</f>
        <v/>
      </c>
      <c r="Y38">
        <f>HYPERLINK("https://klasma.github.io/Logging_0380/tillsynsmail/A 61388-2021 tillsynsbegäran mail.docx", "A 61388-2021")</f>
        <v/>
      </c>
    </row>
    <row r="39" ht="15" customHeight="1">
      <c r="A39" t="inlineStr">
        <is>
          <t>A 21809-2024</t>
        </is>
      </c>
      <c r="B39" s="1" t="n">
        <v>45442</v>
      </c>
      <c r="C39" s="1" t="n">
        <v>45964</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45964</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1725-2022</t>
        </is>
      </c>
      <c r="B41" s="1" t="n">
        <v>44574</v>
      </c>
      <c r="C41" s="1" t="n">
        <v>45964</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44601-2025</t>
        </is>
      </c>
      <c r="B42" s="1" t="n">
        <v>45917.43857638889</v>
      </c>
      <c r="C42" s="1" t="n">
        <v>45964</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23153-2022</t>
        </is>
      </c>
      <c r="B43" s="1" t="n">
        <v>44719</v>
      </c>
      <c r="C43" s="1" t="n">
        <v>45964</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45964</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11217-2024</t>
        </is>
      </c>
      <c r="B45" s="1" t="n">
        <v>45371</v>
      </c>
      <c r="C45" s="1" t="n">
        <v>45964</v>
      </c>
      <c r="D45" t="inlineStr">
        <is>
          <t>UPPSALA LÄN</t>
        </is>
      </c>
      <c r="E45" t="inlineStr">
        <is>
          <t>UPPSALA</t>
        </is>
      </c>
      <c r="F45" t="inlineStr">
        <is>
          <t>Kommuner</t>
        </is>
      </c>
      <c r="G45" t="n">
        <v>1.5</v>
      </c>
      <c r="H45" t="n">
        <v>1</v>
      </c>
      <c r="I45" t="n">
        <v>4</v>
      </c>
      <c r="J45" t="n">
        <v>0</v>
      </c>
      <c r="K45" t="n">
        <v>0</v>
      </c>
      <c r="L45" t="n">
        <v>0</v>
      </c>
      <c r="M45" t="n">
        <v>0</v>
      </c>
      <c r="N45" t="n">
        <v>0</v>
      </c>
      <c r="O45" t="n">
        <v>0</v>
      </c>
      <c r="P45" t="n">
        <v>0</v>
      </c>
      <c r="Q45" t="n">
        <v>4</v>
      </c>
      <c r="R45" s="2" t="inlineStr">
        <is>
          <t>Fällmossa
Grön sköldmossa
Lönnlav
Stor aspticka</t>
        </is>
      </c>
      <c r="S45">
        <f>HYPERLINK("https://klasma.github.io/Logging_0380/artfynd/A 11217-2024 artfynd.xlsx", "A 11217-2024")</f>
        <v/>
      </c>
      <c r="T45">
        <f>HYPERLINK("https://klasma.github.io/Logging_0380/kartor/A 11217-2024 karta.png", "A 11217-2024")</f>
        <v/>
      </c>
      <c r="V45">
        <f>HYPERLINK("https://klasma.github.io/Logging_0380/klagomål/A 11217-2024 FSC-klagomål.docx", "A 11217-2024")</f>
        <v/>
      </c>
      <c r="W45">
        <f>HYPERLINK("https://klasma.github.io/Logging_0380/klagomålsmail/A 11217-2024 FSC-klagomål mail.docx", "A 11217-2024")</f>
        <v/>
      </c>
      <c r="X45">
        <f>HYPERLINK("https://klasma.github.io/Logging_0380/tillsyn/A 11217-2024 tillsynsbegäran.docx", "A 11217-2024")</f>
        <v/>
      </c>
      <c r="Y45">
        <f>HYPERLINK("https://klasma.github.io/Logging_0380/tillsynsmail/A 11217-2024 tillsynsbegäran mail.docx", "A 11217-2024")</f>
        <v/>
      </c>
    </row>
    <row r="46" ht="15" customHeight="1">
      <c r="A46" t="inlineStr">
        <is>
          <t>A 15297-2022</t>
        </is>
      </c>
      <c r="B46" s="1" t="n">
        <v>44659</v>
      </c>
      <c r="C46" s="1" t="n">
        <v>45964</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45964</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8323-2023</t>
        </is>
      </c>
      <c r="B48" s="1" t="n">
        <v>44974</v>
      </c>
      <c r="C48" s="1" t="n">
        <v>45964</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45964</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45964</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45964</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34147-2022</t>
        </is>
      </c>
      <c r="B52" s="1" t="n">
        <v>44791</v>
      </c>
      <c r="C52" s="1" t="n">
        <v>45964</v>
      </c>
      <c r="D52" t="inlineStr">
        <is>
          <t>UPPSALA LÄN</t>
        </is>
      </c>
      <c r="E52" t="inlineStr">
        <is>
          <t>UPPSALA</t>
        </is>
      </c>
      <c r="G52" t="n">
        <v>1.9</v>
      </c>
      <c r="H52" t="n">
        <v>0</v>
      </c>
      <c r="I52" t="n">
        <v>2</v>
      </c>
      <c r="J52" t="n">
        <v>1</v>
      </c>
      <c r="K52" t="n">
        <v>0</v>
      </c>
      <c r="L52" t="n">
        <v>0</v>
      </c>
      <c r="M52" t="n">
        <v>0</v>
      </c>
      <c r="N52" t="n">
        <v>0</v>
      </c>
      <c r="O52" t="n">
        <v>1</v>
      </c>
      <c r="P52" t="n">
        <v>0</v>
      </c>
      <c r="Q52" t="n">
        <v>3</v>
      </c>
      <c r="R52" s="2" t="inlineStr">
        <is>
          <t>Granticka
Kamjordstjärna
Stor aspticka</t>
        </is>
      </c>
      <c r="S52">
        <f>HYPERLINK("https://klasma.github.io/Logging_0380/artfynd/A 34147-2022 artfynd.xlsx", "A 34147-2022")</f>
        <v/>
      </c>
      <c r="T52">
        <f>HYPERLINK("https://klasma.github.io/Logging_0380/kartor/A 34147-2022 karta.png", "A 34147-2022")</f>
        <v/>
      </c>
      <c r="V52">
        <f>HYPERLINK("https://klasma.github.io/Logging_0380/klagomål/A 34147-2022 FSC-klagomål.docx", "A 34147-2022")</f>
        <v/>
      </c>
      <c r="W52">
        <f>HYPERLINK("https://klasma.github.io/Logging_0380/klagomålsmail/A 34147-2022 FSC-klagomål mail.docx", "A 34147-2022")</f>
        <v/>
      </c>
      <c r="X52">
        <f>HYPERLINK("https://klasma.github.io/Logging_0380/tillsyn/A 34147-2022 tillsynsbegäran.docx", "A 34147-2022")</f>
        <v/>
      </c>
      <c r="Y52">
        <f>HYPERLINK("https://klasma.github.io/Logging_0380/tillsynsmail/A 34147-2022 tillsynsbegäran mail.docx", "A 34147-2022")</f>
        <v/>
      </c>
    </row>
    <row r="53" ht="15" customHeight="1">
      <c r="A53" t="inlineStr">
        <is>
          <t>A 17277-2023</t>
        </is>
      </c>
      <c r="B53" s="1" t="n">
        <v>45035.44672453704</v>
      </c>
      <c r="C53" s="1" t="n">
        <v>45964</v>
      </c>
      <c r="D53" t="inlineStr">
        <is>
          <t>UPPSALA LÄN</t>
        </is>
      </c>
      <c r="E53" t="inlineStr">
        <is>
          <t>UPPSALA</t>
        </is>
      </c>
      <c r="F53" t="inlineStr">
        <is>
          <t>Övriga Aktiebolag</t>
        </is>
      </c>
      <c r="G53" t="n">
        <v>6.1</v>
      </c>
      <c r="H53" t="n">
        <v>3</v>
      </c>
      <c r="I53" t="n">
        <v>0</v>
      </c>
      <c r="J53" t="n">
        <v>2</v>
      </c>
      <c r="K53" t="n">
        <v>0</v>
      </c>
      <c r="L53" t="n">
        <v>0</v>
      </c>
      <c r="M53" t="n">
        <v>0</v>
      </c>
      <c r="N53" t="n">
        <v>0</v>
      </c>
      <c r="O53" t="n">
        <v>2</v>
      </c>
      <c r="P53" t="n">
        <v>0</v>
      </c>
      <c r="Q53" t="n">
        <v>3</v>
      </c>
      <c r="R53" s="2" t="inlineStr">
        <is>
          <t>Duvhök
Slaguggla
Trana</t>
        </is>
      </c>
      <c r="S53">
        <f>HYPERLINK("https://klasma.github.io/Logging_0380/artfynd/A 17277-2023 artfynd.xlsx", "A 17277-2023")</f>
        <v/>
      </c>
      <c r="T53">
        <f>HYPERLINK("https://klasma.github.io/Logging_0380/kartor/A 17277-2023 karta.png", "A 17277-2023")</f>
        <v/>
      </c>
      <c r="V53">
        <f>HYPERLINK("https://klasma.github.io/Logging_0380/klagomål/A 17277-2023 FSC-klagomål.docx", "A 17277-2023")</f>
        <v/>
      </c>
      <c r="W53">
        <f>HYPERLINK("https://klasma.github.io/Logging_0380/klagomålsmail/A 17277-2023 FSC-klagomål mail.docx", "A 17277-2023")</f>
        <v/>
      </c>
      <c r="X53">
        <f>HYPERLINK("https://klasma.github.io/Logging_0380/tillsyn/A 17277-2023 tillsynsbegäran.docx", "A 17277-2023")</f>
        <v/>
      </c>
      <c r="Y53">
        <f>HYPERLINK("https://klasma.github.io/Logging_0380/tillsynsmail/A 17277-2023 tillsynsbegäran mail.docx", "A 17277-2023")</f>
        <v/>
      </c>
      <c r="Z53">
        <f>HYPERLINK("https://klasma.github.io/Logging_0380/fåglar/A 17277-2023 prioriterade fågelarter.docx", "A 17277-2023")</f>
        <v/>
      </c>
    </row>
    <row r="54" ht="15" customHeight="1">
      <c r="A54" t="inlineStr">
        <is>
          <t>A 25943-2023</t>
        </is>
      </c>
      <c r="B54" s="1" t="n">
        <v>45090</v>
      </c>
      <c r="C54" s="1" t="n">
        <v>45964</v>
      </c>
      <c r="D54" t="inlineStr">
        <is>
          <t>UPPSALA LÄN</t>
        </is>
      </c>
      <c r="E54" t="inlineStr">
        <is>
          <t>UPPSALA</t>
        </is>
      </c>
      <c r="F54" t="inlineStr">
        <is>
          <t>Holmen skog AB</t>
        </is>
      </c>
      <c r="G54" t="n">
        <v>2.7</v>
      </c>
      <c r="H54" t="n">
        <v>1</v>
      </c>
      <c r="I54" t="n">
        <v>1</v>
      </c>
      <c r="J54" t="n">
        <v>2</v>
      </c>
      <c r="K54" t="n">
        <v>0</v>
      </c>
      <c r="L54" t="n">
        <v>0</v>
      </c>
      <c r="M54" t="n">
        <v>0</v>
      </c>
      <c r="N54" t="n">
        <v>0</v>
      </c>
      <c r="O54" t="n">
        <v>2</v>
      </c>
      <c r="P54" t="n">
        <v>0</v>
      </c>
      <c r="Q54" t="n">
        <v>3</v>
      </c>
      <c r="R54" s="2" t="inlineStr">
        <is>
          <t>Mindre hackspett
Vedtrappmossa
Vedticka</t>
        </is>
      </c>
      <c r="S54">
        <f>HYPERLINK("https://klasma.github.io/Logging_0380/artfynd/A 25943-2023 artfynd.xlsx", "A 25943-2023")</f>
        <v/>
      </c>
      <c r="T54">
        <f>HYPERLINK("https://klasma.github.io/Logging_0380/kartor/A 25943-2023 karta.png", "A 25943-2023")</f>
        <v/>
      </c>
      <c r="V54">
        <f>HYPERLINK("https://klasma.github.io/Logging_0380/klagomål/A 25943-2023 FSC-klagomål.docx", "A 25943-2023")</f>
        <v/>
      </c>
      <c r="W54">
        <f>HYPERLINK("https://klasma.github.io/Logging_0380/klagomålsmail/A 25943-2023 FSC-klagomål mail.docx", "A 25943-2023")</f>
        <v/>
      </c>
      <c r="X54">
        <f>HYPERLINK("https://klasma.github.io/Logging_0380/tillsyn/A 25943-2023 tillsynsbegäran.docx", "A 25943-2023")</f>
        <v/>
      </c>
      <c r="Y54">
        <f>HYPERLINK("https://klasma.github.io/Logging_0380/tillsynsmail/A 25943-2023 tillsynsbegäran mail.docx", "A 25943-2023")</f>
        <v/>
      </c>
      <c r="Z54">
        <f>HYPERLINK("https://klasma.github.io/Logging_0380/fåglar/A 25943-2023 prioriterade fågelarter.docx", "A 25943-2023")</f>
        <v/>
      </c>
    </row>
    <row r="55" ht="15" customHeight="1">
      <c r="A55" t="inlineStr">
        <is>
          <t>A 25608-2025</t>
        </is>
      </c>
      <c r="B55" s="1" t="n">
        <v>45803.55535879629</v>
      </c>
      <c r="C55" s="1" t="n">
        <v>45964</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45964</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36471-2022</t>
        </is>
      </c>
      <c r="B57" s="1" t="n">
        <v>44804</v>
      </c>
      <c r="C57" s="1" t="n">
        <v>45964</v>
      </c>
      <c r="D57" t="inlineStr">
        <is>
          <t>UPPSALA LÄN</t>
        </is>
      </c>
      <c r="E57" t="inlineStr">
        <is>
          <t>UPPSALA</t>
        </is>
      </c>
      <c r="G57" t="n">
        <v>4.2</v>
      </c>
      <c r="H57" t="n">
        <v>0</v>
      </c>
      <c r="I57" t="n">
        <v>3</v>
      </c>
      <c r="J57" t="n">
        <v>0</v>
      </c>
      <c r="K57" t="n">
        <v>0</v>
      </c>
      <c r="L57" t="n">
        <v>0</v>
      </c>
      <c r="M57" t="n">
        <v>0</v>
      </c>
      <c r="N57" t="n">
        <v>0</v>
      </c>
      <c r="O57" t="n">
        <v>0</v>
      </c>
      <c r="P57" t="n">
        <v>0</v>
      </c>
      <c r="Q57" t="n">
        <v>3</v>
      </c>
      <c r="R57" s="2" t="inlineStr">
        <is>
          <t>Bronshjon
Spindelbock
Stor aspticka</t>
        </is>
      </c>
      <c r="S57">
        <f>HYPERLINK("https://klasma.github.io/Logging_0380/artfynd/A 36471-2022 artfynd.xlsx", "A 36471-2022")</f>
        <v/>
      </c>
      <c r="T57">
        <f>HYPERLINK("https://klasma.github.io/Logging_0380/kartor/A 36471-2022 karta.png", "A 36471-2022")</f>
        <v/>
      </c>
      <c r="V57">
        <f>HYPERLINK("https://klasma.github.io/Logging_0380/klagomål/A 36471-2022 FSC-klagomål.docx", "A 36471-2022")</f>
        <v/>
      </c>
      <c r="W57">
        <f>HYPERLINK("https://klasma.github.io/Logging_0380/klagomålsmail/A 36471-2022 FSC-klagomål mail.docx", "A 36471-2022")</f>
        <v/>
      </c>
      <c r="X57">
        <f>HYPERLINK("https://klasma.github.io/Logging_0380/tillsyn/A 36471-2022 tillsynsbegäran.docx", "A 36471-2022")</f>
        <v/>
      </c>
      <c r="Y57">
        <f>HYPERLINK("https://klasma.github.io/Logging_0380/tillsynsmail/A 36471-2022 tillsynsbegäran mail.docx", "A 36471-2022")</f>
        <v/>
      </c>
    </row>
    <row r="58" ht="15" customHeight="1">
      <c r="A58" t="inlineStr">
        <is>
          <t>A 30716-2025</t>
        </is>
      </c>
      <c r="B58" s="1" t="n">
        <v>45831.55982638889</v>
      </c>
      <c r="C58" s="1" t="n">
        <v>45964</v>
      </c>
      <c r="D58" t="inlineStr">
        <is>
          <t>UPPSALA LÄN</t>
        </is>
      </c>
      <c r="E58" t="inlineStr">
        <is>
          <t>UPPSALA</t>
        </is>
      </c>
      <c r="G58" t="n">
        <v>2.3</v>
      </c>
      <c r="H58" t="n">
        <v>2</v>
      </c>
      <c r="I58" t="n">
        <v>1</v>
      </c>
      <c r="J58" t="n">
        <v>1</v>
      </c>
      <c r="K58" t="n">
        <v>1</v>
      </c>
      <c r="L58" t="n">
        <v>0</v>
      </c>
      <c r="M58" t="n">
        <v>0</v>
      </c>
      <c r="N58" t="n">
        <v>0</v>
      </c>
      <c r="O58" t="n">
        <v>2</v>
      </c>
      <c r="P58" t="n">
        <v>1</v>
      </c>
      <c r="Q58" t="n">
        <v>3</v>
      </c>
      <c r="R58" s="2" t="inlineStr">
        <is>
          <t>Knärot
Talltita
Skinnlav</t>
        </is>
      </c>
      <c r="S58">
        <f>HYPERLINK("https://klasma.github.io/Logging_0380/artfynd/A 30716-2025 artfynd.xlsx", "A 30716-2025")</f>
        <v/>
      </c>
      <c r="T58">
        <f>HYPERLINK("https://klasma.github.io/Logging_0380/kartor/A 30716-2025 karta.png", "A 30716-2025")</f>
        <v/>
      </c>
      <c r="U58">
        <f>HYPERLINK("https://klasma.github.io/Logging_0380/knärot/A 30716-2025 karta knärot.png", "A 30716-2025")</f>
        <v/>
      </c>
      <c r="V58">
        <f>HYPERLINK("https://klasma.github.io/Logging_0380/klagomål/A 30716-2025 FSC-klagomål.docx", "A 30716-2025")</f>
        <v/>
      </c>
      <c r="W58">
        <f>HYPERLINK("https://klasma.github.io/Logging_0380/klagomålsmail/A 30716-2025 FSC-klagomål mail.docx", "A 30716-2025")</f>
        <v/>
      </c>
      <c r="X58">
        <f>HYPERLINK("https://klasma.github.io/Logging_0380/tillsyn/A 30716-2025 tillsynsbegäran.docx", "A 30716-2025")</f>
        <v/>
      </c>
      <c r="Y58">
        <f>HYPERLINK("https://klasma.github.io/Logging_0380/tillsynsmail/A 30716-2025 tillsynsbegäran mail.docx", "A 30716-2025")</f>
        <v/>
      </c>
      <c r="Z58">
        <f>HYPERLINK("https://klasma.github.io/Logging_0380/fåglar/A 30716-2025 prioriterade fågelarter.docx", "A 30716-2025")</f>
        <v/>
      </c>
    </row>
    <row r="59" ht="15" customHeight="1">
      <c r="A59" t="inlineStr">
        <is>
          <t>A 18079-2022</t>
        </is>
      </c>
      <c r="B59" s="1" t="n">
        <v>44684</v>
      </c>
      <c r="C59" s="1" t="n">
        <v>45964</v>
      </c>
      <c r="D59" t="inlineStr">
        <is>
          <t>UPPSALA LÄN</t>
        </is>
      </c>
      <c r="E59" t="inlineStr">
        <is>
          <t>UPPSALA</t>
        </is>
      </c>
      <c r="G59" t="n">
        <v>2</v>
      </c>
      <c r="H59" t="n">
        <v>0</v>
      </c>
      <c r="I59" t="n">
        <v>2</v>
      </c>
      <c r="J59" t="n">
        <v>0</v>
      </c>
      <c r="K59" t="n">
        <v>1</v>
      </c>
      <c r="L59" t="n">
        <v>0</v>
      </c>
      <c r="M59" t="n">
        <v>0</v>
      </c>
      <c r="N59" t="n">
        <v>0</v>
      </c>
      <c r="O59" t="n">
        <v>1</v>
      </c>
      <c r="P59" t="n">
        <v>1</v>
      </c>
      <c r="Q59" t="n">
        <v>3</v>
      </c>
      <c r="R59" s="2" t="inlineStr">
        <is>
          <t>Aspfjädermossa
Dvärgtufs
Skinnlav</t>
        </is>
      </c>
      <c r="S59">
        <f>HYPERLINK("https://klasma.github.io/Logging_0380/artfynd/A 18079-2022 artfynd.xlsx", "A 18079-2022")</f>
        <v/>
      </c>
      <c r="T59">
        <f>HYPERLINK("https://klasma.github.io/Logging_0380/kartor/A 18079-2022 karta.png", "A 18079-2022")</f>
        <v/>
      </c>
      <c r="V59">
        <f>HYPERLINK("https://klasma.github.io/Logging_0380/klagomål/A 18079-2022 FSC-klagomål.docx", "A 18079-2022")</f>
        <v/>
      </c>
      <c r="W59">
        <f>HYPERLINK("https://klasma.github.io/Logging_0380/klagomålsmail/A 18079-2022 FSC-klagomål mail.docx", "A 18079-2022")</f>
        <v/>
      </c>
      <c r="X59">
        <f>HYPERLINK("https://klasma.github.io/Logging_0380/tillsyn/A 18079-2022 tillsynsbegäran.docx", "A 18079-2022")</f>
        <v/>
      </c>
      <c r="Y59">
        <f>HYPERLINK("https://klasma.github.io/Logging_0380/tillsynsmail/A 18079-2022 tillsynsbegäran mail.docx", "A 18079-2022")</f>
        <v/>
      </c>
    </row>
    <row r="60" ht="15" customHeight="1">
      <c r="A60" t="inlineStr">
        <is>
          <t>A 45627-2025</t>
        </is>
      </c>
      <c r="B60" s="1" t="n">
        <v>45922.80255787037</v>
      </c>
      <c r="C60" s="1" t="n">
        <v>45964</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43280-2025</t>
        </is>
      </c>
      <c r="B61" s="1" t="n">
        <v>45910.59475694445</v>
      </c>
      <c r="C61" s="1" t="n">
        <v>45964</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43280-2025 artfynd.xlsx", "A 43280-2025")</f>
        <v/>
      </c>
      <c r="T61">
        <f>HYPERLINK("https://klasma.github.io/Logging_0380/kartor/A 43280-2025 karta.png", "A 43280-2025")</f>
        <v/>
      </c>
      <c r="V61">
        <f>HYPERLINK("https://klasma.github.io/Logging_0380/klagomål/A 43280-2025 FSC-klagomål.docx", "A 43280-2025")</f>
        <v/>
      </c>
      <c r="W61">
        <f>HYPERLINK("https://klasma.github.io/Logging_0380/klagomålsmail/A 43280-2025 FSC-klagomål mail.docx", "A 43280-2025")</f>
        <v/>
      </c>
      <c r="X61">
        <f>HYPERLINK("https://klasma.github.io/Logging_0380/tillsyn/A 43280-2025 tillsynsbegäran.docx", "A 43280-2025")</f>
        <v/>
      </c>
      <c r="Y61">
        <f>HYPERLINK("https://klasma.github.io/Logging_0380/tillsynsmail/A 43280-2025 tillsynsbegäran mail.docx", "A 43280-2025")</f>
        <v/>
      </c>
    </row>
    <row r="62" ht="15" customHeight="1">
      <c r="A62" t="inlineStr">
        <is>
          <t>A 43278-2025</t>
        </is>
      </c>
      <c r="B62" s="1" t="n">
        <v>45910.59415509259</v>
      </c>
      <c r="C62" s="1" t="n">
        <v>45964</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43278-2025 artfynd.xlsx", "A 43278-2025")</f>
        <v/>
      </c>
      <c r="T62">
        <f>HYPERLINK("https://klasma.github.io/Logging_0380/kartor/A 43278-2025 karta.png", "A 43278-2025")</f>
        <v/>
      </c>
      <c r="V62">
        <f>HYPERLINK("https://klasma.github.io/Logging_0380/klagomål/A 43278-2025 FSC-klagomål.docx", "A 43278-2025")</f>
        <v/>
      </c>
      <c r="W62">
        <f>HYPERLINK("https://klasma.github.io/Logging_0380/klagomålsmail/A 43278-2025 FSC-klagomål mail.docx", "A 43278-2025")</f>
        <v/>
      </c>
      <c r="X62">
        <f>HYPERLINK("https://klasma.github.io/Logging_0380/tillsyn/A 43278-2025 tillsynsbegäran.docx", "A 43278-2025")</f>
        <v/>
      </c>
      <c r="Y62">
        <f>HYPERLINK("https://klasma.github.io/Logging_0380/tillsynsmail/A 43278-2025 tillsynsbegäran mail.docx", "A 43278-2025")</f>
        <v/>
      </c>
    </row>
    <row r="63" ht="15" customHeight="1">
      <c r="A63" t="inlineStr">
        <is>
          <t>A 6998-2023</t>
        </is>
      </c>
      <c r="B63" s="1" t="n">
        <v>44967</v>
      </c>
      <c r="C63" s="1" t="n">
        <v>45964</v>
      </c>
      <c r="D63" t="inlineStr">
        <is>
          <t>UPPSALA LÄN</t>
        </is>
      </c>
      <c r="E63" t="inlineStr">
        <is>
          <t>UPPSALA</t>
        </is>
      </c>
      <c r="G63" t="n">
        <v>8.4</v>
      </c>
      <c r="H63" t="n">
        <v>2</v>
      </c>
      <c r="I63" t="n">
        <v>0</v>
      </c>
      <c r="J63" t="n">
        <v>0</v>
      </c>
      <c r="K63" t="n">
        <v>0</v>
      </c>
      <c r="L63" t="n">
        <v>0</v>
      </c>
      <c r="M63" t="n">
        <v>0</v>
      </c>
      <c r="N63" t="n">
        <v>0</v>
      </c>
      <c r="O63" t="n">
        <v>0</v>
      </c>
      <c r="P63" t="n">
        <v>0</v>
      </c>
      <c r="Q63" t="n">
        <v>2</v>
      </c>
      <c r="R63" s="2" t="inlineStr">
        <is>
          <t>Nattviol
Blåsippa</t>
        </is>
      </c>
      <c r="S63">
        <f>HYPERLINK("https://klasma.github.io/Logging_0380/artfynd/A 6998-2023 artfynd.xlsx", "A 6998-2023")</f>
        <v/>
      </c>
      <c r="T63">
        <f>HYPERLINK("https://klasma.github.io/Logging_0380/kartor/A 6998-2023 karta.png", "A 6998-2023")</f>
        <v/>
      </c>
      <c r="V63">
        <f>HYPERLINK("https://klasma.github.io/Logging_0380/klagomål/A 6998-2023 FSC-klagomål.docx", "A 6998-2023")</f>
        <v/>
      </c>
      <c r="W63">
        <f>HYPERLINK("https://klasma.github.io/Logging_0380/klagomålsmail/A 6998-2023 FSC-klagomål mail.docx", "A 6998-2023")</f>
        <v/>
      </c>
      <c r="X63">
        <f>HYPERLINK("https://klasma.github.io/Logging_0380/tillsyn/A 6998-2023 tillsynsbegäran.docx", "A 6998-2023")</f>
        <v/>
      </c>
      <c r="Y63">
        <f>HYPERLINK("https://klasma.github.io/Logging_0380/tillsynsmail/A 6998-2023 tillsynsbegäran mail.docx", "A 6998-2023")</f>
        <v/>
      </c>
    </row>
    <row r="64" ht="15" customHeight="1">
      <c r="A64" t="inlineStr">
        <is>
          <t>A 18425-2025</t>
        </is>
      </c>
      <c r="B64" s="1" t="n">
        <v>45762.62260416667</v>
      </c>
      <c r="C64" s="1" t="n">
        <v>45964</v>
      </c>
      <c r="D64" t="inlineStr">
        <is>
          <t>UPPSALA LÄN</t>
        </is>
      </c>
      <c r="E64" t="inlineStr">
        <is>
          <t>UPPSALA</t>
        </is>
      </c>
      <c r="G64" t="n">
        <v>9.800000000000001</v>
      </c>
      <c r="H64" t="n">
        <v>1</v>
      </c>
      <c r="I64" t="n">
        <v>0</v>
      </c>
      <c r="J64" t="n">
        <v>2</v>
      </c>
      <c r="K64" t="n">
        <v>0</v>
      </c>
      <c r="L64" t="n">
        <v>0</v>
      </c>
      <c r="M64" t="n">
        <v>0</v>
      </c>
      <c r="N64" t="n">
        <v>0</v>
      </c>
      <c r="O64" t="n">
        <v>2</v>
      </c>
      <c r="P64" t="n">
        <v>0</v>
      </c>
      <c r="Q64" t="n">
        <v>2</v>
      </c>
      <c r="R64" s="2" t="inlineStr">
        <is>
          <t>Spillkråka
Tallticka</t>
        </is>
      </c>
      <c r="S64">
        <f>HYPERLINK("https://klasma.github.io/Logging_0380/artfynd/A 18425-2025 artfynd.xlsx", "A 18425-2025")</f>
        <v/>
      </c>
      <c r="T64">
        <f>HYPERLINK("https://klasma.github.io/Logging_0380/kartor/A 18425-2025 karta.png", "A 18425-2025")</f>
        <v/>
      </c>
      <c r="V64">
        <f>HYPERLINK("https://klasma.github.io/Logging_0380/klagomål/A 18425-2025 FSC-klagomål.docx", "A 18425-2025")</f>
        <v/>
      </c>
      <c r="W64">
        <f>HYPERLINK("https://klasma.github.io/Logging_0380/klagomålsmail/A 18425-2025 FSC-klagomål mail.docx", "A 18425-2025")</f>
        <v/>
      </c>
      <c r="X64">
        <f>HYPERLINK("https://klasma.github.io/Logging_0380/tillsyn/A 18425-2025 tillsynsbegäran.docx", "A 18425-2025")</f>
        <v/>
      </c>
      <c r="Y64">
        <f>HYPERLINK("https://klasma.github.io/Logging_0380/tillsynsmail/A 18425-2025 tillsynsbegäran mail.docx", "A 18425-2025")</f>
        <v/>
      </c>
      <c r="Z64">
        <f>HYPERLINK("https://klasma.github.io/Logging_0380/fåglar/A 18425-2025 prioriterade fågelarter.docx", "A 18425-2025")</f>
        <v/>
      </c>
    </row>
    <row r="65" ht="15" customHeight="1">
      <c r="A65" t="inlineStr">
        <is>
          <t>A 51749-2023</t>
        </is>
      </c>
      <c r="B65" s="1" t="n">
        <v>45222</v>
      </c>
      <c r="C65" s="1" t="n">
        <v>45964</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5755-2025</t>
        </is>
      </c>
      <c r="B66" s="1" t="n">
        <v>45694.55559027778</v>
      </c>
      <c r="C66" s="1" t="n">
        <v>45964</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25660-2025</t>
        </is>
      </c>
      <c r="B67" s="1" t="n">
        <v>45803.61554398148</v>
      </c>
      <c r="C67" s="1" t="n">
        <v>45964</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45964</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58906-2021</t>
        </is>
      </c>
      <c r="B69" s="1" t="n">
        <v>44489</v>
      </c>
      <c r="C69" s="1" t="n">
        <v>45964</v>
      </c>
      <c r="D69" t="inlineStr">
        <is>
          <t>UPPSALA LÄN</t>
        </is>
      </c>
      <c r="E69" t="inlineStr">
        <is>
          <t>UPPSALA</t>
        </is>
      </c>
      <c r="G69" t="n">
        <v>8.6</v>
      </c>
      <c r="H69" t="n">
        <v>1</v>
      </c>
      <c r="I69" t="n">
        <v>0</v>
      </c>
      <c r="J69" t="n">
        <v>1</v>
      </c>
      <c r="K69" t="n">
        <v>0</v>
      </c>
      <c r="L69" t="n">
        <v>0</v>
      </c>
      <c r="M69" t="n">
        <v>0</v>
      </c>
      <c r="N69" t="n">
        <v>0</v>
      </c>
      <c r="O69" t="n">
        <v>1</v>
      </c>
      <c r="P69" t="n">
        <v>0</v>
      </c>
      <c r="Q69" t="n">
        <v>2</v>
      </c>
      <c r="R69" s="2" t="inlineStr">
        <is>
          <t>Ullticka
Tjäder</t>
        </is>
      </c>
      <c r="S69">
        <f>HYPERLINK("https://klasma.github.io/Logging_0380/artfynd/A 58906-2021 artfynd.xlsx", "A 58906-2021")</f>
        <v/>
      </c>
      <c r="T69">
        <f>HYPERLINK("https://klasma.github.io/Logging_0380/kartor/A 58906-2021 karta.png", "A 58906-2021")</f>
        <v/>
      </c>
      <c r="V69">
        <f>HYPERLINK("https://klasma.github.io/Logging_0380/klagomål/A 58906-2021 FSC-klagomål.docx", "A 58906-2021")</f>
        <v/>
      </c>
      <c r="W69">
        <f>HYPERLINK("https://klasma.github.io/Logging_0380/klagomålsmail/A 58906-2021 FSC-klagomål mail.docx", "A 58906-2021")</f>
        <v/>
      </c>
      <c r="X69">
        <f>HYPERLINK("https://klasma.github.io/Logging_0380/tillsyn/A 58906-2021 tillsynsbegäran.docx", "A 58906-2021")</f>
        <v/>
      </c>
      <c r="Y69">
        <f>HYPERLINK("https://klasma.github.io/Logging_0380/tillsynsmail/A 58906-2021 tillsynsbegäran mail.docx", "A 58906-2021")</f>
        <v/>
      </c>
      <c r="Z69">
        <f>HYPERLINK("https://klasma.github.io/Logging_0380/fåglar/A 58906-2021 prioriterade fågelarter.docx", "A 58906-2021")</f>
        <v/>
      </c>
    </row>
    <row r="70" ht="15" customHeight="1">
      <c r="A70" t="inlineStr">
        <is>
          <t>A 39933-2023</t>
        </is>
      </c>
      <c r="B70" s="1" t="n">
        <v>45168.50667824074</v>
      </c>
      <c r="C70" s="1" t="n">
        <v>45964</v>
      </c>
      <c r="D70" t="inlineStr">
        <is>
          <t>UPPSALA LÄN</t>
        </is>
      </c>
      <c r="E70" t="inlineStr">
        <is>
          <t>UPPSALA</t>
        </is>
      </c>
      <c r="F70" t="inlineStr">
        <is>
          <t>Holmen skog AB</t>
        </is>
      </c>
      <c r="G70" t="n">
        <v>6.3</v>
      </c>
      <c r="H70" t="n">
        <v>2</v>
      </c>
      <c r="I70" t="n">
        <v>0</v>
      </c>
      <c r="J70" t="n">
        <v>2</v>
      </c>
      <c r="K70" t="n">
        <v>0</v>
      </c>
      <c r="L70" t="n">
        <v>0</v>
      </c>
      <c r="M70" t="n">
        <v>0</v>
      </c>
      <c r="N70" t="n">
        <v>0</v>
      </c>
      <c r="O70" t="n">
        <v>2</v>
      </c>
      <c r="P70" t="n">
        <v>0</v>
      </c>
      <c r="Q70" t="n">
        <v>2</v>
      </c>
      <c r="R70" s="2" t="inlineStr">
        <is>
          <t>Entita
Spillkråka</t>
        </is>
      </c>
      <c r="S70">
        <f>HYPERLINK("https://klasma.github.io/Logging_0380/artfynd/A 39933-2023 artfynd.xlsx", "A 39933-2023")</f>
        <v/>
      </c>
      <c r="T70">
        <f>HYPERLINK("https://klasma.github.io/Logging_0380/kartor/A 39933-2023 karta.png", "A 39933-2023")</f>
        <v/>
      </c>
      <c r="V70">
        <f>HYPERLINK("https://klasma.github.io/Logging_0380/klagomål/A 39933-2023 FSC-klagomål.docx", "A 39933-2023")</f>
        <v/>
      </c>
      <c r="W70">
        <f>HYPERLINK("https://klasma.github.io/Logging_0380/klagomålsmail/A 39933-2023 FSC-klagomål mail.docx", "A 39933-2023")</f>
        <v/>
      </c>
      <c r="X70">
        <f>HYPERLINK("https://klasma.github.io/Logging_0380/tillsyn/A 39933-2023 tillsynsbegäran.docx", "A 39933-2023")</f>
        <v/>
      </c>
      <c r="Y70">
        <f>HYPERLINK("https://klasma.github.io/Logging_0380/tillsynsmail/A 39933-2023 tillsynsbegäran mail.docx", "A 39933-2023")</f>
        <v/>
      </c>
      <c r="Z70">
        <f>HYPERLINK("https://klasma.github.io/Logging_0380/fåglar/A 39933-2023 prioriterade fågelarter.docx", "A 39933-2023")</f>
        <v/>
      </c>
    </row>
    <row r="71" ht="15" customHeight="1">
      <c r="A71" t="inlineStr">
        <is>
          <t>A 33708-2025</t>
        </is>
      </c>
      <c r="B71" s="1" t="n">
        <v>45841.81555555556</v>
      </c>
      <c r="C71" s="1" t="n">
        <v>45964</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44675-2023</t>
        </is>
      </c>
      <c r="B72" s="1" t="n">
        <v>45189</v>
      </c>
      <c r="C72" s="1" t="n">
        <v>45964</v>
      </c>
      <c r="D72" t="inlineStr">
        <is>
          <t>UPPSALA LÄN</t>
        </is>
      </c>
      <c r="E72" t="inlineStr">
        <is>
          <t>UPPSALA</t>
        </is>
      </c>
      <c r="G72" t="n">
        <v>7.1</v>
      </c>
      <c r="H72" t="n">
        <v>2</v>
      </c>
      <c r="I72" t="n">
        <v>0</v>
      </c>
      <c r="J72" t="n">
        <v>1</v>
      </c>
      <c r="K72" t="n">
        <v>1</v>
      </c>
      <c r="L72" t="n">
        <v>0</v>
      </c>
      <c r="M72" t="n">
        <v>0</v>
      </c>
      <c r="N72" t="n">
        <v>0</v>
      </c>
      <c r="O72" t="n">
        <v>2</v>
      </c>
      <c r="P72" t="n">
        <v>1</v>
      </c>
      <c r="Q72" t="n">
        <v>2</v>
      </c>
      <c r="R72" s="2" t="inlineStr">
        <is>
          <t>Knärot
Talltita</t>
        </is>
      </c>
      <c r="S72">
        <f>HYPERLINK("https://klasma.github.io/Logging_0380/artfynd/A 44675-2023 artfynd.xlsx", "A 44675-2023")</f>
        <v/>
      </c>
      <c r="T72">
        <f>HYPERLINK("https://klasma.github.io/Logging_0380/kartor/A 44675-2023 karta.png", "A 44675-2023")</f>
        <v/>
      </c>
      <c r="U72">
        <f>HYPERLINK("https://klasma.github.io/Logging_0380/knärot/A 44675-2023 karta knärot.png", "A 44675-2023")</f>
        <v/>
      </c>
      <c r="V72">
        <f>HYPERLINK("https://klasma.github.io/Logging_0380/klagomål/A 44675-2023 FSC-klagomål.docx", "A 44675-2023")</f>
        <v/>
      </c>
      <c r="W72">
        <f>HYPERLINK("https://klasma.github.io/Logging_0380/klagomålsmail/A 44675-2023 FSC-klagomål mail.docx", "A 44675-2023")</f>
        <v/>
      </c>
      <c r="X72">
        <f>HYPERLINK("https://klasma.github.io/Logging_0380/tillsyn/A 44675-2023 tillsynsbegäran.docx", "A 44675-2023")</f>
        <v/>
      </c>
      <c r="Y72">
        <f>HYPERLINK("https://klasma.github.io/Logging_0380/tillsynsmail/A 44675-2023 tillsynsbegäran mail.docx", "A 44675-2023")</f>
        <v/>
      </c>
      <c r="Z72">
        <f>HYPERLINK("https://klasma.github.io/Logging_0380/fåglar/A 44675-2023 prioriterade fågelarter.docx", "A 44675-2023")</f>
        <v/>
      </c>
    </row>
    <row r="73" ht="15" customHeight="1">
      <c r="A73" t="inlineStr">
        <is>
          <t>A 88-2024</t>
        </is>
      </c>
      <c r="B73" s="1" t="n">
        <v>45293</v>
      </c>
      <c r="C73" s="1" t="n">
        <v>45964</v>
      </c>
      <c r="D73" t="inlineStr">
        <is>
          <t>UPPSALA LÄN</t>
        </is>
      </c>
      <c r="E73" t="inlineStr">
        <is>
          <t>UPPSALA</t>
        </is>
      </c>
      <c r="G73" t="n">
        <v>2.1</v>
      </c>
      <c r="H73" t="n">
        <v>0</v>
      </c>
      <c r="I73" t="n">
        <v>0</v>
      </c>
      <c r="J73" t="n">
        <v>1</v>
      </c>
      <c r="K73" t="n">
        <v>0</v>
      </c>
      <c r="L73" t="n">
        <v>1</v>
      </c>
      <c r="M73" t="n">
        <v>0</v>
      </c>
      <c r="N73" t="n">
        <v>0</v>
      </c>
      <c r="O73" t="n">
        <v>2</v>
      </c>
      <c r="P73" t="n">
        <v>1</v>
      </c>
      <c r="Q73" t="n">
        <v>2</v>
      </c>
      <c r="R73" s="2" t="inlineStr">
        <is>
          <t>Ask
Gullklöver</t>
        </is>
      </c>
      <c r="S73">
        <f>HYPERLINK("https://klasma.github.io/Logging_0380/artfynd/A 88-2024 artfynd.xlsx", "A 88-2024")</f>
        <v/>
      </c>
      <c r="T73">
        <f>HYPERLINK("https://klasma.github.io/Logging_0380/kartor/A 88-2024 karta.png", "A 88-2024")</f>
        <v/>
      </c>
      <c r="V73">
        <f>HYPERLINK("https://klasma.github.io/Logging_0380/klagomål/A 88-2024 FSC-klagomål.docx", "A 88-2024")</f>
        <v/>
      </c>
      <c r="W73">
        <f>HYPERLINK("https://klasma.github.io/Logging_0380/klagomålsmail/A 88-2024 FSC-klagomål mail.docx", "A 88-2024")</f>
        <v/>
      </c>
      <c r="X73">
        <f>HYPERLINK("https://klasma.github.io/Logging_0380/tillsyn/A 88-2024 tillsynsbegäran.docx", "A 88-2024")</f>
        <v/>
      </c>
      <c r="Y73">
        <f>HYPERLINK("https://klasma.github.io/Logging_0380/tillsynsmail/A 88-2024 tillsynsbegäran mail.docx", "A 88-2024")</f>
        <v/>
      </c>
    </row>
    <row r="74" ht="15" customHeight="1">
      <c r="A74" t="inlineStr">
        <is>
          <t>A 41921-2025</t>
        </is>
      </c>
      <c r="B74" s="1" t="n">
        <v>45903</v>
      </c>
      <c r="C74" s="1" t="n">
        <v>45964</v>
      </c>
      <c r="D74" t="inlineStr">
        <is>
          <t>UPPSALA LÄN</t>
        </is>
      </c>
      <c r="E74" t="inlineStr">
        <is>
          <t>UPPSALA</t>
        </is>
      </c>
      <c r="G74" t="n">
        <v>7.1</v>
      </c>
      <c r="H74" t="n">
        <v>2</v>
      </c>
      <c r="I74" t="n">
        <v>0</v>
      </c>
      <c r="J74" t="n">
        <v>0</v>
      </c>
      <c r="K74" t="n">
        <v>0</v>
      </c>
      <c r="L74" t="n">
        <v>0</v>
      </c>
      <c r="M74" t="n">
        <v>0</v>
      </c>
      <c r="N74" t="n">
        <v>0</v>
      </c>
      <c r="O74" t="n">
        <v>0</v>
      </c>
      <c r="P74" t="n">
        <v>0</v>
      </c>
      <c r="Q74" t="n">
        <v>2</v>
      </c>
      <c r="R74" s="2" t="inlineStr">
        <is>
          <t>Blåsippa
Revlummer</t>
        </is>
      </c>
      <c r="S74">
        <f>HYPERLINK("https://klasma.github.io/Logging_0380/artfynd/A 41921-2025 artfynd.xlsx", "A 41921-2025")</f>
        <v/>
      </c>
      <c r="T74">
        <f>HYPERLINK("https://klasma.github.io/Logging_0380/kartor/A 41921-2025 karta.png", "A 41921-2025")</f>
        <v/>
      </c>
      <c r="V74">
        <f>HYPERLINK("https://klasma.github.io/Logging_0380/klagomål/A 41921-2025 FSC-klagomål.docx", "A 41921-2025")</f>
        <v/>
      </c>
      <c r="W74">
        <f>HYPERLINK("https://klasma.github.io/Logging_0380/klagomålsmail/A 41921-2025 FSC-klagomål mail.docx", "A 41921-2025")</f>
        <v/>
      </c>
      <c r="X74">
        <f>HYPERLINK("https://klasma.github.io/Logging_0380/tillsyn/A 41921-2025 tillsynsbegäran.docx", "A 41921-2025")</f>
        <v/>
      </c>
      <c r="Y74">
        <f>HYPERLINK("https://klasma.github.io/Logging_0380/tillsynsmail/A 41921-2025 tillsynsbegäran mail.docx", "A 41921-2025")</f>
        <v/>
      </c>
    </row>
    <row r="75" ht="15" customHeight="1">
      <c r="A75" t="inlineStr">
        <is>
          <t>A 52503-2025</t>
        </is>
      </c>
      <c r="B75" s="1" t="n">
        <v>45954.49768518518</v>
      </c>
      <c r="C75" s="1" t="n">
        <v>45964</v>
      </c>
      <c r="D75" t="inlineStr">
        <is>
          <t>UPPSALA LÄN</t>
        </is>
      </c>
      <c r="E75" t="inlineStr">
        <is>
          <t>UPPSALA</t>
        </is>
      </c>
      <c r="F75" t="inlineStr">
        <is>
          <t>Holmen skog AB</t>
        </is>
      </c>
      <c r="G75" t="n">
        <v>21.5</v>
      </c>
      <c r="H75" t="n">
        <v>0</v>
      </c>
      <c r="I75" t="n">
        <v>0</v>
      </c>
      <c r="J75" t="n">
        <v>0</v>
      </c>
      <c r="K75" t="n">
        <v>2</v>
      </c>
      <c r="L75" t="n">
        <v>0</v>
      </c>
      <c r="M75" t="n">
        <v>0</v>
      </c>
      <c r="N75" t="n">
        <v>0</v>
      </c>
      <c r="O75" t="n">
        <v>2</v>
      </c>
      <c r="P75" t="n">
        <v>2</v>
      </c>
      <c r="Q75" t="n">
        <v>2</v>
      </c>
      <c r="R75" s="2" t="inlineStr">
        <is>
          <t>Gulvit blekspik
Klosterlav</t>
        </is>
      </c>
      <c r="S75">
        <f>HYPERLINK("https://klasma.github.io/Logging_0380/artfynd/A 52503-2025 artfynd.xlsx", "A 52503-2025")</f>
        <v/>
      </c>
      <c r="T75">
        <f>HYPERLINK("https://klasma.github.io/Logging_0380/kartor/A 52503-2025 karta.png", "A 52503-2025")</f>
        <v/>
      </c>
      <c r="V75">
        <f>HYPERLINK("https://klasma.github.io/Logging_0380/klagomål/A 52503-2025 FSC-klagomål.docx", "A 52503-2025")</f>
        <v/>
      </c>
      <c r="W75">
        <f>HYPERLINK("https://klasma.github.io/Logging_0380/klagomålsmail/A 52503-2025 FSC-klagomål mail.docx", "A 52503-2025")</f>
        <v/>
      </c>
      <c r="X75">
        <f>HYPERLINK("https://klasma.github.io/Logging_0380/tillsyn/A 52503-2025 tillsynsbegäran.docx", "A 52503-2025")</f>
        <v/>
      </c>
      <c r="Y75">
        <f>HYPERLINK("https://klasma.github.io/Logging_0380/tillsynsmail/A 52503-2025 tillsynsbegäran mail.docx", "A 52503-2025")</f>
        <v/>
      </c>
    </row>
    <row r="76" ht="15" customHeight="1">
      <c r="A76" t="inlineStr">
        <is>
          <t>A 8865-2022</t>
        </is>
      </c>
      <c r="B76" s="1" t="n">
        <v>44614</v>
      </c>
      <c r="C76" s="1" t="n">
        <v>45964</v>
      </c>
      <c r="D76" t="inlineStr">
        <is>
          <t>UPPSALA LÄN</t>
        </is>
      </c>
      <c r="E76" t="inlineStr">
        <is>
          <t>UPPSALA</t>
        </is>
      </c>
      <c r="G76" t="n">
        <v>1.1</v>
      </c>
      <c r="H76" t="n">
        <v>0</v>
      </c>
      <c r="I76" t="n">
        <v>1</v>
      </c>
      <c r="J76" t="n">
        <v>0</v>
      </c>
      <c r="K76" t="n">
        <v>0</v>
      </c>
      <c r="L76" t="n">
        <v>0</v>
      </c>
      <c r="M76" t="n">
        <v>0</v>
      </c>
      <c r="N76" t="n">
        <v>0</v>
      </c>
      <c r="O76" t="n">
        <v>0</v>
      </c>
      <c r="P76" t="n">
        <v>0</v>
      </c>
      <c r="Q76" t="n">
        <v>1</v>
      </c>
      <c r="R76" s="2" t="inlineStr">
        <is>
          <t>Narrtagging</t>
        </is>
      </c>
      <c r="S76">
        <f>HYPERLINK("https://klasma.github.io/Logging_0380/artfynd/A 8865-2022 artfynd.xlsx", "A 8865-2022")</f>
        <v/>
      </c>
      <c r="T76">
        <f>HYPERLINK("https://klasma.github.io/Logging_0380/kartor/A 8865-2022 karta.png", "A 8865-2022")</f>
        <v/>
      </c>
      <c r="V76">
        <f>HYPERLINK("https://klasma.github.io/Logging_0380/klagomål/A 8865-2022 FSC-klagomål.docx", "A 8865-2022")</f>
        <v/>
      </c>
      <c r="W76">
        <f>HYPERLINK("https://klasma.github.io/Logging_0380/klagomålsmail/A 8865-2022 FSC-klagomål mail.docx", "A 8865-2022")</f>
        <v/>
      </c>
      <c r="X76">
        <f>HYPERLINK("https://klasma.github.io/Logging_0380/tillsyn/A 8865-2022 tillsynsbegäran.docx", "A 8865-2022")</f>
        <v/>
      </c>
      <c r="Y76">
        <f>HYPERLINK("https://klasma.github.io/Logging_0380/tillsynsmail/A 8865-2022 tillsynsbegäran mail.docx", "A 8865-2022")</f>
        <v/>
      </c>
    </row>
    <row r="77" ht="15" customHeight="1">
      <c r="A77" t="inlineStr">
        <is>
          <t>A 34020-2021</t>
        </is>
      </c>
      <c r="B77" s="1" t="n">
        <v>44379</v>
      </c>
      <c r="C77" s="1" t="n">
        <v>45964</v>
      </c>
      <c r="D77" t="inlineStr">
        <is>
          <t>UPPSALA LÄN</t>
        </is>
      </c>
      <c r="E77" t="inlineStr">
        <is>
          <t>UPPSALA</t>
        </is>
      </c>
      <c r="G77" t="n">
        <v>1.9</v>
      </c>
      <c r="H77" t="n">
        <v>0</v>
      </c>
      <c r="I77" t="n">
        <v>0</v>
      </c>
      <c r="J77" t="n">
        <v>1</v>
      </c>
      <c r="K77" t="n">
        <v>0</v>
      </c>
      <c r="L77" t="n">
        <v>0</v>
      </c>
      <c r="M77" t="n">
        <v>0</v>
      </c>
      <c r="N77" t="n">
        <v>0</v>
      </c>
      <c r="O77" t="n">
        <v>1</v>
      </c>
      <c r="P77" t="n">
        <v>0</v>
      </c>
      <c r="Q77" t="n">
        <v>1</v>
      </c>
      <c r="R77" s="2" t="inlineStr">
        <is>
          <t>Tallticka</t>
        </is>
      </c>
      <c r="S77">
        <f>HYPERLINK("https://klasma.github.io/Logging_0380/artfynd/A 34020-2021 artfynd.xlsx", "A 34020-2021")</f>
        <v/>
      </c>
      <c r="T77">
        <f>HYPERLINK("https://klasma.github.io/Logging_0380/kartor/A 34020-2021 karta.png", "A 34020-2021")</f>
        <v/>
      </c>
      <c r="V77">
        <f>HYPERLINK("https://klasma.github.io/Logging_0380/klagomål/A 34020-2021 FSC-klagomål.docx", "A 34020-2021")</f>
        <v/>
      </c>
      <c r="W77">
        <f>HYPERLINK("https://klasma.github.io/Logging_0380/klagomålsmail/A 34020-2021 FSC-klagomål mail.docx", "A 34020-2021")</f>
        <v/>
      </c>
      <c r="X77">
        <f>HYPERLINK("https://klasma.github.io/Logging_0380/tillsyn/A 34020-2021 tillsynsbegäran.docx", "A 34020-2021")</f>
        <v/>
      </c>
      <c r="Y77">
        <f>HYPERLINK("https://klasma.github.io/Logging_0380/tillsynsmail/A 34020-2021 tillsynsbegäran mail.docx", "A 34020-2021")</f>
        <v/>
      </c>
    </row>
    <row r="78" ht="15" customHeight="1">
      <c r="A78" t="inlineStr">
        <is>
          <t>A 14255-2022</t>
        </is>
      </c>
      <c r="B78" s="1" t="n">
        <v>44651</v>
      </c>
      <c r="C78" s="1" t="n">
        <v>45964</v>
      </c>
      <c r="D78" t="inlineStr">
        <is>
          <t>UPPSALA LÄN</t>
        </is>
      </c>
      <c r="E78" t="inlineStr">
        <is>
          <t>UPPSALA</t>
        </is>
      </c>
      <c r="F78" t="inlineStr">
        <is>
          <t>Holmen skog AB</t>
        </is>
      </c>
      <c r="G78" t="n">
        <v>3</v>
      </c>
      <c r="H78" t="n">
        <v>0</v>
      </c>
      <c r="I78" t="n">
        <v>0</v>
      </c>
      <c r="J78" t="n">
        <v>1</v>
      </c>
      <c r="K78" t="n">
        <v>0</v>
      </c>
      <c r="L78" t="n">
        <v>0</v>
      </c>
      <c r="M78" t="n">
        <v>0</v>
      </c>
      <c r="N78" t="n">
        <v>0</v>
      </c>
      <c r="O78" t="n">
        <v>1</v>
      </c>
      <c r="P78" t="n">
        <v>0</v>
      </c>
      <c r="Q78" t="n">
        <v>1</v>
      </c>
      <c r="R78" s="2" t="inlineStr">
        <is>
          <t>Rödbrun blekspik</t>
        </is>
      </c>
      <c r="S78">
        <f>HYPERLINK("https://klasma.github.io/Logging_0380/artfynd/A 14255-2022 artfynd.xlsx", "A 14255-2022")</f>
        <v/>
      </c>
      <c r="T78">
        <f>HYPERLINK("https://klasma.github.io/Logging_0380/kartor/A 14255-2022 karta.png", "A 14255-2022")</f>
        <v/>
      </c>
      <c r="V78">
        <f>HYPERLINK("https://klasma.github.io/Logging_0380/klagomål/A 14255-2022 FSC-klagomål.docx", "A 14255-2022")</f>
        <v/>
      </c>
      <c r="W78">
        <f>HYPERLINK("https://klasma.github.io/Logging_0380/klagomålsmail/A 14255-2022 FSC-klagomål mail.docx", "A 14255-2022")</f>
        <v/>
      </c>
      <c r="X78">
        <f>HYPERLINK("https://klasma.github.io/Logging_0380/tillsyn/A 14255-2022 tillsynsbegäran.docx", "A 14255-2022")</f>
        <v/>
      </c>
      <c r="Y78">
        <f>HYPERLINK("https://klasma.github.io/Logging_0380/tillsynsmail/A 14255-2022 tillsynsbegäran mail.docx", "A 14255-2022")</f>
        <v/>
      </c>
    </row>
    <row r="79" ht="15" customHeight="1">
      <c r="A79" t="inlineStr">
        <is>
          <t>A 60055-2022</t>
        </is>
      </c>
      <c r="B79" s="1" t="n">
        <v>44909</v>
      </c>
      <c r="C79" s="1" t="n">
        <v>45964</v>
      </c>
      <c r="D79" t="inlineStr">
        <is>
          <t>UPPSALA LÄN</t>
        </is>
      </c>
      <c r="E79" t="inlineStr">
        <is>
          <t>UPPSALA</t>
        </is>
      </c>
      <c r="G79" t="n">
        <v>11.4</v>
      </c>
      <c r="H79" t="n">
        <v>1</v>
      </c>
      <c r="I79" t="n">
        <v>0</v>
      </c>
      <c r="J79" t="n">
        <v>0</v>
      </c>
      <c r="K79" t="n">
        <v>0</v>
      </c>
      <c r="L79" t="n">
        <v>0</v>
      </c>
      <c r="M79" t="n">
        <v>0</v>
      </c>
      <c r="N79" t="n">
        <v>0</v>
      </c>
      <c r="O79" t="n">
        <v>0</v>
      </c>
      <c r="P79" t="n">
        <v>0</v>
      </c>
      <c r="Q79" t="n">
        <v>1</v>
      </c>
      <c r="R79" s="2" t="inlineStr">
        <is>
          <t>Tjäder</t>
        </is>
      </c>
      <c r="S79">
        <f>HYPERLINK("https://klasma.github.io/Logging_0380/artfynd/A 60055-2022 artfynd.xlsx", "A 60055-2022")</f>
        <v/>
      </c>
      <c r="T79">
        <f>HYPERLINK("https://klasma.github.io/Logging_0380/kartor/A 60055-2022 karta.png", "A 60055-2022")</f>
        <v/>
      </c>
      <c r="V79">
        <f>HYPERLINK("https://klasma.github.io/Logging_0380/klagomål/A 60055-2022 FSC-klagomål.docx", "A 60055-2022")</f>
        <v/>
      </c>
      <c r="W79">
        <f>HYPERLINK("https://klasma.github.io/Logging_0380/klagomålsmail/A 60055-2022 FSC-klagomål mail.docx", "A 60055-2022")</f>
        <v/>
      </c>
      <c r="X79">
        <f>HYPERLINK("https://klasma.github.io/Logging_0380/tillsyn/A 60055-2022 tillsynsbegäran.docx", "A 60055-2022")</f>
        <v/>
      </c>
      <c r="Y79">
        <f>HYPERLINK("https://klasma.github.io/Logging_0380/tillsynsmail/A 60055-2022 tillsynsbegäran mail.docx", "A 60055-2022")</f>
        <v/>
      </c>
      <c r="Z79">
        <f>HYPERLINK("https://klasma.github.io/Logging_0380/fåglar/A 60055-2022 prioriterade fågelarter.docx", "A 60055-2022")</f>
        <v/>
      </c>
    </row>
    <row r="80" ht="15" customHeight="1">
      <c r="A80" t="inlineStr">
        <is>
          <t>A 58050-2021</t>
        </is>
      </c>
      <c r="B80" s="1" t="n">
        <v>44487</v>
      </c>
      <c r="C80" s="1" t="n">
        <v>45964</v>
      </c>
      <c r="D80" t="inlineStr">
        <is>
          <t>UPPSALA LÄN</t>
        </is>
      </c>
      <c r="E80" t="inlineStr">
        <is>
          <t>UPPSALA</t>
        </is>
      </c>
      <c r="G80" t="n">
        <v>4.4</v>
      </c>
      <c r="H80" t="n">
        <v>0</v>
      </c>
      <c r="I80" t="n">
        <v>0</v>
      </c>
      <c r="J80" t="n">
        <v>1</v>
      </c>
      <c r="K80" t="n">
        <v>0</v>
      </c>
      <c r="L80" t="n">
        <v>0</v>
      </c>
      <c r="M80" t="n">
        <v>0</v>
      </c>
      <c r="N80" t="n">
        <v>0</v>
      </c>
      <c r="O80" t="n">
        <v>1</v>
      </c>
      <c r="P80" t="n">
        <v>0</v>
      </c>
      <c r="Q80" t="n">
        <v>1</v>
      </c>
      <c r="R80" s="2" t="inlineStr">
        <is>
          <t>Ullticka</t>
        </is>
      </c>
      <c r="S80">
        <f>HYPERLINK("https://klasma.github.io/Logging_0380/artfynd/A 58050-2021 artfynd.xlsx", "A 58050-2021")</f>
        <v/>
      </c>
      <c r="T80">
        <f>HYPERLINK("https://klasma.github.io/Logging_0380/kartor/A 58050-2021 karta.png", "A 58050-2021")</f>
        <v/>
      </c>
      <c r="V80">
        <f>HYPERLINK("https://klasma.github.io/Logging_0380/klagomål/A 58050-2021 FSC-klagomål.docx", "A 58050-2021")</f>
        <v/>
      </c>
      <c r="W80">
        <f>HYPERLINK("https://klasma.github.io/Logging_0380/klagomålsmail/A 58050-2021 FSC-klagomål mail.docx", "A 58050-2021")</f>
        <v/>
      </c>
      <c r="X80">
        <f>HYPERLINK("https://klasma.github.io/Logging_0380/tillsyn/A 58050-2021 tillsynsbegäran.docx", "A 58050-2021")</f>
        <v/>
      </c>
      <c r="Y80">
        <f>HYPERLINK("https://klasma.github.io/Logging_0380/tillsynsmail/A 58050-2021 tillsynsbegäran mail.docx", "A 58050-2021")</f>
        <v/>
      </c>
    </row>
    <row r="81" ht="15" customHeight="1">
      <c r="A81" t="inlineStr">
        <is>
          <t>A 57793-2022</t>
        </is>
      </c>
      <c r="B81" s="1" t="n">
        <v>44897</v>
      </c>
      <c r="C81" s="1" t="n">
        <v>45964</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Talltita</t>
        </is>
      </c>
      <c r="S81">
        <f>HYPERLINK("https://klasma.github.io/Logging_0380/artfynd/A 57793-2022 artfynd.xlsx", "A 57793-2022")</f>
        <v/>
      </c>
      <c r="T81">
        <f>HYPERLINK("https://klasma.github.io/Logging_0380/kartor/A 57793-2022 karta.png", "A 57793-2022")</f>
        <v/>
      </c>
      <c r="V81">
        <f>HYPERLINK("https://klasma.github.io/Logging_0380/klagomål/A 57793-2022 FSC-klagomål.docx", "A 57793-2022")</f>
        <v/>
      </c>
      <c r="W81">
        <f>HYPERLINK("https://klasma.github.io/Logging_0380/klagomålsmail/A 57793-2022 FSC-klagomål mail.docx", "A 57793-2022")</f>
        <v/>
      </c>
      <c r="X81">
        <f>HYPERLINK("https://klasma.github.io/Logging_0380/tillsyn/A 57793-2022 tillsynsbegäran.docx", "A 57793-2022")</f>
        <v/>
      </c>
      <c r="Y81">
        <f>HYPERLINK("https://klasma.github.io/Logging_0380/tillsynsmail/A 57793-2022 tillsynsbegäran mail.docx", "A 57793-2022")</f>
        <v/>
      </c>
      <c r="Z81">
        <f>HYPERLINK("https://klasma.github.io/Logging_0380/fåglar/A 57793-2022 prioriterade fågelarter.docx", "A 57793-2022")</f>
        <v/>
      </c>
    </row>
    <row r="82" ht="15" customHeight="1">
      <c r="A82" t="inlineStr">
        <is>
          <t>A 5750-2023</t>
        </is>
      </c>
      <c r="B82" s="1" t="n">
        <v>44963</v>
      </c>
      <c r="C82" s="1" t="n">
        <v>45964</v>
      </c>
      <c r="D82" t="inlineStr">
        <is>
          <t>UPPSALA LÄN</t>
        </is>
      </c>
      <c r="E82" t="inlineStr">
        <is>
          <t>UPPSALA</t>
        </is>
      </c>
      <c r="G82" t="n">
        <v>13.8</v>
      </c>
      <c r="H82" t="n">
        <v>0</v>
      </c>
      <c r="I82" t="n">
        <v>0</v>
      </c>
      <c r="J82" t="n">
        <v>0</v>
      </c>
      <c r="K82" t="n">
        <v>1</v>
      </c>
      <c r="L82" t="n">
        <v>0</v>
      </c>
      <c r="M82" t="n">
        <v>0</v>
      </c>
      <c r="N82" t="n">
        <v>0</v>
      </c>
      <c r="O82" t="n">
        <v>1</v>
      </c>
      <c r="P82" t="n">
        <v>1</v>
      </c>
      <c r="Q82" t="n">
        <v>1</v>
      </c>
      <c r="R82" s="2" t="inlineStr">
        <is>
          <t>Raggbock</t>
        </is>
      </c>
      <c r="S82">
        <f>HYPERLINK("https://klasma.github.io/Logging_0380/artfynd/A 5750-2023 artfynd.xlsx", "A 5750-2023")</f>
        <v/>
      </c>
      <c r="T82">
        <f>HYPERLINK("https://klasma.github.io/Logging_0380/kartor/A 5750-2023 karta.png", "A 5750-2023")</f>
        <v/>
      </c>
      <c r="V82">
        <f>HYPERLINK("https://klasma.github.io/Logging_0380/klagomål/A 5750-2023 FSC-klagomål.docx", "A 5750-2023")</f>
        <v/>
      </c>
      <c r="W82">
        <f>HYPERLINK("https://klasma.github.io/Logging_0380/klagomålsmail/A 5750-2023 FSC-klagomål mail.docx", "A 5750-2023")</f>
        <v/>
      </c>
      <c r="X82">
        <f>HYPERLINK("https://klasma.github.io/Logging_0380/tillsyn/A 5750-2023 tillsynsbegäran.docx", "A 5750-2023")</f>
        <v/>
      </c>
      <c r="Y82">
        <f>HYPERLINK("https://klasma.github.io/Logging_0380/tillsynsmail/A 5750-2023 tillsynsbegäran mail.docx", "A 5750-2023")</f>
        <v/>
      </c>
    </row>
    <row r="83" ht="15" customHeight="1">
      <c r="A83" t="inlineStr">
        <is>
          <t>A 46634-2022</t>
        </is>
      </c>
      <c r="B83" s="1" t="n">
        <v>44849</v>
      </c>
      <c r="C83" s="1" t="n">
        <v>45964</v>
      </c>
      <c r="D83" t="inlineStr">
        <is>
          <t>UPPSALA LÄN</t>
        </is>
      </c>
      <c r="E83" t="inlineStr">
        <is>
          <t>UPPSALA</t>
        </is>
      </c>
      <c r="G83" t="n">
        <v>2.9</v>
      </c>
      <c r="H83" t="n">
        <v>0</v>
      </c>
      <c r="I83" t="n">
        <v>1</v>
      </c>
      <c r="J83" t="n">
        <v>0</v>
      </c>
      <c r="K83" t="n">
        <v>0</v>
      </c>
      <c r="L83" t="n">
        <v>0</v>
      </c>
      <c r="M83" t="n">
        <v>0</v>
      </c>
      <c r="N83" t="n">
        <v>0</v>
      </c>
      <c r="O83" t="n">
        <v>0</v>
      </c>
      <c r="P83" t="n">
        <v>0</v>
      </c>
      <c r="Q83" t="n">
        <v>1</v>
      </c>
      <c r="R83" s="2" t="inlineStr">
        <is>
          <t>Fjällig taggsvamp s.str.</t>
        </is>
      </c>
      <c r="S83">
        <f>HYPERLINK("https://klasma.github.io/Logging_0380/artfynd/A 46634-2022 artfynd.xlsx", "A 46634-2022")</f>
        <v/>
      </c>
      <c r="T83">
        <f>HYPERLINK("https://klasma.github.io/Logging_0380/kartor/A 46634-2022 karta.png", "A 46634-2022")</f>
        <v/>
      </c>
      <c r="V83">
        <f>HYPERLINK("https://klasma.github.io/Logging_0380/klagomål/A 46634-2022 FSC-klagomål.docx", "A 46634-2022")</f>
        <v/>
      </c>
      <c r="W83">
        <f>HYPERLINK("https://klasma.github.io/Logging_0380/klagomålsmail/A 46634-2022 FSC-klagomål mail.docx", "A 46634-2022")</f>
        <v/>
      </c>
      <c r="X83">
        <f>HYPERLINK("https://klasma.github.io/Logging_0380/tillsyn/A 46634-2022 tillsynsbegäran.docx", "A 46634-2022")</f>
        <v/>
      </c>
      <c r="Y83">
        <f>HYPERLINK("https://klasma.github.io/Logging_0380/tillsynsmail/A 46634-2022 tillsynsbegäran mail.docx", "A 46634-2022")</f>
        <v/>
      </c>
    </row>
    <row r="84" ht="15" customHeight="1">
      <c r="A84" t="inlineStr">
        <is>
          <t>A 9206-2024</t>
        </is>
      </c>
      <c r="B84" s="1" t="n">
        <v>45358</v>
      </c>
      <c r="C84" s="1" t="n">
        <v>45964</v>
      </c>
      <c r="D84" t="inlineStr">
        <is>
          <t>UPPSALA LÄN</t>
        </is>
      </c>
      <c r="E84" t="inlineStr">
        <is>
          <t>UPPSALA</t>
        </is>
      </c>
      <c r="F84" t="inlineStr">
        <is>
          <t>Allmännings- och besparingsskogar</t>
        </is>
      </c>
      <c r="G84" t="n">
        <v>22.2</v>
      </c>
      <c r="H84" t="n">
        <v>1</v>
      </c>
      <c r="I84" t="n">
        <v>0</v>
      </c>
      <c r="J84" t="n">
        <v>0</v>
      </c>
      <c r="K84" t="n">
        <v>1</v>
      </c>
      <c r="L84" t="n">
        <v>0</v>
      </c>
      <c r="M84" t="n">
        <v>0</v>
      </c>
      <c r="N84" t="n">
        <v>0</v>
      </c>
      <c r="O84" t="n">
        <v>1</v>
      </c>
      <c r="P84" t="n">
        <v>1</v>
      </c>
      <c r="Q84" t="n">
        <v>1</v>
      </c>
      <c r="R84" s="2" t="inlineStr">
        <is>
          <t>Knärot</t>
        </is>
      </c>
      <c r="S84">
        <f>HYPERLINK("https://klasma.github.io/Logging_0380/artfynd/A 9206-2024 artfynd.xlsx", "A 9206-2024")</f>
        <v/>
      </c>
      <c r="T84">
        <f>HYPERLINK("https://klasma.github.io/Logging_0380/kartor/A 9206-2024 karta.png", "A 9206-2024")</f>
        <v/>
      </c>
      <c r="U84">
        <f>HYPERLINK("https://klasma.github.io/Logging_0380/knärot/A 9206-2024 karta knärot.png", "A 9206-2024")</f>
        <v/>
      </c>
      <c r="V84">
        <f>HYPERLINK("https://klasma.github.io/Logging_0380/klagomål/A 9206-2024 FSC-klagomål.docx", "A 9206-2024")</f>
        <v/>
      </c>
      <c r="W84">
        <f>HYPERLINK("https://klasma.github.io/Logging_0380/klagomålsmail/A 9206-2024 FSC-klagomål mail.docx", "A 9206-2024")</f>
        <v/>
      </c>
      <c r="X84">
        <f>HYPERLINK("https://klasma.github.io/Logging_0380/tillsyn/A 9206-2024 tillsynsbegäran.docx", "A 9206-2024")</f>
        <v/>
      </c>
      <c r="Y84">
        <f>HYPERLINK("https://klasma.github.io/Logging_0380/tillsynsmail/A 9206-2024 tillsynsbegäran mail.docx", "A 9206-2024")</f>
        <v/>
      </c>
    </row>
    <row r="85" ht="15" customHeight="1">
      <c r="A85" t="inlineStr">
        <is>
          <t>A 63172-2023</t>
        </is>
      </c>
      <c r="B85" s="1" t="n">
        <v>45273</v>
      </c>
      <c r="C85" s="1" t="n">
        <v>45964</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17484-2025</t>
        </is>
      </c>
      <c r="B86" s="1" t="n">
        <v>45757.49934027778</v>
      </c>
      <c r="C86" s="1" t="n">
        <v>45964</v>
      </c>
      <c r="D86" t="inlineStr">
        <is>
          <t>UPPSALA LÄN</t>
        </is>
      </c>
      <c r="E86" t="inlineStr">
        <is>
          <t>UPPSALA</t>
        </is>
      </c>
      <c r="G86" t="n">
        <v>13.1</v>
      </c>
      <c r="H86" t="n">
        <v>1</v>
      </c>
      <c r="I86" t="n">
        <v>0</v>
      </c>
      <c r="J86" t="n">
        <v>0</v>
      </c>
      <c r="K86" t="n">
        <v>0</v>
      </c>
      <c r="L86" t="n">
        <v>0</v>
      </c>
      <c r="M86" t="n">
        <v>0</v>
      </c>
      <c r="N86" t="n">
        <v>0</v>
      </c>
      <c r="O86" t="n">
        <v>0</v>
      </c>
      <c r="P86" t="n">
        <v>0</v>
      </c>
      <c r="Q86" t="n">
        <v>1</v>
      </c>
      <c r="R86" s="2" t="inlineStr">
        <is>
          <t>Fläcknycklar</t>
        </is>
      </c>
      <c r="S86">
        <f>HYPERLINK("https://klasma.github.io/Logging_0380/artfynd/A 17484-2025 artfynd.xlsx", "A 17484-2025")</f>
        <v/>
      </c>
      <c r="T86">
        <f>HYPERLINK("https://klasma.github.io/Logging_0380/kartor/A 17484-2025 karta.png", "A 17484-2025")</f>
        <v/>
      </c>
      <c r="V86">
        <f>HYPERLINK("https://klasma.github.io/Logging_0380/klagomål/A 17484-2025 FSC-klagomål.docx", "A 17484-2025")</f>
        <v/>
      </c>
      <c r="W86">
        <f>HYPERLINK("https://klasma.github.io/Logging_0380/klagomålsmail/A 17484-2025 FSC-klagomål mail.docx", "A 17484-2025")</f>
        <v/>
      </c>
      <c r="X86">
        <f>HYPERLINK("https://klasma.github.io/Logging_0380/tillsyn/A 17484-2025 tillsynsbegäran.docx", "A 17484-2025")</f>
        <v/>
      </c>
      <c r="Y86">
        <f>HYPERLINK("https://klasma.github.io/Logging_0380/tillsynsmail/A 17484-2025 tillsynsbegäran mail.docx", "A 17484-2025")</f>
        <v/>
      </c>
    </row>
    <row r="87" ht="15" customHeight="1">
      <c r="A87" t="inlineStr">
        <is>
          <t>A 29906-2023</t>
        </is>
      </c>
      <c r="B87" s="1" t="n">
        <v>45107</v>
      </c>
      <c r="C87" s="1" t="n">
        <v>45964</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13093-2024</t>
        </is>
      </c>
      <c r="B88" s="1" t="n">
        <v>45385</v>
      </c>
      <c r="C88" s="1" t="n">
        <v>45964</v>
      </c>
      <c r="D88" t="inlineStr">
        <is>
          <t>UPPSALA LÄN</t>
        </is>
      </c>
      <c r="E88" t="inlineStr">
        <is>
          <t>UPPSALA</t>
        </is>
      </c>
      <c r="G88" t="n">
        <v>1.1</v>
      </c>
      <c r="H88" t="n">
        <v>1</v>
      </c>
      <c r="I88" t="n">
        <v>1</v>
      </c>
      <c r="J88" t="n">
        <v>0</v>
      </c>
      <c r="K88" t="n">
        <v>0</v>
      </c>
      <c r="L88" t="n">
        <v>0</v>
      </c>
      <c r="M88" t="n">
        <v>0</v>
      </c>
      <c r="N88" t="n">
        <v>0</v>
      </c>
      <c r="O88" t="n">
        <v>0</v>
      </c>
      <c r="P88" t="n">
        <v>0</v>
      </c>
      <c r="Q88" t="n">
        <v>1</v>
      </c>
      <c r="R88" s="2" t="inlineStr">
        <is>
          <t>Skogsknipprot</t>
        </is>
      </c>
      <c r="S88">
        <f>HYPERLINK("https://klasma.github.io/Logging_0380/artfynd/A 13093-2024 artfynd.xlsx", "A 13093-2024")</f>
        <v/>
      </c>
      <c r="T88">
        <f>HYPERLINK("https://klasma.github.io/Logging_0380/kartor/A 13093-2024 karta.png", "A 13093-2024")</f>
        <v/>
      </c>
      <c r="V88">
        <f>HYPERLINK("https://klasma.github.io/Logging_0380/klagomål/A 13093-2024 FSC-klagomål.docx", "A 13093-2024")</f>
        <v/>
      </c>
      <c r="W88">
        <f>HYPERLINK("https://klasma.github.io/Logging_0380/klagomålsmail/A 13093-2024 FSC-klagomål mail.docx", "A 13093-2024")</f>
        <v/>
      </c>
      <c r="X88">
        <f>HYPERLINK("https://klasma.github.io/Logging_0380/tillsyn/A 13093-2024 tillsynsbegäran.docx", "A 13093-2024")</f>
        <v/>
      </c>
      <c r="Y88">
        <f>HYPERLINK("https://klasma.github.io/Logging_0380/tillsynsmail/A 13093-2024 tillsynsbegäran mail.docx", "A 13093-2024")</f>
        <v/>
      </c>
    </row>
    <row r="89" ht="15" customHeight="1">
      <c r="A89" t="inlineStr">
        <is>
          <t>A 844-2025</t>
        </is>
      </c>
      <c r="B89" s="1" t="n">
        <v>45665</v>
      </c>
      <c r="C89" s="1" t="n">
        <v>45964</v>
      </c>
      <c r="D89" t="inlineStr">
        <is>
          <t>UPPSALA LÄN</t>
        </is>
      </c>
      <c r="E89" t="inlineStr">
        <is>
          <t>UPPSALA</t>
        </is>
      </c>
      <c r="G89" t="n">
        <v>2.6</v>
      </c>
      <c r="H89" t="n">
        <v>1</v>
      </c>
      <c r="I89" t="n">
        <v>0</v>
      </c>
      <c r="J89" t="n">
        <v>0</v>
      </c>
      <c r="K89" t="n">
        <v>0</v>
      </c>
      <c r="L89" t="n">
        <v>0</v>
      </c>
      <c r="M89" t="n">
        <v>0</v>
      </c>
      <c r="N89" t="n">
        <v>0</v>
      </c>
      <c r="O89" t="n">
        <v>0</v>
      </c>
      <c r="P89" t="n">
        <v>0</v>
      </c>
      <c r="Q89" t="n">
        <v>1</v>
      </c>
      <c r="R89" s="2" t="inlineStr">
        <is>
          <t>Tjäder</t>
        </is>
      </c>
      <c r="S89">
        <f>HYPERLINK("https://klasma.github.io/Logging_0380/artfynd/A 844-2025 artfynd.xlsx", "A 844-2025")</f>
        <v/>
      </c>
      <c r="T89">
        <f>HYPERLINK("https://klasma.github.io/Logging_0380/kartor/A 844-2025 karta.png", "A 844-2025")</f>
        <v/>
      </c>
      <c r="V89">
        <f>HYPERLINK("https://klasma.github.io/Logging_0380/klagomål/A 844-2025 FSC-klagomål.docx", "A 844-2025")</f>
        <v/>
      </c>
      <c r="W89">
        <f>HYPERLINK("https://klasma.github.io/Logging_0380/klagomålsmail/A 844-2025 FSC-klagomål mail.docx", "A 844-2025")</f>
        <v/>
      </c>
      <c r="X89">
        <f>HYPERLINK("https://klasma.github.io/Logging_0380/tillsyn/A 844-2025 tillsynsbegäran.docx", "A 844-2025")</f>
        <v/>
      </c>
      <c r="Y89">
        <f>HYPERLINK("https://klasma.github.io/Logging_0380/tillsynsmail/A 844-2025 tillsynsbegäran mail.docx", "A 844-2025")</f>
        <v/>
      </c>
      <c r="Z89">
        <f>HYPERLINK("https://klasma.github.io/Logging_0380/fåglar/A 844-2025 prioriterade fågelarter.docx", "A 844-2025")</f>
        <v/>
      </c>
    </row>
    <row r="90" ht="15" customHeight="1">
      <c r="A90" t="inlineStr">
        <is>
          <t>A 61830-2022</t>
        </is>
      </c>
      <c r="B90" s="1" t="n">
        <v>44917.59298611111</v>
      </c>
      <c r="C90" s="1" t="n">
        <v>45964</v>
      </c>
      <c r="D90" t="inlineStr">
        <is>
          <t>UPPSALA LÄN</t>
        </is>
      </c>
      <c r="E90" t="inlineStr">
        <is>
          <t>UPPSALA</t>
        </is>
      </c>
      <c r="F90" t="inlineStr">
        <is>
          <t>Holmen skog AB</t>
        </is>
      </c>
      <c r="G90" t="n">
        <v>1.1</v>
      </c>
      <c r="H90" t="n">
        <v>0</v>
      </c>
      <c r="I90" t="n">
        <v>0</v>
      </c>
      <c r="J90" t="n">
        <v>1</v>
      </c>
      <c r="K90" t="n">
        <v>0</v>
      </c>
      <c r="L90" t="n">
        <v>0</v>
      </c>
      <c r="M90" t="n">
        <v>0</v>
      </c>
      <c r="N90" t="n">
        <v>0</v>
      </c>
      <c r="O90" t="n">
        <v>1</v>
      </c>
      <c r="P90" t="n">
        <v>0</v>
      </c>
      <c r="Q90" t="n">
        <v>1</v>
      </c>
      <c r="R90" s="2" t="inlineStr">
        <is>
          <t>Rödbrun blekspik</t>
        </is>
      </c>
      <c r="S90">
        <f>HYPERLINK("https://klasma.github.io/Logging_0380/artfynd/A 61830-2022 artfynd.xlsx", "A 61830-2022")</f>
        <v/>
      </c>
      <c r="T90">
        <f>HYPERLINK("https://klasma.github.io/Logging_0380/kartor/A 61830-2022 karta.png", "A 61830-2022")</f>
        <v/>
      </c>
      <c r="V90">
        <f>HYPERLINK("https://klasma.github.io/Logging_0380/klagomål/A 61830-2022 FSC-klagomål.docx", "A 61830-2022")</f>
        <v/>
      </c>
      <c r="W90">
        <f>HYPERLINK("https://klasma.github.io/Logging_0380/klagomålsmail/A 61830-2022 FSC-klagomål mail.docx", "A 61830-2022")</f>
        <v/>
      </c>
      <c r="X90">
        <f>HYPERLINK("https://klasma.github.io/Logging_0380/tillsyn/A 61830-2022 tillsynsbegäran.docx", "A 61830-2022")</f>
        <v/>
      </c>
      <c r="Y90">
        <f>HYPERLINK("https://klasma.github.io/Logging_0380/tillsynsmail/A 61830-2022 tillsynsbegäran mail.docx", "A 61830-2022")</f>
        <v/>
      </c>
    </row>
    <row r="91" ht="15" customHeight="1">
      <c r="A91" t="inlineStr">
        <is>
          <t>A 5732-2025</t>
        </is>
      </c>
      <c r="B91" s="1" t="n">
        <v>45694.49650462963</v>
      </c>
      <c r="C91" s="1" t="n">
        <v>45964</v>
      </c>
      <c r="D91" t="inlineStr">
        <is>
          <t>UPPSALA LÄN</t>
        </is>
      </c>
      <c r="E91" t="inlineStr">
        <is>
          <t>UPPSALA</t>
        </is>
      </c>
      <c r="G91" t="n">
        <v>1.9</v>
      </c>
      <c r="H91" t="n">
        <v>0</v>
      </c>
      <c r="I91" t="n">
        <v>1</v>
      </c>
      <c r="J91" t="n">
        <v>0</v>
      </c>
      <c r="K91" t="n">
        <v>0</v>
      </c>
      <c r="L91" t="n">
        <v>0</v>
      </c>
      <c r="M91" t="n">
        <v>0</v>
      </c>
      <c r="N91" t="n">
        <v>0</v>
      </c>
      <c r="O91" t="n">
        <v>0</v>
      </c>
      <c r="P91" t="n">
        <v>0</v>
      </c>
      <c r="Q91" t="n">
        <v>1</v>
      </c>
      <c r="R91" s="2" t="inlineStr">
        <is>
          <t>Fällmossa</t>
        </is>
      </c>
      <c r="S91">
        <f>HYPERLINK("https://klasma.github.io/Logging_0380/artfynd/A 5732-2025 artfynd.xlsx", "A 5732-2025")</f>
        <v/>
      </c>
      <c r="T91">
        <f>HYPERLINK("https://klasma.github.io/Logging_0380/kartor/A 5732-2025 karta.png", "A 5732-2025")</f>
        <v/>
      </c>
      <c r="V91">
        <f>HYPERLINK("https://klasma.github.io/Logging_0380/klagomål/A 5732-2025 FSC-klagomål.docx", "A 5732-2025")</f>
        <v/>
      </c>
      <c r="W91">
        <f>HYPERLINK("https://klasma.github.io/Logging_0380/klagomålsmail/A 5732-2025 FSC-klagomål mail.docx", "A 5732-2025")</f>
        <v/>
      </c>
      <c r="X91">
        <f>HYPERLINK("https://klasma.github.io/Logging_0380/tillsyn/A 5732-2025 tillsynsbegäran.docx", "A 5732-2025")</f>
        <v/>
      </c>
      <c r="Y91">
        <f>HYPERLINK("https://klasma.github.io/Logging_0380/tillsynsmail/A 5732-2025 tillsynsbegäran mail.docx", "A 5732-2025")</f>
        <v/>
      </c>
    </row>
    <row r="92" ht="15" customHeight="1">
      <c r="A92" t="inlineStr">
        <is>
          <t>A 21801-2025</t>
        </is>
      </c>
      <c r="B92" s="1" t="n">
        <v>45783</v>
      </c>
      <c r="C92" s="1" t="n">
        <v>45964</v>
      </c>
      <c r="D92" t="inlineStr">
        <is>
          <t>UPPSALA LÄN</t>
        </is>
      </c>
      <c r="E92" t="inlineStr">
        <is>
          <t>UPPSALA</t>
        </is>
      </c>
      <c r="G92" t="n">
        <v>7.9</v>
      </c>
      <c r="H92" t="n">
        <v>1</v>
      </c>
      <c r="I92" t="n">
        <v>0</v>
      </c>
      <c r="J92" t="n">
        <v>0</v>
      </c>
      <c r="K92" t="n">
        <v>0</v>
      </c>
      <c r="L92" t="n">
        <v>0</v>
      </c>
      <c r="M92" t="n">
        <v>0</v>
      </c>
      <c r="N92" t="n">
        <v>0</v>
      </c>
      <c r="O92" t="n">
        <v>0</v>
      </c>
      <c r="P92" t="n">
        <v>0</v>
      </c>
      <c r="Q92" t="n">
        <v>1</v>
      </c>
      <c r="R92" s="2" t="inlineStr">
        <is>
          <t>Mattlummer</t>
        </is>
      </c>
      <c r="S92">
        <f>HYPERLINK("https://klasma.github.io/Logging_0380/artfynd/A 21801-2025 artfynd.xlsx", "A 21801-2025")</f>
        <v/>
      </c>
      <c r="T92">
        <f>HYPERLINK("https://klasma.github.io/Logging_0380/kartor/A 21801-2025 karta.png", "A 21801-2025")</f>
        <v/>
      </c>
      <c r="V92">
        <f>HYPERLINK("https://klasma.github.io/Logging_0380/klagomål/A 21801-2025 FSC-klagomål.docx", "A 21801-2025")</f>
        <v/>
      </c>
      <c r="W92">
        <f>HYPERLINK("https://klasma.github.io/Logging_0380/klagomålsmail/A 21801-2025 FSC-klagomål mail.docx", "A 21801-2025")</f>
        <v/>
      </c>
      <c r="X92">
        <f>HYPERLINK("https://klasma.github.io/Logging_0380/tillsyn/A 21801-2025 tillsynsbegäran.docx", "A 21801-2025")</f>
        <v/>
      </c>
      <c r="Y92">
        <f>HYPERLINK("https://klasma.github.io/Logging_0380/tillsynsmail/A 21801-2025 tillsynsbegäran mail.docx", "A 21801-2025")</f>
        <v/>
      </c>
    </row>
    <row r="93" ht="15" customHeight="1">
      <c r="A93" t="inlineStr">
        <is>
          <t>A 13363-2022</t>
        </is>
      </c>
      <c r="B93" s="1" t="n">
        <v>44645</v>
      </c>
      <c r="C93" s="1" t="n">
        <v>45964</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6044-2024</t>
        </is>
      </c>
      <c r="B94" s="1" t="n">
        <v>45336</v>
      </c>
      <c r="C94" s="1" t="n">
        <v>45964</v>
      </c>
      <c r="D94" t="inlineStr">
        <is>
          <t>UPPSALA LÄN</t>
        </is>
      </c>
      <c r="E94" t="inlineStr">
        <is>
          <t>UPPSALA</t>
        </is>
      </c>
      <c r="F94" t="inlineStr">
        <is>
          <t>Holmen skog AB</t>
        </is>
      </c>
      <c r="G94" t="n">
        <v>7.4</v>
      </c>
      <c r="H94" t="n">
        <v>0</v>
      </c>
      <c r="I94" t="n">
        <v>0</v>
      </c>
      <c r="J94" t="n">
        <v>1</v>
      </c>
      <c r="K94" t="n">
        <v>0</v>
      </c>
      <c r="L94" t="n">
        <v>0</v>
      </c>
      <c r="M94" t="n">
        <v>0</v>
      </c>
      <c r="N94" t="n">
        <v>0</v>
      </c>
      <c r="O94" t="n">
        <v>1</v>
      </c>
      <c r="P94" t="n">
        <v>0</v>
      </c>
      <c r="Q94" t="n">
        <v>1</v>
      </c>
      <c r="R94" s="2" t="inlineStr">
        <is>
          <t>Gul dropplav</t>
        </is>
      </c>
      <c r="S94">
        <f>HYPERLINK("https://klasma.github.io/Logging_0380/artfynd/A 6044-2024 artfynd.xlsx", "A 6044-2024")</f>
        <v/>
      </c>
      <c r="T94">
        <f>HYPERLINK("https://klasma.github.io/Logging_0380/kartor/A 6044-2024 karta.png", "A 6044-2024")</f>
        <v/>
      </c>
      <c r="V94">
        <f>HYPERLINK("https://klasma.github.io/Logging_0380/klagomål/A 6044-2024 FSC-klagomål.docx", "A 6044-2024")</f>
        <v/>
      </c>
      <c r="W94">
        <f>HYPERLINK("https://klasma.github.io/Logging_0380/klagomålsmail/A 6044-2024 FSC-klagomål mail.docx", "A 6044-2024")</f>
        <v/>
      </c>
      <c r="X94">
        <f>HYPERLINK("https://klasma.github.io/Logging_0380/tillsyn/A 6044-2024 tillsynsbegäran.docx", "A 6044-2024")</f>
        <v/>
      </c>
      <c r="Y94">
        <f>HYPERLINK("https://klasma.github.io/Logging_0380/tillsynsmail/A 6044-2024 tillsynsbegäran mail.docx", "A 6044-2024")</f>
        <v/>
      </c>
    </row>
    <row r="95" ht="15" customHeight="1">
      <c r="A95" t="inlineStr">
        <is>
          <t>A 4657-2025</t>
        </is>
      </c>
      <c r="B95" s="1" t="n">
        <v>45687</v>
      </c>
      <c r="C95" s="1" t="n">
        <v>45964</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Grönsångare</t>
        </is>
      </c>
      <c r="S95">
        <f>HYPERLINK("https://klasma.github.io/Logging_0380/artfynd/A 4657-2025 artfynd.xlsx", "A 4657-2025")</f>
        <v/>
      </c>
      <c r="T95">
        <f>HYPERLINK("https://klasma.github.io/Logging_0380/kartor/A 4657-2025 karta.png", "A 4657-2025")</f>
        <v/>
      </c>
      <c r="V95">
        <f>HYPERLINK("https://klasma.github.io/Logging_0380/klagomål/A 4657-2025 FSC-klagomål.docx", "A 4657-2025")</f>
        <v/>
      </c>
      <c r="W95">
        <f>HYPERLINK("https://klasma.github.io/Logging_0380/klagomålsmail/A 4657-2025 FSC-klagomål mail.docx", "A 4657-2025")</f>
        <v/>
      </c>
      <c r="X95">
        <f>HYPERLINK("https://klasma.github.io/Logging_0380/tillsyn/A 4657-2025 tillsynsbegäran.docx", "A 4657-2025")</f>
        <v/>
      </c>
      <c r="Y95">
        <f>HYPERLINK("https://klasma.github.io/Logging_0380/tillsynsmail/A 4657-2025 tillsynsbegäran mail.docx", "A 4657-2025")</f>
        <v/>
      </c>
      <c r="Z95">
        <f>HYPERLINK("https://klasma.github.io/Logging_0380/fåglar/A 4657-2025 prioriterade fågelarter.docx", "A 4657-2025")</f>
        <v/>
      </c>
    </row>
    <row r="96" ht="15" customHeight="1">
      <c r="A96" t="inlineStr">
        <is>
          <t>A 61818-2022</t>
        </is>
      </c>
      <c r="B96" s="1" t="n">
        <v>44917</v>
      </c>
      <c r="C96" s="1" t="n">
        <v>45964</v>
      </c>
      <c r="D96" t="inlineStr">
        <is>
          <t>UPPSALA LÄN</t>
        </is>
      </c>
      <c r="E96" t="inlineStr">
        <is>
          <t>UPPSALA</t>
        </is>
      </c>
      <c r="F96" t="inlineStr">
        <is>
          <t>Holmen skog AB</t>
        </is>
      </c>
      <c r="G96" t="n">
        <v>0.8</v>
      </c>
      <c r="H96" t="n">
        <v>0</v>
      </c>
      <c r="I96" t="n">
        <v>0</v>
      </c>
      <c r="J96" t="n">
        <v>1</v>
      </c>
      <c r="K96" t="n">
        <v>0</v>
      </c>
      <c r="L96" t="n">
        <v>0</v>
      </c>
      <c r="M96" t="n">
        <v>0</v>
      </c>
      <c r="N96" t="n">
        <v>0</v>
      </c>
      <c r="O96" t="n">
        <v>1</v>
      </c>
      <c r="P96" t="n">
        <v>0</v>
      </c>
      <c r="Q96" t="n">
        <v>1</v>
      </c>
      <c r="R96" s="2" t="inlineStr">
        <is>
          <t>Blekticka</t>
        </is>
      </c>
      <c r="S96">
        <f>HYPERLINK("https://klasma.github.io/Logging_0380/artfynd/A 61818-2022 artfynd.xlsx", "A 61818-2022")</f>
        <v/>
      </c>
      <c r="T96">
        <f>HYPERLINK("https://klasma.github.io/Logging_0380/kartor/A 61818-2022 karta.png", "A 61818-2022")</f>
        <v/>
      </c>
      <c r="V96">
        <f>HYPERLINK("https://klasma.github.io/Logging_0380/klagomål/A 61818-2022 FSC-klagomål.docx", "A 61818-2022")</f>
        <v/>
      </c>
      <c r="W96">
        <f>HYPERLINK("https://klasma.github.io/Logging_0380/klagomålsmail/A 61818-2022 FSC-klagomål mail.docx", "A 61818-2022")</f>
        <v/>
      </c>
      <c r="X96">
        <f>HYPERLINK("https://klasma.github.io/Logging_0380/tillsyn/A 61818-2022 tillsynsbegäran.docx", "A 61818-2022")</f>
        <v/>
      </c>
      <c r="Y96">
        <f>HYPERLINK("https://klasma.github.io/Logging_0380/tillsynsmail/A 61818-2022 tillsynsbegäran mail.docx", "A 61818-2022")</f>
        <v/>
      </c>
    </row>
    <row r="97" ht="15" customHeight="1">
      <c r="A97" t="inlineStr">
        <is>
          <t>A 49015-2022</t>
        </is>
      </c>
      <c r="B97" s="1" t="n">
        <v>44855</v>
      </c>
      <c r="C97" s="1" t="n">
        <v>45964</v>
      </c>
      <c r="D97" t="inlineStr">
        <is>
          <t>UPPSALA LÄN</t>
        </is>
      </c>
      <c r="E97" t="inlineStr">
        <is>
          <t>UPPSALA</t>
        </is>
      </c>
      <c r="F97" t="inlineStr">
        <is>
          <t>Kommuner</t>
        </is>
      </c>
      <c r="G97" t="n">
        <v>4.5</v>
      </c>
      <c r="H97" t="n">
        <v>0</v>
      </c>
      <c r="I97" t="n">
        <v>0</v>
      </c>
      <c r="J97" t="n">
        <v>1</v>
      </c>
      <c r="K97" t="n">
        <v>0</v>
      </c>
      <c r="L97" t="n">
        <v>0</v>
      </c>
      <c r="M97" t="n">
        <v>0</v>
      </c>
      <c r="N97" t="n">
        <v>0</v>
      </c>
      <c r="O97" t="n">
        <v>1</v>
      </c>
      <c r="P97" t="n">
        <v>0</v>
      </c>
      <c r="Q97" t="n">
        <v>1</v>
      </c>
      <c r="R97" s="2" t="inlineStr">
        <is>
          <t>Harticka</t>
        </is>
      </c>
      <c r="S97">
        <f>HYPERLINK("https://klasma.github.io/Logging_0380/artfynd/A 49015-2022 artfynd.xlsx", "A 49015-2022")</f>
        <v/>
      </c>
      <c r="T97">
        <f>HYPERLINK("https://klasma.github.io/Logging_0380/kartor/A 49015-2022 karta.png", "A 49015-2022")</f>
        <v/>
      </c>
      <c r="V97">
        <f>HYPERLINK("https://klasma.github.io/Logging_0380/klagomål/A 49015-2022 FSC-klagomål.docx", "A 49015-2022")</f>
        <v/>
      </c>
      <c r="W97">
        <f>HYPERLINK("https://klasma.github.io/Logging_0380/klagomålsmail/A 49015-2022 FSC-klagomål mail.docx", "A 49015-2022")</f>
        <v/>
      </c>
      <c r="X97">
        <f>HYPERLINK("https://klasma.github.io/Logging_0380/tillsyn/A 49015-2022 tillsynsbegäran.docx", "A 49015-2022")</f>
        <v/>
      </c>
      <c r="Y97">
        <f>HYPERLINK("https://klasma.github.io/Logging_0380/tillsynsmail/A 49015-2022 tillsynsbegäran mail.docx", "A 49015-2022")</f>
        <v/>
      </c>
    </row>
    <row r="98" ht="15" customHeight="1">
      <c r="A98" t="inlineStr">
        <is>
          <t>A 5009-2023</t>
        </is>
      </c>
      <c r="B98" s="1" t="n">
        <v>44958</v>
      </c>
      <c r="C98" s="1" t="n">
        <v>45964</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26923-2025</t>
        </is>
      </c>
      <c r="B99" s="1" t="n">
        <v>45811.38710648148</v>
      </c>
      <c r="C99" s="1" t="n">
        <v>45964</v>
      </c>
      <c r="D99" t="inlineStr">
        <is>
          <t>UPPSALA LÄN</t>
        </is>
      </c>
      <c r="E99" t="inlineStr">
        <is>
          <t>UPPSALA</t>
        </is>
      </c>
      <c r="F99" t="inlineStr">
        <is>
          <t>Kyrkan</t>
        </is>
      </c>
      <c r="G99" t="n">
        <v>9.800000000000001</v>
      </c>
      <c r="H99" t="n">
        <v>1</v>
      </c>
      <c r="I99" t="n">
        <v>0</v>
      </c>
      <c r="J99" t="n">
        <v>0</v>
      </c>
      <c r="K99" t="n">
        <v>0</v>
      </c>
      <c r="L99" t="n">
        <v>0</v>
      </c>
      <c r="M99" t="n">
        <v>0</v>
      </c>
      <c r="N99" t="n">
        <v>0</v>
      </c>
      <c r="O99" t="n">
        <v>0</v>
      </c>
      <c r="P99" t="n">
        <v>0</v>
      </c>
      <c r="Q99" t="n">
        <v>1</v>
      </c>
      <c r="R99" s="2" t="inlineStr">
        <is>
          <t>Fläcknycklar</t>
        </is>
      </c>
      <c r="S99">
        <f>HYPERLINK("https://klasma.github.io/Logging_0380/artfynd/A 26923-2025 artfynd.xlsx", "A 26923-2025")</f>
        <v/>
      </c>
      <c r="T99">
        <f>HYPERLINK("https://klasma.github.io/Logging_0380/kartor/A 26923-2025 karta.png", "A 26923-2025")</f>
        <v/>
      </c>
      <c r="V99">
        <f>HYPERLINK("https://klasma.github.io/Logging_0380/klagomål/A 26923-2025 FSC-klagomål.docx", "A 26923-2025")</f>
        <v/>
      </c>
      <c r="W99">
        <f>HYPERLINK("https://klasma.github.io/Logging_0380/klagomålsmail/A 26923-2025 FSC-klagomål mail.docx", "A 26923-2025")</f>
        <v/>
      </c>
      <c r="X99">
        <f>HYPERLINK("https://klasma.github.io/Logging_0380/tillsyn/A 26923-2025 tillsynsbegäran.docx", "A 26923-2025")</f>
        <v/>
      </c>
      <c r="Y99">
        <f>HYPERLINK("https://klasma.github.io/Logging_0380/tillsynsmail/A 26923-2025 tillsynsbegäran mail.docx", "A 26923-2025")</f>
        <v/>
      </c>
    </row>
    <row r="100" ht="15" customHeight="1">
      <c r="A100" t="inlineStr">
        <is>
          <t>A 27848-2023</t>
        </is>
      </c>
      <c r="B100" s="1" t="n">
        <v>45098</v>
      </c>
      <c r="C100" s="1" t="n">
        <v>45964</v>
      </c>
      <c r="D100" t="inlineStr">
        <is>
          <t>UPPSALA LÄN</t>
        </is>
      </c>
      <c r="E100" t="inlineStr">
        <is>
          <t>UPPSALA</t>
        </is>
      </c>
      <c r="G100" t="n">
        <v>14.3</v>
      </c>
      <c r="H100" t="n">
        <v>0</v>
      </c>
      <c r="I100" t="n">
        <v>1</v>
      </c>
      <c r="J100" t="n">
        <v>0</v>
      </c>
      <c r="K100" t="n">
        <v>0</v>
      </c>
      <c r="L100" t="n">
        <v>0</v>
      </c>
      <c r="M100" t="n">
        <v>0</v>
      </c>
      <c r="N100" t="n">
        <v>0</v>
      </c>
      <c r="O100" t="n">
        <v>0</v>
      </c>
      <c r="P100" t="n">
        <v>0</v>
      </c>
      <c r="Q100" t="n">
        <v>1</v>
      </c>
      <c r="R100" s="2" t="inlineStr">
        <is>
          <t>Blåmossa</t>
        </is>
      </c>
      <c r="S100">
        <f>HYPERLINK("https://klasma.github.io/Logging_0380/artfynd/A 27848-2023 artfynd.xlsx", "A 27848-2023")</f>
        <v/>
      </c>
      <c r="T100">
        <f>HYPERLINK("https://klasma.github.io/Logging_0380/kartor/A 27848-2023 karta.png", "A 27848-2023")</f>
        <v/>
      </c>
      <c r="V100">
        <f>HYPERLINK("https://klasma.github.io/Logging_0380/klagomål/A 27848-2023 FSC-klagomål.docx", "A 27848-2023")</f>
        <v/>
      </c>
      <c r="W100">
        <f>HYPERLINK("https://klasma.github.io/Logging_0380/klagomålsmail/A 27848-2023 FSC-klagomål mail.docx", "A 27848-2023")</f>
        <v/>
      </c>
      <c r="X100">
        <f>HYPERLINK("https://klasma.github.io/Logging_0380/tillsyn/A 27848-2023 tillsynsbegäran.docx", "A 27848-2023")</f>
        <v/>
      </c>
      <c r="Y100">
        <f>HYPERLINK("https://klasma.github.io/Logging_0380/tillsynsmail/A 27848-2023 tillsynsbegäran mail.docx", "A 27848-2023")</f>
        <v/>
      </c>
    </row>
    <row r="101" ht="15" customHeight="1">
      <c r="A101" t="inlineStr">
        <is>
          <t>A 3304-2025</t>
        </is>
      </c>
      <c r="B101" s="1" t="n">
        <v>45679</v>
      </c>
      <c r="C101" s="1" t="n">
        <v>45964</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28056-2025</t>
        </is>
      </c>
      <c r="B102" s="1" t="n">
        <v>45817</v>
      </c>
      <c r="C102" s="1" t="n">
        <v>45964</v>
      </c>
      <c r="D102" t="inlineStr">
        <is>
          <t>UPPSALA LÄN</t>
        </is>
      </c>
      <c r="E102" t="inlineStr">
        <is>
          <t>UPPSALA</t>
        </is>
      </c>
      <c r="G102" t="n">
        <v>19.3</v>
      </c>
      <c r="H102" t="n">
        <v>1</v>
      </c>
      <c r="I102" t="n">
        <v>0</v>
      </c>
      <c r="J102" t="n">
        <v>0</v>
      </c>
      <c r="K102" t="n">
        <v>1</v>
      </c>
      <c r="L102" t="n">
        <v>0</v>
      </c>
      <c r="M102" t="n">
        <v>0</v>
      </c>
      <c r="N102" t="n">
        <v>0</v>
      </c>
      <c r="O102" t="n">
        <v>1</v>
      </c>
      <c r="P102" t="n">
        <v>1</v>
      </c>
      <c r="Q102" t="n">
        <v>1</v>
      </c>
      <c r="R102" s="2" t="inlineStr">
        <is>
          <t>Knärot</t>
        </is>
      </c>
      <c r="S102">
        <f>HYPERLINK("https://klasma.github.io/Logging_0380/artfynd/A 28056-2025 artfynd.xlsx", "A 28056-2025")</f>
        <v/>
      </c>
      <c r="T102">
        <f>HYPERLINK("https://klasma.github.io/Logging_0380/kartor/A 28056-2025 karta.png", "A 28056-2025")</f>
        <v/>
      </c>
      <c r="U102">
        <f>HYPERLINK("https://klasma.github.io/Logging_0380/knärot/A 28056-2025 karta knärot.png", "A 28056-2025")</f>
        <v/>
      </c>
      <c r="V102">
        <f>HYPERLINK("https://klasma.github.io/Logging_0380/klagomål/A 28056-2025 FSC-klagomål.docx", "A 28056-2025")</f>
        <v/>
      </c>
      <c r="W102">
        <f>HYPERLINK("https://klasma.github.io/Logging_0380/klagomålsmail/A 28056-2025 FSC-klagomål mail.docx", "A 28056-2025")</f>
        <v/>
      </c>
      <c r="X102">
        <f>HYPERLINK("https://klasma.github.io/Logging_0380/tillsyn/A 28056-2025 tillsynsbegäran.docx", "A 28056-2025")</f>
        <v/>
      </c>
      <c r="Y102">
        <f>HYPERLINK("https://klasma.github.io/Logging_0380/tillsynsmail/A 28056-2025 tillsynsbegäran mail.docx", "A 28056-2025")</f>
        <v/>
      </c>
    </row>
    <row r="103" ht="15" customHeight="1">
      <c r="A103" t="inlineStr">
        <is>
          <t>A 27824-2025</t>
        </is>
      </c>
      <c r="B103" s="1" t="n">
        <v>45817.34614583333</v>
      </c>
      <c r="C103" s="1" t="n">
        <v>45964</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25729-2024</t>
        </is>
      </c>
      <c r="B104" s="1" t="n">
        <v>45464</v>
      </c>
      <c r="C104" s="1" t="n">
        <v>45964</v>
      </c>
      <c r="D104" t="inlineStr">
        <is>
          <t>UPPSALA LÄN</t>
        </is>
      </c>
      <c r="E104" t="inlineStr">
        <is>
          <t>UPPSALA</t>
        </is>
      </c>
      <c r="G104" t="n">
        <v>22.3</v>
      </c>
      <c r="H104" t="n">
        <v>0</v>
      </c>
      <c r="I104" t="n">
        <v>0</v>
      </c>
      <c r="J104" t="n">
        <v>1</v>
      </c>
      <c r="K104" t="n">
        <v>0</v>
      </c>
      <c r="L104" t="n">
        <v>0</v>
      </c>
      <c r="M104" t="n">
        <v>0</v>
      </c>
      <c r="N104" t="n">
        <v>0</v>
      </c>
      <c r="O104" t="n">
        <v>1</v>
      </c>
      <c r="P104" t="n">
        <v>0</v>
      </c>
      <c r="Q104" t="n">
        <v>1</v>
      </c>
      <c r="R104" s="2" t="inlineStr">
        <is>
          <t>Ullticka</t>
        </is>
      </c>
      <c r="S104">
        <f>HYPERLINK("https://klasma.github.io/Logging_0380/artfynd/A 25729-2024 artfynd.xlsx", "A 25729-2024")</f>
        <v/>
      </c>
      <c r="T104">
        <f>HYPERLINK("https://klasma.github.io/Logging_0380/kartor/A 25729-2024 karta.png", "A 25729-2024")</f>
        <v/>
      </c>
      <c r="V104">
        <f>HYPERLINK("https://klasma.github.io/Logging_0380/klagomål/A 25729-2024 FSC-klagomål.docx", "A 25729-2024")</f>
        <v/>
      </c>
      <c r="W104">
        <f>HYPERLINK("https://klasma.github.io/Logging_0380/klagomålsmail/A 25729-2024 FSC-klagomål mail.docx", "A 25729-2024")</f>
        <v/>
      </c>
      <c r="X104">
        <f>HYPERLINK("https://klasma.github.io/Logging_0380/tillsyn/A 25729-2024 tillsynsbegäran.docx", "A 25729-2024")</f>
        <v/>
      </c>
      <c r="Y104">
        <f>HYPERLINK("https://klasma.github.io/Logging_0380/tillsynsmail/A 25729-2024 tillsynsbegäran mail.docx", "A 25729-2024")</f>
        <v/>
      </c>
    </row>
    <row r="105" ht="15" customHeight="1">
      <c r="A105" t="inlineStr">
        <is>
          <t>A 28299-2025</t>
        </is>
      </c>
      <c r="B105" s="1" t="n">
        <v>45818.60254629629</v>
      </c>
      <c r="C105" s="1" t="n">
        <v>45964</v>
      </c>
      <c r="D105" t="inlineStr">
        <is>
          <t>UPPSALA LÄN</t>
        </is>
      </c>
      <c r="E105" t="inlineStr">
        <is>
          <t>UPPSALA</t>
        </is>
      </c>
      <c r="F105" t="inlineStr">
        <is>
          <t>Holmen skog AB</t>
        </is>
      </c>
      <c r="G105" t="n">
        <v>12</v>
      </c>
      <c r="H105" t="n">
        <v>0</v>
      </c>
      <c r="I105" t="n">
        <v>0</v>
      </c>
      <c r="J105" t="n">
        <v>1</v>
      </c>
      <c r="K105" t="n">
        <v>0</v>
      </c>
      <c r="L105" t="n">
        <v>0</v>
      </c>
      <c r="M105" t="n">
        <v>0</v>
      </c>
      <c r="N105" t="n">
        <v>0</v>
      </c>
      <c r="O105" t="n">
        <v>1</v>
      </c>
      <c r="P105" t="n">
        <v>0</v>
      </c>
      <c r="Q105" t="n">
        <v>1</v>
      </c>
      <c r="R105" s="2" t="inlineStr">
        <is>
          <t>Slåtterfibbla</t>
        </is>
      </c>
      <c r="S105">
        <f>HYPERLINK("https://klasma.github.io/Logging_0380/artfynd/A 28299-2025 artfynd.xlsx", "A 28299-2025")</f>
        <v/>
      </c>
      <c r="T105">
        <f>HYPERLINK("https://klasma.github.io/Logging_0380/kartor/A 28299-2025 karta.png", "A 28299-2025")</f>
        <v/>
      </c>
      <c r="V105">
        <f>HYPERLINK("https://klasma.github.io/Logging_0380/klagomål/A 28299-2025 FSC-klagomål.docx", "A 28299-2025")</f>
        <v/>
      </c>
      <c r="W105">
        <f>HYPERLINK("https://klasma.github.io/Logging_0380/klagomålsmail/A 28299-2025 FSC-klagomål mail.docx", "A 28299-2025")</f>
        <v/>
      </c>
      <c r="X105">
        <f>HYPERLINK("https://klasma.github.io/Logging_0380/tillsyn/A 28299-2025 tillsynsbegäran.docx", "A 28299-2025")</f>
        <v/>
      </c>
      <c r="Y105">
        <f>HYPERLINK("https://klasma.github.io/Logging_0380/tillsynsmail/A 28299-2025 tillsynsbegäran mail.docx", "A 28299-2025")</f>
        <v/>
      </c>
    </row>
    <row r="106" ht="15" customHeight="1">
      <c r="A106" t="inlineStr">
        <is>
          <t>A 13526-2025</t>
        </is>
      </c>
      <c r="B106" s="1" t="n">
        <v>45736.49902777778</v>
      </c>
      <c r="C106" s="1" t="n">
        <v>45964</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29664-2025</t>
        </is>
      </c>
      <c r="B107" s="1" t="n">
        <v>45825.49060185185</v>
      </c>
      <c r="C107" s="1" t="n">
        <v>45964</v>
      </c>
      <c r="D107" t="inlineStr">
        <is>
          <t>UPPSALA LÄN</t>
        </is>
      </c>
      <c r="E107" t="inlineStr">
        <is>
          <t>UPPSALA</t>
        </is>
      </c>
      <c r="F107" t="inlineStr">
        <is>
          <t>Holmen skog AB</t>
        </is>
      </c>
      <c r="G107" t="n">
        <v>16.8</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29664-2025 artfynd.xlsx", "A 29664-2025")</f>
        <v/>
      </c>
      <c r="T107">
        <f>HYPERLINK("https://klasma.github.io/Logging_0380/kartor/A 29664-2025 karta.png", "A 29664-2025")</f>
        <v/>
      </c>
      <c r="V107">
        <f>HYPERLINK("https://klasma.github.io/Logging_0380/klagomål/A 29664-2025 FSC-klagomål.docx", "A 29664-2025")</f>
        <v/>
      </c>
      <c r="W107">
        <f>HYPERLINK("https://klasma.github.io/Logging_0380/klagomålsmail/A 29664-2025 FSC-klagomål mail.docx", "A 29664-2025")</f>
        <v/>
      </c>
      <c r="X107">
        <f>HYPERLINK("https://klasma.github.io/Logging_0380/tillsyn/A 29664-2025 tillsynsbegäran.docx", "A 29664-2025")</f>
        <v/>
      </c>
      <c r="Y107">
        <f>HYPERLINK("https://klasma.github.io/Logging_0380/tillsynsmail/A 29664-2025 tillsynsbegäran mail.docx", "A 29664-2025")</f>
        <v/>
      </c>
    </row>
    <row r="108" ht="15" customHeight="1">
      <c r="A108" t="inlineStr">
        <is>
          <t>A 52849-2021</t>
        </is>
      </c>
      <c r="B108" s="1" t="n">
        <v>44467</v>
      </c>
      <c r="C108" s="1" t="n">
        <v>45964</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2729-2024</t>
        </is>
      </c>
      <c r="B109" s="1" t="n">
        <v>45314.55579861111</v>
      </c>
      <c r="C109" s="1" t="n">
        <v>45964</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39741-2023</t>
        </is>
      </c>
      <c r="B110" s="1" t="n">
        <v>45167</v>
      </c>
      <c r="C110" s="1" t="n">
        <v>45964</v>
      </c>
      <c r="D110" t="inlineStr">
        <is>
          <t>UPPSALA LÄN</t>
        </is>
      </c>
      <c r="E110" t="inlineStr">
        <is>
          <t>UPPSALA</t>
        </is>
      </c>
      <c r="G110" t="n">
        <v>5.6</v>
      </c>
      <c r="H110" t="n">
        <v>1</v>
      </c>
      <c r="I110" t="n">
        <v>0</v>
      </c>
      <c r="J110" t="n">
        <v>1</v>
      </c>
      <c r="K110" t="n">
        <v>0</v>
      </c>
      <c r="L110" t="n">
        <v>0</v>
      </c>
      <c r="M110" t="n">
        <v>0</v>
      </c>
      <c r="N110" t="n">
        <v>0</v>
      </c>
      <c r="O110" t="n">
        <v>1</v>
      </c>
      <c r="P110" t="n">
        <v>0</v>
      </c>
      <c r="Q110" t="n">
        <v>1</v>
      </c>
      <c r="R110" s="2" t="inlineStr">
        <is>
          <t>Entita</t>
        </is>
      </c>
      <c r="S110">
        <f>HYPERLINK("https://klasma.github.io/Logging_0380/artfynd/A 39741-2023 artfynd.xlsx", "A 39741-2023")</f>
        <v/>
      </c>
      <c r="T110">
        <f>HYPERLINK("https://klasma.github.io/Logging_0380/kartor/A 39741-2023 karta.png", "A 39741-2023")</f>
        <v/>
      </c>
      <c r="V110">
        <f>HYPERLINK("https://klasma.github.io/Logging_0380/klagomål/A 39741-2023 FSC-klagomål.docx", "A 39741-2023")</f>
        <v/>
      </c>
      <c r="W110">
        <f>HYPERLINK("https://klasma.github.io/Logging_0380/klagomålsmail/A 39741-2023 FSC-klagomål mail.docx", "A 39741-2023")</f>
        <v/>
      </c>
      <c r="X110">
        <f>HYPERLINK("https://klasma.github.io/Logging_0380/tillsyn/A 39741-2023 tillsynsbegäran.docx", "A 39741-2023")</f>
        <v/>
      </c>
      <c r="Y110">
        <f>HYPERLINK("https://klasma.github.io/Logging_0380/tillsynsmail/A 39741-2023 tillsynsbegäran mail.docx", "A 39741-2023")</f>
        <v/>
      </c>
      <c r="Z110">
        <f>HYPERLINK("https://klasma.github.io/Logging_0380/fåglar/A 39741-2023 prioriterade fågelarter.docx", "A 39741-2023")</f>
        <v/>
      </c>
    </row>
    <row r="111" ht="15" customHeight="1">
      <c r="A111" t="inlineStr">
        <is>
          <t>A 35260-2025</t>
        </is>
      </c>
      <c r="B111" s="1" t="n">
        <v>45853.76976851852</v>
      </c>
      <c r="C111" s="1" t="n">
        <v>45964</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16761-2022</t>
        </is>
      </c>
      <c r="B112" s="1" t="n">
        <v>44673.47858796296</v>
      </c>
      <c r="C112" s="1" t="n">
        <v>45964</v>
      </c>
      <c r="D112" t="inlineStr">
        <is>
          <t>UPPSALA LÄN</t>
        </is>
      </c>
      <c r="E112" t="inlineStr">
        <is>
          <t>UPPSALA</t>
        </is>
      </c>
      <c r="G112" t="n">
        <v>0.6</v>
      </c>
      <c r="H112" t="n">
        <v>1</v>
      </c>
      <c r="I112" t="n">
        <v>0</v>
      </c>
      <c r="J112" t="n">
        <v>0</v>
      </c>
      <c r="K112" t="n">
        <v>0</v>
      </c>
      <c r="L112" t="n">
        <v>0</v>
      </c>
      <c r="M112" t="n">
        <v>0</v>
      </c>
      <c r="N112" t="n">
        <v>0</v>
      </c>
      <c r="O112" t="n">
        <v>0</v>
      </c>
      <c r="P112" t="n">
        <v>0</v>
      </c>
      <c r="Q112" t="n">
        <v>1</v>
      </c>
      <c r="R112" s="2" t="inlineStr">
        <is>
          <t>Trädlärka</t>
        </is>
      </c>
      <c r="S112">
        <f>HYPERLINK("https://klasma.github.io/Logging_0380/artfynd/A 16761-2022 artfynd.xlsx", "A 16761-2022")</f>
        <v/>
      </c>
      <c r="T112">
        <f>HYPERLINK("https://klasma.github.io/Logging_0380/kartor/A 16761-2022 karta.png", "A 16761-2022")</f>
        <v/>
      </c>
      <c r="V112">
        <f>HYPERLINK("https://klasma.github.io/Logging_0380/klagomål/A 16761-2022 FSC-klagomål.docx", "A 16761-2022")</f>
        <v/>
      </c>
      <c r="W112">
        <f>HYPERLINK("https://klasma.github.io/Logging_0380/klagomålsmail/A 16761-2022 FSC-klagomål mail.docx", "A 16761-2022")</f>
        <v/>
      </c>
      <c r="X112">
        <f>HYPERLINK("https://klasma.github.io/Logging_0380/tillsyn/A 16761-2022 tillsynsbegäran.docx", "A 16761-2022")</f>
        <v/>
      </c>
      <c r="Y112">
        <f>HYPERLINK("https://klasma.github.io/Logging_0380/tillsynsmail/A 16761-2022 tillsynsbegäran mail.docx", "A 16761-2022")</f>
        <v/>
      </c>
      <c r="Z112">
        <f>HYPERLINK("https://klasma.github.io/Logging_0380/fåglar/A 16761-2022 prioriterade fågelarter.docx", "A 16761-2022")</f>
        <v/>
      </c>
    </row>
    <row r="113" ht="15" customHeight="1">
      <c r="A113" t="inlineStr">
        <is>
          <t>A 26135-2025</t>
        </is>
      </c>
      <c r="B113" s="1" t="n">
        <v>45805.41232638889</v>
      </c>
      <c r="C113" s="1" t="n">
        <v>45964</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21657-2024</t>
        </is>
      </c>
      <c r="B114" s="1" t="n">
        <v>45442</v>
      </c>
      <c r="C114" s="1" t="n">
        <v>45964</v>
      </c>
      <c r="D114" t="inlineStr">
        <is>
          <t>UPPSALA LÄN</t>
        </is>
      </c>
      <c r="E114" t="inlineStr">
        <is>
          <t>UPPSALA</t>
        </is>
      </c>
      <c r="G114" t="n">
        <v>5.7</v>
      </c>
      <c r="H114" t="n">
        <v>1</v>
      </c>
      <c r="I114" t="n">
        <v>0</v>
      </c>
      <c r="J114" t="n">
        <v>0</v>
      </c>
      <c r="K114" t="n">
        <v>0</v>
      </c>
      <c r="L114" t="n">
        <v>0</v>
      </c>
      <c r="M114" t="n">
        <v>0</v>
      </c>
      <c r="N114" t="n">
        <v>0</v>
      </c>
      <c r="O114" t="n">
        <v>0</v>
      </c>
      <c r="P114" t="n">
        <v>0</v>
      </c>
      <c r="Q114" t="n">
        <v>1</v>
      </c>
      <c r="R114" s="2" t="inlineStr">
        <is>
          <t>Kungsfågel</t>
        </is>
      </c>
      <c r="S114">
        <f>HYPERLINK("https://klasma.github.io/Logging_0380/artfynd/A 21657-2024 artfynd.xlsx", "A 21657-2024")</f>
        <v/>
      </c>
      <c r="T114">
        <f>HYPERLINK("https://klasma.github.io/Logging_0380/kartor/A 21657-2024 karta.png", "A 21657-2024")</f>
        <v/>
      </c>
      <c r="V114">
        <f>HYPERLINK("https://klasma.github.io/Logging_0380/klagomål/A 21657-2024 FSC-klagomål.docx", "A 21657-2024")</f>
        <v/>
      </c>
      <c r="W114">
        <f>HYPERLINK("https://klasma.github.io/Logging_0380/klagomålsmail/A 21657-2024 FSC-klagomål mail.docx", "A 21657-2024")</f>
        <v/>
      </c>
      <c r="X114">
        <f>HYPERLINK("https://klasma.github.io/Logging_0380/tillsyn/A 21657-2024 tillsynsbegäran.docx", "A 21657-2024")</f>
        <v/>
      </c>
      <c r="Y114">
        <f>HYPERLINK("https://klasma.github.io/Logging_0380/tillsynsmail/A 21657-2024 tillsynsbegäran mail.docx", "A 21657-2024")</f>
        <v/>
      </c>
      <c r="Z114">
        <f>HYPERLINK("https://klasma.github.io/Logging_0380/fåglar/A 21657-2024 prioriterade fågelarter.docx", "A 21657-2024")</f>
        <v/>
      </c>
    </row>
    <row r="115" ht="15" customHeight="1">
      <c r="A115" t="inlineStr">
        <is>
          <t>A 36842-2025</t>
        </is>
      </c>
      <c r="B115" s="1" t="n">
        <v>45874</v>
      </c>
      <c r="C115" s="1" t="n">
        <v>45964</v>
      </c>
      <c r="D115" t="inlineStr">
        <is>
          <t>UPPSALA LÄN</t>
        </is>
      </c>
      <c r="E115" t="inlineStr">
        <is>
          <t>UPPSALA</t>
        </is>
      </c>
      <c r="G115" t="n">
        <v>9.9</v>
      </c>
      <c r="H115" t="n">
        <v>0</v>
      </c>
      <c r="I115" t="n">
        <v>1</v>
      </c>
      <c r="J115" t="n">
        <v>0</v>
      </c>
      <c r="K115" t="n">
        <v>0</v>
      </c>
      <c r="L115" t="n">
        <v>0</v>
      </c>
      <c r="M115" t="n">
        <v>0</v>
      </c>
      <c r="N115" t="n">
        <v>0</v>
      </c>
      <c r="O115" t="n">
        <v>0</v>
      </c>
      <c r="P115" t="n">
        <v>0</v>
      </c>
      <c r="Q115" t="n">
        <v>1</v>
      </c>
      <c r="R115" s="2" t="inlineStr">
        <is>
          <t>Vedticka</t>
        </is>
      </c>
      <c r="S115">
        <f>HYPERLINK("https://klasma.github.io/Logging_0380/artfynd/A 36842-2025 artfynd.xlsx", "A 36842-2025")</f>
        <v/>
      </c>
      <c r="T115">
        <f>HYPERLINK("https://klasma.github.io/Logging_0380/kartor/A 36842-2025 karta.png", "A 36842-2025")</f>
        <v/>
      </c>
      <c r="V115">
        <f>HYPERLINK("https://klasma.github.io/Logging_0380/klagomål/A 36842-2025 FSC-klagomål.docx", "A 36842-2025")</f>
        <v/>
      </c>
      <c r="W115">
        <f>HYPERLINK("https://klasma.github.io/Logging_0380/klagomålsmail/A 36842-2025 FSC-klagomål mail.docx", "A 36842-2025")</f>
        <v/>
      </c>
      <c r="X115">
        <f>HYPERLINK("https://klasma.github.io/Logging_0380/tillsyn/A 36842-2025 tillsynsbegäran.docx", "A 36842-2025")</f>
        <v/>
      </c>
      <c r="Y115">
        <f>HYPERLINK("https://klasma.github.io/Logging_0380/tillsynsmail/A 36842-2025 tillsynsbegäran mail.docx", "A 36842-2025")</f>
        <v/>
      </c>
    </row>
    <row r="116" ht="15" customHeight="1">
      <c r="A116" t="inlineStr">
        <is>
          <t>A 37004-2025</t>
        </is>
      </c>
      <c r="B116" s="1" t="n">
        <v>45874.69282407407</v>
      </c>
      <c r="C116" s="1" t="n">
        <v>45964</v>
      </c>
      <c r="D116" t="inlineStr">
        <is>
          <t>UPPSALA LÄN</t>
        </is>
      </c>
      <c r="E116" t="inlineStr">
        <is>
          <t>UPPSALA</t>
        </is>
      </c>
      <c r="G116" t="n">
        <v>15.8</v>
      </c>
      <c r="H116" t="n">
        <v>1</v>
      </c>
      <c r="I116" t="n">
        <v>0</v>
      </c>
      <c r="J116" t="n">
        <v>0</v>
      </c>
      <c r="K116" t="n">
        <v>0</v>
      </c>
      <c r="L116" t="n">
        <v>0</v>
      </c>
      <c r="M116" t="n">
        <v>0</v>
      </c>
      <c r="N116" t="n">
        <v>0</v>
      </c>
      <c r="O116" t="n">
        <v>0</v>
      </c>
      <c r="P116" t="n">
        <v>0</v>
      </c>
      <c r="Q116" t="n">
        <v>1</v>
      </c>
      <c r="R116" s="2" t="inlineStr">
        <is>
          <t>Vanlig padda</t>
        </is>
      </c>
      <c r="S116">
        <f>HYPERLINK("https://klasma.github.io/Logging_0380/artfynd/A 37004-2025 artfynd.xlsx", "A 37004-2025")</f>
        <v/>
      </c>
      <c r="T116">
        <f>HYPERLINK("https://klasma.github.io/Logging_0380/kartor/A 37004-2025 karta.png", "A 37004-2025")</f>
        <v/>
      </c>
      <c r="V116">
        <f>HYPERLINK("https://klasma.github.io/Logging_0380/klagomål/A 37004-2025 FSC-klagomål.docx", "A 37004-2025")</f>
        <v/>
      </c>
      <c r="W116">
        <f>HYPERLINK("https://klasma.github.io/Logging_0380/klagomålsmail/A 37004-2025 FSC-klagomål mail.docx", "A 37004-2025")</f>
        <v/>
      </c>
      <c r="X116">
        <f>HYPERLINK("https://klasma.github.io/Logging_0380/tillsyn/A 37004-2025 tillsynsbegäran.docx", "A 37004-2025")</f>
        <v/>
      </c>
      <c r="Y116">
        <f>HYPERLINK("https://klasma.github.io/Logging_0380/tillsynsmail/A 37004-2025 tillsynsbegäran mail.docx", "A 37004-2025")</f>
        <v/>
      </c>
    </row>
    <row r="117" ht="15" customHeight="1">
      <c r="A117" t="inlineStr">
        <is>
          <t>A 18373-2025</t>
        </is>
      </c>
      <c r="B117" s="1" t="n">
        <v>45762.57244212963</v>
      </c>
      <c r="C117" s="1" t="n">
        <v>45964</v>
      </c>
      <c r="D117" t="inlineStr">
        <is>
          <t>UPPSALA LÄN</t>
        </is>
      </c>
      <c r="E117" t="inlineStr">
        <is>
          <t>UPPSALA</t>
        </is>
      </c>
      <c r="G117" t="n">
        <v>9.5</v>
      </c>
      <c r="H117" t="n">
        <v>0</v>
      </c>
      <c r="I117" t="n">
        <v>0</v>
      </c>
      <c r="J117" t="n">
        <v>1</v>
      </c>
      <c r="K117" t="n">
        <v>0</v>
      </c>
      <c r="L117" t="n">
        <v>0</v>
      </c>
      <c r="M117" t="n">
        <v>0</v>
      </c>
      <c r="N117" t="n">
        <v>0</v>
      </c>
      <c r="O117" t="n">
        <v>1</v>
      </c>
      <c r="P117" t="n">
        <v>0</v>
      </c>
      <c r="Q117" t="n">
        <v>1</v>
      </c>
      <c r="R117" s="2" t="inlineStr">
        <is>
          <t>Ullticka</t>
        </is>
      </c>
      <c r="S117">
        <f>HYPERLINK("https://klasma.github.io/Logging_0380/artfynd/A 18373-2025 artfynd.xlsx", "A 18373-2025")</f>
        <v/>
      </c>
      <c r="T117">
        <f>HYPERLINK("https://klasma.github.io/Logging_0380/kartor/A 18373-2025 karta.png", "A 18373-2025")</f>
        <v/>
      </c>
      <c r="V117">
        <f>HYPERLINK("https://klasma.github.io/Logging_0380/klagomål/A 18373-2025 FSC-klagomål.docx", "A 18373-2025")</f>
        <v/>
      </c>
      <c r="W117">
        <f>HYPERLINK("https://klasma.github.io/Logging_0380/klagomålsmail/A 18373-2025 FSC-klagomål mail.docx", "A 18373-2025")</f>
        <v/>
      </c>
      <c r="X117">
        <f>HYPERLINK("https://klasma.github.io/Logging_0380/tillsyn/A 18373-2025 tillsynsbegäran.docx", "A 18373-2025")</f>
        <v/>
      </c>
      <c r="Y117">
        <f>HYPERLINK("https://klasma.github.io/Logging_0380/tillsynsmail/A 18373-2025 tillsynsbegäran mail.docx", "A 18373-2025")</f>
        <v/>
      </c>
    </row>
    <row r="118" ht="15" customHeight="1">
      <c r="A118" t="inlineStr">
        <is>
          <t>A 29902-2023</t>
        </is>
      </c>
      <c r="B118" s="1" t="n">
        <v>45107</v>
      </c>
      <c r="C118" s="1" t="n">
        <v>45964</v>
      </c>
      <c r="D118" t="inlineStr">
        <is>
          <t>UPPSALA LÄN</t>
        </is>
      </c>
      <c r="E118" t="inlineStr">
        <is>
          <t>UPPSALA</t>
        </is>
      </c>
      <c r="F118" t="inlineStr">
        <is>
          <t>Kyrkan</t>
        </is>
      </c>
      <c r="G118" t="n">
        <v>10.6</v>
      </c>
      <c r="H118" t="n">
        <v>1</v>
      </c>
      <c r="I118" t="n">
        <v>0</v>
      </c>
      <c r="J118" t="n">
        <v>1</v>
      </c>
      <c r="K118" t="n">
        <v>0</v>
      </c>
      <c r="L118" t="n">
        <v>0</v>
      </c>
      <c r="M118" t="n">
        <v>0</v>
      </c>
      <c r="N118" t="n">
        <v>0</v>
      </c>
      <c r="O118" t="n">
        <v>1</v>
      </c>
      <c r="P118" t="n">
        <v>0</v>
      </c>
      <c r="Q118" t="n">
        <v>1</v>
      </c>
      <c r="R118" s="2" t="inlineStr">
        <is>
          <t>Järpe</t>
        </is>
      </c>
      <c r="S118">
        <f>HYPERLINK("https://klasma.github.io/Logging_0380/artfynd/A 29902-2023 artfynd.xlsx", "A 29902-2023")</f>
        <v/>
      </c>
      <c r="T118">
        <f>HYPERLINK("https://klasma.github.io/Logging_0380/kartor/A 29902-2023 karta.png", "A 29902-2023")</f>
        <v/>
      </c>
      <c r="V118">
        <f>HYPERLINK("https://klasma.github.io/Logging_0380/klagomål/A 29902-2023 FSC-klagomål.docx", "A 29902-2023")</f>
        <v/>
      </c>
      <c r="W118">
        <f>HYPERLINK("https://klasma.github.io/Logging_0380/klagomålsmail/A 29902-2023 FSC-klagomål mail.docx", "A 29902-2023")</f>
        <v/>
      </c>
      <c r="X118">
        <f>HYPERLINK("https://klasma.github.io/Logging_0380/tillsyn/A 29902-2023 tillsynsbegäran.docx", "A 29902-2023")</f>
        <v/>
      </c>
      <c r="Y118">
        <f>HYPERLINK("https://klasma.github.io/Logging_0380/tillsynsmail/A 29902-2023 tillsynsbegäran mail.docx", "A 29902-2023")</f>
        <v/>
      </c>
      <c r="Z118">
        <f>HYPERLINK("https://klasma.github.io/Logging_0380/fåglar/A 29902-2023 prioriterade fågelarter.docx", "A 29902-2023")</f>
        <v/>
      </c>
    </row>
    <row r="119" ht="15" customHeight="1">
      <c r="A119" t="inlineStr">
        <is>
          <t>A 40568-2025</t>
        </is>
      </c>
      <c r="B119" s="1" t="n">
        <v>45896.47487268518</v>
      </c>
      <c r="C119" s="1" t="n">
        <v>45964</v>
      </c>
      <c r="D119" t="inlineStr">
        <is>
          <t>UPPSALA LÄN</t>
        </is>
      </c>
      <c r="E119" t="inlineStr">
        <is>
          <t>UPPSALA</t>
        </is>
      </c>
      <c r="F119" t="inlineStr">
        <is>
          <t>Kyrkan</t>
        </is>
      </c>
      <c r="G119" t="n">
        <v>2.1</v>
      </c>
      <c r="H119" t="n">
        <v>0</v>
      </c>
      <c r="I119" t="n">
        <v>1</v>
      </c>
      <c r="J119" t="n">
        <v>0</v>
      </c>
      <c r="K119" t="n">
        <v>0</v>
      </c>
      <c r="L119" t="n">
        <v>0</v>
      </c>
      <c r="M119" t="n">
        <v>0</v>
      </c>
      <c r="N119" t="n">
        <v>0</v>
      </c>
      <c r="O119" t="n">
        <v>0</v>
      </c>
      <c r="P119" t="n">
        <v>0</v>
      </c>
      <c r="Q119" t="n">
        <v>1</v>
      </c>
      <c r="R119" s="2" t="inlineStr">
        <is>
          <t>Rödgul trumpetsvamp</t>
        </is>
      </c>
      <c r="S119">
        <f>HYPERLINK("https://klasma.github.io/Logging_0380/artfynd/A 40568-2025 artfynd.xlsx", "A 40568-2025")</f>
        <v/>
      </c>
      <c r="T119">
        <f>HYPERLINK("https://klasma.github.io/Logging_0380/kartor/A 40568-2025 karta.png", "A 40568-2025")</f>
        <v/>
      </c>
      <c r="V119">
        <f>HYPERLINK("https://klasma.github.io/Logging_0380/klagomål/A 40568-2025 FSC-klagomål.docx", "A 40568-2025")</f>
        <v/>
      </c>
      <c r="W119">
        <f>HYPERLINK("https://klasma.github.io/Logging_0380/klagomålsmail/A 40568-2025 FSC-klagomål mail.docx", "A 40568-2025")</f>
        <v/>
      </c>
      <c r="X119">
        <f>HYPERLINK("https://klasma.github.io/Logging_0380/tillsyn/A 40568-2025 tillsynsbegäran.docx", "A 40568-2025")</f>
        <v/>
      </c>
      <c r="Y119">
        <f>HYPERLINK("https://klasma.github.io/Logging_0380/tillsynsmail/A 40568-2025 tillsynsbegäran mail.docx", "A 40568-2025")</f>
        <v/>
      </c>
    </row>
    <row r="120" ht="15" customHeight="1">
      <c r="A120" t="inlineStr">
        <is>
          <t>A 41606-2025</t>
        </is>
      </c>
      <c r="B120" s="1" t="n">
        <v>45901.66702546296</v>
      </c>
      <c r="C120" s="1" t="n">
        <v>45964</v>
      </c>
      <c r="D120" t="inlineStr">
        <is>
          <t>UPPSALA LÄN</t>
        </is>
      </c>
      <c r="E120" t="inlineStr">
        <is>
          <t>UPPSALA</t>
        </is>
      </c>
      <c r="G120" t="n">
        <v>5.1</v>
      </c>
      <c r="H120" t="n">
        <v>0</v>
      </c>
      <c r="I120" t="n">
        <v>1</v>
      </c>
      <c r="J120" t="n">
        <v>0</v>
      </c>
      <c r="K120" t="n">
        <v>0</v>
      </c>
      <c r="L120" t="n">
        <v>0</v>
      </c>
      <c r="M120" t="n">
        <v>0</v>
      </c>
      <c r="N120" t="n">
        <v>0</v>
      </c>
      <c r="O120" t="n">
        <v>0</v>
      </c>
      <c r="P120" t="n">
        <v>0</v>
      </c>
      <c r="Q120" t="n">
        <v>1</v>
      </c>
      <c r="R120" s="2" t="inlineStr">
        <is>
          <t>Granbräken</t>
        </is>
      </c>
      <c r="S120">
        <f>HYPERLINK("https://klasma.github.io/Logging_0380/artfynd/A 41606-2025 artfynd.xlsx", "A 41606-2025")</f>
        <v/>
      </c>
      <c r="T120">
        <f>HYPERLINK("https://klasma.github.io/Logging_0380/kartor/A 41606-2025 karta.png", "A 41606-2025")</f>
        <v/>
      </c>
      <c r="V120">
        <f>HYPERLINK("https://klasma.github.io/Logging_0380/klagomål/A 41606-2025 FSC-klagomål.docx", "A 41606-2025")</f>
        <v/>
      </c>
      <c r="W120">
        <f>HYPERLINK("https://klasma.github.io/Logging_0380/klagomålsmail/A 41606-2025 FSC-klagomål mail.docx", "A 41606-2025")</f>
        <v/>
      </c>
      <c r="X120">
        <f>HYPERLINK("https://klasma.github.io/Logging_0380/tillsyn/A 41606-2025 tillsynsbegäran.docx", "A 41606-2025")</f>
        <v/>
      </c>
      <c r="Y120">
        <f>HYPERLINK("https://klasma.github.io/Logging_0380/tillsynsmail/A 41606-2025 tillsynsbegäran mail.docx", "A 41606-2025")</f>
        <v/>
      </c>
    </row>
    <row r="121" ht="15" customHeight="1">
      <c r="A121" t="inlineStr">
        <is>
          <t>A 51475-2025</t>
        </is>
      </c>
      <c r="B121" s="1" t="n">
        <v>45950</v>
      </c>
      <c r="C121" s="1" t="n">
        <v>45964</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53593-2025</t>
        </is>
      </c>
      <c r="B122" s="1" t="n">
        <v>45960.44232638889</v>
      </c>
      <c r="C122" s="1" t="n">
        <v>45964</v>
      </c>
      <c r="D122" t="inlineStr">
        <is>
          <t>UPPSALA LÄN</t>
        </is>
      </c>
      <c r="E122" t="inlineStr">
        <is>
          <t>UPPSALA</t>
        </is>
      </c>
      <c r="G122" t="n">
        <v>10.6</v>
      </c>
      <c r="H122" t="n">
        <v>1</v>
      </c>
      <c r="I122" t="n">
        <v>0</v>
      </c>
      <c r="J122" t="n">
        <v>0</v>
      </c>
      <c r="K122" t="n">
        <v>1</v>
      </c>
      <c r="L122" t="n">
        <v>0</v>
      </c>
      <c r="M122" t="n">
        <v>0</v>
      </c>
      <c r="N122" t="n">
        <v>0</v>
      </c>
      <c r="O122" t="n">
        <v>1</v>
      </c>
      <c r="P122" t="n">
        <v>1</v>
      </c>
      <c r="Q122" t="n">
        <v>1</v>
      </c>
      <c r="R122" s="2" t="inlineStr">
        <is>
          <t>Knärot</t>
        </is>
      </c>
      <c r="S122">
        <f>HYPERLINK("https://klasma.github.io/Logging_0380/artfynd/A 53593-2025 artfynd.xlsx", "A 53593-2025")</f>
        <v/>
      </c>
      <c r="T122">
        <f>HYPERLINK("https://klasma.github.io/Logging_0380/kartor/A 53593-2025 karta.png", "A 53593-2025")</f>
        <v/>
      </c>
      <c r="U122">
        <f>HYPERLINK("https://klasma.github.io/Logging_0380/knärot/A 53593-2025 karta knärot.png", "A 53593-2025")</f>
        <v/>
      </c>
      <c r="V122">
        <f>HYPERLINK("https://klasma.github.io/Logging_0380/klagomål/A 53593-2025 FSC-klagomål.docx", "A 53593-2025")</f>
        <v/>
      </c>
      <c r="W122">
        <f>HYPERLINK("https://klasma.github.io/Logging_0380/klagomålsmail/A 53593-2025 FSC-klagomål mail.docx", "A 53593-2025")</f>
        <v/>
      </c>
      <c r="X122">
        <f>HYPERLINK("https://klasma.github.io/Logging_0380/tillsyn/A 53593-2025 tillsynsbegäran.docx", "A 53593-2025")</f>
        <v/>
      </c>
      <c r="Y122">
        <f>HYPERLINK("https://klasma.github.io/Logging_0380/tillsynsmail/A 53593-2025 tillsynsbegäran mail.docx", "A 53593-2025")</f>
        <v/>
      </c>
    </row>
    <row r="123" ht="15" customHeight="1">
      <c r="A123" t="inlineStr">
        <is>
          <t>A 58288-2020</t>
        </is>
      </c>
      <c r="B123" s="1" t="n">
        <v>44144</v>
      </c>
      <c r="C123" s="1" t="n">
        <v>45964</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45964</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45964</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45964</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45964</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45964</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45964</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45964</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45964</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45964</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45964</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45964</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45964</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45964</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45964</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45964</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45964</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45964</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45964</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45964</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45964</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45964</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45964</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45964</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45964</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45964</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45964</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45964</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45964</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45964</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45964</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45964</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45964</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45964</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45964</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45964</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45964</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45964</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45964</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45964</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45964</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45964</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5663-2021</t>
        </is>
      </c>
      <c r="B165" s="1" t="n">
        <v>44230</v>
      </c>
      <c r="C165" s="1" t="n">
        <v>45964</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45964</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45964</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45964</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45964</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45964</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45964</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45964</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45964</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45964</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45964</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45964</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45964</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45964</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45964</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45964</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45964</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45964</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35539-2022</t>
        </is>
      </c>
      <c r="B183" s="1" t="n">
        <v>44799.36359953704</v>
      </c>
      <c r="C183" s="1" t="n">
        <v>45964</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20265-2022</t>
        </is>
      </c>
      <c r="B184" s="1" t="n">
        <v>44698.67151620371</v>
      </c>
      <c r="C184" s="1" t="n">
        <v>45964</v>
      </c>
      <c r="D184" t="inlineStr">
        <is>
          <t>UPPSALA LÄN</t>
        </is>
      </c>
      <c r="E184" t="inlineStr">
        <is>
          <t>UPPSALA</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14022-2021</t>
        </is>
      </c>
      <c r="B185" s="1" t="n">
        <v>44277.65263888889</v>
      </c>
      <c r="C185" s="1" t="n">
        <v>45964</v>
      </c>
      <c r="D185" t="inlineStr">
        <is>
          <t>UPPSALA LÄN</t>
        </is>
      </c>
      <c r="E185" t="inlineStr">
        <is>
          <t>UPPSALA</t>
        </is>
      </c>
      <c r="G185" t="n">
        <v>11.1</v>
      </c>
      <c r="H185" t="n">
        <v>0</v>
      </c>
      <c r="I185" t="n">
        <v>0</v>
      </c>
      <c r="J185" t="n">
        <v>0</v>
      </c>
      <c r="K185" t="n">
        <v>0</v>
      </c>
      <c r="L185" t="n">
        <v>0</v>
      </c>
      <c r="M185" t="n">
        <v>0</v>
      </c>
      <c r="N185" t="n">
        <v>0</v>
      </c>
      <c r="O185" t="n">
        <v>0</v>
      </c>
      <c r="P185" t="n">
        <v>0</v>
      </c>
      <c r="Q185" t="n">
        <v>0</v>
      </c>
      <c r="R185" s="2" t="inlineStr"/>
    </row>
    <row r="186" ht="15" customHeight="1">
      <c r="A186" t="inlineStr">
        <is>
          <t>A 2017-2022</t>
        </is>
      </c>
      <c r="B186" s="1" t="n">
        <v>44575</v>
      </c>
      <c r="C186" s="1" t="n">
        <v>45964</v>
      </c>
      <c r="D186" t="inlineStr">
        <is>
          <t>UPPSALA LÄN</t>
        </is>
      </c>
      <c r="E186" t="inlineStr">
        <is>
          <t>UPPSALA</t>
        </is>
      </c>
      <c r="G186" t="n">
        <v>1.1</v>
      </c>
      <c r="H186" t="n">
        <v>0</v>
      </c>
      <c r="I186" t="n">
        <v>0</v>
      </c>
      <c r="J186" t="n">
        <v>0</v>
      </c>
      <c r="K186" t="n">
        <v>0</v>
      </c>
      <c r="L186" t="n">
        <v>0</v>
      </c>
      <c r="M186" t="n">
        <v>0</v>
      </c>
      <c r="N186" t="n">
        <v>0</v>
      </c>
      <c r="O186" t="n">
        <v>0</v>
      </c>
      <c r="P186" t="n">
        <v>0</v>
      </c>
      <c r="Q186" t="n">
        <v>0</v>
      </c>
      <c r="R186" s="2" t="inlineStr"/>
    </row>
    <row r="187" ht="15" customHeight="1">
      <c r="A187" t="inlineStr">
        <is>
          <t>A 19382-2022</t>
        </is>
      </c>
      <c r="B187" s="1" t="n">
        <v>44692.87630787037</v>
      </c>
      <c r="C187" s="1" t="n">
        <v>45964</v>
      </c>
      <c r="D187" t="inlineStr">
        <is>
          <t>UPPSALA LÄN</t>
        </is>
      </c>
      <c r="E187" t="inlineStr">
        <is>
          <t>UPPSALA</t>
        </is>
      </c>
      <c r="G187" t="n">
        <v>4.3</v>
      </c>
      <c r="H187" t="n">
        <v>0</v>
      </c>
      <c r="I187" t="n">
        <v>0</v>
      </c>
      <c r="J187" t="n">
        <v>0</v>
      </c>
      <c r="K187" t="n">
        <v>0</v>
      </c>
      <c r="L187" t="n">
        <v>0</v>
      </c>
      <c r="M187" t="n">
        <v>0</v>
      </c>
      <c r="N187" t="n">
        <v>0</v>
      </c>
      <c r="O187" t="n">
        <v>0</v>
      </c>
      <c r="P187" t="n">
        <v>0</v>
      </c>
      <c r="Q187" t="n">
        <v>0</v>
      </c>
      <c r="R187" s="2" t="inlineStr"/>
    </row>
    <row r="188" ht="15" customHeight="1">
      <c r="A188" t="inlineStr">
        <is>
          <t>A 1936-2022</t>
        </is>
      </c>
      <c r="B188" s="1" t="n">
        <v>44575.4366087963</v>
      </c>
      <c r="C188" s="1" t="n">
        <v>45964</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5996-2022</t>
        </is>
      </c>
      <c r="B189" s="1" t="n">
        <v>44599.43265046296</v>
      </c>
      <c r="C189" s="1" t="n">
        <v>45964</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22946-2021</t>
        </is>
      </c>
      <c r="B190" s="1" t="n">
        <v>44328.57100694445</v>
      </c>
      <c r="C190" s="1" t="n">
        <v>45964</v>
      </c>
      <c r="D190" t="inlineStr">
        <is>
          <t>UPPSALA LÄN</t>
        </is>
      </c>
      <c r="E190" t="inlineStr">
        <is>
          <t>UPPSALA</t>
        </is>
      </c>
      <c r="G190" t="n">
        <v>2.3</v>
      </c>
      <c r="H190" t="n">
        <v>0</v>
      </c>
      <c r="I190" t="n">
        <v>0</v>
      </c>
      <c r="J190" t="n">
        <v>0</v>
      </c>
      <c r="K190" t="n">
        <v>0</v>
      </c>
      <c r="L190" t="n">
        <v>0</v>
      </c>
      <c r="M190" t="n">
        <v>0</v>
      </c>
      <c r="N190" t="n">
        <v>0</v>
      </c>
      <c r="O190" t="n">
        <v>0</v>
      </c>
      <c r="P190" t="n">
        <v>0</v>
      </c>
      <c r="Q190" t="n">
        <v>0</v>
      </c>
      <c r="R190" s="2" t="inlineStr"/>
    </row>
    <row r="191" ht="15" customHeight="1">
      <c r="A191" t="inlineStr">
        <is>
          <t>A 31646-2021</t>
        </is>
      </c>
      <c r="B191" s="1" t="n">
        <v>44369</v>
      </c>
      <c r="C191" s="1" t="n">
        <v>45964</v>
      </c>
      <c r="D191" t="inlineStr">
        <is>
          <t>UPPSALA LÄN</t>
        </is>
      </c>
      <c r="E191" t="inlineStr">
        <is>
          <t>UPPSALA</t>
        </is>
      </c>
      <c r="G191" t="n">
        <v>1.7</v>
      </c>
      <c r="H191" t="n">
        <v>0</v>
      </c>
      <c r="I191" t="n">
        <v>0</v>
      </c>
      <c r="J191" t="n">
        <v>0</v>
      </c>
      <c r="K191" t="n">
        <v>0</v>
      </c>
      <c r="L191" t="n">
        <v>0</v>
      </c>
      <c r="M191" t="n">
        <v>0</v>
      </c>
      <c r="N191" t="n">
        <v>0</v>
      </c>
      <c r="O191" t="n">
        <v>0</v>
      </c>
      <c r="P191" t="n">
        <v>0</v>
      </c>
      <c r="Q191" t="n">
        <v>0</v>
      </c>
      <c r="R191" s="2" t="inlineStr"/>
    </row>
    <row r="192" ht="15" customHeight="1">
      <c r="A192" t="inlineStr">
        <is>
          <t>A 50092-2022</t>
        </is>
      </c>
      <c r="B192" s="1" t="n">
        <v>44865</v>
      </c>
      <c r="C192" s="1" t="n">
        <v>45964</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51396-2021</t>
        </is>
      </c>
      <c r="B193" s="1" t="n">
        <v>44461.73350694445</v>
      </c>
      <c r="C193" s="1" t="n">
        <v>45964</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71675-2021</t>
        </is>
      </c>
      <c r="B194" s="1" t="n">
        <v>44543</v>
      </c>
      <c r="C194" s="1" t="n">
        <v>45964</v>
      </c>
      <c r="D194" t="inlineStr">
        <is>
          <t>UPPSALA LÄN</t>
        </is>
      </c>
      <c r="E194" t="inlineStr">
        <is>
          <t>UPPSALA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51821-2021</t>
        </is>
      </c>
      <c r="B195" s="1" t="n">
        <v>44461</v>
      </c>
      <c r="C195" s="1" t="n">
        <v>45964</v>
      </c>
      <c r="D195" t="inlineStr">
        <is>
          <t>UPPSALA LÄN</t>
        </is>
      </c>
      <c r="E195" t="inlineStr">
        <is>
          <t>UPPSALA</t>
        </is>
      </c>
      <c r="F195" t="inlineStr">
        <is>
          <t>Övriga Aktiebolag</t>
        </is>
      </c>
      <c r="G195" t="n">
        <v>5.3</v>
      </c>
      <c r="H195" t="n">
        <v>0</v>
      </c>
      <c r="I195" t="n">
        <v>0</v>
      </c>
      <c r="J195" t="n">
        <v>0</v>
      </c>
      <c r="K195" t="n">
        <v>0</v>
      </c>
      <c r="L195" t="n">
        <v>0</v>
      </c>
      <c r="M195" t="n">
        <v>0</v>
      </c>
      <c r="N195" t="n">
        <v>0</v>
      </c>
      <c r="O195" t="n">
        <v>0</v>
      </c>
      <c r="P195" t="n">
        <v>0</v>
      </c>
      <c r="Q195" t="n">
        <v>0</v>
      </c>
      <c r="R195" s="2" t="inlineStr"/>
    </row>
    <row r="196" ht="15" customHeight="1">
      <c r="A196" t="inlineStr">
        <is>
          <t>A 34838-2021</t>
        </is>
      </c>
      <c r="B196" s="1" t="n">
        <v>44383</v>
      </c>
      <c r="C196" s="1" t="n">
        <v>45964</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5081-2022</t>
        </is>
      </c>
      <c r="B197" s="1" t="n">
        <v>44593</v>
      </c>
      <c r="C197" s="1" t="n">
        <v>45964</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45964</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33920-2021</t>
        </is>
      </c>
      <c r="B199" s="1" t="n">
        <v>44378.69857638889</v>
      </c>
      <c r="C199" s="1" t="n">
        <v>45964</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46097-2021</t>
        </is>
      </c>
      <c r="B200" s="1" t="n">
        <v>44442.35195601852</v>
      </c>
      <c r="C200" s="1" t="n">
        <v>45964</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46099-2021</t>
        </is>
      </c>
      <c r="B201" s="1" t="n">
        <v>44442</v>
      </c>
      <c r="C201" s="1" t="n">
        <v>45964</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62865-2021</t>
        </is>
      </c>
      <c r="B202" s="1" t="n">
        <v>44504.59193287037</v>
      </c>
      <c r="C202" s="1" t="n">
        <v>45964</v>
      </c>
      <c r="D202" t="inlineStr">
        <is>
          <t>UPPSALA LÄN</t>
        </is>
      </c>
      <c r="E202" t="inlineStr">
        <is>
          <t>UPPSALA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45964</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45964</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45849-2022</t>
        </is>
      </c>
      <c r="B205" s="1" t="n">
        <v>44846</v>
      </c>
      <c r="C205" s="1" t="n">
        <v>45964</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45964</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45964</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58767-2021</t>
        </is>
      </c>
      <c r="B208" s="1" t="n">
        <v>44489</v>
      </c>
      <c r="C208" s="1" t="n">
        <v>45964</v>
      </c>
      <c r="D208" t="inlineStr">
        <is>
          <t>UPPSALA LÄN</t>
        </is>
      </c>
      <c r="E208" t="inlineStr">
        <is>
          <t>UPPSALA</t>
        </is>
      </c>
      <c r="G208" t="n">
        <v>4.8</v>
      </c>
      <c r="H208" t="n">
        <v>0</v>
      </c>
      <c r="I208" t="n">
        <v>0</v>
      </c>
      <c r="J208" t="n">
        <v>0</v>
      </c>
      <c r="K208" t="n">
        <v>0</v>
      </c>
      <c r="L208" t="n">
        <v>0</v>
      </c>
      <c r="M208" t="n">
        <v>0</v>
      </c>
      <c r="N208" t="n">
        <v>0</v>
      </c>
      <c r="O208" t="n">
        <v>0</v>
      </c>
      <c r="P208" t="n">
        <v>0</v>
      </c>
      <c r="Q208" t="n">
        <v>0</v>
      </c>
      <c r="R208" s="2" t="inlineStr"/>
    </row>
    <row r="209" ht="15" customHeight="1">
      <c r="A209" t="inlineStr">
        <is>
          <t>A 71643-2021</t>
        </is>
      </c>
      <c r="B209" s="1" t="n">
        <v>44543.34697916666</v>
      </c>
      <c r="C209" s="1" t="n">
        <v>45964</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45964</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45964</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60032-2021</t>
        </is>
      </c>
      <c r="B212" s="1" t="n">
        <v>44495</v>
      </c>
      <c r="C212" s="1" t="n">
        <v>45964</v>
      </c>
      <c r="D212" t="inlineStr">
        <is>
          <t>UPPSALA LÄN</t>
        </is>
      </c>
      <c r="E212" t="inlineStr">
        <is>
          <t>UPPSALA</t>
        </is>
      </c>
      <c r="G212" t="n">
        <v>1.8</v>
      </c>
      <c r="H212" t="n">
        <v>0</v>
      </c>
      <c r="I212" t="n">
        <v>0</v>
      </c>
      <c r="J212" t="n">
        <v>0</v>
      </c>
      <c r="K212" t="n">
        <v>0</v>
      </c>
      <c r="L212" t="n">
        <v>0</v>
      </c>
      <c r="M212" t="n">
        <v>0</v>
      </c>
      <c r="N212" t="n">
        <v>0</v>
      </c>
      <c r="O212" t="n">
        <v>0</v>
      </c>
      <c r="P212" t="n">
        <v>0</v>
      </c>
      <c r="Q212" t="n">
        <v>0</v>
      </c>
      <c r="R212" s="2" t="inlineStr"/>
    </row>
    <row r="213" ht="15" customHeight="1">
      <c r="A213" t="inlineStr">
        <is>
          <t>A 43850-2022</t>
        </is>
      </c>
      <c r="B213" s="1" t="n">
        <v>44838.40635416667</v>
      </c>
      <c r="C213" s="1" t="n">
        <v>45964</v>
      </c>
      <c r="D213" t="inlineStr">
        <is>
          <t>UPPSALA LÄN</t>
        </is>
      </c>
      <c r="E213" t="inlineStr">
        <is>
          <t>UPPSALA</t>
        </is>
      </c>
      <c r="G213" t="n">
        <v>0.6</v>
      </c>
      <c r="H213" t="n">
        <v>0</v>
      </c>
      <c r="I213" t="n">
        <v>0</v>
      </c>
      <c r="J213" t="n">
        <v>0</v>
      </c>
      <c r="K213" t="n">
        <v>0</v>
      </c>
      <c r="L213" t="n">
        <v>0</v>
      </c>
      <c r="M213" t="n">
        <v>0</v>
      </c>
      <c r="N213" t="n">
        <v>0</v>
      </c>
      <c r="O213" t="n">
        <v>0</v>
      </c>
      <c r="P213" t="n">
        <v>0</v>
      </c>
      <c r="Q213" t="n">
        <v>0</v>
      </c>
      <c r="R213" s="2" t="inlineStr"/>
    </row>
    <row r="214" ht="15" customHeight="1">
      <c r="A214" t="inlineStr">
        <is>
          <t>A 51050-2021</t>
        </is>
      </c>
      <c r="B214" s="1" t="n">
        <v>44459</v>
      </c>
      <c r="C214" s="1" t="n">
        <v>45964</v>
      </c>
      <c r="D214" t="inlineStr">
        <is>
          <t>UPPSALA LÄN</t>
        </is>
      </c>
      <c r="E214" t="inlineStr">
        <is>
          <t>UPPSALA</t>
        </is>
      </c>
      <c r="F214" t="inlineStr">
        <is>
          <t>Övriga Aktiebolag</t>
        </is>
      </c>
      <c r="G214" t="n">
        <v>7.5</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45964</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16978-2022</t>
        </is>
      </c>
      <c r="B216" s="1" t="n">
        <v>44676</v>
      </c>
      <c r="C216" s="1" t="n">
        <v>45964</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66927-2021</t>
        </is>
      </c>
      <c r="B217" s="1" t="n">
        <v>44522.55518518519</v>
      </c>
      <c r="C217" s="1" t="n">
        <v>45964</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15377-2022</t>
        </is>
      </c>
      <c r="B218" s="1" t="n">
        <v>44659.57912037037</v>
      </c>
      <c r="C218" s="1" t="n">
        <v>45964</v>
      </c>
      <c r="D218" t="inlineStr">
        <is>
          <t>UPPSALA LÄN</t>
        </is>
      </c>
      <c r="E218" t="inlineStr">
        <is>
          <t>UPPSALA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55823-2021</t>
        </is>
      </c>
      <c r="B219" s="1" t="n">
        <v>44476.61263888889</v>
      </c>
      <c r="C219" s="1" t="n">
        <v>45964</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34061-2022</t>
        </is>
      </c>
      <c r="B220" s="1" t="n">
        <v>44791.38336805555</v>
      </c>
      <c r="C220" s="1" t="n">
        <v>45964</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62504-2020</t>
        </is>
      </c>
      <c r="B221" s="1" t="n">
        <v>44160</v>
      </c>
      <c r="C221" s="1" t="n">
        <v>45964</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46079-2022</t>
        </is>
      </c>
      <c r="B222" s="1" t="n">
        <v>44847.35622685185</v>
      </c>
      <c r="C222" s="1" t="n">
        <v>45964</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65964-2021</t>
        </is>
      </c>
      <c r="B223" s="1" t="n">
        <v>44517</v>
      </c>
      <c r="C223" s="1" t="n">
        <v>45964</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21394-2022</t>
        </is>
      </c>
      <c r="B224" s="1" t="n">
        <v>44705.84535879629</v>
      </c>
      <c r="C224" s="1" t="n">
        <v>45964</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11693-2022</t>
        </is>
      </c>
      <c r="B225" s="1" t="n">
        <v>44634</v>
      </c>
      <c r="C225" s="1" t="n">
        <v>45964</v>
      </c>
      <c r="D225" t="inlineStr">
        <is>
          <t>UPPSALA LÄN</t>
        </is>
      </c>
      <c r="E225" t="inlineStr">
        <is>
          <t>UPPSALA</t>
        </is>
      </c>
      <c r="G225" t="n">
        <v>4</v>
      </c>
      <c r="H225" t="n">
        <v>0</v>
      </c>
      <c r="I225" t="n">
        <v>0</v>
      </c>
      <c r="J225" t="n">
        <v>0</v>
      </c>
      <c r="K225" t="n">
        <v>0</v>
      </c>
      <c r="L225" t="n">
        <v>0</v>
      </c>
      <c r="M225" t="n">
        <v>0</v>
      </c>
      <c r="N225" t="n">
        <v>0</v>
      </c>
      <c r="O225" t="n">
        <v>0</v>
      </c>
      <c r="P225" t="n">
        <v>0</v>
      </c>
      <c r="Q225" t="n">
        <v>0</v>
      </c>
      <c r="R225" s="2" t="inlineStr"/>
    </row>
    <row r="226" ht="15" customHeight="1">
      <c r="A226" t="inlineStr">
        <is>
          <t>A 10464-2022</t>
        </is>
      </c>
      <c r="B226" s="1" t="n">
        <v>44623</v>
      </c>
      <c r="C226" s="1" t="n">
        <v>45964</v>
      </c>
      <c r="D226" t="inlineStr">
        <is>
          <t>UPPSALA LÄN</t>
        </is>
      </c>
      <c r="E226" t="inlineStr">
        <is>
          <t>UPPSALA</t>
        </is>
      </c>
      <c r="F226" t="inlineStr">
        <is>
          <t>Övriga Aktiebolag</t>
        </is>
      </c>
      <c r="G226" t="n">
        <v>0.7</v>
      </c>
      <c r="H226" t="n">
        <v>0</v>
      </c>
      <c r="I226" t="n">
        <v>0</v>
      </c>
      <c r="J226" t="n">
        <v>0</v>
      </c>
      <c r="K226" t="n">
        <v>0</v>
      </c>
      <c r="L226" t="n">
        <v>0</v>
      </c>
      <c r="M226" t="n">
        <v>0</v>
      </c>
      <c r="N226" t="n">
        <v>0</v>
      </c>
      <c r="O226" t="n">
        <v>0</v>
      </c>
      <c r="P226" t="n">
        <v>0</v>
      </c>
      <c r="Q226" t="n">
        <v>0</v>
      </c>
      <c r="R226" s="2" t="inlineStr"/>
    </row>
    <row r="227" ht="15" customHeight="1">
      <c r="A227" t="inlineStr">
        <is>
          <t>A 30580-2022</t>
        </is>
      </c>
      <c r="B227" s="1" t="n">
        <v>44762</v>
      </c>
      <c r="C227" s="1" t="n">
        <v>45964</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45964</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58058-2020</t>
        </is>
      </c>
      <c r="B229" s="1" t="n">
        <v>44144</v>
      </c>
      <c r="C229" s="1" t="n">
        <v>45964</v>
      </c>
      <c r="D229" t="inlineStr">
        <is>
          <t>UPPSALA LÄN</t>
        </is>
      </c>
      <c r="E229" t="inlineStr">
        <is>
          <t>UPPSALA</t>
        </is>
      </c>
      <c r="G229" t="n">
        <v>4.4</v>
      </c>
      <c r="H229" t="n">
        <v>0</v>
      </c>
      <c r="I229" t="n">
        <v>0</v>
      </c>
      <c r="J229" t="n">
        <v>0</v>
      </c>
      <c r="K229" t="n">
        <v>0</v>
      </c>
      <c r="L229" t="n">
        <v>0</v>
      </c>
      <c r="M229" t="n">
        <v>0</v>
      </c>
      <c r="N229" t="n">
        <v>0</v>
      </c>
      <c r="O229" t="n">
        <v>0</v>
      </c>
      <c r="P229" t="n">
        <v>0</v>
      </c>
      <c r="Q229" t="n">
        <v>0</v>
      </c>
      <c r="R229" s="2" t="inlineStr"/>
    </row>
    <row r="230" ht="15" customHeight="1">
      <c r="A230" t="inlineStr">
        <is>
          <t>A 15310-2022</t>
        </is>
      </c>
      <c r="B230" s="1" t="n">
        <v>44659</v>
      </c>
      <c r="C230" s="1" t="n">
        <v>45964</v>
      </c>
      <c r="D230" t="inlineStr">
        <is>
          <t>UPPSALA LÄN</t>
        </is>
      </c>
      <c r="E230" t="inlineStr">
        <is>
          <t>UPPSALA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45964</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5006-2022</t>
        </is>
      </c>
      <c r="B232" s="1" t="n">
        <v>44593</v>
      </c>
      <c r="C232" s="1" t="n">
        <v>45964</v>
      </c>
      <c r="D232" t="inlineStr">
        <is>
          <t>UPPSALA LÄN</t>
        </is>
      </c>
      <c r="E232" t="inlineStr">
        <is>
          <t>UPPSALA</t>
        </is>
      </c>
      <c r="F232" t="inlineStr">
        <is>
          <t>BillerudKorsnäs AB</t>
        </is>
      </c>
      <c r="G232" t="n">
        <v>1.4</v>
      </c>
      <c r="H232" t="n">
        <v>0</v>
      </c>
      <c r="I232" t="n">
        <v>0</v>
      </c>
      <c r="J232" t="n">
        <v>0</v>
      </c>
      <c r="K232" t="n">
        <v>0</v>
      </c>
      <c r="L232" t="n">
        <v>0</v>
      </c>
      <c r="M232" t="n">
        <v>0</v>
      </c>
      <c r="N232" t="n">
        <v>0</v>
      </c>
      <c r="O232" t="n">
        <v>0</v>
      </c>
      <c r="P232" t="n">
        <v>0</v>
      </c>
      <c r="Q232" t="n">
        <v>0</v>
      </c>
      <c r="R232" s="2" t="inlineStr"/>
    </row>
    <row r="233" ht="15" customHeight="1">
      <c r="A233" t="inlineStr">
        <is>
          <t>A 5007-2022</t>
        </is>
      </c>
      <c r="B233" s="1" t="n">
        <v>44593.61355324074</v>
      </c>
      <c r="C233" s="1" t="n">
        <v>45964</v>
      </c>
      <c r="D233" t="inlineStr">
        <is>
          <t>UPPSALA LÄN</t>
        </is>
      </c>
      <c r="E233" t="inlineStr">
        <is>
          <t>UPPSALA</t>
        </is>
      </c>
      <c r="F233" t="inlineStr">
        <is>
          <t>BillerudKorsnäs AB</t>
        </is>
      </c>
      <c r="G233" t="n">
        <v>3.6</v>
      </c>
      <c r="H233" t="n">
        <v>0</v>
      </c>
      <c r="I233" t="n">
        <v>0</v>
      </c>
      <c r="J233" t="n">
        <v>0</v>
      </c>
      <c r="K233" t="n">
        <v>0</v>
      </c>
      <c r="L233" t="n">
        <v>0</v>
      </c>
      <c r="M233" t="n">
        <v>0</v>
      </c>
      <c r="N233" t="n">
        <v>0</v>
      </c>
      <c r="O233" t="n">
        <v>0</v>
      </c>
      <c r="P233" t="n">
        <v>0</v>
      </c>
      <c r="Q233" t="n">
        <v>0</v>
      </c>
      <c r="R233" s="2" t="inlineStr"/>
    </row>
    <row r="234" ht="15" customHeight="1">
      <c r="A234" t="inlineStr">
        <is>
          <t>A 33332-2022</t>
        </is>
      </c>
      <c r="B234" s="1" t="n">
        <v>44788</v>
      </c>
      <c r="C234" s="1" t="n">
        <v>45964</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9201-2024</t>
        </is>
      </c>
      <c r="B235" s="1" t="n">
        <v>45358</v>
      </c>
      <c r="C235" s="1" t="n">
        <v>45964</v>
      </c>
      <c r="D235" t="inlineStr">
        <is>
          <t>UPPSALA LÄN</t>
        </is>
      </c>
      <c r="E235" t="inlineStr">
        <is>
          <t>UPPSALA</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27912-2023</t>
        </is>
      </c>
      <c r="B236" s="1" t="n">
        <v>45098.63572916666</v>
      </c>
      <c r="C236" s="1" t="n">
        <v>45964</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1592-2025</t>
        </is>
      </c>
      <c r="B237" s="1" t="n">
        <v>45670</v>
      </c>
      <c r="C237" s="1" t="n">
        <v>45964</v>
      </c>
      <c r="D237" t="inlineStr">
        <is>
          <t>UPPSALA LÄN</t>
        </is>
      </c>
      <c r="E237" t="inlineStr">
        <is>
          <t>UPPSALA</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2980-2025</t>
        </is>
      </c>
      <c r="B238" s="1" t="n">
        <v>45678</v>
      </c>
      <c r="C238" s="1" t="n">
        <v>45964</v>
      </c>
      <c r="D238" t="inlineStr">
        <is>
          <t>UPPSALA LÄN</t>
        </is>
      </c>
      <c r="E238" t="inlineStr">
        <is>
          <t>UPPSALA</t>
        </is>
      </c>
      <c r="G238" t="n">
        <v>5</v>
      </c>
      <c r="H238" t="n">
        <v>0</v>
      </c>
      <c r="I238" t="n">
        <v>0</v>
      </c>
      <c r="J238" t="n">
        <v>0</v>
      </c>
      <c r="K238" t="n">
        <v>0</v>
      </c>
      <c r="L238" t="n">
        <v>0</v>
      </c>
      <c r="M238" t="n">
        <v>0</v>
      </c>
      <c r="N238" t="n">
        <v>0</v>
      </c>
      <c r="O238" t="n">
        <v>0</v>
      </c>
      <c r="P238" t="n">
        <v>0</v>
      </c>
      <c r="Q238" t="n">
        <v>0</v>
      </c>
      <c r="R238" s="2" t="inlineStr"/>
    </row>
    <row r="239" ht="15" customHeight="1">
      <c r="A239" t="inlineStr">
        <is>
          <t>A 56679-2022</t>
        </is>
      </c>
      <c r="B239" s="1" t="n">
        <v>44893</v>
      </c>
      <c r="C239" s="1" t="n">
        <v>45964</v>
      </c>
      <c r="D239" t="inlineStr">
        <is>
          <t>UPPSALA LÄN</t>
        </is>
      </c>
      <c r="E239" t="inlineStr">
        <is>
          <t>UPPSALA</t>
        </is>
      </c>
      <c r="G239" t="n">
        <v>1.4</v>
      </c>
      <c r="H239" t="n">
        <v>0</v>
      </c>
      <c r="I239" t="n">
        <v>0</v>
      </c>
      <c r="J239" t="n">
        <v>0</v>
      </c>
      <c r="K239" t="n">
        <v>0</v>
      </c>
      <c r="L239" t="n">
        <v>0</v>
      </c>
      <c r="M239" t="n">
        <v>0</v>
      </c>
      <c r="N239" t="n">
        <v>0</v>
      </c>
      <c r="O239" t="n">
        <v>0</v>
      </c>
      <c r="P239" t="n">
        <v>0</v>
      </c>
      <c r="Q239" t="n">
        <v>0</v>
      </c>
      <c r="R239" s="2" t="inlineStr"/>
    </row>
    <row r="240" ht="15" customHeight="1">
      <c r="A240" t="inlineStr">
        <is>
          <t>A 8494-2021</t>
        </is>
      </c>
      <c r="B240" s="1" t="n">
        <v>44245</v>
      </c>
      <c r="C240" s="1" t="n">
        <v>45964</v>
      </c>
      <c r="D240" t="inlineStr">
        <is>
          <t>UPPSALA LÄN</t>
        </is>
      </c>
      <c r="E240" t="inlineStr">
        <is>
          <t>UPPSALA</t>
        </is>
      </c>
      <c r="G240" t="n">
        <v>1.3</v>
      </c>
      <c r="H240" t="n">
        <v>0</v>
      </c>
      <c r="I240" t="n">
        <v>0</v>
      </c>
      <c r="J240" t="n">
        <v>0</v>
      </c>
      <c r="K240" t="n">
        <v>0</v>
      </c>
      <c r="L240" t="n">
        <v>0</v>
      </c>
      <c r="M240" t="n">
        <v>0</v>
      </c>
      <c r="N240" t="n">
        <v>0</v>
      </c>
      <c r="O240" t="n">
        <v>0</v>
      </c>
      <c r="P240" t="n">
        <v>0</v>
      </c>
      <c r="Q240" t="n">
        <v>0</v>
      </c>
      <c r="R240" s="2" t="inlineStr"/>
    </row>
    <row r="241" ht="15" customHeight="1">
      <c r="A241" t="inlineStr">
        <is>
          <t>A 9611-2024</t>
        </is>
      </c>
      <c r="B241" s="1" t="n">
        <v>45361.57299768519</v>
      </c>
      <c r="C241" s="1" t="n">
        <v>45964</v>
      </c>
      <c r="D241" t="inlineStr">
        <is>
          <t>UPPSALA LÄN</t>
        </is>
      </c>
      <c r="E241" t="inlineStr">
        <is>
          <t>UPPSALA</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4059-2022</t>
        </is>
      </c>
      <c r="B242" s="1" t="n">
        <v>44588</v>
      </c>
      <c r="C242" s="1" t="n">
        <v>45964</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24091-2024</t>
        </is>
      </c>
      <c r="B243" s="1" t="n">
        <v>45456.58491898148</v>
      </c>
      <c r="C243" s="1" t="n">
        <v>45964</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54715-2022</t>
        </is>
      </c>
      <c r="B244" s="1" t="n">
        <v>44883</v>
      </c>
      <c r="C244" s="1" t="n">
        <v>45964</v>
      </c>
      <c r="D244" t="inlineStr">
        <is>
          <t>UPPSALA LÄN</t>
        </is>
      </c>
      <c r="E244" t="inlineStr">
        <is>
          <t>UPPSALA</t>
        </is>
      </c>
      <c r="F244" t="inlineStr">
        <is>
          <t>Övriga Aktiebolag</t>
        </is>
      </c>
      <c r="G244" t="n">
        <v>9.5</v>
      </c>
      <c r="H244" t="n">
        <v>0</v>
      </c>
      <c r="I244" t="n">
        <v>0</v>
      </c>
      <c r="J244" t="n">
        <v>0</v>
      </c>
      <c r="K244" t="n">
        <v>0</v>
      </c>
      <c r="L244" t="n">
        <v>0</v>
      </c>
      <c r="M244" t="n">
        <v>0</v>
      </c>
      <c r="N244" t="n">
        <v>0</v>
      </c>
      <c r="O244" t="n">
        <v>0</v>
      </c>
      <c r="P244" t="n">
        <v>0</v>
      </c>
      <c r="Q244" t="n">
        <v>0</v>
      </c>
      <c r="R244" s="2" t="inlineStr"/>
    </row>
    <row r="245" ht="15" customHeight="1">
      <c r="A245" t="inlineStr">
        <is>
          <t>A 6973-2025</t>
        </is>
      </c>
      <c r="B245" s="1" t="n">
        <v>45693</v>
      </c>
      <c r="C245" s="1" t="n">
        <v>45964</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74019-2021</t>
        </is>
      </c>
      <c r="B246" s="1" t="n">
        <v>44553</v>
      </c>
      <c r="C246" s="1" t="n">
        <v>45964</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19613-2025</t>
        </is>
      </c>
      <c r="B247" s="1" t="n">
        <v>45770.61341435185</v>
      </c>
      <c r="C247" s="1" t="n">
        <v>45964</v>
      </c>
      <c r="D247" t="inlineStr">
        <is>
          <t>UPPSALA LÄN</t>
        </is>
      </c>
      <c r="E247" t="inlineStr">
        <is>
          <t>UPPSALA</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45-2024</t>
        </is>
      </c>
      <c r="B248" s="1" t="n">
        <v>45293</v>
      </c>
      <c r="C248" s="1" t="n">
        <v>45964</v>
      </c>
      <c r="D248" t="inlineStr">
        <is>
          <t>UPPSALA LÄN</t>
        </is>
      </c>
      <c r="E248" t="inlineStr">
        <is>
          <t>UPPSALA</t>
        </is>
      </c>
      <c r="G248" t="n">
        <v>12.5</v>
      </c>
      <c r="H248" t="n">
        <v>0</v>
      </c>
      <c r="I248" t="n">
        <v>0</v>
      </c>
      <c r="J248" t="n">
        <v>0</v>
      </c>
      <c r="K248" t="n">
        <v>0</v>
      </c>
      <c r="L248" t="n">
        <v>0</v>
      </c>
      <c r="M248" t="n">
        <v>0</v>
      </c>
      <c r="N248" t="n">
        <v>0</v>
      </c>
      <c r="O248" t="n">
        <v>0</v>
      </c>
      <c r="P248" t="n">
        <v>0</v>
      </c>
      <c r="Q248" t="n">
        <v>0</v>
      </c>
      <c r="R248" s="2" t="inlineStr"/>
    </row>
    <row r="249" ht="15" customHeight="1">
      <c r="A249" t="inlineStr">
        <is>
          <t>A 60781-2023</t>
        </is>
      </c>
      <c r="B249" s="1" t="n">
        <v>45259</v>
      </c>
      <c r="C249" s="1" t="n">
        <v>45964</v>
      </c>
      <c r="D249" t="inlineStr">
        <is>
          <t>UPPSALA LÄN</t>
        </is>
      </c>
      <c r="E249" t="inlineStr">
        <is>
          <t>UPPSALA</t>
        </is>
      </c>
      <c r="G249" t="n">
        <v>4.1</v>
      </c>
      <c r="H249" t="n">
        <v>0</v>
      </c>
      <c r="I249" t="n">
        <v>0</v>
      </c>
      <c r="J249" t="n">
        <v>0</v>
      </c>
      <c r="K249" t="n">
        <v>0</v>
      </c>
      <c r="L249" t="n">
        <v>0</v>
      </c>
      <c r="M249" t="n">
        <v>0</v>
      </c>
      <c r="N249" t="n">
        <v>0</v>
      </c>
      <c r="O249" t="n">
        <v>0</v>
      </c>
      <c r="P249" t="n">
        <v>0</v>
      </c>
      <c r="Q249" t="n">
        <v>0</v>
      </c>
      <c r="R249" s="2" t="inlineStr"/>
    </row>
    <row r="250" ht="15" customHeight="1">
      <c r="A250" t="inlineStr">
        <is>
          <t>A 24787-2024</t>
        </is>
      </c>
      <c r="B250" s="1" t="n">
        <v>45460</v>
      </c>
      <c r="C250" s="1" t="n">
        <v>45964</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60167-2024</t>
        </is>
      </c>
      <c r="B251" s="1" t="n">
        <v>45642.63524305556</v>
      </c>
      <c r="C251" s="1" t="n">
        <v>45964</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18717-2025</t>
        </is>
      </c>
      <c r="B252" s="1" t="n">
        <v>45763.6503125</v>
      </c>
      <c r="C252" s="1" t="n">
        <v>45964</v>
      </c>
      <c r="D252" t="inlineStr">
        <is>
          <t>UPPSALA LÄN</t>
        </is>
      </c>
      <c r="E252" t="inlineStr">
        <is>
          <t>UPPSALA</t>
        </is>
      </c>
      <c r="G252" t="n">
        <v>1</v>
      </c>
      <c r="H252" t="n">
        <v>0</v>
      </c>
      <c r="I252" t="n">
        <v>0</v>
      </c>
      <c r="J252" t="n">
        <v>0</v>
      </c>
      <c r="K252" t="n">
        <v>0</v>
      </c>
      <c r="L252" t="n">
        <v>0</v>
      </c>
      <c r="M252" t="n">
        <v>0</v>
      </c>
      <c r="N252" t="n">
        <v>0</v>
      </c>
      <c r="O252" t="n">
        <v>0</v>
      </c>
      <c r="P252" t="n">
        <v>0</v>
      </c>
      <c r="Q252" t="n">
        <v>0</v>
      </c>
      <c r="R252" s="2" t="inlineStr"/>
    </row>
    <row r="253" ht="15" customHeight="1">
      <c r="A253" t="inlineStr">
        <is>
          <t>A 27119-2023</t>
        </is>
      </c>
      <c r="B253" s="1" t="n">
        <v>45096</v>
      </c>
      <c r="C253" s="1" t="n">
        <v>45964</v>
      </c>
      <c r="D253" t="inlineStr">
        <is>
          <t>UPPSALA LÄN</t>
        </is>
      </c>
      <c r="E253" t="inlineStr">
        <is>
          <t>UPPSALA</t>
        </is>
      </c>
      <c r="G253" t="n">
        <v>3.1</v>
      </c>
      <c r="H253" t="n">
        <v>0</v>
      </c>
      <c r="I253" t="n">
        <v>0</v>
      </c>
      <c r="J253" t="n">
        <v>0</v>
      </c>
      <c r="K253" t="n">
        <v>0</v>
      </c>
      <c r="L253" t="n">
        <v>0</v>
      </c>
      <c r="M253" t="n">
        <v>0</v>
      </c>
      <c r="N253" t="n">
        <v>0</v>
      </c>
      <c r="O253" t="n">
        <v>0</v>
      </c>
      <c r="P253" t="n">
        <v>0</v>
      </c>
      <c r="Q253" t="n">
        <v>0</v>
      </c>
      <c r="R253" s="2" t="inlineStr"/>
    </row>
    <row r="254" ht="15" customHeight="1">
      <c r="A254" t="inlineStr">
        <is>
          <t>A 35906-2023</t>
        </is>
      </c>
      <c r="B254" s="1" t="n">
        <v>45148</v>
      </c>
      <c r="C254" s="1" t="n">
        <v>45964</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51935-2023</t>
        </is>
      </c>
      <c r="B255" s="1" t="n">
        <v>45223</v>
      </c>
      <c r="C255" s="1" t="n">
        <v>45964</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38865-2022</t>
        </is>
      </c>
      <c r="B256" s="1" t="n">
        <v>44816</v>
      </c>
      <c r="C256" s="1" t="n">
        <v>45964</v>
      </c>
      <c r="D256" t="inlineStr">
        <is>
          <t>UPPSALA LÄN</t>
        </is>
      </c>
      <c r="E256" t="inlineStr">
        <is>
          <t>UPPSALA</t>
        </is>
      </c>
      <c r="G256" t="n">
        <v>14.6</v>
      </c>
      <c r="H256" t="n">
        <v>0</v>
      </c>
      <c r="I256" t="n">
        <v>0</v>
      </c>
      <c r="J256" t="n">
        <v>0</v>
      </c>
      <c r="K256" t="n">
        <v>0</v>
      </c>
      <c r="L256" t="n">
        <v>0</v>
      </c>
      <c r="M256" t="n">
        <v>0</v>
      </c>
      <c r="N256" t="n">
        <v>0</v>
      </c>
      <c r="O256" t="n">
        <v>0</v>
      </c>
      <c r="P256" t="n">
        <v>0</v>
      </c>
      <c r="Q256" t="n">
        <v>0</v>
      </c>
      <c r="R256" s="2" t="inlineStr"/>
    </row>
    <row r="257" ht="15" customHeight="1">
      <c r="A257" t="inlineStr">
        <is>
          <t>A 9295-2023</t>
        </is>
      </c>
      <c r="B257" s="1" t="n">
        <v>44980</v>
      </c>
      <c r="C257" s="1" t="n">
        <v>45964</v>
      </c>
      <c r="D257" t="inlineStr">
        <is>
          <t>UPPSALA LÄN</t>
        </is>
      </c>
      <c r="E257" t="inlineStr">
        <is>
          <t>UPPSALA</t>
        </is>
      </c>
      <c r="G257" t="n">
        <v>2.1</v>
      </c>
      <c r="H257" t="n">
        <v>0</v>
      </c>
      <c r="I257" t="n">
        <v>0</v>
      </c>
      <c r="J257" t="n">
        <v>0</v>
      </c>
      <c r="K257" t="n">
        <v>0</v>
      </c>
      <c r="L257" t="n">
        <v>0</v>
      </c>
      <c r="M257" t="n">
        <v>0</v>
      </c>
      <c r="N257" t="n">
        <v>0</v>
      </c>
      <c r="O257" t="n">
        <v>0</v>
      </c>
      <c r="P257" t="n">
        <v>0</v>
      </c>
      <c r="Q257" t="n">
        <v>0</v>
      </c>
      <c r="R257" s="2" t="inlineStr"/>
    </row>
    <row r="258" ht="15" customHeight="1">
      <c r="A258" t="inlineStr">
        <is>
          <t>A 1994-2024</t>
        </is>
      </c>
      <c r="B258" s="1" t="n">
        <v>45308.63298611111</v>
      </c>
      <c r="C258" s="1" t="n">
        <v>45964</v>
      </c>
      <c r="D258" t="inlineStr">
        <is>
          <t>UPPSALA LÄN</t>
        </is>
      </c>
      <c r="E258" t="inlineStr">
        <is>
          <t>UPPSALA</t>
        </is>
      </c>
      <c r="G258" t="n">
        <v>1.6</v>
      </c>
      <c r="H258" t="n">
        <v>0</v>
      </c>
      <c r="I258" t="n">
        <v>0</v>
      </c>
      <c r="J258" t="n">
        <v>0</v>
      </c>
      <c r="K258" t="n">
        <v>0</v>
      </c>
      <c r="L258" t="n">
        <v>0</v>
      </c>
      <c r="M258" t="n">
        <v>0</v>
      </c>
      <c r="N258" t="n">
        <v>0</v>
      </c>
      <c r="O258" t="n">
        <v>0</v>
      </c>
      <c r="P258" t="n">
        <v>0</v>
      </c>
      <c r="Q258" t="n">
        <v>0</v>
      </c>
      <c r="R258" s="2" t="inlineStr"/>
    </row>
    <row r="259" ht="15" customHeight="1">
      <c r="A259" t="inlineStr">
        <is>
          <t>A 29019-2023</t>
        </is>
      </c>
      <c r="B259" s="1" t="n">
        <v>45104.6828125</v>
      </c>
      <c r="C259" s="1" t="n">
        <v>45964</v>
      </c>
      <c r="D259" t="inlineStr">
        <is>
          <t>UPPSALA LÄN</t>
        </is>
      </c>
      <c r="E259" t="inlineStr">
        <is>
          <t>UPPSALA</t>
        </is>
      </c>
      <c r="G259" t="n">
        <v>1.2</v>
      </c>
      <c r="H259" t="n">
        <v>0</v>
      </c>
      <c r="I259" t="n">
        <v>0</v>
      </c>
      <c r="J259" t="n">
        <v>0</v>
      </c>
      <c r="K259" t="n">
        <v>0</v>
      </c>
      <c r="L259" t="n">
        <v>0</v>
      </c>
      <c r="M259" t="n">
        <v>0</v>
      </c>
      <c r="N259" t="n">
        <v>0</v>
      </c>
      <c r="O259" t="n">
        <v>0</v>
      </c>
      <c r="P259" t="n">
        <v>0</v>
      </c>
      <c r="Q259" t="n">
        <v>0</v>
      </c>
      <c r="R259" s="2" t="inlineStr"/>
    </row>
    <row r="260" ht="15" customHeight="1">
      <c r="A260" t="inlineStr">
        <is>
          <t>A 29927-2023</t>
        </is>
      </c>
      <c r="B260" s="1" t="n">
        <v>45107</v>
      </c>
      <c r="C260" s="1" t="n">
        <v>45964</v>
      </c>
      <c r="D260" t="inlineStr">
        <is>
          <t>UPPSALA LÄN</t>
        </is>
      </c>
      <c r="E260" t="inlineStr">
        <is>
          <t>UPPSALA</t>
        </is>
      </c>
      <c r="G260" t="n">
        <v>1.2</v>
      </c>
      <c r="H260" t="n">
        <v>0</v>
      </c>
      <c r="I260" t="n">
        <v>0</v>
      </c>
      <c r="J260" t="n">
        <v>0</v>
      </c>
      <c r="K260" t="n">
        <v>0</v>
      </c>
      <c r="L260" t="n">
        <v>0</v>
      </c>
      <c r="M260" t="n">
        <v>0</v>
      </c>
      <c r="N260" t="n">
        <v>0</v>
      </c>
      <c r="O260" t="n">
        <v>0</v>
      </c>
      <c r="P260" t="n">
        <v>0</v>
      </c>
      <c r="Q260" t="n">
        <v>0</v>
      </c>
      <c r="R260" s="2" t="inlineStr"/>
    </row>
    <row r="261" ht="15" customHeight="1">
      <c r="A261" t="inlineStr">
        <is>
          <t>A 70228-2021</t>
        </is>
      </c>
      <c r="B261" s="1" t="n">
        <v>44535</v>
      </c>
      <c r="C261" s="1" t="n">
        <v>45964</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28782-2024</t>
        </is>
      </c>
      <c r="B262" s="1" t="n">
        <v>45478.60802083334</v>
      </c>
      <c r="C262" s="1" t="n">
        <v>45964</v>
      </c>
      <c r="D262" t="inlineStr">
        <is>
          <t>UPPSALA LÄN</t>
        </is>
      </c>
      <c r="E262" t="inlineStr">
        <is>
          <t>UPPSALA</t>
        </is>
      </c>
      <c r="F262" t="inlineStr">
        <is>
          <t>Holmen skog AB</t>
        </is>
      </c>
      <c r="G262" t="n">
        <v>0.9</v>
      </c>
      <c r="H262" t="n">
        <v>0</v>
      </c>
      <c r="I262" t="n">
        <v>0</v>
      </c>
      <c r="J262" t="n">
        <v>0</v>
      </c>
      <c r="K262" t="n">
        <v>0</v>
      </c>
      <c r="L262" t="n">
        <v>0</v>
      </c>
      <c r="M262" t="n">
        <v>0</v>
      </c>
      <c r="N262" t="n">
        <v>0</v>
      </c>
      <c r="O262" t="n">
        <v>0</v>
      </c>
      <c r="P262" t="n">
        <v>0</v>
      </c>
      <c r="Q262" t="n">
        <v>0</v>
      </c>
      <c r="R262" s="2" t="inlineStr"/>
    </row>
    <row r="263" ht="15" customHeight="1">
      <c r="A263" t="inlineStr">
        <is>
          <t>A 13892-2022</t>
        </is>
      </c>
      <c r="B263" s="1" t="n">
        <v>44649</v>
      </c>
      <c r="C263" s="1" t="n">
        <v>45964</v>
      </c>
      <c r="D263" t="inlineStr">
        <is>
          <t>UPPSALA LÄN</t>
        </is>
      </c>
      <c r="E263" t="inlineStr">
        <is>
          <t>UPPSALA</t>
        </is>
      </c>
      <c r="G263" t="n">
        <v>3.3</v>
      </c>
      <c r="H263" t="n">
        <v>0</v>
      </c>
      <c r="I263" t="n">
        <v>0</v>
      </c>
      <c r="J263" t="n">
        <v>0</v>
      </c>
      <c r="K263" t="n">
        <v>0</v>
      </c>
      <c r="L263" t="n">
        <v>0</v>
      </c>
      <c r="M263" t="n">
        <v>0</v>
      </c>
      <c r="N263" t="n">
        <v>0</v>
      </c>
      <c r="O263" t="n">
        <v>0</v>
      </c>
      <c r="P263" t="n">
        <v>0</v>
      </c>
      <c r="Q263" t="n">
        <v>0</v>
      </c>
      <c r="R263" s="2" t="inlineStr"/>
    </row>
    <row r="264" ht="15" customHeight="1">
      <c r="A264" t="inlineStr">
        <is>
          <t>A 27125-2023</t>
        </is>
      </c>
      <c r="B264" s="1" t="n">
        <v>45096</v>
      </c>
      <c r="C264" s="1" t="n">
        <v>45964</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9426-2023</t>
        </is>
      </c>
      <c r="B265" s="1" t="n">
        <v>44977</v>
      </c>
      <c r="C265" s="1" t="n">
        <v>45964</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11224-2022</t>
        </is>
      </c>
      <c r="B266" s="1" t="n">
        <v>44629.57741898148</v>
      </c>
      <c r="C266" s="1" t="n">
        <v>45964</v>
      </c>
      <c r="D266" t="inlineStr">
        <is>
          <t>UPPSALA LÄN</t>
        </is>
      </c>
      <c r="E266" t="inlineStr">
        <is>
          <t>UPPSALA</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7899-2022</t>
        </is>
      </c>
      <c r="B267" s="1" t="n">
        <v>44608</v>
      </c>
      <c r="C267" s="1" t="n">
        <v>45964</v>
      </c>
      <c r="D267" t="inlineStr">
        <is>
          <t>UPPSALA LÄN</t>
        </is>
      </c>
      <c r="E267" t="inlineStr">
        <is>
          <t>UPPSALA</t>
        </is>
      </c>
      <c r="F267" t="inlineStr">
        <is>
          <t>Övriga Aktiebolag</t>
        </is>
      </c>
      <c r="G267" t="n">
        <v>7.1</v>
      </c>
      <c r="H267" t="n">
        <v>0</v>
      </c>
      <c r="I267" t="n">
        <v>0</v>
      </c>
      <c r="J267" t="n">
        <v>0</v>
      </c>
      <c r="K267" t="n">
        <v>0</v>
      </c>
      <c r="L267" t="n">
        <v>0</v>
      </c>
      <c r="M267" t="n">
        <v>0</v>
      </c>
      <c r="N267" t="n">
        <v>0</v>
      </c>
      <c r="O267" t="n">
        <v>0</v>
      </c>
      <c r="P267" t="n">
        <v>0</v>
      </c>
      <c r="Q267" t="n">
        <v>0</v>
      </c>
      <c r="R267" s="2" t="inlineStr"/>
    </row>
    <row r="268" ht="15" customHeight="1">
      <c r="A268" t="inlineStr">
        <is>
          <t>A 53900-2023</t>
        </is>
      </c>
      <c r="B268" s="1" t="n">
        <v>45231.54601851852</v>
      </c>
      <c r="C268" s="1" t="n">
        <v>45964</v>
      </c>
      <c r="D268" t="inlineStr">
        <is>
          <t>UPPSALA LÄN</t>
        </is>
      </c>
      <c r="E268" t="inlineStr">
        <is>
          <t>UPPSALA</t>
        </is>
      </c>
      <c r="G268" t="n">
        <v>2.1</v>
      </c>
      <c r="H268" t="n">
        <v>0</v>
      </c>
      <c r="I268" t="n">
        <v>0</v>
      </c>
      <c r="J268" t="n">
        <v>0</v>
      </c>
      <c r="K268" t="n">
        <v>0</v>
      </c>
      <c r="L268" t="n">
        <v>0</v>
      </c>
      <c r="M268" t="n">
        <v>0</v>
      </c>
      <c r="N268" t="n">
        <v>0</v>
      </c>
      <c r="O268" t="n">
        <v>0</v>
      </c>
      <c r="P268" t="n">
        <v>0</v>
      </c>
      <c r="Q268" t="n">
        <v>0</v>
      </c>
      <c r="R268" s="2" t="inlineStr"/>
    </row>
    <row r="269" ht="15" customHeight="1">
      <c r="A269" t="inlineStr">
        <is>
          <t>A 1573-2021</t>
        </is>
      </c>
      <c r="B269" s="1" t="n">
        <v>44209</v>
      </c>
      <c r="C269" s="1" t="n">
        <v>45964</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8164-2025</t>
        </is>
      </c>
      <c r="B270" s="1" t="n">
        <v>45707</v>
      </c>
      <c r="C270" s="1" t="n">
        <v>45964</v>
      </c>
      <c r="D270" t="inlineStr">
        <is>
          <t>UPPSALA LÄN</t>
        </is>
      </c>
      <c r="E270" t="inlineStr">
        <is>
          <t>UPPSALA</t>
        </is>
      </c>
      <c r="F270" t="inlineStr">
        <is>
          <t>Övriga Aktiebolag</t>
        </is>
      </c>
      <c r="G270" t="n">
        <v>12.2</v>
      </c>
      <c r="H270" t="n">
        <v>0</v>
      </c>
      <c r="I270" t="n">
        <v>0</v>
      </c>
      <c r="J270" t="n">
        <v>0</v>
      </c>
      <c r="K270" t="n">
        <v>0</v>
      </c>
      <c r="L270" t="n">
        <v>0</v>
      </c>
      <c r="M270" t="n">
        <v>0</v>
      </c>
      <c r="N270" t="n">
        <v>0</v>
      </c>
      <c r="O270" t="n">
        <v>0</v>
      </c>
      <c r="P270" t="n">
        <v>0</v>
      </c>
      <c r="Q270" t="n">
        <v>0</v>
      </c>
      <c r="R270" s="2" t="inlineStr"/>
    </row>
    <row r="271" ht="15" customHeight="1">
      <c r="A271" t="inlineStr">
        <is>
          <t>A 8132-2022</t>
        </is>
      </c>
      <c r="B271" s="1" t="n">
        <v>44609.60171296296</v>
      </c>
      <c r="C271" s="1" t="n">
        <v>45964</v>
      </c>
      <c r="D271" t="inlineStr">
        <is>
          <t>UPPSALA LÄN</t>
        </is>
      </c>
      <c r="E271" t="inlineStr">
        <is>
          <t>UPPSALA</t>
        </is>
      </c>
      <c r="F271" t="inlineStr">
        <is>
          <t>Kommuner</t>
        </is>
      </c>
      <c r="G271" t="n">
        <v>1.2</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45695.8391550926</v>
      </c>
      <c r="C272" s="1" t="n">
        <v>45964</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18054-2025</t>
        </is>
      </c>
      <c r="B273" s="1" t="n">
        <v>45761.47540509259</v>
      </c>
      <c r="C273" s="1" t="n">
        <v>45964</v>
      </c>
      <c r="D273" t="inlineStr">
        <is>
          <t>UPPSALA LÄN</t>
        </is>
      </c>
      <c r="E273" t="inlineStr">
        <is>
          <t>UPPSALA</t>
        </is>
      </c>
      <c r="G273" t="n">
        <v>1.9</v>
      </c>
      <c r="H273" t="n">
        <v>0</v>
      </c>
      <c r="I273" t="n">
        <v>0</v>
      </c>
      <c r="J273" t="n">
        <v>0</v>
      </c>
      <c r="K273" t="n">
        <v>0</v>
      </c>
      <c r="L273" t="n">
        <v>0</v>
      </c>
      <c r="M273" t="n">
        <v>0</v>
      </c>
      <c r="N273" t="n">
        <v>0</v>
      </c>
      <c r="O273" t="n">
        <v>0</v>
      </c>
      <c r="P273" t="n">
        <v>0</v>
      </c>
      <c r="Q273" t="n">
        <v>0</v>
      </c>
      <c r="R273" s="2" t="inlineStr"/>
    </row>
    <row r="274" ht="15" customHeight="1">
      <c r="A274" t="inlineStr">
        <is>
          <t>A 18058-2025</t>
        </is>
      </c>
      <c r="B274" s="1" t="n">
        <v>45761.47748842592</v>
      </c>
      <c r="C274" s="1" t="n">
        <v>45964</v>
      </c>
      <c r="D274" t="inlineStr">
        <is>
          <t>UPPSALA LÄN</t>
        </is>
      </c>
      <c r="E274" t="inlineStr">
        <is>
          <t>UPPSALA</t>
        </is>
      </c>
      <c r="G274" t="n">
        <v>0.8</v>
      </c>
      <c r="H274" t="n">
        <v>0</v>
      </c>
      <c r="I274" t="n">
        <v>0</v>
      </c>
      <c r="J274" t="n">
        <v>0</v>
      </c>
      <c r="K274" t="n">
        <v>0</v>
      </c>
      <c r="L274" t="n">
        <v>0</v>
      </c>
      <c r="M274" t="n">
        <v>0</v>
      </c>
      <c r="N274" t="n">
        <v>0</v>
      </c>
      <c r="O274" t="n">
        <v>0</v>
      </c>
      <c r="P274" t="n">
        <v>0</v>
      </c>
      <c r="Q274" t="n">
        <v>0</v>
      </c>
      <c r="R274" s="2" t="inlineStr"/>
    </row>
    <row r="275" ht="15" customHeight="1">
      <c r="A275" t="inlineStr">
        <is>
          <t>A 60729-2024</t>
        </is>
      </c>
      <c r="B275" s="1" t="n">
        <v>45644</v>
      </c>
      <c r="C275" s="1" t="n">
        <v>45964</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60925-2021</t>
        </is>
      </c>
      <c r="B276" s="1" t="n">
        <v>44497.4666087963</v>
      </c>
      <c r="C276" s="1" t="n">
        <v>45964</v>
      </c>
      <c r="D276" t="inlineStr">
        <is>
          <t>UPPSALA LÄN</t>
        </is>
      </c>
      <c r="E276" t="inlineStr">
        <is>
          <t>UPPSALA</t>
        </is>
      </c>
      <c r="G276" t="n">
        <v>3.7</v>
      </c>
      <c r="H276" t="n">
        <v>0</v>
      </c>
      <c r="I276" t="n">
        <v>0</v>
      </c>
      <c r="J276" t="n">
        <v>0</v>
      </c>
      <c r="K276" t="n">
        <v>0</v>
      </c>
      <c r="L276" t="n">
        <v>0</v>
      </c>
      <c r="M276" t="n">
        <v>0</v>
      </c>
      <c r="N276" t="n">
        <v>0</v>
      </c>
      <c r="O276" t="n">
        <v>0</v>
      </c>
      <c r="P276" t="n">
        <v>0</v>
      </c>
      <c r="Q276" t="n">
        <v>0</v>
      </c>
      <c r="R276" s="2" t="inlineStr"/>
    </row>
    <row r="277" ht="15" customHeight="1">
      <c r="A277" t="inlineStr">
        <is>
          <t>A 3086-2023</t>
        </is>
      </c>
      <c r="B277" s="1" t="n">
        <v>44946.43564814814</v>
      </c>
      <c r="C277" s="1" t="n">
        <v>45964</v>
      </c>
      <c r="D277" t="inlineStr">
        <is>
          <t>UPPSALA LÄN</t>
        </is>
      </c>
      <c r="E277" t="inlineStr">
        <is>
          <t>UPPSALA</t>
        </is>
      </c>
      <c r="G277" t="n">
        <v>2</v>
      </c>
      <c r="H277" t="n">
        <v>0</v>
      </c>
      <c r="I277" t="n">
        <v>0</v>
      </c>
      <c r="J277" t="n">
        <v>0</v>
      </c>
      <c r="K277" t="n">
        <v>0</v>
      </c>
      <c r="L277" t="n">
        <v>0</v>
      </c>
      <c r="M277" t="n">
        <v>0</v>
      </c>
      <c r="N277" t="n">
        <v>0</v>
      </c>
      <c r="O277" t="n">
        <v>0</v>
      </c>
      <c r="P277" t="n">
        <v>0</v>
      </c>
      <c r="Q277" t="n">
        <v>0</v>
      </c>
      <c r="R277" s="2" t="inlineStr"/>
    </row>
    <row r="278" ht="15" customHeight="1">
      <c r="A278" t="inlineStr">
        <is>
          <t>A 26323-2023</t>
        </is>
      </c>
      <c r="B278" s="1" t="n">
        <v>45091.69766203704</v>
      </c>
      <c r="C278" s="1" t="n">
        <v>45964</v>
      </c>
      <c r="D278" t="inlineStr">
        <is>
          <t>UPPSALA LÄN</t>
        </is>
      </c>
      <c r="E278" t="inlineStr">
        <is>
          <t>UPPSALA</t>
        </is>
      </c>
      <c r="G278" t="n">
        <v>3.1</v>
      </c>
      <c r="H278" t="n">
        <v>0</v>
      </c>
      <c r="I278" t="n">
        <v>0</v>
      </c>
      <c r="J278" t="n">
        <v>0</v>
      </c>
      <c r="K278" t="n">
        <v>0</v>
      </c>
      <c r="L278" t="n">
        <v>0</v>
      </c>
      <c r="M278" t="n">
        <v>0</v>
      </c>
      <c r="N278" t="n">
        <v>0</v>
      </c>
      <c r="O278" t="n">
        <v>0</v>
      </c>
      <c r="P278" t="n">
        <v>0</v>
      </c>
      <c r="Q278" t="n">
        <v>0</v>
      </c>
      <c r="R278" s="2" t="inlineStr"/>
    </row>
    <row r="279" ht="15" customHeight="1">
      <c r="A279" t="inlineStr">
        <is>
          <t>A 2927-2022</t>
        </is>
      </c>
      <c r="B279" s="1" t="n">
        <v>44581.60254629629</v>
      </c>
      <c r="C279" s="1" t="n">
        <v>45964</v>
      </c>
      <c r="D279" t="inlineStr">
        <is>
          <t>UPPSALA LÄN</t>
        </is>
      </c>
      <c r="E279" t="inlineStr">
        <is>
          <t>UPPSALA</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6422-2023</t>
        </is>
      </c>
      <c r="B280" s="1" t="n">
        <v>44965</v>
      </c>
      <c r="C280" s="1" t="n">
        <v>45964</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6423-2023</t>
        </is>
      </c>
      <c r="B281" s="1" t="n">
        <v>44965</v>
      </c>
      <c r="C281" s="1" t="n">
        <v>45964</v>
      </c>
      <c r="D281" t="inlineStr">
        <is>
          <t>UPPSALA LÄN</t>
        </is>
      </c>
      <c r="E281" t="inlineStr">
        <is>
          <t>UPPSALA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5989-2022</t>
        </is>
      </c>
      <c r="B282" s="1" t="n">
        <v>44599.42277777778</v>
      </c>
      <c r="C282" s="1" t="n">
        <v>45964</v>
      </c>
      <c r="D282" t="inlineStr">
        <is>
          <t>UPPSALA LÄN</t>
        </is>
      </c>
      <c r="E282" t="inlineStr">
        <is>
          <t>UPPSALA</t>
        </is>
      </c>
      <c r="G282" t="n">
        <v>2.8</v>
      </c>
      <c r="H282" t="n">
        <v>0</v>
      </c>
      <c r="I282" t="n">
        <v>0</v>
      </c>
      <c r="J282" t="n">
        <v>0</v>
      </c>
      <c r="K282" t="n">
        <v>0</v>
      </c>
      <c r="L282" t="n">
        <v>0</v>
      </c>
      <c r="M282" t="n">
        <v>0</v>
      </c>
      <c r="N282" t="n">
        <v>0</v>
      </c>
      <c r="O282" t="n">
        <v>0</v>
      </c>
      <c r="P282" t="n">
        <v>0</v>
      </c>
      <c r="Q282" t="n">
        <v>0</v>
      </c>
      <c r="R282" s="2" t="inlineStr"/>
    </row>
    <row r="283" ht="15" customHeight="1">
      <c r="A283" t="inlineStr">
        <is>
          <t>A 40872-2023</t>
        </is>
      </c>
      <c r="B283" s="1" t="n">
        <v>45173</v>
      </c>
      <c r="C283" s="1" t="n">
        <v>45964</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17448-2022</t>
        </is>
      </c>
      <c r="B284" s="1" t="n">
        <v>44679</v>
      </c>
      <c r="C284" s="1" t="n">
        <v>45964</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5974-2024</t>
        </is>
      </c>
      <c r="B285" s="1" t="n">
        <v>45336.53908564815</v>
      </c>
      <c r="C285" s="1" t="n">
        <v>45964</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6550-2025</t>
        </is>
      </c>
      <c r="B286" s="1" t="n">
        <v>45699.71063657408</v>
      </c>
      <c r="C286" s="1" t="n">
        <v>45964</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5975-2024</t>
        </is>
      </c>
      <c r="B287" s="1" t="n">
        <v>45336.54270833333</v>
      </c>
      <c r="C287" s="1" t="n">
        <v>45964</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55862-2022</t>
        </is>
      </c>
      <c r="B288" s="1" t="n">
        <v>44888</v>
      </c>
      <c r="C288" s="1" t="n">
        <v>45964</v>
      </c>
      <c r="D288" t="inlineStr">
        <is>
          <t>UPPSALA LÄN</t>
        </is>
      </c>
      <c r="E288" t="inlineStr">
        <is>
          <t>UPPSALA</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32428-2023</t>
        </is>
      </c>
      <c r="B289" s="1" t="n">
        <v>45110</v>
      </c>
      <c r="C289" s="1" t="n">
        <v>45964</v>
      </c>
      <c r="D289" t="inlineStr">
        <is>
          <t>UPPSALA LÄN</t>
        </is>
      </c>
      <c r="E289" t="inlineStr">
        <is>
          <t>UPPSALA</t>
        </is>
      </c>
      <c r="G289" t="n">
        <v>3.1</v>
      </c>
      <c r="H289" t="n">
        <v>0</v>
      </c>
      <c r="I289" t="n">
        <v>0</v>
      </c>
      <c r="J289" t="n">
        <v>0</v>
      </c>
      <c r="K289" t="n">
        <v>0</v>
      </c>
      <c r="L289" t="n">
        <v>0</v>
      </c>
      <c r="M289" t="n">
        <v>0</v>
      </c>
      <c r="N289" t="n">
        <v>0</v>
      </c>
      <c r="O289" t="n">
        <v>0</v>
      </c>
      <c r="P289" t="n">
        <v>0</v>
      </c>
      <c r="Q289" t="n">
        <v>0</v>
      </c>
      <c r="R289" s="2" t="inlineStr"/>
    </row>
    <row r="290" ht="15" customHeight="1">
      <c r="A290" t="inlineStr">
        <is>
          <t>A 6997-2023</t>
        </is>
      </c>
      <c r="B290" s="1" t="n">
        <v>44967.78984953704</v>
      </c>
      <c r="C290" s="1" t="n">
        <v>45964</v>
      </c>
      <c r="D290" t="inlineStr">
        <is>
          <t>UPPSALA LÄN</t>
        </is>
      </c>
      <c r="E290" t="inlineStr">
        <is>
          <t>UPPSALA</t>
        </is>
      </c>
      <c r="G290" t="n">
        <v>3.9</v>
      </c>
      <c r="H290" t="n">
        <v>0</v>
      </c>
      <c r="I290" t="n">
        <v>0</v>
      </c>
      <c r="J290" t="n">
        <v>0</v>
      </c>
      <c r="K290" t="n">
        <v>0</v>
      </c>
      <c r="L290" t="n">
        <v>0</v>
      </c>
      <c r="M290" t="n">
        <v>0</v>
      </c>
      <c r="N290" t="n">
        <v>0</v>
      </c>
      <c r="O290" t="n">
        <v>0</v>
      </c>
      <c r="P290" t="n">
        <v>0</v>
      </c>
      <c r="Q290" t="n">
        <v>0</v>
      </c>
      <c r="R290" s="2" t="inlineStr"/>
    </row>
    <row r="291" ht="15" customHeight="1">
      <c r="A291" t="inlineStr">
        <is>
          <t>A 12221-2022</t>
        </is>
      </c>
      <c r="B291" s="1" t="n">
        <v>44637.35744212963</v>
      </c>
      <c r="C291" s="1" t="n">
        <v>45964</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53921-2024</t>
        </is>
      </c>
      <c r="B292" s="1" t="n">
        <v>45615</v>
      </c>
      <c r="C292" s="1" t="n">
        <v>45964</v>
      </c>
      <c r="D292" t="inlineStr">
        <is>
          <t>UPPSALA LÄN</t>
        </is>
      </c>
      <c r="E292" t="inlineStr">
        <is>
          <t>UPPSALA</t>
        </is>
      </c>
      <c r="G292" t="n">
        <v>8.1</v>
      </c>
      <c r="H292" t="n">
        <v>0</v>
      </c>
      <c r="I292" t="n">
        <v>0</v>
      </c>
      <c r="J292" t="n">
        <v>0</v>
      </c>
      <c r="K292" t="n">
        <v>0</v>
      </c>
      <c r="L292" t="n">
        <v>0</v>
      </c>
      <c r="M292" t="n">
        <v>0</v>
      </c>
      <c r="N292" t="n">
        <v>0</v>
      </c>
      <c r="O292" t="n">
        <v>0</v>
      </c>
      <c r="P292" t="n">
        <v>0</v>
      </c>
      <c r="Q292" t="n">
        <v>0</v>
      </c>
      <c r="R292" s="2" t="inlineStr"/>
    </row>
    <row r="293" ht="15" customHeight="1">
      <c r="A293" t="inlineStr">
        <is>
          <t>A 12293-2022</t>
        </is>
      </c>
      <c r="B293" s="1" t="n">
        <v>44637.56178240741</v>
      </c>
      <c r="C293" s="1" t="n">
        <v>45964</v>
      </c>
      <c r="D293" t="inlineStr">
        <is>
          <t>UPPSALA LÄN</t>
        </is>
      </c>
      <c r="E293" t="inlineStr">
        <is>
          <t>UPPSALA</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6012-2025</t>
        </is>
      </c>
      <c r="B294" s="1" t="n">
        <v>45695.59805555556</v>
      </c>
      <c r="C294" s="1" t="n">
        <v>45964</v>
      </c>
      <c r="D294" t="inlineStr">
        <is>
          <t>UPPSALA LÄN</t>
        </is>
      </c>
      <c r="E294" t="inlineStr">
        <is>
          <t>UPPSALA</t>
        </is>
      </c>
      <c r="F294" t="inlineStr">
        <is>
          <t>Övriga Aktiebolag</t>
        </is>
      </c>
      <c r="G294" t="n">
        <v>14.3</v>
      </c>
      <c r="H294" t="n">
        <v>0</v>
      </c>
      <c r="I294" t="n">
        <v>0</v>
      </c>
      <c r="J294" t="n">
        <v>0</v>
      </c>
      <c r="K294" t="n">
        <v>0</v>
      </c>
      <c r="L294" t="n">
        <v>0</v>
      </c>
      <c r="M294" t="n">
        <v>0</v>
      </c>
      <c r="N294" t="n">
        <v>0</v>
      </c>
      <c r="O294" t="n">
        <v>0</v>
      </c>
      <c r="P294" t="n">
        <v>0</v>
      </c>
      <c r="Q294" t="n">
        <v>0</v>
      </c>
      <c r="R294" s="2" t="inlineStr"/>
    </row>
    <row r="295" ht="15" customHeight="1">
      <c r="A295" t="inlineStr">
        <is>
          <t>A 49050-2024</t>
        </is>
      </c>
      <c r="B295" s="1" t="n">
        <v>45594</v>
      </c>
      <c r="C295" s="1" t="n">
        <v>45964</v>
      </c>
      <c r="D295" t="inlineStr">
        <is>
          <t>UPPSALA LÄN</t>
        </is>
      </c>
      <c r="E295" t="inlineStr">
        <is>
          <t>UPPSALA</t>
        </is>
      </c>
      <c r="F295" t="inlineStr">
        <is>
          <t>Övriga statliga verk och myndigheter</t>
        </is>
      </c>
      <c r="G295" t="n">
        <v>3.9</v>
      </c>
      <c r="H295" t="n">
        <v>0</v>
      </c>
      <c r="I295" t="n">
        <v>0</v>
      </c>
      <c r="J295" t="n">
        <v>0</v>
      </c>
      <c r="K295" t="n">
        <v>0</v>
      </c>
      <c r="L295" t="n">
        <v>0</v>
      </c>
      <c r="M295" t="n">
        <v>0</v>
      </c>
      <c r="N295" t="n">
        <v>0</v>
      </c>
      <c r="O295" t="n">
        <v>0</v>
      </c>
      <c r="P295" t="n">
        <v>0</v>
      </c>
      <c r="Q295" t="n">
        <v>0</v>
      </c>
      <c r="R295" s="2" t="inlineStr"/>
    </row>
    <row r="296" ht="15" customHeight="1">
      <c r="A296" t="inlineStr">
        <is>
          <t>A 4875-2021</t>
        </is>
      </c>
      <c r="B296" s="1" t="n">
        <v>44223</v>
      </c>
      <c r="C296" s="1" t="n">
        <v>45964</v>
      </c>
      <c r="D296" t="inlineStr">
        <is>
          <t>UPPSALA LÄN</t>
        </is>
      </c>
      <c r="E296" t="inlineStr">
        <is>
          <t>UPPSALA</t>
        </is>
      </c>
      <c r="G296" t="n">
        <v>0.4</v>
      </c>
      <c r="H296" t="n">
        <v>0</v>
      </c>
      <c r="I296" t="n">
        <v>0</v>
      </c>
      <c r="J296" t="n">
        <v>0</v>
      </c>
      <c r="K296" t="n">
        <v>0</v>
      </c>
      <c r="L296" t="n">
        <v>0</v>
      </c>
      <c r="M296" t="n">
        <v>0</v>
      </c>
      <c r="N296" t="n">
        <v>0</v>
      </c>
      <c r="O296" t="n">
        <v>0</v>
      </c>
      <c r="P296" t="n">
        <v>0</v>
      </c>
      <c r="Q296" t="n">
        <v>0</v>
      </c>
      <c r="R296" s="2" t="inlineStr"/>
    </row>
    <row r="297" ht="15" customHeight="1">
      <c r="A297" t="inlineStr">
        <is>
          <t>A 66686-2021</t>
        </is>
      </c>
      <c r="B297" s="1" t="n">
        <v>44519</v>
      </c>
      <c r="C297" s="1" t="n">
        <v>45964</v>
      </c>
      <c r="D297" t="inlineStr">
        <is>
          <t>UPPSALA LÄN</t>
        </is>
      </c>
      <c r="E297" t="inlineStr">
        <is>
          <t>UPPSALA</t>
        </is>
      </c>
      <c r="G297" t="n">
        <v>6.4</v>
      </c>
      <c r="H297" t="n">
        <v>0</v>
      </c>
      <c r="I297" t="n">
        <v>0</v>
      </c>
      <c r="J297" t="n">
        <v>0</v>
      </c>
      <c r="K297" t="n">
        <v>0</v>
      </c>
      <c r="L297" t="n">
        <v>0</v>
      </c>
      <c r="M297" t="n">
        <v>0</v>
      </c>
      <c r="N297" t="n">
        <v>0</v>
      </c>
      <c r="O297" t="n">
        <v>0</v>
      </c>
      <c r="P297" t="n">
        <v>0</v>
      </c>
      <c r="Q297" t="n">
        <v>0</v>
      </c>
      <c r="R297" s="2" t="inlineStr"/>
    </row>
    <row r="298" ht="15" customHeight="1">
      <c r="A298" t="inlineStr">
        <is>
          <t>A 60954-2024</t>
        </is>
      </c>
      <c r="B298" s="1" t="n">
        <v>45645</v>
      </c>
      <c r="C298" s="1" t="n">
        <v>45964</v>
      </c>
      <c r="D298" t="inlineStr">
        <is>
          <t>UPPSALA LÄN</t>
        </is>
      </c>
      <c r="E298" t="inlineStr">
        <is>
          <t>UPPSALA</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179-2024</t>
        </is>
      </c>
      <c r="B299" s="1" t="n">
        <v>45294.5666550926</v>
      </c>
      <c r="C299" s="1" t="n">
        <v>45964</v>
      </c>
      <c r="D299" t="inlineStr">
        <is>
          <t>UPPSALA LÄN</t>
        </is>
      </c>
      <c r="E299" t="inlineStr">
        <is>
          <t>UPPSALA</t>
        </is>
      </c>
      <c r="F299" t="inlineStr">
        <is>
          <t>Bergvik skog öst AB</t>
        </is>
      </c>
      <c r="G299" t="n">
        <v>12.7</v>
      </c>
      <c r="H299" t="n">
        <v>0</v>
      </c>
      <c r="I299" t="n">
        <v>0</v>
      </c>
      <c r="J299" t="n">
        <v>0</v>
      </c>
      <c r="K299" t="n">
        <v>0</v>
      </c>
      <c r="L299" t="n">
        <v>0</v>
      </c>
      <c r="M299" t="n">
        <v>0</v>
      </c>
      <c r="N299" t="n">
        <v>0</v>
      </c>
      <c r="O299" t="n">
        <v>0</v>
      </c>
      <c r="P299" t="n">
        <v>0</v>
      </c>
      <c r="Q299" t="n">
        <v>0</v>
      </c>
      <c r="R299" s="2" t="inlineStr"/>
    </row>
    <row r="300" ht="15" customHeight="1">
      <c r="A300" t="inlineStr">
        <is>
          <t>A 8933-2022</t>
        </is>
      </c>
      <c r="B300" s="1" t="n">
        <v>44614.69730324074</v>
      </c>
      <c r="C300" s="1" t="n">
        <v>45964</v>
      </c>
      <c r="D300" t="inlineStr">
        <is>
          <t>UPPSALA LÄN</t>
        </is>
      </c>
      <c r="E300" t="inlineStr">
        <is>
          <t>UPPSALA</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60714-2023</t>
        </is>
      </c>
      <c r="B301" s="1" t="n">
        <v>45259</v>
      </c>
      <c r="C301" s="1" t="n">
        <v>45964</v>
      </c>
      <c r="D301" t="inlineStr">
        <is>
          <t>UPPSALA LÄN</t>
        </is>
      </c>
      <c r="E301" t="inlineStr">
        <is>
          <t>UPPSALA</t>
        </is>
      </c>
      <c r="G301" t="n">
        <v>3.3</v>
      </c>
      <c r="H301" t="n">
        <v>0</v>
      </c>
      <c r="I301" t="n">
        <v>0</v>
      </c>
      <c r="J301" t="n">
        <v>0</v>
      </c>
      <c r="K301" t="n">
        <v>0</v>
      </c>
      <c r="L301" t="n">
        <v>0</v>
      </c>
      <c r="M301" t="n">
        <v>0</v>
      </c>
      <c r="N301" t="n">
        <v>0</v>
      </c>
      <c r="O301" t="n">
        <v>0</v>
      </c>
      <c r="P301" t="n">
        <v>0</v>
      </c>
      <c r="Q301" t="n">
        <v>0</v>
      </c>
      <c r="R301" s="2" t="inlineStr"/>
    </row>
    <row r="302" ht="15" customHeight="1">
      <c r="A302" t="inlineStr">
        <is>
          <t>A 10383-2022</t>
        </is>
      </c>
      <c r="B302" s="1" t="n">
        <v>44623.41775462963</v>
      </c>
      <c r="C302" s="1" t="n">
        <v>45964</v>
      </c>
      <c r="D302" t="inlineStr">
        <is>
          <t>UPPSALA LÄN</t>
        </is>
      </c>
      <c r="E302" t="inlineStr">
        <is>
          <t>UPPSALA</t>
        </is>
      </c>
      <c r="F302" t="inlineStr">
        <is>
          <t>Övriga Aktiebolag</t>
        </is>
      </c>
      <c r="G302" t="n">
        <v>2.8</v>
      </c>
      <c r="H302" t="n">
        <v>0</v>
      </c>
      <c r="I302" t="n">
        <v>0</v>
      </c>
      <c r="J302" t="n">
        <v>0</v>
      </c>
      <c r="K302" t="n">
        <v>0</v>
      </c>
      <c r="L302" t="n">
        <v>0</v>
      </c>
      <c r="M302" t="n">
        <v>0</v>
      </c>
      <c r="N302" t="n">
        <v>0</v>
      </c>
      <c r="O302" t="n">
        <v>0</v>
      </c>
      <c r="P302" t="n">
        <v>0</v>
      </c>
      <c r="Q302" t="n">
        <v>0</v>
      </c>
      <c r="R302" s="2" t="inlineStr"/>
    </row>
    <row r="303" ht="15" customHeight="1">
      <c r="A303" t="inlineStr">
        <is>
          <t>A 60691-2024</t>
        </is>
      </c>
      <c r="B303" s="1" t="n">
        <v>45644.47723379629</v>
      </c>
      <c r="C303" s="1" t="n">
        <v>45964</v>
      </c>
      <c r="D303" t="inlineStr">
        <is>
          <t>UPPSALA LÄN</t>
        </is>
      </c>
      <c r="E303" t="inlineStr">
        <is>
          <t>UPPSALA</t>
        </is>
      </c>
      <c r="G303" t="n">
        <v>1.4</v>
      </c>
      <c r="H303" t="n">
        <v>0</v>
      </c>
      <c r="I303" t="n">
        <v>0</v>
      </c>
      <c r="J303" t="n">
        <v>0</v>
      </c>
      <c r="K303" t="n">
        <v>0</v>
      </c>
      <c r="L303" t="n">
        <v>0</v>
      </c>
      <c r="M303" t="n">
        <v>0</v>
      </c>
      <c r="N303" t="n">
        <v>0</v>
      </c>
      <c r="O303" t="n">
        <v>0</v>
      </c>
      <c r="P303" t="n">
        <v>0</v>
      </c>
      <c r="Q303" t="n">
        <v>0</v>
      </c>
      <c r="R303" s="2" t="inlineStr"/>
    </row>
    <row r="304" ht="15" customHeight="1">
      <c r="A304" t="inlineStr">
        <is>
          <t>A 17211-2025</t>
        </is>
      </c>
      <c r="B304" s="1" t="n">
        <v>45756.44024305556</v>
      </c>
      <c r="C304" s="1" t="n">
        <v>45964</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23157-2023</t>
        </is>
      </c>
      <c r="B305" s="1" t="n">
        <v>45075.51982638889</v>
      </c>
      <c r="C305" s="1" t="n">
        <v>45964</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48153-2024</t>
        </is>
      </c>
      <c r="B306" s="1" t="n">
        <v>45589</v>
      </c>
      <c r="C306" s="1" t="n">
        <v>45964</v>
      </c>
      <c r="D306" t="inlineStr">
        <is>
          <t>UPPSALA LÄN</t>
        </is>
      </c>
      <c r="E306" t="inlineStr">
        <is>
          <t>UPPSALA</t>
        </is>
      </c>
      <c r="G306" t="n">
        <v>3.4</v>
      </c>
      <c r="H306" t="n">
        <v>0</v>
      </c>
      <c r="I306" t="n">
        <v>0</v>
      </c>
      <c r="J306" t="n">
        <v>0</v>
      </c>
      <c r="K306" t="n">
        <v>0</v>
      </c>
      <c r="L306" t="n">
        <v>0</v>
      </c>
      <c r="M306" t="n">
        <v>0</v>
      </c>
      <c r="N306" t="n">
        <v>0</v>
      </c>
      <c r="O306" t="n">
        <v>0</v>
      </c>
      <c r="P306" t="n">
        <v>0</v>
      </c>
      <c r="Q306" t="n">
        <v>0</v>
      </c>
      <c r="R306" s="2" t="inlineStr"/>
    </row>
    <row r="307" ht="15" customHeight="1">
      <c r="A307" t="inlineStr">
        <is>
          <t>A 48154-2024</t>
        </is>
      </c>
      <c r="B307" s="1" t="n">
        <v>45589</v>
      </c>
      <c r="C307" s="1" t="n">
        <v>45964</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46293-2022</t>
        </is>
      </c>
      <c r="B308" s="1" t="n">
        <v>44847</v>
      </c>
      <c r="C308" s="1" t="n">
        <v>45964</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6060-2025</t>
        </is>
      </c>
      <c r="B309" s="1" t="n">
        <v>45695.84078703704</v>
      </c>
      <c r="C309" s="1" t="n">
        <v>45964</v>
      </c>
      <c r="D309" t="inlineStr">
        <is>
          <t>UPPSALA LÄN</t>
        </is>
      </c>
      <c r="E309" t="inlineStr">
        <is>
          <t>UPPSALA</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53589-2024</t>
        </is>
      </c>
      <c r="B310" s="1" t="n">
        <v>45614.67020833334</v>
      </c>
      <c r="C310" s="1" t="n">
        <v>45964</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35914-2023</t>
        </is>
      </c>
      <c r="B311" s="1" t="n">
        <v>45148</v>
      </c>
      <c r="C311" s="1" t="n">
        <v>45964</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35916-2023</t>
        </is>
      </c>
      <c r="B312" s="1" t="n">
        <v>45148</v>
      </c>
      <c r="C312" s="1" t="n">
        <v>45964</v>
      </c>
      <c r="D312" t="inlineStr">
        <is>
          <t>UPPSALA LÄN</t>
        </is>
      </c>
      <c r="E312" t="inlineStr">
        <is>
          <t>UPPSALA</t>
        </is>
      </c>
      <c r="G312" t="n">
        <v>3.1</v>
      </c>
      <c r="H312" t="n">
        <v>0</v>
      </c>
      <c r="I312" t="n">
        <v>0</v>
      </c>
      <c r="J312" t="n">
        <v>0</v>
      </c>
      <c r="K312" t="n">
        <v>0</v>
      </c>
      <c r="L312" t="n">
        <v>0</v>
      </c>
      <c r="M312" t="n">
        <v>0</v>
      </c>
      <c r="N312" t="n">
        <v>0</v>
      </c>
      <c r="O312" t="n">
        <v>0</v>
      </c>
      <c r="P312" t="n">
        <v>0</v>
      </c>
      <c r="Q312" t="n">
        <v>0</v>
      </c>
      <c r="R312" s="2" t="inlineStr"/>
    </row>
    <row r="313" ht="15" customHeight="1">
      <c r="A313" t="inlineStr">
        <is>
          <t>A 43029-2023</t>
        </is>
      </c>
      <c r="B313" s="1" t="n">
        <v>45182</v>
      </c>
      <c r="C313" s="1" t="n">
        <v>45964</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61947-2023</t>
        </is>
      </c>
      <c r="B314" s="1" t="n">
        <v>45266</v>
      </c>
      <c r="C314" s="1" t="n">
        <v>45964</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8090-2022</t>
        </is>
      </c>
      <c r="B315" s="1" t="n">
        <v>44608</v>
      </c>
      <c r="C315" s="1" t="n">
        <v>45964</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61574-2024</t>
        </is>
      </c>
      <c r="B316" s="1" t="n">
        <v>45646.61892361111</v>
      </c>
      <c r="C316" s="1" t="n">
        <v>45964</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6006-2025</t>
        </is>
      </c>
      <c r="B317" s="1" t="n">
        <v>45695.59197916667</v>
      </c>
      <c r="C317" s="1" t="n">
        <v>45964</v>
      </c>
      <c r="D317" t="inlineStr">
        <is>
          <t>UPPSALA LÄN</t>
        </is>
      </c>
      <c r="E317" t="inlineStr">
        <is>
          <t>UPPSALA</t>
        </is>
      </c>
      <c r="F317" t="inlineStr">
        <is>
          <t>Övriga Aktiebolag</t>
        </is>
      </c>
      <c r="G317" t="n">
        <v>13.8</v>
      </c>
      <c r="H317" t="n">
        <v>0</v>
      </c>
      <c r="I317" t="n">
        <v>0</v>
      </c>
      <c r="J317" t="n">
        <v>0</v>
      </c>
      <c r="K317" t="n">
        <v>0</v>
      </c>
      <c r="L317" t="n">
        <v>0</v>
      </c>
      <c r="M317" t="n">
        <v>0</v>
      </c>
      <c r="N317" t="n">
        <v>0</v>
      </c>
      <c r="O317" t="n">
        <v>0</v>
      </c>
      <c r="P317" t="n">
        <v>0</v>
      </c>
      <c r="Q317" t="n">
        <v>0</v>
      </c>
      <c r="R317" s="2" t="inlineStr"/>
    </row>
    <row r="318" ht="15" customHeight="1">
      <c r="A318" t="inlineStr">
        <is>
          <t>A 28825-2024</t>
        </is>
      </c>
      <c r="B318" s="1" t="n">
        <v>45478</v>
      </c>
      <c r="C318" s="1" t="n">
        <v>45964</v>
      </c>
      <c r="D318" t="inlineStr">
        <is>
          <t>UPPSALA LÄN</t>
        </is>
      </c>
      <c r="E318" t="inlineStr">
        <is>
          <t>UPPSALA</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45592-2023</t>
        </is>
      </c>
      <c r="B319" s="1" t="n">
        <v>45194.63479166666</v>
      </c>
      <c r="C319" s="1" t="n">
        <v>45964</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45575-2023</t>
        </is>
      </c>
      <c r="B320" s="1" t="n">
        <v>45194.60876157408</v>
      </c>
      <c r="C320" s="1" t="n">
        <v>45964</v>
      </c>
      <c r="D320" t="inlineStr">
        <is>
          <t>UPPSALA LÄN</t>
        </is>
      </c>
      <c r="E320" t="inlineStr">
        <is>
          <t>UPPSALA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50037-2024</t>
        </is>
      </c>
      <c r="B321" s="1" t="n">
        <v>45599</v>
      </c>
      <c r="C321" s="1" t="n">
        <v>45964</v>
      </c>
      <c r="D321" t="inlineStr">
        <is>
          <t>UPPSALA LÄN</t>
        </is>
      </c>
      <c r="E321" t="inlineStr">
        <is>
          <t>UPPSALA</t>
        </is>
      </c>
      <c r="G321" t="n">
        <v>13.7</v>
      </c>
      <c r="H321" t="n">
        <v>0</v>
      </c>
      <c r="I321" t="n">
        <v>0</v>
      </c>
      <c r="J321" t="n">
        <v>0</v>
      </c>
      <c r="K321" t="n">
        <v>0</v>
      </c>
      <c r="L321" t="n">
        <v>0</v>
      </c>
      <c r="M321" t="n">
        <v>0</v>
      </c>
      <c r="N321" t="n">
        <v>0</v>
      </c>
      <c r="O321" t="n">
        <v>0</v>
      </c>
      <c r="P321" t="n">
        <v>0</v>
      </c>
      <c r="Q321" t="n">
        <v>0</v>
      </c>
      <c r="R321" s="2" t="inlineStr"/>
    </row>
    <row r="322" ht="15" customHeight="1">
      <c r="A322" t="inlineStr">
        <is>
          <t>A 39148-2022</t>
        </is>
      </c>
      <c r="B322" s="1" t="n">
        <v>44816</v>
      </c>
      <c r="C322" s="1" t="n">
        <v>45964</v>
      </c>
      <c r="D322" t="inlineStr">
        <is>
          <t>UPPSALA LÄN</t>
        </is>
      </c>
      <c r="E322" t="inlineStr">
        <is>
          <t>UPPSALA</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5729-2025</t>
        </is>
      </c>
      <c r="B323" s="1" t="n">
        <v>45694.49037037037</v>
      </c>
      <c r="C323" s="1" t="n">
        <v>45964</v>
      </c>
      <c r="D323" t="inlineStr">
        <is>
          <t>UPPSALA LÄN</t>
        </is>
      </c>
      <c r="E323" t="inlineStr">
        <is>
          <t>UPPSALA</t>
        </is>
      </c>
      <c r="G323" t="n">
        <v>1</v>
      </c>
      <c r="H323" t="n">
        <v>0</v>
      </c>
      <c r="I323" t="n">
        <v>0</v>
      </c>
      <c r="J323" t="n">
        <v>0</v>
      </c>
      <c r="K323" t="n">
        <v>0</v>
      </c>
      <c r="L323" t="n">
        <v>0</v>
      </c>
      <c r="M323" t="n">
        <v>0</v>
      </c>
      <c r="N323" t="n">
        <v>0</v>
      </c>
      <c r="O323" t="n">
        <v>0</v>
      </c>
      <c r="P323" t="n">
        <v>0</v>
      </c>
      <c r="Q323" t="n">
        <v>0</v>
      </c>
      <c r="R323" s="2" t="inlineStr"/>
    </row>
    <row r="324" ht="15" customHeight="1">
      <c r="A324" t="inlineStr">
        <is>
          <t>A 25462-2023</t>
        </is>
      </c>
      <c r="B324" s="1" t="n">
        <v>45089</v>
      </c>
      <c r="C324" s="1" t="n">
        <v>45964</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14337-2022</t>
        </is>
      </c>
      <c r="B325" s="1" t="n">
        <v>44652</v>
      </c>
      <c r="C325" s="1" t="n">
        <v>45964</v>
      </c>
      <c r="D325" t="inlineStr">
        <is>
          <t>UPPSALA LÄN</t>
        </is>
      </c>
      <c r="E325" t="inlineStr">
        <is>
          <t>UPPSALA</t>
        </is>
      </c>
      <c r="G325" t="n">
        <v>1.5</v>
      </c>
      <c r="H325" t="n">
        <v>0</v>
      </c>
      <c r="I325" t="n">
        <v>0</v>
      </c>
      <c r="J325" t="n">
        <v>0</v>
      </c>
      <c r="K325" t="n">
        <v>0</v>
      </c>
      <c r="L325" t="n">
        <v>0</v>
      </c>
      <c r="M325" t="n">
        <v>0</v>
      </c>
      <c r="N325" t="n">
        <v>0</v>
      </c>
      <c r="O325" t="n">
        <v>0</v>
      </c>
      <c r="P325" t="n">
        <v>0</v>
      </c>
      <c r="Q325" t="n">
        <v>0</v>
      </c>
      <c r="R325" s="2" t="inlineStr"/>
    </row>
    <row r="326" ht="15" customHeight="1">
      <c r="A326" t="inlineStr">
        <is>
          <t>A 46745-2024</t>
        </is>
      </c>
      <c r="B326" s="1" t="n">
        <v>45583</v>
      </c>
      <c r="C326" s="1" t="n">
        <v>45964</v>
      </c>
      <c r="D326" t="inlineStr">
        <is>
          <t>UPPSALA LÄN</t>
        </is>
      </c>
      <c r="E326" t="inlineStr">
        <is>
          <t>UPPSALA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46748-2024</t>
        </is>
      </c>
      <c r="B327" s="1" t="n">
        <v>45583</v>
      </c>
      <c r="C327" s="1" t="n">
        <v>45964</v>
      </c>
      <c r="D327" t="inlineStr">
        <is>
          <t>UPPSALA LÄN</t>
        </is>
      </c>
      <c r="E327" t="inlineStr">
        <is>
          <t>UPPSALA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11744-2023</t>
        </is>
      </c>
      <c r="B328" s="1" t="n">
        <v>44993</v>
      </c>
      <c r="C328" s="1" t="n">
        <v>45964</v>
      </c>
      <c r="D328" t="inlineStr">
        <is>
          <t>UPPSALA LÄN</t>
        </is>
      </c>
      <c r="E328" t="inlineStr">
        <is>
          <t>UPPSALA</t>
        </is>
      </c>
      <c r="G328" t="n">
        <v>1.4</v>
      </c>
      <c r="H328" t="n">
        <v>0</v>
      </c>
      <c r="I328" t="n">
        <v>0</v>
      </c>
      <c r="J328" t="n">
        <v>0</v>
      </c>
      <c r="K328" t="n">
        <v>0</v>
      </c>
      <c r="L328" t="n">
        <v>0</v>
      </c>
      <c r="M328" t="n">
        <v>0</v>
      </c>
      <c r="N328" t="n">
        <v>0</v>
      </c>
      <c r="O328" t="n">
        <v>0</v>
      </c>
      <c r="P328" t="n">
        <v>0</v>
      </c>
      <c r="Q328" t="n">
        <v>0</v>
      </c>
      <c r="R328" s="2" t="inlineStr"/>
    </row>
    <row r="329" ht="15" customHeight="1">
      <c r="A329" t="inlineStr">
        <is>
          <t>A 50535-2024</t>
        </is>
      </c>
      <c r="B329" s="1" t="n">
        <v>45600</v>
      </c>
      <c r="C329" s="1" t="n">
        <v>45964</v>
      </c>
      <c r="D329" t="inlineStr">
        <is>
          <t>UPPSALA LÄN</t>
        </is>
      </c>
      <c r="E329" t="inlineStr">
        <is>
          <t>UPPSALA</t>
        </is>
      </c>
      <c r="F329" t="inlineStr">
        <is>
          <t>Övriga statliga verk och myndigheter</t>
        </is>
      </c>
      <c r="G329" t="n">
        <v>3.2</v>
      </c>
      <c r="H329" t="n">
        <v>0</v>
      </c>
      <c r="I329" t="n">
        <v>0</v>
      </c>
      <c r="J329" t="n">
        <v>0</v>
      </c>
      <c r="K329" t="n">
        <v>0</v>
      </c>
      <c r="L329" t="n">
        <v>0</v>
      </c>
      <c r="M329" t="n">
        <v>0</v>
      </c>
      <c r="N329" t="n">
        <v>0</v>
      </c>
      <c r="O329" t="n">
        <v>0</v>
      </c>
      <c r="P329" t="n">
        <v>0</v>
      </c>
      <c r="Q329" t="n">
        <v>0</v>
      </c>
      <c r="R329" s="2" t="inlineStr"/>
    </row>
    <row r="330" ht="15" customHeight="1">
      <c r="A330" t="inlineStr">
        <is>
          <t>A 8132-2024</t>
        </is>
      </c>
      <c r="B330" s="1" t="n">
        <v>45351.54596064815</v>
      </c>
      <c r="C330" s="1" t="n">
        <v>45964</v>
      </c>
      <c r="D330" t="inlineStr">
        <is>
          <t>UPPSALA LÄN</t>
        </is>
      </c>
      <c r="E330" t="inlineStr">
        <is>
          <t>UPPSALA</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16126-2022</t>
        </is>
      </c>
      <c r="B331" s="1" t="n">
        <v>44665</v>
      </c>
      <c r="C331" s="1" t="n">
        <v>45964</v>
      </c>
      <c r="D331" t="inlineStr">
        <is>
          <t>UPPSALA LÄN</t>
        </is>
      </c>
      <c r="E331" t="inlineStr">
        <is>
          <t>UPPSALA</t>
        </is>
      </c>
      <c r="F331" t="inlineStr">
        <is>
          <t>Bergvik skog öst AB</t>
        </is>
      </c>
      <c r="G331" t="n">
        <v>4.4</v>
      </c>
      <c r="H331" t="n">
        <v>0</v>
      </c>
      <c r="I331" t="n">
        <v>0</v>
      </c>
      <c r="J331" t="n">
        <v>0</v>
      </c>
      <c r="K331" t="n">
        <v>0</v>
      </c>
      <c r="L331" t="n">
        <v>0</v>
      </c>
      <c r="M331" t="n">
        <v>0</v>
      </c>
      <c r="N331" t="n">
        <v>0</v>
      </c>
      <c r="O331" t="n">
        <v>0</v>
      </c>
      <c r="P331" t="n">
        <v>0</v>
      </c>
      <c r="Q331" t="n">
        <v>0</v>
      </c>
      <c r="R331" s="2" t="inlineStr"/>
    </row>
    <row r="332" ht="15" customHeight="1">
      <c r="A332" t="inlineStr">
        <is>
          <t>A 7388-2024</t>
        </is>
      </c>
      <c r="B332" s="1" t="n">
        <v>45345.56</v>
      </c>
      <c r="C332" s="1" t="n">
        <v>45964</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58023-2022</t>
        </is>
      </c>
      <c r="B333" s="1" t="n">
        <v>44900.54711805555</v>
      </c>
      <c r="C333" s="1" t="n">
        <v>45964</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51661-2022</t>
        </is>
      </c>
      <c r="B334" s="1" t="n">
        <v>44872</v>
      </c>
      <c r="C334" s="1" t="n">
        <v>45964</v>
      </c>
      <c r="D334" t="inlineStr">
        <is>
          <t>UPPSALA LÄN</t>
        </is>
      </c>
      <c r="E334" t="inlineStr">
        <is>
          <t>UPPSALA</t>
        </is>
      </c>
      <c r="G334" t="n">
        <v>8.9</v>
      </c>
      <c r="H334" t="n">
        <v>0</v>
      </c>
      <c r="I334" t="n">
        <v>0</v>
      </c>
      <c r="J334" t="n">
        <v>0</v>
      </c>
      <c r="K334" t="n">
        <v>0</v>
      </c>
      <c r="L334" t="n">
        <v>0</v>
      </c>
      <c r="M334" t="n">
        <v>0</v>
      </c>
      <c r="N334" t="n">
        <v>0</v>
      </c>
      <c r="O334" t="n">
        <v>0</v>
      </c>
      <c r="P334" t="n">
        <v>0</v>
      </c>
      <c r="Q334" t="n">
        <v>0</v>
      </c>
      <c r="R334" s="2" t="inlineStr"/>
    </row>
    <row r="335" ht="15" customHeight="1">
      <c r="A335" t="inlineStr">
        <is>
          <t>A 6541-2025</t>
        </is>
      </c>
      <c r="B335" s="1" t="n">
        <v>45699</v>
      </c>
      <c r="C335" s="1" t="n">
        <v>45964</v>
      </c>
      <c r="D335" t="inlineStr">
        <is>
          <t>UPPSALA LÄN</t>
        </is>
      </c>
      <c r="E335" t="inlineStr">
        <is>
          <t>UPPSALA</t>
        </is>
      </c>
      <c r="G335" t="n">
        <v>1.5</v>
      </c>
      <c r="H335" t="n">
        <v>0</v>
      </c>
      <c r="I335" t="n">
        <v>0</v>
      </c>
      <c r="J335" t="n">
        <v>0</v>
      </c>
      <c r="K335" t="n">
        <v>0</v>
      </c>
      <c r="L335" t="n">
        <v>0</v>
      </c>
      <c r="M335" t="n">
        <v>0</v>
      </c>
      <c r="N335" t="n">
        <v>0</v>
      </c>
      <c r="O335" t="n">
        <v>0</v>
      </c>
      <c r="P335" t="n">
        <v>0</v>
      </c>
      <c r="Q335" t="n">
        <v>0</v>
      </c>
      <c r="R335" s="2" t="inlineStr"/>
    </row>
    <row r="336" ht="15" customHeight="1">
      <c r="A336" t="inlineStr">
        <is>
          <t>A 33562-2023</t>
        </is>
      </c>
      <c r="B336" s="1" t="n">
        <v>45131</v>
      </c>
      <c r="C336" s="1" t="n">
        <v>45964</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5725-2025</t>
        </is>
      </c>
      <c r="B337" s="1" t="n">
        <v>45694</v>
      </c>
      <c r="C337" s="1" t="n">
        <v>45964</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10565-2022</t>
        </is>
      </c>
      <c r="B338" s="1" t="n">
        <v>44624.35083333333</v>
      </c>
      <c r="C338" s="1" t="n">
        <v>45964</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29277-2022</t>
        </is>
      </c>
      <c r="B339" s="1" t="n">
        <v>44750.678125</v>
      </c>
      <c r="C339" s="1" t="n">
        <v>45964</v>
      </c>
      <c r="D339" t="inlineStr">
        <is>
          <t>UPPSALA LÄN</t>
        </is>
      </c>
      <c r="E339" t="inlineStr">
        <is>
          <t>UPPSALA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4240-2025</t>
        </is>
      </c>
      <c r="B340" s="1" t="n">
        <v>45685.5778125</v>
      </c>
      <c r="C340" s="1" t="n">
        <v>45964</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14400-2025</t>
        </is>
      </c>
      <c r="B341" s="1" t="n">
        <v>45741.45114583334</v>
      </c>
      <c r="C341" s="1" t="n">
        <v>45964</v>
      </c>
      <c r="D341" t="inlineStr">
        <is>
          <t>UPPSALA LÄN</t>
        </is>
      </c>
      <c r="E341" t="inlineStr">
        <is>
          <t>UPPSALA</t>
        </is>
      </c>
      <c r="G341" t="n">
        <v>6.6</v>
      </c>
      <c r="H341" t="n">
        <v>0</v>
      </c>
      <c r="I341" t="n">
        <v>0</v>
      </c>
      <c r="J341" t="n">
        <v>0</v>
      </c>
      <c r="K341" t="n">
        <v>0</v>
      </c>
      <c r="L341" t="n">
        <v>0</v>
      </c>
      <c r="M341" t="n">
        <v>0</v>
      </c>
      <c r="N341" t="n">
        <v>0</v>
      </c>
      <c r="O341" t="n">
        <v>0</v>
      </c>
      <c r="P341" t="n">
        <v>0</v>
      </c>
      <c r="Q341" t="n">
        <v>0</v>
      </c>
      <c r="R341" s="2" t="inlineStr"/>
    </row>
    <row r="342" ht="15" customHeight="1">
      <c r="A342" t="inlineStr">
        <is>
          <t>A 36781-2023</t>
        </is>
      </c>
      <c r="B342" s="1" t="n">
        <v>45154.34931712963</v>
      </c>
      <c r="C342" s="1" t="n">
        <v>45964</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34243-2021</t>
        </is>
      </c>
      <c r="B343" s="1" t="n">
        <v>44379.56163194445</v>
      </c>
      <c r="C343" s="1" t="n">
        <v>45964</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49682-2023</t>
        </is>
      </c>
      <c r="B344" s="1" t="n">
        <v>45212.34997685185</v>
      </c>
      <c r="C344" s="1" t="n">
        <v>45964</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21859-2024</t>
        </is>
      </c>
      <c r="B345" s="1" t="n">
        <v>45443</v>
      </c>
      <c r="C345" s="1" t="n">
        <v>45964</v>
      </c>
      <c r="D345" t="inlineStr">
        <is>
          <t>UPPSALA LÄN</t>
        </is>
      </c>
      <c r="E345" t="inlineStr">
        <is>
          <t>UPPSALA</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6009-2022</t>
        </is>
      </c>
      <c r="B346" s="1" t="n">
        <v>44599.44832175926</v>
      </c>
      <c r="C346" s="1" t="n">
        <v>45964</v>
      </c>
      <c r="D346" t="inlineStr">
        <is>
          <t>UPPSALA LÄN</t>
        </is>
      </c>
      <c r="E346" t="inlineStr">
        <is>
          <t>UPPSALA</t>
        </is>
      </c>
      <c r="G346" t="n">
        <v>0.9</v>
      </c>
      <c r="H346" t="n">
        <v>0</v>
      </c>
      <c r="I346" t="n">
        <v>0</v>
      </c>
      <c r="J346" t="n">
        <v>0</v>
      </c>
      <c r="K346" t="n">
        <v>0</v>
      </c>
      <c r="L346" t="n">
        <v>0</v>
      </c>
      <c r="M346" t="n">
        <v>0</v>
      </c>
      <c r="N346" t="n">
        <v>0</v>
      </c>
      <c r="O346" t="n">
        <v>0</v>
      </c>
      <c r="P346" t="n">
        <v>0</v>
      </c>
      <c r="Q346" t="n">
        <v>0</v>
      </c>
      <c r="R346" s="2" t="inlineStr"/>
    </row>
    <row r="347" ht="15" customHeight="1">
      <c r="A347" t="inlineStr">
        <is>
          <t>A 69691-2021</t>
        </is>
      </c>
      <c r="B347" s="1" t="n">
        <v>44532</v>
      </c>
      <c r="C347" s="1" t="n">
        <v>45964</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27599-2023</t>
        </is>
      </c>
      <c r="B348" s="1" t="n">
        <v>45097</v>
      </c>
      <c r="C348" s="1" t="n">
        <v>45964</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2357-2024</t>
        </is>
      </c>
      <c r="B349" s="1" t="n">
        <v>45310</v>
      </c>
      <c r="C349" s="1" t="n">
        <v>45964</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5362-2023</t>
        </is>
      </c>
      <c r="B350" s="1" t="n">
        <v>44944</v>
      </c>
      <c r="C350" s="1" t="n">
        <v>45964</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26762-2023</t>
        </is>
      </c>
      <c r="B351" s="1" t="n">
        <v>45093.46706018518</v>
      </c>
      <c r="C351" s="1" t="n">
        <v>45964</v>
      </c>
      <c r="D351" t="inlineStr">
        <is>
          <t>UPPSALA LÄN</t>
        </is>
      </c>
      <c r="E351" t="inlineStr">
        <is>
          <t>UPPSALA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4503-2024</t>
        </is>
      </c>
      <c r="B352" s="1" t="n">
        <v>45327.61831018519</v>
      </c>
      <c r="C352" s="1" t="n">
        <v>45964</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44315-2021</t>
        </is>
      </c>
      <c r="B353" s="1" t="n">
        <v>44435.38657407407</v>
      </c>
      <c r="C353" s="1" t="n">
        <v>45964</v>
      </c>
      <c r="D353" t="inlineStr">
        <is>
          <t>UPPSALA LÄN</t>
        </is>
      </c>
      <c r="E353" t="inlineStr">
        <is>
          <t>UPPSALA</t>
        </is>
      </c>
      <c r="G353" t="n">
        <v>5.2</v>
      </c>
      <c r="H353" t="n">
        <v>0</v>
      </c>
      <c r="I353" t="n">
        <v>0</v>
      </c>
      <c r="J353" t="n">
        <v>0</v>
      </c>
      <c r="K353" t="n">
        <v>0</v>
      </c>
      <c r="L353" t="n">
        <v>0</v>
      </c>
      <c r="M353" t="n">
        <v>0</v>
      </c>
      <c r="N353" t="n">
        <v>0</v>
      </c>
      <c r="O353" t="n">
        <v>0</v>
      </c>
      <c r="P353" t="n">
        <v>0</v>
      </c>
      <c r="Q353" t="n">
        <v>0</v>
      </c>
      <c r="R353" s="2" t="inlineStr"/>
    </row>
    <row r="354" ht="15" customHeight="1">
      <c r="A354" t="inlineStr">
        <is>
          <t>A 7058-2023</t>
        </is>
      </c>
      <c r="B354" s="1" t="n">
        <v>44969</v>
      </c>
      <c r="C354" s="1" t="n">
        <v>45964</v>
      </c>
      <c r="D354" t="inlineStr">
        <is>
          <t>UPPSALA LÄN</t>
        </is>
      </c>
      <c r="E354" t="inlineStr">
        <is>
          <t>UPPSALA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16811-2023</t>
        </is>
      </c>
      <c r="B355" s="1" t="n">
        <v>45033</v>
      </c>
      <c r="C355" s="1" t="n">
        <v>45964</v>
      </c>
      <c r="D355" t="inlineStr">
        <is>
          <t>UPPSALA LÄN</t>
        </is>
      </c>
      <c r="E355" t="inlineStr">
        <is>
          <t>UPPSALA</t>
        </is>
      </c>
      <c r="G355" t="n">
        <v>10.1</v>
      </c>
      <c r="H355" t="n">
        <v>0</v>
      </c>
      <c r="I355" t="n">
        <v>0</v>
      </c>
      <c r="J355" t="n">
        <v>0</v>
      </c>
      <c r="K355" t="n">
        <v>0</v>
      </c>
      <c r="L355" t="n">
        <v>0</v>
      </c>
      <c r="M355" t="n">
        <v>0</v>
      </c>
      <c r="N355" t="n">
        <v>0</v>
      </c>
      <c r="O355" t="n">
        <v>0</v>
      </c>
      <c r="P355" t="n">
        <v>0</v>
      </c>
      <c r="Q355" t="n">
        <v>0</v>
      </c>
      <c r="R355" s="2" t="inlineStr"/>
    </row>
    <row r="356" ht="15" customHeight="1">
      <c r="A356" t="inlineStr">
        <is>
          <t>A 4461-2024</t>
        </is>
      </c>
      <c r="B356" s="1" t="n">
        <v>45327</v>
      </c>
      <c r="C356" s="1" t="n">
        <v>45964</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20301-2024</t>
        </is>
      </c>
      <c r="B357" s="1" t="n">
        <v>45435.34778935185</v>
      </c>
      <c r="C357" s="1" t="n">
        <v>45964</v>
      </c>
      <c r="D357" t="inlineStr">
        <is>
          <t>UPPSALA LÄN</t>
        </is>
      </c>
      <c r="E357" t="inlineStr">
        <is>
          <t>UPPSALA</t>
        </is>
      </c>
      <c r="F357" t="inlineStr">
        <is>
          <t>Kyrkan</t>
        </is>
      </c>
      <c r="G357" t="n">
        <v>2.8</v>
      </c>
      <c r="H357" t="n">
        <v>0</v>
      </c>
      <c r="I357" t="n">
        <v>0</v>
      </c>
      <c r="J357" t="n">
        <v>0</v>
      </c>
      <c r="K357" t="n">
        <v>0</v>
      </c>
      <c r="L357" t="n">
        <v>0</v>
      </c>
      <c r="M357" t="n">
        <v>0</v>
      </c>
      <c r="N357" t="n">
        <v>0</v>
      </c>
      <c r="O357" t="n">
        <v>0</v>
      </c>
      <c r="P357" t="n">
        <v>0</v>
      </c>
      <c r="Q357" t="n">
        <v>0</v>
      </c>
      <c r="R357" s="2" t="inlineStr"/>
    </row>
    <row r="358" ht="15" customHeight="1">
      <c r="A358" t="inlineStr">
        <is>
          <t>A 62352-2020</t>
        </is>
      </c>
      <c r="B358" s="1" t="n">
        <v>44159</v>
      </c>
      <c r="C358" s="1" t="n">
        <v>45964</v>
      </c>
      <c r="D358" t="inlineStr">
        <is>
          <t>UPPSALA LÄN</t>
        </is>
      </c>
      <c r="E358" t="inlineStr">
        <is>
          <t>UPPSALA</t>
        </is>
      </c>
      <c r="F358" t="inlineStr">
        <is>
          <t>Allmännings- och besparingsskogar</t>
        </is>
      </c>
      <c r="G358" t="n">
        <v>12.9</v>
      </c>
      <c r="H358" t="n">
        <v>0</v>
      </c>
      <c r="I358" t="n">
        <v>0</v>
      </c>
      <c r="J358" t="n">
        <v>0</v>
      </c>
      <c r="K358" t="n">
        <v>0</v>
      </c>
      <c r="L358" t="n">
        <v>0</v>
      </c>
      <c r="M358" t="n">
        <v>0</v>
      </c>
      <c r="N358" t="n">
        <v>0</v>
      </c>
      <c r="O358" t="n">
        <v>0</v>
      </c>
      <c r="P358" t="n">
        <v>0</v>
      </c>
      <c r="Q358" t="n">
        <v>0</v>
      </c>
      <c r="R358" s="2" t="inlineStr"/>
    </row>
    <row r="359" ht="15" customHeight="1">
      <c r="A359" t="inlineStr">
        <is>
          <t>A 57714-2022</t>
        </is>
      </c>
      <c r="B359" s="1" t="n">
        <v>44897</v>
      </c>
      <c r="C359" s="1" t="n">
        <v>45964</v>
      </c>
      <c r="D359" t="inlineStr">
        <is>
          <t>UPPSALA LÄN</t>
        </is>
      </c>
      <c r="E359" t="inlineStr">
        <is>
          <t>UPPSALA</t>
        </is>
      </c>
      <c r="G359" t="n">
        <v>8.9</v>
      </c>
      <c r="H359" t="n">
        <v>0</v>
      </c>
      <c r="I359" t="n">
        <v>0</v>
      </c>
      <c r="J359" t="n">
        <v>0</v>
      </c>
      <c r="K359" t="n">
        <v>0</v>
      </c>
      <c r="L359" t="n">
        <v>0</v>
      </c>
      <c r="M359" t="n">
        <v>0</v>
      </c>
      <c r="N359" t="n">
        <v>0</v>
      </c>
      <c r="O359" t="n">
        <v>0</v>
      </c>
      <c r="P359" t="n">
        <v>0</v>
      </c>
      <c r="Q359" t="n">
        <v>0</v>
      </c>
      <c r="R359" s="2" t="inlineStr"/>
    </row>
    <row r="360" ht="15" customHeight="1">
      <c r="A360" t="inlineStr">
        <is>
          <t>A 3260-2024</t>
        </is>
      </c>
      <c r="B360" s="1" t="n">
        <v>45317</v>
      </c>
      <c r="C360" s="1" t="n">
        <v>45964</v>
      </c>
      <c r="D360" t="inlineStr">
        <is>
          <t>UPPSALA LÄN</t>
        </is>
      </c>
      <c r="E360" t="inlineStr">
        <is>
          <t>UPPSALA</t>
        </is>
      </c>
      <c r="G360" t="n">
        <v>0.9</v>
      </c>
      <c r="H360" t="n">
        <v>0</v>
      </c>
      <c r="I360" t="n">
        <v>0</v>
      </c>
      <c r="J360" t="n">
        <v>0</v>
      </c>
      <c r="K360" t="n">
        <v>0</v>
      </c>
      <c r="L360" t="n">
        <v>0</v>
      </c>
      <c r="M360" t="n">
        <v>0</v>
      </c>
      <c r="N360" t="n">
        <v>0</v>
      </c>
      <c r="O360" t="n">
        <v>0</v>
      </c>
      <c r="P360" t="n">
        <v>0</v>
      </c>
      <c r="Q360" t="n">
        <v>0</v>
      </c>
      <c r="R360" s="2" t="inlineStr"/>
    </row>
    <row r="361" ht="15" customHeight="1">
      <c r="A361" t="inlineStr">
        <is>
          <t>A 53893-2023</t>
        </is>
      </c>
      <c r="B361" s="1" t="n">
        <v>45231</v>
      </c>
      <c r="C361" s="1" t="n">
        <v>45964</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12209-2025</t>
        </is>
      </c>
      <c r="B362" s="1" t="n">
        <v>45729</v>
      </c>
      <c r="C362" s="1" t="n">
        <v>45964</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40325-2023</t>
        </is>
      </c>
      <c r="B363" s="1" t="n">
        <v>45169</v>
      </c>
      <c r="C363" s="1" t="n">
        <v>45964</v>
      </c>
      <c r="D363" t="inlineStr">
        <is>
          <t>UPPSALA LÄN</t>
        </is>
      </c>
      <c r="E363" t="inlineStr">
        <is>
          <t>UPPSALA</t>
        </is>
      </c>
      <c r="F363" t="inlineStr">
        <is>
          <t>Kommuner</t>
        </is>
      </c>
      <c r="G363" t="n">
        <v>1.3</v>
      </c>
      <c r="H363" t="n">
        <v>0</v>
      </c>
      <c r="I363" t="n">
        <v>0</v>
      </c>
      <c r="J363" t="n">
        <v>0</v>
      </c>
      <c r="K363" t="n">
        <v>0</v>
      </c>
      <c r="L363" t="n">
        <v>0</v>
      </c>
      <c r="M363" t="n">
        <v>0</v>
      </c>
      <c r="N363" t="n">
        <v>0</v>
      </c>
      <c r="O363" t="n">
        <v>0</v>
      </c>
      <c r="P363" t="n">
        <v>0</v>
      </c>
      <c r="Q363" t="n">
        <v>0</v>
      </c>
      <c r="R363" s="2" t="inlineStr"/>
    </row>
    <row r="364" ht="15" customHeight="1">
      <c r="A364" t="inlineStr">
        <is>
          <t>A 42273-2023</t>
        </is>
      </c>
      <c r="B364" s="1" t="n">
        <v>45180.40255787037</v>
      </c>
      <c r="C364" s="1" t="n">
        <v>45964</v>
      </c>
      <c r="D364" t="inlineStr">
        <is>
          <t>UPPSALA LÄN</t>
        </is>
      </c>
      <c r="E364" t="inlineStr">
        <is>
          <t>UPPSALA</t>
        </is>
      </c>
      <c r="F364" t="inlineStr">
        <is>
          <t>Bergvik skog öst AB</t>
        </is>
      </c>
      <c r="G364" t="n">
        <v>0.9</v>
      </c>
      <c r="H364" t="n">
        <v>0</v>
      </c>
      <c r="I364" t="n">
        <v>0</v>
      </c>
      <c r="J364" t="n">
        <v>0</v>
      </c>
      <c r="K364" t="n">
        <v>0</v>
      </c>
      <c r="L364" t="n">
        <v>0</v>
      </c>
      <c r="M364" t="n">
        <v>0</v>
      </c>
      <c r="N364" t="n">
        <v>0</v>
      </c>
      <c r="O364" t="n">
        <v>0</v>
      </c>
      <c r="P364" t="n">
        <v>0</v>
      </c>
      <c r="Q364" t="n">
        <v>0</v>
      </c>
      <c r="R364" s="2" t="inlineStr"/>
    </row>
    <row r="365" ht="15" customHeight="1">
      <c r="A365" t="inlineStr">
        <is>
          <t>A 50395-2023</t>
        </is>
      </c>
      <c r="B365" s="1" t="n">
        <v>45216</v>
      </c>
      <c r="C365" s="1" t="n">
        <v>45964</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4412-2024</t>
        </is>
      </c>
      <c r="B366" s="1" t="n">
        <v>45327</v>
      </c>
      <c r="C366" s="1" t="n">
        <v>45964</v>
      </c>
      <c r="D366" t="inlineStr">
        <is>
          <t>UPPSALA LÄN</t>
        </is>
      </c>
      <c r="E366" t="inlineStr">
        <is>
          <t>UPPSALA</t>
        </is>
      </c>
      <c r="G366" t="n">
        <v>5.4</v>
      </c>
      <c r="H366" t="n">
        <v>0</v>
      </c>
      <c r="I366" t="n">
        <v>0</v>
      </c>
      <c r="J366" t="n">
        <v>0</v>
      </c>
      <c r="K366" t="n">
        <v>0</v>
      </c>
      <c r="L366" t="n">
        <v>0</v>
      </c>
      <c r="M366" t="n">
        <v>0</v>
      </c>
      <c r="N366" t="n">
        <v>0</v>
      </c>
      <c r="O366" t="n">
        <v>0</v>
      </c>
      <c r="P366" t="n">
        <v>0</v>
      </c>
      <c r="Q366" t="n">
        <v>0</v>
      </c>
      <c r="R366" s="2" t="inlineStr"/>
    </row>
    <row r="367" ht="15" customHeight="1">
      <c r="A367" t="inlineStr">
        <is>
          <t>A 53615-2024</t>
        </is>
      </c>
      <c r="B367" s="1" t="n">
        <v>45611</v>
      </c>
      <c r="C367" s="1" t="n">
        <v>45964</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19380-2023</t>
        </is>
      </c>
      <c r="B368" s="1" t="n">
        <v>45049.66025462963</v>
      </c>
      <c r="C368" s="1" t="n">
        <v>45964</v>
      </c>
      <c r="D368" t="inlineStr">
        <is>
          <t>UPPSALA LÄN</t>
        </is>
      </c>
      <c r="E368" t="inlineStr">
        <is>
          <t>UPPSALA</t>
        </is>
      </c>
      <c r="G368" t="n">
        <v>1</v>
      </c>
      <c r="H368" t="n">
        <v>0</v>
      </c>
      <c r="I368" t="n">
        <v>0</v>
      </c>
      <c r="J368" t="n">
        <v>0</v>
      </c>
      <c r="K368" t="n">
        <v>0</v>
      </c>
      <c r="L368" t="n">
        <v>0</v>
      </c>
      <c r="M368" t="n">
        <v>0</v>
      </c>
      <c r="N368" t="n">
        <v>0</v>
      </c>
      <c r="O368" t="n">
        <v>0</v>
      </c>
      <c r="P368" t="n">
        <v>0</v>
      </c>
      <c r="Q368" t="n">
        <v>0</v>
      </c>
      <c r="R368" s="2" t="inlineStr"/>
    </row>
    <row r="369" ht="15" customHeight="1">
      <c r="A369" t="inlineStr">
        <is>
          <t>A 37618-2023</t>
        </is>
      </c>
      <c r="B369" s="1" t="n">
        <v>45159.44694444445</v>
      </c>
      <c r="C369" s="1" t="n">
        <v>45964</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9313-2023</t>
        </is>
      </c>
      <c r="B370" s="1" t="n">
        <v>44980</v>
      </c>
      <c r="C370" s="1" t="n">
        <v>45964</v>
      </c>
      <c r="D370" t="inlineStr">
        <is>
          <t>UPPSALA LÄN</t>
        </is>
      </c>
      <c r="E370" t="inlineStr">
        <is>
          <t>UPPSALA</t>
        </is>
      </c>
      <c r="G370" t="n">
        <v>2.6</v>
      </c>
      <c r="H370" t="n">
        <v>0</v>
      </c>
      <c r="I370" t="n">
        <v>0</v>
      </c>
      <c r="J370" t="n">
        <v>0</v>
      </c>
      <c r="K370" t="n">
        <v>0</v>
      </c>
      <c r="L370" t="n">
        <v>0</v>
      </c>
      <c r="M370" t="n">
        <v>0</v>
      </c>
      <c r="N370" t="n">
        <v>0</v>
      </c>
      <c r="O370" t="n">
        <v>0</v>
      </c>
      <c r="P370" t="n">
        <v>0</v>
      </c>
      <c r="Q370" t="n">
        <v>0</v>
      </c>
      <c r="R370" s="2" t="inlineStr"/>
    </row>
    <row r="371" ht="15" customHeight="1">
      <c r="A371" t="inlineStr">
        <is>
          <t>A 39818-2024</t>
        </is>
      </c>
      <c r="B371" s="1" t="n">
        <v>45552</v>
      </c>
      <c r="C371" s="1" t="n">
        <v>45964</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3813-2024</t>
        </is>
      </c>
      <c r="B372" s="1" t="n">
        <v>45321</v>
      </c>
      <c r="C372" s="1" t="n">
        <v>45964</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18330-2022</t>
        </is>
      </c>
      <c r="B373" s="1" t="n">
        <v>44685.6212037037</v>
      </c>
      <c r="C373" s="1" t="n">
        <v>45964</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59521-2023</t>
        </is>
      </c>
      <c r="B374" s="1" t="n">
        <v>45254.49552083333</v>
      </c>
      <c r="C374" s="1" t="n">
        <v>45964</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7226-2024</t>
        </is>
      </c>
      <c r="B375" s="1" t="n">
        <v>45344.64759259259</v>
      </c>
      <c r="C375" s="1" t="n">
        <v>45964</v>
      </c>
      <c r="D375" t="inlineStr">
        <is>
          <t>UPPSALA LÄN</t>
        </is>
      </c>
      <c r="E375" t="inlineStr">
        <is>
          <t>UPPSALA</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18607-2024</t>
        </is>
      </c>
      <c r="B376" s="1" t="n">
        <v>45425.94947916667</v>
      </c>
      <c r="C376" s="1" t="n">
        <v>45964</v>
      </c>
      <c r="D376" t="inlineStr">
        <is>
          <t>UPPSALA LÄN</t>
        </is>
      </c>
      <c r="E376" t="inlineStr">
        <is>
          <t>UPPSALA</t>
        </is>
      </c>
      <c r="G376" t="n">
        <v>4.3</v>
      </c>
      <c r="H376" t="n">
        <v>0</v>
      </c>
      <c r="I376" t="n">
        <v>0</v>
      </c>
      <c r="J376" t="n">
        <v>0</v>
      </c>
      <c r="K376" t="n">
        <v>0</v>
      </c>
      <c r="L376" t="n">
        <v>0</v>
      </c>
      <c r="M376" t="n">
        <v>0</v>
      </c>
      <c r="N376" t="n">
        <v>0</v>
      </c>
      <c r="O376" t="n">
        <v>0</v>
      </c>
      <c r="P376" t="n">
        <v>0</v>
      </c>
      <c r="Q376" t="n">
        <v>0</v>
      </c>
      <c r="R376" s="2" t="inlineStr"/>
    </row>
    <row r="377" ht="15" customHeight="1">
      <c r="A377" t="inlineStr">
        <is>
          <t>A 56872-2023</t>
        </is>
      </c>
      <c r="B377" s="1" t="n">
        <v>45244.52202546296</v>
      </c>
      <c r="C377" s="1" t="n">
        <v>45964</v>
      </c>
      <c r="D377" t="inlineStr">
        <is>
          <t>UPPSALA LÄN</t>
        </is>
      </c>
      <c r="E377" t="inlineStr">
        <is>
          <t>UPPSALA</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5204-2025</t>
        </is>
      </c>
      <c r="B378" s="1" t="n">
        <v>45691</v>
      </c>
      <c r="C378" s="1" t="n">
        <v>45964</v>
      </c>
      <c r="D378" t="inlineStr">
        <is>
          <t>UPPSALA LÄN</t>
        </is>
      </c>
      <c r="E378" t="inlineStr">
        <is>
          <t>UPPSALA</t>
        </is>
      </c>
      <c r="G378" t="n">
        <v>3.7</v>
      </c>
      <c r="H378" t="n">
        <v>0</v>
      </c>
      <c r="I378" t="n">
        <v>0</v>
      </c>
      <c r="J378" t="n">
        <v>0</v>
      </c>
      <c r="K378" t="n">
        <v>0</v>
      </c>
      <c r="L378" t="n">
        <v>0</v>
      </c>
      <c r="M378" t="n">
        <v>0</v>
      </c>
      <c r="N378" t="n">
        <v>0</v>
      </c>
      <c r="O378" t="n">
        <v>0</v>
      </c>
      <c r="P378" t="n">
        <v>0</v>
      </c>
      <c r="Q378" t="n">
        <v>0</v>
      </c>
      <c r="R378" s="2" t="inlineStr"/>
    </row>
    <row r="379" ht="15" customHeight="1">
      <c r="A379" t="inlineStr">
        <is>
          <t>A 37820-2021</t>
        </is>
      </c>
      <c r="B379" s="1" t="n">
        <v>44403.3119212963</v>
      </c>
      <c r="C379" s="1" t="n">
        <v>45964</v>
      </c>
      <c r="D379" t="inlineStr">
        <is>
          <t>UPPSALA LÄN</t>
        </is>
      </c>
      <c r="E379" t="inlineStr">
        <is>
          <t>UPPSALA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5678-2023</t>
        </is>
      </c>
      <c r="B380" s="1" t="n">
        <v>44960</v>
      </c>
      <c r="C380" s="1" t="n">
        <v>45964</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46796-2024</t>
        </is>
      </c>
      <c r="B381" s="1" t="n">
        <v>45583</v>
      </c>
      <c r="C381" s="1" t="n">
        <v>45964</v>
      </c>
      <c r="D381" t="inlineStr">
        <is>
          <t>UPPSALA LÄN</t>
        </is>
      </c>
      <c r="E381" t="inlineStr">
        <is>
          <t>UPPSALA</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45964</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341-2024</t>
        </is>
      </c>
      <c r="B383" s="1" t="n">
        <v>45295</v>
      </c>
      <c r="C383" s="1" t="n">
        <v>45964</v>
      </c>
      <c r="D383" t="inlineStr">
        <is>
          <t>UPPSALA LÄN</t>
        </is>
      </c>
      <c r="E383" t="inlineStr">
        <is>
          <t>UPPSALA</t>
        </is>
      </c>
      <c r="F383" t="inlineStr">
        <is>
          <t>Allmännings- och besparingsskogar</t>
        </is>
      </c>
      <c r="G383" t="n">
        <v>1.8</v>
      </c>
      <c r="H383" t="n">
        <v>0</v>
      </c>
      <c r="I383" t="n">
        <v>0</v>
      </c>
      <c r="J383" t="n">
        <v>0</v>
      </c>
      <c r="K383" t="n">
        <v>0</v>
      </c>
      <c r="L383" t="n">
        <v>0</v>
      </c>
      <c r="M383" t="n">
        <v>0</v>
      </c>
      <c r="N383" t="n">
        <v>0</v>
      </c>
      <c r="O383" t="n">
        <v>0</v>
      </c>
      <c r="P383" t="n">
        <v>0</v>
      </c>
      <c r="Q383" t="n">
        <v>0</v>
      </c>
      <c r="R383" s="2" t="inlineStr"/>
    </row>
    <row r="384" ht="15" customHeight="1">
      <c r="A384" t="inlineStr">
        <is>
          <t>A 40111-2024</t>
        </is>
      </c>
      <c r="B384" s="1" t="n">
        <v>45554</v>
      </c>
      <c r="C384" s="1" t="n">
        <v>45964</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10827-2024</t>
        </is>
      </c>
      <c r="B385" s="1" t="n">
        <v>45369</v>
      </c>
      <c r="C385" s="1" t="n">
        <v>45964</v>
      </c>
      <c r="D385" t="inlineStr">
        <is>
          <t>UPPSALA LÄN</t>
        </is>
      </c>
      <c r="E385" t="inlineStr">
        <is>
          <t>UPPSALA</t>
        </is>
      </c>
      <c r="G385" t="n">
        <v>2</v>
      </c>
      <c r="H385" t="n">
        <v>0</v>
      </c>
      <c r="I385" t="n">
        <v>0</v>
      </c>
      <c r="J385" t="n">
        <v>0</v>
      </c>
      <c r="K385" t="n">
        <v>0</v>
      </c>
      <c r="L385" t="n">
        <v>0</v>
      </c>
      <c r="M385" t="n">
        <v>0</v>
      </c>
      <c r="N385" t="n">
        <v>0</v>
      </c>
      <c r="O385" t="n">
        <v>0</v>
      </c>
      <c r="P385" t="n">
        <v>0</v>
      </c>
      <c r="Q385" t="n">
        <v>0</v>
      </c>
      <c r="R385" s="2" t="inlineStr"/>
    </row>
    <row r="386" ht="15" customHeight="1">
      <c r="A386" t="inlineStr">
        <is>
          <t>A 12830-2025</t>
        </is>
      </c>
      <c r="B386" s="1" t="n">
        <v>45733.63099537037</v>
      </c>
      <c r="C386" s="1" t="n">
        <v>45964</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9914-2024</t>
        </is>
      </c>
      <c r="B387" s="1" t="n">
        <v>45363.54878472222</v>
      </c>
      <c r="C387" s="1" t="n">
        <v>45964</v>
      </c>
      <c r="D387" t="inlineStr">
        <is>
          <t>UPPSALA LÄN</t>
        </is>
      </c>
      <c r="E387" t="inlineStr">
        <is>
          <t>UPPSALA</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19345-2025</t>
        </is>
      </c>
      <c r="B388" s="1" t="n">
        <v>45769.6009375</v>
      </c>
      <c r="C388" s="1" t="n">
        <v>45964</v>
      </c>
      <c r="D388" t="inlineStr">
        <is>
          <t>UPPSALA LÄN</t>
        </is>
      </c>
      <c r="E388" t="inlineStr">
        <is>
          <t>UPPSALA</t>
        </is>
      </c>
      <c r="G388" t="n">
        <v>1.8</v>
      </c>
      <c r="H388" t="n">
        <v>0</v>
      </c>
      <c r="I388" t="n">
        <v>0</v>
      </c>
      <c r="J388" t="n">
        <v>0</v>
      </c>
      <c r="K388" t="n">
        <v>0</v>
      </c>
      <c r="L388" t="n">
        <v>0</v>
      </c>
      <c r="M388" t="n">
        <v>0</v>
      </c>
      <c r="N388" t="n">
        <v>0</v>
      </c>
      <c r="O388" t="n">
        <v>0</v>
      </c>
      <c r="P388" t="n">
        <v>0</v>
      </c>
      <c r="Q388" t="n">
        <v>0</v>
      </c>
      <c r="R388" s="2" t="inlineStr"/>
    </row>
    <row r="389" ht="15" customHeight="1">
      <c r="A389" t="inlineStr">
        <is>
          <t>A 2790-2025</t>
        </is>
      </c>
      <c r="B389" s="1" t="n">
        <v>45677</v>
      </c>
      <c r="C389" s="1" t="n">
        <v>45964</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12414-2025</t>
        </is>
      </c>
      <c r="B390" s="1" t="n">
        <v>45730.43966435185</v>
      </c>
      <c r="C390" s="1" t="n">
        <v>45964</v>
      </c>
      <c r="D390" t="inlineStr">
        <is>
          <t>UPPSALA LÄN</t>
        </is>
      </c>
      <c r="E390" t="inlineStr">
        <is>
          <t>UPPSALA</t>
        </is>
      </c>
      <c r="F390" t="inlineStr">
        <is>
          <t>Övriga statliga verk och myndigheter</t>
        </is>
      </c>
      <c r="G390" t="n">
        <v>6.8</v>
      </c>
      <c r="H390" t="n">
        <v>0</v>
      </c>
      <c r="I390" t="n">
        <v>0</v>
      </c>
      <c r="J390" t="n">
        <v>0</v>
      </c>
      <c r="K390" t="n">
        <v>0</v>
      </c>
      <c r="L390" t="n">
        <v>0</v>
      </c>
      <c r="M390" t="n">
        <v>0</v>
      </c>
      <c r="N390" t="n">
        <v>0</v>
      </c>
      <c r="O390" t="n">
        <v>0</v>
      </c>
      <c r="P390" t="n">
        <v>0</v>
      </c>
      <c r="Q390" t="n">
        <v>0</v>
      </c>
      <c r="R390" s="2" t="inlineStr"/>
    </row>
    <row r="391" ht="15" customHeight="1">
      <c r="A391" t="inlineStr">
        <is>
          <t>A 18410-2025</t>
        </is>
      </c>
      <c r="B391" s="1" t="n">
        <v>45762.61341435185</v>
      </c>
      <c r="C391" s="1" t="n">
        <v>45964</v>
      </c>
      <c r="D391" t="inlineStr">
        <is>
          <t>UPPSALA LÄN</t>
        </is>
      </c>
      <c r="E391" t="inlineStr">
        <is>
          <t>UPPSALA</t>
        </is>
      </c>
      <c r="G391" t="n">
        <v>0.9</v>
      </c>
      <c r="H391" t="n">
        <v>0</v>
      </c>
      <c r="I391" t="n">
        <v>0</v>
      </c>
      <c r="J391" t="n">
        <v>0</v>
      </c>
      <c r="K391" t="n">
        <v>0</v>
      </c>
      <c r="L391" t="n">
        <v>0</v>
      </c>
      <c r="M391" t="n">
        <v>0</v>
      </c>
      <c r="N391" t="n">
        <v>0</v>
      </c>
      <c r="O391" t="n">
        <v>0</v>
      </c>
      <c r="P391" t="n">
        <v>0</v>
      </c>
      <c r="Q391" t="n">
        <v>0</v>
      </c>
      <c r="R391" s="2" t="inlineStr"/>
    </row>
    <row r="392" ht="15" customHeight="1">
      <c r="A392" t="inlineStr">
        <is>
          <t>A 4929-2022</t>
        </is>
      </c>
      <c r="B392" s="1" t="n">
        <v>44593</v>
      </c>
      <c r="C392" s="1" t="n">
        <v>45964</v>
      </c>
      <c r="D392" t="inlineStr">
        <is>
          <t>UPPSALA LÄN</t>
        </is>
      </c>
      <c r="E392" t="inlineStr">
        <is>
          <t>UPPSALA</t>
        </is>
      </c>
      <c r="G392" t="n">
        <v>2.4</v>
      </c>
      <c r="H392" t="n">
        <v>0</v>
      </c>
      <c r="I392" t="n">
        <v>0</v>
      </c>
      <c r="J392" t="n">
        <v>0</v>
      </c>
      <c r="K392" t="n">
        <v>0</v>
      </c>
      <c r="L392" t="n">
        <v>0</v>
      </c>
      <c r="M392" t="n">
        <v>0</v>
      </c>
      <c r="N392" t="n">
        <v>0</v>
      </c>
      <c r="O392" t="n">
        <v>0</v>
      </c>
      <c r="P392" t="n">
        <v>0</v>
      </c>
      <c r="Q392" t="n">
        <v>0</v>
      </c>
      <c r="R392" s="2" t="inlineStr"/>
    </row>
    <row r="393" ht="15" customHeight="1">
      <c r="A393" t="inlineStr">
        <is>
          <t>A 33622-2024</t>
        </is>
      </c>
      <c r="B393" s="1" t="n">
        <v>45520</v>
      </c>
      <c r="C393" s="1" t="n">
        <v>45964</v>
      </c>
      <c r="D393" t="inlineStr">
        <is>
          <t>UPPSALA LÄN</t>
        </is>
      </c>
      <c r="E393" t="inlineStr">
        <is>
          <t>UPPSALA</t>
        </is>
      </c>
      <c r="G393" t="n">
        <v>1</v>
      </c>
      <c r="H393" t="n">
        <v>0</v>
      </c>
      <c r="I393" t="n">
        <v>0</v>
      </c>
      <c r="J393" t="n">
        <v>0</v>
      </c>
      <c r="K393" t="n">
        <v>0</v>
      </c>
      <c r="L393" t="n">
        <v>0</v>
      </c>
      <c r="M393" t="n">
        <v>0</v>
      </c>
      <c r="N393" t="n">
        <v>0</v>
      </c>
      <c r="O393" t="n">
        <v>0</v>
      </c>
      <c r="P393" t="n">
        <v>0</v>
      </c>
      <c r="Q393" t="n">
        <v>0</v>
      </c>
      <c r="R393" s="2" t="inlineStr"/>
    </row>
    <row r="394" ht="15" customHeight="1">
      <c r="A394" t="inlineStr">
        <is>
          <t>A 41545-2023</t>
        </is>
      </c>
      <c r="B394" s="1" t="n">
        <v>45175.57060185185</v>
      </c>
      <c r="C394" s="1" t="n">
        <v>45964</v>
      </c>
      <c r="D394" t="inlineStr">
        <is>
          <t>UPPSALA LÄN</t>
        </is>
      </c>
      <c r="E394" t="inlineStr">
        <is>
          <t>UPPSALA</t>
        </is>
      </c>
      <c r="G394" t="n">
        <v>6.6</v>
      </c>
      <c r="H394" t="n">
        <v>0</v>
      </c>
      <c r="I394" t="n">
        <v>0</v>
      </c>
      <c r="J394" t="n">
        <v>0</v>
      </c>
      <c r="K394" t="n">
        <v>0</v>
      </c>
      <c r="L394" t="n">
        <v>0</v>
      </c>
      <c r="M394" t="n">
        <v>0</v>
      </c>
      <c r="N394" t="n">
        <v>0</v>
      </c>
      <c r="O394" t="n">
        <v>0</v>
      </c>
      <c r="P394" t="n">
        <v>0</v>
      </c>
      <c r="Q394" t="n">
        <v>0</v>
      </c>
      <c r="R394" s="2" t="inlineStr"/>
    </row>
    <row r="395" ht="15" customHeight="1">
      <c r="A395" t="inlineStr">
        <is>
          <t>A 60047-2022</t>
        </is>
      </c>
      <c r="B395" s="1" t="n">
        <v>44909.51885416666</v>
      </c>
      <c r="C395" s="1" t="n">
        <v>45964</v>
      </c>
      <c r="D395" t="inlineStr">
        <is>
          <t>UPPSALA LÄN</t>
        </is>
      </c>
      <c r="E395" t="inlineStr">
        <is>
          <t>UPPSALA</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37588-2022</t>
        </is>
      </c>
      <c r="B396" s="1" t="n">
        <v>44809.92752314815</v>
      </c>
      <c r="C396" s="1" t="n">
        <v>45964</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12284-2025</t>
        </is>
      </c>
      <c r="B397" s="1" t="n">
        <v>45729</v>
      </c>
      <c r="C397" s="1" t="n">
        <v>45964</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12287-2025</t>
        </is>
      </c>
      <c r="B398" s="1" t="n">
        <v>45729</v>
      </c>
      <c r="C398" s="1" t="n">
        <v>45964</v>
      </c>
      <c r="D398" t="inlineStr">
        <is>
          <t>UPPSALA LÄN</t>
        </is>
      </c>
      <c r="E398" t="inlineStr">
        <is>
          <t>UPPSALA</t>
        </is>
      </c>
      <c r="G398" t="n">
        <v>4.6</v>
      </c>
      <c r="H398" t="n">
        <v>0</v>
      </c>
      <c r="I398" t="n">
        <v>0</v>
      </c>
      <c r="J398" t="n">
        <v>0</v>
      </c>
      <c r="K398" t="n">
        <v>0</v>
      </c>
      <c r="L398" t="n">
        <v>0</v>
      </c>
      <c r="M398" t="n">
        <v>0</v>
      </c>
      <c r="N398" t="n">
        <v>0</v>
      </c>
      <c r="O398" t="n">
        <v>0</v>
      </c>
      <c r="P398" t="n">
        <v>0</v>
      </c>
      <c r="Q398" t="n">
        <v>0</v>
      </c>
      <c r="R398" s="2" t="inlineStr"/>
    </row>
    <row r="399" ht="15" customHeight="1">
      <c r="A399" t="inlineStr">
        <is>
          <t>A 42543-2023</t>
        </is>
      </c>
      <c r="B399" s="1" t="n">
        <v>45181.36815972222</v>
      </c>
      <c r="C399" s="1" t="n">
        <v>45964</v>
      </c>
      <c r="D399" t="inlineStr">
        <is>
          <t>UPPSALA LÄN</t>
        </is>
      </c>
      <c r="E399" t="inlineStr">
        <is>
          <t>UPPSALA</t>
        </is>
      </c>
      <c r="G399" t="n">
        <v>1.4</v>
      </c>
      <c r="H399" t="n">
        <v>0</v>
      </c>
      <c r="I399" t="n">
        <v>0</v>
      </c>
      <c r="J399" t="n">
        <v>0</v>
      </c>
      <c r="K399" t="n">
        <v>0</v>
      </c>
      <c r="L399" t="n">
        <v>0</v>
      </c>
      <c r="M399" t="n">
        <v>0</v>
      </c>
      <c r="N399" t="n">
        <v>0</v>
      </c>
      <c r="O399" t="n">
        <v>0</v>
      </c>
      <c r="P399" t="n">
        <v>0</v>
      </c>
      <c r="Q399" t="n">
        <v>0</v>
      </c>
      <c r="R399" s="2" t="inlineStr"/>
    </row>
    <row r="400" ht="15" customHeight="1">
      <c r="A400" t="inlineStr">
        <is>
          <t>A 59549-2024</t>
        </is>
      </c>
      <c r="B400" s="1" t="n">
        <v>45638</v>
      </c>
      <c r="C400" s="1" t="n">
        <v>45964</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8931-2025</t>
        </is>
      </c>
      <c r="B401" s="1" t="n">
        <v>45713.44519675926</v>
      </c>
      <c r="C401" s="1" t="n">
        <v>45964</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8404-2022</t>
        </is>
      </c>
      <c r="B402" s="1" t="n">
        <v>44610</v>
      </c>
      <c r="C402" s="1" t="n">
        <v>45964</v>
      </c>
      <c r="D402" t="inlineStr">
        <is>
          <t>UPPSALA LÄN</t>
        </is>
      </c>
      <c r="E402" t="inlineStr">
        <is>
          <t>UPPSALA</t>
        </is>
      </c>
      <c r="F402" t="inlineStr">
        <is>
          <t>Allmännings- och besparingsskogar</t>
        </is>
      </c>
      <c r="G402" t="n">
        <v>5.4</v>
      </c>
      <c r="H402" t="n">
        <v>0</v>
      </c>
      <c r="I402" t="n">
        <v>0</v>
      </c>
      <c r="J402" t="n">
        <v>0</v>
      </c>
      <c r="K402" t="n">
        <v>0</v>
      </c>
      <c r="L402" t="n">
        <v>0</v>
      </c>
      <c r="M402" t="n">
        <v>0</v>
      </c>
      <c r="N402" t="n">
        <v>0</v>
      </c>
      <c r="O402" t="n">
        <v>0</v>
      </c>
      <c r="P402" t="n">
        <v>0</v>
      </c>
      <c r="Q402" t="n">
        <v>0</v>
      </c>
      <c r="R402" s="2" t="inlineStr"/>
    </row>
    <row r="403" ht="15" customHeight="1">
      <c r="A403" t="inlineStr">
        <is>
          <t>A 74023-2021</t>
        </is>
      </c>
      <c r="B403" s="1" t="n">
        <v>44553</v>
      </c>
      <c r="C403" s="1" t="n">
        <v>45964</v>
      </c>
      <c r="D403" t="inlineStr">
        <is>
          <t>UPPSALA LÄN</t>
        </is>
      </c>
      <c r="E403" t="inlineStr">
        <is>
          <t>UPPSALA</t>
        </is>
      </c>
      <c r="G403" t="n">
        <v>5.4</v>
      </c>
      <c r="H403" t="n">
        <v>0</v>
      </c>
      <c r="I403" t="n">
        <v>0</v>
      </c>
      <c r="J403" t="n">
        <v>0</v>
      </c>
      <c r="K403" t="n">
        <v>0</v>
      </c>
      <c r="L403" t="n">
        <v>0</v>
      </c>
      <c r="M403" t="n">
        <v>0</v>
      </c>
      <c r="N403" t="n">
        <v>0</v>
      </c>
      <c r="O403" t="n">
        <v>0</v>
      </c>
      <c r="P403" t="n">
        <v>0</v>
      </c>
      <c r="Q403" t="n">
        <v>0</v>
      </c>
      <c r="R403" s="2" t="inlineStr"/>
    </row>
    <row r="404" ht="15" customHeight="1">
      <c r="A404" t="inlineStr">
        <is>
          <t>A 781-2024</t>
        </is>
      </c>
      <c r="B404" s="1" t="n">
        <v>45300.55028935185</v>
      </c>
      <c r="C404" s="1" t="n">
        <v>45964</v>
      </c>
      <c r="D404" t="inlineStr">
        <is>
          <t>UPPSALA LÄN</t>
        </is>
      </c>
      <c r="E404" t="inlineStr">
        <is>
          <t>UPPSALA</t>
        </is>
      </c>
      <c r="G404" t="n">
        <v>6.3</v>
      </c>
      <c r="H404" t="n">
        <v>0</v>
      </c>
      <c r="I404" t="n">
        <v>0</v>
      </c>
      <c r="J404" t="n">
        <v>0</v>
      </c>
      <c r="K404" t="n">
        <v>0</v>
      </c>
      <c r="L404" t="n">
        <v>0</v>
      </c>
      <c r="M404" t="n">
        <v>0</v>
      </c>
      <c r="N404" t="n">
        <v>0</v>
      </c>
      <c r="O404" t="n">
        <v>0</v>
      </c>
      <c r="P404" t="n">
        <v>0</v>
      </c>
      <c r="Q404" t="n">
        <v>0</v>
      </c>
      <c r="R404" s="2" t="inlineStr"/>
    </row>
    <row r="405" ht="15" customHeight="1">
      <c r="A405" t="inlineStr">
        <is>
          <t>A 44830-2023</t>
        </is>
      </c>
      <c r="B405" s="1" t="n">
        <v>45190</v>
      </c>
      <c r="C405" s="1" t="n">
        <v>45964</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73044-2021</t>
        </is>
      </c>
      <c r="B406" s="1" t="n">
        <v>44550.37994212963</v>
      </c>
      <c r="C406" s="1" t="n">
        <v>45964</v>
      </c>
      <c r="D406" t="inlineStr">
        <is>
          <t>UPPSALA LÄN</t>
        </is>
      </c>
      <c r="E406" t="inlineStr">
        <is>
          <t>UPPSALA</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9592-2022</t>
        </is>
      </c>
      <c r="B407" s="1" t="n">
        <v>44617.48311342593</v>
      </c>
      <c r="C407" s="1" t="n">
        <v>45964</v>
      </c>
      <c r="D407" t="inlineStr">
        <is>
          <t>UPPSALA LÄN</t>
        </is>
      </c>
      <c r="E407" t="inlineStr">
        <is>
          <t>UPPSALA</t>
        </is>
      </c>
      <c r="G407" t="n">
        <v>7.5</v>
      </c>
      <c r="H407" t="n">
        <v>0</v>
      </c>
      <c r="I407" t="n">
        <v>0</v>
      </c>
      <c r="J407" t="n">
        <v>0</v>
      </c>
      <c r="K407" t="n">
        <v>0</v>
      </c>
      <c r="L407" t="n">
        <v>0</v>
      </c>
      <c r="M407" t="n">
        <v>0</v>
      </c>
      <c r="N407" t="n">
        <v>0</v>
      </c>
      <c r="O407" t="n">
        <v>0</v>
      </c>
      <c r="P407" t="n">
        <v>0</v>
      </c>
      <c r="Q407" t="n">
        <v>0</v>
      </c>
      <c r="R407" s="2" t="inlineStr"/>
    </row>
    <row r="408" ht="15" customHeight="1">
      <c r="A408" t="inlineStr">
        <is>
          <t>A 19139-2023</t>
        </is>
      </c>
      <c r="B408" s="1" t="n">
        <v>45048.55349537037</v>
      </c>
      <c r="C408" s="1" t="n">
        <v>45964</v>
      </c>
      <c r="D408" t="inlineStr">
        <is>
          <t>UPPSALA LÄN</t>
        </is>
      </c>
      <c r="E408" t="inlineStr">
        <is>
          <t>UPPSALA</t>
        </is>
      </c>
      <c r="G408" t="n">
        <v>3</v>
      </c>
      <c r="H408" t="n">
        <v>0</v>
      </c>
      <c r="I408" t="n">
        <v>0</v>
      </c>
      <c r="J408" t="n">
        <v>0</v>
      </c>
      <c r="K408" t="n">
        <v>0</v>
      </c>
      <c r="L408" t="n">
        <v>0</v>
      </c>
      <c r="M408" t="n">
        <v>0</v>
      </c>
      <c r="N408" t="n">
        <v>0</v>
      </c>
      <c r="O408" t="n">
        <v>0</v>
      </c>
      <c r="P408" t="n">
        <v>0</v>
      </c>
      <c r="Q408" t="n">
        <v>0</v>
      </c>
      <c r="R408" s="2" t="inlineStr"/>
    </row>
    <row r="409" ht="15" customHeight="1">
      <c r="A409" t="inlineStr">
        <is>
          <t>A 29901-2023</t>
        </is>
      </c>
      <c r="B409" s="1" t="n">
        <v>45107</v>
      </c>
      <c r="C409" s="1" t="n">
        <v>45964</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29926-2023</t>
        </is>
      </c>
      <c r="B410" s="1" t="n">
        <v>45107</v>
      </c>
      <c r="C410" s="1" t="n">
        <v>45964</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1617-2021</t>
        </is>
      </c>
      <c r="B411" s="1" t="n">
        <v>44209</v>
      </c>
      <c r="C411" s="1" t="n">
        <v>45964</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29799-2023</t>
        </is>
      </c>
      <c r="B412" s="1" t="n">
        <v>45107.53688657407</v>
      </c>
      <c r="C412" s="1" t="n">
        <v>45964</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179-2023</t>
        </is>
      </c>
      <c r="B413" s="1" t="n">
        <v>44928</v>
      </c>
      <c r="C413" s="1" t="n">
        <v>45964</v>
      </c>
      <c r="D413" t="inlineStr">
        <is>
          <t>UPPSALA LÄN</t>
        </is>
      </c>
      <c r="E413" t="inlineStr">
        <is>
          <t>UPPSALA</t>
        </is>
      </c>
      <c r="F413" t="inlineStr">
        <is>
          <t>Kommuner</t>
        </is>
      </c>
      <c r="G413" t="n">
        <v>1.4</v>
      </c>
      <c r="H413" t="n">
        <v>0</v>
      </c>
      <c r="I413" t="n">
        <v>0</v>
      </c>
      <c r="J413" t="n">
        <v>0</v>
      </c>
      <c r="K413" t="n">
        <v>0</v>
      </c>
      <c r="L413" t="n">
        <v>0</v>
      </c>
      <c r="M413" t="n">
        <v>0</v>
      </c>
      <c r="N413" t="n">
        <v>0</v>
      </c>
      <c r="O413" t="n">
        <v>0</v>
      </c>
      <c r="P413" t="n">
        <v>0</v>
      </c>
      <c r="Q413" t="n">
        <v>0</v>
      </c>
      <c r="R413" s="2" t="inlineStr"/>
    </row>
    <row r="414" ht="15" customHeight="1">
      <c r="A414" t="inlineStr">
        <is>
          <t>A 21052-2023</t>
        </is>
      </c>
      <c r="B414" s="1" t="n">
        <v>45061</v>
      </c>
      <c r="C414" s="1" t="n">
        <v>45964</v>
      </c>
      <c r="D414" t="inlineStr">
        <is>
          <t>UPPSALA LÄN</t>
        </is>
      </c>
      <c r="E414" t="inlineStr">
        <is>
          <t>UPPSALA</t>
        </is>
      </c>
      <c r="G414" t="n">
        <v>0.6</v>
      </c>
      <c r="H414" t="n">
        <v>0</v>
      </c>
      <c r="I414" t="n">
        <v>0</v>
      </c>
      <c r="J414" t="n">
        <v>0</v>
      </c>
      <c r="K414" t="n">
        <v>0</v>
      </c>
      <c r="L414" t="n">
        <v>0</v>
      </c>
      <c r="M414" t="n">
        <v>0</v>
      </c>
      <c r="N414" t="n">
        <v>0</v>
      </c>
      <c r="O414" t="n">
        <v>0</v>
      </c>
      <c r="P414" t="n">
        <v>0</v>
      </c>
      <c r="Q414" t="n">
        <v>0</v>
      </c>
      <c r="R414" s="2" t="inlineStr"/>
    </row>
    <row r="415" ht="15" customHeight="1">
      <c r="A415" t="inlineStr">
        <is>
          <t>A 25745-2022</t>
        </is>
      </c>
      <c r="B415" s="1" t="n">
        <v>44733.43420138889</v>
      </c>
      <c r="C415" s="1" t="n">
        <v>45964</v>
      </c>
      <c r="D415" t="inlineStr">
        <is>
          <t>UPPSALA LÄN</t>
        </is>
      </c>
      <c r="E415" t="inlineStr">
        <is>
          <t>UPPSALA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23291-2024</t>
        </is>
      </c>
      <c r="B416" s="1" t="n">
        <v>45453</v>
      </c>
      <c r="C416" s="1" t="n">
        <v>45964</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59562-2024</t>
        </is>
      </c>
      <c r="B417" s="1" t="n">
        <v>45638</v>
      </c>
      <c r="C417" s="1" t="n">
        <v>45964</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22021-2022</t>
        </is>
      </c>
      <c r="B418" s="1" t="n">
        <v>44711</v>
      </c>
      <c r="C418" s="1" t="n">
        <v>45964</v>
      </c>
      <c r="D418" t="inlineStr">
        <is>
          <t>UPPSALA LÄN</t>
        </is>
      </c>
      <c r="E418" t="inlineStr">
        <is>
          <t>UPPSALA</t>
        </is>
      </c>
      <c r="F418" t="inlineStr">
        <is>
          <t>Allmännings- och besparingsskogar</t>
        </is>
      </c>
      <c r="G418" t="n">
        <v>2.1</v>
      </c>
      <c r="H418" t="n">
        <v>0</v>
      </c>
      <c r="I418" t="n">
        <v>0</v>
      </c>
      <c r="J418" t="n">
        <v>0</v>
      </c>
      <c r="K418" t="n">
        <v>0</v>
      </c>
      <c r="L418" t="n">
        <v>0</v>
      </c>
      <c r="M418" t="n">
        <v>0</v>
      </c>
      <c r="N418" t="n">
        <v>0</v>
      </c>
      <c r="O418" t="n">
        <v>0</v>
      </c>
      <c r="P418" t="n">
        <v>0</v>
      </c>
      <c r="Q418" t="n">
        <v>0</v>
      </c>
      <c r="R418" s="2" t="inlineStr"/>
    </row>
    <row r="419" ht="15" customHeight="1">
      <c r="A419" t="inlineStr">
        <is>
          <t>A 20797-2025</t>
        </is>
      </c>
      <c r="B419" s="1" t="n">
        <v>45776.6415162037</v>
      </c>
      <c r="C419" s="1" t="n">
        <v>45964</v>
      </c>
      <c r="D419" t="inlineStr">
        <is>
          <t>UPPSALA LÄN</t>
        </is>
      </c>
      <c r="E419" t="inlineStr">
        <is>
          <t>UPPSALA</t>
        </is>
      </c>
      <c r="F419" t="inlineStr">
        <is>
          <t>Kommuner</t>
        </is>
      </c>
      <c r="G419" t="n">
        <v>4.6</v>
      </c>
      <c r="H419" t="n">
        <v>0</v>
      </c>
      <c r="I419" t="n">
        <v>0</v>
      </c>
      <c r="J419" t="n">
        <v>0</v>
      </c>
      <c r="K419" t="n">
        <v>0</v>
      </c>
      <c r="L419" t="n">
        <v>0</v>
      </c>
      <c r="M419" t="n">
        <v>0</v>
      </c>
      <c r="N419" t="n">
        <v>0</v>
      </c>
      <c r="O419" t="n">
        <v>0</v>
      </c>
      <c r="P419" t="n">
        <v>0</v>
      </c>
      <c r="Q419" t="n">
        <v>0</v>
      </c>
      <c r="R419" s="2" t="inlineStr"/>
    </row>
    <row r="420" ht="15" customHeight="1">
      <c r="A420" t="inlineStr">
        <is>
          <t>A 33667-2024</t>
        </is>
      </c>
      <c r="B420" s="1" t="n">
        <v>45520</v>
      </c>
      <c r="C420" s="1" t="n">
        <v>45964</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20888-2025</t>
        </is>
      </c>
      <c r="B421" s="1" t="n">
        <v>45777.37119212963</v>
      </c>
      <c r="C421" s="1" t="n">
        <v>45964</v>
      </c>
      <c r="D421" t="inlineStr">
        <is>
          <t>UPPSALA LÄN</t>
        </is>
      </c>
      <c r="E421" t="inlineStr">
        <is>
          <t>UPPSALA</t>
        </is>
      </c>
      <c r="F421" t="inlineStr">
        <is>
          <t>Övriga statliga verk och myndigheter</t>
        </is>
      </c>
      <c r="G421" t="n">
        <v>5.1</v>
      </c>
      <c r="H421" t="n">
        <v>0</v>
      </c>
      <c r="I421" t="n">
        <v>0</v>
      </c>
      <c r="J421" t="n">
        <v>0</v>
      </c>
      <c r="K421" t="n">
        <v>0</v>
      </c>
      <c r="L421" t="n">
        <v>0</v>
      </c>
      <c r="M421" t="n">
        <v>0</v>
      </c>
      <c r="N421" t="n">
        <v>0</v>
      </c>
      <c r="O421" t="n">
        <v>0</v>
      </c>
      <c r="P421" t="n">
        <v>0</v>
      </c>
      <c r="Q421" t="n">
        <v>0</v>
      </c>
      <c r="R421" s="2" t="inlineStr"/>
    </row>
    <row r="422" ht="15" customHeight="1">
      <c r="A422" t="inlineStr">
        <is>
          <t>A 20928-2025</t>
        </is>
      </c>
      <c r="B422" s="1" t="n">
        <v>45777</v>
      </c>
      <c r="C422" s="1" t="n">
        <v>45964</v>
      </c>
      <c r="D422" t="inlineStr">
        <is>
          <t>UPPSALA LÄN</t>
        </is>
      </c>
      <c r="E422" t="inlineStr">
        <is>
          <t>UPPSALA</t>
        </is>
      </c>
      <c r="G422" t="n">
        <v>11.9</v>
      </c>
      <c r="H422" t="n">
        <v>0</v>
      </c>
      <c r="I422" t="n">
        <v>0</v>
      </c>
      <c r="J422" t="n">
        <v>0</v>
      </c>
      <c r="K422" t="n">
        <v>0</v>
      </c>
      <c r="L422" t="n">
        <v>0</v>
      </c>
      <c r="M422" t="n">
        <v>0</v>
      </c>
      <c r="N422" t="n">
        <v>0</v>
      </c>
      <c r="O422" t="n">
        <v>0</v>
      </c>
      <c r="P422" t="n">
        <v>0</v>
      </c>
      <c r="Q422" t="n">
        <v>0</v>
      </c>
      <c r="R422" s="2" t="inlineStr"/>
    </row>
    <row r="423" ht="15" customHeight="1">
      <c r="A423" t="inlineStr">
        <is>
          <t>A 29815-2023</t>
        </is>
      </c>
      <c r="B423" s="1" t="n">
        <v>45107.55574074074</v>
      </c>
      <c r="C423" s="1" t="n">
        <v>45964</v>
      </c>
      <c r="D423" t="inlineStr">
        <is>
          <t>UPPSALA LÄN</t>
        </is>
      </c>
      <c r="E423" t="inlineStr">
        <is>
          <t>UPPSALA</t>
        </is>
      </c>
      <c r="G423" t="n">
        <v>2.4</v>
      </c>
      <c r="H423" t="n">
        <v>0</v>
      </c>
      <c r="I423" t="n">
        <v>0</v>
      </c>
      <c r="J423" t="n">
        <v>0</v>
      </c>
      <c r="K423" t="n">
        <v>0</v>
      </c>
      <c r="L423" t="n">
        <v>0</v>
      </c>
      <c r="M423" t="n">
        <v>0</v>
      </c>
      <c r="N423" t="n">
        <v>0</v>
      </c>
      <c r="O423" t="n">
        <v>0</v>
      </c>
      <c r="P423" t="n">
        <v>0</v>
      </c>
      <c r="Q423" t="n">
        <v>0</v>
      </c>
      <c r="R423" s="2" t="inlineStr"/>
    </row>
    <row r="424" ht="15" customHeight="1">
      <c r="A424" t="inlineStr">
        <is>
          <t>A 20686-2025</t>
        </is>
      </c>
      <c r="B424" s="1" t="n">
        <v>45776.45263888889</v>
      </c>
      <c r="C424" s="1" t="n">
        <v>45964</v>
      </c>
      <c r="D424" t="inlineStr">
        <is>
          <t>UPPSALA LÄN</t>
        </is>
      </c>
      <c r="E424" t="inlineStr">
        <is>
          <t>UPPSALA</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62054-2024</t>
        </is>
      </c>
      <c r="B425" s="1" t="n">
        <v>45656</v>
      </c>
      <c r="C425" s="1" t="n">
        <v>45964</v>
      </c>
      <c r="D425" t="inlineStr">
        <is>
          <t>UPPSALA LÄN</t>
        </is>
      </c>
      <c r="E425" t="inlineStr">
        <is>
          <t>UPPSALA</t>
        </is>
      </c>
      <c r="F425" t="inlineStr">
        <is>
          <t>Övriga statliga verk och myndigheter</t>
        </is>
      </c>
      <c r="G425" t="n">
        <v>29.3</v>
      </c>
      <c r="H425" t="n">
        <v>0</v>
      </c>
      <c r="I425" t="n">
        <v>0</v>
      </c>
      <c r="J425" t="n">
        <v>0</v>
      </c>
      <c r="K425" t="n">
        <v>0</v>
      </c>
      <c r="L425" t="n">
        <v>0</v>
      </c>
      <c r="M425" t="n">
        <v>0</v>
      </c>
      <c r="N425" t="n">
        <v>0</v>
      </c>
      <c r="O425" t="n">
        <v>0</v>
      </c>
      <c r="P425" t="n">
        <v>0</v>
      </c>
      <c r="Q425" t="n">
        <v>0</v>
      </c>
      <c r="R425" s="2" t="inlineStr"/>
    </row>
    <row r="426" ht="15" customHeight="1">
      <c r="A426" t="inlineStr">
        <is>
          <t>A 9398-2023</t>
        </is>
      </c>
      <c r="B426" s="1" t="n">
        <v>44977</v>
      </c>
      <c r="C426" s="1" t="n">
        <v>45964</v>
      </c>
      <c r="D426" t="inlineStr">
        <is>
          <t>UPPSALA LÄN</t>
        </is>
      </c>
      <c r="E426" t="inlineStr">
        <is>
          <t>UPPSALA</t>
        </is>
      </c>
      <c r="G426" t="n">
        <v>5.1</v>
      </c>
      <c r="H426" t="n">
        <v>0</v>
      </c>
      <c r="I426" t="n">
        <v>0</v>
      </c>
      <c r="J426" t="n">
        <v>0</v>
      </c>
      <c r="K426" t="n">
        <v>0</v>
      </c>
      <c r="L426" t="n">
        <v>0</v>
      </c>
      <c r="M426" t="n">
        <v>0</v>
      </c>
      <c r="N426" t="n">
        <v>0</v>
      </c>
      <c r="O426" t="n">
        <v>0</v>
      </c>
      <c r="P426" t="n">
        <v>0</v>
      </c>
      <c r="Q426" t="n">
        <v>0</v>
      </c>
      <c r="R426" s="2" t="inlineStr"/>
    </row>
    <row r="427" ht="15" customHeight="1">
      <c r="A427" t="inlineStr">
        <is>
          <t>A 21033-2025</t>
        </is>
      </c>
      <c r="B427" s="1" t="n">
        <v>45777.52655092593</v>
      </c>
      <c r="C427" s="1" t="n">
        <v>45964</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20874-2025</t>
        </is>
      </c>
      <c r="B428" s="1" t="n">
        <v>45777.34894675926</v>
      </c>
      <c r="C428" s="1" t="n">
        <v>45964</v>
      </c>
      <c r="D428" t="inlineStr">
        <is>
          <t>UPPSALA LÄN</t>
        </is>
      </c>
      <c r="E428" t="inlineStr">
        <is>
          <t>UPPSALA</t>
        </is>
      </c>
      <c r="F428" t="inlineStr">
        <is>
          <t>Övriga Aktiebolag</t>
        </is>
      </c>
      <c r="G428" t="n">
        <v>3.9</v>
      </c>
      <c r="H428" t="n">
        <v>0</v>
      </c>
      <c r="I428" t="n">
        <v>0</v>
      </c>
      <c r="J428" t="n">
        <v>0</v>
      </c>
      <c r="K428" t="n">
        <v>0</v>
      </c>
      <c r="L428" t="n">
        <v>0</v>
      </c>
      <c r="M428" t="n">
        <v>0</v>
      </c>
      <c r="N428" t="n">
        <v>0</v>
      </c>
      <c r="O428" t="n">
        <v>0</v>
      </c>
      <c r="P428" t="n">
        <v>0</v>
      </c>
      <c r="Q428" t="n">
        <v>0</v>
      </c>
      <c r="R428" s="2" t="inlineStr"/>
    </row>
    <row r="429" ht="15" customHeight="1">
      <c r="A429" t="inlineStr">
        <is>
          <t>A 3353-2023</t>
        </is>
      </c>
      <c r="B429" s="1" t="n">
        <v>44949.4708912037</v>
      </c>
      <c r="C429" s="1" t="n">
        <v>45964</v>
      </c>
      <c r="D429" t="inlineStr">
        <is>
          <t>UPPSALA LÄN</t>
        </is>
      </c>
      <c r="E429" t="inlineStr">
        <is>
          <t>UPPSALA</t>
        </is>
      </c>
      <c r="G429" t="n">
        <v>3</v>
      </c>
      <c r="H429" t="n">
        <v>0</v>
      </c>
      <c r="I429" t="n">
        <v>0</v>
      </c>
      <c r="J429" t="n">
        <v>0</v>
      </c>
      <c r="K429" t="n">
        <v>0</v>
      </c>
      <c r="L429" t="n">
        <v>0</v>
      </c>
      <c r="M429" t="n">
        <v>0</v>
      </c>
      <c r="N429" t="n">
        <v>0</v>
      </c>
      <c r="O429" t="n">
        <v>0</v>
      </c>
      <c r="P429" t="n">
        <v>0</v>
      </c>
      <c r="Q429" t="n">
        <v>0</v>
      </c>
      <c r="R429" s="2" t="inlineStr"/>
    </row>
    <row r="430" ht="15" customHeight="1">
      <c r="A430" t="inlineStr">
        <is>
          <t>A 39548-2023</t>
        </is>
      </c>
      <c r="B430" s="1" t="n">
        <v>45167.3721412037</v>
      </c>
      <c r="C430" s="1" t="n">
        <v>45964</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44847-2024</t>
        </is>
      </c>
      <c r="B431" s="1" t="n">
        <v>45574</v>
      </c>
      <c r="C431" s="1" t="n">
        <v>45964</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26099-2024</t>
        </is>
      </c>
      <c r="B432" s="1" t="n">
        <v>45468</v>
      </c>
      <c r="C432" s="1" t="n">
        <v>45964</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17558-2022</t>
        </is>
      </c>
      <c r="B433" s="1" t="n">
        <v>44679.66694444444</v>
      </c>
      <c r="C433" s="1" t="n">
        <v>45964</v>
      </c>
      <c r="D433" t="inlineStr">
        <is>
          <t>UPPSALA LÄN</t>
        </is>
      </c>
      <c r="E433" t="inlineStr">
        <is>
          <t>UPPSALA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20703-2025</t>
        </is>
      </c>
      <c r="B434" s="1" t="n">
        <v>45776.48275462963</v>
      </c>
      <c r="C434" s="1" t="n">
        <v>45964</v>
      </c>
      <c r="D434" t="inlineStr">
        <is>
          <t>UPPSALA LÄN</t>
        </is>
      </c>
      <c r="E434" t="inlineStr">
        <is>
          <t>UPPSALA</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20712-2025</t>
        </is>
      </c>
      <c r="B435" s="1" t="n">
        <v>45776</v>
      </c>
      <c r="C435" s="1" t="n">
        <v>45964</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20858-2025</t>
        </is>
      </c>
      <c r="B436" s="1" t="n">
        <v>45777.32731481481</v>
      </c>
      <c r="C436" s="1" t="n">
        <v>45964</v>
      </c>
      <c r="D436" t="inlineStr">
        <is>
          <t>UPPSALA LÄN</t>
        </is>
      </c>
      <c r="E436" t="inlineStr">
        <is>
          <t>UPPSALA</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33689-2023</t>
        </is>
      </c>
      <c r="B437" s="1" t="n">
        <v>45119</v>
      </c>
      <c r="C437" s="1" t="n">
        <v>45964</v>
      </c>
      <c r="D437" t="inlineStr">
        <is>
          <t>UPPSALA LÄN</t>
        </is>
      </c>
      <c r="E437" t="inlineStr">
        <is>
          <t>UPPSALA</t>
        </is>
      </c>
      <c r="G437" t="n">
        <v>2.2</v>
      </c>
      <c r="H437" t="n">
        <v>0</v>
      </c>
      <c r="I437" t="n">
        <v>0</v>
      </c>
      <c r="J437" t="n">
        <v>0</v>
      </c>
      <c r="K437" t="n">
        <v>0</v>
      </c>
      <c r="L437" t="n">
        <v>0</v>
      </c>
      <c r="M437" t="n">
        <v>0</v>
      </c>
      <c r="N437" t="n">
        <v>0</v>
      </c>
      <c r="O437" t="n">
        <v>0</v>
      </c>
      <c r="P437" t="n">
        <v>0</v>
      </c>
      <c r="Q437" t="n">
        <v>0</v>
      </c>
      <c r="R437" s="2" t="inlineStr"/>
    </row>
    <row r="438" ht="15" customHeight="1">
      <c r="A438" t="inlineStr">
        <is>
          <t>A 18626-2025</t>
        </is>
      </c>
      <c r="B438" s="1" t="n">
        <v>45763.52995370371</v>
      </c>
      <c r="C438" s="1" t="n">
        <v>45964</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57271-2020</t>
        </is>
      </c>
      <c r="B439" s="1" t="n">
        <v>44139</v>
      </c>
      <c r="C439" s="1" t="n">
        <v>45964</v>
      </c>
      <c r="D439" t="inlineStr">
        <is>
          <t>UPPSALA LÄN</t>
        </is>
      </c>
      <c r="E439" t="inlineStr">
        <is>
          <t>UPPSALA</t>
        </is>
      </c>
      <c r="G439" t="n">
        <v>3.8</v>
      </c>
      <c r="H439" t="n">
        <v>0</v>
      </c>
      <c r="I439" t="n">
        <v>0</v>
      </c>
      <c r="J439" t="n">
        <v>0</v>
      </c>
      <c r="K439" t="n">
        <v>0</v>
      </c>
      <c r="L439" t="n">
        <v>0</v>
      </c>
      <c r="M439" t="n">
        <v>0</v>
      </c>
      <c r="N439" t="n">
        <v>0</v>
      </c>
      <c r="O439" t="n">
        <v>0</v>
      </c>
      <c r="P439" t="n">
        <v>0</v>
      </c>
      <c r="Q439" t="n">
        <v>0</v>
      </c>
      <c r="R439" s="2" t="inlineStr"/>
    </row>
    <row r="440" ht="15" customHeight="1">
      <c r="A440" t="inlineStr">
        <is>
          <t>A 3183-2024</t>
        </is>
      </c>
      <c r="B440" s="1" t="n">
        <v>45316</v>
      </c>
      <c r="C440" s="1" t="n">
        <v>45964</v>
      </c>
      <c r="D440" t="inlineStr">
        <is>
          <t>UPPSALA LÄN</t>
        </is>
      </c>
      <c r="E440" t="inlineStr">
        <is>
          <t>UPPSALA</t>
        </is>
      </c>
      <c r="F440" t="inlineStr">
        <is>
          <t>Bergvik skog öst AB</t>
        </is>
      </c>
      <c r="G440" t="n">
        <v>1.8</v>
      </c>
      <c r="H440" t="n">
        <v>0</v>
      </c>
      <c r="I440" t="n">
        <v>0</v>
      </c>
      <c r="J440" t="n">
        <v>0</v>
      </c>
      <c r="K440" t="n">
        <v>0</v>
      </c>
      <c r="L440" t="n">
        <v>0</v>
      </c>
      <c r="M440" t="n">
        <v>0</v>
      </c>
      <c r="N440" t="n">
        <v>0</v>
      </c>
      <c r="O440" t="n">
        <v>0</v>
      </c>
      <c r="P440" t="n">
        <v>0</v>
      </c>
      <c r="Q440" t="n">
        <v>0</v>
      </c>
      <c r="R440" s="2" t="inlineStr"/>
    </row>
    <row r="441" ht="15" customHeight="1">
      <c r="A441" t="inlineStr">
        <is>
          <t>A 53569-2024</t>
        </is>
      </c>
      <c r="B441" s="1" t="n">
        <v>45614.65928240741</v>
      </c>
      <c r="C441" s="1" t="n">
        <v>45964</v>
      </c>
      <c r="D441" t="inlineStr">
        <is>
          <t>UPPSALA LÄN</t>
        </is>
      </c>
      <c r="E441" t="inlineStr">
        <is>
          <t>UPPSALA</t>
        </is>
      </c>
      <c r="G441" t="n">
        <v>2.7</v>
      </c>
      <c r="H441" t="n">
        <v>0</v>
      </c>
      <c r="I441" t="n">
        <v>0</v>
      </c>
      <c r="J441" t="n">
        <v>0</v>
      </c>
      <c r="K441" t="n">
        <v>0</v>
      </c>
      <c r="L441" t="n">
        <v>0</v>
      </c>
      <c r="M441" t="n">
        <v>0</v>
      </c>
      <c r="N441" t="n">
        <v>0</v>
      </c>
      <c r="O441" t="n">
        <v>0</v>
      </c>
      <c r="P441" t="n">
        <v>0</v>
      </c>
      <c r="Q441" t="n">
        <v>0</v>
      </c>
      <c r="R441" s="2" t="inlineStr"/>
    </row>
    <row r="442" ht="15" customHeight="1">
      <c r="A442" t="inlineStr">
        <is>
          <t>A 21217-2025</t>
        </is>
      </c>
      <c r="B442" s="1" t="n">
        <v>45779.49085648148</v>
      </c>
      <c r="C442" s="1" t="n">
        <v>45964</v>
      </c>
      <c r="D442" t="inlineStr">
        <is>
          <t>UPPSALA LÄN</t>
        </is>
      </c>
      <c r="E442" t="inlineStr">
        <is>
          <t>UPPSALA</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69436-2021</t>
        </is>
      </c>
      <c r="B443" s="1" t="n">
        <v>44531</v>
      </c>
      <c r="C443" s="1" t="n">
        <v>45964</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21281-2025</t>
        </is>
      </c>
      <c r="B444" s="1" t="n">
        <v>45779.6665162037</v>
      </c>
      <c r="C444" s="1" t="n">
        <v>45964</v>
      </c>
      <c r="D444" t="inlineStr">
        <is>
          <t>UPPSALA LÄN</t>
        </is>
      </c>
      <c r="E444" t="inlineStr">
        <is>
          <t>UPPSALA</t>
        </is>
      </c>
      <c r="F444" t="inlineStr">
        <is>
          <t>Övriga Aktiebolag</t>
        </is>
      </c>
      <c r="G444" t="n">
        <v>5.9</v>
      </c>
      <c r="H444" t="n">
        <v>0</v>
      </c>
      <c r="I444" t="n">
        <v>0</v>
      </c>
      <c r="J444" t="n">
        <v>0</v>
      </c>
      <c r="K444" t="n">
        <v>0</v>
      </c>
      <c r="L444" t="n">
        <v>0</v>
      </c>
      <c r="M444" t="n">
        <v>0</v>
      </c>
      <c r="N444" t="n">
        <v>0</v>
      </c>
      <c r="O444" t="n">
        <v>0</v>
      </c>
      <c r="P444" t="n">
        <v>0</v>
      </c>
      <c r="Q444" t="n">
        <v>0</v>
      </c>
      <c r="R444" s="2" t="inlineStr"/>
    </row>
    <row r="445" ht="15" customHeight="1">
      <c r="A445" t="inlineStr">
        <is>
          <t>A 21279-2025</t>
        </is>
      </c>
      <c r="B445" s="1" t="n">
        <v>45779.65787037037</v>
      </c>
      <c r="C445" s="1" t="n">
        <v>45964</v>
      </c>
      <c r="D445" t="inlineStr">
        <is>
          <t>UPPSALA LÄN</t>
        </is>
      </c>
      <c r="E445" t="inlineStr">
        <is>
          <t>UPPSALA</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36123-2023</t>
        </is>
      </c>
      <c r="B446" s="1" t="n">
        <v>45149.56928240741</v>
      </c>
      <c r="C446" s="1" t="n">
        <v>45964</v>
      </c>
      <c r="D446" t="inlineStr">
        <is>
          <t>UPPSALA LÄN</t>
        </is>
      </c>
      <c r="E446" t="inlineStr">
        <is>
          <t>UPPSALA</t>
        </is>
      </c>
      <c r="F446" t="inlineStr">
        <is>
          <t>Allmännings- och besparingsskogar</t>
        </is>
      </c>
      <c r="G446" t="n">
        <v>4.2</v>
      </c>
      <c r="H446" t="n">
        <v>0</v>
      </c>
      <c r="I446" t="n">
        <v>0</v>
      </c>
      <c r="J446" t="n">
        <v>0</v>
      </c>
      <c r="K446" t="n">
        <v>0</v>
      </c>
      <c r="L446" t="n">
        <v>0</v>
      </c>
      <c r="M446" t="n">
        <v>0</v>
      </c>
      <c r="N446" t="n">
        <v>0</v>
      </c>
      <c r="O446" t="n">
        <v>0</v>
      </c>
      <c r="P446" t="n">
        <v>0</v>
      </c>
      <c r="Q446" t="n">
        <v>0</v>
      </c>
      <c r="R446" s="2" t="inlineStr"/>
    </row>
    <row r="447" ht="15" customHeight="1">
      <c r="A447" t="inlineStr">
        <is>
          <t>A 7253-2024</t>
        </is>
      </c>
      <c r="B447" s="1" t="n">
        <v>45344.69567129629</v>
      </c>
      <c r="C447" s="1" t="n">
        <v>45964</v>
      </c>
      <c r="D447" t="inlineStr">
        <is>
          <t>UPPSALA LÄN</t>
        </is>
      </c>
      <c r="E447" t="inlineStr">
        <is>
          <t>UPPSALA</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37162-2021</t>
        </is>
      </c>
      <c r="B448" s="1" t="n">
        <v>44395</v>
      </c>
      <c r="C448" s="1" t="n">
        <v>45964</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21748-2025</t>
        </is>
      </c>
      <c r="B449" s="1" t="n">
        <v>45783.61053240741</v>
      </c>
      <c r="C449" s="1" t="n">
        <v>45964</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73326-2021</t>
        </is>
      </c>
      <c r="B450" s="1" t="n">
        <v>44548</v>
      </c>
      <c r="C450" s="1" t="n">
        <v>45964</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5764-2025</t>
        </is>
      </c>
      <c r="B451" s="1" t="n">
        <v>45694</v>
      </c>
      <c r="C451" s="1" t="n">
        <v>45964</v>
      </c>
      <c r="D451" t="inlineStr">
        <is>
          <t>UPPSALA LÄN</t>
        </is>
      </c>
      <c r="E451" t="inlineStr">
        <is>
          <t>UPPSALA</t>
        </is>
      </c>
      <c r="G451" t="n">
        <v>0.9</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45964</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27763-2022</t>
        </is>
      </c>
      <c r="B453" s="1" t="n">
        <v>44743</v>
      </c>
      <c r="C453" s="1" t="n">
        <v>45964</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24012-2023</t>
        </is>
      </c>
      <c r="B454" s="1" t="n">
        <v>45078</v>
      </c>
      <c r="C454" s="1" t="n">
        <v>45964</v>
      </c>
      <c r="D454" t="inlineStr">
        <is>
          <t>UPPSALA LÄN</t>
        </is>
      </c>
      <c r="E454" t="inlineStr">
        <is>
          <t>UPPSALA</t>
        </is>
      </c>
      <c r="F454" t="inlineStr">
        <is>
          <t>Kyrkan</t>
        </is>
      </c>
      <c r="G454" t="n">
        <v>1.6</v>
      </c>
      <c r="H454" t="n">
        <v>0</v>
      </c>
      <c r="I454" t="n">
        <v>0</v>
      </c>
      <c r="J454" t="n">
        <v>0</v>
      </c>
      <c r="K454" t="n">
        <v>0</v>
      </c>
      <c r="L454" t="n">
        <v>0</v>
      </c>
      <c r="M454" t="n">
        <v>0</v>
      </c>
      <c r="N454" t="n">
        <v>0</v>
      </c>
      <c r="O454" t="n">
        <v>0</v>
      </c>
      <c r="P454" t="n">
        <v>0</v>
      </c>
      <c r="Q454" t="n">
        <v>0</v>
      </c>
      <c r="R454" s="2" t="inlineStr"/>
    </row>
    <row r="455" ht="15" customHeight="1">
      <c r="A455" t="inlineStr">
        <is>
          <t>A 10612-2025</t>
        </is>
      </c>
      <c r="B455" s="1" t="n">
        <v>45721.60894675926</v>
      </c>
      <c r="C455" s="1" t="n">
        <v>45964</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22018-2025</t>
        </is>
      </c>
      <c r="B456" s="1" t="n">
        <v>45784.80497685185</v>
      </c>
      <c r="C456" s="1" t="n">
        <v>45964</v>
      </c>
      <c r="D456" t="inlineStr">
        <is>
          <t>UPPSALA LÄN</t>
        </is>
      </c>
      <c r="E456" t="inlineStr">
        <is>
          <t>UPPSALA</t>
        </is>
      </c>
      <c r="G456" t="n">
        <v>1.3</v>
      </c>
      <c r="H456" t="n">
        <v>0</v>
      </c>
      <c r="I456" t="n">
        <v>0</v>
      </c>
      <c r="J456" t="n">
        <v>0</v>
      </c>
      <c r="K456" t="n">
        <v>0</v>
      </c>
      <c r="L456" t="n">
        <v>0</v>
      </c>
      <c r="M456" t="n">
        <v>0</v>
      </c>
      <c r="N456" t="n">
        <v>0</v>
      </c>
      <c r="O456" t="n">
        <v>0</v>
      </c>
      <c r="P456" t="n">
        <v>0</v>
      </c>
      <c r="Q456" t="n">
        <v>0</v>
      </c>
      <c r="R456" s="2" t="inlineStr"/>
    </row>
    <row r="457" ht="15" customHeight="1">
      <c r="A457" t="inlineStr">
        <is>
          <t>A 63307-2021</t>
        </is>
      </c>
      <c r="B457" s="1" t="n">
        <v>44508.44033564815</v>
      </c>
      <c r="C457" s="1" t="n">
        <v>45964</v>
      </c>
      <c r="D457" t="inlineStr">
        <is>
          <t>UPPSALA LÄN</t>
        </is>
      </c>
      <c r="E457" t="inlineStr">
        <is>
          <t>UPPSALA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21936-2025</t>
        </is>
      </c>
      <c r="B458" s="1" t="n">
        <v>45784.57266203704</v>
      </c>
      <c r="C458" s="1" t="n">
        <v>45964</v>
      </c>
      <c r="D458" t="inlineStr">
        <is>
          <t>UPPSALA LÄN</t>
        </is>
      </c>
      <c r="E458" t="inlineStr">
        <is>
          <t>UPPSALA</t>
        </is>
      </c>
      <c r="F458" t="inlineStr">
        <is>
          <t>Bergvik skog öst AB</t>
        </is>
      </c>
      <c r="G458" t="n">
        <v>1.7</v>
      </c>
      <c r="H458" t="n">
        <v>0</v>
      </c>
      <c r="I458" t="n">
        <v>0</v>
      </c>
      <c r="J458" t="n">
        <v>0</v>
      </c>
      <c r="K458" t="n">
        <v>0</v>
      </c>
      <c r="L458" t="n">
        <v>0</v>
      </c>
      <c r="M458" t="n">
        <v>0</v>
      </c>
      <c r="N458" t="n">
        <v>0</v>
      </c>
      <c r="O458" t="n">
        <v>0</v>
      </c>
      <c r="P458" t="n">
        <v>0</v>
      </c>
      <c r="Q458" t="n">
        <v>0</v>
      </c>
      <c r="R458" s="2" t="inlineStr"/>
    </row>
    <row r="459" ht="15" customHeight="1">
      <c r="A459" t="inlineStr">
        <is>
          <t>A 13128-2022</t>
        </is>
      </c>
      <c r="B459" s="1" t="n">
        <v>44644.37548611111</v>
      </c>
      <c r="C459" s="1" t="n">
        <v>45964</v>
      </c>
      <c r="D459" t="inlineStr">
        <is>
          <t>UPPSALA LÄN</t>
        </is>
      </c>
      <c r="E459" t="inlineStr">
        <is>
          <t>UPPSALA</t>
        </is>
      </c>
      <c r="F459" t="inlineStr">
        <is>
          <t>Övriga Aktiebolag</t>
        </is>
      </c>
      <c r="G459" t="n">
        <v>3.7</v>
      </c>
      <c r="H459" t="n">
        <v>0</v>
      </c>
      <c r="I459" t="n">
        <v>0</v>
      </c>
      <c r="J459" t="n">
        <v>0</v>
      </c>
      <c r="K459" t="n">
        <v>0</v>
      </c>
      <c r="L459" t="n">
        <v>0</v>
      </c>
      <c r="M459" t="n">
        <v>0</v>
      </c>
      <c r="N459" t="n">
        <v>0</v>
      </c>
      <c r="O459" t="n">
        <v>0</v>
      </c>
      <c r="P459" t="n">
        <v>0</v>
      </c>
      <c r="Q459" t="n">
        <v>0</v>
      </c>
      <c r="R459" s="2" t="inlineStr"/>
    </row>
    <row r="460" ht="15" customHeight="1">
      <c r="A460" t="inlineStr">
        <is>
          <t>A 40503-2024</t>
        </is>
      </c>
      <c r="B460" s="1" t="n">
        <v>45555.5727662037</v>
      </c>
      <c r="C460" s="1" t="n">
        <v>45964</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18808-2024</t>
        </is>
      </c>
      <c r="B461" s="1" t="n">
        <v>45426.61569444444</v>
      </c>
      <c r="C461" s="1" t="n">
        <v>45964</v>
      </c>
      <c r="D461" t="inlineStr">
        <is>
          <t>UPPSALA LÄN</t>
        </is>
      </c>
      <c r="E461" t="inlineStr">
        <is>
          <t>UPPSALA</t>
        </is>
      </c>
      <c r="G461" t="n">
        <v>11.5</v>
      </c>
      <c r="H461" t="n">
        <v>0</v>
      </c>
      <c r="I461" t="n">
        <v>0</v>
      </c>
      <c r="J461" t="n">
        <v>0</v>
      </c>
      <c r="K461" t="n">
        <v>0</v>
      </c>
      <c r="L461" t="n">
        <v>0</v>
      </c>
      <c r="M461" t="n">
        <v>0</v>
      </c>
      <c r="N461" t="n">
        <v>0</v>
      </c>
      <c r="O461" t="n">
        <v>0</v>
      </c>
      <c r="P461" t="n">
        <v>0</v>
      </c>
      <c r="Q461" t="n">
        <v>0</v>
      </c>
      <c r="R461" s="2" t="inlineStr"/>
    </row>
    <row r="462" ht="15" customHeight="1">
      <c r="A462" t="inlineStr">
        <is>
          <t>A 43795-2023</t>
        </is>
      </c>
      <c r="B462" s="1" t="n">
        <v>45182</v>
      </c>
      <c r="C462" s="1" t="n">
        <v>45964</v>
      </c>
      <c r="D462" t="inlineStr">
        <is>
          <t>UPPSALA LÄN</t>
        </is>
      </c>
      <c r="E462" t="inlineStr">
        <is>
          <t>UPPSALA</t>
        </is>
      </c>
      <c r="G462" t="n">
        <v>4.7</v>
      </c>
      <c r="H462" t="n">
        <v>0</v>
      </c>
      <c r="I462" t="n">
        <v>0</v>
      </c>
      <c r="J462" t="n">
        <v>0</v>
      </c>
      <c r="K462" t="n">
        <v>0</v>
      </c>
      <c r="L462" t="n">
        <v>0</v>
      </c>
      <c r="M462" t="n">
        <v>0</v>
      </c>
      <c r="N462" t="n">
        <v>0</v>
      </c>
      <c r="O462" t="n">
        <v>0</v>
      </c>
      <c r="P462" t="n">
        <v>0</v>
      </c>
      <c r="Q462" t="n">
        <v>0</v>
      </c>
      <c r="R462" s="2" t="inlineStr"/>
    </row>
    <row r="463" ht="15" customHeight="1">
      <c r="A463" t="inlineStr">
        <is>
          <t>A 43818-2023</t>
        </is>
      </c>
      <c r="B463" s="1" t="n">
        <v>45182</v>
      </c>
      <c r="C463" s="1" t="n">
        <v>45964</v>
      </c>
      <c r="D463" t="inlineStr">
        <is>
          <t>UPPSALA LÄN</t>
        </is>
      </c>
      <c r="E463" t="inlineStr">
        <is>
          <t>UPPSALA</t>
        </is>
      </c>
      <c r="G463" t="n">
        <v>10.8</v>
      </c>
      <c r="H463" t="n">
        <v>0</v>
      </c>
      <c r="I463" t="n">
        <v>0</v>
      </c>
      <c r="J463" t="n">
        <v>0</v>
      </c>
      <c r="K463" t="n">
        <v>0</v>
      </c>
      <c r="L463" t="n">
        <v>0</v>
      </c>
      <c r="M463" t="n">
        <v>0</v>
      </c>
      <c r="N463" t="n">
        <v>0</v>
      </c>
      <c r="O463" t="n">
        <v>0</v>
      </c>
      <c r="P463" t="n">
        <v>0</v>
      </c>
      <c r="Q463" t="n">
        <v>0</v>
      </c>
      <c r="R463" s="2" t="inlineStr"/>
    </row>
    <row r="464" ht="15" customHeight="1">
      <c r="A464" t="inlineStr">
        <is>
          <t>A 10411-2022</t>
        </is>
      </c>
      <c r="B464" s="1" t="n">
        <v>44623.4572337963</v>
      </c>
      <c r="C464" s="1" t="n">
        <v>45964</v>
      </c>
      <c r="D464" t="inlineStr">
        <is>
          <t>UPPSALA LÄN</t>
        </is>
      </c>
      <c r="E464" t="inlineStr">
        <is>
          <t>UPPSALA</t>
        </is>
      </c>
      <c r="F464" t="inlineStr">
        <is>
          <t>Övriga Aktiebolag</t>
        </is>
      </c>
      <c r="G464" t="n">
        <v>4.2</v>
      </c>
      <c r="H464" t="n">
        <v>0</v>
      </c>
      <c r="I464" t="n">
        <v>0</v>
      </c>
      <c r="J464" t="n">
        <v>0</v>
      </c>
      <c r="K464" t="n">
        <v>0</v>
      </c>
      <c r="L464" t="n">
        <v>0</v>
      </c>
      <c r="M464" t="n">
        <v>0</v>
      </c>
      <c r="N464" t="n">
        <v>0</v>
      </c>
      <c r="O464" t="n">
        <v>0</v>
      </c>
      <c r="P464" t="n">
        <v>0</v>
      </c>
      <c r="Q464" t="n">
        <v>0</v>
      </c>
      <c r="R464" s="2" t="inlineStr"/>
    </row>
    <row r="465" ht="15" customHeight="1">
      <c r="A465" t="inlineStr">
        <is>
          <t>A 40701-2024</t>
        </is>
      </c>
      <c r="B465" s="1" t="n">
        <v>45558.42498842593</v>
      </c>
      <c r="C465" s="1" t="n">
        <v>45964</v>
      </c>
      <c r="D465" t="inlineStr">
        <is>
          <t>UPPSALA LÄN</t>
        </is>
      </c>
      <c r="E465" t="inlineStr">
        <is>
          <t>UPPSALA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758-2022</t>
        </is>
      </c>
      <c r="B466" s="1" t="n">
        <v>44569.69358796296</v>
      </c>
      <c r="C466" s="1" t="n">
        <v>45964</v>
      </c>
      <c r="D466" t="inlineStr">
        <is>
          <t>UPPSALA LÄN</t>
        </is>
      </c>
      <c r="E466" t="inlineStr">
        <is>
          <t>UPPSALA</t>
        </is>
      </c>
      <c r="F466" t="inlineStr">
        <is>
          <t>Holmen skog AB</t>
        </is>
      </c>
      <c r="G466" t="n">
        <v>5.2</v>
      </c>
      <c r="H466" t="n">
        <v>0</v>
      </c>
      <c r="I466" t="n">
        <v>0</v>
      </c>
      <c r="J466" t="n">
        <v>0</v>
      </c>
      <c r="K466" t="n">
        <v>0</v>
      </c>
      <c r="L466" t="n">
        <v>0</v>
      </c>
      <c r="M466" t="n">
        <v>0</v>
      </c>
      <c r="N466" t="n">
        <v>0</v>
      </c>
      <c r="O466" t="n">
        <v>0</v>
      </c>
      <c r="P466" t="n">
        <v>0</v>
      </c>
      <c r="Q466" t="n">
        <v>0</v>
      </c>
      <c r="R466" s="2" t="inlineStr"/>
    </row>
    <row r="467" ht="15" customHeight="1">
      <c r="A467" t="inlineStr">
        <is>
          <t>A 59570-2023</t>
        </is>
      </c>
      <c r="B467" s="1" t="n">
        <v>45254</v>
      </c>
      <c r="C467" s="1" t="n">
        <v>45964</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10650-2024</t>
        </is>
      </c>
      <c r="B468" s="1" t="n">
        <v>45368.64787037037</v>
      </c>
      <c r="C468" s="1" t="n">
        <v>45964</v>
      </c>
      <c r="D468" t="inlineStr">
        <is>
          <t>UPPSALA LÄN</t>
        </is>
      </c>
      <c r="E468" t="inlineStr">
        <is>
          <t>UPPSALA</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43855-2023</t>
        </is>
      </c>
      <c r="B469" s="1" t="n">
        <v>45187.61136574074</v>
      </c>
      <c r="C469" s="1" t="n">
        <v>45964</v>
      </c>
      <c r="D469" t="inlineStr">
        <is>
          <t>UPPSALA LÄN</t>
        </is>
      </c>
      <c r="E469" t="inlineStr">
        <is>
          <t>UPPSALA</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45964</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9206-2022</t>
        </is>
      </c>
      <c r="B471" s="1" t="n">
        <v>44616</v>
      </c>
      <c r="C471" s="1" t="n">
        <v>45964</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69432-2021</t>
        </is>
      </c>
      <c r="B472" s="1" t="n">
        <v>44531</v>
      </c>
      <c r="C472" s="1" t="n">
        <v>45964</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37763-2021</t>
        </is>
      </c>
      <c r="B473" s="1" t="n">
        <v>44400.6750925926</v>
      </c>
      <c r="C473" s="1" t="n">
        <v>45964</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69595-2021</t>
        </is>
      </c>
      <c r="B474" s="1" t="n">
        <v>44532</v>
      </c>
      <c r="C474" s="1" t="n">
        <v>45964</v>
      </c>
      <c r="D474" t="inlineStr">
        <is>
          <t>UPPSALA LÄN</t>
        </is>
      </c>
      <c r="E474" t="inlineStr">
        <is>
          <t>UPPSALA</t>
        </is>
      </c>
      <c r="G474" t="n">
        <v>3.9</v>
      </c>
      <c r="H474" t="n">
        <v>0</v>
      </c>
      <c r="I474" t="n">
        <v>0</v>
      </c>
      <c r="J474" t="n">
        <v>0</v>
      </c>
      <c r="K474" t="n">
        <v>0</v>
      </c>
      <c r="L474" t="n">
        <v>0</v>
      </c>
      <c r="M474" t="n">
        <v>0</v>
      </c>
      <c r="N474" t="n">
        <v>0</v>
      </c>
      <c r="O474" t="n">
        <v>0</v>
      </c>
      <c r="P474" t="n">
        <v>0</v>
      </c>
      <c r="Q474" t="n">
        <v>0</v>
      </c>
      <c r="R474" s="2" t="inlineStr"/>
    </row>
    <row r="475" ht="15" customHeight="1">
      <c r="A475" t="inlineStr">
        <is>
          <t>A 46925-2024</t>
        </is>
      </c>
      <c r="B475" s="1" t="n">
        <v>45584.60038194444</v>
      </c>
      <c r="C475" s="1" t="n">
        <v>45964</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9981-2025</t>
        </is>
      </c>
      <c r="B476" s="1" t="n">
        <v>45719.40723379629</v>
      </c>
      <c r="C476" s="1" t="n">
        <v>45964</v>
      </c>
      <c r="D476" t="inlineStr">
        <is>
          <t>UPPSALA LÄN</t>
        </is>
      </c>
      <c r="E476" t="inlineStr">
        <is>
          <t>UPPSALA</t>
        </is>
      </c>
      <c r="F476" t="inlineStr">
        <is>
          <t>Kyrkan</t>
        </is>
      </c>
      <c r="G476" t="n">
        <v>2.9</v>
      </c>
      <c r="H476" t="n">
        <v>0</v>
      </c>
      <c r="I476" t="n">
        <v>0</v>
      </c>
      <c r="J476" t="n">
        <v>0</v>
      </c>
      <c r="K476" t="n">
        <v>0</v>
      </c>
      <c r="L476" t="n">
        <v>0</v>
      </c>
      <c r="M476" t="n">
        <v>0</v>
      </c>
      <c r="N476" t="n">
        <v>0</v>
      </c>
      <c r="O476" t="n">
        <v>0</v>
      </c>
      <c r="P476" t="n">
        <v>0</v>
      </c>
      <c r="Q476" t="n">
        <v>0</v>
      </c>
      <c r="R476" s="2" t="inlineStr"/>
    </row>
    <row r="477" ht="15" customHeight="1">
      <c r="A477" t="inlineStr">
        <is>
          <t>A 60698-2024</t>
        </is>
      </c>
      <c r="B477" s="1" t="n">
        <v>45644</v>
      </c>
      <c r="C477" s="1" t="n">
        <v>45964</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60735-2024</t>
        </is>
      </c>
      <c r="B478" s="1" t="n">
        <v>45644</v>
      </c>
      <c r="C478" s="1" t="n">
        <v>45964</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26208-2023</t>
        </is>
      </c>
      <c r="B479" s="1" t="n">
        <v>45091</v>
      </c>
      <c r="C479" s="1" t="n">
        <v>45964</v>
      </c>
      <c r="D479" t="inlineStr">
        <is>
          <t>UPPSALA LÄN</t>
        </is>
      </c>
      <c r="E479" t="inlineStr">
        <is>
          <t>UPPSALA</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61463-2024</t>
        </is>
      </c>
      <c r="B480" s="1" t="n">
        <v>45646.50211805556</v>
      </c>
      <c r="C480" s="1" t="n">
        <v>45964</v>
      </c>
      <c r="D480" t="inlineStr">
        <is>
          <t>UPPSALA LÄN</t>
        </is>
      </c>
      <c r="E480" t="inlineStr">
        <is>
          <t>UPPSALA</t>
        </is>
      </c>
      <c r="G480" t="n">
        <v>0.8</v>
      </c>
      <c r="H480" t="n">
        <v>0</v>
      </c>
      <c r="I480" t="n">
        <v>0</v>
      </c>
      <c r="J480" t="n">
        <v>0</v>
      </c>
      <c r="K480" t="n">
        <v>0</v>
      </c>
      <c r="L480" t="n">
        <v>0</v>
      </c>
      <c r="M480" t="n">
        <v>0</v>
      </c>
      <c r="N480" t="n">
        <v>0</v>
      </c>
      <c r="O480" t="n">
        <v>0</v>
      </c>
      <c r="P480" t="n">
        <v>0</v>
      </c>
      <c r="Q480" t="n">
        <v>0</v>
      </c>
      <c r="R480" s="2" t="inlineStr"/>
    </row>
    <row r="481" ht="15" customHeight="1">
      <c r="A481" t="inlineStr">
        <is>
          <t>A 11260-2024</t>
        </is>
      </c>
      <c r="B481" s="1" t="n">
        <v>45371.67368055556</v>
      </c>
      <c r="C481" s="1" t="n">
        <v>45964</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20206-2023</t>
        </is>
      </c>
      <c r="B482" s="1" t="n">
        <v>45055</v>
      </c>
      <c r="C482" s="1" t="n">
        <v>45964</v>
      </c>
      <c r="D482" t="inlineStr">
        <is>
          <t>UPPSALA LÄN</t>
        </is>
      </c>
      <c r="E482" t="inlineStr">
        <is>
          <t>UPPSALA</t>
        </is>
      </c>
      <c r="G482" t="n">
        <v>5.7</v>
      </c>
      <c r="H482" t="n">
        <v>0</v>
      </c>
      <c r="I482" t="n">
        <v>0</v>
      </c>
      <c r="J482" t="n">
        <v>0</v>
      </c>
      <c r="K482" t="n">
        <v>0</v>
      </c>
      <c r="L482" t="n">
        <v>0</v>
      </c>
      <c r="M482" t="n">
        <v>0</v>
      </c>
      <c r="N482" t="n">
        <v>0</v>
      </c>
      <c r="O482" t="n">
        <v>0</v>
      </c>
      <c r="P482" t="n">
        <v>0</v>
      </c>
      <c r="Q482" t="n">
        <v>0</v>
      </c>
      <c r="R482" s="2" t="inlineStr"/>
    </row>
    <row r="483" ht="15" customHeight="1">
      <c r="A483" t="inlineStr">
        <is>
          <t>A 3973-2025</t>
        </is>
      </c>
      <c r="B483" s="1" t="n">
        <v>45684</v>
      </c>
      <c r="C483" s="1" t="n">
        <v>45964</v>
      </c>
      <c r="D483" t="inlineStr">
        <is>
          <t>UPPSALA LÄN</t>
        </is>
      </c>
      <c r="E483" t="inlineStr">
        <is>
          <t>UPPSALA</t>
        </is>
      </c>
      <c r="G483" t="n">
        <v>8</v>
      </c>
      <c r="H483" t="n">
        <v>0</v>
      </c>
      <c r="I483" t="n">
        <v>0</v>
      </c>
      <c r="J483" t="n">
        <v>0</v>
      </c>
      <c r="K483" t="n">
        <v>0</v>
      </c>
      <c r="L483" t="n">
        <v>0</v>
      </c>
      <c r="M483" t="n">
        <v>0</v>
      </c>
      <c r="N483" t="n">
        <v>0</v>
      </c>
      <c r="O483" t="n">
        <v>0</v>
      </c>
      <c r="P483" t="n">
        <v>0</v>
      </c>
      <c r="Q483" t="n">
        <v>0</v>
      </c>
      <c r="R483" s="2" t="inlineStr"/>
    </row>
    <row r="484" ht="15" customHeight="1">
      <c r="A484" t="inlineStr">
        <is>
          <t>A 16324-2024</t>
        </is>
      </c>
      <c r="B484" s="1" t="n">
        <v>45407.49721064815</v>
      </c>
      <c r="C484" s="1" t="n">
        <v>45964</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60701-2022</t>
        </is>
      </c>
      <c r="B485" s="1" t="n">
        <v>44912</v>
      </c>
      <c r="C485" s="1" t="n">
        <v>45964</v>
      </c>
      <c r="D485" t="inlineStr">
        <is>
          <t>UPPSALA LÄN</t>
        </is>
      </c>
      <c r="E485" t="inlineStr">
        <is>
          <t>UPPSALA</t>
        </is>
      </c>
      <c r="G485" t="n">
        <v>1.4</v>
      </c>
      <c r="H485" t="n">
        <v>0</v>
      </c>
      <c r="I485" t="n">
        <v>0</v>
      </c>
      <c r="J485" t="n">
        <v>0</v>
      </c>
      <c r="K485" t="n">
        <v>0</v>
      </c>
      <c r="L485" t="n">
        <v>0</v>
      </c>
      <c r="M485" t="n">
        <v>0</v>
      </c>
      <c r="N485" t="n">
        <v>0</v>
      </c>
      <c r="O485" t="n">
        <v>0</v>
      </c>
      <c r="P485" t="n">
        <v>0</v>
      </c>
      <c r="Q485" t="n">
        <v>0</v>
      </c>
      <c r="R485" s="2" t="inlineStr"/>
    </row>
    <row r="486" ht="15" customHeight="1">
      <c r="A486" t="inlineStr">
        <is>
          <t>A 42276-2024</t>
        </is>
      </c>
      <c r="B486" s="1" t="n">
        <v>45562</v>
      </c>
      <c r="C486" s="1" t="n">
        <v>45964</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42131-2023</t>
        </is>
      </c>
      <c r="B487" s="1" t="n">
        <v>45177.79766203704</v>
      </c>
      <c r="C487" s="1" t="n">
        <v>45964</v>
      </c>
      <c r="D487" t="inlineStr">
        <is>
          <t>UPPSALA LÄN</t>
        </is>
      </c>
      <c r="E487" t="inlineStr">
        <is>
          <t>UPPSALA</t>
        </is>
      </c>
      <c r="F487" t="inlineStr">
        <is>
          <t>Allmännings- och besparingsskogar</t>
        </is>
      </c>
      <c r="G487" t="n">
        <v>6.3</v>
      </c>
      <c r="H487" t="n">
        <v>0</v>
      </c>
      <c r="I487" t="n">
        <v>0</v>
      </c>
      <c r="J487" t="n">
        <v>0</v>
      </c>
      <c r="K487" t="n">
        <v>0</v>
      </c>
      <c r="L487" t="n">
        <v>0</v>
      </c>
      <c r="M487" t="n">
        <v>0</v>
      </c>
      <c r="N487" t="n">
        <v>0</v>
      </c>
      <c r="O487" t="n">
        <v>0</v>
      </c>
      <c r="P487" t="n">
        <v>0</v>
      </c>
      <c r="Q487" t="n">
        <v>0</v>
      </c>
      <c r="R487" s="2" t="inlineStr"/>
    </row>
    <row r="488" ht="15" customHeight="1">
      <c r="A488" t="inlineStr">
        <is>
          <t>A 56564-2024</t>
        </is>
      </c>
      <c r="B488" s="1" t="n">
        <v>45625.58501157408</v>
      </c>
      <c r="C488" s="1" t="n">
        <v>45964</v>
      </c>
      <c r="D488" t="inlineStr">
        <is>
          <t>UPPSALA LÄN</t>
        </is>
      </c>
      <c r="E488" t="inlineStr">
        <is>
          <t>UPPSALA</t>
        </is>
      </c>
      <c r="F488" t="inlineStr">
        <is>
          <t>Övriga Aktiebolag</t>
        </is>
      </c>
      <c r="G488" t="n">
        <v>1.8</v>
      </c>
      <c r="H488" t="n">
        <v>0</v>
      </c>
      <c r="I488" t="n">
        <v>0</v>
      </c>
      <c r="J488" t="n">
        <v>0</v>
      </c>
      <c r="K488" t="n">
        <v>0</v>
      </c>
      <c r="L488" t="n">
        <v>0</v>
      </c>
      <c r="M488" t="n">
        <v>0</v>
      </c>
      <c r="N488" t="n">
        <v>0</v>
      </c>
      <c r="O488" t="n">
        <v>0</v>
      </c>
      <c r="P488" t="n">
        <v>0</v>
      </c>
      <c r="Q488" t="n">
        <v>0</v>
      </c>
      <c r="R488" s="2" t="inlineStr"/>
    </row>
    <row r="489" ht="15" customHeight="1">
      <c r="A489" t="inlineStr">
        <is>
          <t>A 53614-2024</t>
        </is>
      </c>
      <c r="B489" s="1" t="n">
        <v>45611</v>
      </c>
      <c r="C489" s="1" t="n">
        <v>45964</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4980-2024</t>
        </is>
      </c>
      <c r="B490" s="1" t="n">
        <v>45329</v>
      </c>
      <c r="C490" s="1" t="n">
        <v>45964</v>
      </c>
      <c r="D490" t="inlineStr">
        <is>
          <t>UPPSALA LÄN</t>
        </is>
      </c>
      <c r="E490" t="inlineStr">
        <is>
          <t>UPPSALA</t>
        </is>
      </c>
      <c r="G490" t="n">
        <v>10.8</v>
      </c>
      <c r="H490" t="n">
        <v>0</v>
      </c>
      <c r="I490" t="n">
        <v>0</v>
      </c>
      <c r="J490" t="n">
        <v>0</v>
      </c>
      <c r="K490" t="n">
        <v>0</v>
      </c>
      <c r="L490" t="n">
        <v>0</v>
      </c>
      <c r="M490" t="n">
        <v>0</v>
      </c>
      <c r="N490" t="n">
        <v>0</v>
      </c>
      <c r="O490" t="n">
        <v>0</v>
      </c>
      <c r="P490" t="n">
        <v>0</v>
      </c>
      <c r="Q490" t="n">
        <v>0</v>
      </c>
      <c r="R490" s="2" t="inlineStr"/>
    </row>
    <row r="491" ht="15" customHeight="1">
      <c r="A491" t="inlineStr">
        <is>
          <t>A 3214-2023</t>
        </is>
      </c>
      <c r="B491" s="1" t="n">
        <v>44944</v>
      </c>
      <c r="C491" s="1" t="n">
        <v>45964</v>
      </c>
      <c r="D491" t="inlineStr">
        <is>
          <t>UPPSALA LÄN</t>
        </is>
      </c>
      <c r="E491" t="inlineStr">
        <is>
          <t>UPPSALA</t>
        </is>
      </c>
      <c r="G491" t="n">
        <v>4.1</v>
      </c>
      <c r="H491" t="n">
        <v>0</v>
      </c>
      <c r="I491" t="n">
        <v>0</v>
      </c>
      <c r="J491" t="n">
        <v>0</v>
      </c>
      <c r="K491" t="n">
        <v>0</v>
      </c>
      <c r="L491" t="n">
        <v>0</v>
      </c>
      <c r="M491" t="n">
        <v>0</v>
      </c>
      <c r="N491" t="n">
        <v>0</v>
      </c>
      <c r="O491" t="n">
        <v>0</v>
      </c>
      <c r="P491" t="n">
        <v>0</v>
      </c>
      <c r="Q491" t="n">
        <v>0</v>
      </c>
      <c r="R491" s="2" t="inlineStr"/>
    </row>
    <row r="492" ht="15" customHeight="1">
      <c r="A492" t="inlineStr">
        <is>
          <t>A 750-2022</t>
        </is>
      </c>
      <c r="B492" s="1" t="n">
        <v>44569.49344907407</v>
      </c>
      <c r="C492" s="1" t="n">
        <v>45964</v>
      </c>
      <c r="D492" t="inlineStr">
        <is>
          <t>UPPSALA LÄN</t>
        </is>
      </c>
      <c r="E492" t="inlineStr">
        <is>
          <t>UPPSALA</t>
        </is>
      </c>
      <c r="F492" t="inlineStr">
        <is>
          <t>Holmen skog AB</t>
        </is>
      </c>
      <c r="G492" t="n">
        <v>6</v>
      </c>
      <c r="H492" t="n">
        <v>0</v>
      </c>
      <c r="I492" t="n">
        <v>0</v>
      </c>
      <c r="J492" t="n">
        <v>0</v>
      </c>
      <c r="K492" t="n">
        <v>0</v>
      </c>
      <c r="L492" t="n">
        <v>0</v>
      </c>
      <c r="M492" t="n">
        <v>0</v>
      </c>
      <c r="N492" t="n">
        <v>0</v>
      </c>
      <c r="O492" t="n">
        <v>0</v>
      </c>
      <c r="P492" t="n">
        <v>0</v>
      </c>
      <c r="Q492" t="n">
        <v>0</v>
      </c>
      <c r="R492" s="2" t="inlineStr"/>
    </row>
    <row r="493" ht="15" customHeight="1">
      <c r="A493" t="inlineStr">
        <is>
          <t>A 46751-2024</t>
        </is>
      </c>
      <c r="B493" s="1" t="n">
        <v>45583.48449074074</v>
      </c>
      <c r="C493" s="1" t="n">
        <v>45964</v>
      </c>
      <c r="D493" t="inlineStr">
        <is>
          <t>UPPSALA LÄN</t>
        </is>
      </c>
      <c r="E493" t="inlineStr">
        <is>
          <t>UPPSALA</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16434-2024</t>
        </is>
      </c>
      <c r="B494" s="1" t="n">
        <v>45407.69575231482</v>
      </c>
      <c r="C494" s="1" t="n">
        <v>45964</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1825-2024</t>
        </is>
      </c>
      <c r="B495" s="1" t="n">
        <v>45307</v>
      </c>
      <c r="C495" s="1" t="n">
        <v>45964</v>
      </c>
      <c r="D495" t="inlineStr">
        <is>
          <t>UPPSALA LÄN</t>
        </is>
      </c>
      <c r="E495" t="inlineStr">
        <is>
          <t>UPPSALA</t>
        </is>
      </c>
      <c r="G495" t="n">
        <v>4.2</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45964</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38190-2023</t>
        </is>
      </c>
      <c r="B497" s="1" t="n">
        <v>45161</v>
      </c>
      <c r="C497" s="1" t="n">
        <v>45964</v>
      </c>
      <c r="D497" t="inlineStr">
        <is>
          <t>UPPSALA LÄN</t>
        </is>
      </c>
      <c r="E497" t="inlineStr">
        <is>
          <t>UPPSALA</t>
        </is>
      </c>
      <c r="G497" t="n">
        <v>0.4</v>
      </c>
      <c r="H497" t="n">
        <v>0</v>
      </c>
      <c r="I497" t="n">
        <v>0</v>
      </c>
      <c r="J497" t="n">
        <v>0</v>
      </c>
      <c r="K497" t="n">
        <v>0</v>
      </c>
      <c r="L497" t="n">
        <v>0</v>
      </c>
      <c r="M497" t="n">
        <v>0</v>
      </c>
      <c r="N497" t="n">
        <v>0</v>
      </c>
      <c r="O497" t="n">
        <v>0</v>
      </c>
      <c r="P497" t="n">
        <v>0</v>
      </c>
      <c r="Q497" t="n">
        <v>0</v>
      </c>
      <c r="R497" s="2" t="inlineStr"/>
    </row>
    <row r="498" ht="15" customHeight="1">
      <c r="A498" t="inlineStr">
        <is>
          <t>A 27622-2023</t>
        </is>
      </c>
      <c r="B498" s="1" t="n">
        <v>45097</v>
      </c>
      <c r="C498" s="1" t="n">
        <v>45964</v>
      </c>
      <c r="D498" t="inlineStr">
        <is>
          <t>UPPSALA LÄN</t>
        </is>
      </c>
      <c r="E498" t="inlineStr">
        <is>
          <t>UPPSALA</t>
        </is>
      </c>
      <c r="G498" t="n">
        <v>3.2</v>
      </c>
      <c r="H498" t="n">
        <v>0</v>
      </c>
      <c r="I498" t="n">
        <v>0</v>
      </c>
      <c r="J498" t="n">
        <v>0</v>
      </c>
      <c r="K498" t="n">
        <v>0</v>
      </c>
      <c r="L498" t="n">
        <v>0</v>
      </c>
      <c r="M498" t="n">
        <v>0</v>
      </c>
      <c r="N498" t="n">
        <v>0</v>
      </c>
      <c r="O498" t="n">
        <v>0</v>
      </c>
      <c r="P498" t="n">
        <v>0</v>
      </c>
      <c r="Q498" t="n">
        <v>0</v>
      </c>
      <c r="R498" s="2" t="inlineStr"/>
    </row>
    <row r="499" ht="15" customHeight="1">
      <c r="A499" t="inlineStr">
        <is>
          <t>A 9993-2025</t>
        </is>
      </c>
      <c r="B499" s="1" t="n">
        <v>45719.43755787037</v>
      </c>
      <c r="C499" s="1" t="n">
        <v>45964</v>
      </c>
      <c r="D499" t="inlineStr">
        <is>
          <t>UPPSALA LÄN</t>
        </is>
      </c>
      <c r="E499" t="inlineStr">
        <is>
          <t>UPPSALA</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54924-2024</t>
        </is>
      </c>
      <c r="B500" s="1" t="n">
        <v>45618.71140046296</v>
      </c>
      <c r="C500" s="1" t="n">
        <v>45964</v>
      </c>
      <c r="D500" t="inlineStr">
        <is>
          <t>UPPSALA LÄN</t>
        </is>
      </c>
      <c r="E500" t="inlineStr">
        <is>
          <t>UPPSALA</t>
        </is>
      </c>
      <c r="G500" t="n">
        <v>2.4</v>
      </c>
      <c r="H500" t="n">
        <v>0</v>
      </c>
      <c r="I500" t="n">
        <v>0</v>
      </c>
      <c r="J500" t="n">
        <v>0</v>
      </c>
      <c r="K500" t="n">
        <v>0</v>
      </c>
      <c r="L500" t="n">
        <v>0</v>
      </c>
      <c r="M500" t="n">
        <v>0</v>
      </c>
      <c r="N500" t="n">
        <v>0</v>
      </c>
      <c r="O500" t="n">
        <v>0</v>
      </c>
      <c r="P500" t="n">
        <v>0</v>
      </c>
      <c r="Q500" t="n">
        <v>0</v>
      </c>
      <c r="R500" s="2" t="inlineStr"/>
    </row>
    <row r="501" ht="15" customHeight="1">
      <c r="A501" t="inlineStr">
        <is>
          <t>A 39007-2024</t>
        </is>
      </c>
      <c r="B501" s="1" t="n">
        <v>45548.42854166667</v>
      </c>
      <c r="C501" s="1" t="n">
        <v>45964</v>
      </c>
      <c r="D501" t="inlineStr">
        <is>
          <t>UPPSALA LÄN</t>
        </is>
      </c>
      <c r="E501" t="inlineStr">
        <is>
          <t>UPPSALA</t>
        </is>
      </c>
      <c r="G501" t="n">
        <v>3.1</v>
      </c>
      <c r="H501" t="n">
        <v>0</v>
      </c>
      <c r="I501" t="n">
        <v>0</v>
      </c>
      <c r="J501" t="n">
        <v>0</v>
      </c>
      <c r="K501" t="n">
        <v>0</v>
      </c>
      <c r="L501" t="n">
        <v>0</v>
      </c>
      <c r="M501" t="n">
        <v>0</v>
      </c>
      <c r="N501" t="n">
        <v>0</v>
      </c>
      <c r="O501" t="n">
        <v>0</v>
      </c>
      <c r="P501" t="n">
        <v>0</v>
      </c>
      <c r="Q501" t="n">
        <v>0</v>
      </c>
      <c r="R501" s="2" t="inlineStr"/>
    </row>
    <row r="502" ht="15" customHeight="1">
      <c r="A502" t="inlineStr">
        <is>
          <t>A 22930-2025</t>
        </is>
      </c>
      <c r="B502" s="1" t="n">
        <v>45790.44972222222</v>
      </c>
      <c r="C502" s="1" t="n">
        <v>45964</v>
      </c>
      <c r="D502" t="inlineStr">
        <is>
          <t>UPPSALA LÄN</t>
        </is>
      </c>
      <c r="E502" t="inlineStr">
        <is>
          <t>UPPSALA</t>
        </is>
      </c>
      <c r="G502" t="n">
        <v>7.7</v>
      </c>
      <c r="H502" t="n">
        <v>0</v>
      </c>
      <c r="I502" t="n">
        <v>0</v>
      </c>
      <c r="J502" t="n">
        <v>0</v>
      </c>
      <c r="K502" t="n">
        <v>0</v>
      </c>
      <c r="L502" t="n">
        <v>0</v>
      </c>
      <c r="M502" t="n">
        <v>0</v>
      </c>
      <c r="N502" t="n">
        <v>0</v>
      </c>
      <c r="O502" t="n">
        <v>0</v>
      </c>
      <c r="P502" t="n">
        <v>0</v>
      </c>
      <c r="Q502" t="n">
        <v>0</v>
      </c>
      <c r="R502" s="2" t="inlineStr"/>
    </row>
    <row r="503" ht="15" customHeight="1">
      <c r="A503" t="inlineStr">
        <is>
          <t>A 27543-2022</t>
        </is>
      </c>
      <c r="B503" s="1" t="n">
        <v>44742</v>
      </c>
      <c r="C503" s="1" t="n">
        <v>45964</v>
      </c>
      <c r="D503" t="inlineStr">
        <is>
          <t>UPPSALA LÄN</t>
        </is>
      </c>
      <c r="E503" t="inlineStr">
        <is>
          <t>UPPSALA</t>
        </is>
      </c>
      <c r="F503" t="inlineStr">
        <is>
          <t>Kyrkan</t>
        </is>
      </c>
      <c r="G503" t="n">
        <v>2.6</v>
      </c>
      <c r="H503" t="n">
        <v>0</v>
      </c>
      <c r="I503" t="n">
        <v>0</v>
      </c>
      <c r="J503" t="n">
        <v>0</v>
      </c>
      <c r="K503" t="n">
        <v>0</v>
      </c>
      <c r="L503" t="n">
        <v>0</v>
      </c>
      <c r="M503" t="n">
        <v>0</v>
      </c>
      <c r="N503" t="n">
        <v>0</v>
      </c>
      <c r="O503" t="n">
        <v>0</v>
      </c>
      <c r="P503" t="n">
        <v>0</v>
      </c>
      <c r="Q503" t="n">
        <v>0</v>
      </c>
      <c r="R503" s="2" t="inlineStr"/>
    </row>
    <row r="504" ht="15" customHeight="1">
      <c r="A504" t="inlineStr">
        <is>
          <t>A 46743-2024</t>
        </is>
      </c>
      <c r="B504" s="1" t="n">
        <v>45583.47836805556</v>
      </c>
      <c r="C504" s="1" t="n">
        <v>45964</v>
      </c>
      <c r="D504" t="inlineStr">
        <is>
          <t>UPPSALA LÄN</t>
        </is>
      </c>
      <c r="E504" t="inlineStr">
        <is>
          <t>UPPSALA</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66690-2021</t>
        </is>
      </c>
      <c r="B505" s="1" t="n">
        <v>44519.64902777778</v>
      </c>
      <c r="C505" s="1" t="n">
        <v>45964</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13602-2025</t>
        </is>
      </c>
      <c r="B506" s="1" t="n">
        <v>45736.60863425926</v>
      </c>
      <c r="C506" s="1" t="n">
        <v>45964</v>
      </c>
      <c r="D506" t="inlineStr">
        <is>
          <t>UPPSALA LÄN</t>
        </is>
      </c>
      <c r="E506" t="inlineStr">
        <is>
          <t>UPPSALA</t>
        </is>
      </c>
      <c r="F506" t="inlineStr">
        <is>
          <t>Allmännings- och besparingsskogar</t>
        </is>
      </c>
      <c r="G506" t="n">
        <v>9.5</v>
      </c>
      <c r="H506" t="n">
        <v>0</v>
      </c>
      <c r="I506" t="n">
        <v>0</v>
      </c>
      <c r="J506" t="n">
        <v>0</v>
      </c>
      <c r="K506" t="n">
        <v>0</v>
      </c>
      <c r="L506" t="n">
        <v>0</v>
      </c>
      <c r="M506" t="n">
        <v>0</v>
      </c>
      <c r="N506" t="n">
        <v>0</v>
      </c>
      <c r="O506" t="n">
        <v>0</v>
      </c>
      <c r="P506" t="n">
        <v>0</v>
      </c>
      <c r="Q506" t="n">
        <v>0</v>
      </c>
      <c r="R506" s="2" t="inlineStr"/>
    </row>
    <row r="507" ht="15" customHeight="1">
      <c r="A507" t="inlineStr">
        <is>
          <t>A 11339-2025</t>
        </is>
      </c>
      <c r="B507" s="1" t="n">
        <v>45726</v>
      </c>
      <c r="C507" s="1" t="n">
        <v>45964</v>
      </c>
      <c r="D507" t="inlineStr">
        <is>
          <t>UPPSALA LÄN</t>
        </is>
      </c>
      <c r="E507" t="inlineStr">
        <is>
          <t>UPPSALA</t>
        </is>
      </c>
      <c r="G507" t="n">
        <v>13.4</v>
      </c>
      <c r="H507" t="n">
        <v>0</v>
      </c>
      <c r="I507" t="n">
        <v>0</v>
      </c>
      <c r="J507" t="n">
        <v>0</v>
      </c>
      <c r="K507" t="n">
        <v>0</v>
      </c>
      <c r="L507" t="n">
        <v>0</v>
      </c>
      <c r="M507" t="n">
        <v>0</v>
      </c>
      <c r="N507" t="n">
        <v>0</v>
      </c>
      <c r="O507" t="n">
        <v>0</v>
      </c>
      <c r="P507" t="n">
        <v>0</v>
      </c>
      <c r="Q507" t="n">
        <v>0</v>
      </c>
      <c r="R507" s="2" t="inlineStr"/>
    </row>
    <row r="508" ht="15" customHeight="1">
      <c r="A508" t="inlineStr">
        <is>
          <t>A 7611-2023</t>
        </is>
      </c>
      <c r="B508" s="1" t="n">
        <v>44967</v>
      </c>
      <c r="C508" s="1" t="n">
        <v>45964</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43031-2023</t>
        </is>
      </c>
      <c r="B509" s="1" t="n">
        <v>45182</v>
      </c>
      <c r="C509" s="1" t="n">
        <v>45964</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22951-2025</t>
        </is>
      </c>
      <c r="B510" s="1" t="n">
        <v>45790.51040509259</v>
      </c>
      <c r="C510" s="1" t="n">
        <v>45964</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59133-2022</t>
        </is>
      </c>
      <c r="B511" s="1" t="n">
        <v>44904</v>
      </c>
      <c r="C511" s="1" t="n">
        <v>45964</v>
      </c>
      <c r="D511" t="inlineStr">
        <is>
          <t>UPPSALA LÄN</t>
        </is>
      </c>
      <c r="E511" t="inlineStr">
        <is>
          <t>UPPSALA</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30319-2024</t>
        </is>
      </c>
      <c r="B512" s="1" t="n">
        <v>45490</v>
      </c>
      <c r="C512" s="1" t="n">
        <v>45964</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733-2022</t>
        </is>
      </c>
      <c r="B513" s="1" t="n">
        <v>44568.67040509259</v>
      </c>
      <c r="C513" s="1" t="n">
        <v>45964</v>
      </c>
      <c r="D513" t="inlineStr">
        <is>
          <t>UPPSALA LÄN</t>
        </is>
      </c>
      <c r="E513" t="inlineStr">
        <is>
          <t>UPPSALA</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45885-2023</t>
        </is>
      </c>
      <c r="B514" s="1" t="n">
        <v>45195.64807870371</v>
      </c>
      <c r="C514" s="1" t="n">
        <v>45964</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20087-2023</t>
        </is>
      </c>
      <c r="B515" s="1" t="n">
        <v>45054.9271875</v>
      </c>
      <c r="C515" s="1" t="n">
        <v>45964</v>
      </c>
      <c r="D515" t="inlineStr">
        <is>
          <t>UPPSALA LÄN</t>
        </is>
      </c>
      <c r="E515" t="inlineStr">
        <is>
          <t>UPPSALA</t>
        </is>
      </c>
      <c r="G515" t="n">
        <v>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45964</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48588-2022</t>
        </is>
      </c>
      <c r="B517" s="1" t="n">
        <v>44859.36896990741</v>
      </c>
      <c r="C517" s="1" t="n">
        <v>45964</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20903-2024</t>
        </is>
      </c>
      <c r="B518" s="1" t="n">
        <v>45439</v>
      </c>
      <c r="C518" s="1" t="n">
        <v>45964</v>
      </c>
      <c r="D518" t="inlineStr">
        <is>
          <t>UPPSALA LÄN</t>
        </is>
      </c>
      <c r="E518" t="inlineStr">
        <is>
          <t>UPPSALA</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39795-2022</t>
        </is>
      </c>
      <c r="B519" s="1" t="n">
        <v>44819.50233796296</v>
      </c>
      <c r="C519" s="1" t="n">
        <v>45964</v>
      </c>
      <c r="D519" t="inlineStr">
        <is>
          <t>UPPSALA LÄN</t>
        </is>
      </c>
      <c r="E519" t="inlineStr">
        <is>
          <t>UPPSALA</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11409-2025</t>
        </is>
      </c>
      <c r="B520" s="1" t="n">
        <v>45726</v>
      </c>
      <c r="C520" s="1" t="n">
        <v>45964</v>
      </c>
      <c r="D520" t="inlineStr">
        <is>
          <t>UPPSALA LÄN</t>
        </is>
      </c>
      <c r="E520" t="inlineStr">
        <is>
          <t>UPPSALA</t>
        </is>
      </c>
      <c r="G520" t="n">
        <v>0.3</v>
      </c>
      <c r="H520" t="n">
        <v>0</v>
      </c>
      <c r="I520" t="n">
        <v>0</v>
      </c>
      <c r="J520" t="n">
        <v>0</v>
      </c>
      <c r="K520" t="n">
        <v>0</v>
      </c>
      <c r="L520" t="n">
        <v>0</v>
      </c>
      <c r="M520" t="n">
        <v>0</v>
      </c>
      <c r="N520" t="n">
        <v>0</v>
      </c>
      <c r="O520" t="n">
        <v>0</v>
      </c>
      <c r="P520" t="n">
        <v>0</v>
      </c>
      <c r="Q520" t="n">
        <v>0</v>
      </c>
      <c r="R520" s="2" t="inlineStr"/>
    </row>
    <row r="521" ht="15" customHeight="1">
      <c r="A521" t="inlineStr">
        <is>
          <t>A 6971-2025</t>
        </is>
      </c>
      <c r="B521" s="1" t="n">
        <v>45693</v>
      </c>
      <c r="C521" s="1" t="n">
        <v>45964</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43032-2022</t>
        </is>
      </c>
      <c r="B522" s="1" t="n">
        <v>44832</v>
      </c>
      <c r="C522" s="1" t="n">
        <v>45964</v>
      </c>
      <c r="D522" t="inlineStr">
        <is>
          <t>UPPSALA LÄN</t>
        </is>
      </c>
      <c r="E522" t="inlineStr">
        <is>
          <t>UPPSALA</t>
        </is>
      </c>
      <c r="G522" t="n">
        <v>1.5</v>
      </c>
      <c r="H522" t="n">
        <v>0</v>
      </c>
      <c r="I522" t="n">
        <v>0</v>
      </c>
      <c r="J522" t="n">
        <v>0</v>
      </c>
      <c r="K522" t="n">
        <v>0</v>
      </c>
      <c r="L522" t="n">
        <v>0</v>
      </c>
      <c r="M522" t="n">
        <v>0</v>
      </c>
      <c r="N522" t="n">
        <v>0</v>
      </c>
      <c r="O522" t="n">
        <v>0</v>
      </c>
      <c r="P522" t="n">
        <v>0</v>
      </c>
      <c r="Q522" t="n">
        <v>0</v>
      </c>
      <c r="R522" s="2" t="inlineStr"/>
    </row>
    <row r="523" ht="15" customHeight="1">
      <c r="A523" t="inlineStr">
        <is>
          <t>A 668-2025</t>
        </is>
      </c>
      <c r="B523" s="1" t="n">
        <v>45664</v>
      </c>
      <c r="C523" s="1" t="n">
        <v>45964</v>
      </c>
      <c r="D523" t="inlineStr">
        <is>
          <t>UPPSALA LÄN</t>
        </is>
      </c>
      <c r="E523" t="inlineStr">
        <is>
          <t>UPPSALA</t>
        </is>
      </c>
      <c r="F523" t="inlineStr">
        <is>
          <t>Bergvik skog öst AB</t>
        </is>
      </c>
      <c r="G523" t="n">
        <v>4.7</v>
      </c>
      <c r="H523" t="n">
        <v>0</v>
      </c>
      <c r="I523" t="n">
        <v>0</v>
      </c>
      <c r="J523" t="n">
        <v>0</v>
      </c>
      <c r="K523" t="n">
        <v>0</v>
      </c>
      <c r="L523" t="n">
        <v>0</v>
      </c>
      <c r="M523" t="n">
        <v>0</v>
      </c>
      <c r="N523" t="n">
        <v>0</v>
      </c>
      <c r="O523" t="n">
        <v>0</v>
      </c>
      <c r="P523" t="n">
        <v>0</v>
      </c>
      <c r="Q523" t="n">
        <v>0</v>
      </c>
      <c r="R523" s="2" t="inlineStr"/>
    </row>
    <row r="524" ht="15" customHeight="1">
      <c r="A524" t="inlineStr">
        <is>
          <t>A 5876-2024</t>
        </is>
      </c>
      <c r="B524" s="1" t="n">
        <v>45335.66331018518</v>
      </c>
      <c r="C524" s="1" t="n">
        <v>45964</v>
      </c>
      <c r="D524" t="inlineStr">
        <is>
          <t>UPPSALA LÄN</t>
        </is>
      </c>
      <c r="E524" t="inlineStr">
        <is>
          <t>UPPSALA</t>
        </is>
      </c>
      <c r="F524" t="inlineStr">
        <is>
          <t>Kyrkan</t>
        </is>
      </c>
      <c r="G524" t="n">
        <v>1.7</v>
      </c>
      <c r="H524" t="n">
        <v>0</v>
      </c>
      <c r="I524" t="n">
        <v>0</v>
      </c>
      <c r="J524" t="n">
        <v>0</v>
      </c>
      <c r="K524" t="n">
        <v>0</v>
      </c>
      <c r="L524" t="n">
        <v>0</v>
      </c>
      <c r="M524" t="n">
        <v>0</v>
      </c>
      <c r="N524" t="n">
        <v>0</v>
      </c>
      <c r="O524" t="n">
        <v>0</v>
      </c>
      <c r="P524" t="n">
        <v>0</v>
      </c>
      <c r="Q524" t="n">
        <v>0</v>
      </c>
      <c r="R524" s="2" t="inlineStr"/>
    </row>
    <row r="525" ht="15" customHeight="1">
      <c r="A525" t="inlineStr">
        <is>
          <t>A 59098-2024</t>
        </is>
      </c>
      <c r="B525" s="1" t="n">
        <v>45636</v>
      </c>
      <c r="C525" s="1" t="n">
        <v>45964</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24268-2025</t>
        </is>
      </c>
      <c r="B526" s="1" t="n">
        <v>45797.42777777778</v>
      </c>
      <c r="C526" s="1" t="n">
        <v>45964</v>
      </c>
      <c r="D526" t="inlineStr">
        <is>
          <t>UPPSALA LÄN</t>
        </is>
      </c>
      <c r="E526" t="inlineStr">
        <is>
          <t>UPPSALA</t>
        </is>
      </c>
      <c r="G526" t="n">
        <v>2.5</v>
      </c>
      <c r="H526" t="n">
        <v>0</v>
      </c>
      <c r="I526" t="n">
        <v>0</v>
      </c>
      <c r="J526" t="n">
        <v>0</v>
      </c>
      <c r="K526" t="n">
        <v>0</v>
      </c>
      <c r="L526" t="n">
        <v>0</v>
      </c>
      <c r="M526" t="n">
        <v>0</v>
      </c>
      <c r="N526" t="n">
        <v>0</v>
      </c>
      <c r="O526" t="n">
        <v>0</v>
      </c>
      <c r="P526" t="n">
        <v>0</v>
      </c>
      <c r="Q526" t="n">
        <v>0</v>
      </c>
      <c r="R526" s="2" t="inlineStr"/>
    </row>
    <row r="527" ht="15" customHeight="1">
      <c r="A527" t="inlineStr">
        <is>
          <t>A 50669-2024</t>
        </is>
      </c>
      <c r="B527" s="1" t="n">
        <v>45601</v>
      </c>
      <c r="C527" s="1" t="n">
        <v>45964</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14026-2021</t>
        </is>
      </c>
      <c r="B528" s="1" t="n">
        <v>44277.65650462963</v>
      </c>
      <c r="C528" s="1" t="n">
        <v>45964</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6408-2022</t>
        </is>
      </c>
      <c r="B529" s="1" t="n">
        <v>44600</v>
      </c>
      <c r="C529" s="1" t="n">
        <v>45964</v>
      </c>
      <c r="D529" t="inlineStr">
        <is>
          <t>UPPSALA LÄN</t>
        </is>
      </c>
      <c r="E529" t="inlineStr">
        <is>
          <t>UPPSALA</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24098-2024</t>
        </is>
      </c>
      <c r="B530" s="1" t="n">
        <v>45456.59535879629</v>
      </c>
      <c r="C530" s="1" t="n">
        <v>45964</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5722-2025</t>
        </is>
      </c>
      <c r="B531" s="1" t="n">
        <v>45694</v>
      </c>
      <c r="C531" s="1" t="n">
        <v>45964</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37316-2022</t>
        </is>
      </c>
      <c r="B532" s="1" t="n">
        <v>44806</v>
      </c>
      <c r="C532" s="1" t="n">
        <v>45964</v>
      </c>
      <c r="D532" t="inlineStr">
        <is>
          <t>UPPSALA LÄN</t>
        </is>
      </c>
      <c r="E532" t="inlineStr">
        <is>
          <t>UPPSALA</t>
        </is>
      </c>
      <c r="G532" t="n">
        <v>10.6</v>
      </c>
      <c r="H532" t="n">
        <v>0</v>
      </c>
      <c r="I532" t="n">
        <v>0</v>
      </c>
      <c r="J532" t="n">
        <v>0</v>
      </c>
      <c r="K532" t="n">
        <v>0</v>
      </c>
      <c r="L532" t="n">
        <v>0</v>
      </c>
      <c r="M532" t="n">
        <v>0</v>
      </c>
      <c r="N532" t="n">
        <v>0</v>
      </c>
      <c r="O532" t="n">
        <v>0</v>
      </c>
      <c r="P532" t="n">
        <v>0</v>
      </c>
      <c r="Q532" t="n">
        <v>0</v>
      </c>
      <c r="R532" s="2" t="inlineStr"/>
    </row>
    <row r="533" ht="15" customHeight="1">
      <c r="A533" t="inlineStr">
        <is>
          <t>A 24284-2025</t>
        </is>
      </c>
      <c r="B533" s="1" t="n">
        <v>45797.45900462963</v>
      </c>
      <c r="C533" s="1" t="n">
        <v>45964</v>
      </c>
      <c r="D533" t="inlineStr">
        <is>
          <t>UPPSALA LÄN</t>
        </is>
      </c>
      <c r="E533" t="inlineStr">
        <is>
          <t>UPPSALA</t>
        </is>
      </c>
      <c r="F533" t="inlineStr">
        <is>
          <t>Holmen skog AB</t>
        </is>
      </c>
      <c r="G533" t="n">
        <v>12.7</v>
      </c>
      <c r="H533" t="n">
        <v>0</v>
      </c>
      <c r="I533" t="n">
        <v>0</v>
      </c>
      <c r="J533" t="n">
        <v>0</v>
      </c>
      <c r="K533" t="n">
        <v>0</v>
      </c>
      <c r="L533" t="n">
        <v>0</v>
      </c>
      <c r="M533" t="n">
        <v>0</v>
      </c>
      <c r="N533" t="n">
        <v>0</v>
      </c>
      <c r="O533" t="n">
        <v>0</v>
      </c>
      <c r="P533" t="n">
        <v>0</v>
      </c>
      <c r="Q533" t="n">
        <v>0</v>
      </c>
      <c r="R533" s="2" t="inlineStr"/>
    </row>
    <row r="534" ht="15" customHeight="1">
      <c r="A534" t="inlineStr">
        <is>
          <t>A 25120-2022</t>
        </is>
      </c>
      <c r="B534" s="1" t="n">
        <v>44729</v>
      </c>
      <c r="C534" s="1" t="n">
        <v>45964</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34520-2024</t>
        </is>
      </c>
      <c r="B535" s="1" t="n">
        <v>45525</v>
      </c>
      <c r="C535" s="1" t="n">
        <v>45964</v>
      </c>
      <c r="D535" t="inlineStr">
        <is>
          <t>UPPSALA LÄN</t>
        </is>
      </c>
      <c r="E535" t="inlineStr">
        <is>
          <t>UPPSALA</t>
        </is>
      </c>
      <c r="G535" t="n">
        <v>2.5</v>
      </c>
      <c r="H535" t="n">
        <v>0</v>
      </c>
      <c r="I535" t="n">
        <v>0</v>
      </c>
      <c r="J535" t="n">
        <v>0</v>
      </c>
      <c r="K535" t="n">
        <v>0</v>
      </c>
      <c r="L535" t="n">
        <v>0</v>
      </c>
      <c r="M535" t="n">
        <v>0</v>
      </c>
      <c r="N535" t="n">
        <v>0</v>
      </c>
      <c r="O535" t="n">
        <v>0</v>
      </c>
      <c r="P535" t="n">
        <v>0</v>
      </c>
      <c r="Q535" t="n">
        <v>0</v>
      </c>
      <c r="R535" s="2" t="inlineStr"/>
    </row>
    <row r="536" ht="15" customHeight="1">
      <c r="A536" t="inlineStr">
        <is>
          <t>A 6363-2024</t>
        </is>
      </c>
      <c r="B536" s="1" t="n">
        <v>45338.49412037037</v>
      </c>
      <c r="C536" s="1" t="n">
        <v>45964</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19539-2024</t>
        </is>
      </c>
      <c r="B537" s="1" t="n">
        <v>45429</v>
      </c>
      <c r="C537" s="1" t="n">
        <v>45964</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34509-2023</t>
        </is>
      </c>
      <c r="B538" s="1" t="n">
        <v>45133</v>
      </c>
      <c r="C538" s="1" t="n">
        <v>45964</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24912-2025</t>
        </is>
      </c>
      <c r="B539" s="1" t="n">
        <v>45799.53803240741</v>
      </c>
      <c r="C539" s="1" t="n">
        <v>45964</v>
      </c>
      <c r="D539" t="inlineStr">
        <is>
          <t>UPPSALA LÄN</t>
        </is>
      </c>
      <c r="E539" t="inlineStr">
        <is>
          <t>UPPSALA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33939-2024</t>
        </is>
      </c>
      <c r="B540" s="1" t="n">
        <v>45523</v>
      </c>
      <c r="C540" s="1" t="n">
        <v>45964</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54808-2023</t>
        </is>
      </c>
      <c r="B541" s="1" t="n">
        <v>45236</v>
      </c>
      <c r="C541" s="1" t="n">
        <v>45964</v>
      </c>
      <c r="D541" t="inlineStr">
        <is>
          <t>UPPSALA LÄN</t>
        </is>
      </c>
      <c r="E541" t="inlineStr">
        <is>
          <t>UPPSALA</t>
        </is>
      </c>
      <c r="G541" t="n">
        <v>4.1</v>
      </c>
      <c r="H541" t="n">
        <v>0</v>
      </c>
      <c r="I541" t="n">
        <v>0</v>
      </c>
      <c r="J541" t="n">
        <v>0</v>
      </c>
      <c r="K541" t="n">
        <v>0</v>
      </c>
      <c r="L541" t="n">
        <v>0</v>
      </c>
      <c r="M541" t="n">
        <v>0</v>
      </c>
      <c r="N541" t="n">
        <v>0</v>
      </c>
      <c r="O541" t="n">
        <v>0</v>
      </c>
      <c r="P541" t="n">
        <v>0</v>
      </c>
      <c r="Q541" t="n">
        <v>0</v>
      </c>
      <c r="R541" s="2" t="inlineStr"/>
    </row>
    <row r="542" ht="15" customHeight="1">
      <c r="A542" t="inlineStr">
        <is>
          <t>A 13343-2022</t>
        </is>
      </c>
      <c r="B542" s="1" t="n">
        <v>44645.39157407408</v>
      </c>
      <c r="C542" s="1" t="n">
        <v>45964</v>
      </c>
      <c r="D542" t="inlineStr">
        <is>
          <t>UPPSALA LÄN</t>
        </is>
      </c>
      <c r="E542" t="inlineStr">
        <is>
          <t>UPPSALA</t>
        </is>
      </c>
      <c r="F542" t="inlineStr">
        <is>
          <t>Övriga Aktiebolag</t>
        </is>
      </c>
      <c r="G542" t="n">
        <v>1.9</v>
      </c>
      <c r="H542" t="n">
        <v>0</v>
      </c>
      <c r="I542" t="n">
        <v>0</v>
      </c>
      <c r="J542" t="n">
        <v>0</v>
      </c>
      <c r="K542" t="n">
        <v>0</v>
      </c>
      <c r="L542" t="n">
        <v>0</v>
      </c>
      <c r="M542" t="n">
        <v>0</v>
      </c>
      <c r="N542" t="n">
        <v>0</v>
      </c>
      <c r="O542" t="n">
        <v>0</v>
      </c>
      <c r="P542" t="n">
        <v>0</v>
      </c>
      <c r="Q542" t="n">
        <v>0</v>
      </c>
      <c r="R542" s="2" t="inlineStr"/>
    </row>
    <row r="543" ht="15" customHeight="1">
      <c r="A543" t="inlineStr">
        <is>
          <t>A 11173-2024</t>
        </is>
      </c>
      <c r="B543" s="1" t="n">
        <v>45371.50738425926</v>
      </c>
      <c r="C543" s="1" t="n">
        <v>45964</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24961-2025</t>
        </is>
      </c>
      <c r="B544" s="1" t="n">
        <v>45799.57714120371</v>
      </c>
      <c r="C544" s="1" t="n">
        <v>45964</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54813-2022</t>
        </is>
      </c>
      <c r="B545" s="1" t="n">
        <v>44883</v>
      </c>
      <c r="C545" s="1" t="n">
        <v>45964</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9242-2022</t>
        </is>
      </c>
      <c r="B546" s="1" t="n">
        <v>44616</v>
      </c>
      <c r="C546" s="1" t="n">
        <v>45964</v>
      </c>
      <c r="D546" t="inlineStr">
        <is>
          <t>UPPSALA LÄN</t>
        </is>
      </c>
      <c r="E546" t="inlineStr">
        <is>
          <t>UPPSALA</t>
        </is>
      </c>
      <c r="F546" t="inlineStr">
        <is>
          <t>Övriga Aktiebolag</t>
        </is>
      </c>
      <c r="G546" t="n">
        <v>5.9</v>
      </c>
      <c r="H546" t="n">
        <v>0</v>
      </c>
      <c r="I546" t="n">
        <v>0</v>
      </c>
      <c r="J546" t="n">
        <v>0</v>
      </c>
      <c r="K546" t="n">
        <v>0</v>
      </c>
      <c r="L546" t="n">
        <v>0</v>
      </c>
      <c r="M546" t="n">
        <v>0</v>
      </c>
      <c r="N546" t="n">
        <v>0</v>
      </c>
      <c r="O546" t="n">
        <v>0</v>
      </c>
      <c r="P546" t="n">
        <v>0</v>
      </c>
      <c r="Q546" t="n">
        <v>0</v>
      </c>
      <c r="R546" s="2" t="inlineStr"/>
    </row>
    <row r="547" ht="15" customHeight="1">
      <c r="A547" t="inlineStr">
        <is>
          <t>A 14907-2025</t>
        </is>
      </c>
      <c r="B547" s="1" t="n">
        <v>45743.50744212963</v>
      </c>
      <c r="C547" s="1" t="n">
        <v>45964</v>
      </c>
      <c r="D547" t="inlineStr">
        <is>
          <t>UPPSALA LÄN</t>
        </is>
      </c>
      <c r="E547" t="inlineStr">
        <is>
          <t>UPPSALA</t>
        </is>
      </c>
      <c r="G547" t="n">
        <v>7</v>
      </c>
      <c r="H547" t="n">
        <v>0</v>
      </c>
      <c r="I547" t="n">
        <v>0</v>
      </c>
      <c r="J547" t="n">
        <v>0</v>
      </c>
      <c r="K547" t="n">
        <v>0</v>
      </c>
      <c r="L547" t="n">
        <v>0</v>
      </c>
      <c r="M547" t="n">
        <v>0</v>
      </c>
      <c r="N547" t="n">
        <v>0</v>
      </c>
      <c r="O547" t="n">
        <v>0</v>
      </c>
      <c r="P547" t="n">
        <v>0</v>
      </c>
      <c r="Q547" t="n">
        <v>0</v>
      </c>
      <c r="R547" s="2" t="inlineStr"/>
    </row>
    <row r="548" ht="15" customHeight="1">
      <c r="A548" t="inlineStr">
        <is>
          <t>A 12828-2025</t>
        </is>
      </c>
      <c r="B548" s="1" t="n">
        <v>45733.62903935185</v>
      </c>
      <c r="C548" s="1" t="n">
        <v>45964</v>
      </c>
      <c r="D548" t="inlineStr">
        <is>
          <t>UPPSALA LÄN</t>
        </is>
      </c>
      <c r="E548" t="inlineStr">
        <is>
          <t>UPPSALA</t>
        </is>
      </c>
      <c r="G548" t="n">
        <v>5.3</v>
      </c>
      <c r="H548" t="n">
        <v>0</v>
      </c>
      <c r="I548" t="n">
        <v>0</v>
      </c>
      <c r="J548" t="n">
        <v>0</v>
      </c>
      <c r="K548" t="n">
        <v>0</v>
      </c>
      <c r="L548" t="n">
        <v>0</v>
      </c>
      <c r="M548" t="n">
        <v>0</v>
      </c>
      <c r="N548" t="n">
        <v>0</v>
      </c>
      <c r="O548" t="n">
        <v>0</v>
      </c>
      <c r="P548" t="n">
        <v>0</v>
      </c>
      <c r="Q548" t="n">
        <v>0</v>
      </c>
      <c r="R548" s="2" t="inlineStr"/>
    </row>
    <row r="549" ht="15" customHeight="1">
      <c r="A549" t="inlineStr">
        <is>
          <t>A 18443-2023</t>
        </is>
      </c>
      <c r="B549" s="1" t="n">
        <v>45042</v>
      </c>
      <c r="C549" s="1" t="n">
        <v>45964</v>
      </c>
      <c r="D549" t="inlineStr">
        <is>
          <t>UPPSALA LÄN</t>
        </is>
      </c>
      <c r="E549" t="inlineStr">
        <is>
          <t>UPPSALA</t>
        </is>
      </c>
      <c r="G549" t="n">
        <v>0.4</v>
      </c>
      <c r="H549" t="n">
        <v>0</v>
      </c>
      <c r="I549" t="n">
        <v>0</v>
      </c>
      <c r="J549" t="n">
        <v>0</v>
      </c>
      <c r="K549" t="n">
        <v>0</v>
      </c>
      <c r="L549" t="n">
        <v>0</v>
      </c>
      <c r="M549" t="n">
        <v>0</v>
      </c>
      <c r="N549" t="n">
        <v>0</v>
      </c>
      <c r="O549" t="n">
        <v>0</v>
      </c>
      <c r="P549" t="n">
        <v>0</v>
      </c>
      <c r="Q549" t="n">
        <v>0</v>
      </c>
      <c r="R549" s="2" t="inlineStr"/>
    </row>
    <row r="550" ht="15" customHeight="1">
      <c r="A550" t="inlineStr">
        <is>
          <t>A 35542-2022</t>
        </is>
      </c>
      <c r="B550" s="1" t="n">
        <v>44799.36695601852</v>
      </c>
      <c r="C550" s="1" t="n">
        <v>45964</v>
      </c>
      <c r="D550" t="inlineStr">
        <is>
          <t>UPPSALA LÄN</t>
        </is>
      </c>
      <c r="E550" t="inlineStr">
        <is>
          <t>UPPSALA</t>
        </is>
      </c>
      <c r="G550" t="n">
        <v>3.2</v>
      </c>
      <c r="H550" t="n">
        <v>0</v>
      </c>
      <c r="I550" t="n">
        <v>0</v>
      </c>
      <c r="J550" t="n">
        <v>0</v>
      </c>
      <c r="K550" t="n">
        <v>0</v>
      </c>
      <c r="L550" t="n">
        <v>0</v>
      </c>
      <c r="M550" t="n">
        <v>0</v>
      </c>
      <c r="N550" t="n">
        <v>0</v>
      </c>
      <c r="O550" t="n">
        <v>0</v>
      </c>
      <c r="P550" t="n">
        <v>0</v>
      </c>
      <c r="Q550" t="n">
        <v>0</v>
      </c>
      <c r="R550" s="2" t="inlineStr"/>
    </row>
    <row r="551" ht="15" customHeight="1">
      <c r="A551" t="inlineStr">
        <is>
          <t>A 25026-2025</t>
        </is>
      </c>
      <c r="B551" s="1" t="n">
        <v>45799.65021990741</v>
      </c>
      <c r="C551" s="1" t="n">
        <v>45964</v>
      </c>
      <c r="D551" t="inlineStr">
        <is>
          <t>UPPSALA LÄN</t>
        </is>
      </c>
      <c r="E551" t="inlineStr">
        <is>
          <t>UPPSALA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25030-2025</t>
        </is>
      </c>
      <c r="B552" s="1" t="n">
        <v>45799.6527199074</v>
      </c>
      <c r="C552" s="1" t="n">
        <v>45964</v>
      </c>
      <c r="D552" t="inlineStr">
        <is>
          <t>UPPSALA LÄN</t>
        </is>
      </c>
      <c r="E552" t="inlineStr">
        <is>
          <t>UPPSALA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58056-2020</t>
        </is>
      </c>
      <c r="B553" s="1" t="n">
        <v>44144</v>
      </c>
      <c r="C553" s="1" t="n">
        <v>45964</v>
      </c>
      <c r="D553" t="inlineStr">
        <is>
          <t>UPPSALA LÄN</t>
        </is>
      </c>
      <c r="E553" t="inlineStr">
        <is>
          <t>UPPSALA</t>
        </is>
      </c>
      <c r="G553" t="n">
        <v>5.5</v>
      </c>
      <c r="H553" t="n">
        <v>0</v>
      </c>
      <c r="I553" t="n">
        <v>0</v>
      </c>
      <c r="J553" t="n">
        <v>0</v>
      </c>
      <c r="K553" t="n">
        <v>0</v>
      </c>
      <c r="L553" t="n">
        <v>0</v>
      </c>
      <c r="M553" t="n">
        <v>0</v>
      </c>
      <c r="N553" t="n">
        <v>0</v>
      </c>
      <c r="O553" t="n">
        <v>0</v>
      </c>
      <c r="P553" t="n">
        <v>0</v>
      </c>
      <c r="Q553" t="n">
        <v>0</v>
      </c>
      <c r="R553" s="2" t="inlineStr"/>
    </row>
    <row r="554" ht="15" customHeight="1">
      <c r="A554" t="inlineStr">
        <is>
          <t>A 13742-2025</t>
        </is>
      </c>
      <c r="B554" s="1" t="n">
        <v>45737.40503472222</v>
      </c>
      <c r="C554" s="1" t="n">
        <v>45964</v>
      </c>
      <c r="D554" t="inlineStr">
        <is>
          <t>UPPSALA LÄN</t>
        </is>
      </c>
      <c r="E554" t="inlineStr">
        <is>
          <t>UPPSALA</t>
        </is>
      </c>
      <c r="G554" t="n">
        <v>5.1</v>
      </c>
      <c r="H554" t="n">
        <v>0</v>
      </c>
      <c r="I554" t="n">
        <v>0</v>
      </c>
      <c r="J554" t="n">
        <v>0</v>
      </c>
      <c r="K554" t="n">
        <v>0</v>
      </c>
      <c r="L554" t="n">
        <v>0</v>
      </c>
      <c r="M554" t="n">
        <v>0</v>
      </c>
      <c r="N554" t="n">
        <v>0</v>
      </c>
      <c r="O554" t="n">
        <v>0</v>
      </c>
      <c r="P554" t="n">
        <v>0</v>
      </c>
      <c r="Q554" t="n">
        <v>0</v>
      </c>
      <c r="R554" s="2" t="inlineStr"/>
    </row>
    <row r="555" ht="15" customHeight="1">
      <c r="A555" t="inlineStr">
        <is>
          <t>A 24913-2025</t>
        </is>
      </c>
      <c r="B555" s="1" t="n">
        <v>45799.53947916667</v>
      </c>
      <c r="C555" s="1" t="n">
        <v>45964</v>
      </c>
      <c r="D555" t="inlineStr">
        <is>
          <t>UPPSALA LÄN</t>
        </is>
      </c>
      <c r="E555" t="inlineStr">
        <is>
          <t>UPPSALA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24915-2025</t>
        </is>
      </c>
      <c r="B556" s="1" t="n">
        <v>45799.54104166666</v>
      </c>
      <c r="C556" s="1" t="n">
        <v>45964</v>
      </c>
      <c r="D556" t="inlineStr">
        <is>
          <t>UPPSALA LÄN</t>
        </is>
      </c>
      <c r="E556" t="inlineStr">
        <is>
          <t>UPPSALA</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19017-2023</t>
        </is>
      </c>
      <c r="B557" s="1" t="n">
        <v>45047.31793981481</v>
      </c>
      <c r="C557" s="1" t="n">
        <v>45964</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6988-2025</t>
        </is>
      </c>
      <c r="B558" s="1" t="n">
        <v>45693</v>
      </c>
      <c r="C558" s="1" t="n">
        <v>45964</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10674-2022</t>
        </is>
      </c>
      <c r="B559" s="1" t="n">
        <v>44624.64538194444</v>
      </c>
      <c r="C559" s="1" t="n">
        <v>45964</v>
      </c>
      <c r="D559" t="inlineStr">
        <is>
          <t>UPPSALA LÄN</t>
        </is>
      </c>
      <c r="E559" t="inlineStr">
        <is>
          <t>UPPSALA</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24794-2025</t>
        </is>
      </c>
      <c r="B560" s="1" t="n">
        <v>45799.43496527777</v>
      </c>
      <c r="C560" s="1" t="n">
        <v>45964</v>
      </c>
      <c r="D560" t="inlineStr">
        <is>
          <t>UPPSALA LÄN</t>
        </is>
      </c>
      <c r="E560" t="inlineStr">
        <is>
          <t>UPPSALA</t>
        </is>
      </c>
      <c r="F560" t="inlineStr">
        <is>
          <t>BillerudKorsnäs AB</t>
        </is>
      </c>
      <c r="G560" t="n">
        <v>1.4</v>
      </c>
      <c r="H560" t="n">
        <v>0</v>
      </c>
      <c r="I560" t="n">
        <v>0</v>
      </c>
      <c r="J560" t="n">
        <v>0</v>
      </c>
      <c r="K560" t="n">
        <v>0</v>
      </c>
      <c r="L560" t="n">
        <v>0</v>
      </c>
      <c r="M560" t="n">
        <v>0</v>
      </c>
      <c r="N560" t="n">
        <v>0</v>
      </c>
      <c r="O560" t="n">
        <v>0</v>
      </c>
      <c r="P560" t="n">
        <v>0</v>
      </c>
      <c r="Q560" t="n">
        <v>0</v>
      </c>
      <c r="R560" s="2" t="inlineStr"/>
    </row>
    <row r="561" ht="15" customHeight="1">
      <c r="A561" t="inlineStr">
        <is>
          <t>A 24916-2025</t>
        </is>
      </c>
      <c r="B561" s="1" t="n">
        <v>45799.5421875</v>
      </c>
      <c r="C561" s="1" t="n">
        <v>45964</v>
      </c>
      <c r="D561" t="inlineStr">
        <is>
          <t>UPPSALA LÄN</t>
        </is>
      </c>
      <c r="E561" t="inlineStr">
        <is>
          <t>UPPSALA</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25025-2025</t>
        </is>
      </c>
      <c r="B562" s="1" t="n">
        <v>45799.64877314815</v>
      </c>
      <c r="C562" s="1" t="n">
        <v>45964</v>
      </c>
      <c r="D562" t="inlineStr">
        <is>
          <t>UPPSALA LÄN</t>
        </is>
      </c>
      <c r="E562" t="inlineStr">
        <is>
          <t>UPPSALA</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24525-2025</t>
        </is>
      </c>
      <c r="B563" s="1" t="n">
        <v>45798.42252314815</v>
      </c>
      <c r="C563" s="1" t="n">
        <v>45964</v>
      </c>
      <c r="D563" t="inlineStr">
        <is>
          <t>UPPSALA LÄN</t>
        </is>
      </c>
      <c r="E563" t="inlineStr">
        <is>
          <t>UPPSALA</t>
        </is>
      </c>
      <c r="G563" t="n">
        <v>3.2</v>
      </c>
      <c r="H563" t="n">
        <v>0</v>
      </c>
      <c r="I563" t="n">
        <v>0</v>
      </c>
      <c r="J563" t="n">
        <v>0</v>
      </c>
      <c r="K563" t="n">
        <v>0</v>
      </c>
      <c r="L563" t="n">
        <v>0</v>
      </c>
      <c r="M563" t="n">
        <v>0</v>
      </c>
      <c r="N563" t="n">
        <v>0</v>
      </c>
      <c r="O563" t="n">
        <v>0</v>
      </c>
      <c r="P563" t="n">
        <v>0</v>
      </c>
      <c r="Q563" t="n">
        <v>0</v>
      </c>
      <c r="R563" s="2" t="inlineStr"/>
    </row>
    <row r="564" ht="15" customHeight="1">
      <c r="A564" t="inlineStr">
        <is>
          <t>A 47316-2023</t>
        </is>
      </c>
      <c r="B564" s="1" t="n">
        <v>45202.4997337963</v>
      </c>
      <c r="C564" s="1" t="n">
        <v>45964</v>
      </c>
      <c r="D564" t="inlineStr">
        <is>
          <t>UPPSALA LÄN</t>
        </is>
      </c>
      <c r="E564" t="inlineStr">
        <is>
          <t>UPPSALA</t>
        </is>
      </c>
      <c r="F564" t="inlineStr">
        <is>
          <t>Bergvik skog öst AB</t>
        </is>
      </c>
      <c r="G564" t="n">
        <v>0.3</v>
      </c>
      <c r="H564" t="n">
        <v>0</v>
      </c>
      <c r="I564" t="n">
        <v>0</v>
      </c>
      <c r="J564" t="n">
        <v>0</v>
      </c>
      <c r="K564" t="n">
        <v>0</v>
      </c>
      <c r="L564" t="n">
        <v>0</v>
      </c>
      <c r="M564" t="n">
        <v>0</v>
      </c>
      <c r="N564" t="n">
        <v>0</v>
      </c>
      <c r="O564" t="n">
        <v>0</v>
      </c>
      <c r="P564" t="n">
        <v>0</v>
      </c>
      <c r="Q564" t="n">
        <v>0</v>
      </c>
      <c r="R564" s="2" t="inlineStr"/>
    </row>
    <row r="565" ht="15" customHeight="1">
      <c r="A565" t="inlineStr">
        <is>
          <t>A 6851-2022</t>
        </is>
      </c>
      <c r="B565" s="1" t="n">
        <v>44602</v>
      </c>
      <c r="C565" s="1" t="n">
        <v>45964</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39107-2023</t>
        </is>
      </c>
      <c r="B566" s="1" t="n">
        <v>45164.82913194445</v>
      </c>
      <c r="C566" s="1" t="n">
        <v>45964</v>
      </c>
      <c r="D566" t="inlineStr">
        <is>
          <t>UPPSALA LÄN</t>
        </is>
      </c>
      <c r="E566" t="inlineStr">
        <is>
          <t>UPPSALA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4509-2024</t>
        </is>
      </c>
      <c r="B567" s="1" t="n">
        <v>45327</v>
      </c>
      <c r="C567" s="1" t="n">
        <v>45964</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19513-2023</t>
        </is>
      </c>
      <c r="B568" s="1" t="n">
        <v>45050.49392361111</v>
      </c>
      <c r="C568" s="1" t="n">
        <v>45964</v>
      </c>
      <c r="D568" t="inlineStr">
        <is>
          <t>UPPSALA LÄN</t>
        </is>
      </c>
      <c r="E568" t="inlineStr">
        <is>
          <t>UPPSALA</t>
        </is>
      </c>
      <c r="G568" t="n">
        <v>6.6</v>
      </c>
      <c r="H568" t="n">
        <v>0</v>
      </c>
      <c r="I568" t="n">
        <v>0</v>
      </c>
      <c r="J568" t="n">
        <v>0</v>
      </c>
      <c r="K568" t="n">
        <v>0</v>
      </c>
      <c r="L568" t="n">
        <v>0</v>
      </c>
      <c r="M568" t="n">
        <v>0</v>
      </c>
      <c r="N568" t="n">
        <v>0</v>
      </c>
      <c r="O568" t="n">
        <v>0</v>
      </c>
      <c r="P568" t="n">
        <v>0</v>
      </c>
      <c r="Q568" t="n">
        <v>0</v>
      </c>
      <c r="R568" s="2" t="inlineStr"/>
    </row>
    <row r="569" ht="15" customHeight="1">
      <c r="A569" t="inlineStr">
        <is>
          <t>A 25513-2025</t>
        </is>
      </c>
      <c r="B569" s="1" t="n">
        <v>45803.36384259259</v>
      </c>
      <c r="C569" s="1" t="n">
        <v>45964</v>
      </c>
      <c r="D569" t="inlineStr">
        <is>
          <t>UPPSALA LÄN</t>
        </is>
      </c>
      <c r="E569" t="inlineStr">
        <is>
          <t>UPPSALA</t>
        </is>
      </c>
      <c r="F569" t="inlineStr">
        <is>
          <t>Bergvik skog öst AB</t>
        </is>
      </c>
      <c r="G569" t="n">
        <v>8.9</v>
      </c>
      <c r="H569" t="n">
        <v>0</v>
      </c>
      <c r="I569" t="n">
        <v>0</v>
      </c>
      <c r="J569" t="n">
        <v>0</v>
      </c>
      <c r="K569" t="n">
        <v>0</v>
      </c>
      <c r="L569" t="n">
        <v>0</v>
      </c>
      <c r="M569" t="n">
        <v>0</v>
      </c>
      <c r="N569" t="n">
        <v>0</v>
      </c>
      <c r="O569" t="n">
        <v>0</v>
      </c>
      <c r="P569" t="n">
        <v>0</v>
      </c>
      <c r="Q569" t="n">
        <v>0</v>
      </c>
      <c r="R569" s="2" t="inlineStr"/>
    </row>
    <row r="570" ht="15" customHeight="1">
      <c r="A570" t="inlineStr">
        <is>
          <t>A 25280-2023</t>
        </is>
      </c>
      <c r="B570" s="1" t="n">
        <v>45086.7037037037</v>
      </c>
      <c r="C570" s="1" t="n">
        <v>45964</v>
      </c>
      <c r="D570" t="inlineStr">
        <is>
          <t>UPPSALA LÄN</t>
        </is>
      </c>
      <c r="E570" t="inlineStr">
        <is>
          <t>UPPSALA</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25674-2025</t>
        </is>
      </c>
      <c r="B571" s="1" t="n">
        <v>45803.63395833333</v>
      </c>
      <c r="C571" s="1" t="n">
        <v>45964</v>
      </c>
      <c r="D571" t="inlineStr">
        <is>
          <t>UPPSALA LÄN</t>
        </is>
      </c>
      <c r="E571" t="inlineStr">
        <is>
          <t>UPPSALA</t>
        </is>
      </c>
      <c r="G571" t="n">
        <v>0.9</v>
      </c>
      <c r="H571" t="n">
        <v>0</v>
      </c>
      <c r="I571" t="n">
        <v>0</v>
      </c>
      <c r="J571" t="n">
        <v>0</v>
      </c>
      <c r="K571" t="n">
        <v>0</v>
      </c>
      <c r="L571" t="n">
        <v>0</v>
      </c>
      <c r="M571" t="n">
        <v>0</v>
      </c>
      <c r="N571" t="n">
        <v>0</v>
      </c>
      <c r="O571" t="n">
        <v>0</v>
      </c>
      <c r="P571" t="n">
        <v>0</v>
      </c>
      <c r="Q571" t="n">
        <v>0</v>
      </c>
      <c r="R571" s="2" t="inlineStr"/>
    </row>
    <row r="572" ht="15" customHeight="1">
      <c r="A572" t="inlineStr">
        <is>
          <t>A 12152-2021</t>
        </is>
      </c>
      <c r="B572" s="1" t="n">
        <v>44266.57917824074</v>
      </c>
      <c r="C572" s="1" t="n">
        <v>45964</v>
      </c>
      <c r="D572" t="inlineStr">
        <is>
          <t>UPPSALA LÄN</t>
        </is>
      </c>
      <c r="E572" t="inlineStr">
        <is>
          <t>UPPSALA</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17788-2023</t>
        </is>
      </c>
      <c r="B573" s="1" t="n">
        <v>45037</v>
      </c>
      <c r="C573" s="1" t="n">
        <v>45964</v>
      </c>
      <c r="D573" t="inlineStr">
        <is>
          <t>UPPSALA LÄN</t>
        </is>
      </c>
      <c r="E573" t="inlineStr">
        <is>
          <t>UPPSALA</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48564-2023</t>
        </is>
      </c>
      <c r="B574" s="1" t="n">
        <v>45208.4350462963</v>
      </c>
      <c r="C574" s="1" t="n">
        <v>45964</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52197-2024</t>
        </is>
      </c>
      <c r="B575" s="1" t="n">
        <v>45608</v>
      </c>
      <c r="C575" s="1" t="n">
        <v>45964</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6628-2024</t>
        </is>
      </c>
      <c r="B576" s="1" t="n">
        <v>45341</v>
      </c>
      <c r="C576" s="1" t="n">
        <v>45964</v>
      </c>
      <c r="D576" t="inlineStr">
        <is>
          <t>UPPSALA LÄN</t>
        </is>
      </c>
      <c r="E576" t="inlineStr">
        <is>
          <t>UPPSALA</t>
        </is>
      </c>
      <c r="G576" t="n">
        <v>4.3</v>
      </c>
      <c r="H576" t="n">
        <v>0</v>
      </c>
      <c r="I576" t="n">
        <v>0</v>
      </c>
      <c r="J576" t="n">
        <v>0</v>
      </c>
      <c r="K576" t="n">
        <v>0</v>
      </c>
      <c r="L576" t="n">
        <v>0</v>
      </c>
      <c r="M576" t="n">
        <v>0</v>
      </c>
      <c r="N576" t="n">
        <v>0</v>
      </c>
      <c r="O576" t="n">
        <v>0</v>
      </c>
      <c r="P576" t="n">
        <v>0</v>
      </c>
      <c r="Q576" t="n">
        <v>0</v>
      </c>
      <c r="R576" s="2" t="inlineStr"/>
    </row>
    <row r="577" ht="15" customHeight="1">
      <c r="A577" t="inlineStr">
        <is>
          <t>A 21727-2023</t>
        </is>
      </c>
      <c r="B577" s="1" t="n">
        <v>45065.43013888889</v>
      </c>
      <c r="C577" s="1" t="n">
        <v>45964</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15264-2025</t>
        </is>
      </c>
      <c r="B578" s="1" t="n">
        <v>45744</v>
      </c>
      <c r="C578" s="1" t="n">
        <v>45964</v>
      </c>
      <c r="D578" t="inlineStr">
        <is>
          <t>UPPSALA LÄN</t>
        </is>
      </c>
      <c r="E578" t="inlineStr">
        <is>
          <t>UPPSALA</t>
        </is>
      </c>
      <c r="G578" t="n">
        <v>3.5</v>
      </c>
      <c r="H578" t="n">
        <v>0</v>
      </c>
      <c r="I578" t="n">
        <v>0</v>
      </c>
      <c r="J578" t="n">
        <v>0</v>
      </c>
      <c r="K578" t="n">
        <v>0</v>
      </c>
      <c r="L578" t="n">
        <v>0</v>
      </c>
      <c r="M578" t="n">
        <v>0</v>
      </c>
      <c r="N578" t="n">
        <v>0</v>
      </c>
      <c r="O578" t="n">
        <v>0</v>
      </c>
      <c r="P578" t="n">
        <v>0</v>
      </c>
      <c r="Q578" t="n">
        <v>0</v>
      </c>
      <c r="R578" s="2" t="inlineStr"/>
    </row>
    <row r="579" ht="15" customHeight="1">
      <c r="A579" t="inlineStr">
        <is>
          <t>A 18668-2024</t>
        </is>
      </c>
      <c r="B579" s="1" t="n">
        <v>45426.34148148148</v>
      </c>
      <c r="C579" s="1" t="n">
        <v>45964</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32276-2021</t>
        </is>
      </c>
      <c r="B580" s="1" t="n">
        <v>44371.49178240741</v>
      </c>
      <c r="C580" s="1" t="n">
        <v>45964</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787-2024</t>
        </is>
      </c>
      <c r="B581" s="1" t="n">
        <v>45300</v>
      </c>
      <c r="C581" s="1" t="n">
        <v>45964</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11103-2025</t>
        </is>
      </c>
      <c r="B582" s="1" t="n">
        <v>45723</v>
      </c>
      <c r="C582" s="1" t="n">
        <v>45964</v>
      </c>
      <c r="D582" t="inlineStr">
        <is>
          <t>UPPSALA LÄN</t>
        </is>
      </c>
      <c r="E582" t="inlineStr">
        <is>
          <t>UPPSALA</t>
        </is>
      </c>
      <c r="G582" t="n">
        <v>7.9</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44533.46665509259</v>
      </c>
      <c r="C583" s="1" t="n">
        <v>45964</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6549-2025</t>
        </is>
      </c>
      <c r="B584" s="1" t="n">
        <v>45699</v>
      </c>
      <c r="C584" s="1" t="n">
        <v>45964</v>
      </c>
      <c r="D584" t="inlineStr">
        <is>
          <t>UPPSALA LÄN</t>
        </is>
      </c>
      <c r="E584" t="inlineStr">
        <is>
          <t>UPPSALA</t>
        </is>
      </c>
      <c r="G584" t="n">
        <v>2.4</v>
      </c>
      <c r="H584" t="n">
        <v>0</v>
      </c>
      <c r="I584" t="n">
        <v>0</v>
      </c>
      <c r="J584" t="n">
        <v>0</v>
      </c>
      <c r="K584" t="n">
        <v>0</v>
      </c>
      <c r="L584" t="n">
        <v>0</v>
      </c>
      <c r="M584" t="n">
        <v>0</v>
      </c>
      <c r="N584" t="n">
        <v>0</v>
      </c>
      <c r="O584" t="n">
        <v>0</v>
      </c>
      <c r="P584" t="n">
        <v>0</v>
      </c>
      <c r="Q584" t="n">
        <v>0</v>
      </c>
      <c r="R584" s="2" t="inlineStr"/>
    </row>
    <row r="585" ht="15" customHeight="1">
      <c r="A585" t="inlineStr">
        <is>
          <t>A 26130-2025</t>
        </is>
      </c>
      <c r="B585" s="1" t="n">
        <v>45805.4094675926</v>
      </c>
      <c r="C585" s="1" t="n">
        <v>45964</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6999-2023</t>
        </is>
      </c>
      <c r="B586" s="1" t="n">
        <v>44967.80034722222</v>
      </c>
      <c r="C586" s="1" t="n">
        <v>45964</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7002-2023</t>
        </is>
      </c>
      <c r="B587" s="1" t="n">
        <v>44967</v>
      </c>
      <c r="C587" s="1" t="n">
        <v>45964</v>
      </c>
      <c r="D587" t="inlineStr">
        <is>
          <t>UPPSALA LÄN</t>
        </is>
      </c>
      <c r="E587" t="inlineStr">
        <is>
          <t>UPPSALA</t>
        </is>
      </c>
      <c r="G587" t="n">
        <v>5</v>
      </c>
      <c r="H587" t="n">
        <v>0</v>
      </c>
      <c r="I587" t="n">
        <v>0</v>
      </c>
      <c r="J587" t="n">
        <v>0</v>
      </c>
      <c r="K587" t="n">
        <v>0</v>
      </c>
      <c r="L587" t="n">
        <v>0</v>
      </c>
      <c r="M587" t="n">
        <v>0</v>
      </c>
      <c r="N587" t="n">
        <v>0</v>
      </c>
      <c r="O587" t="n">
        <v>0</v>
      </c>
      <c r="P587" t="n">
        <v>0</v>
      </c>
      <c r="Q587" t="n">
        <v>0</v>
      </c>
      <c r="R587" s="2" t="inlineStr"/>
    </row>
    <row r="588" ht="15" customHeight="1">
      <c r="A588" t="inlineStr">
        <is>
          <t>A 265-2021</t>
        </is>
      </c>
      <c r="B588" s="1" t="n">
        <v>44200</v>
      </c>
      <c r="C588" s="1" t="n">
        <v>45964</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26139-2025</t>
        </is>
      </c>
      <c r="B589" s="1" t="n">
        <v>45805.41813657407</v>
      </c>
      <c r="C589" s="1" t="n">
        <v>45964</v>
      </c>
      <c r="D589" t="inlineStr">
        <is>
          <t>UPPSALA LÄN</t>
        </is>
      </c>
      <c r="E589" t="inlineStr">
        <is>
          <t>UPPSALA</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26141-2025</t>
        </is>
      </c>
      <c r="B590" s="1" t="n">
        <v>45805.4255787037</v>
      </c>
      <c r="C590" s="1" t="n">
        <v>45964</v>
      </c>
      <c r="D590" t="inlineStr">
        <is>
          <t>UPPSALA LÄN</t>
        </is>
      </c>
      <c r="E590" t="inlineStr">
        <is>
          <t>UPPSALA</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38493-2023</t>
        </is>
      </c>
      <c r="B591" s="1" t="n">
        <v>45162</v>
      </c>
      <c r="C591" s="1" t="n">
        <v>45964</v>
      </c>
      <c r="D591" t="inlineStr">
        <is>
          <t>UPPSALA LÄN</t>
        </is>
      </c>
      <c r="E591" t="inlineStr">
        <is>
          <t>UPPSALA</t>
        </is>
      </c>
      <c r="F591" t="inlineStr">
        <is>
          <t>Allmännings- och besparingsskogar</t>
        </is>
      </c>
      <c r="G591" t="n">
        <v>3.5</v>
      </c>
      <c r="H591" t="n">
        <v>0</v>
      </c>
      <c r="I591" t="n">
        <v>0</v>
      </c>
      <c r="J591" t="n">
        <v>0</v>
      </c>
      <c r="K591" t="n">
        <v>0</v>
      </c>
      <c r="L591" t="n">
        <v>0</v>
      </c>
      <c r="M591" t="n">
        <v>0</v>
      </c>
      <c r="N591" t="n">
        <v>0</v>
      </c>
      <c r="O591" t="n">
        <v>0</v>
      </c>
      <c r="P591" t="n">
        <v>0</v>
      </c>
      <c r="Q591" t="n">
        <v>0</v>
      </c>
      <c r="R591" s="2" t="inlineStr"/>
    </row>
    <row r="592" ht="15" customHeight="1">
      <c r="A592" t="inlineStr">
        <is>
          <t>A 26155-2025</t>
        </is>
      </c>
      <c r="B592" s="1" t="n">
        <v>45805.43402777778</v>
      </c>
      <c r="C592" s="1" t="n">
        <v>45964</v>
      </c>
      <c r="D592" t="inlineStr">
        <is>
          <t>UPPSALA LÄN</t>
        </is>
      </c>
      <c r="E592" t="inlineStr">
        <is>
          <t>UPPSALA</t>
        </is>
      </c>
      <c r="F592" t="inlineStr">
        <is>
          <t>Holmen skog AB</t>
        </is>
      </c>
      <c r="G592" t="n">
        <v>1.4</v>
      </c>
      <c r="H592" t="n">
        <v>0</v>
      </c>
      <c r="I592" t="n">
        <v>0</v>
      </c>
      <c r="J592" t="n">
        <v>0</v>
      </c>
      <c r="K592" t="n">
        <v>0</v>
      </c>
      <c r="L592" t="n">
        <v>0</v>
      </c>
      <c r="M592" t="n">
        <v>0</v>
      </c>
      <c r="N592" t="n">
        <v>0</v>
      </c>
      <c r="O592" t="n">
        <v>0</v>
      </c>
      <c r="P592" t="n">
        <v>0</v>
      </c>
      <c r="Q592" t="n">
        <v>0</v>
      </c>
      <c r="R592" s="2" t="inlineStr"/>
    </row>
    <row r="593" ht="15" customHeight="1">
      <c r="A593" t="inlineStr">
        <is>
          <t>A 36782-2023</t>
        </is>
      </c>
      <c r="B593" s="1" t="n">
        <v>45154.35092592592</v>
      </c>
      <c r="C593" s="1" t="n">
        <v>45964</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6970-2025</t>
        </is>
      </c>
      <c r="B594" s="1" t="n">
        <v>45693</v>
      </c>
      <c r="C594" s="1" t="n">
        <v>45964</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26131-2025</t>
        </is>
      </c>
      <c r="B595" s="1" t="n">
        <v>45805.41010416667</v>
      </c>
      <c r="C595" s="1" t="n">
        <v>45964</v>
      </c>
      <c r="D595" t="inlineStr">
        <is>
          <t>UPPSALA LÄN</t>
        </is>
      </c>
      <c r="E595" t="inlineStr">
        <is>
          <t>UPPSALA</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57871-2024</t>
        </is>
      </c>
      <c r="B596" s="1" t="n">
        <v>45631.44464120371</v>
      </c>
      <c r="C596" s="1" t="n">
        <v>45964</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5068-2025</t>
        </is>
      </c>
      <c r="B597" s="1" t="n">
        <v>45691</v>
      </c>
      <c r="C597" s="1" t="n">
        <v>45964</v>
      </c>
      <c r="D597" t="inlineStr">
        <is>
          <t>UPPSALA LÄN</t>
        </is>
      </c>
      <c r="E597" t="inlineStr">
        <is>
          <t>UPPSALA</t>
        </is>
      </c>
      <c r="G597" t="n">
        <v>5.9</v>
      </c>
      <c r="H597" t="n">
        <v>0</v>
      </c>
      <c r="I597" t="n">
        <v>0</v>
      </c>
      <c r="J597" t="n">
        <v>0</v>
      </c>
      <c r="K597" t="n">
        <v>0</v>
      </c>
      <c r="L597" t="n">
        <v>0</v>
      </c>
      <c r="M597" t="n">
        <v>0</v>
      </c>
      <c r="N597" t="n">
        <v>0</v>
      </c>
      <c r="O597" t="n">
        <v>0</v>
      </c>
      <c r="P597" t="n">
        <v>0</v>
      </c>
      <c r="Q597" t="n">
        <v>0</v>
      </c>
      <c r="R597" s="2" t="inlineStr"/>
    </row>
    <row r="598" ht="15" customHeight="1">
      <c r="A598" t="inlineStr">
        <is>
          <t>A 46635-2022</t>
        </is>
      </c>
      <c r="B598" s="1" t="n">
        <v>44849</v>
      </c>
      <c r="C598" s="1" t="n">
        <v>45964</v>
      </c>
      <c r="D598" t="inlineStr">
        <is>
          <t>UPPSALA LÄN</t>
        </is>
      </c>
      <c r="E598" t="inlineStr">
        <is>
          <t>UPPSALA</t>
        </is>
      </c>
      <c r="G598" t="n">
        <v>3.4</v>
      </c>
      <c r="H598" t="n">
        <v>0</v>
      </c>
      <c r="I598" t="n">
        <v>0</v>
      </c>
      <c r="J598" t="n">
        <v>0</v>
      </c>
      <c r="K598" t="n">
        <v>0</v>
      </c>
      <c r="L598" t="n">
        <v>0</v>
      </c>
      <c r="M598" t="n">
        <v>0</v>
      </c>
      <c r="N598" t="n">
        <v>0</v>
      </c>
      <c r="O598" t="n">
        <v>0</v>
      </c>
      <c r="P598" t="n">
        <v>0</v>
      </c>
      <c r="Q598" t="n">
        <v>0</v>
      </c>
      <c r="R598" s="2" t="inlineStr"/>
    </row>
    <row r="599" ht="15" customHeight="1">
      <c r="A599" t="inlineStr">
        <is>
          <t>A 62471-2021</t>
        </is>
      </c>
      <c r="B599" s="1" t="n">
        <v>44503</v>
      </c>
      <c r="C599" s="1" t="n">
        <v>45964</v>
      </c>
      <c r="D599" t="inlineStr">
        <is>
          <t>UPPSALA LÄN</t>
        </is>
      </c>
      <c r="E599" t="inlineStr">
        <is>
          <t>UPPSALA</t>
        </is>
      </c>
      <c r="G599" t="n">
        <v>2</v>
      </c>
      <c r="H599" t="n">
        <v>0</v>
      </c>
      <c r="I599" t="n">
        <v>0</v>
      </c>
      <c r="J599" t="n">
        <v>0</v>
      </c>
      <c r="K599" t="n">
        <v>0</v>
      </c>
      <c r="L599" t="n">
        <v>0</v>
      </c>
      <c r="M599" t="n">
        <v>0</v>
      </c>
      <c r="N599" t="n">
        <v>0</v>
      </c>
      <c r="O599" t="n">
        <v>0</v>
      </c>
      <c r="P599" t="n">
        <v>0</v>
      </c>
      <c r="Q599" t="n">
        <v>0</v>
      </c>
      <c r="R599" s="2" t="inlineStr"/>
    </row>
    <row r="600" ht="15" customHeight="1">
      <c r="A600" t="inlineStr">
        <is>
          <t>A 2897-2025</t>
        </is>
      </c>
      <c r="B600" s="1" t="n">
        <v>45677</v>
      </c>
      <c r="C600" s="1" t="n">
        <v>45964</v>
      </c>
      <c r="D600" t="inlineStr">
        <is>
          <t>UPPSALA LÄN</t>
        </is>
      </c>
      <c r="E600" t="inlineStr">
        <is>
          <t>UPPSALA</t>
        </is>
      </c>
      <c r="G600" t="n">
        <v>2.7</v>
      </c>
      <c r="H600" t="n">
        <v>0</v>
      </c>
      <c r="I600" t="n">
        <v>0</v>
      </c>
      <c r="J600" t="n">
        <v>0</v>
      </c>
      <c r="K600" t="n">
        <v>0</v>
      </c>
      <c r="L600" t="n">
        <v>0</v>
      </c>
      <c r="M600" t="n">
        <v>0</v>
      </c>
      <c r="N600" t="n">
        <v>0</v>
      </c>
      <c r="O600" t="n">
        <v>0</v>
      </c>
      <c r="P600" t="n">
        <v>0</v>
      </c>
      <c r="Q600" t="n">
        <v>0</v>
      </c>
      <c r="R600" s="2" t="inlineStr"/>
    </row>
    <row r="601" ht="15" customHeight="1">
      <c r="A601" t="inlineStr">
        <is>
          <t>A 17593-2025</t>
        </is>
      </c>
      <c r="B601" s="1" t="n">
        <v>45757.6997337963</v>
      </c>
      <c r="C601" s="1" t="n">
        <v>45964</v>
      </c>
      <c r="D601" t="inlineStr">
        <is>
          <t>UPPSALA LÄN</t>
        </is>
      </c>
      <c r="E601" t="inlineStr">
        <is>
          <t>UPPSALA</t>
        </is>
      </c>
      <c r="G601" t="n">
        <v>3.6</v>
      </c>
      <c r="H601" t="n">
        <v>0</v>
      </c>
      <c r="I601" t="n">
        <v>0</v>
      </c>
      <c r="J601" t="n">
        <v>0</v>
      </c>
      <c r="K601" t="n">
        <v>0</v>
      </c>
      <c r="L601" t="n">
        <v>0</v>
      </c>
      <c r="M601" t="n">
        <v>0</v>
      </c>
      <c r="N601" t="n">
        <v>0</v>
      </c>
      <c r="O601" t="n">
        <v>0</v>
      </c>
      <c r="P601" t="n">
        <v>0</v>
      </c>
      <c r="Q601" t="n">
        <v>0</v>
      </c>
      <c r="R601" s="2" t="inlineStr"/>
    </row>
    <row r="602" ht="15" customHeight="1">
      <c r="A602" t="inlineStr">
        <is>
          <t>A 17596-2025</t>
        </is>
      </c>
      <c r="B602" s="1" t="n">
        <v>45757</v>
      </c>
      <c r="C602" s="1" t="n">
        <v>45964</v>
      </c>
      <c r="D602" t="inlineStr">
        <is>
          <t>UPPSALA LÄN</t>
        </is>
      </c>
      <c r="E602" t="inlineStr">
        <is>
          <t>UPPSALA</t>
        </is>
      </c>
      <c r="G602" t="n">
        <v>4.8</v>
      </c>
      <c r="H602" t="n">
        <v>0</v>
      </c>
      <c r="I602" t="n">
        <v>0</v>
      </c>
      <c r="J602" t="n">
        <v>0</v>
      </c>
      <c r="K602" t="n">
        <v>0</v>
      </c>
      <c r="L602" t="n">
        <v>0</v>
      </c>
      <c r="M602" t="n">
        <v>0</v>
      </c>
      <c r="N602" t="n">
        <v>0</v>
      </c>
      <c r="O602" t="n">
        <v>0</v>
      </c>
      <c r="P602" t="n">
        <v>0</v>
      </c>
      <c r="Q602" t="n">
        <v>0</v>
      </c>
      <c r="R602" s="2" t="inlineStr"/>
    </row>
    <row r="603" ht="15" customHeight="1">
      <c r="A603" t="inlineStr">
        <is>
          <t>A 54512-2024</t>
        </is>
      </c>
      <c r="B603" s="1" t="n">
        <v>45617.59006944444</v>
      </c>
      <c r="C603" s="1" t="n">
        <v>45964</v>
      </c>
      <c r="D603" t="inlineStr">
        <is>
          <t>UPPSALA LÄN</t>
        </is>
      </c>
      <c r="E603" t="inlineStr">
        <is>
          <t>UPPSALA</t>
        </is>
      </c>
      <c r="G603" t="n">
        <v>3.2</v>
      </c>
      <c r="H603" t="n">
        <v>0</v>
      </c>
      <c r="I603" t="n">
        <v>0</v>
      </c>
      <c r="J603" t="n">
        <v>0</v>
      </c>
      <c r="K603" t="n">
        <v>0</v>
      </c>
      <c r="L603" t="n">
        <v>0</v>
      </c>
      <c r="M603" t="n">
        <v>0</v>
      </c>
      <c r="N603" t="n">
        <v>0</v>
      </c>
      <c r="O603" t="n">
        <v>0</v>
      </c>
      <c r="P603" t="n">
        <v>0</v>
      </c>
      <c r="Q603" t="n">
        <v>0</v>
      </c>
      <c r="R603" s="2" t="inlineStr"/>
    </row>
    <row r="604" ht="15" customHeight="1">
      <c r="A604" t="inlineStr">
        <is>
          <t>A 12606-2023</t>
        </is>
      </c>
      <c r="B604" s="1" t="n">
        <v>45000.44666666666</v>
      </c>
      <c r="C604" s="1" t="n">
        <v>45964</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6602-2023</t>
        </is>
      </c>
      <c r="B605" s="1" t="n">
        <v>44966</v>
      </c>
      <c r="C605" s="1" t="n">
        <v>45964</v>
      </c>
      <c r="D605" t="inlineStr">
        <is>
          <t>UPPSALA LÄN</t>
        </is>
      </c>
      <c r="E605" t="inlineStr">
        <is>
          <t>UPPSALA</t>
        </is>
      </c>
      <c r="F605" t="inlineStr">
        <is>
          <t>Allmännings- och besparingsskogar</t>
        </is>
      </c>
      <c r="G605" t="n">
        <v>20.2</v>
      </c>
      <c r="H605" t="n">
        <v>0</v>
      </c>
      <c r="I605" t="n">
        <v>0</v>
      </c>
      <c r="J605" t="n">
        <v>0</v>
      </c>
      <c r="K605" t="n">
        <v>0</v>
      </c>
      <c r="L605" t="n">
        <v>0</v>
      </c>
      <c r="M605" t="n">
        <v>0</v>
      </c>
      <c r="N605" t="n">
        <v>0</v>
      </c>
      <c r="O605" t="n">
        <v>0</v>
      </c>
      <c r="P605" t="n">
        <v>0</v>
      </c>
      <c r="Q605" t="n">
        <v>0</v>
      </c>
      <c r="R605" s="2" t="inlineStr"/>
    </row>
    <row r="606" ht="15" customHeight="1">
      <c r="A606" t="inlineStr">
        <is>
          <t>A 26740-2025</t>
        </is>
      </c>
      <c r="B606" s="1" t="n">
        <v>45809</v>
      </c>
      <c r="C606" s="1" t="n">
        <v>45964</v>
      </c>
      <c r="D606" t="inlineStr">
        <is>
          <t>UPPSALA LÄN</t>
        </is>
      </c>
      <c r="E606" t="inlineStr">
        <is>
          <t>UPPSALA</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49996-2023</t>
        </is>
      </c>
      <c r="B607" s="1" t="n">
        <v>45215.44233796297</v>
      </c>
      <c r="C607" s="1" t="n">
        <v>45964</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26697-2025</t>
        </is>
      </c>
      <c r="B608" s="1" t="n">
        <v>45810.44339120371</v>
      </c>
      <c r="C608" s="1" t="n">
        <v>45964</v>
      </c>
      <c r="D608" t="inlineStr">
        <is>
          <t>UPPSALA LÄN</t>
        </is>
      </c>
      <c r="E608" t="inlineStr">
        <is>
          <t>UPPSALA</t>
        </is>
      </c>
      <c r="F608" t="inlineStr">
        <is>
          <t>Bergvik skog öst AB</t>
        </is>
      </c>
      <c r="G608" t="n">
        <v>2.8</v>
      </c>
      <c r="H608" t="n">
        <v>0</v>
      </c>
      <c r="I608" t="n">
        <v>0</v>
      </c>
      <c r="J608" t="n">
        <v>0</v>
      </c>
      <c r="K608" t="n">
        <v>0</v>
      </c>
      <c r="L608" t="n">
        <v>0</v>
      </c>
      <c r="M608" t="n">
        <v>0</v>
      </c>
      <c r="N608" t="n">
        <v>0</v>
      </c>
      <c r="O608" t="n">
        <v>0</v>
      </c>
      <c r="P608" t="n">
        <v>0</v>
      </c>
      <c r="Q608" t="n">
        <v>0</v>
      </c>
      <c r="R608" s="2" t="inlineStr"/>
    </row>
    <row r="609" ht="15" customHeight="1">
      <c r="A609" t="inlineStr">
        <is>
          <t>A 26713-2025</t>
        </is>
      </c>
      <c r="B609" s="1" t="n">
        <v>45809</v>
      </c>
      <c r="C609" s="1" t="n">
        <v>45964</v>
      </c>
      <c r="D609" t="inlineStr">
        <is>
          <t>UPPSALA LÄN</t>
        </is>
      </c>
      <c r="E609" t="inlineStr">
        <is>
          <t>UPPSALA</t>
        </is>
      </c>
      <c r="G609" t="n">
        <v>3.8</v>
      </c>
      <c r="H609" t="n">
        <v>0</v>
      </c>
      <c r="I609" t="n">
        <v>0</v>
      </c>
      <c r="J609" t="n">
        <v>0</v>
      </c>
      <c r="K609" t="n">
        <v>0</v>
      </c>
      <c r="L609" t="n">
        <v>0</v>
      </c>
      <c r="M609" t="n">
        <v>0</v>
      </c>
      <c r="N609" t="n">
        <v>0</v>
      </c>
      <c r="O609" t="n">
        <v>0</v>
      </c>
      <c r="P609" t="n">
        <v>0</v>
      </c>
      <c r="Q609" t="n">
        <v>0</v>
      </c>
      <c r="R609" s="2" t="inlineStr"/>
    </row>
    <row r="610" ht="15" customHeight="1">
      <c r="A610" t="inlineStr">
        <is>
          <t>A 8473-2023</t>
        </is>
      </c>
      <c r="B610" s="1" t="n">
        <v>44977</v>
      </c>
      <c r="C610" s="1" t="n">
        <v>45964</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44115-2023</t>
        </is>
      </c>
      <c r="B611" s="1" t="n">
        <v>45188</v>
      </c>
      <c r="C611" s="1" t="n">
        <v>45964</v>
      </c>
      <c r="D611" t="inlineStr">
        <is>
          <t>UPPSALA LÄN</t>
        </is>
      </c>
      <c r="E611" t="inlineStr">
        <is>
          <t>UPPSALA</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42063-2023</t>
        </is>
      </c>
      <c r="B612" s="1" t="n">
        <v>45177.56940972222</v>
      </c>
      <c r="C612" s="1" t="n">
        <v>45964</v>
      </c>
      <c r="D612" t="inlineStr">
        <is>
          <t>UPPSALA LÄN</t>
        </is>
      </c>
      <c r="E612" t="inlineStr">
        <is>
          <t>UPPSALA</t>
        </is>
      </c>
      <c r="G612" t="n">
        <v>5.6</v>
      </c>
      <c r="H612" t="n">
        <v>0</v>
      </c>
      <c r="I612" t="n">
        <v>0</v>
      </c>
      <c r="J612" t="n">
        <v>0</v>
      </c>
      <c r="K612" t="n">
        <v>0</v>
      </c>
      <c r="L612" t="n">
        <v>0</v>
      </c>
      <c r="M612" t="n">
        <v>0</v>
      </c>
      <c r="N612" t="n">
        <v>0</v>
      </c>
      <c r="O612" t="n">
        <v>0</v>
      </c>
      <c r="P612" t="n">
        <v>0</v>
      </c>
      <c r="Q612" t="n">
        <v>0</v>
      </c>
      <c r="R612" s="2" t="inlineStr"/>
    </row>
    <row r="613" ht="15" customHeight="1">
      <c r="A613" t="inlineStr">
        <is>
          <t>A 74493-2021</t>
        </is>
      </c>
      <c r="B613" s="1" t="n">
        <v>44560</v>
      </c>
      <c r="C613" s="1" t="n">
        <v>45964</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17481-2023</t>
        </is>
      </c>
      <c r="B614" s="1" t="n">
        <v>45036</v>
      </c>
      <c r="C614" s="1" t="n">
        <v>45964</v>
      </c>
      <c r="D614" t="inlineStr">
        <is>
          <t>UPPSALA LÄN</t>
        </is>
      </c>
      <c r="E614" t="inlineStr">
        <is>
          <t>UPPSALA</t>
        </is>
      </c>
      <c r="G614" t="n">
        <v>1.9</v>
      </c>
      <c r="H614" t="n">
        <v>0</v>
      </c>
      <c r="I614" t="n">
        <v>0</v>
      </c>
      <c r="J614" t="n">
        <v>0</v>
      </c>
      <c r="K614" t="n">
        <v>0</v>
      </c>
      <c r="L614" t="n">
        <v>0</v>
      </c>
      <c r="M614" t="n">
        <v>0</v>
      </c>
      <c r="N614" t="n">
        <v>0</v>
      </c>
      <c r="O614" t="n">
        <v>0</v>
      </c>
      <c r="P614" t="n">
        <v>0</v>
      </c>
      <c r="Q614" t="n">
        <v>0</v>
      </c>
      <c r="R614" s="2" t="inlineStr"/>
    </row>
    <row r="615" ht="15" customHeight="1">
      <c r="A615" t="inlineStr">
        <is>
          <t>A 23494-2024</t>
        </is>
      </c>
      <c r="B615" s="1" t="n">
        <v>45453.69339120371</v>
      </c>
      <c r="C615" s="1" t="n">
        <v>45964</v>
      </c>
      <c r="D615" t="inlineStr">
        <is>
          <t>UPPSALA LÄN</t>
        </is>
      </c>
      <c r="E615" t="inlineStr">
        <is>
          <t>UPPSALA</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32127-2024</t>
        </is>
      </c>
      <c r="B616" s="1" t="n">
        <v>45511</v>
      </c>
      <c r="C616" s="1" t="n">
        <v>45964</v>
      </c>
      <c r="D616" t="inlineStr">
        <is>
          <t>UPPSALA LÄN</t>
        </is>
      </c>
      <c r="E616" t="inlineStr">
        <is>
          <t>UPPSALA</t>
        </is>
      </c>
      <c r="G616" t="n">
        <v>3.7</v>
      </c>
      <c r="H616" t="n">
        <v>0</v>
      </c>
      <c r="I616" t="n">
        <v>0</v>
      </c>
      <c r="J616" t="n">
        <v>0</v>
      </c>
      <c r="K616" t="n">
        <v>0</v>
      </c>
      <c r="L616" t="n">
        <v>0</v>
      </c>
      <c r="M616" t="n">
        <v>0</v>
      </c>
      <c r="N616" t="n">
        <v>0</v>
      </c>
      <c r="O616" t="n">
        <v>0</v>
      </c>
      <c r="P616" t="n">
        <v>0</v>
      </c>
      <c r="Q616" t="n">
        <v>0</v>
      </c>
      <c r="R616" s="2" t="inlineStr"/>
    </row>
    <row r="617" ht="15" customHeight="1">
      <c r="A617" t="inlineStr">
        <is>
          <t>A 26696-2025</t>
        </is>
      </c>
      <c r="B617" s="1" t="n">
        <v>45810.44299768518</v>
      </c>
      <c r="C617" s="1" t="n">
        <v>45964</v>
      </c>
      <c r="D617" t="inlineStr">
        <is>
          <t>UPPSALA LÄN</t>
        </is>
      </c>
      <c r="E617" t="inlineStr">
        <is>
          <t>UPPSALA</t>
        </is>
      </c>
      <c r="F617" t="inlineStr">
        <is>
          <t>Bergvik skog öst AB</t>
        </is>
      </c>
      <c r="G617" t="n">
        <v>7.1</v>
      </c>
      <c r="H617" t="n">
        <v>0</v>
      </c>
      <c r="I617" t="n">
        <v>0</v>
      </c>
      <c r="J617" t="n">
        <v>0</v>
      </c>
      <c r="K617" t="n">
        <v>0</v>
      </c>
      <c r="L617" t="n">
        <v>0</v>
      </c>
      <c r="M617" t="n">
        <v>0</v>
      </c>
      <c r="N617" t="n">
        <v>0</v>
      </c>
      <c r="O617" t="n">
        <v>0</v>
      </c>
      <c r="P617" t="n">
        <v>0</v>
      </c>
      <c r="Q617" t="n">
        <v>0</v>
      </c>
      <c r="R617" s="2" t="inlineStr"/>
    </row>
    <row r="618" ht="15" customHeight="1">
      <c r="A618" t="inlineStr">
        <is>
          <t>A 2695-2025</t>
        </is>
      </c>
      <c r="B618" s="1" t="n">
        <v>45677.39440972222</v>
      </c>
      <c r="C618" s="1" t="n">
        <v>45964</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16615-2021</t>
        </is>
      </c>
      <c r="B619" s="1" t="n">
        <v>44294.37555555555</v>
      </c>
      <c r="C619" s="1" t="n">
        <v>45964</v>
      </c>
      <c r="D619" t="inlineStr">
        <is>
          <t>UPPSALA LÄN</t>
        </is>
      </c>
      <c r="E619" t="inlineStr">
        <is>
          <t>UPPSALA</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15629-2023</t>
        </is>
      </c>
      <c r="B620" s="1" t="n">
        <v>45021.29524305555</v>
      </c>
      <c r="C620" s="1" t="n">
        <v>45964</v>
      </c>
      <c r="D620" t="inlineStr">
        <is>
          <t>UPPSALA LÄN</t>
        </is>
      </c>
      <c r="E620" t="inlineStr">
        <is>
          <t>UPPSALA</t>
        </is>
      </c>
      <c r="F620" t="inlineStr">
        <is>
          <t>Övriga Aktiebolag</t>
        </is>
      </c>
      <c r="G620" t="n">
        <v>7</v>
      </c>
      <c r="H620" t="n">
        <v>0</v>
      </c>
      <c r="I620" t="n">
        <v>0</v>
      </c>
      <c r="J620" t="n">
        <v>0</v>
      </c>
      <c r="K620" t="n">
        <v>0</v>
      </c>
      <c r="L620" t="n">
        <v>0</v>
      </c>
      <c r="M620" t="n">
        <v>0</v>
      </c>
      <c r="N620" t="n">
        <v>0</v>
      </c>
      <c r="O620" t="n">
        <v>0</v>
      </c>
      <c r="P620" t="n">
        <v>0</v>
      </c>
      <c r="Q620" t="n">
        <v>0</v>
      </c>
      <c r="R620" s="2" t="inlineStr"/>
    </row>
    <row r="621" ht="15" customHeight="1">
      <c r="A621" t="inlineStr">
        <is>
          <t>A 20497-2022</t>
        </is>
      </c>
      <c r="B621" s="1" t="n">
        <v>44699</v>
      </c>
      <c r="C621" s="1" t="n">
        <v>45964</v>
      </c>
      <c r="D621" t="inlineStr">
        <is>
          <t>UPPSALA LÄN</t>
        </is>
      </c>
      <c r="E621" t="inlineStr">
        <is>
          <t>UPPSALA</t>
        </is>
      </c>
      <c r="F621" t="inlineStr">
        <is>
          <t>Övriga statliga verk och myndigheter</t>
        </is>
      </c>
      <c r="G621" t="n">
        <v>1</v>
      </c>
      <c r="H621" t="n">
        <v>0</v>
      </c>
      <c r="I621" t="n">
        <v>0</v>
      </c>
      <c r="J621" t="n">
        <v>0</v>
      </c>
      <c r="K621" t="n">
        <v>0</v>
      </c>
      <c r="L621" t="n">
        <v>0</v>
      </c>
      <c r="M621" t="n">
        <v>0</v>
      </c>
      <c r="N621" t="n">
        <v>0</v>
      </c>
      <c r="O621" t="n">
        <v>0</v>
      </c>
      <c r="P621" t="n">
        <v>0</v>
      </c>
      <c r="Q621" t="n">
        <v>0</v>
      </c>
      <c r="R621" s="2" t="inlineStr"/>
    </row>
    <row r="622" ht="15" customHeight="1">
      <c r="A622" t="inlineStr">
        <is>
          <t>A 27265-2025</t>
        </is>
      </c>
      <c r="B622" s="1" t="n">
        <v>45812.48032407407</v>
      </c>
      <c r="C622" s="1" t="n">
        <v>45964</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11739-2023</t>
        </is>
      </c>
      <c r="B623" s="1" t="n">
        <v>44993</v>
      </c>
      <c r="C623" s="1" t="n">
        <v>45964</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27538-2025</t>
        </is>
      </c>
      <c r="B624" s="1" t="n">
        <v>45813.46034722222</v>
      </c>
      <c r="C624" s="1" t="n">
        <v>45964</v>
      </c>
      <c r="D624" t="inlineStr">
        <is>
          <t>UPPSALA LÄN</t>
        </is>
      </c>
      <c r="E624" t="inlineStr">
        <is>
          <t>UPPSALA</t>
        </is>
      </c>
      <c r="G624" t="n">
        <v>3.1</v>
      </c>
      <c r="H624" t="n">
        <v>0</v>
      </c>
      <c r="I624" t="n">
        <v>0</v>
      </c>
      <c r="J624" t="n">
        <v>0</v>
      </c>
      <c r="K624" t="n">
        <v>0</v>
      </c>
      <c r="L624" t="n">
        <v>0</v>
      </c>
      <c r="M624" t="n">
        <v>0</v>
      </c>
      <c r="N624" t="n">
        <v>0</v>
      </c>
      <c r="O624" t="n">
        <v>0</v>
      </c>
      <c r="P624" t="n">
        <v>0</v>
      </c>
      <c r="Q624" t="n">
        <v>0</v>
      </c>
      <c r="R624" s="2" t="inlineStr"/>
    </row>
    <row r="625" ht="15" customHeight="1">
      <c r="A625" t="inlineStr">
        <is>
          <t>A 44080-2023</t>
        </is>
      </c>
      <c r="B625" s="1" t="n">
        <v>45188.42052083334</v>
      </c>
      <c r="C625" s="1" t="n">
        <v>45964</v>
      </c>
      <c r="D625" t="inlineStr">
        <is>
          <t>UPPSALA LÄN</t>
        </is>
      </c>
      <c r="E625" t="inlineStr">
        <is>
          <t>UPPSALA</t>
        </is>
      </c>
      <c r="G625" t="n">
        <v>13.3</v>
      </c>
      <c r="H625" t="n">
        <v>0</v>
      </c>
      <c r="I625" t="n">
        <v>0</v>
      </c>
      <c r="J625" t="n">
        <v>0</v>
      </c>
      <c r="K625" t="n">
        <v>0</v>
      </c>
      <c r="L625" t="n">
        <v>0</v>
      </c>
      <c r="M625" t="n">
        <v>0</v>
      </c>
      <c r="N625" t="n">
        <v>0</v>
      </c>
      <c r="O625" t="n">
        <v>0</v>
      </c>
      <c r="P625" t="n">
        <v>0</v>
      </c>
      <c r="Q625" t="n">
        <v>0</v>
      </c>
      <c r="R625" s="2" t="inlineStr"/>
    </row>
    <row r="626" ht="15" customHeight="1">
      <c r="A626" t="inlineStr">
        <is>
          <t>A 10490-2025</t>
        </is>
      </c>
      <c r="B626" s="1" t="n">
        <v>45721.35173611111</v>
      </c>
      <c r="C626" s="1" t="n">
        <v>45964</v>
      </c>
      <c r="D626" t="inlineStr">
        <is>
          <t>UPPSALA LÄN</t>
        </is>
      </c>
      <c r="E626" t="inlineStr">
        <is>
          <t>UPPSALA</t>
        </is>
      </c>
      <c r="G626" t="n">
        <v>1.8</v>
      </c>
      <c r="H626" t="n">
        <v>0</v>
      </c>
      <c r="I626" t="n">
        <v>0</v>
      </c>
      <c r="J626" t="n">
        <v>0</v>
      </c>
      <c r="K626" t="n">
        <v>0</v>
      </c>
      <c r="L626" t="n">
        <v>0</v>
      </c>
      <c r="M626" t="n">
        <v>0</v>
      </c>
      <c r="N626" t="n">
        <v>0</v>
      </c>
      <c r="O626" t="n">
        <v>0</v>
      </c>
      <c r="P626" t="n">
        <v>0</v>
      </c>
      <c r="Q626" t="n">
        <v>0</v>
      </c>
      <c r="R626" s="2" t="inlineStr"/>
    </row>
    <row r="627" ht="15" customHeight="1">
      <c r="A627" t="inlineStr">
        <is>
          <t>A 55021-2022</t>
        </is>
      </c>
      <c r="B627" s="1" t="n">
        <v>44886</v>
      </c>
      <c r="C627" s="1" t="n">
        <v>45964</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65659-2021</t>
        </is>
      </c>
      <c r="B628" s="1" t="n">
        <v>44516</v>
      </c>
      <c r="C628" s="1" t="n">
        <v>45964</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21935-2023</t>
        </is>
      </c>
      <c r="B629" s="1" t="n">
        <v>45068.58563657408</v>
      </c>
      <c r="C629" s="1" t="n">
        <v>45964</v>
      </c>
      <c r="D629" t="inlineStr">
        <is>
          <t>UPPSALA LÄN</t>
        </is>
      </c>
      <c r="E629" t="inlineStr">
        <is>
          <t>UPPSALA</t>
        </is>
      </c>
      <c r="G629" t="n">
        <v>2.6</v>
      </c>
      <c r="H629" t="n">
        <v>0</v>
      </c>
      <c r="I629" t="n">
        <v>0</v>
      </c>
      <c r="J629" t="n">
        <v>0</v>
      </c>
      <c r="K629" t="n">
        <v>0</v>
      </c>
      <c r="L629" t="n">
        <v>0</v>
      </c>
      <c r="M629" t="n">
        <v>0</v>
      </c>
      <c r="N629" t="n">
        <v>0</v>
      </c>
      <c r="O629" t="n">
        <v>0</v>
      </c>
      <c r="P629" t="n">
        <v>0</v>
      </c>
      <c r="Q629" t="n">
        <v>0</v>
      </c>
      <c r="R629" s="2" t="inlineStr"/>
    </row>
    <row r="630" ht="15" customHeight="1">
      <c r="A630" t="inlineStr">
        <is>
          <t>A 784-2024</t>
        </is>
      </c>
      <c r="B630" s="1" t="n">
        <v>45300.55680555556</v>
      </c>
      <c r="C630" s="1" t="n">
        <v>45964</v>
      </c>
      <c r="D630" t="inlineStr">
        <is>
          <t>UPPSALA LÄN</t>
        </is>
      </c>
      <c r="E630" t="inlineStr">
        <is>
          <t>UPPSALA</t>
        </is>
      </c>
      <c r="G630" t="n">
        <v>6.6</v>
      </c>
      <c r="H630" t="n">
        <v>0</v>
      </c>
      <c r="I630" t="n">
        <v>0</v>
      </c>
      <c r="J630" t="n">
        <v>0</v>
      </c>
      <c r="K630" t="n">
        <v>0</v>
      </c>
      <c r="L630" t="n">
        <v>0</v>
      </c>
      <c r="M630" t="n">
        <v>0</v>
      </c>
      <c r="N630" t="n">
        <v>0</v>
      </c>
      <c r="O630" t="n">
        <v>0</v>
      </c>
      <c r="P630" t="n">
        <v>0</v>
      </c>
      <c r="Q630" t="n">
        <v>0</v>
      </c>
      <c r="R630" s="2" t="inlineStr"/>
    </row>
    <row r="631" ht="15" customHeight="1">
      <c r="A631" t="inlineStr">
        <is>
          <t>A 61271-2020</t>
        </is>
      </c>
      <c r="B631" s="1" t="n">
        <v>44155</v>
      </c>
      <c r="C631" s="1" t="n">
        <v>45964</v>
      </c>
      <c r="D631" t="inlineStr">
        <is>
          <t>UPPSALA LÄN</t>
        </is>
      </c>
      <c r="E631" t="inlineStr">
        <is>
          <t>UPPSALA</t>
        </is>
      </c>
      <c r="G631" t="n">
        <v>3.5</v>
      </c>
      <c r="H631" t="n">
        <v>0</v>
      </c>
      <c r="I631" t="n">
        <v>0</v>
      </c>
      <c r="J631" t="n">
        <v>0</v>
      </c>
      <c r="K631" t="n">
        <v>0</v>
      </c>
      <c r="L631" t="n">
        <v>0</v>
      </c>
      <c r="M631" t="n">
        <v>0</v>
      </c>
      <c r="N631" t="n">
        <v>0</v>
      </c>
      <c r="O631" t="n">
        <v>0</v>
      </c>
      <c r="P631" t="n">
        <v>0</v>
      </c>
      <c r="Q631" t="n">
        <v>0</v>
      </c>
      <c r="R631" s="2" t="inlineStr"/>
    </row>
    <row r="632" ht="15" customHeight="1">
      <c r="A632" t="inlineStr">
        <is>
          <t>A 367-2023</t>
        </is>
      </c>
      <c r="B632" s="1" t="n">
        <v>44929</v>
      </c>
      <c r="C632" s="1" t="n">
        <v>45964</v>
      </c>
      <c r="D632" t="inlineStr">
        <is>
          <t>UPPSALA LÄN</t>
        </is>
      </c>
      <c r="E632" t="inlineStr">
        <is>
          <t>UPPSALA</t>
        </is>
      </c>
      <c r="G632" t="n">
        <v>2.4</v>
      </c>
      <c r="H632" t="n">
        <v>0</v>
      </c>
      <c r="I632" t="n">
        <v>0</v>
      </c>
      <c r="J632" t="n">
        <v>0</v>
      </c>
      <c r="K632" t="n">
        <v>0</v>
      </c>
      <c r="L632" t="n">
        <v>0</v>
      </c>
      <c r="M632" t="n">
        <v>0</v>
      </c>
      <c r="N632" t="n">
        <v>0</v>
      </c>
      <c r="O632" t="n">
        <v>0</v>
      </c>
      <c r="P632" t="n">
        <v>0</v>
      </c>
      <c r="Q632" t="n">
        <v>0</v>
      </c>
      <c r="R632" s="2" t="inlineStr"/>
    </row>
    <row r="633" ht="15" customHeight="1">
      <c r="A633" t="inlineStr">
        <is>
          <t>A 10489-2025</t>
        </is>
      </c>
      <c r="B633" s="1" t="n">
        <v>45721.34715277778</v>
      </c>
      <c r="C633" s="1" t="n">
        <v>45964</v>
      </c>
      <c r="D633" t="inlineStr">
        <is>
          <t>UPPSALA LÄN</t>
        </is>
      </c>
      <c r="E633" t="inlineStr">
        <is>
          <t>UPPSALA</t>
        </is>
      </c>
      <c r="G633" t="n">
        <v>1.3</v>
      </c>
      <c r="H633" t="n">
        <v>0</v>
      </c>
      <c r="I633" t="n">
        <v>0</v>
      </c>
      <c r="J633" t="n">
        <v>0</v>
      </c>
      <c r="K633" t="n">
        <v>0</v>
      </c>
      <c r="L633" t="n">
        <v>0</v>
      </c>
      <c r="M633" t="n">
        <v>0</v>
      </c>
      <c r="N633" t="n">
        <v>0</v>
      </c>
      <c r="O633" t="n">
        <v>0</v>
      </c>
      <c r="P633" t="n">
        <v>0</v>
      </c>
      <c r="Q633" t="n">
        <v>0</v>
      </c>
      <c r="R633" s="2" t="inlineStr"/>
    </row>
    <row r="634" ht="15" customHeight="1">
      <c r="A634" t="inlineStr">
        <is>
          <t>A 27917-2025</t>
        </is>
      </c>
      <c r="B634" s="1" t="n">
        <v>45814</v>
      </c>
      <c r="C634" s="1" t="n">
        <v>45964</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48571-2023</t>
        </is>
      </c>
      <c r="B635" s="1" t="n">
        <v>45208.46130787037</v>
      </c>
      <c r="C635" s="1" t="n">
        <v>45964</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28121-2025</t>
        </is>
      </c>
      <c r="B636" s="1" t="n">
        <v>45817</v>
      </c>
      <c r="C636" s="1" t="n">
        <v>45964</v>
      </c>
      <c r="D636" t="inlineStr">
        <is>
          <t>UPPSALA LÄN</t>
        </is>
      </c>
      <c r="E636" t="inlineStr">
        <is>
          <t>UPPSALA</t>
        </is>
      </c>
      <c r="G636" t="n">
        <v>5.6</v>
      </c>
      <c r="H636" t="n">
        <v>0</v>
      </c>
      <c r="I636" t="n">
        <v>0</v>
      </c>
      <c r="J636" t="n">
        <v>0</v>
      </c>
      <c r="K636" t="n">
        <v>0</v>
      </c>
      <c r="L636" t="n">
        <v>0</v>
      </c>
      <c r="M636" t="n">
        <v>0</v>
      </c>
      <c r="N636" t="n">
        <v>0</v>
      </c>
      <c r="O636" t="n">
        <v>0</v>
      </c>
      <c r="P636" t="n">
        <v>0</v>
      </c>
      <c r="Q636" t="n">
        <v>0</v>
      </c>
      <c r="R636" s="2" t="inlineStr"/>
    </row>
    <row r="637" ht="15" customHeight="1">
      <c r="A637" t="inlineStr">
        <is>
          <t>A 46069-2022</t>
        </is>
      </c>
      <c r="B637" s="1" t="n">
        <v>44847</v>
      </c>
      <c r="C637" s="1" t="n">
        <v>45964</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41002-2023</t>
        </is>
      </c>
      <c r="B638" s="1" t="n">
        <v>45173</v>
      </c>
      <c r="C638" s="1" t="n">
        <v>45964</v>
      </c>
      <c r="D638" t="inlineStr">
        <is>
          <t>UPPSALA LÄN</t>
        </is>
      </c>
      <c r="E638" t="inlineStr">
        <is>
          <t>UPPSALA</t>
        </is>
      </c>
      <c r="G638" t="n">
        <v>6.2</v>
      </c>
      <c r="H638" t="n">
        <v>0</v>
      </c>
      <c r="I638" t="n">
        <v>0</v>
      </c>
      <c r="J638" t="n">
        <v>0</v>
      </c>
      <c r="K638" t="n">
        <v>0</v>
      </c>
      <c r="L638" t="n">
        <v>0</v>
      </c>
      <c r="M638" t="n">
        <v>0</v>
      </c>
      <c r="N638" t="n">
        <v>0</v>
      </c>
      <c r="O638" t="n">
        <v>0</v>
      </c>
      <c r="P638" t="n">
        <v>0</v>
      </c>
      <c r="Q638" t="n">
        <v>0</v>
      </c>
      <c r="R638" s="2" t="inlineStr"/>
    </row>
    <row r="639" ht="15" customHeight="1">
      <c r="A639" t="inlineStr">
        <is>
          <t>A 50463-2024</t>
        </is>
      </c>
      <c r="B639" s="1" t="n">
        <v>45601</v>
      </c>
      <c r="C639" s="1" t="n">
        <v>45964</v>
      </c>
      <c r="D639" t="inlineStr">
        <is>
          <t>UPPSALA LÄN</t>
        </is>
      </c>
      <c r="E639" t="inlineStr">
        <is>
          <t>UPPSALA</t>
        </is>
      </c>
      <c r="F639" t="inlineStr">
        <is>
          <t>Allmännings- och besparingsskogar</t>
        </is>
      </c>
      <c r="G639" t="n">
        <v>12.6</v>
      </c>
      <c r="H639" t="n">
        <v>0</v>
      </c>
      <c r="I639" t="n">
        <v>0</v>
      </c>
      <c r="J639" t="n">
        <v>0</v>
      </c>
      <c r="K639" t="n">
        <v>0</v>
      </c>
      <c r="L639" t="n">
        <v>0</v>
      </c>
      <c r="M639" t="n">
        <v>0</v>
      </c>
      <c r="N639" t="n">
        <v>0</v>
      </c>
      <c r="O639" t="n">
        <v>0</v>
      </c>
      <c r="P639" t="n">
        <v>0</v>
      </c>
      <c r="Q639" t="n">
        <v>0</v>
      </c>
      <c r="R639" s="2" t="inlineStr"/>
    </row>
    <row r="640" ht="15" customHeight="1">
      <c r="A640" t="inlineStr">
        <is>
          <t>A 72224-2021</t>
        </is>
      </c>
      <c r="B640" s="1" t="n">
        <v>44544</v>
      </c>
      <c r="C640" s="1" t="n">
        <v>45964</v>
      </c>
      <c r="D640" t="inlineStr">
        <is>
          <t>UPPSALA LÄN</t>
        </is>
      </c>
      <c r="E640" t="inlineStr">
        <is>
          <t>UPPSALA</t>
        </is>
      </c>
      <c r="G640" t="n">
        <v>2.5</v>
      </c>
      <c r="H640" t="n">
        <v>0</v>
      </c>
      <c r="I640" t="n">
        <v>0</v>
      </c>
      <c r="J640" t="n">
        <v>0</v>
      </c>
      <c r="K640" t="n">
        <v>0</v>
      </c>
      <c r="L640" t="n">
        <v>0</v>
      </c>
      <c r="M640" t="n">
        <v>0</v>
      </c>
      <c r="N640" t="n">
        <v>0</v>
      </c>
      <c r="O640" t="n">
        <v>0</v>
      </c>
      <c r="P640" t="n">
        <v>0</v>
      </c>
      <c r="Q640" t="n">
        <v>0</v>
      </c>
      <c r="R640" s="2" t="inlineStr"/>
    </row>
    <row r="641" ht="15" customHeight="1">
      <c r="A641" t="inlineStr">
        <is>
          <t>A 28275-2025</t>
        </is>
      </c>
      <c r="B641" s="1" t="n">
        <v>45818.57910879629</v>
      </c>
      <c r="C641" s="1" t="n">
        <v>45964</v>
      </c>
      <c r="D641" t="inlineStr">
        <is>
          <t>UPPSALA LÄN</t>
        </is>
      </c>
      <c r="E641" t="inlineStr">
        <is>
          <t>UPPSALA</t>
        </is>
      </c>
      <c r="F641" t="inlineStr">
        <is>
          <t>Holmen skog AB</t>
        </is>
      </c>
      <c r="G641" t="n">
        <v>6.5</v>
      </c>
      <c r="H641" t="n">
        <v>0</v>
      </c>
      <c r="I641" t="n">
        <v>0</v>
      </c>
      <c r="J641" t="n">
        <v>0</v>
      </c>
      <c r="K641" t="n">
        <v>0</v>
      </c>
      <c r="L641" t="n">
        <v>0</v>
      </c>
      <c r="M641" t="n">
        <v>0</v>
      </c>
      <c r="N641" t="n">
        <v>0</v>
      </c>
      <c r="O641" t="n">
        <v>0</v>
      </c>
      <c r="P641" t="n">
        <v>0</v>
      </c>
      <c r="Q641" t="n">
        <v>0</v>
      </c>
      <c r="R641" s="2" t="inlineStr"/>
    </row>
    <row r="642" ht="15" customHeight="1">
      <c r="A642" t="inlineStr">
        <is>
          <t>A 37626-2023</t>
        </is>
      </c>
      <c r="B642" s="1" t="n">
        <v>45159.45748842593</v>
      </c>
      <c r="C642" s="1" t="n">
        <v>45964</v>
      </c>
      <c r="D642" t="inlineStr">
        <is>
          <t>UPPSALA LÄN</t>
        </is>
      </c>
      <c r="E642" t="inlineStr">
        <is>
          <t>UPPSALA</t>
        </is>
      </c>
      <c r="G642" t="n">
        <v>0.6</v>
      </c>
      <c r="H642" t="n">
        <v>0</v>
      </c>
      <c r="I642" t="n">
        <v>0</v>
      </c>
      <c r="J642" t="n">
        <v>0</v>
      </c>
      <c r="K642" t="n">
        <v>0</v>
      </c>
      <c r="L642" t="n">
        <v>0</v>
      </c>
      <c r="M642" t="n">
        <v>0</v>
      </c>
      <c r="N642" t="n">
        <v>0</v>
      </c>
      <c r="O642" t="n">
        <v>0</v>
      </c>
      <c r="P642" t="n">
        <v>0</v>
      </c>
      <c r="Q642" t="n">
        <v>0</v>
      </c>
      <c r="R642" s="2" t="inlineStr"/>
    </row>
    <row r="643" ht="15" customHeight="1">
      <c r="A643" t="inlineStr">
        <is>
          <t>A 27922-2025</t>
        </is>
      </c>
      <c r="B643" s="1" t="n">
        <v>45817</v>
      </c>
      <c r="C643" s="1" t="n">
        <v>45964</v>
      </c>
      <c r="D643" t="inlineStr">
        <is>
          <t>UPPSALA LÄN</t>
        </is>
      </c>
      <c r="E643" t="inlineStr">
        <is>
          <t>UPPSALA</t>
        </is>
      </c>
      <c r="F643" t="inlineStr">
        <is>
          <t>Övriga Aktiebolag</t>
        </is>
      </c>
      <c r="G643" t="n">
        <v>0.1</v>
      </c>
      <c r="H643" t="n">
        <v>0</v>
      </c>
      <c r="I643" t="n">
        <v>0</v>
      </c>
      <c r="J643" t="n">
        <v>0</v>
      </c>
      <c r="K643" t="n">
        <v>0</v>
      </c>
      <c r="L643" t="n">
        <v>0</v>
      </c>
      <c r="M643" t="n">
        <v>0</v>
      </c>
      <c r="N643" t="n">
        <v>0</v>
      </c>
      <c r="O643" t="n">
        <v>0</v>
      </c>
      <c r="P643" t="n">
        <v>0</v>
      </c>
      <c r="Q643" t="n">
        <v>0</v>
      </c>
      <c r="R643" s="2" t="inlineStr"/>
    </row>
    <row r="644" ht="15" customHeight="1">
      <c r="A644" t="inlineStr">
        <is>
          <t>A 56067-2024</t>
        </is>
      </c>
      <c r="B644" s="1" t="n">
        <v>45624</v>
      </c>
      <c r="C644" s="1" t="n">
        <v>45964</v>
      </c>
      <c r="D644" t="inlineStr">
        <is>
          <t>UPPSALA LÄN</t>
        </is>
      </c>
      <c r="E644" t="inlineStr">
        <is>
          <t>UPPSALA</t>
        </is>
      </c>
      <c r="G644" t="n">
        <v>2.4</v>
      </c>
      <c r="H644" t="n">
        <v>0</v>
      </c>
      <c r="I644" t="n">
        <v>0</v>
      </c>
      <c r="J644" t="n">
        <v>0</v>
      </c>
      <c r="K644" t="n">
        <v>0</v>
      </c>
      <c r="L644" t="n">
        <v>0</v>
      </c>
      <c r="M644" t="n">
        <v>0</v>
      </c>
      <c r="N644" t="n">
        <v>0</v>
      </c>
      <c r="O644" t="n">
        <v>0</v>
      </c>
      <c r="P644" t="n">
        <v>0</v>
      </c>
      <c r="Q644" t="n">
        <v>0</v>
      </c>
      <c r="R644" s="2" t="inlineStr"/>
    </row>
    <row r="645" ht="15" customHeight="1">
      <c r="A645" t="inlineStr">
        <is>
          <t>A 45489-2023</t>
        </is>
      </c>
      <c r="B645" s="1" t="n">
        <v>45194</v>
      </c>
      <c r="C645" s="1" t="n">
        <v>45964</v>
      </c>
      <c r="D645" t="inlineStr">
        <is>
          <t>UPPSALA LÄN</t>
        </is>
      </c>
      <c r="E645" t="inlineStr">
        <is>
          <t>UPPSALA</t>
        </is>
      </c>
      <c r="F645" t="inlineStr">
        <is>
          <t>Allmännings- och besparingsskogar</t>
        </is>
      </c>
      <c r="G645" t="n">
        <v>15.8</v>
      </c>
      <c r="H645" t="n">
        <v>0</v>
      </c>
      <c r="I645" t="n">
        <v>0</v>
      </c>
      <c r="J645" t="n">
        <v>0</v>
      </c>
      <c r="K645" t="n">
        <v>0</v>
      </c>
      <c r="L645" t="n">
        <v>0</v>
      </c>
      <c r="M645" t="n">
        <v>0</v>
      </c>
      <c r="N645" t="n">
        <v>0</v>
      </c>
      <c r="O645" t="n">
        <v>0</v>
      </c>
      <c r="P645" t="n">
        <v>0</v>
      </c>
      <c r="Q645" t="n">
        <v>0</v>
      </c>
      <c r="R645" s="2" t="inlineStr"/>
    </row>
    <row r="646" ht="15" customHeight="1">
      <c r="A646" t="inlineStr">
        <is>
          <t>A 53906-2023</t>
        </is>
      </c>
      <c r="B646" s="1" t="n">
        <v>45231</v>
      </c>
      <c r="C646" s="1" t="n">
        <v>45964</v>
      </c>
      <c r="D646" t="inlineStr">
        <is>
          <t>UPPSALA LÄN</t>
        </is>
      </c>
      <c r="E646" t="inlineStr">
        <is>
          <t>UPPSALA</t>
        </is>
      </c>
      <c r="G646" t="n">
        <v>13.2</v>
      </c>
      <c r="H646" t="n">
        <v>0</v>
      </c>
      <c r="I646" t="n">
        <v>0</v>
      </c>
      <c r="J646" t="n">
        <v>0</v>
      </c>
      <c r="K646" t="n">
        <v>0</v>
      </c>
      <c r="L646" t="n">
        <v>0</v>
      </c>
      <c r="M646" t="n">
        <v>0</v>
      </c>
      <c r="N646" t="n">
        <v>0</v>
      </c>
      <c r="O646" t="n">
        <v>0</v>
      </c>
      <c r="P646" t="n">
        <v>0</v>
      </c>
      <c r="Q646" t="n">
        <v>0</v>
      </c>
      <c r="R646" s="2" t="inlineStr"/>
    </row>
    <row r="647" ht="15" customHeight="1">
      <c r="A647" t="inlineStr">
        <is>
          <t>A 55073-2022</t>
        </is>
      </c>
      <c r="B647" s="1" t="n">
        <v>44886.5928125</v>
      </c>
      <c r="C647" s="1" t="n">
        <v>45964</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33816-2024</t>
        </is>
      </c>
      <c r="B648" s="1" t="n">
        <v>45520</v>
      </c>
      <c r="C648" s="1" t="n">
        <v>45964</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46983-2025</t>
        </is>
      </c>
      <c r="B649" s="1" t="n">
        <v>45929.53203703704</v>
      </c>
      <c r="C649" s="1" t="n">
        <v>45964</v>
      </c>
      <c r="D649" t="inlineStr">
        <is>
          <t>UPPSALA LÄN</t>
        </is>
      </c>
      <c r="E649" t="inlineStr">
        <is>
          <t>UPPSALA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47131-2025</t>
        </is>
      </c>
      <c r="B650" s="1" t="n">
        <v>45929.69553240741</v>
      </c>
      <c r="C650" s="1" t="n">
        <v>45964</v>
      </c>
      <c r="D650" t="inlineStr">
        <is>
          <t>UPPSALA LÄN</t>
        </is>
      </c>
      <c r="E650" t="inlineStr">
        <is>
          <t>UPPSALA</t>
        </is>
      </c>
      <c r="F650" t="inlineStr">
        <is>
          <t>Kyrkan</t>
        </is>
      </c>
      <c r="G650" t="n">
        <v>1.9</v>
      </c>
      <c r="H650" t="n">
        <v>0</v>
      </c>
      <c r="I650" t="n">
        <v>0</v>
      </c>
      <c r="J650" t="n">
        <v>0</v>
      </c>
      <c r="K650" t="n">
        <v>0</v>
      </c>
      <c r="L650" t="n">
        <v>0</v>
      </c>
      <c r="M650" t="n">
        <v>0</v>
      </c>
      <c r="N650" t="n">
        <v>0</v>
      </c>
      <c r="O650" t="n">
        <v>0</v>
      </c>
      <c r="P650" t="n">
        <v>0</v>
      </c>
      <c r="Q650" t="n">
        <v>0</v>
      </c>
      <c r="R650" s="2" t="inlineStr"/>
    </row>
    <row r="651" ht="15" customHeight="1">
      <c r="A651" t="inlineStr">
        <is>
          <t>A 47132-2025</t>
        </is>
      </c>
      <c r="B651" s="1" t="n">
        <v>45929.6965162037</v>
      </c>
      <c r="C651" s="1" t="n">
        <v>45964</v>
      </c>
      <c r="D651" t="inlineStr">
        <is>
          <t>UPPSALA LÄN</t>
        </is>
      </c>
      <c r="E651" t="inlineStr">
        <is>
          <t>UPPSALA</t>
        </is>
      </c>
      <c r="F651" t="inlineStr">
        <is>
          <t>Kyrkan</t>
        </is>
      </c>
      <c r="G651" t="n">
        <v>1.9</v>
      </c>
      <c r="H651" t="n">
        <v>0</v>
      </c>
      <c r="I651" t="n">
        <v>0</v>
      </c>
      <c r="J651" t="n">
        <v>0</v>
      </c>
      <c r="K651" t="n">
        <v>0</v>
      </c>
      <c r="L651" t="n">
        <v>0</v>
      </c>
      <c r="M651" t="n">
        <v>0</v>
      </c>
      <c r="N651" t="n">
        <v>0</v>
      </c>
      <c r="O651" t="n">
        <v>0</v>
      </c>
      <c r="P651" t="n">
        <v>0</v>
      </c>
      <c r="Q651" t="n">
        <v>0</v>
      </c>
      <c r="R651" s="2" t="inlineStr"/>
    </row>
    <row r="652" ht="15" customHeight="1">
      <c r="A652" t="inlineStr">
        <is>
          <t>A 47083-2023</t>
        </is>
      </c>
      <c r="B652" s="1" t="n">
        <v>45201.62318287037</v>
      </c>
      <c r="C652" s="1" t="n">
        <v>45964</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33191-2023</t>
        </is>
      </c>
      <c r="B653" s="1" t="n">
        <v>45127</v>
      </c>
      <c r="C653" s="1" t="n">
        <v>45964</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50473-2023</t>
        </is>
      </c>
      <c r="B654" s="1" t="n">
        <v>45216</v>
      </c>
      <c r="C654" s="1" t="n">
        <v>45964</v>
      </c>
      <c r="D654" t="inlineStr">
        <is>
          <t>UPPSALA LÄN</t>
        </is>
      </c>
      <c r="E654" t="inlineStr">
        <is>
          <t>UPPSALA</t>
        </is>
      </c>
      <c r="F654" t="inlineStr">
        <is>
          <t>Allmännings- och besparingsskogar</t>
        </is>
      </c>
      <c r="G654" t="n">
        <v>7.6</v>
      </c>
      <c r="H654" t="n">
        <v>0</v>
      </c>
      <c r="I654" t="n">
        <v>0</v>
      </c>
      <c r="J654" t="n">
        <v>0</v>
      </c>
      <c r="K654" t="n">
        <v>0</v>
      </c>
      <c r="L654" t="n">
        <v>0</v>
      </c>
      <c r="M654" t="n">
        <v>0</v>
      </c>
      <c r="N654" t="n">
        <v>0</v>
      </c>
      <c r="O654" t="n">
        <v>0</v>
      </c>
      <c r="P654" t="n">
        <v>0</v>
      </c>
      <c r="Q654" t="n">
        <v>0</v>
      </c>
      <c r="R654" s="2" t="inlineStr"/>
    </row>
    <row r="655" ht="15" customHeight="1">
      <c r="A655" t="inlineStr">
        <is>
          <t>A 28876-2025</t>
        </is>
      </c>
      <c r="B655" s="1" t="n">
        <v>45820</v>
      </c>
      <c r="C655" s="1" t="n">
        <v>45964</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37670-2022</t>
        </is>
      </c>
      <c r="B656" s="1" t="n">
        <v>44810</v>
      </c>
      <c r="C656" s="1" t="n">
        <v>45964</v>
      </c>
      <c r="D656" t="inlineStr">
        <is>
          <t>UPPSALA LÄN</t>
        </is>
      </c>
      <c r="E656" t="inlineStr">
        <is>
          <t>UPPSALA</t>
        </is>
      </c>
      <c r="G656" t="n">
        <v>2.4</v>
      </c>
      <c r="H656" t="n">
        <v>0</v>
      </c>
      <c r="I656" t="n">
        <v>0</v>
      </c>
      <c r="J656" t="n">
        <v>0</v>
      </c>
      <c r="K656" t="n">
        <v>0</v>
      </c>
      <c r="L656" t="n">
        <v>0</v>
      </c>
      <c r="M656" t="n">
        <v>0</v>
      </c>
      <c r="N656" t="n">
        <v>0</v>
      </c>
      <c r="O656" t="n">
        <v>0</v>
      </c>
      <c r="P656" t="n">
        <v>0</v>
      </c>
      <c r="Q656" t="n">
        <v>0</v>
      </c>
      <c r="R656" s="2" t="inlineStr"/>
    </row>
    <row r="657" ht="15" customHeight="1">
      <c r="A657" t="inlineStr">
        <is>
          <t>A 60056-2022</t>
        </is>
      </c>
      <c r="B657" s="1" t="n">
        <v>44909</v>
      </c>
      <c r="C657" s="1" t="n">
        <v>45964</v>
      </c>
      <c r="D657" t="inlineStr">
        <is>
          <t>UPPSALA LÄN</t>
        </is>
      </c>
      <c r="E657" t="inlineStr">
        <is>
          <t>UPPSALA</t>
        </is>
      </c>
      <c r="G657" t="n">
        <v>1.2</v>
      </c>
      <c r="H657" t="n">
        <v>0</v>
      </c>
      <c r="I657" t="n">
        <v>0</v>
      </c>
      <c r="J657" t="n">
        <v>0</v>
      </c>
      <c r="K657" t="n">
        <v>0</v>
      </c>
      <c r="L657" t="n">
        <v>0</v>
      </c>
      <c r="M657" t="n">
        <v>0</v>
      </c>
      <c r="N657" t="n">
        <v>0</v>
      </c>
      <c r="O657" t="n">
        <v>0</v>
      </c>
      <c r="P657" t="n">
        <v>0</v>
      </c>
      <c r="Q657" t="n">
        <v>0</v>
      </c>
      <c r="R657" s="2" t="inlineStr"/>
    </row>
    <row r="658" ht="15" customHeight="1">
      <c r="A658" t="inlineStr">
        <is>
          <t>A 28871-2025</t>
        </is>
      </c>
      <c r="B658" s="1" t="n">
        <v>45820</v>
      </c>
      <c r="C658" s="1" t="n">
        <v>45964</v>
      </c>
      <c r="D658" t="inlineStr">
        <is>
          <t>UPPSALA LÄN</t>
        </is>
      </c>
      <c r="E658" t="inlineStr">
        <is>
          <t>UPPSALA</t>
        </is>
      </c>
      <c r="G658" t="n">
        <v>6.5</v>
      </c>
      <c r="H658" t="n">
        <v>0</v>
      </c>
      <c r="I658" t="n">
        <v>0</v>
      </c>
      <c r="J658" t="n">
        <v>0</v>
      </c>
      <c r="K658" t="n">
        <v>0</v>
      </c>
      <c r="L658" t="n">
        <v>0</v>
      </c>
      <c r="M658" t="n">
        <v>0</v>
      </c>
      <c r="N658" t="n">
        <v>0</v>
      </c>
      <c r="O658" t="n">
        <v>0</v>
      </c>
      <c r="P658" t="n">
        <v>0</v>
      </c>
      <c r="Q658" t="n">
        <v>0</v>
      </c>
      <c r="R658" s="2" t="inlineStr"/>
    </row>
    <row r="659" ht="15" customHeight="1">
      <c r="A659" t="inlineStr">
        <is>
          <t>A 28878-2025</t>
        </is>
      </c>
      <c r="B659" s="1" t="n">
        <v>45820</v>
      </c>
      <c r="C659" s="1" t="n">
        <v>45964</v>
      </c>
      <c r="D659" t="inlineStr">
        <is>
          <t>UPPSALA LÄN</t>
        </is>
      </c>
      <c r="E659" t="inlineStr">
        <is>
          <t>UPPSALA</t>
        </is>
      </c>
      <c r="G659" t="n">
        <v>5.5</v>
      </c>
      <c r="H659" t="n">
        <v>0</v>
      </c>
      <c r="I659" t="n">
        <v>0</v>
      </c>
      <c r="J659" t="n">
        <v>0</v>
      </c>
      <c r="K659" t="n">
        <v>0</v>
      </c>
      <c r="L659" t="n">
        <v>0</v>
      </c>
      <c r="M659" t="n">
        <v>0</v>
      </c>
      <c r="N659" t="n">
        <v>0</v>
      </c>
      <c r="O659" t="n">
        <v>0</v>
      </c>
      <c r="P659" t="n">
        <v>0</v>
      </c>
      <c r="Q659" t="n">
        <v>0</v>
      </c>
      <c r="R659" s="2" t="inlineStr"/>
    </row>
    <row r="660" ht="15" customHeight="1">
      <c r="A660" t="inlineStr">
        <is>
          <t>A 29030-2025</t>
        </is>
      </c>
      <c r="B660" s="1" t="n">
        <v>45821.44101851852</v>
      </c>
      <c r="C660" s="1" t="n">
        <v>45964</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46564-2025</t>
        </is>
      </c>
      <c r="B661" s="1" t="n">
        <v>45926.35917824074</v>
      </c>
      <c r="C661" s="1" t="n">
        <v>45964</v>
      </c>
      <c r="D661" t="inlineStr">
        <is>
          <t>UPPSALA LÄN</t>
        </is>
      </c>
      <c r="E661" t="inlineStr">
        <is>
          <t>UPPSALA</t>
        </is>
      </c>
      <c r="F661" t="inlineStr">
        <is>
          <t>Bergvik skog öst AB</t>
        </is>
      </c>
      <c r="G661" t="n">
        <v>1.8</v>
      </c>
      <c r="H661" t="n">
        <v>0</v>
      </c>
      <c r="I661" t="n">
        <v>0</v>
      </c>
      <c r="J661" t="n">
        <v>0</v>
      </c>
      <c r="K661" t="n">
        <v>0</v>
      </c>
      <c r="L661" t="n">
        <v>0</v>
      </c>
      <c r="M661" t="n">
        <v>0</v>
      </c>
      <c r="N661" t="n">
        <v>0</v>
      </c>
      <c r="O661" t="n">
        <v>0</v>
      </c>
      <c r="P661" t="n">
        <v>0</v>
      </c>
      <c r="Q661" t="n">
        <v>0</v>
      </c>
      <c r="R661" s="2" t="inlineStr"/>
    </row>
    <row r="662" ht="15" customHeight="1">
      <c r="A662" t="inlineStr">
        <is>
          <t>A 46565-2025</t>
        </is>
      </c>
      <c r="B662" s="1" t="n">
        <v>45926.35998842592</v>
      </c>
      <c r="C662" s="1" t="n">
        <v>45964</v>
      </c>
      <c r="D662" t="inlineStr">
        <is>
          <t>UPPSALA LÄN</t>
        </is>
      </c>
      <c r="E662" t="inlineStr">
        <is>
          <t>UPPSALA</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32688-2023</t>
        </is>
      </c>
      <c r="B663" s="1" t="n">
        <v>45121</v>
      </c>
      <c r="C663" s="1" t="n">
        <v>45964</v>
      </c>
      <c r="D663" t="inlineStr">
        <is>
          <t>UPPSALA LÄN</t>
        </is>
      </c>
      <c r="E663" t="inlineStr">
        <is>
          <t>UPPSALA</t>
        </is>
      </c>
      <c r="F663" t="inlineStr">
        <is>
          <t>Holmen skog AB</t>
        </is>
      </c>
      <c r="G663" t="n">
        <v>4.3</v>
      </c>
      <c r="H663" t="n">
        <v>0</v>
      </c>
      <c r="I663" t="n">
        <v>0</v>
      </c>
      <c r="J663" t="n">
        <v>0</v>
      </c>
      <c r="K663" t="n">
        <v>0</v>
      </c>
      <c r="L663" t="n">
        <v>0</v>
      </c>
      <c r="M663" t="n">
        <v>0</v>
      </c>
      <c r="N663" t="n">
        <v>0</v>
      </c>
      <c r="O663" t="n">
        <v>0</v>
      </c>
      <c r="P663" t="n">
        <v>0</v>
      </c>
      <c r="Q663" t="n">
        <v>0</v>
      </c>
      <c r="R663" s="2" t="inlineStr"/>
    </row>
    <row r="664" ht="15" customHeight="1">
      <c r="A664" t="inlineStr">
        <is>
          <t>A 53365-2024</t>
        </is>
      </c>
      <c r="B664" s="1" t="n">
        <v>45614</v>
      </c>
      <c r="C664" s="1" t="n">
        <v>45964</v>
      </c>
      <c r="D664" t="inlineStr">
        <is>
          <t>UPPSALA LÄN</t>
        </is>
      </c>
      <c r="E664" t="inlineStr">
        <is>
          <t>UPPSALA</t>
        </is>
      </c>
      <c r="F664" t="inlineStr">
        <is>
          <t>Allmännings- och besparingsskogar</t>
        </is>
      </c>
      <c r="G664" t="n">
        <v>6.6</v>
      </c>
      <c r="H664" t="n">
        <v>0</v>
      </c>
      <c r="I664" t="n">
        <v>0</v>
      </c>
      <c r="J664" t="n">
        <v>0</v>
      </c>
      <c r="K664" t="n">
        <v>0</v>
      </c>
      <c r="L664" t="n">
        <v>0</v>
      </c>
      <c r="M664" t="n">
        <v>0</v>
      </c>
      <c r="N664" t="n">
        <v>0</v>
      </c>
      <c r="O664" t="n">
        <v>0</v>
      </c>
      <c r="P664" t="n">
        <v>0</v>
      </c>
      <c r="Q664" t="n">
        <v>0</v>
      </c>
      <c r="R664" s="2" t="inlineStr"/>
    </row>
    <row r="665" ht="15" customHeight="1">
      <c r="A665" t="inlineStr">
        <is>
          <t>A 53266-2024</t>
        </is>
      </c>
      <c r="B665" s="1" t="n">
        <v>45614</v>
      </c>
      <c r="C665" s="1" t="n">
        <v>45964</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35142-2023</t>
        </is>
      </c>
      <c r="B666" s="1" t="n">
        <v>45145</v>
      </c>
      <c r="C666" s="1" t="n">
        <v>45964</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12282-2025</t>
        </is>
      </c>
      <c r="B667" s="1" t="n">
        <v>45729</v>
      </c>
      <c r="C667" s="1" t="n">
        <v>45964</v>
      </c>
      <c r="D667" t="inlineStr">
        <is>
          <t>UPPSALA LÄN</t>
        </is>
      </c>
      <c r="E667" t="inlineStr">
        <is>
          <t>UPPSALA</t>
        </is>
      </c>
      <c r="G667" t="n">
        <v>3.3</v>
      </c>
      <c r="H667" t="n">
        <v>0</v>
      </c>
      <c r="I667" t="n">
        <v>0</v>
      </c>
      <c r="J667" t="n">
        <v>0</v>
      </c>
      <c r="K667" t="n">
        <v>0</v>
      </c>
      <c r="L667" t="n">
        <v>0</v>
      </c>
      <c r="M667" t="n">
        <v>0</v>
      </c>
      <c r="N667" t="n">
        <v>0</v>
      </c>
      <c r="O667" t="n">
        <v>0</v>
      </c>
      <c r="P667" t="n">
        <v>0</v>
      </c>
      <c r="Q667" t="n">
        <v>0</v>
      </c>
      <c r="R667" s="2" t="inlineStr"/>
    </row>
    <row r="668" ht="15" customHeight="1">
      <c r="A668" t="inlineStr">
        <is>
          <t>A 29287-2025</t>
        </is>
      </c>
      <c r="B668" s="1" t="n">
        <v>45824.43798611111</v>
      </c>
      <c r="C668" s="1" t="n">
        <v>45964</v>
      </c>
      <c r="D668" t="inlineStr">
        <is>
          <t>UPPSALA LÄN</t>
        </is>
      </c>
      <c r="E668" t="inlineStr">
        <is>
          <t>UPPSALA</t>
        </is>
      </c>
      <c r="F668" t="inlineStr">
        <is>
          <t>Kyrkan</t>
        </is>
      </c>
      <c r="G668" t="n">
        <v>5.2</v>
      </c>
      <c r="H668" t="n">
        <v>0</v>
      </c>
      <c r="I668" t="n">
        <v>0</v>
      </c>
      <c r="J668" t="n">
        <v>0</v>
      </c>
      <c r="K668" t="n">
        <v>0</v>
      </c>
      <c r="L668" t="n">
        <v>0</v>
      </c>
      <c r="M668" t="n">
        <v>0</v>
      </c>
      <c r="N668" t="n">
        <v>0</v>
      </c>
      <c r="O668" t="n">
        <v>0</v>
      </c>
      <c r="P668" t="n">
        <v>0</v>
      </c>
      <c r="Q668" t="n">
        <v>0</v>
      </c>
      <c r="R668" s="2" t="inlineStr"/>
    </row>
    <row r="669" ht="15" customHeight="1">
      <c r="A669" t="inlineStr">
        <is>
          <t>A 29627-2025</t>
        </is>
      </c>
      <c r="B669" s="1" t="n">
        <v>45825.44482638889</v>
      </c>
      <c r="C669" s="1" t="n">
        <v>45964</v>
      </c>
      <c r="D669" t="inlineStr">
        <is>
          <t>UPPSALA LÄN</t>
        </is>
      </c>
      <c r="E669" t="inlineStr">
        <is>
          <t>UPPSALA</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29047-2025</t>
        </is>
      </c>
      <c r="B670" s="1" t="n">
        <v>45821.45905092593</v>
      </c>
      <c r="C670" s="1" t="n">
        <v>45964</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58070-2020</t>
        </is>
      </c>
      <c r="B671" s="1" t="n">
        <v>44140</v>
      </c>
      <c r="C671" s="1" t="n">
        <v>45964</v>
      </c>
      <c r="D671" t="inlineStr">
        <is>
          <t>UPPSALA LÄN</t>
        </is>
      </c>
      <c r="E671" t="inlineStr">
        <is>
          <t>UPPSALA</t>
        </is>
      </c>
      <c r="G671" t="n">
        <v>4</v>
      </c>
      <c r="H671" t="n">
        <v>0</v>
      </c>
      <c r="I671" t="n">
        <v>0</v>
      </c>
      <c r="J671" t="n">
        <v>0</v>
      </c>
      <c r="K671" t="n">
        <v>0</v>
      </c>
      <c r="L671" t="n">
        <v>0</v>
      </c>
      <c r="M671" t="n">
        <v>0</v>
      </c>
      <c r="N671" t="n">
        <v>0</v>
      </c>
      <c r="O671" t="n">
        <v>0</v>
      </c>
      <c r="P671" t="n">
        <v>0</v>
      </c>
      <c r="Q671" t="n">
        <v>0</v>
      </c>
      <c r="R671" s="2" t="inlineStr"/>
    </row>
    <row r="672" ht="15" customHeight="1">
      <c r="A672" t="inlineStr">
        <is>
          <t>A 59116-2024</t>
        </is>
      </c>
      <c r="B672" s="1" t="n">
        <v>45637</v>
      </c>
      <c r="C672" s="1" t="n">
        <v>45964</v>
      </c>
      <c r="D672" t="inlineStr">
        <is>
          <t>UPPSALA LÄN</t>
        </is>
      </c>
      <c r="E672" t="inlineStr">
        <is>
          <t>UPPSALA</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13799-2024</t>
        </is>
      </c>
      <c r="B673" s="1" t="n">
        <v>45391.37361111111</v>
      </c>
      <c r="C673" s="1" t="n">
        <v>45964</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73531-2021</t>
        </is>
      </c>
      <c r="B674" s="1" t="n">
        <v>44551.76711805556</v>
      </c>
      <c r="C674" s="1" t="n">
        <v>45964</v>
      </c>
      <c r="D674" t="inlineStr">
        <is>
          <t>UPPSALA LÄN</t>
        </is>
      </c>
      <c r="E674" t="inlineStr">
        <is>
          <t>UPPSALA</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42772-2022</t>
        </is>
      </c>
      <c r="B675" s="1" t="n">
        <v>44832.49594907407</v>
      </c>
      <c r="C675" s="1" t="n">
        <v>45964</v>
      </c>
      <c r="D675" t="inlineStr">
        <is>
          <t>UPPSALA LÄN</t>
        </is>
      </c>
      <c r="E675" t="inlineStr">
        <is>
          <t>UPPSALA</t>
        </is>
      </c>
      <c r="G675" t="n">
        <v>17.7</v>
      </c>
      <c r="H675" t="n">
        <v>0</v>
      </c>
      <c r="I675" t="n">
        <v>0</v>
      </c>
      <c r="J675" t="n">
        <v>0</v>
      </c>
      <c r="K675" t="n">
        <v>0</v>
      </c>
      <c r="L675" t="n">
        <v>0</v>
      </c>
      <c r="M675" t="n">
        <v>0</v>
      </c>
      <c r="N675" t="n">
        <v>0</v>
      </c>
      <c r="O675" t="n">
        <v>0</v>
      </c>
      <c r="P675" t="n">
        <v>0</v>
      </c>
      <c r="Q675" t="n">
        <v>0</v>
      </c>
      <c r="R675" s="2" t="inlineStr"/>
    </row>
    <row r="676" ht="15" customHeight="1">
      <c r="A676" t="inlineStr">
        <is>
          <t>A 30437-2025</t>
        </is>
      </c>
      <c r="B676" s="1" t="n">
        <v>45827.64092592592</v>
      </c>
      <c r="C676" s="1" t="n">
        <v>45964</v>
      </c>
      <c r="D676" t="inlineStr">
        <is>
          <t>UPPSALA LÄN</t>
        </is>
      </c>
      <c r="E676" t="inlineStr">
        <is>
          <t>UPPSALA</t>
        </is>
      </c>
      <c r="G676" t="n">
        <v>3.6</v>
      </c>
      <c r="H676" t="n">
        <v>0</v>
      </c>
      <c r="I676" t="n">
        <v>0</v>
      </c>
      <c r="J676" t="n">
        <v>0</v>
      </c>
      <c r="K676" t="n">
        <v>0</v>
      </c>
      <c r="L676" t="n">
        <v>0</v>
      </c>
      <c r="M676" t="n">
        <v>0</v>
      </c>
      <c r="N676" t="n">
        <v>0</v>
      </c>
      <c r="O676" t="n">
        <v>0</v>
      </c>
      <c r="P676" t="n">
        <v>0</v>
      </c>
      <c r="Q676" t="n">
        <v>0</v>
      </c>
      <c r="R676" s="2" t="inlineStr"/>
    </row>
    <row r="677" ht="15" customHeight="1">
      <c r="A677" t="inlineStr">
        <is>
          <t>A 30282-2025</t>
        </is>
      </c>
      <c r="B677" s="1" t="n">
        <v>45827.46288194445</v>
      </c>
      <c r="C677" s="1" t="n">
        <v>45964</v>
      </c>
      <c r="D677" t="inlineStr">
        <is>
          <t>UPPSALA LÄN</t>
        </is>
      </c>
      <c r="E677" t="inlineStr">
        <is>
          <t>UPPSALA</t>
        </is>
      </c>
      <c r="F677" t="inlineStr">
        <is>
          <t>Holmen skog AB</t>
        </is>
      </c>
      <c r="G677" t="n">
        <v>3.5</v>
      </c>
      <c r="H677" t="n">
        <v>0</v>
      </c>
      <c r="I677" t="n">
        <v>0</v>
      </c>
      <c r="J677" t="n">
        <v>0</v>
      </c>
      <c r="K677" t="n">
        <v>0</v>
      </c>
      <c r="L677" t="n">
        <v>0</v>
      </c>
      <c r="M677" t="n">
        <v>0</v>
      </c>
      <c r="N677" t="n">
        <v>0</v>
      </c>
      <c r="O677" t="n">
        <v>0</v>
      </c>
      <c r="P677" t="n">
        <v>0</v>
      </c>
      <c r="Q677" t="n">
        <v>0</v>
      </c>
      <c r="R677" s="2" t="inlineStr"/>
    </row>
    <row r="678" ht="15" customHeight="1">
      <c r="A678" t="inlineStr">
        <is>
          <t>A 3261-2024</t>
        </is>
      </c>
      <c r="B678" s="1" t="n">
        <v>45317</v>
      </c>
      <c r="C678" s="1" t="n">
        <v>45964</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59489-2023</t>
        </is>
      </c>
      <c r="B679" s="1" t="n">
        <v>45254</v>
      </c>
      <c r="C679" s="1" t="n">
        <v>45964</v>
      </c>
      <c r="D679" t="inlineStr">
        <is>
          <t>UPPSALA LÄN</t>
        </is>
      </c>
      <c r="E679" t="inlineStr">
        <is>
          <t>UPPSALA</t>
        </is>
      </c>
      <c r="G679" t="n">
        <v>6.5</v>
      </c>
      <c r="H679" t="n">
        <v>0</v>
      </c>
      <c r="I679" t="n">
        <v>0</v>
      </c>
      <c r="J679" t="n">
        <v>0</v>
      </c>
      <c r="K679" t="n">
        <v>0</v>
      </c>
      <c r="L679" t="n">
        <v>0</v>
      </c>
      <c r="M679" t="n">
        <v>0</v>
      </c>
      <c r="N679" t="n">
        <v>0</v>
      </c>
      <c r="O679" t="n">
        <v>0</v>
      </c>
      <c r="P679" t="n">
        <v>0</v>
      </c>
      <c r="Q679" t="n">
        <v>0</v>
      </c>
      <c r="R679" s="2" t="inlineStr"/>
    </row>
    <row r="680" ht="15" customHeight="1">
      <c r="A680" t="inlineStr">
        <is>
          <t>A 54783-2023</t>
        </is>
      </c>
      <c r="B680" s="1" t="n">
        <v>45236.47697916667</v>
      </c>
      <c r="C680" s="1" t="n">
        <v>45964</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30429-2025</t>
        </is>
      </c>
      <c r="B681" s="1" t="n">
        <v>45827.62096064815</v>
      </c>
      <c r="C681" s="1" t="n">
        <v>45964</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30567-2025</t>
        </is>
      </c>
      <c r="B682" s="1" t="n">
        <v>45831.40671296296</v>
      </c>
      <c r="C682" s="1" t="n">
        <v>45964</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6677-2024</t>
        </is>
      </c>
      <c r="B683" s="1" t="n">
        <v>45341</v>
      </c>
      <c r="C683" s="1" t="n">
        <v>45964</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18805-2025</t>
        </is>
      </c>
      <c r="B684" s="1" t="n">
        <v>45763</v>
      </c>
      <c r="C684" s="1" t="n">
        <v>45964</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46772-2025</t>
        </is>
      </c>
      <c r="B685" s="1" t="n">
        <v>45926.63232638889</v>
      </c>
      <c r="C685" s="1" t="n">
        <v>45964</v>
      </c>
      <c r="D685" t="inlineStr">
        <is>
          <t>UPPSALA LÄN</t>
        </is>
      </c>
      <c r="E685" t="inlineStr">
        <is>
          <t>UPPSALA</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30838-2025</t>
        </is>
      </c>
      <c r="B686" s="1" t="n">
        <v>45831.72686342592</v>
      </c>
      <c r="C686" s="1" t="n">
        <v>45964</v>
      </c>
      <c r="D686" t="inlineStr">
        <is>
          <t>UPPSALA LÄN</t>
        </is>
      </c>
      <c r="E686" t="inlineStr">
        <is>
          <t>UPPSALA</t>
        </is>
      </c>
      <c r="F686" t="inlineStr">
        <is>
          <t>Kyrkan</t>
        </is>
      </c>
      <c r="G686" t="n">
        <v>2.2</v>
      </c>
      <c r="H686" t="n">
        <v>0</v>
      </c>
      <c r="I686" t="n">
        <v>0</v>
      </c>
      <c r="J686" t="n">
        <v>0</v>
      </c>
      <c r="K686" t="n">
        <v>0</v>
      </c>
      <c r="L686" t="n">
        <v>0</v>
      </c>
      <c r="M686" t="n">
        <v>0</v>
      </c>
      <c r="N686" t="n">
        <v>0</v>
      </c>
      <c r="O686" t="n">
        <v>0</v>
      </c>
      <c r="P686" t="n">
        <v>0</v>
      </c>
      <c r="Q686" t="n">
        <v>0</v>
      </c>
      <c r="R686" s="2" t="inlineStr"/>
    </row>
    <row r="687" ht="15" customHeight="1">
      <c r="A687" t="inlineStr">
        <is>
          <t>A 13526-2023</t>
        </is>
      </c>
      <c r="B687" s="1" t="n">
        <v>45006</v>
      </c>
      <c r="C687" s="1" t="n">
        <v>45964</v>
      </c>
      <c r="D687" t="inlineStr">
        <is>
          <t>UPPSALA LÄN</t>
        </is>
      </c>
      <c r="E687" t="inlineStr">
        <is>
          <t>UPPSALA</t>
        </is>
      </c>
      <c r="G687" t="n">
        <v>0.7</v>
      </c>
      <c r="H687" t="n">
        <v>0</v>
      </c>
      <c r="I687" t="n">
        <v>0</v>
      </c>
      <c r="J687" t="n">
        <v>0</v>
      </c>
      <c r="K687" t="n">
        <v>0</v>
      </c>
      <c r="L687" t="n">
        <v>0</v>
      </c>
      <c r="M687" t="n">
        <v>0</v>
      </c>
      <c r="N687" t="n">
        <v>0</v>
      </c>
      <c r="O687" t="n">
        <v>0</v>
      </c>
      <c r="P687" t="n">
        <v>0</v>
      </c>
      <c r="Q687" t="n">
        <v>0</v>
      </c>
      <c r="R687" s="2" t="inlineStr"/>
    </row>
    <row r="688" ht="15" customHeight="1">
      <c r="A688" t="inlineStr">
        <is>
          <t>A 30839-2025</t>
        </is>
      </c>
      <c r="B688" s="1" t="n">
        <v>45831.73</v>
      </c>
      <c r="C688" s="1" t="n">
        <v>45964</v>
      </c>
      <c r="D688" t="inlineStr">
        <is>
          <t>UPPSALA LÄN</t>
        </is>
      </c>
      <c r="E688" t="inlineStr">
        <is>
          <t>UPPSALA</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1032-2023</t>
        </is>
      </c>
      <c r="B689" s="1" t="n">
        <v>44935</v>
      </c>
      <c r="C689" s="1" t="n">
        <v>45964</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47221-2023</t>
        </is>
      </c>
      <c r="B690" s="1" t="n">
        <v>45202</v>
      </c>
      <c r="C690" s="1" t="n">
        <v>45964</v>
      </c>
      <c r="D690" t="inlineStr">
        <is>
          <t>UPPSALA LÄN</t>
        </is>
      </c>
      <c r="E690" t="inlineStr">
        <is>
          <t>UPPSALA</t>
        </is>
      </c>
      <c r="G690" t="n">
        <v>8.6</v>
      </c>
      <c r="H690" t="n">
        <v>0</v>
      </c>
      <c r="I690" t="n">
        <v>0</v>
      </c>
      <c r="J690" t="n">
        <v>0</v>
      </c>
      <c r="K690" t="n">
        <v>0</v>
      </c>
      <c r="L690" t="n">
        <v>0</v>
      </c>
      <c r="M690" t="n">
        <v>0</v>
      </c>
      <c r="N690" t="n">
        <v>0</v>
      </c>
      <c r="O690" t="n">
        <v>0</v>
      </c>
      <c r="P690" t="n">
        <v>0</v>
      </c>
      <c r="Q690" t="n">
        <v>0</v>
      </c>
      <c r="R690" s="2" t="inlineStr"/>
    </row>
    <row r="691" ht="15" customHeight="1">
      <c r="A691" t="inlineStr">
        <is>
          <t>A 51576-2023</t>
        </is>
      </c>
      <c r="B691" s="1" t="n">
        <v>45222</v>
      </c>
      <c r="C691" s="1" t="n">
        <v>45964</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30585-2025</t>
        </is>
      </c>
      <c r="B692" s="1" t="n">
        <v>45831.42616898148</v>
      </c>
      <c r="C692" s="1" t="n">
        <v>45964</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46773-2025</t>
        </is>
      </c>
      <c r="B693" s="1" t="n">
        <v>45926.63290509259</v>
      </c>
      <c r="C693" s="1" t="n">
        <v>45964</v>
      </c>
      <c r="D693" t="inlineStr">
        <is>
          <t>UPPSALA LÄN</t>
        </is>
      </c>
      <c r="E693" t="inlineStr">
        <is>
          <t>UPPSALA</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27442-2024</t>
        </is>
      </c>
      <c r="B694" s="1" t="n">
        <v>45474.41729166666</v>
      </c>
      <c r="C694" s="1" t="n">
        <v>45964</v>
      </c>
      <c r="D694" t="inlineStr">
        <is>
          <t>UPPSALA LÄN</t>
        </is>
      </c>
      <c r="E694" t="inlineStr">
        <is>
          <t>UPPSALA</t>
        </is>
      </c>
      <c r="F694" t="inlineStr">
        <is>
          <t>Holmen skog AB</t>
        </is>
      </c>
      <c r="G694" t="n">
        <v>2.6</v>
      </c>
      <c r="H694" t="n">
        <v>0</v>
      </c>
      <c r="I694" t="n">
        <v>0</v>
      </c>
      <c r="J694" t="n">
        <v>0</v>
      </c>
      <c r="K694" t="n">
        <v>0</v>
      </c>
      <c r="L694" t="n">
        <v>0</v>
      </c>
      <c r="M694" t="n">
        <v>0</v>
      </c>
      <c r="N694" t="n">
        <v>0</v>
      </c>
      <c r="O694" t="n">
        <v>0</v>
      </c>
      <c r="P694" t="n">
        <v>0</v>
      </c>
      <c r="Q694" t="n">
        <v>0</v>
      </c>
      <c r="R694" s="2" t="inlineStr"/>
    </row>
    <row r="695" ht="15" customHeight="1">
      <c r="A695" t="inlineStr">
        <is>
          <t>A 50267-2023</t>
        </is>
      </c>
      <c r="B695" s="1" t="n">
        <v>45216.39040509259</v>
      </c>
      <c r="C695" s="1" t="n">
        <v>45964</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3040-2023</t>
        </is>
      </c>
      <c r="B696" s="1" t="n">
        <v>44946</v>
      </c>
      <c r="C696" s="1" t="n">
        <v>45964</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30897-2025</t>
        </is>
      </c>
      <c r="B697" s="1" t="n">
        <v>45832.35545138889</v>
      </c>
      <c r="C697" s="1" t="n">
        <v>45964</v>
      </c>
      <c r="D697" t="inlineStr">
        <is>
          <t>UPPSALA LÄN</t>
        </is>
      </c>
      <c r="E697" t="inlineStr">
        <is>
          <t>UPPSALA</t>
        </is>
      </c>
      <c r="F697" t="inlineStr">
        <is>
          <t>Kyrkan</t>
        </is>
      </c>
      <c r="G697" t="n">
        <v>2.8</v>
      </c>
      <c r="H697" t="n">
        <v>0</v>
      </c>
      <c r="I697" t="n">
        <v>0</v>
      </c>
      <c r="J697" t="n">
        <v>0</v>
      </c>
      <c r="K697" t="n">
        <v>0</v>
      </c>
      <c r="L697" t="n">
        <v>0</v>
      </c>
      <c r="M697" t="n">
        <v>0</v>
      </c>
      <c r="N697" t="n">
        <v>0</v>
      </c>
      <c r="O697" t="n">
        <v>0</v>
      </c>
      <c r="P697" t="n">
        <v>0</v>
      </c>
      <c r="Q697" t="n">
        <v>0</v>
      </c>
      <c r="R697" s="2" t="inlineStr"/>
    </row>
    <row r="698" ht="15" customHeight="1">
      <c r="A698" t="inlineStr">
        <is>
          <t>A 66983-2021</t>
        </is>
      </c>
      <c r="B698" s="1" t="n">
        <v>44522</v>
      </c>
      <c r="C698" s="1" t="n">
        <v>45964</v>
      </c>
      <c r="D698" t="inlineStr">
        <is>
          <t>UPPSALA LÄN</t>
        </is>
      </c>
      <c r="E698" t="inlineStr">
        <is>
          <t>UPPSALA</t>
        </is>
      </c>
      <c r="G698" t="n">
        <v>2.5</v>
      </c>
      <c r="H698" t="n">
        <v>0</v>
      </c>
      <c r="I698" t="n">
        <v>0</v>
      </c>
      <c r="J698" t="n">
        <v>0</v>
      </c>
      <c r="K698" t="n">
        <v>0</v>
      </c>
      <c r="L698" t="n">
        <v>0</v>
      </c>
      <c r="M698" t="n">
        <v>0</v>
      </c>
      <c r="N698" t="n">
        <v>0</v>
      </c>
      <c r="O698" t="n">
        <v>0</v>
      </c>
      <c r="P698" t="n">
        <v>0</v>
      </c>
      <c r="Q698" t="n">
        <v>0</v>
      </c>
      <c r="R698" s="2" t="inlineStr"/>
    </row>
    <row r="699" ht="15" customHeight="1">
      <c r="A699" t="inlineStr">
        <is>
          <t>A 6058-2025</t>
        </is>
      </c>
      <c r="B699" s="1" t="n">
        <v>45695.83655092592</v>
      </c>
      <c r="C699" s="1" t="n">
        <v>45964</v>
      </c>
      <c r="D699" t="inlineStr">
        <is>
          <t>UPPSALA LÄN</t>
        </is>
      </c>
      <c r="E699" t="inlineStr">
        <is>
          <t>UPPSALA</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30898-2025</t>
        </is>
      </c>
      <c r="B700" s="1" t="n">
        <v>45832.35590277778</v>
      </c>
      <c r="C700" s="1" t="n">
        <v>45964</v>
      </c>
      <c r="D700" t="inlineStr">
        <is>
          <t>UPPSALA LÄN</t>
        </is>
      </c>
      <c r="E700" t="inlineStr">
        <is>
          <t>UPPSALA</t>
        </is>
      </c>
      <c r="F700" t="inlineStr">
        <is>
          <t>Kyrkan</t>
        </is>
      </c>
      <c r="G700" t="n">
        <v>2.8</v>
      </c>
      <c r="H700" t="n">
        <v>0</v>
      </c>
      <c r="I700" t="n">
        <v>0</v>
      </c>
      <c r="J700" t="n">
        <v>0</v>
      </c>
      <c r="K700" t="n">
        <v>0</v>
      </c>
      <c r="L700" t="n">
        <v>0</v>
      </c>
      <c r="M700" t="n">
        <v>0</v>
      </c>
      <c r="N700" t="n">
        <v>0</v>
      </c>
      <c r="O700" t="n">
        <v>0</v>
      </c>
      <c r="P700" t="n">
        <v>0</v>
      </c>
      <c r="Q700" t="n">
        <v>0</v>
      </c>
      <c r="R700" s="2" t="inlineStr"/>
    </row>
    <row r="701" ht="15" customHeight="1">
      <c r="A701" t="inlineStr">
        <is>
          <t>A 5028-2022</t>
        </is>
      </c>
      <c r="B701" s="1" t="n">
        <v>44593.64863425926</v>
      </c>
      <c r="C701" s="1" t="n">
        <v>45964</v>
      </c>
      <c r="D701" t="inlineStr">
        <is>
          <t>UPPSALA LÄN</t>
        </is>
      </c>
      <c r="E701" t="inlineStr">
        <is>
          <t>UPPSALA</t>
        </is>
      </c>
      <c r="F701" t="inlineStr">
        <is>
          <t>Holmen skog AB</t>
        </is>
      </c>
      <c r="G701" t="n">
        <v>1.6</v>
      </c>
      <c r="H701" t="n">
        <v>0</v>
      </c>
      <c r="I701" t="n">
        <v>0</v>
      </c>
      <c r="J701" t="n">
        <v>0</v>
      </c>
      <c r="K701" t="n">
        <v>0</v>
      </c>
      <c r="L701" t="n">
        <v>0</v>
      </c>
      <c r="M701" t="n">
        <v>0</v>
      </c>
      <c r="N701" t="n">
        <v>0</v>
      </c>
      <c r="O701" t="n">
        <v>0</v>
      </c>
      <c r="P701" t="n">
        <v>0</v>
      </c>
      <c r="Q701" t="n">
        <v>0</v>
      </c>
      <c r="R701" s="2" t="inlineStr"/>
    </row>
    <row r="702" ht="15" customHeight="1">
      <c r="A702" t="inlineStr">
        <is>
          <t>A 59358-2024</t>
        </is>
      </c>
      <c r="B702" s="1" t="n">
        <v>45638</v>
      </c>
      <c r="C702" s="1" t="n">
        <v>45964</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36479-2023</t>
        </is>
      </c>
      <c r="B703" s="1" t="n">
        <v>45152</v>
      </c>
      <c r="C703" s="1" t="n">
        <v>45964</v>
      </c>
      <c r="D703" t="inlineStr">
        <is>
          <t>UPPSALA LÄN</t>
        </is>
      </c>
      <c r="E703" t="inlineStr">
        <is>
          <t>UPPSALA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600-2024</t>
        </is>
      </c>
      <c r="B704" s="1" t="n">
        <v>45299</v>
      </c>
      <c r="C704" s="1" t="n">
        <v>45964</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37819-2021</t>
        </is>
      </c>
      <c r="B705" s="1" t="n">
        <v>44403.29719907408</v>
      </c>
      <c r="C705" s="1" t="n">
        <v>45964</v>
      </c>
      <c r="D705" t="inlineStr">
        <is>
          <t>UPPSALA LÄN</t>
        </is>
      </c>
      <c r="E705" t="inlineStr">
        <is>
          <t>UPPSALA</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44678.3315625</v>
      </c>
      <c r="C706" s="1" t="n">
        <v>45964</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61805-2021</t>
        </is>
      </c>
      <c r="B707" s="1" t="n">
        <v>44501.71344907407</v>
      </c>
      <c r="C707" s="1" t="n">
        <v>45964</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4312-2022</t>
        </is>
      </c>
      <c r="B708" s="1" t="n">
        <v>44588</v>
      </c>
      <c r="C708" s="1" t="n">
        <v>45964</v>
      </c>
      <c r="D708" t="inlineStr">
        <is>
          <t>UPPSALA LÄN</t>
        </is>
      </c>
      <c r="E708" t="inlineStr">
        <is>
          <t>UPPSALA</t>
        </is>
      </c>
      <c r="G708" t="n">
        <v>1.1</v>
      </c>
      <c r="H708" t="n">
        <v>0</v>
      </c>
      <c r="I708" t="n">
        <v>0</v>
      </c>
      <c r="J708" t="n">
        <v>0</v>
      </c>
      <c r="K708" t="n">
        <v>0</v>
      </c>
      <c r="L708" t="n">
        <v>0</v>
      </c>
      <c r="M708" t="n">
        <v>0</v>
      </c>
      <c r="N708" t="n">
        <v>0</v>
      </c>
      <c r="O708" t="n">
        <v>0</v>
      </c>
      <c r="P708" t="n">
        <v>0</v>
      </c>
      <c r="Q708" t="n">
        <v>0</v>
      </c>
      <c r="R708" s="2" t="inlineStr"/>
    </row>
    <row r="709" ht="15" customHeight="1">
      <c r="A709" t="inlineStr">
        <is>
          <t>A 60814-2023</t>
        </is>
      </c>
      <c r="B709" s="1" t="n">
        <v>45259</v>
      </c>
      <c r="C709" s="1" t="n">
        <v>45964</v>
      </c>
      <c r="D709" t="inlineStr">
        <is>
          <t>UPPSALA LÄN</t>
        </is>
      </c>
      <c r="E709" t="inlineStr">
        <is>
          <t>UPPSALA</t>
        </is>
      </c>
      <c r="G709" t="n">
        <v>5.9</v>
      </c>
      <c r="H709" t="n">
        <v>0</v>
      </c>
      <c r="I709" t="n">
        <v>0</v>
      </c>
      <c r="J709" t="n">
        <v>0</v>
      </c>
      <c r="K709" t="n">
        <v>0</v>
      </c>
      <c r="L709" t="n">
        <v>0</v>
      </c>
      <c r="M709" t="n">
        <v>0</v>
      </c>
      <c r="N709" t="n">
        <v>0</v>
      </c>
      <c r="O709" t="n">
        <v>0</v>
      </c>
      <c r="P709" t="n">
        <v>0</v>
      </c>
      <c r="Q709" t="n">
        <v>0</v>
      </c>
      <c r="R709" s="2" t="inlineStr"/>
    </row>
    <row r="710" ht="15" customHeight="1">
      <c r="A710" t="inlineStr">
        <is>
          <t>A 60003-2024</t>
        </is>
      </c>
      <c r="B710" s="1" t="n">
        <v>45642</v>
      </c>
      <c r="C710" s="1" t="n">
        <v>45964</v>
      </c>
      <c r="D710" t="inlineStr">
        <is>
          <t>UPPSALA LÄN</t>
        </is>
      </c>
      <c r="E710" t="inlineStr">
        <is>
          <t>UPPSALA</t>
        </is>
      </c>
      <c r="F710" t="inlineStr">
        <is>
          <t>Bergvik skog väst AB</t>
        </is>
      </c>
      <c r="G710" t="n">
        <v>14.5</v>
      </c>
      <c r="H710" t="n">
        <v>0</v>
      </c>
      <c r="I710" t="n">
        <v>0</v>
      </c>
      <c r="J710" t="n">
        <v>0</v>
      </c>
      <c r="K710" t="n">
        <v>0</v>
      </c>
      <c r="L710" t="n">
        <v>0</v>
      </c>
      <c r="M710" t="n">
        <v>0</v>
      </c>
      <c r="N710" t="n">
        <v>0</v>
      </c>
      <c r="O710" t="n">
        <v>0</v>
      </c>
      <c r="P710" t="n">
        <v>0</v>
      </c>
      <c r="Q710" t="n">
        <v>0</v>
      </c>
      <c r="R710" s="2" t="inlineStr"/>
    </row>
    <row r="711" ht="15" customHeight="1">
      <c r="A711" t="inlineStr">
        <is>
          <t>A 53963-2023</t>
        </is>
      </c>
      <c r="B711" s="1" t="n">
        <v>45231.62840277778</v>
      </c>
      <c r="C711" s="1" t="n">
        <v>45964</v>
      </c>
      <c r="D711" t="inlineStr">
        <is>
          <t>UPPSALA LÄN</t>
        </is>
      </c>
      <c r="E711" t="inlineStr">
        <is>
          <t>UPPSALA</t>
        </is>
      </c>
      <c r="G711" t="n">
        <v>1.9</v>
      </c>
      <c r="H711" t="n">
        <v>0</v>
      </c>
      <c r="I711" t="n">
        <v>0</v>
      </c>
      <c r="J711" t="n">
        <v>0</v>
      </c>
      <c r="K711" t="n">
        <v>0</v>
      </c>
      <c r="L711" t="n">
        <v>0</v>
      </c>
      <c r="M711" t="n">
        <v>0</v>
      </c>
      <c r="N711" t="n">
        <v>0</v>
      </c>
      <c r="O711" t="n">
        <v>0</v>
      </c>
      <c r="P711" t="n">
        <v>0</v>
      </c>
      <c r="Q711" t="n">
        <v>0</v>
      </c>
      <c r="R711" s="2" t="inlineStr"/>
    </row>
    <row r="712" ht="15" customHeight="1">
      <c r="A712" t="inlineStr">
        <is>
          <t>A 7501-2025</t>
        </is>
      </c>
      <c r="B712" s="1" t="n">
        <v>45705</v>
      </c>
      <c r="C712" s="1" t="n">
        <v>45964</v>
      </c>
      <c r="D712" t="inlineStr">
        <is>
          <t>UPPSALA LÄN</t>
        </is>
      </c>
      <c r="E712" t="inlineStr">
        <is>
          <t>UPPSALA</t>
        </is>
      </c>
      <c r="G712" t="n">
        <v>4.2</v>
      </c>
      <c r="H712" t="n">
        <v>0</v>
      </c>
      <c r="I712" t="n">
        <v>0</v>
      </c>
      <c r="J712" t="n">
        <v>0</v>
      </c>
      <c r="K712" t="n">
        <v>0</v>
      </c>
      <c r="L712" t="n">
        <v>0</v>
      </c>
      <c r="M712" t="n">
        <v>0</v>
      </c>
      <c r="N712" t="n">
        <v>0</v>
      </c>
      <c r="O712" t="n">
        <v>0</v>
      </c>
      <c r="P712" t="n">
        <v>0</v>
      </c>
      <c r="Q712" t="n">
        <v>0</v>
      </c>
      <c r="R712" s="2" t="inlineStr"/>
    </row>
    <row r="713" ht="15" customHeight="1">
      <c r="A713" t="inlineStr">
        <is>
          <t>A 60444-2023</t>
        </is>
      </c>
      <c r="B713" s="1" t="n">
        <v>45259.52809027778</v>
      </c>
      <c r="C713" s="1" t="n">
        <v>45964</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1838-2024</t>
        </is>
      </c>
      <c r="B714" s="1" t="n">
        <v>45307</v>
      </c>
      <c r="C714" s="1" t="n">
        <v>45964</v>
      </c>
      <c r="D714" t="inlineStr">
        <is>
          <t>UPPSALA LÄN</t>
        </is>
      </c>
      <c r="E714" t="inlineStr">
        <is>
          <t>UPPSALA</t>
        </is>
      </c>
      <c r="G714" t="n">
        <v>1.8</v>
      </c>
      <c r="H714" t="n">
        <v>0</v>
      </c>
      <c r="I714" t="n">
        <v>0</v>
      </c>
      <c r="J714" t="n">
        <v>0</v>
      </c>
      <c r="K714" t="n">
        <v>0</v>
      </c>
      <c r="L714" t="n">
        <v>0</v>
      </c>
      <c r="M714" t="n">
        <v>0</v>
      </c>
      <c r="N714" t="n">
        <v>0</v>
      </c>
      <c r="O714" t="n">
        <v>0</v>
      </c>
      <c r="P714" t="n">
        <v>0</v>
      </c>
      <c r="Q714" t="n">
        <v>0</v>
      </c>
      <c r="R714" s="2" t="inlineStr"/>
    </row>
    <row r="715" ht="15" customHeight="1">
      <c r="A715" t="inlineStr">
        <is>
          <t>A 8109-2024</t>
        </is>
      </c>
      <c r="B715" s="1" t="n">
        <v>45351.48662037037</v>
      </c>
      <c r="C715" s="1" t="n">
        <v>45964</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32252-2025</t>
        </is>
      </c>
      <c r="B716" s="1" t="n">
        <v>45835.62752314815</v>
      </c>
      <c r="C716" s="1" t="n">
        <v>45964</v>
      </c>
      <c r="D716" t="inlineStr">
        <is>
          <t>UPPSALA LÄN</t>
        </is>
      </c>
      <c r="E716" t="inlineStr">
        <is>
          <t>UPPSALA</t>
        </is>
      </c>
      <c r="F716" t="inlineStr">
        <is>
          <t>Kyrkan</t>
        </is>
      </c>
      <c r="G716" t="n">
        <v>3.8</v>
      </c>
      <c r="H716" t="n">
        <v>0</v>
      </c>
      <c r="I716" t="n">
        <v>0</v>
      </c>
      <c r="J716" t="n">
        <v>0</v>
      </c>
      <c r="K716" t="n">
        <v>0</v>
      </c>
      <c r="L716" t="n">
        <v>0</v>
      </c>
      <c r="M716" t="n">
        <v>0</v>
      </c>
      <c r="N716" t="n">
        <v>0</v>
      </c>
      <c r="O716" t="n">
        <v>0</v>
      </c>
      <c r="P716" t="n">
        <v>0</v>
      </c>
      <c r="Q716" t="n">
        <v>0</v>
      </c>
      <c r="R716" s="2" t="inlineStr"/>
    </row>
    <row r="717" ht="15" customHeight="1">
      <c r="A717" t="inlineStr">
        <is>
          <t>A 11201-2024</t>
        </is>
      </c>
      <c r="B717" s="1" t="n">
        <v>45371</v>
      </c>
      <c r="C717" s="1" t="n">
        <v>45964</v>
      </c>
      <c r="D717" t="inlineStr">
        <is>
          <t>UPPSALA LÄN</t>
        </is>
      </c>
      <c r="E717" t="inlineStr">
        <is>
          <t>UPPSALA</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59996-2024</t>
        </is>
      </c>
      <c r="B718" s="1" t="n">
        <v>45642</v>
      </c>
      <c r="C718" s="1" t="n">
        <v>45964</v>
      </c>
      <c r="D718" t="inlineStr">
        <is>
          <t>UPPSALA LÄN</t>
        </is>
      </c>
      <c r="E718" t="inlineStr">
        <is>
          <t>UPPSALA</t>
        </is>
      </c>
      <c r="F718" t="inlineStr">
        <is>
          <t>Bergvik skog väst AB</t>
        </is>
      </c>
      <c r="G718" t="n">
        <v>14.5</v>
      </c>
      <c r="H718" t="n">
        <v>0</v>
      </c>
      <c r="I718" t="n">
        <v>0</v>
      </c>
      <c r="J718" t="n">
        <v>0</v>
      </c>
      <c r="K718" t="n">
        <v>0</v>
      </c>
      <c r="L718" t="n">
        <v>0</v>
      </c>
      <c r="M718" t="n">
        <v>0</v>
      </c>
      <c r="N718" t="n">
        <v>0</v>
      </c>
      <c r="O718" t="n">
        <v>0</v>
      </c>
      <c r="P718" t="n">
        <v>0</v>
      </c>
      <c r="Q718" t="n">
        <v>0</v>
      </c>
      <c r="R718" s="2" t="inlineStr"/>
    </row>
    <row r="719" ht="15" customHeight="1">
      <c r="A719" t="inlineStr">
        <is>
          <t>A 13644-2024</t>
        </is>
      </c>
      <c r="B719" s="1" t="n">
        <v>45390</v>
      </c>
      <c r="C719" s="1" t="n">
        <v>45964</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44815-2023</t>
        </is>
      </c>
      <c r="B720" s="1" t="n">
        <v>45190</v>
      </c>
      <c r="C720" s="1" t="n">
        <v>45964</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28958-2025</t>
        </is>
      </c>
      <c r="B721" s="1" t="n">
        <v>45821.31292824074</v>
      </c>
      <c r="C721" s="1" t="n">
        <v>45964</v>
      </c>
      <c r="D721" t="inlineStr">
        <is>
          <t>UPPSALA LÄN</t>
        </is>
      </c>
      <c r="E721" t="inlineStr">
        <is>
          <t>UPPSALA</t>
        </is>
      </c>
      <c r="G721" t="n">
        <v>4.6</v>
      </c>
      <c r="H721" t="n">
        <v>0</v>
      </c>
      <c r="I721" t="n">
        <v>0</v>
      </c>
      <c r="J721" t="n">
        <v>0</v>
      </c>
      <c r="K721" t="n">
        <v>0</v>
      </c>
      <c r="L721" t="n">
        <v>0</v>
      </c>
      <c r="M721" t="n">
        <v>0</v>
      </c>
      <c r="N721" t="n">
        <v>0</v>
      </c>
      <c r="O721" t="n">
        <v>0</v>
      </c>
      <c r="P721" t="n">
        <v>0</v>
      </c>
      <c r="Q721" t="n">
        <v>0</v>
      </c>
      <c r="R721" s="2" t="inlineStr"/>
    </row>
    <row r="722" ht="15" customHeight="1">
      <c r="A722" t="inlineStr">
        <is>
          <t>A 32923-2025</t>
        </is>
      </c>
      <c r="B722" s="1" t="n">
        <v>45839</v>
      </c>
      <c r="C722" s="1" t="n">
        <v>45964</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20102-2023</t>
        </is>
      </c>
      <c r="B723" s="1" t="n">
        <v>45054.95675925926</v>
      </c>
      <c r="C723" s="1" t="n">
        <v>45964</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1975-2022</t>
        </is>
      </c>
      <c r="B724" s="1" t="n">
        <v>44575</v>
      </c>
      <c r="C724" s="1" t="n">
        <v>45964</v>
      </c>
      <c r="D724" t="inlineStr">
        <is>
          <t>UPPSALA LÄN</t>
        </is>
      </c>
      <c r="E724" t="inlineStr">
        <is>
          <t>UPPSALA</t>
        </is>
      </c>
      <c r="G724" t="n">
        <v>3.9</v>
      </c>
      <c r="H724" t="n">
        <v>0</v>
      </c>
      <c r="I724" t="n">
        <v>0</v>
      </c>
      <c r="J724" t="n">
        <v>0</v>
      </c>
      <c r="K724" t="n">
        <v>0</v>
      </c>
      <c r="L724" t="n">
        <v>0</v>
      </c>
      <c r="M724" t="n">
        <v>0</v>
      </c>
      <c r="N724" t="n">
        <v>0</v>
      </c>
      <c r="O724" t="n">
        <v>0</v>
      </c>
      <c r="P724" t="n">
        <v>0</v>
      </c>
      <c r="Q724" t="n">
        <v>0</v>
      </c>
      <c r="R724" s="2" t="inlineStr"/>
    </row>
    <row r="725" ht="15" customHeight="1">
      <c r="A725" t="inlineStr">
        <is>
          <t>A 11568-2023</t>
        </is>
      </c>
      <c r="B725" s="1" t="n">
        <v>44994</v>
      </c>
      <c r="C725" s="1" t="n">
        <v>45964</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29145-2021</t>
        </is>
      </c>
      <c r="B726" s="1" t="n">
        <v>44358.63490740741</v>
      </c>
      <c r="C726" s="1" t="n">
        <v>45964</v>
      </c>
      <c r="D726" t="inlineStr">
        <is>
          <t>UPPSALA LÄN</t>
        </is>
      </c>
      <c r="E726" t="inlineStr">
        <is>
          <t>UPPSALA</t>
        </is>
      </c>
      <c r="G726" t="n">
        <v>2.4</v>
      </c>
      <c r="H726" t="n">
        <v>0</v>
      </c>
      <c r="I726" t="n">
        <v>0</v>
      </c>
      <c r="J726" t="n">
        <v>0</v>
      </c>
      <c r="K726" t="n">
        <v>0</v>
      </c>
      <c r="L726" t="n">
        <v>0</v>
      </c>
      <c r="M726" t="n">
        <v>0</v>
      </c>
      <c r="N726" t="n">
        <v>0</v>
      </c>
      <c r="O726" t="n">
        <v>0</v>
      </c>
      <c r="P726" t="n">
        <v>0</v>
      </c>
      <c r="Q726" t="n">
        <v>0</v>
      </c>
      <c r="R726" s="2" t="inlineStr"/>
    </row>
    <row r="727" ht="15" customHeight="1">
      <c r="A727" t="inlineStr">
        <is>
          <t>A 32711-2025</t>
        </is>
      </c>
      <c r="B727" s="1" t="n">
        <v>45839</v>
      </c>
      <c r="C727" s="1" t="n">
        <v>45964</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c r="U727">
        <f>HYPERLINK("https://klasma.github.io/Logging_0380/knärot/A 32711-2025 karta knärot.png", "A 32711-2025")</f>
        <v/>
      </c>
      <c r="V727">
        <f>HYPERLINK("https://klasma.github.io/Logging_0380/klagomål/A 32711-2025 FSC-klagomål.docx", "A 32711-2025")</f>
        <v/>
      </c>
      <c r="W727">
        <f>HYPERLINK("https://klasma.github.io/Logging_0380/klagomålsmail/A 32711-2025 FSC-klagomål mail.docx", "A 32711-2025")</f>
        <v/>
      </c>
      <c r="X727">
        <f>HYPERLINK("https://klasma.github.io/Logging_0380/tillsyn/A 32711-2025 tillsynsbegäran.docx", "A 32711-2025")</f>
        <v/>
      </c>
      <c r="Y727">
        <f>HYPERLINK("https://klasma.github.io/Logging_0380/tillsynsmail/A 32711-2025 tillsynsbegäran mail.docx", "A 32711-2025")</f>
        <v/>
      </c>
    </row>
    <row r="728" ht="15" customHeight="1">
      <c r="A728" t="inlineStr">
        <is>
          <t>A 17562-2022</t>
        </is>
      </c>
      <c r="B728" s="1" t="n">
        <v>44679.68706018518</v>
      </c>
      <c r="C728" s="1" t="n">
        <v>45964</v>
      </c>
      <c r="D728" t="inlineStr">
        <is>
          <t>UPPSALA LÄN</t>
        </is>
      </c>
      <c r="E728" t="inlineStr">
        <is>
          <t>UPPSALA</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59719-2022</t>
        </is>
      </c>
      <c r="B729" s="1" t="n">
        <v>44908.425625</v>
      </c>
      <c r="C729" s="1" t="n">
        <v>45964</v>
      </c>
      <c r="D729" t="inlineStr">
        <is>
          <t>UPPSALA LÄN</t>
        </is>
      </c>
      <c r="E729" t="inlineStr">
        <is>
          <t>UPPSALA</t>
        </is>
      </c>
      <c r="G729" t="n">
        <v>3.6</v>
      </c>
      <c r="H729" t="n">
        <v>0</v>
      </c>
      <c r="I729" t="n">
        <v>0</v>
      </c>
      <c r="J729" t="n">
        <v>0</v>
      </c>
      <c r="K729" t="n">
        <v>0</v>
      </c>
      <c r="L729" t="n">
        <v>0</v>
      </c>
      <c r="M729" t="n">
        <v>0</v>
      </c>
      <c r="N729" t="n">
        <v>0</v>
      </c>
      <c r="O729" t="n">
        <v>0</v>
      </c>
      <c r="P729" t="n">
        <v>0</v>
      </c>
      <c r="Q729" t="n">
        <v>0</v>
      </c>
      <c r="R729" s="2" t="inlineStr"/>
    </row>
    <row r="730" ht="15" customHeight="1">
      <c r="A730" t="inlineStr">
        <is>
          <t>A 60445-2024</t>
        </is>
      </c>
      <c r="B730" s="1" t="n">
        <v>45643</v>
      </c>
      <c r="C730" s="1" t="n">
        <v>45964</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33571-2025</t>
        </is>
      </c>
      <c r="B731" s="1" t="n">
        <v>45841.5847337963</v>
      </c>
      <c r="C731" s="1" t="n">
        <v>45964</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38934-2023</t>
        </is>
      </c>
      <c r="B732" s="1" t="n">
        <v>45163.59913194444</v>
      </c>
      <c r="C732" s="1" t="n">
        <v>45964</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33261-2025</t>
        </is>
      </c>
      <c r="B733" s="1" t="n">
        <v>45840</v>
      </c>
      <c r="C733" s="1" t="n">
        <v>45964</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42681-2023</t>
        </is>
      </c>
      <c r="B734" s="1" t="n">
        <v>45181.58055555556</v>
      </c>
      <c r="C734" s="1" t="n">
        <v>45964</v>
      </c>
      <c r="D734" t="inlineStr">
        <is>
          <t>UPPSALA LÄN</t>
        </is>
      </c>
      <c r="E734" t="inlineStr">
        <is>
          <t>UPPSALA</t>
        </is>
      </c>
      <c r="F734" t="inlineStr">
        <is>
          <t>Bergvik skog öst AB</t>
        </is>
      </c>
      <c r="G734" t="n">
        <v>3.1</v>
      </c>
      <c r="H734" t="n">
        <v>0</v>
      </c>
      <c r="I734" t="n">
        <v>0</v>
      </c>
      <c r="J734" t="n">
        <v>0</v>
      </c>
      <c r="K734" t="n">
        <v>0</v>
      </c>
      <c r="L734" t="n">
        <v>0</v>
      </c>
      <c r="M734" t="n">
        <v>0</v>
      </c>
      <c r="N734" t="n">
        <v>0</v>
      </c>
      <c r="O734" t="n">
        <v>0</v>
      </c>
      <c r="P734" t="n">
        <v>0</v>
      </c>
      <c r="Q734" t="n">
        <v>0</v>
      </c>
      <c r="R734" s="2" t="inlineStr"/>
    </row>
    <row r="735" ht="15" customHeight="1">
      <c r="A735" t="inlineStr">
        <is>
          <t>A 25776-2022</t>
        </is>
      </c>
      <c r="B735" s="1" t="n">
        <v>44733</v>
      </c>
      <c r="C735" s="1" t="n">
        <v>45964</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33941-2023</t>
        </is>
      </c>
      <c r="B736" s="1" t="n">
        <v>45134.57021990741</v>
      </c>
      <c r="C736" s="1" t="n">
        <v>45964</v>
      </c>
      <c r="D736" t="inlineStr">
        <is>
          <t>UPPSALA LÄN</t>
        </is>
      </c>
      <c r="E736" t="inlineStr">
        <is>
          <t>UPPSALA</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50954-2022</t>
        </is>
      </c>
      <c r="B737" s="1" t="n">
        <v>44866</v>
      </c>
      <c r="C737" s="1" t="n">
        <v>45964</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36392-2023</t>
        </is>
      </c>
      <c r="B738" s="1" t="n">
        <v>45152</v>
      </c>
      <c r="C738" s="1" t="n">
        <v>45964</v>
      </c>
      <c r="D738" t="inlineStr">
        <is>
          <t>UPPSALA LÄN</t>
        </is>
      </c>
      <c r="E738" t="inlineStr">
        <is>
          <t>UPPSALA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9982-2025</t>
        </is>
      </c>
      <c r="B739" s="1" t="n">
        <v>45719.4094212963</v>
      </c>
      <c r="C739" s="1" t="n">
        <v>45964</v>
      </c>
      <c r="D739" t="inlineStr">
        <is>
          <t>UPPSALA LÄN</t>
        </is>
      </c>
      <c r="E739" t="inlineStr">
        <is>
          <t>UPPSALA</t>
        </is>
      </c>
      <c r="F739" t="inlineStr">
        <is>
          <t>Kyrkan</t>
        </is>
      </c>
      <c r="G739" t="n">
        <v>2.9</v>
      </c>
      <c r="H739" t="n">
        <v>0</v>
      </c>
      <c r="I739" t="n">
        <v>0</v>
      </c>
      <c r="J739" t="n">
        <v>0</v>
      </c>
      <c r="K739" t="n">
        <v>0</v>
      </c>
      <c r="L739" t="n">
        <v>0</v>
      </c>
      <c r="M739" t="n">
        <v>0</v>
      </c>
      <c r="N739" t="n">
        <v>0</v>
      </c>
      <c r="O739" t="n">
        <v>0</v>
      </c>
      <c r="P739" t="n">
        <v>0</v>
      </c>
      <c r="Q739" t="n">
        <v>0</v>
      </c>
      <c r="R739" s="2" t="inlineStr"/>
    </row>
    <row r="740" ht="15" customHeight="1">
      <c r="A740" t="inlineStr">
        <is>
          <t>A 9995-2025</t>
        </is>
      </c>
      <c r="B740" s="1" t="n">
        <v>45719.43872685185</v>
      </c>
      <c r="C740" s="1" t="n">
        <v>45964</v>
      </c>
      <c r="D740" t="inlineStr">
        <is>
          <t>UPPSALA LÄN</t>
        </is>
      </c>
      <c r="E740" t="inlineStr">
        <is>
          <t>UPPSALA</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33272-2025</t>
        </is>
      </c>
      <c r="B741" s="1" t="n">
        <v>45840.68518518518</v>
      </c>
      <c r="C741" s="1" t="n">
        <v>45964</v>
      </c>
      <c r="D741" t="inlineStr">
        <is>
          <t>UPPSALA LÄN</t>
        </is>
      </c>
      <c r="E741" t="inlineStr">
        <is>
          <t>UPPSALA</t>
        </is>
      </c>
      <c r="G741" t="n">
        <v>4.7</v>
      </c>
      <c r="H741" t="n">
        <v>0</v>
      </c>
      <c r="I741" t="n">
        <v>0</v>
      </c>
      <c r="J741" t="n">
        <v>0</v>
      </c>
      <c r="K741" t="n">
        <v>0</v>
      </c>
      <c r="L741" t="n">
        <v>0</v>
      </c>
      <c r="M741" t="n">
        <v>0</v>
      </c>
      <c r="N741" t="n">
        <v>0</v>
      </c>
      <c r="O741" t="n">
        <v>0</v>
      </c>
      <c r="P741" t="n">
        <v>0</v>
      </c>
      <c r="Q741" t="n">
        <v>0</v>
      </c>
      <c r="R741" s="2" t="inlineStr"/>
    </row>
    <row r="742" ht="15" customHeight="1">
      <c r="A742" t="inlineStr">
        <is>
          <t>A 19276-2023</t>
        </is>
      </c>
      <c r="B742" s="1" t="n">
        <v>45049</v>
      </c>
      <c r="C742" s="1" t="n">
        <v>45964</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47287-2023</t>
        </is>
      </c>
      <c r="B743" s="1" t="n">
        <v>45202</v>
      </c>
      <c r="C743" s="1" t="n">
        <v>45964</v>
      </c>
      <c r="D743" t="inlineStr">
        <is>
          <t>UPPSALA LÄN</t>
        </is>
      </c>
      <c r="E743" t="inlineStr">
        <is>
          <t>UPPSALA</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60447-2023</t>
        </is>
      </c>
      <c r="B744" s="1" t="n">
        <v>45259</v>
      </c>
      <c r="C744" s="1" t="n">
        <v>45964</v>
      </c>
      <c r="D744" t="inlineStr">
        <is>
          <t>UPPSALA LÄN</t>
        </is>
      </c>
      <c r="E744" t="inlineStr">
        <is>
          <t>UPPSALA</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33964-2025</t>
        </is>
      </c>
      <c r="B745" s="1" t="n">
        <v>45842.74049768518</v>
      </c>
      <c r="C745" s="1" t="n">
        <v>45964</v>
      </c>
      <c r="D745" t="inlineStr">
        <is>
          <t>UPPSALA LÄN</t>
        </is>
      </c>
      <c r="E745" t="inlineStr">
        <is>
          <t>UPPSALA</t>
        </is>
      </c>
      <c r="G745" t="n">
        <v>2.7</v>
      </c>
      <c r="H745" t="n">
        <v>0</v>
      </c>
      <c r="I745" t="n">
        <v>0</v>
      </c>
      <c r="J745" t="n">
        <v>0</v>
      </c>
      <c r="K745" t="n">
        <v>0</v>
      </c>
      <c r="L745" t="n">
        <v>0</v>
      </c>
      <c r="M745" t="n">
        <v>0</v>
      </c>
      <c r="N745" t="n">
        <v>0</v>
      </c>
      <c r="O745" t="n">
        <v>0</v>
      </c>
      <c r="P745" t="n">
        <v>0</v>
      </c>
      <c r="Q745" t="n">
        <v>0</v>
      </c>
      <c r="R745" s="2" t="inlineStr"/>
    </row>
    <row r="746" ht="15" customHeight="1">
      <c r="A746" t="inlineStr">
        <is>
          <t>A 36478-2023</t>
        </is>
      </c>
      <c r="B746" s="1" t="n">
        <v>45152</v>
      </c>
      <c r="C746" s="1" t="n">
        <v>45964</v>
      </c>
      <c r="D746" t="inlineStr">
        <is>
          <t>UPPSALA LÄN</t>
        </is>
      </c>
      <c r="E746" t="inlineStr">
        <is>
          <t>UPPSALA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3314-2025</t>
        </is>
      </c>
      <c r="B747" s="1" t="n">
        <v>45679</v>
      </c>
      <c r="C747" s="1" t="n">
        <v>45964</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6630-2024</t>
        </is>
      </c>
      <c r="B748" s="1" t="n">
        <v>45341.63811342593</v>
      </c>
      <c r="C748" s="1" t="n">
        <v>45964</v>
      </c>
      <c r="D748" t="inlineStr">
        <is>
          <t>UPPSALA LÄN</t>
        </is>
      </c>
      <c r="E748" t="inlineStr">
        <is>
          <t>UPPSALA</t>
        </is>
      </c>
      <c r="G748" t="n">
        <v>1.7</v>
      </c>
      <c r="H748" t="n">
        <v>0</v>
      </c>
      <c r="I748" t="n">
        <v>0</v>
      </c>
      <c r="J748" t="n">
        <v>0</v>
      </c>
      <c r="K748" t="n">
        <v>0</v>
      </c>
      <c r="L748" t="n">
        <v>0</v>
      </c>
      <c r="M748" t="n">
        <v>0</v>
      </c>
      <c r="N748" t="n">
        <v>0</v>
      </c>
      <c r="O748" t="n">
        <v>0</v>
      </c>
      <c r="P748" t="n">
        <v>0</v>
      </c>
      <c r="Q748" t="n">
        <v>0</v>
      </c>
      <c r="R748" s="2" t="inlineStr"/>
    </row>
    <row r="749" ht="15" customHeight="1">
      <c r="A749" t="inlineStr">
        <is>
          <t>A 22431-2024</t>
        </is>
      </c>
      <c r="B749" s="1" t="n">
        <v>45446.78256944445</v>
      </c>
      <c r="C749" s="1" t="n">
        <v>45964</v>
      </c>
      <c r="D749" t="inlineStr">
        <is>
          <t>UPPSALA LÄN</t>
        </is>
      </c>
      <c r="E749" t="inlineStr">
        <is>
          <t>UPPSALA</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18625-2025</t>
        </is>
      </c>
      <c r="B750" s="1" t="n">
        <v>45763.52744212963</v>
      </c>
      <c r="C750" s="1" t="n">
        <v>45964</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1855-2021</t>
        </is>
      </c>
      <c r="B751" s="1" t="n">
        <v>44210</v>
      </c>
      <c r="C751" s="1" t="n">
        <v>45964</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34114-2024</t>
        </is>
      </c>
      <c r="B752" s="1" t="n">
        <v>45524</v>
      </c>
      <c r="C752" s="1" t="n">
        <v>45964</v>
      </c>
      <c r="D752" t="inlineStr">
        <is>
          <t>UPPSALA LÄN</t>
        </is>
      </c>
      <c r="E752" t="inlineStr">
        <is>
          <t>UPPSALA</t>
        </is>
      </c>
      <c r="F752" t="inlineStr">
        <is>
          <t>Allmännings- och besparingsskogar</t>
        </is>
      </c>
      <c r="G752" t="n">
        <v>1.3</v>
      </c>
      <c r="H752" t="n">
        <v>0</v>
      </c>
      <c r="I752" t="n">
        <v>0</v>
      </c>
      <c r="J752" t="n">
        <v>0</v>
      </c>
      <c r="K752" t="n">
        <v>0</v>
      </c>
      <c r="L752" t="n">
        <v>0</v>
      </c>
      <c r="M752" t="n">
        <v>0</v>
      </c>
      <c r="N752" t="n">
        <v>0</v>
      </c>
      <c r="O752" t="n">
        <v>0</v>
      </c>
      <c r="P752" t="n">
        <v>0</v>
      </c>
      <c r="Q752" t="n">
        <v>0</v>
      </c>
      <c r="R752" s="2" t="inlineStr"/>
    </row>
    <row r="753" ht="15" customHeight="1">
      <c r="A753" t="inlineStr">
        <is>
          <t>A 34132-2025</t>
        </is>
      </c>
      <c r="B753" s="1" t="n">
        <v>45845.53202546296</v>
      </c>
      <c r="C753" s="1" t="n">
        <v>45964</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22996-2021</t>
        </is>
      </c>
      <c r="B754" s="1" t="n">
        <v>44328</v>
      </c>
      <c r="C754" s="1" t="n">
        <v>45964</v>
      </c>
      <c r="D754" t="inlineStr">
        <is>
          <t>UPPSALA LÄN</t>
        </is>
      </c>
      <c r="E754" t="inlineStr">
        <is>
          <t>UPPSALA</t>
        </is>
      </c>
      <c r="F754" t="inlineStr">
        <is>
          <t>Bergvik skog öst AB</t>
        </is>
      </c>
      <c r="G754" t="n">
        <v>3.1</v>
      </c>
      <c r="H754" t="n">
        <v>0</v>
      </c>
      <c r="I754" t="n">
        <v>0</v>
      </c>
      <c r="J754" t="n">
        <v>0</v>
      </c>
      <c r="K754" t="n">
        <v>0</v>
      </c>
      <c r="L754" t="n">
        <v>0</v>
      </c>
      <c r="M754" t="n">
        <v>0</v>
      </c>
      <c r="N754" t="n">
        <v>0</v>
      </c>
      <c r="O754" t="n">
        <v>0</v>
      </c>
      <c r="P754" t="n">
        <v>0</v>
      </c>
      <c r="Q754" t="n">
        <v>0</v>
      </c>
      <c r="R754" s="2" t="inlineStr"/>
    </row>
    <row r="755" ht="15" customHeight="1">
      <c r="A755" t="inlineStr">
        <is>
          <t>A 17595-2025</t>
        </is>
      </c>
      <c r="B755" s="1" t="n">
        <v>45757</v>
      </c>
      <c r="C755" s="1" t="n">
        <v>45964</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62287-2023</t>
        </is>
      </c>
      <c r="B756" s="1" t="n">
        <v>45267</v>
      </c>
      <c r="C756" s="1" t="n">
        <v>45964</v>
      </c>
      <c r="D756" t="inlineStr">
        <is>
          <t>UPPSALA LÄN</t>
        </is>
      </c>
      <c r="E756" t="inlineStr">
        <is>
          <t>UPPSALA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34893-2025</t>
        </is>
      </c>
      <c r="B757" s="1" t="n">
        <v>45849.49259259259</v>
      </c>
      <c r="C757" s="1" t="n">
        <v>45964</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60820-2024</t>
        </is>
      </c>
      <c r="B758" s="1" t="n">
        <v>45644.62677083333</v>
      </c>
      <c r="C758" s="1" t="n">
        <v>45964</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35056-2025</t>
        </is>
      </c>
      <c r="B759" s="1" t="n">
        <v>45852.39642361111</v>
      </c>
      <c r="C759" s="1" t="n">
        <v>45964</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7276-2024</t>
        </is>
      </c>
      <c r="B760" s="1" t="n">
        <v>45344</v>
      </c>
      <c r="C760" s="1" t="n">
        <v>45964</v>
      </c>
      <c r="D760" t="inlineStr">
        <is>
          <t>UPPSALA LÄN</t>
        </is>
      </c>
      <c r="E760" t="inlineStr">
        <is>
          <t>UPPSALA</t>
        </is>
      </c>
      <c r="F760" t="inlineStr">
        <is>
          <t>Bergvik skog öst AB</t>
        </is>
      </c>
      <c r="G760" t="n">
        <v>0.2</v>
      </c>
      <c r="H760" t="n">
        <v>0</v>
      </c>
      <c r="I760" t="n">
        <v>0</v>
      </c>
      <c r="J760" t="n">
        <v>0</v>
      </c>
      <c r="K760" t="n">
        <v>0</v>
      </c>
      <c r="L760" t="n">
        <v>0</v>
      </c>
      <c r="M760" t="n">
        <v>0</v>
      </c>
      <c r="N760" t="n">
        <v>0</v>
      </c>
      <c r="O760" t="n">
        <v>0</v>
      </c>
      <c r="P760" t="n">
        <v>0</v>
      </c>
      <c r="Q760" t="n">
        <v>0</v>
      </c>
      <c r="R760" s="2" t="inlineStr"/>
    </row>
    <row r="761" ht="15" customHeight="1">
      <c r="A761" t="inlineStr">
        <is>
          <t>A 18675-2024</t>
        </is>
      </c>
      <c r="B761" s="1" t="n">
        <v>45426</v>
      </c>
      <c r="C761" s="1" t="n">
        <v>45964</v>
      </c>
      <c r="D761" t="inlineStr">
        <is>
          <t>UPPSALA LÄN</t>
        </is>
      </c>
      <c r="E761" t="inlineStr">
        <is>
          <t>UPPSALA</t>
        </is>
      </c>
      <c r="G761" t="n">
        <v>8.1</v>
      </c>
      <c r="H761" t="n">
        <v>0</v>
      </c>
      <c r="I761" t="n">
        <v>0</v>
      </c>
      <c r="J761" t="n">
        <v>0</v>
      </c>
      <c r="K761" t="n">
        <v>0</v>
      </c>
      <c r="L761" t="n">
        <v>0</v>
      </c>
      <c r="M761" t="n">
        <v>0</v>
      </c>
      <c r="N761" t="n">
        <v>0</v>
      </c>
      <c r="O761" t="n">
        <v>0</v>
      </c>
      <c r="P761" t="n">
        <v>0</v>
      </c>
      <c r="Q761" t="n">
        <v>0</v>
      </c>
      <c r="R761" s="2" t="inlineStr"/>
    </row>
    <row r="762" ht="15" customHeight="1">
      <c r="A762" t="inlineStr">
        <is>
          <t>A 35167-2025</t>
        </is>
      </c>
      <c r="B762" s="1" t="n">
        <v>45852.72965277778</v>
      </c>
      <c r="C762" s="1" t="n">
        <v>45964</v>
      </c>
      <c r="D762" t="inlineStr">
        <is>
          <t>UPPSALA LÄN</t>
        </is>
      </c>
      <c r="E762" t="inlineStr">
        <is>
          <t>UPPSALA</t>
        </is>
      </c>
      <c r="F762" t="inlineStr">
        <is>
          <t>Holmen skog AB</t>
        </is>
      </c>
      <c r="G762" t="n">
        <v>10</v>
      </c>
      <c r="H762" t="n">
        <v>0</v>
      </c>
      <c r="I762" t="n">
        <v>0</v>
      </c>
      <c r="J762" t="n">
        <v>0</v>
      </c>
      <c r="K762" t="n">
        <v>0</v>
      </c>
      <c r="L762" t="n">
        <v>0</v>
      </c>
      <c r="M762" t="n">
        <v>0</v>
      </c>
      <c r="N762" t="n">
        <v>0</v>
      </c>
      <c r="O762" t="n">
        <v>0</v>
      </c>
      <c r="P762" t="n">
        <v>0</v>
      </c>
      <c r="Q762" t="n">
        <v>0</v>
      </c>
      <c r="R762" s="2" t="inlineStr"/>
    </row>
    <row r="763" ht="15" customHeight="1">
      <c r="A763" t="inlineStr">
        <is>
          <t>A 35150-2025</t>
        </is>
      </c>
      <c r="B763" s="1" t="n">
        <v>45852</v>
      </c>
      <c r="C763" s="1" t="n">
        <v>45964</v>
      </c>
      <c r="D763" t="inlineStr">
        <is>
          <t>UPPSALA LÄN</t>
        </is>
      </c>
      <c r="E763" t="inlineStr">
        <is>
          <t>UPPSALA</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16288-2025</t>
        </is>
      </c>
      <c r="B764" s="1" t="n">
        <v>45751.32001157408</v>
      </c>
      <c r="C764" s="1" t="n">
        <v>45964</v>
      </c>
      <c r="D764" t="inlineStr">
        <is>
          <t>UPPSALA LÄN</t>
        </is>
      </c>
      <c r="E764" t="inlineStr">
        <is>
          <t>UPPSALA</t>
        </is>
      </c>
      <c r="G764" t="n">
        <v>3.9</v>
      </c>
      <c r="H764" t="n">
        <v>0</v>
      </c>
      <c r="I764" t="n">
        <v>0</v>
      </c>
      <c r="J764" t="n">
        <v>0</v>
      </c>
      <c r="K764" t="n">
        <v>0</v>
      </c>
      <c r="L764" t="n">
        <v>0</v>
      </c>
      <c r="M764" t="n">
        <v>0</v>
      </c>
      <c r="N764" t="n">
        <v>0</v>
      </c>
      <c r="O764" t="n">
        <v>0</v>
      </c>
      <c r="P764" t="n">
        <v>0</v>
      </c>
      <c r="Q764" t="n">
        <v>0</v>
      </c>
      <c r="R764" s="2" t="inlineStr"/>
    </row>
    <row r="765" ht="15" customHeight="1">
      <c r="A765" t="inlineStr">
        <is>
          <t>A 35015-2025</t>
        </is>
      </c>
      <c r="B765" s="1" t="n">
        <v>45851.62018518519</v>
      </c>
      <c r="C765" s="1" t="n">
        <v>45964</v>
      </c>
      <c r="D765" t="inlineStr">
        <is>
          <t>UPPSALA LÄN</t>
        </is>
      </c>
      <c r="E765" t="inlineStr">
        <is>
          <t>UPPSALA</t>
        </is>
      </c>
      <c r="F765" t="inlineStr">
        <is>
          <t>Bergvik skog öst AB</t>
        </is>
      </c>
      <c r="G765" t="n">
        <v>0.3</v>
      </c>
      <c r="H765" t="n">
        <v>0</v>
      </c>
      <c r="I765" t="n">
        <v>0</v>
      </c>
      <c r="J765" t="n">
        <v>0</v>
      </c>
      <c r="K765" t="n">
        <v>0</v>
      </c>
      <c r="L765" t="n">
        <v>0</v>
      </c>
      <c r="M765" t="n">
        <v>0</v>
      </c>
      <c r="N765" t="n">
        <v>0</v>
      </c>
      <c r="O765" t="n">
        <v>0</v>
      </c>
      <c r="P765" t="n">
        <v>0</v>
      </c>
      <c r="Q765" t="n">
        <v>0</v>
      </c>
      <c r="R765" s="2" t="inlineStr"/>
    </row>
    <row r="766" ht="15" customHeight="1">
      <c r="A766" t="inlineStr">
        <is>
          <t>A 17658-2025</t>
        </is>
      </c>
      <c r="B766" s="1" t="n">
        <v>45758</v>
      </c>
      <c r="C766" s="1" t="n">
        <v>45964</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35155-2025</t>
        </is>
      </c>
      <c r="B767" s="1" t="n">
        <v>45852.68978009259</v>
      </c>
      <c r="C767" s="1" t="n">
        <v>45964</v>
      </c>
      <c r="D767" t="inlineStr">
        <is>
          <t>UPPSALA LÄN</t>
        </is>
      </c>
      <c r="E767" t="inlineStr">
        <is>
          <t>UPPSALA</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35148-2025</t>
        </is>
      </c>
      <c r="B768" s="1" t="n">
        <v>45852.67366898148</v>
      </c>
      <c r="C768" s="1" t="n">
        <v>45964</v>
      </c>
      <c r="D768" t="inlineStr">
        <is>
          <t>UPPSALA LÄN</t>
        </is>
      </c>
      <c r="E768" t="inlineStr">
        <is>
          <t>UPPSALA</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35053-2025</t>
        </is>
      </c>
      <c r="B769" s="1" t="n">
        <v>45852.36871527778</v>
      </c>
      <c r="C769" s="1" t="n">
        <v>45964</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35014-2025</t>
        </is>
      </c>
      <c r="B770" s="1" t="n">
        <v>45851.60097222222</v>
      </c>
      <c r="C770" s="1" t="n">
        <v>45964</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18781-2025</t>
        </is>
      </c>
      <c r="B771" s="1" t="n">
        <v>45763</v>
      </c>
      <c r="C771" s="1" t="n">
        <v>45964</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39608-2022</t>
        </is>
      </c>
      <c r="B772" s="1" t="n">
        <v>44817</v>
      </c>
      <c r="C772" s="1" t="n">
        <v>45964</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42622-2022</t>
        </is>
      </c>
      <c r="B773" s="1" t="n">
        <v>44831</v>
      </c>
      <c r="C773" s="1" t="n">
        <v>45964</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59547-2024</t>
        </is>
      </c>
      <c r="B774" s="1" t="n">
        <v>45638</v>
      </c>
      <c r="C774" s="1" t="n">
        <v>45964</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11162-2022</t>
        </is>
      </c>
      <c r="B775" s="1" t="n">
        <v>44629.42423611111</v>
      </c>
      <c r="C775" s="1" t="n">
        <v>45964</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35305-2025</t>
        </is>
      </c>
      <c r="B776" s="1" t="n">
        <v>45854.44017361111</v>
      </c>
      <c r="C776" s="1" t="n">
        <v>45964</v>
      </c>
      <c r="D776" t="inlineStr">
        <is>
          <t>UPPSALA LÄN</t>
        </is>
      </c>
      <c r="E776" t="inlineStr">
        <is>
          <t>UPPSALA</t>
        </is>
      </c>
      <c r="F776" t="inlineStr">
        <is>
          <t>Holmen skog AB</t>
        </is>
      </c>
      <c r="G776" t="n">
        <v>3.3</v>
      </c>
      <c r="H776" t="n">
        <v>0</v>
      </c>
      <c r="I776" t="n">
        <v>0</v>
      </c>
      <c r="J776" t="n">
        <v>0</v>
      </c>
      <c r="K776" t="n">
        <v>0</v>
      </c>
      <c r="L776" t="n">
        <v>0</v>
      </c>
      <c r="M776" t="n">
        <v>0</v>
      </c>
      <c r="N776" t="n">
        <v>0</v>
      </c>
      <c r="O776" t="n">
        <v>0</v>
      </c>
      <c r="P776" t="n">
        <v>0</v>
      </c>
      <c r="Q776" t="n">
        <v>0</v>
      </c>
      <c r="R776" s="2" t="inlineStr"/>
    </row>
    <row r="777" ht="15" customHeight="1">
      <c r="A777" t="inlineStr">
        <is>
          <t>A 35504-2025</t>
        </is>
      </c>
      <c r="B777" s="1" t="n">
        <v>45856.34034722222</v>
      </c>
      <c r="C777" s="1" t="n">
        <v>45964</v>
      </c>
      <c r="D777" t="inlineStr">
        <is>
          <t>UPPSALA LÄN</t>
        </is>
      </c>
      <c r="E777" t="inlineStr">
        <is>
          <t>UPPSALA</t>
        </is>
      </c>
      <c r="F777" t="inlineStr">
        <is>
          <t>Bergvik skog öst AB</t>
        </is>
      </c>
      <c r="G777" t="n">
        <v>6.7</v>
      </c>
      <c r="H777" t="n">
        <v>0</v>
      </c>
      <c r="I777" t="n">
        <v>0</v>
      </c>
      <c r="J777" t="n">
        <v>0</v>
      </c>
      <c r="K777" t="n">
        <v>0</v>
      </c>
      <c r="L777" t="n">
        <v>0</v>
      </c>
      <c r="M777" t="n">
        <v>0</v>
      </c>
      <c r="N777" t="n">
        <v>0</v>
      </c>
      <c r="O777" t="n">
        <v>0</v>
      </c>
      <c r="P777" t="n">
        <v>0</v>
      </c>
      <c r="Q777" t="n">
        <v>0</v>
      </c>
      <c r="R777" s="2" t="inlineStr"/>
    </row>
    <row r="778" ht="15" customHeight="1">
      <c r="A778" t="inlineStr">
        <is>
          <t>A 35505-2025</t>
        </is>
      </c>
      <c r="B778" s="1" t="n">
        <v>45856.34231481481</v>
      </c>
      <c r="C778" s="1" t="n">
        <v>45964</v>
      </c>
      <c r="D778" t="inlineStr">
        <is>
          <t>UPPSALA LÄN</t>
        </is>
      </c>
      <c r="E778" t="inlineStr">
        <is>
          <t>UPPSALA</t>
        </is>
      </c>
      <c r="F778" t="inlineStr">
        <is>
          <t>Bergvik skog öst AB</t>
        </is>
      </c>
      <c r="G778" t="n">
        <v>7.9</v>
      </c>
      <c r="H778" t="n">
        <v>0</v>
      </c>
      <c r="I778" t="n">
        <v>0</v>
      </c>
      <c r="J778" t="n">
        <v>0</v>
      </c>
      <c r="K778" t="n">
        <v>0</v>
      </c>
      <c r="L778" t="n">
        <v>0</v>
      </c>
      <c r="M778" t="n">
        <v>0</v>
      </c>
      <c r="N778" t="n">
        <v>0</v>
      </c>
      <c r="O778" t="n">
        <v>0</v>
      </c>
      <c r="P778" t="n">
        <v>0</v>
      </c>
      <c r="Q778" t="n">
        <v>0</v>
      </c>
      <c r="R778" s="2" t="inlineStr"/>
    </row>
    <row r="779" ht="15" customHeight="1">
      <c r="A779" t="inlineStr">
        <is>
          <t>A 31161-2023</t>
        </is>
      </c>
      <c r="B779" s="1" t="n">
        <v>45113.80170138889</v>
      </c>
      <c r="C779" s="1" t="n">
        <v>45964</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45964</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27068-2023</t>
        </is>
      </c>
      <c r="B781" s="1" t="n">
        <v>45096</v>
      </c>
      <c r="C781" s="1" t="n">
        <v>45964</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35509-2025</t>
        </is>
      </c>
      <c r="B782" s="1" t="n">
        <v>45856.34959490741</v>
      </c>
      <c r="C782" s="1" t="n">
        <v>45964</v>
      </c>
      <c r="D782" t="inlineStr">
        <is>
          <t>UPPSALA LÄN</t>
        </is>
      </c>
      <c r="E782" t="inlineStr">
        <is>
          <t>UPPSALA</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35510-2025</t>
        </is>
      </c>
      <c r="B783" s="1" t="n">
        <v>45856</v>
      </c>
      <c r="C783" s="1" t="n">
        <v>45964</v>
      </c>
      <c r="D783" t="inlineStr">
        <is>
          <t>UPPSALA LÄN</t>
        </is>
      </c>
      <c r="E783" t="inlineStr">
        <is>
          <t>UPPSALA</t>
        </is>
      </c>
      <c r="F783" t="inlineStr">
        <is>
          <t>Bergvik skog öst AB</t>
        </is>
      </c>
      <c r="G783" t="n">
        <v>0.3</v>
      </c>
      <c r="H783" t="n">
        <v>0</v>
      </c>
      <c r="I783" t="n">
        <v>0</v>
      </c>
      <c r="J783" t="n">
        <v>0</v>
      </c>
      <c r="K783" t="n">
        <v>0</v>
      </c>
      <c r="L783" t="n">
        <v>0</v>
      </c>
      <c r="M783" t="n">
        <v>0</v>
      </c>
      <c r="N783" t="n">
        <v>0</v>
      </c>
      <c r="O783" t="n">
        <v>0</v>
      </c>
      <c r="P783" t="n">
        <v>0</v>
      </c>
      <c r="Q783" t="n">
        <v>0</v>
      </c>
      <c r="R783" s="2" t="inlineStr"/>
    </row>
    <row r="784" ht="15" customHeight="1">
      <c r="A784" t="inlineStr">
        <is>
          <t>A 6155-2023</t>
        </is>
      </c>
      <c r="B784" s="1" t="n">
        <v>44964.65261574074</v>
      </c>
      <c r="C784" s="1" t="n">
        <v>45964</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32484-2025</t>
        </is>
      </c>
      <c r="B785" s="1" t="n">
        <v>45838</v>
      </c>
      <c r="C785" s="1" t="n">
        <v>45964</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45878-2024</t>
        </is>
      </c>
      <c r="B786" s="1" t="n">
        <v>45580</v>
      </c>
      <c r="C786" s="1" t="n">
        <v>45964</v>
      </c>
      <c r="D786" t="inlineStr">
        <is>
          <t>UPPSALA LÄN</t>
        </is>
      </c>
      <c r="E786" t="inlineStr">
        <is>
          <t>UPPSALA</t>
        </is>
      </c>
      <c r="G786" t="n">
        <v>2.8</v>
      </c>
      <c r="H786" t="n">
        <v>0</v>
      </c>
      <c r="I786" t="n">
        <v>0</v>
      </c>
      <c r="J786" t="n">
        <v>0</v>
      </c>
      <c r="K786" t="n">
        <v>0</v>
      </c>
      <c r="L786" t="n">
        <v>0</v>
      </c>
      <c r="M786" t="n">
        <v>0</v>
      </c>
      <c r="N786" t="n">
        <v>0</v>
      </c>
      <c r="O786" t="n">
        <v>0</v>
      </c>
      <c r="P786" t="n">
        <v>0</v>
      </c>
      <c r="Q786" t="n">
        <v>0</v>
      </c>
      <c r="R786" s="2" t="inlineStr"/>
    </row>
    <row r="787" ht="15" customHeight="1">
      <c r="A787" t="inlineStr">
        <is>
          <t>A 1588-2025</t>
        </is>
      </c>
      <c r="B787" s="1" t="n">
        <v>45670</v>
      </c>
      <c r="C787" s="1" t="n">
        <v>45964</v>
      </c>
      <c r="D787" t="inlineStr">
        <is>
          <t>UPPSALA LÄN</t>
        </is>
      </c>
      <c r="E787" t="inlineStr">
        <is>
          <t>UPPSALA</t>
        </is>
      </c>
      <c r="F787" t="inlineStr">
        <is>
          <t>Bergvik skog väst AB</t>
        </is>
      </c>
      <c r="G787" t="n">
        <v>0.8</v>
      </c>
      <c r="H787" t="n">
        <v>0</v>
      </c>
      <c r="I787" t="n">
        <v>0</v>
      </c>
      <c r="J787" t="n">
        <v>0</v>
      </c>
      <c r="K787" t="n">
        <v>0</v>
      </c>
      <c r="L787" t="n">
        <v>0</v>
      </c>
      <c r="M787" t="n">
        <v>0</v>
      </c>
      <c r="N787" t="n">
        <v>0</v>
      </c>
      <c r="O787" t="n">
        <v>0</v>
      </c>
      <c r="P787" t="n">
        <v>0</v>
      </c>
      <c r="Q787" t="n">
        <v>0</v>
      </c>
      <c r="R787" s="2" t="inlineStr"/>
    </row>
    <row r="788" ht="15" customHeight="1">
      <c r="A788" t="inlineStr">
        <is>
          <t>A 43-2024</t>
        </is>
      </c>
      <c r="B788" s="1" t="n">
        <v>45293</v>
      </c>
      <c r="C788" s="1" t="n">
        <v>45964</v>
      </c>
      <c r="D788" t="inlineStr">
        <is>
          <t>UPPSALA LÄN</t>
        </is>
      </c>
      <c r="E788" t="inlineStr">
        <is>
          <t>UPPSALA</t>
        </is>
      </c>
      <c r="G788" t="n">
        <v>2.8</v>
      </c>
      <c r="H788" t="n">
        <v>0</v>
      </c>
      <c r="I788" t="n">
        <v>0</v>
      </c>
      <c r="J788" t="n">
        <v>0</v>
      </c>
      <c r="K788" t="n">
        <v>0</v>
      </c>
      <c r="L788" t="n">
        <v>0</v>
      </c>
      <c r="M788" t="n">
        <v>0</v>
      </c>
      <c r="N788" t="n">
        <v>0</v>
      </c>
      <c r="O788" t="n">
        <v>0</v>
      </c>
      <c r="P788" t="n">
        <v>0</v>
      </c>
      <c r="Q788" t="n">
        <v>0</v>
      </c>
      <c r="R788" s="2" t="inlineStr"/>
    </row>
    <row r="789" ht="15" customHeight="1">
      <c r="A789" t="inlineStr">
        <is>
          <t>A 62044-2024</t>
        </is>
      </c>
      <c r="B789" s="1" t="n">
        <v>45656</v>
      </c>
      <c r="C789" s="1" t="n">
        <v>45964</v>
      </c>
      <c r="D789" t="inlineStr">
        <is>
          <t>UPPSALA LÄN</t>
        </is>
      </c>
      <c r="E789" t="inlineStr">
        <is>
          <t>UPPSALA</t>
        </is>
      </c>
      <c r="F789" t="inlineStr">
        <is>
          <t>Övriga statliga verk och myndigheter</t>
        </is>
      </c>
      <c r="G789" t="n">
        <v>11.6</v>
      </c>
      <c r="H789" t="n">
        <v>0</v>
      </c>
      <c r="I789" t="n">
        <v>0</v>
      </c>
      <c r="J789" t="n">
        <v>0</v>
      </c>
      <c r="K789" t="n">
        <v>0</v>
      </c>
      <c r="L789" t="n">
        <v>0</v>
      </c>
      <c r="M789" t="n">
        <v>0</v>
      </c>
      <c r="N789" t="n">
        <v>0</v>
      </c>
      <c r="O789" t="n">
        <v>0</v>
      </c>
      <c r="P789" t="n">
        <v>0</v>
      </c>
      <c r="Q789" t="n">
        <v>0</v>
      </c>
      <c r="R789" s="2" t="inlineStr"/>
    </row>
    <row r="790" ht="15" customHeight="1">
      <c r="A790" t="inlineStr">
        <is>
          <t>A 17587-2025</t>
        </is>
      </c>
      <c r="B790" s="1" t="n">
        <v>45757.67611111111</v>
      </c>
      <c r="C790" s="1" t="n">
        <v>45964</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32475-2025</t>
        </is>
      </c>
      <c r="B791" s="1" t="n">
        <v>45838</v>
      </c>
      <c r="C791" s="1" t="n">
        <v>45964</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31157-2023</t>
        </is>
      </c>
      <c r="B792" s="1" t="n">
        <v>45113</v>
      </c>
      <c r="C792" s="1" t="n">
        <v>45964</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32479-2025</t>
        </is>
      </c>
      <c r="B793" s="1" t="n">
        <v>45838</v>
      </c>
      <c r="C793" s="1" t="n">
        <v>45964</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74495-2021</t>
        </is>
      </c>
      <c r="B794" s="1" t="n">
        <v>44560</v>
      </c>
      <c r="C794" s="1" t="n">
        <v>45964</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35978-2025</t>
        </is>
      </c>
      <c r="B795" s="1" t="n">
        <v>45863.44648148148</v>
      </c>
      <c r="C795" s="1" t="n">
        <v>45964</v>
      </c>
      <c r="D795" t="inlineStr">
        <is>
          <t>UPPSALA LÄN</t>
        </is>
      </c>
      <c r="E795" t="inlineStr">
        <is>
          <t>UPPSALA</t>
        </is>
      </c>
      <c r="G795" t="n">
        <v>1.6</v>
      </c>
      <c r="H795" t="n">
        <v>0</v>
      </c>
      <c r="I795" t="n">
        <v>0</v>
      </c>
      <c r="J795" t="n">
        <v>0</v>
      </c>
      <c r="K795" t="n">
        <v>0</v>
      </c>
      <c r="L795" t="n">
        <v>0</v>
      </c>
      <c r="M795" t="n">
        <v>0</v>
      </c>
      <c r="N795" t="n">
        <v>0</v>
      </c>
      <c r="O795" t="n">
        <v>0</v>
      </c>
      <c r="P795" t="n">
        <v>0</v>
      </c>
      <c r="Q795" t="n">
        <v>0</v>
      </c>
      <c r="R795" s="2" t="inlineStr"/>
    </row>
    <row r="796" ht="15" customHeight="1">
      <c r="A796" t="inlineStr">
        <is>
          <t>A 46920-2021</t>
        </is>
      </c>
      <c r="B796" s="1" t="n">
        <v>44446</v>
      </c>
      <c r="C796" s="1" t="n">
        <v>45964</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35984-2025</t>
        </is>
      </c>
      <c r="B797" s="1" t="n">
        <v>45863.45355324074</v>
      </c>
      <c r="C797" s="1" t="n">
        <v>45964</v>
      </c>
      <c r="D797" t="inlineStr">
        <is>
          <t>UPPSALA LÄN</t>
        </is>
      </c>
      <c r="E797" t="inlineStr">
        <is>
          <t>UPPSALA</t>
        </is>
      </c>
      <c r="G797" t="n">
        <v>6.1</v>
      </c>
      <c r="H797" t="n">
        <v>0</v>
      </c>
      <c r="I797" t="n">
        <v>0</v>
      </c>
      <c r="J797" t="n">
        <v>0</v>
      </c>
      <c r="K797" t="n">
        <v>0</v>
      </c>
      <c r="L797" t="n">
        <v>0</v>
      </c>
      <c r="M797" t="n">
        <v>0</v>
      </c>
      <c r="N797" t="n">
        <v>0</v>
      </c>
      <c r="O797" t="n">
        <v>0</v>
      </c>
      <c r="P797" t="n">
        <v>0</v>
      </c>
      <c r="Q797" t="n">
        <v>0</v>
      </c>
      <c r="R797" s="2" t="inlineStr"/>
    </row>
    <row r="798" ht="15" customHeight="1">
      <c r="A798" t="inlineStr">
        <is>
          <t>A 5189-2022</t>
        </is>
      </c>
      <c r="B798" s="1" t="n">
        <v>44594</v>
      </c>
      <c r="C798" s="1" t="n">
        <v>45964</v>
      </c>
      <c r="D798" t="inlineStr">
        <is>
          <t>UPPSALA LÄN</t>
        </is>
      </c>
      <c r="E798" t="inlineStr">
        <is>
          <t>UPPSALA</t>
        </is>
      </c>
      <c r="G798" t="n">
        <v>5.9</v>
      </c>
      <c r="H798" t="n">
        <v>0</v>
      </c>
      <c r="I798" t="n">
        <v>0</v>
      </c>
      <c r="J798" t="n">
        <v>0</v>
      </c>
      <c r="K798" t="n">
        <v>0</v>
      </c>
      <c r="L798" t="n">
        <v>0</v>
      </c>
      <c r="M798" t="n">
        <v>0</v>
      </c>
      <c r="N798" t="n">
        <v>0</v>
      </c>
      <c r="O798" t="n">
        <v>0</v>
      </c>
      <c r="P798" t="n">
        <v>0</v>
      </c>
      <c r="Q798" t="n">
        <v>0</v>
      </c>
      <c r="R798" s="2" t="inlineStr"/>
    </row>
    <row r="799" ht="15" customHeight="1">
      <c r="A799" t="inlineStr">
        <is>
          <t>A 39812-2024</t>
        </is>
      </c>
      <c r="B799" s="1" t="n">
        <v>45552</v>
      </c>
      <c r="C799" s="1" t="n">
        <v>45964</v>
      </c>
      <c r="D799" t="inlineStr">
        <is>
          <t>UPPSALA LÄN</t>
        </is>
      </c>
      <c r="E799" t="inlineStr">
        <is>
          <t>UPPSALA</t>
        </is>
      </c>
      <c r="G799" t="n">
        <v>7.9</v>
      </c>
      <c r="H799" t="n">
        <v>0</v>
      </c>
      <c r="I799" t="n">
        <v>0</v>
      </c>
      <c r="J799" t="n">
        <v>0</v>
      </c>
      <c r="K799" t="n">
        <v>0</v>
      </c>
      <c r="L799" t="n">
        <v>0</v>
      </c>
      <c r="M799" t="n">
        <v>0</v>
      </c>
      <c r="N799" t="n">
        <v>0</v>
      </c>
      <c r="O799" t="n">
        <v>0</v>
      </c>
      <c r="P799" t="n">
        <v>0</v>
      </c>
      <c r="Q799" t="n">
        <v>0</v>
      </c>
      <c r="R799" s="2" t="inlineStr"/>
    </row>
    <row r="800" ht="15" customHeight="1">
      <c r="A800" t="inlineStr">
        <is>
          <t>A 7727-2024</t>
        </is>
      </c>
      <c r="B800" s="1" t="n">
        <v>45349</v>
      </c>
      <c r="C800" s="1" t="n">
        <v>45964</v>
      </c>
      <c r="D800" t="inlineStr">
        <is>
          <t>UPPSALA LÄN</t>
        </is>
      </c>
      <c r="E800" t="inlineStr">
        <is>
          <t>UPPSALA</t>
        </is>
      </c>
      <c r="G800" t="n">
        <v>0.7</v>
      </c>
      <c r="H800" t="n">
        <v>0</v>
      </c>
      <c r="I800" t="n">
        <v>0</v>
      </c>
      <c r="J800" t="n">
        <v>0</v>
      </c>
      <c r="K800" t="n">
        <v>0</v>
      </c>
      <c r="L800" t="n">
        <v>0</v>
      </c>
      <c r="M800" t="n">
        <v>0</v>
      </c>
      <c r="N800" t="n">
        <v>0</v>
      </c>
      <c r="O800" t="n">
        <v>0</v>
      </c>
      <c r="P800" t="n">
        <v>0</v>
      </c>
      <c r="Q800" t="n">
        <v>0</v>
      </c>
      <c r="R800" s="2" t="inlineStr"/>
    </row>
    <row r="801" ht="15" customHeight="1">
      <c r="A801" t="inlineStr">
        <is>
          <t>A 46775-2025</t>
        </is>
      </c>
      <c r="B801" s="1" t="n">
        <v>45926.63366898148</v>
      </c>
      <c r="C801" s="1" t="n">
        <v>45964</v>
      </c>
      <c r="D801" t="inlineStr">
        <is>
          <t>UPPSALA LÄN</t>
        </is>
      </c>
      <c r="E801" t="inlineStr">
        <is>
          <t>UPPSALA</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18677-2024</t>
        </is>
      </c>
      <c r="B802" s="1" t="n">
        <v>45426</v>
      </c>
      <c r="C802" s="1" t="n">
        <v>45964</v>
      </c>
      <c r="D802" t="inlineStr">
        <is>
          <t>UPPSALA LÄN</t>
        </is>
      </c>
      <c r="E802" t="inlineStr">
        <is>
          <t>UPPSALA</t>
        </is>
      </c>
      <c r="G802" t="n">
        <v>2.8</v>
      </c>
      <c r="H802" t="n">
        <v>0</v>
      </c>
      <c r="I802" t="n">
        <v>0</v>
      </c>
      <c r="J802" t="n">
        <v>0</v>
      </c>
      <c r="K802" t="n">
        <v>0</v>
      </c>
      <c r="L802" t="n">
        <v>0</v>
      </c>
      <c r="M802" t="n">
        <v>0</v>
      </c>
      <c r="N802" t="n">
        <v>0</v>
      </c>
      <c r="O802" t="n">
        <v>0</v>
      </c>
      <c r="P802" t="n">
        <v>0</v>
      </c>
      <c r="Q802" t="n">
        <v>0</v>
      </c>
      <c r="R802" s="2" t="inlineStr"/>
    </row>
    <row r="803" ht="15" customHeight="1">
      <c r="A803" t="inlineStr">
        <is>
          <t>A 36253-2025</t>
        </is>
      </c>
      <c r="B803" s="1" t="n">
        <v>45867.58056712963</v>
      </c>
      <c r="C803" s="1" t="n">
        <v>45964</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5006-2022</t>
        </is>
      </c>
      <c r="B804" s="1" t="n">
        <v>44593</v>
      </c>
      <c r="C804" s="1" t="n">
        <v>45964</v>
      </c>
      <c r="D804" t="inlineStr">
        <is>
          <t>UPPSALA LÄN</t>
        </is>
      </c>
      <c r="E804" t="inlineStr">
        <is>
          <t>UPPSALA</t>
        </is>
      </c>
      <c r="F804" t="inlineStr">
        <is>
          <t>BillerudKorsnäs AB</t>
        </is>
      </c>
      <c r="G804" t="n">
        <v>1.4</v>
      </c>
      <c r="H804" t="n">
        <v>0</v>
      </c>
      <c r="I804" t="n">
        <v>0</v>
      </c>
      <c r="J804" t="n">
        <v>0</v>
      </c>
      <c r="K804" t="n">
        <v>0</v>
      </c>
      <c r="L804" t="n">
        <v>0</v>
      </c>
      <c r="M804" t="n">
        <v>0</v>
      </c>
      <c r="N804" t="n">
        <v>0</v>
      </c>
      <c r="O804" t="n">
        <v>0</v>
      </c>
      <c r="P804" t="n">
        <v>0</v>
      </c>
      <c r="Q804" t="n">
        <v>0</v>
      </c>
      <c r="R804" s="2" t="inlineStr"/>
    </row>
    <row r="805" ht="15" customHeight="1">
      <c r="A805" t="inlineStr">
        <is>
          <t>A 60702-2022</t>
        </is>
      </c>
      <c r="B805" s="1" t="n">
        <v>44912.29869212963</v>
      </c>
      <c r="C805" s="1" t="n">
        <v>45964</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38469-2025</t>
        </is>
      </c>
      <c r="B806" s="1" t="n">
        <v>45884</v>
      </c>
      <c r="C806" s="1" t="n">
        <v>45964</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32928-2025</t>
        </is>
      </c>
      <c r="B807" s="1" t="n">
        <v>45839</v>
      </c>
      <c r="C807" s="1" t="n">
        <v>45964</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6930-2023</t>
        </is>
      </c>
      <c r="B808" s="1" t="n">
        <v>44967.55960648148</v>
      </c>
      <c r="C808" s="1" t="n">
        <v>45964</v>
      </c>
      <c r="D808" t="inlineStr">
        <is>
          <t>UPPSALA LÄN</t>
        </is>
      </c>
      <c r="E808" t="inlineStr">
        <is>
          <t>UPPSALA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8877-2022</t>
        </is>
      </c>
      <c r="B809" s="1" t="n">
        <v>44614.59027777778</v>
      </c>
      <c r="C809" s="1" t="n">
        <v>45964</v>
      </c>
      <c r="D809" t="inlineStr">
        <is>
          <t>UPPSALA LÄN</t>
        </is>
      </c>
      <c r="E809" t="inlineStr">
        <is>
          <t>UPPSALA</t>
        </is>
      </c>
      <c r="G809" t="n">
        <v>1.4</v>
      </c>
      <c r="H809" t="n">
        <v>0</v>
      </c>
      <c r="I809" t="n">
        <v>0</v>
      </c>
      <c r="J809" t="n">
        <v>0</v>
      </c>
      <c r="K809" t="n">
        <v>0</v>
      </c>
      <c r="L809" t="n">
        <v>0</v>
      </c>
      <c r="M809" t="n">
        <v>0</v>
      </c>
      <c r="N809" t="n">
        <v>0</v>
      </c>
      <c r="O809" t="n">
        <v>0</v>
      </c>
      <c r="P809" t="n">
        <v>0</v>
      </c>
      <c r="Q809" t="n">
        <v>0</v>
      </c>
      <c r="R809" s="2" t="inlineStr"/>
    </row>
    <row r="810" ht="15" customHeight="1">
      <c r="A810" t="inlineStr">
        <is>
          <t>A 554-2023</t>
        </is>
      </c>
      <c r="B810" s="1" t="n">
        <v>44930</v>
      </c>
      <c r="C810" s="1" t="n">
        <v>45964</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27903-2023</t>
        </is>
      </c>
      <c r="B811" s="1" t="n">
        <v>45098.62966435185</v>
      </c>
      <c r="C811" s="1" t="n">
        <v>45964</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17250-2025</t>
        </is>
      </c>
      <c r="B812" s="1" t="n">
        <v>45756.50738425926</v>
      </c>
      <c r="C812" s="1" t="n">
        <v>45964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46571-2025</t>
        </is>
      </c>
      <c r="B813" s="1" t="n">
        <v>45926.366875</v>
      </c>
      <c r="C813" s="1" t="n">
        <v>45964</v>
      </c>
      <c r="D813" t="inlineStr">
        <is>
          <t>UPPSALA LÄN</t>
        </is>
      </c>
      <c r="E813" t="inlineStr">
        <is>
          <t>UPPSALA</t>
        </is>
      </c>
      <c r="F813" t="inlineStr">
        <is>
          <t>Bergvik skog öst AB</t>
        </is>
      </c>
      <c r="G813" t="n">
        <v>11.1</v>
      </c>
      <c r="H813" t="n">
        <v>0</v>
      </c>
      <c r="I813" t="n">
        <v>0</v>
      </c>
      <c r="J813" t="n">
        <v>0</v>
      </c>
      <c r="K813" t="n">
        <v>0</v>
      </c>
      <c r="L813" t="n">
        <v>0</v>
      </c>
      <c r="M813" t="n">
        <v>0</v>
      </c>
      <c r="N813" t="n">
        <v>0</v>
      </c>
      <c r="O813" t="n">
        <v>0</v>
      </c>
      <c r="P813" t="n">
        <v>0</v>
      </c>
      <c r="Q813" t="n">
        <v>0</v>
      </c>
      <c r="R813" s="2" t="inlineStr"/>
    </row>
    <row r="814" ht="15" customHeight="1">
      <c r="A814" t="inlineStr">
        <is>
          <t>A 14784-2023</t>
        </is>
      </c>
      <c r="B814" s="1" t="n">
        <v>45014</v>
      </c>
      <c r="C814" s="1" t="n">
        <v>45964</v>
      </c>
      <c r="D814" t="inlineStr">
        <is>
          <t>UPPSALA LÄN</t>
        </is>
      </c>
      <c r="E814" t="inlineStr">
        <is>
          <t>UPPSALA</t>
        </is>
      </c>
      <c r="G814" t="n">
        <v>4.7</v>
      </c>
      <c r="H814" t="n">
        <v>0</v>
      </c>
      <c r="I814" t="n">
        <v>0</v>
      </c>
      <c r="J814" t="n">
        <v>0</v>
      </c>
      <c r="K814" t="n">
        <v>0</v>
      </c>
      <c r="L814" t="n">
        <v>0</v>
      </c>
      <c r="M814" t="n">
        <v>0</v>
      </c>
      <c r="N814" t="n">
        <v>0</v>
      </c>
      <c r="O814" t="n">
        <v>0</v>
      </c>
      <c r="P814" t="n">
        <v>0</v>
      </c>
      <c r="Q814" t="n">
        <v>0</v>
      </c>
      <c r="R814" s="2" t="inlineStr"/>
    </row>
    <row r="815" ht="15" customHeight="1">
      <c r="A815" t="inlineStr">
        <is>
          <t>A 47558-2025</t>
        </is>
      </c>
      <c r="B815" s="1" t="n">
        <v>45931.37796296296</v>
      </c>
      <c r="C815" s="1" t="n">
        <v>45964</v>
      </c>
      <c r="D815" t="inlineStr">
        <is>
          <t>UPPSALA LÄN</t>
        </is>
      </c>
      <c r="E815" t="inlineStr">
        <is>
          <t>UPPSALA</t>
        </is>
      </c>
      <c r="F815" t="inlineStr">
        <is>
          <t>Kyrkan</t>
        </is>
      </c>
      <c r="G815" t="n">
        <v>1.9</v>
      </c>
      <c r="H815" t="n">
        <v>0</v>
      </c>
      <c r="I815" t="n">
        <v>0</v>
      </c>
      <c r="J815" t="n">
        <v>0</v>
      </c>
      <c r="K815" t="n">
        <v>0</v>
      </c>
      <c r="L815" t="n">
        <v>0</v>
      </c>
      <c r="M815" t="n">
        <v>0</v>
      </c>
      <c r="N815" t="n">
        <v>0</v>
      </c>
      <c r="O815" t="n">
        <v>0</v>
      </c>
      <c r="P815" t="n">
        <v>0</v>
      </c>
      <c r="Q815" t="n">
        <v>0</v>
      </c>
      <c r="R815" s="2" t="inlineStr"/>
    </row>
    <row r="816" ht="15" customHeight="1">
      <c r="A816" t="inlineStr">
        <is>
          <t>A 47316-2025</t>
        </is>
      </c>
      <c r="B816" s="1" t="n">
        <v>45930.55024305556</v>
      </c>
      <c r="C816" s="1" t="n">
        <v>45964</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41422-2023</t>
        </is>
      </c>
      <c r="B817" s="1" t="n">
        <v>45175</v>
      </c>
      <c r="C817" s="1" t="n">
        <v>45964</v>
      </c>
      <c r="D817" t="inlineStr">
        <is>
          <t>UPPSALA LÄN</t>
        </is>
      </c>
      <c r="E817" t="inlineStr">
        <is>
          <t>UPPSALA</t>
        </is>
      </c>
      <c r="F817" t="inlineStr">
        <is>
          <t>Kyrkan</t>
        </is>
      </c>
      <c r="G817" t="n">
        <v>5.2</v>
      </c>
      <c r="H817" t="n">
        <v>0</v>
      </c>
      <c r="I817" t="n">
        <v>0</v>
      </c>
      <c r="J817" t="n">
        <v>0</v>
      </c>
      <c r="K817" t="n">
        <v>0</v>
      </c>
      <c r="L817" t="n">
        <v>0</v>
      </c>
      <c r="M817" t="n">
        <v>0</v>
      </c>
      <c r="N817" t="n">
        <v>0</v>
      </c>
      <c r="O817" t="n">
        <v>0</v>
      </c>
      <c r="P817" t="n">
        <v>0</v>
      </c>
      <c r="Q817" t="n">
        <v>0</v>
      </c>
      <c r="R817" s="2" t="inlineStr"/>
    </row>
    <row r="818" ht="15" customHeight="1">
      <c r="A818" t="inlineStr">
        <is>
          <t>A 27473-2024</t>
        </is>
      </c>
      <c r="B818" s="1" t="n">
        <v>45474</v>
      </c>
      <c r="C818" s="1" t="n">
        <v>45964</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45662-2023</t>
        </is>
      </c>
      <c r="B819" s="1" t="n">
        <v>45194</v>
      </c>
      <c r="C819" s="1" t="n">
        <v>45964</v>
      </c>
      <c r="D819" t="inlineStr">
        <is>
          <t>UPPSALA LÄN</t>
        </is>
      </c>
      <c r="E819" t="inlineStr">
        <is>
          <t>UPPSALA</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47690-2025</t>
        </is>
      </c>
      <c r="B820" s="1" t="n">
        <v>45931.59373842592</v>
      </c>
      <c r="C820" s="1" t="n">
        <v>45964</v>
      </c>
      <c r="D820" t="inlineStr">
        <is>
          <t>UPPSALA LÄN</t>
        </is>
      </c>
      <c r="E820" t="inlineStr">
        <is>
          <t>UPPSALA</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30616-2025</t>
        </is>
      </c>
      <c r="B821" s="1" t="n">
        <v>45831.46731481481</v>
      </c>
      <c r="C821" s="1" t="n">
        <v>45964</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47688-2025</t>
        </is>
      </c>
      <c r="B822" s="1" t="n">
        <v>45931.59091435185</v>
      </c>
      <c r="C822" s="1" t="n">
        <v>45964</v>
      </c>
      <c r="D822" t="inlineStr">
        <is>
          <t>UPPSALA LÄN</t>
        </is>
      </c>
      <c r="E822" t="inlineStr">
        <is>
          <t>UPPSALA</t>
        </is>
      </c>
      <c r="F822" t="inlineStr">
        <is>
          <t>Bergvik skog öst AB</t>
        </is>
      </c>
      <c r="G822" t="n">
        <v>1.3</v>
      </c>
      <c r="H822" t="n">
        <v>0</v>
      </c>
      <c r="I822" t="n">
        <v>0</v>
      </c>
      <c r="J822" t="n">
        <v>0</v>
      </c>
      <c r="K822" t="n">
        <v>0</v>
      </c>
      <c r="L822" t="n">
        <v>0</v>
      </c>
      <c r="M822" t="n">
        <v>0</v>
      </c>
      <c r="N822" t="n">
        <v>0</v>
      </c>
      <c r="O822" t="n">
        <v>0</v>
      </c>
      <c r="P822" t="n">
        <v>0</v>
      </c>
      <c r="Q822" t="n">
        <v>0</v>
      </c>
      <c r="R822" s="2" t="inlineStr"/>
    </row>
    <row r="823" ht="15" customHeight="1">
      <c r="A823" t="inlineStr">
        <is>
          <t>A 39865-2022</t>
        </is>
      </c>
      <c r="B823" s="1" t="n">
        <v>44819.62</v>
      </c>
      <c r="C823" s="1" t="n">
        <v>45964</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5899-2024</t>
        </is>
      </c>
      <c r="B824" s="1" t="n">
        <v>45335</v>
      </c>
      <c r="C824" s="1" t="n">
        <v>45964</v>
      </c>
      <c r="D824" t="inlineStr">
        <is>
          <t>UPPSALA LÄN</t>
        </is>
      </c>
      <c r="E824" t="inlineStr">
        <is>
          <t>UPPSALA</t>
        </is>
      </c>
      <c r="F824" t="inlineStr">
        <is>
          <t>Allmännings- och besparingsskogar</t>
        </is>
      </c>
      <c r="G824" t="n">
        <v>3.7</v>
      </c>
      <c r="H824" t="n">
        <v>0</v>
      </c>
      <c r="I824" t="n">
        <v>0</v>
      </c>
      <c r="J824" t="n">
        <v>0</v>
      </c>
      <c r="K824" t="n">
        <v>0</v>
      </c>
      <c r="L824" t="n">
        <v>0</v>
      </c>
      <c r="M824" t="n">
        <v>0</v>
      </c>
      <c r="N824" t="n">
        <v>0</v>
      </c>
      <c r="O824" t="n">
        <v>0</v>
      </c>
      <c r="P824" t="n">
        <v>0</v>
      </c>
      <c r="Q824" t="n">
        <v>0</v>
      </c>
      <c r="R824" s="2" t="inlineStr"/>
    </row>
    <row r="825" ht="15" customHeight="1">
      <c r="A825" t="inlineStr">
        <is>
          <t>A 1573-2021</t>
        </is>
      </c>
      <c r="B825" s="1" t="n">
        <v>44209</v>
      </c>
      <c r="C825" s="1" t="n">
        <v>45964</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36913-2025</t>
        </is>
      </c>
      <c r="B826" s="1" t="n">
        <v>45874</v>
      </c>
      <c r="C826" s="1" t="n">
        <v>45964</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37010-2025</t>
        </is>
      </c>
      <c r="B827" s="1" t="n">
        <v>45874.705</v>
      </c>
      <c r="C827" s="1" t="n">
        <v>45964</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47649-2025</t>
        </is>
      </c>
      <c r="B828" s="1" t="n">
        <v>45931.52792824074</v>
      </c>
      <c r="C828" s="1" t="n">
        <v>45964</v>
      </c>
      <c r="D828" t="inlineStr">
        <is>
          <t>UPPSALA LÄN</t>
        </is>
      </c>
      <c r="E828" t="inlineStr">
        <is>
          <t>UPPSALA</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6679-2024</t>
        </is>
      </c>
      <c r="B829" s="1" t="n">
        <v>45341</v>
      </c>
      <c r="C829" s="1" t="n">
        <v>45964</v>
      </c>
      <c r="D829" t="inlineStr">
        <is>
          <t>UPPSALA LÄN</t>
        </is>
      </c>
      <c r="E829" t="inlineStr">
        <is>
          <t>UPPSALA</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37486-2025</t>
        </is>
      </c>
      <c r="B830" s="1" t="n">
        <v>45877.62969907407</v>
      </c>
      <c r="C830" s="1" t="n">
        <v>45964</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47557-2025</t>
        </is>
      </c>
      <c r="B831" s="1" t="n">
        <v>45931.37734953704</v>
      </c>
      <c r="C831" s="1" t="n">
        <v>45964</v>
      </c>
      <c r="D831" t="inlineStr">
        <is>
          <t>UPPSALA LÄN</t>
        </is>
      </c>
      <c r="E831" t="inlineStr">
        <is>
          <t>UPPSALA</t>
        </is>
      </c>
      <c r="F831" t="inlineStr">
        <is>
          <t>Kyrkan</t>
        </is>
      </c>
      <c r="G831" t="n">
        <v>1.9</v>
      </c>
      <c r="H831" t="n">
        <v>0</v>
      </c>
      <c r="I831" t="n">
        <v>0</v>
      </c>
      <c r="J831" t="n">
        <v>0</v>
      </c>
      <c r="K831" t="n">
        <v>0</v>
      </c>
      <c r="L831" t="n">
        <v>0</v>
      </c>
      <c r="M831" t="n">
        <v>0</v>
      </c>
      <c r="N831" t="n">
        <v>0</v>
      </c>
      <c r="O831" t="n">
        <v>0</v>
      </c>
      <c r="P831" t="n">
        <v>0</v>
      </c>
      <c r="Q831" t="n">
        <v>0</v>
      </c>
      <c r="R831" s="2" t="inlineStr"/>
    </row>
    <row r="832" ht="15" customHeight="1">
      <c r="A832" t="inlineStr">
        <is>
          <t>A 37351-2025</t>
        </is>
      </c>
      <c r="B832" s="1" t="n">
        <v>45876</v>
      </c>
      <c r="C832" s="1" t="n">
        <v>45964</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35016-2025</t>
        </is>
      </c>
      <c r="B833" s="1" t="n">
        <v>45851.62179398148</v>
      </c>
      <c r="C833" s="1" t="n">
        <v>45964</v>
      </c>
      <c r="D833" t="inlineStr">
        <is>
          <t>UPPSALA LÄN</t>
        </is>
      </c>
      <c r="E833" t="inlineStr">
        <is>
          <t>UPPSALA</t>
        </is>
      </c>
      <c r="F833" t="inlineStr">
        <is>
          <t>Bergvik skog öst AB</t>
        </is>
      </c>
      <c r="G833" t="n">
        <v>7</v>
      </c>
      <c r="H833" t="n">
        <v>0</v>
      </c>
      <c r="I833" t="n">
        <v>0</v>
      </c>
      <c r="J833" t="n">
        <v>0</v>
      </c>
      <c r="K833" t="n">
        <v>0</v>
      </c>
      <c r="L833" t="n">
        <v>0</v>
      </c>
      <c r="M833" t="n">
        <v>0</v>
      </c>
      <c r="N833" t="n">
        <v>0</v>
      </c>
      <c r="O833" t="n">
        <v>0</v>
      </c>
      <c r="P833" t="n">
        <v>0</v>
      </c>
      <c r="Q833" t="n">
        <v>0</v>
      </c>
      <c r="R833" s="2" t="inlineStr"/>
    </row>
    <row r="834" ht="15" customHeight="1">
      <c r="A834" t="inlineStr">
        <is>
          <t>A 37352-2025</t>
        </is>
      </c>
      <c r="B834" s="1" t="n">
        <v>45876</v>
      </c>
      <c r="C834" s="1" t="n">
        <v>45964</v>
      </c>
      <c r="D834" t="inlineStr">
        <is>
          <t>UPPSALA LÄN</t>
        </is>
      </c>
      <c r="E834" t="inlineStr">
        <is>
          <t>UPPSALA</t>
        </is>
      </c>
      <c r="G834" t="n">
        <v>2.6</v>
      </c>
      <c r="H834" t="n">
        <v>0</v>
      </c>
      <c r="I834" t="n">
        <v>0</v>
      </c>
      <c r="J834" t="n">
        <v>0</v>
      </c>
      <c r="K834" t="n">
        <v>0</v>
      </c>
      <c r="L834" t="n">
        <v>0</v>
      </c>
      <c r="M834" t="n">
        <v>0</v>
      </c>
      <c r="N834" t="n">
        <v>0</v>
      </c>
      <c r="O834" t="n">
        <v>0</v>
      </c>
      <c r="P834" t="n">
        <v>0</v>
      </c>
      <c r="Q834" t="n">
        <v>0</v>
      </c>
      <c r="R834" s="2" t="inlineStr"/>
    </row>
    <row r="835" ht="15" customHeight="1">
      <c r="A835" t="inlineStr">
        <is>
          <t>A 46632-2025</t>
        </is>
      </c>
      <c r="B835" s="1" t="n">
        <v>45926.45846064815</v>
      </c>
      <c r="C835" s="1" t="n">
        <v>45964</v>
      </c>
      <c r="D835" t="inlineStr">
        <is>
          <t>UPPSALA LÄN</t>
        </is>
      </c>
      <c r="E835" t="inlineStr">
        <is>
          <t>UPPSALA</t>
        </is>
      </c>
      <c r="F835" t="inlineStr">
        <is>
          <t>Bergvik skog öst AB</t>
        </is>
      </c>
      <c r="G835" t="n">
        <v>2.9</v>
      </c>
      <c r="H835" t="n">
        <v>0</v>
      </c>
      <c r="I835" t="n">
        <v>0</v>
      </c>
      <c r="J835" t="n">
        <v>0</v>
      </c>
      <c r="K835" t="n">
        <v>0</v>
      </c>
      <c r="L835" t="n">
        <v>0</v>
      </c>
      <c r="M835" t="n">
        <v>0</v>
      </c>
      <c r="N835" t="n">
        <v>0</v>
      </c>
      <c r="O835" t="n">
        <v>0</v>
      </c>
      <c r="P835" t="n">
        <v>0</v>
      </c>
      <c r="Q835" t="n">
        <v>0</v>
      </c>
      <c r="R835" s="2" t="inlineStr"/>
    </row>
    <row r="836" ht="15" customHeight="1">
      <c r="A836" t="inlineStr">
        <is>
          <t>A 37468-2025</t>
        </is>
      </c>
      <c r="B836" s="1" t="n">
        <v>45877.57847222222</v>
      </c>
      <c r="C836" s="1" t="n">
        <v>45964</v>
      </c>
      <c r="D836" t="inlineStr">
        <is>
          <t>UPPSALA LÄN</t>
        </is>
      </c>
      <c r="E836" t="inlineStr">
        <is>
          <t>UPPSALA</t>
        </is>
      </c>
      <c r="G836" t="n">
        <v>2.9</v>
      </c>
      <c r="H836" t="n">
        <v>0</v>
      </c>
      <c r="I836" t="n">
        <v>0</v>
      </c>
      <c r="J836" t="n">
        <v>0</v>
      </c>
      <c r="K836" t="n">
        <v>0</v>
      </c>
      <c r="L836" t="n">
        <v>0</v>
      </c>
      <c r="M836" t="n">
        <v>0</v>
      </c>
      <c r="N836" t="n">
        <v>0</v>
      </c>
      <c r="O836" t="n">
        <v>0</v>
      </c>
      <c r="P836" t="n">
        <v>0</v>
      </c>
      <c r="Q836" t="n">
        <v>0</v>
      </c>
      <c r="R836" s="2" t="inlineStr"/>
    </row>
    <row r="837" ht="15" customHeight="1">
      <c r="A837" t="inlineStr">
        <is>
          <t>A 47961-2025</t>
        </is>
      </c>
      <c r="B837" s="1" t="n">
        <v>45932.59373842592</v>
      </c>
      <c r="C837" s="1" t="n">
        <v>45964</v>
      </c>
      <c r="D837" t="inlineStr">
        <is>
          <t>UPPSALA LÄN</t>
        </is>
      </c>
      <c r="E837" t="inlineStr">
        <is>
          <t>UPPSALA</t>
        </is>
      </c>
      <c r="F837" t="inlineStr">
        <is>
          <t>Allmännings- och besparingsskogar</t>
        </is>
      </c>
      <c r="G837" t="n">
        <v>1.5</v>
      </c>
      <c r="H837" t="n">
        <v>0</v>
      </c>
      <c r="I837" t="n">
        <v>0</v>
      </c>
      <c r="J837" t="n">
        <v>0</v>
      </c>
      <c r="K837" t="n">
        <v>0</v>
      </c>
      <c r="L837" t="n">
        <v>0</v>
      </c>
      <c r="M837" t="n">
        <v>0</v>
      </c>
      <c r="N837" t="n">
        <v>0</v>
      </c>
      <c r="O837" t="n">
        <v>0</v>
      </c>
      <c r="P837" t="n">
        <v>0</v>
      </c>
      <c r="Q837" t="n">
        <v>0</v>
      </c>
      <c r="R837" s="2" t="inlineStr"/>
    </row>
    <row r="838" ht="15" customHeight="1">
      <c r="A838" t="inlineStr">
        <is>
          <t>A 37561-2025</t>
        </is>
      </c>
      <c r="B838" s="1" t="n">
        <v>45880.34064814815</v>
      </c>
      <c r="C838" s="1" t="n">
        <v>45964</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56084-2024</t>
        </is>
      </c>
      <c r="B839" s="1" t="n">
        <v>45624</v>
      </c>
      <c r="C839" s="1" t="n">
        <v>45964</v>
      </c>
      <c r="D839" t="inlineStr">
        <is>
          <t>UPPSALA LÄN</t>
        </is>
      </c>
      <c r="E839" t="inlineStr">
        <is>
          <t>UPPSALA</t>
        </is>
      </c>
      <c r="G839" t="n">
        <v>3.8</v>
      </c>
      <c r="H839" t="n">
        <v>0</v>
      </c>
      <c r="I839" t="n">
        <v>0</v>
      </c>
      <c r="J839" t="n">
        <v>0</v>
      </c>
      <c r="K839" t="n">
        <v>0</v>
      </c>
      <c r="L839" t="n">
        <v>0</v>
      </c>
      <c r="M839" t="n">
        <v>0</v>
      </c>
      <c r="N839" t="n">
        <v>0</v>
      </c>
      <c r="O839" t="n">
        <v>0</v>
      </c>
      <c r="P839" t="n">
        <v>0</v>
      </c>
      <c r="Q839" t="n">
        <v>0</v>
      </c>
      <c r="R839" s="2" t="inlineStr"/>
    </row>
    <row r="840" ht="15" customHeight="1">
      <c r="A840" t="inlineStr">
        <is>
          <t>A 9235-2025</t>
        </is>
      </c>
      <c r="B840" s="1" t="n">
        <v>45714.55368055555</v>
      </c>
      <c r="C840" s="1" t="n">
        <v>45964</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9984-2025</t>
        </is>
      </c>
      <c r="B841" s="1" t="n">
        <v>45719.42197916667</v>
      </c>
      <c r="C841" s="1" t="n">
        <v>45964</v>
      </c>
      <c r="D841" t="inlineStr">
        <is>
          <t>UPPSALA LÄN</t>
        </is>
      </c>
      <c r="E841" t="inlineStr">
        <is>
          <t>UPPSALA</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9991-2025</t>
        </is>
      </c>
      <c r="B842" s="1" t="n">
        <v>45719.43646990741</v>
      </c>
      <c r="C842" s="1" t="n">
        <v>45964</v>
      </c>
      <c r="D842" t="inlineStr">
        <is>
          <t>UPPSALA LÄN</t>
        </is>
      </c>
      <c r="E842" t="inlineStr">
        <is>
          <t>UPPSALA</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39792-2025</t>
        </is>
      </c>
      <c r="B843" s="1" t="n">
        <v>45891.4865625</v>
      </c>
      <c r="C843" s="1" t="n">
        <v>45964</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47978-2025</t>
        </is>
      </c>
      <c r="B844" s="1" t="n">
        <v>45932.61177083333</v>
      </c>
      <c r="C844" s="1" t="n">
        <v>45964</v>
      </c>
      <c r="D844" t="inlineStr">
        <is>
          <t>UPPSALA LÄN</t>
        </is>
      </c>
      <c r="E844" t="inlineStr">
        <is>
          <t>UPPSALA</t>
        </is>
      </c>
      <c r="F844" t="inlineStr">
        <is>
          <t>Allmännings- och besparingsskogar</t>
        </is>
      </c>
      <c r="G844" t="n">
        <v>1.8</v>
      </c>
      <c r="H844" t="n">
        <v>0</v>
      </c>
      <c r="I844" t="n">
        <v>0</v>
      </c>
      <c r="J844" t="n">
        <v>0</v>
      </c>
      <c r="K844" t="n">
        <v>0</v>
      </c>
      <c r="L844" t="n">
        <v>0</v>
      </c>
      <c r="M844" t="n">
        <v>0</v>
      </c>
      <c r="N844" t="n">
        <v>0</v>
      </c>
      <c r="O844" t="n">
        <v>0</v>
      </c>
      <c r="P844" t="n">
        <v>0</v>
      </c>
      <c r="Q844" t="n">
        <v>0</v>
      </c>
      <c r="R844" s="2" t="inlineStr"/>
    </row>
    <row r="845" ht="15" customHeight="1">
      <c r="A845" t="inlineStr">
        <is>
          <t>A 45447-2025</t>
        </is>
      </c>
      <c r="B845" s="1" t="n">
        <v>45922.48148148148</v>
      </c>
      <c r="C845" s="1" t="n">
        <v>45964</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c r="U845">
        <f>HYPERLINK("https://klasma.github.io/Logging_0380/knärot/A 45447-2025 karta knärot.png", "A 45447-2025")</f>
        <v/>
      </c>
      <c r="V845">
        <f>HYPERLINK("https://klasma.github.io/Logging_0380/klagomål/A 45447-2025 FSC-klagomål.docx", "A 45447-2025")</f>
        <v/>
      </c>
      <c r="W845">
        <f>HYPERLINK("https://klasma.github.io/Logging_0380/klagomålsmail/A 45447-2025 FSC-klagomål mail.docx", "A 45447-2025")</f>
        <v/>
      </c>
      <c r="X845">
        <f>HYPERLINK("https://klasma.github.io/Logging_0380/tillsyn/A 45447-2025 tillsynsbegäran.docx", "A 45447-2025")</f>
        <v/>
      </c>
      <c r="Y845">
        <f>HYPERLINK("https://klasma.github.io/Logging_0380/tillsynsmail/A 45447-2025 tillsynsbegäran mail.docx", "A 45447-2025")</f>
        <v/>
      </c>
    </row>
    <row r="846" ht="15" customHeight="1">
      <c r="A846" t="inlineStr">
        <is>
          <t>A 39777-2025</t>
        </is>
      </c>
      <c r="B846" s="1" t="n">
        <v>45891.46827546296</v>
      </c>
      <c r="C846" s="1" t="n">
        <v>45964</v>
      </c>
      <c r="D846" t="inlineStr">
        <is>
          <t>UPPSALA LÄN</t>
        </is>
      </c>
      <c r="E846" t="inlineStr">
        <is>
          <t>UPPSALA</t>
        </is>
      </c>
      <c r="G846" t="n">
        <v>6.5</v>
      </c>
      <c r="H846" t="n">
        <v>0</v>
      </c>
      <c r="I846" t="n">
        <v>0</v>
      </c>
      <c r="J846" t="n">
        <v>0</v>
      </c>
      <c r="K846" t="n">
        <v>0</v>
      </c>
      <c r="L846" t="n">
        <v>0</v>
      </c>
      <c r="M846" t="n">
        <v>0</v>
      </c>
      <c r="N846" t="n">
        <v>0</v>
      </c>
      <c r="O846" t="n">
        <v>0</v>
      </c>
      <c r="P846" t="n">
        <v>0</v>
      </c>
      <c r="Q846" t="n">
        <v>0</v>
      </c>
      <c r="R846" s="2" t="inlineStr"/>
    </row>
    <row r="847" ht="15" customHeight="1">
      <c r="A847" t="inlineStr">
        <is>
          <t>A 39721-2025</t>
        </is>
      </c>
      <c r="B847" s="1" t="n">
        <v>45891.33204861111</v>
      </c>
      <c r="C847" s="1" t="n">
        <v>45964</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37611-2025</t>
        </is>
      </c>
      <c r="B848" s="1" t="n">
        <v>45880</v>
      </c>
      <c r="C848" s="1" t="n">
        <v>45964</v>
      </c>
      <c r="D848" t="inlineStr">
        <is>
          <t>UPPSALA LÄN</t>
        </is>
      </c>
      <c r="E848" t="inlineStr">
        <is>
          <t>UPPSALA</t>
        </is>
      </c>
      <c r="G848" t="n">
        <v>2.9</v>
      </c>
      <c r="H848" t="n">
        <v>0</v>
      </c>
      <c r="I848" t="n">
        <v>0</v>
      </c>
      <c r="J848" t="n">
        <v>0</v>
      </c>
      <c r="K848" t="n">
        <v>0</v>
      </c>
      <c r="L848" t="n">
        <v>0</v>
      </c>
      <c r="M848" t="n">
        <v>0</v>
      </c>
      <c r="N848" t="n">
        <v>0</v>
      </c>
      <c r="O848" t="n">
        <v>0</v>
      </c>
      <c r="P848" t="n">
        <v>0</v>
      </c>
      <c r="Q848" t="n">
        <v>0</v>
      </c>
      <c r="R848" s="2" t="inlineStr"/>
    </row>
    <row r="849" ht="15" customHeight="1">
      <c r="A849" t="inlineStr">
        <is>
          <t>A 45436-2025</t>
        </is>
      </c>
      <c r="B849" s="1" t="n">
        <v>45922.46763888889</v>
      </c>
      <c r="C849" s="1" t="n">
        <v>45964</v>
      </c>
      <c r="D849" t="inlineStr">
        <is>
          <t>UPPSALA LÄN</t>
        </is>
      </c>
      <c r="E849" t="inlineStr">
        <is>
          <t>UPPSALA</t>
        </is>
      </c>
      <c r="G849" t="n">
        <v>3.5</v>
      </c>
      <c r="H849" t="n">
        <v>0</v>
      </c>
      <c r="I849" t="n">
        <v>0</v>
      </c>
      <c r="J849" t="n">
        <v>0</v>
      </c>
      <c r="K849" t="n">
        <v>0</v>
      </c>
      <c r="L849" t="n">
        <v>0</v>
      </c>
      <c r="M849" t="n">
        <v>0</v>
      </c>
      <c r="N849" t="n">
        <v>0</v>
      </c>
      <c r="O849" t="n">
        <v>0</v>
      </c>
      <c r="P849" t="n">
        <v>0</v>
      </c>
      <c r="Q849" t="n">
        <v>0</v>
      </c>
      <c r="R849" s="2" t="inlineStr"/>
    </row>
    <row r="850" ht="15" customHeight="1">
      <c r="A850" t="inlineStr">
        <is>
          <t>A 37759-2025</t>
        </is>
      </c>
      <c r="B850" s="1" t="n">
        <v>45880.68200231482</v>
      </c>
      <c r="C850" s="1" t="n">
        <v>45964</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37851-2025</t>
        </is>
      </c>
      <c r="B851" s="1" t="n">
        <v>45881.44938657407</v>
      </c>
      <c r="C851" s="1" t="n">
        <v>45964</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45405-2025</t>
        </is>
      </c>
      <c r="B852" s="1" t="n">
        <v>45922.42865740741</v>
      </c>
      <c r="C852" s="1" t="n">
        <v>45964</v>
      </c>
      <c r="D852" t="inlineStr">
        <is>
          <t>UPPSALA LÄN</t>
        </is>
      </c>
      <c r="E852" t="inlineStr">
        <is>
          <t>UPPSALA</t>
        </is>
      </c>
      <c r="G852" t="n">
        <v>1.6</v>
      </c>
      <c r="H852" t="n">
        <v>0</v>
      </c>
      <c r="I852" t="n">
        <v>0</v>
      </c>
      <c r="J852" t="n">
        <v>0</v>
      </c>
      <c r="K852" t="n">
        <v>0</v>
      </c>
      <c r="L852" t="n">
        <v>0</v>
      </c>
      <c r="M852" t="n">
        <v>0</v>
      </c>
      <c r="N852" t="n">
        <v>0</v>
      </c>
      <c r="O852" t="n">
        <v>0</v>
      </c>
      <c r="P852" t="n">
        <v>0</v>
      </c>
      <c r="Q852" t="n">
        <v>0</v>
      </c>
      <c r="R852" s="2" t="inlineStr"/>
    </row>
    <row r="853" ht="15" customHeight="1">
      <c r="A853" t="inlineStr">
        <is>
          <t>A 47999-2025</t>
        </is>
      </c>
      <c r="B853" s="1" t="n">
        <v>45932.62907407407</v>
      </c>
      <c r="C853" s="1" t="n">
        <v>45964</v>
      </c>
      <c r="D853" t="inlineStr">
        <is>
          <t>UPPSALA LÄN</t>
        </is>
      </c>
      <c r="E853" t="inlineStr">
        <is>
          <t>UPPSALA</t>
        </is>
      </c>
      <c r="F853" t="inlineStr">
        <is>
          <t>Allmännings- och besparingsskogar</t>
        </is>
      </c>
      <c r="G853" t="n">
        <v>1</v>
      </c>
      <c r="H853" t="n">
        <v>0</v>
      </c>
      <c r="I853" t="n">
        <v>0</v>
      </c>
      <c r="J853" t="n">
        <v>0</v>
      </c>
      <c r="K853" t="n">
        <v>0</v>
      </c>
      <c r="L853" t="n">
        <v>0</v>
      </c>
      <c r="M853" t="n">
        <v>0</v>
      </c>
      <c r="N853" t="n">
        <v>0</v>
      </c>
      <c r="O853" t="n">
        <v>0</v>
      </c>
      <c r="P853" t="n">
        <v>0</v>
      </c>
      <c r="Q853" t="n">
        <v>0</v>
      </c>
      <c r="R853" s="2" t="inlineStr"/>
    </row>
    <row r="854" ht="15" customHeight="1">
      <c r="A854" t="inlineStr">
        <is>
          <t>A 45903-2025</t>
        </is>
      </c>
      <c r="B854" s="1" t="n">
        <v>45923.70146990741</v>
      </c>
      <c r="C854" s="1" t="n">
        <v>45964</v>
      </c>
      <c r="D854" t="inlineStr">
        <is>
          <t>UPPSALA LÄN</t>
        </is>
      </c>
      <c r="E854" t="inlineStr">
        <is>
          <t>UPPSALA</t>
        </is>
      </c>
      <c r="F854" t="inlineStr">
        <is>
          <t>Kyrkan</t>
        </is>
      </c>
      <c r="G854" t="n">
        <v>1.4</v>
      </c>
      <c r="H854" t="n">
        <v>0</v>
      </c>
      <c r="I854" t="n">
        <v>0</v>
      </c>
      <c r="J854" t="n">
        <v>0</v>
      </c>
      <c r="K854" t="n">
        <v>0</v>
      </c>
      <c r="L854" t="n">
        <v>0</v>
      </c>
      <c r="M854" t="n">
        <v>0</v>
      </c>
      <c r="N854" t="n">
        <v>0</v>
      </c>
      <c r="O854" t="n">
        <v>0</v>
      </c>
      <c r="P854" t="n">
        <v>0</v>
      </c>
      <c r="Q854" t="n">
        <v>0</v>
      </c>
      <c r="R854" s="2" t="inlineStr"/>
    </row>
    <row r="855" ht="15" customHeight="1">
      <c r="A855" t="inlineStr">
        <is>
          <t>A 45904-2025</t>
        </is>
      </c>
      <c r="B855" s="1" t="n">
        <v>45923.70230324074</v>
      </c>
      <c r="C855" s="1" t="n">
        <v>45964</v>
      </c>
      <c r="D855" t="inlineStr">
        <is>
          <t>UPPSALA LÄN</t>
        </is>
      </c>
      <c r="E855" t="inlineStr">
        <is>
          <t>UPPSALA</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37557-2025</t>
        </is>
      </c>
      <c r="B856" s="1" t="n">
        <v>45880.32907407408</v>
      </c>
      <c r="C856" s="1" t="n">
        <v>45964</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64353-2020</t>
        </is>
      </c>
      <c r="B857" s="1" t="n">
        <v>44168.55746527778</v>
      </c>
      <c r="C857" s="1" t="n">
        <v>45964</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39529-2025</t>
        </is>
      </c>
      <c r="B858" s="1" t="n">
        <v>45890</v>
      </c>
      <c r="C858" s="1" t="n">
        <v>45964</v>
      </c>
      <c r="D858" t="inlineStr">
        <is>
          <t>UPPSALA LÄN</t>
        </is>
      </c>
      <c r="E858" t="inlineStr">
        <is>
          <t>UPPSALA</t>
        </is>
      </c>
      <c r="F858" t="inlineStr">
        <is>
          <t>Allmännings- och besparingsskogar</t>
        </is>
      </c>
      <c r="G858" t="n">
        <v>3.9</v>
      </c>
      <c r="H858" t="n">
        <v>0</v>
      </c>
      <c r="I858" t="n">
        <v>0</v>
      </c>
      <c r="J858" t="n">
        <v>0</v>
      </c>
      <c r="K858" t="n">
        <v>0</v>
      </c>
      <c r="L858" t="n">
        <v>0</v>
      </c>
      <c r="M858" t="n">
        <v>0</v>
      </c>
      <c r="N858" t="n">
        <v>0</v>
      </c>
      <c r="O858" t="n">
        <v>0</v>
      </c>
      <c r="P858" t="n">
        <v>0</v>
      </c>
      <c r="Q858" t="n">
        <v>0</v>
      </c>
      <c r="R858" s="2" t="inlineStr"/>
    </row>
    <row r="859" ht="15" customHeight="1">
      <c r="A859" t="inlineStr">
        <is>
          <t>A 60984-2022</t>
        </is>
      </c>
      <c r="B859" s="1" t="n">
        <v>44914.67600694444</v>
      </c>
      <c r="C859" s="1" t="n">
        <v>45964</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37856-2025</t>
        </is>
      </c>
      <c r="B860" s="1" t="n">
        <v>45881.45898148148</v>
      </c>
      <c r="C860" s="1" t="n">
        <v>45964</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47840-2025</t>
        </is>
      </c>
      <c r="B861" s="1" t="n">
        <v>45932.37375</v>
      </c>
      <c r="C861" s="1" t="n">
        <v>45964</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9820-2023</t>
        </is>
      </c>
      <c r="B862" s="1" t="n">
        <v>44984.69216435185</v>
      </c>
      <c r="C862" s="1" t="n">
        <v>45964</v>
      </c>
      <c r="D862" t="inlineStr">
        <is>
          <t>UPPSALA LÄN</t>
        </is>
      </c>
      <c r="E862" t="inlineStr">
        <is>
          <t>UPPSALA</t>
        </is>
      </c>
      <c r="F862" t="inlineStr">
        <is>
          <t>Kyrkan</t>
        </is>
      </c>
      <c r="G862" t="n">
        <v>2</v>
      </c>
      <c r="H862" t="n">
        <v>0</v>
      </c>
      <c r="I862" t="n">
        <v>0</v>
      </c>
      <c r="J862" t="n">
        <v>0</v>
      </c>
      <c r="K862" t="n">
        <v>0</v>
      </c>
      <c r="L862" t="n">
        <v>0</v>
      </c>
      <c r="M862" t="n">
        <v>0</v>
      </c>
      <c r="N862" t="n">
        <v>0</v>
      </c>
      <c r="O862" t="n">
        <v>0</v>
      </c>
      <c r="P862" t="n">
        <v>0</v>
      </c>
      <c r="Q862" t="n">
        <v>0</v>
      </c>
      <c r="R862" s="2" t="inlineStr"/>
    </row>
    <row r="863" ht="15" customHeight="1">
      <c r="A863" t="inlineStr">
        <is>
          <t>A 3287-2025</t>
        </is>
      </c>
      <c r="B863" s="1" t="n">
        <v>45679</v>
      </c>
      <c r="C863" s="1" t="n">
        <v>45964</v>
      </c>
      <c r="D863" t="inlineStr">
        <is>
          <t>UPPSALA LÄN</t>
        </is>
      </c>
      <c r="E863" t="inlineStr">
        <is>
          <t>UPPSALA</t>
        </is>
      </c>
      <c r="F863" t="inlineStr">
        <is>
          <t>Kyrkan</t>
        </is>
      </c>
      <c r="G863" t="n">
        <v>6.7</v>
      </c>
      <c r="H863" t="n">
        <v>0</v>
      </c>
      <c r="I863" t="n">
        <v>0</v>
      </c>
      <c r="J863" t="n">
        <v>0</v>
      </c>
      <c r="K863" t="n">
        <v>0</v>
      </c>
      <c r="L863" t="n">
        <v>0</v>
      </c>
      <c r="M863" t="n">
        <v>0</v>
      </c>
      <c r="N863" t="n">
        <v>0</v>
      </c>
      <c r="O863" t="n">
        <v>0</v>
      </c>
      <c r="P863" t="n">
        <v>0</v>
      </c>
      <c r="Q863" t="n">
        <v>0</v>
      </c>
      <c r="R863" s="2" t="inlineStr"/>
    </row>
    <row r="864" ht="15" customHeight="1">
      <c r="A864" t="inlineStr">
        <is>
          <t>A 34265-2021</t>
        </is>
      </c>
      <c r="B864" s="1" t="n">
        <v>44379.5745949074</v>
      </c>
      <c r="C864" s="1" t="n">
        <v>45964</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1020-2021</t>
        </is>
      </c>
      <c r="B865" s="1" t="n">
        <v>44207</v>
      </c>
      <c r="C865" s="1" t="n">
        <v>45964</v>
      </c>
      <c r="D865" t="inlineStr">
        <is>
          <t>UPPSALA LÄN</t>
        </is>
      </c>
      <c r="E865" t="inlineStr">
        <is>
          <t>UPPSALA</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38034-2025</t>
        </is>
      </c>
      <c r="B866" s="1" t="n">
        <v>45882.37202546297</v>
      </c>
      <c r="C866" s="1" t="n">
        <v>45964</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34147-2024</t>
        </is>
      </c>
      <c r="B867" s="1" t="n">
        <v>45524</v>
      </c>
      <c r="C867" s="1" t="n">
        <v>45964</v>
      </c>
      <c r="D867" t="inlineStr">
        <is>
          <t>UPPSALA LÄN</t>
        </is>
      </c>
      <c r="E867" t="inlineStr">
        <is>
          <t>UPPSALA</t>
        </is>
      </c>
      <c r="F867" t="inlineStr">
        <is>
          <t>Allmännings- och besparingsskogar</t>
        </is>
      </c>
      <c r="G867" t="n">
        <v>0.2</v>
      </c>
      <c r="H867" t="n">
        <v>0</v>
      </c>
      <c r="I867" t="n">
        <v>0</v>
      </c>
      <c r="J867" t="n">
        <v>0</v>
      </c>
      <c r="K867" t="n">
        <v>0</v>
      </c>
      <c r="L867" t="n">
        <v>0</v>
      </c>
      <c r="M867" t="n">
        <v>0</v>
      </c>
      <c r="N867" t="n">
        <v>0</v>
      </c>
      <c r="O867" t="n">
        <v>0</v>
      </c>
      <c r="P867" t="n">
        <v>0</v>
      </c>
      <c r="Q867" t="n">
        <v>0</v>
      </c>
      <c r="R867" s="2" t="inlineStr"/>
    </row>
    <row r="868" ht="15" customHeight="1">
      <c r="A868" t="inlineStr">
        <is>
          <t>A 48757-2025</t>
        </is>
      </c>
      <c r="B868" s="1" t="n">
        <v>45936.73660879629</v>
      </c>
      <c r="C868" s="1" t="n">
        <v>45964</v>
      </c>
      <c r="D868" t="inlineStr">
        <is>
          <t>UPPSALA LÄN</t>
        </is>
      </c>
      <c r="E868" t="inlineStr">
        <is>
          <t>UPPSALA</t>
        </is>
      </c>
      <c r="G868" t="n">
        <v>4.2</v>
      </c>
      <c r="H868" t="n">
        <v>0</v>
      </c>
      <c r="I868" t="n">
        <v>0</v>
      </c>
      <c r="J868" t="n">
        <v>0</v>
      </c>
      <c r="K868" t="n">
        <v>0</v>
      </c>
      <c r="L868" t="n">
        <v>0</v>
      </c>
      <c r="M868" t="n">
        <v>0</v>
      </c>
      <c r="N868" t="n">
        <v>0</v>
      </c>
      <c r="O868" t="n">
        <v>0</v>
      </c>
      <c r="P868" t="n">
        <v>0</v>
      </c>
      <c r="Q868" t="n">
        <v>0</v>
      </c>
      <c r="R868" s="2" t="inlineStr"/>
    </row>
    <row r="869" ht="15" customHeight="1">
      <c r="A869" t="inlineStr">
        <is>
          <t>A 48418-2025</t>
        </is>
      </c>
      <c r="B869" s="1" t="n">
        <v>45934.55967592593</v>
      </c>
      <c r="C869" s="1" t="n">
        <v>45964</v>
      </c>
      <c r="D869" t="inlineStr">
        <is>
          <t>UPPSALA LÄN</t>
        </is>
      </c>
      <c r="E869" t="inlineStr">
        <is>
          <t>UPPSALA</t>
        </is>
      </c>
      <c r="F869" t="inlineStr">
        <is>
          <t>Bergvik skog öst AB</t>
        </is>
      </c>
      <c r="G869" t="n">
        <v>5.2</v>
      </c>
      <c r="H869" t="n">
        <v>0</v>
      </c>
      <c r="I869" t="n">
        <v>0</v>
      </c>
      <c r="J869" t="n">
        <v>0</v>
      </c>
      <c r="K869" t="n">
        <v>0</v>
      </c>
      <c r="L869" t="n">
        <v>0</v>
      </c>
      <c r="M869" t="n">
        <v>0</v>
      </c>
      <c r="N869" t="n">
        <v>0</v>
      </c>
      <c r="O869" t="n">
        <v>0</v>
      </c>
      <c r="P869" t="n">
        <v>0</v>
      </c>
      <c r="Q869" t="n">
        <v>0</v>
      </c>
      <c r="R869" s="2" t="inlineStr"/>
    </row>
    <row r="870" ht="15" customHeight="1">
      <c r="A870" t="inlineStr">
        <is>
          <t>A 10456-2022</t>
        </is>
      </c>
      <c r="B870" s="1" t="n">
        <v>44623.5571875</v>
      </c>
      <c r="C870" s="1" t="n">
        <v>45964</v>
      </c>
      <c r="D870" t="inlineStr">
        <is>
          <t>UPPSALA LÄN</t>
        </is>
      </c>
      <c r="E870" t="inlineStr">
        <is>
          <t>UPPSALA</t>
        </is>
      </c>
      <c r="F870" t="inlineStr">
        <is>
          <t>Övriga Aktiebolag</t>
        </is>
      </c>
      <c r="G870" t="n">
        <v>12.6</v>
      </c>
      <c r="H870" t="n">
        <v>0</v>
      </c>
      <c r="I870" t="n">
        <v>0</v>
      </c>
      <c r="J870" t="n">
        <v>0</v>
      </c>
      <c r="K870" t="n">
        <v>0</v>
      </c>
      <c r="L870" t="n">
        <v>0</v>
      </c>
      <c r="M870" t="n">
        <v>0</v>
      </c>
      <c r="N870" t="n">
        <v>0</v>
      </c>
      <c r="O870" t="n">
        <v>0</v>
      </c>
      <c r="P870" t="n">
        <v>0</v>
      </c>
      <c r="Q870" t="n">
        <v>0</v>
      </c>
      <c r="R870" s="2" t="inlineStr"/>
    </row>
    <row r="871" ht="15" customHeight="1">
      <c r="A871" t="inlineStr">
        <is>
          <t>A 5663-2023</t>
        </is>
      </c>
      <c r="B871" s="1" t="n">
        <v>44960</v>
      </c>
      <c r="C871" s="1" t="n">
        <v>45964</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5675-2023</t>
        </is>
      </c>
      <c r="B872" s="1" t="n">
        <v>44960.66233796296</v>
      </c>
      <c r="C872" s="1" t="n">
        <v>45964</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4993-2025</t>
        </is>
      </c>
      <c r="B873" s="1" t="n">
        <v>45691</v>
      </c>
      <c r="C873" s="1" t="n">
        <v>45964</v>
      </c>
      <c r="D873" t="inlineStr">
        <is>
          <t>UPPSALA LÄN</t>
        </is>
      </c>
      <c r="E873" t="inlineStr">
        <is>
          <t>UPPSALA</t>
        </is>
      </c>
      <c r="F873" t="inlineStr">
        <is>
          <t>Kyrkan</t>
        </is>
      </c>
      <c r="G873" t="n">
        <v>6.7</v>
      </c>
      <c r="H873" t="n">
        <v>0</v>
      </c>
      <c r="I873" t="n">
        <v>0</v>
      </c>
      <c r="J873" t="n">
        <v>0</v>
      </c>
      <c r="K873" t="n">
        <v>0</v>
      </c>
      <c r="L873" t="n">
        <v>0</v>
      </c>
      <c r="M873" t="n">
        <v>0</v>
      </c>
      <c r="N873" t="n">
        <v>0</v>
      </c>
      <c r="O873" t="n">
        <v>0</v>
      </c>
      <c r="P873" t="n">
        <v>0</v>
      </c>
      <c r="Q873" t="n">
        <v>0</v>
      </c>
      <c r="R873" s="2" t="inlineStr"/>
    </row>
    <row r="874" ht="15" customHeight="1">
      <c r="A874" t="inlineStr">
        <is>
          <t>A 38113-2025</t>
        </is>
      </c>
      <c r="B874" s="1" t="n">
        <v>45882.52290509259</v>
      </c>
      <c r="C874" s="1" t="n">
        <v>45964</v>
      </c>
      <c r="D874" t="inlineStr">
        <is>
          <t>UPPSALA LÄN</t>
        </is>
      </c>
      <c r="E874" t="inlineStr">
        <is>
          <t>UPPSALA</t>
        </is>
      </c>
      <c r="G874" t="n">
        <v>5.8</v>
      </c>
      <c r="H874" t="n">
        <v>0</v>
      </c>
      <c r="I874" t="n">
        <v>0</v>
      </c>
      <c r="J874" t="n">
        <v>0</v>
      </c>
      <c r="K874" t="n">
        <v>0</v>
      </c>
      <c r="L874" t="n">
        <v>0</v>
      </c>
      <c r="M874" t="n">
        <v>0</v>
      </c>
      <c r="N874" t="n">
        <v>0</v>
      </c>
      <c r="O874" t="n">
        <v>0</v>
      </c>
      <c r="P874" t="n">
        <v>0</v>
      </c>
      <c r="Q874" t="n">
        <v>0</v>
      </c>
      <c r="R874" s="2" t="inlineStr"/>
    </row>
    <row r="875" ht="15" customHeight="1">
      <c r="A875" t="inlineStr">
        <is>
          <t>A 69698-2021</t>
        </is>
      </c>
      <c r="B875" s="1" t="n">
        <v>44532</v>
      </c>
      <c r="C875" s="1" t="n">
        <v>45964</v>
      </c>
      <c r="D875" t="inlineStr">
        <is>
          <t>UPPSALA LÄN</t>
        </is>
      </c>
      <c r="E875" t="inlineStr">
        <is>
          <t>UPPSALA</t>
        </is>
      </c>
      <c r="G875" t="n">
        <v>0.7</v>
      </c>
      <c r="H875" t="n">
        <v>0</v>
      </c>
      <c r="I875" t="n">
        <v>0</v>
      </c>
      <c r="J875" t="n">
        <v>0</v>
      </c>
      <c r="K875" t="n">
        <v>0</v>
      </c>
      <c r="L875" t="n">
        <v>0</v>
      </c>
      <c r="M875" t="n">
        <v>0</v>
      </c>
      <c r="N875" t="n">
        <v>0</v>
      </c>
      <c r="O875" t="n">
        <v>0</v>
      </c>
      <c r="P875" t="n">
        <v>0</v>
      </c>
      <c r="Q875" t="n">
        <v>0</v>
      </c>
      <c r="R875" s="2" t="inlineStr"/>
    </row>
    <row r="876" ht="15" customHeight="1">
      <c r="A876" t="inlineStr">
        <is>
          <t>A 40100-2022</t>
        </is>
      </c>
      <c r="B876" s="1" t="n">
        <v>44820.47935185185</v>
      </c>
      <c r="C876" s="1" t="n">
        <v>45964</v>
      </c>
      <c r="D876" t="inlineStr">
        <is>
          <t>UPPSALA LÄN</t>
        </is>
      </c>
      <c r="E876" t="inlineStr">
        <is>
          <t>UPPSALA</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8672-2024</t>
        </is>
      </c>
      <c r="B877" s="1" t="n">
        <v>45352</v>
      </c>
      <c r="C877" s="1" t="n">
        <v>45964</v>
      </c>
      <c r="D877" t="inlineStr">
        <is>
          <t>UPPSALA LÄN</t>
        </is>
      </c>
      <c r="E877" t="inlineStr">
        <is>
          <t>UPPSALA</t>
        </is>
      </c>
      <c r="G877" t="n">
        <v>2.3</v>
      </c>
      <c r="H877" t="n">
        <v>0</v>
      </c>
      <c r="I877" t="n">
        <v>0</v>
      </c>
      <c r="J877" t="n">
        <v>0</v>
      </c>
      <c r="K877" t="n">
        <v>0</v>
      </c>
      <c r="L877" t="n">
        <v>0</v>
      </c>
      <c r="M877" t="n">
        <v>0</v>
      </c>
      <c r="N877" t="n">
        <v>0</v>
      </c>
      <c r="O877" t="n">
        <v>0</v>
      </c>
      <c r="P877" t="n">
        <v>0</v>
      </c>
      <c r="Q877" t="n">
        <v>0</v>
      </c>
      <c r="R877" s="2" t="inlineStr"/>
    </row>
    <row r="878" ht="15" customHeight="1">
      <c r="A878" t="inlineStr">
        <is>
          <t>A 40610-2025</t>
        </is>
      </c>
      <c r="B878" s="1" t="n">
        <v>45896.57368055556</v>
      </c>
      <c r="C878" s="1" t="n">
        <v>45964</v>
      </c>
      <c r="D878" t="inlineStr">
        <is>
          <t>UPPSALA LÄN</t>
        </is>
      </c>
      <c r="E878" t="inlineStr">
        <is>
          <t>UPPSALA</t>
        </is>
      </c>
      <c r="G878" t="n">
        <v>2.3</v>
      </c>
      <c r="H878" t="n">
        <v>0</v>
      </c>
      <c r="I878" t="n">
        <v>0</v>
      </c>
      <c r="J878" t="n">
        <v>0</v>
      </c>
      <c r="K878" t="n">
        <v>0</v>
      </c>
      <c r="L878" t="n">
        <v>0</v>
      </c>
      <c r="M878" t="n">
        <v>0</v>
      </c>
      <c r="N878" t="n">
        <v>0</v>
      </c>
      <c r="O878" t="n">
        <v>0</v>
      </c>
      <c r="P878" t="n">
        <v>0</v>
      </c>
      <c r="Q878" t="n">
        <v>0</v>
      </c>
      <c r="R878" s="2" t="inlineStr"/>
    </row>
    <row r="879" ht="15" customHeight="1">
      <c r="A879" t="inlineStr">
        <is>
          <t>A 49164-2025</t>
        </is>
      </c>
      <c r="B879" s="1" t="n">
        <v>45938.3615625</v>
      </c>
      <c r="C879" s="1" t="n">
        <v>45964</v>
      </c>
      <c r="D879" t="inlineStr">
        <is>
          <t>UPPSALA LÄN</t>
        </is>
      </c>
      <c r="E879" t="inlineStr">
        <is>
          <t>UPPSALA</t>
        </is>
      </c>
      <c r="F879" t="inlineStr">
        <is>
          <t>Kyrkan</t>
        </is>
      </c>
      <c r="G879" t="n">
        <v>1</v>
      </c>
      <c r="H879" t="n">
        <v>0</v>
      </c>
      <c r="I879" t="n">
        <v>0</v>
      </c>
      <c r="J879" t="n">
        <v>0</v>
      </c>
      <c r="K879" t="n">
        <v>0</v>
      </c>
      <c r="L879" t="n">
        <v>0</v>
      </c>
      <c r="M879" t="n">
        <v>0</v>
      </c>
      <c r="N879" t="n">
        <v>0</v>
      </c>
      <c r="O879" t="n">
        <v>0</v>
      </c>
      <c r="P879" t="n">
        <v>0</v>
      </c>
      <c r="Q879" t="n">
        <v>0</v>
      </c>
      <c r="R879" s="2" t="inlineStr"/>
    </row>
    <row r="880" ht="15" customHeight="1">
      <c r="A880" t="inlineStr">
        <is>
          <t>A 42528-2023</t>
        </is>
      </c>
      <c r="B880" s="1" t="n">
        <v>45181.33571759259</v>
      </c>
      <c r="C880" s="1" t="n">
        <v>45964</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40504-2025</t>
        </is>
      </c>
      <c r="B881" s="1" t="n">
        <v>45896</v>
      </c>
      <c r="C881" s="1" t="n">
        <v>45964</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9255-2024</t>
        </is>
      </c>
      <c r="B882" s="1" t="n">
        <v>45358</v>
      </c>
      <c r="C882" s="1" t="n">
        <v>45964</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44894.57065972222</v>
      </c>
      <c r="C883" s="1" t="n">
        <v>45964</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33797-2021</t>
        </is>
      </c>
      <c r="B884" s="1" t="n">
        <v>44378.56137731481</v>
      </c>
      <c r="C884" s="1" t="n">
        <v>45964</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40606-2025</t>
        </is>
      </c>
      <c r="B885" s="1" t="n">
        <v>45896.57171296296</v>
      </c>
      <c r="C885" s="1" t="n">
        <v>45964</v>
      </c>
      <c r="D885" t="inlineStr">
        <is>
          <t>UPPSALA LÄN</t>
        </is>
      </c>
      <c r="E885" t="inlineStr">
        <is>
          <t>UPPSALA</t>
        </is>
      </c>
      <c r="G885" t="n">
        <v>3.2</v>
      </c>
      <c r="H885" t="n">
        <v>0</v>
      </c>
      <c r="I885" t="n">
        <v>0</v>
      </c>
      <c r="J885" t="n">
        <v>0</v>
      </c>
      <c r="K885" t="n">
        <v>0</v>
      </c>
      <c r="L885" t="n">
        <v>0</v>
      </c>
      <c r="M885" t="n">
        <v>0</v>
      </c>
      <c r="N885" t="n">
        <v>0</v>
      </c>
      <c r="O885" t="n">
        <v>0</v>
      </c>
      <c r="P885" t="n">
        <v>0</v>
      </c>
      <c r="Q885" t="n">
        <v>0</v>
      </c>
      <c r="R885" s="2" t="inlineStr"/>
    </row>
    <row r="886" ht="15" customHeight="1">
      <c r="A886" t="inlineStr">
        <is>
          <t>A 40501-2025</t>
        </is>
      </c>
      <c r="B886" s="1" t="n">
        <v>45896</v>
      </c>
      <c r="C886" s="1" t="n">
        <v>45964</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40855-2025</t>
        </is>
      </c>
      <c r="B887" s="1" t="n">
        <v>45897</v>
      </c>
      <c r="C887" s="1" t="n">
        <v>45964</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5374-2023</t>
        </is>
      </c>
      <c r="B888" s="1" t="n">
        <v>44944</v>
      </c>
      <c r="C888" s="1" t="n">
        <v>45964</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63011-2021</t>
        </is>
      </c>
      <c r="B889" s="1" t="n">
        <v>44504</v>
      </c>
      <c r="C889" s="1" t="n">
        <v>45964</v>
      </c>
      <c r="D889" t="inlineStr">
        <is>
          <t>UPPSALA LÄN</t>
        </is>
      </c>
      <c r="E889" t="inlineStr">
        <is>
          <t>UPPSALA</t>
        </is>
      </c>
      <c r="G889" t="n">
        <v>11.2</v>
      </c>
      <c r="H889" t="n">
        <v>0</v>
      </c>
      <c r="I889" t="n">
        <v>0</v>
      </c>
      <c r="J889" t="n">
        <v>0</v>
      </c>
      <c r="K889" t="n">
        <v>0</v>
      </c>
      <c r="L889" t="n">
        <v>0</v>
      </c>
      <c r="M889" t="n">
        <v>0</v>
      </c>
      <c r="N889" t="n">
        <v>0</v>
      </c>
      <c r="O889" t="n">
        <v>0</v>
      </c>
      <c r="P889" t="n">
        <v>0</v>
      </c>
      <c r="Q889" t="n">
        <v>0</v>
      </c>
      <c r="R889" s="2" t="inlineStr"/>
    </row>
    <row r="890" ht="15" customHeight="1">
      <c r="A890" t="inlineStr">
        <is>
          <t>A 45588-2025</t>
        </is>
      </c>
      <c r="B890" s="1" t="n">
        <v>45922</v>
      </c>
      <c r="C890" s="1" t="n">
        <v>45964</v>
      </c>
      <c r="D890" t="inlineStr">
        <is>
          <t>UPPSALA LÄN</t>
        </is>
      </c>
      <c r="E890" t="inlineStr">
        <is>
          <t>UPPSALA</t>
        </is>
      </c>
      <c r="G890" t="n">
        <v>2.9</v>
      </c>
      <c r="H890" t="n">
        <v>0</v>
      </c>
      <c r="I890" t="n">
        <v>0</v>
      </c>
      <c r="J890" t="n">
        <v>0</v>
      </c>
      <c r="K890" t="n">
        <v>0</v>
      </c>
      <c r="L890" t="n">
        <v>0</v>
      </c>
      <c r="M890" t="n">
        <v>0</v>
      </c>
      <c r="N890" t="n">
        <v>0</v>
      </c>
      <c r="O890" t="n">
        <v>0</v>
      </c>
      <c r="P890" t="n">
        <v>0</v>
      </c>
      <c r="Q890" t="n">
        <v>0</v>
      </c>
      <c r="R890" s="2" t="inlineStr"/>
    </row>
    <row r="891" ht="15" customHeight="1">
      <c r="A891" t="inlineStr">
        <is>
          <t>A 3955-2021</t>
        </is>
      </c>
      <c r="B891" s="1" t="n">
        <v>44222</v>
      </c>
      <c r="C891" s="1" t="n">
        <v>45964</v>
      </c>
      <c r="D891" t="inlineStr">
        <is>
          <t>UPPSALA LÄN</t>
        </is>
      </c>
      <c r="E891" t="inlineStr">
        <is>
          <t>UPPSALA</t>
        </is>
      </c>
      <c r="G891" t="n">
        <v>2.3</v>
      </c>
      <c r="H891" t="n">
        <v>0</v>
      </c>
      <c r="I891" t="n">
        <v>0</v>
      </c>
      <c r="J891" t="n">
        <v>0</v>
      </c>
      <c r="K891" t="n">
        <v>0</v>
      </c>
      <c r="L891" t="n">
        <v>0</v>
      </c>
      <c r="M891" t="n">
        <v>0</v>
      </c>
      <c r="N891" t="n">
        <v>0</v>
      </c>
      <c r="O891" t="n">
        <v>0</v>
      </c>
      <c r="P891" t="n">
        <v>0</v>
      </c>
      <c r="Q891" t="n">
        <v>0</v>
      </c>
      <c r="R891" s="2" t="inlineStr"/>
    </row>
    <row r="892" ht="15" customHeight="1">
      <c r="A892" t="inlineStr">
        <is>
          <t>A 49160-2025</t>
        </is>
      </c>
      <c r="B892" s="1" t="n">
        <v>45938.35063657408</v>
      </c>
      <c r="C892" s="1" t="n">
        <v>45964</v>
      </c>
      <c r="D892" t="inlineStr">
        <is>
          <t>UPPSALA LÄN</t>
        </is>
      </c>
      <c r="E892" t="inlineStr">
        <is>
          <t>UPPSALA</t>
        </is>
      </c>
      <c r="F892" t="inlineStr">
        <is>
          <t>Kyrkan</t>
        </is>
      </c>
      <c r="G892" t="n">
        <v>1.4</v>
      </c>
      <c r="H892" t="n">
        <v>0</v>
      </c>
      <c r="I892" t="n">
        <v>0</v>
      </c>
      <c r="J892" t="n">
        <v>0</v>
      </c>
      <c r="K892" t="n">
        <v>0</v>
      </c>
      <c r="L892" t="n">
        <v>0</v>
      </c>
      <c r="M892" t="n">
        <v>0</v>
      </c>
      <c r="N892" t="n">
        <v>0</v>
      </c>
      <c r="O892" t="n">
        <v>0</v>
      </c>
      <c r="P892" t="n">
        <v>0</v>
      </c>
      <c r="Q892" t="n">
        <v>0</v>
      </c>
      <c r="R892" s="2" t="inlineStr"/>
    </row>
    <row r="893" ht="15" customHeight="1">
      <c r="A893" t="inlineStr">
        <is>
          <t>A 52503-2023</t>
        </is>
      </c>
      <c r="B893" s="1" t="n">
        <v>45225.46480324074</v>
      </c>
      <c r="C893" s="1" t="n">
        <v>45964</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40639-2025</t>
        </is>
      </c>
      <c r="B894" s="1" t="n">
        <v>45896.61050925926</v>
      </c>
      <c r="C894" s="1" t="n">
        <v>45964</v>
      </c>
      <c r="D894" t="inlineStr">
        <is>
          <t>UPPSALA LÄN</t>
        </is>
      </c>
      <c r="E894" t="inlineStr">
        <is>
          <t>UPPSALA</t>
        </is>
      </c>
      <c r="G894" t="n">
        <v>6.9</v>
      </c>
      <c r="H894" t="n">
        <v>0</v>
      </c>
      <c r="I894" t="n">
        <v>0</v>
      </c>
      <c r="J894" t="n">
        <v>0</v>
      </c>
      <c r="K894" t="n">
        <v>0</v>
      </c>
      <c r="L894" t="n">
        <v>0</v>
      </c>
      <c r="M894" t="n">
        <v>0</v>
      </c>
      <c r="N894" t="n">
        <v>0</v>
      </c>
      <c r="O894" t="n">
        <v>0</v>
      </c>
      <c r="P894" t="n">
        <v>0</v>
      </c>
      <c r="Q894" t="n">
        <v>0</v>
      </c>
      <c r="R894" s="2" t="inlineStr"/>
    </row>
    <row r="895" ht="15" customHeight="1">
      <c r="A895" t="inlineStr">
        <is>
          <t>A 49463-2025</t>
        </is>
      </c>
      <c r="B895" s="1" t="n">
        <v>45939.32621527778</v>
      </c>
      <c r="C895" s="1" t="n">
        <v>45964</v>
      </c>
      <c r="D895" t="inlineStr">
        <is>
          <t>UPPSALA LÄN</t>
        </is>
      </c>
      <c r="E895" t="inlineStr">
        <is>
          <t>UPPSALA</t>
        </is>
      </c>
      <c r="G895" t="n">
        <v>3.4</v>
      </c>
      <c r="H895" t="n">
        <v>0</v>
      </c>
      <c r="I895" t="n">
        <v>0</v>
      </c>
      <c r="J895" t="n">
        <v>0</v>
      </c>
      <c r="K895" t="n">
        <v>0</v>
      </c>
      <c r="L895" t="n">
        <v>0</v>
      </c>
      <c r="M895" t="n">
        <v>0</v>
      </c>
      <c r="N895" t="n">
        <v>0</v>
      </c>
      <c r="O895" t="n">
        <v>0</v>
      </c>
      <c r="P895" t="n">
        <v>0</v>
      </c>
      <c r="Q895" t="n">
        <v>0</v>
      </c>
      <c r="R895" s="2" t="inlineStr"/>
    </row>
    <row r="896" ht="15" customHeight="1">
      <c r="A896" t="inlineStr">
        <is>
          <t>A 41444-2025</t>
        </is>
      </c>
      <c r="B896" s="1" t="n">
        <v>45901.41756944444</v>
      </c>
      <c r="C896" s="1" t="n">
        <v>45964</v>
      </c>
      <c r="D896" t="inlineStr">
        <is>
          <t>UPPSALA LÄN</t>
        </is>
      </c>
      <c r="E896" t="inlineStr">
        <is>
          <t>UPPSALA</t>
        </is>
      </c>
      <c r="F896" t="inlineStr">
        <is>
          <t>Kyrkan</t>
        </is>
      </c>
      <c r="G896" t="n">
        <v>4.5</v>
      </c>
      <c r="H896" t="n">
        <v>0</v>
      </c>
      <c r="I896" t="n">
        <v>0</v>
      </c>
      <c r="J896" t="n">
        <v>0</v>
      </c>
      <c r="K896" t="n">
        <v>0</v>
      </c>
      <c r="L896" t="n">
        <v>0</v>
      </c>
      <c r="M896" t="n">
        <v>0</v>
      </c>
      <c r="N896" t="n">
        <v>0</v>
      </c>
      <c r="O896" t="n">
        <v>0</v>
      </c>
      <c r="P896" t="n">
        <v>0</v>
      </c>
      <c r="Q896" t="n">
        <v>0</v>
      </c>
      <c r="R896" s="2" t="inlineStr"/>
    </row>
    <row r="897" ht="15" customHeight="1">
      <c r="A897" t="inlineStr">
        <is>
          <t>A 49937-2025</t>
        </is>
      </c>
      <c r="B897" s="1" t="n">
        <v>45940.67084490741</v>
      </c>
      <c r="C897" s="1" t="n">
        <v>45964</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49940-2025</t>
        </is>
      </c>
      <c r="B898" s="1" t="n">
        <v>45940.67305555556</v>
      </c>
      <c r="C898" s="1" t="n">
        <v>45964</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50102-2025</t>
        </is>
      </c>
      <c r="B899" s="1" t="n">
        <v>45943.53341435185</v>
      </c>
      <c r="C899" s="1" t="n">
        <v>45964</v>
      </c>
      <c r="D899" t="inlineStr">
        <is>
          <t>UPPSALA LÄN</t>
        </is>
      </c>
      <c r="E899" t="inlineStr">
        <is>
          <t>UPPSALA</t>
        </is>
      </c>
      <c r="F899" t="inlineStr">
        <is>
          <t>Bergvik skog öst AB</t>
        </is>
      </c>
      <c r="G899" t="n">
        <v>5.8</v>
      </c>
      <c r="H899" t="n">
        <v>0</v>
      </c>
      <c r="I899" t="n">
        <v>0</v>
      </c>
      <c r="J899" t="n">
        <v>0</v>
      </c>
      <c r="K899" t="n">
        <v>0</v>
      </c>
      <c r="L899" t="n">
        <v>0</v>
      </c>
      <c r="M899" t="n">
        <v>0</v>
      </c>
      <c r="N899" t="n">
        <v>0</v>
      </c>
      <c r="O899" t="n">
        <v>0</v>
      </c>
      <c r="P899" t="n">
        <v>0</v>
      </c>
      <c r="Q899" t="n">
        <v>0</v>
      </c>
      <c r="R899" s="2" t="inlineStr"/>
    </row>
    <row r="900" ht="15" customHeight="1">
      <c r="A900" t="inlineStr">
        <is>
          <t>A 50106-2025</t>
        </is>
      </c>
      <c r="B900" s="1" t="n">
        <v>45943.53659722222</v>
      </c>
      <c r="C900" s="1" t="n">
        <v>45964</v>
      </c>
      <c r="D900" t="inlineStr">
        <is>
          <t>UPPSALA LÄN</t>
        </is>
      </c>
      <c r="E900" t="inlineStr">
        <is>
          <t>UPPSALA</t>
        </is>
      </c>
      <c r="F900" t="inlineStr">
        <is>
          <t>Bergvik skog öst AB</t>
        </is>
      </c>
      <c r="G900" t="n">
        <v>3.4</v>
      </c>
      <c r="H900" t="n">
        <v>0</v>
      </c>
      <c r="I900" t="n">
        <v>0</v>
      </c>
      <c r="J900" t="n">
        <v>0</v>
      </c>
      <c r="K900" t="n">
        <v>0</v>
      </c>
      <c r="L900" t="n">
        <v>0</v>
      </c>
      <c r="M900" t="n">
        <v>0</v>
      </c>
      <c r="N900" t="n">
        <v>0</v>
      </c>
      <c r="O900" t="n">
        <v>0</v>
      </c>
      <c r="P900" t="n">
        <v>0</v>
      </c>
      <c r="Q900" t="n">
        <v>0</v>
      </c>
      <c r="R900" s="2" t="inlineStr"/>
    </row>
    <row r="901" ht="15" customHeight="1">
      <c r="A901" t="inlineStr">
        <is>
          <t>A 50104-2025</t>
        </is>
      </c>
      <c r="B901" s="1" t="n">
        <v>45943.5354050926</v>
      </c>
      <c r="C901" s="1" t="n">
        <v>45964</v>
      </c>
      <c r="D901" t="inlineStr">
        <is>
          <t>UPPSALA LÄN</t>
        </is>
      </c>
      <c r="E901" t="inlineStr">
        <is>
          <t>UPPSALA</t>
        </is>
      </c>
      <c r="F901" t="inlineStr">
        <is>
          <t>Bergvik skog öst AB</t>
        </is>
      </c>
      <c r="G901" t="n">
        <v>3.6</v>
      </c>
      <c r="H901" t="n">
        <v>0</v>
      </c>
      <c r="I901" t="n">
        <v>0</v>
      </c>
      <c r="J901" t="n">
        <v>0</v>
      </c>
      <c r="K901" t="n">
        <v>0</v>
      </c>
      <c r="L901" t="n">
        <v>0</v>
      </c>
      <c r="M901" t="n">
        <v>0</v>
      </c>
      <c r="N901" t="n">
        <v>0</v>
      </c>
      <c r="O901" t="n">
        <v>0</v>
      </c>
      <c r="P901" t="n">
        <v>0</v>
      </c>
      <c r="Q901" t="n">
        <v>0</v>
      </c>
      <c r="R901" s="2" t="inlineStr"/>
    </row>
    <row r="902" ht="15" customHeight="1">
      <c r="A902" t="inlineStr">
        <is>
          <t>A 59585-2023</t>
        </is>
      </c>
      <c r="B902" s="1" t="n">
        <v>45254</v>
      </c>
      <c r="C902" s="1" t="n">
        <v>45964</v>
      </c>
      <c r="D902" t="inlineStr">
        <is>
          <t>UPPSALA LÄN</t>
        </is>
      </c>
      <c r="E902" t="inlineStr">
        <is>
          <t>UPPSALA</t>
        </is>
      </c>
      <c r="G902" t="n">
        <v>4.4</v>
      </c>
      <c r="H902" t="n">
        <v>0</v>
      </c>
      <c r="I902" t="n">
        <v>0</v>
      </c>
      <c r="J902" t="n">
        <v>0</v>
      </c>
      <c r="K902" t="n">
        <v>0</v>
      </c>
      <c r="L902" t="n">
        <v>0</v>
      </c>
      <c r="M902" t="n">
        <v>0</v>
      </c>
      <c r="N902" t="n">
        <v>0</v>
      </c>
      <c r="O902" t="n">
        <v>0</v>
      </c>
      <c r="P902" t="n">
        <v>0</v>
      </c>
      <c r="Q902" t="n">
        <v>0</v>
      </c>
      <c r="R902" s="2" t="inlineStr"/>
    </row>
    <row r="903" ht="15" customHeight="1">
      <c r="A903" t="inlineStr">
        <is>
          <t>A 6989-2022</t>
        </is>
      </c>
      <c r="B903" s="1" t="n">
        <v>44603</v>
      </c>
      <c r="C903" s="1" t="n">
        <v>45964</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32553-2024</t>
        </is>
      </c>
      <c r="B904" s="1" t="n">
        <v>45513.51815972223</v>
      </c>
      <c r="C904" s="1" t="n">
        <v>45964</v>
      </c>
      <c r="D904" t="inlineStr">
        <is>
          <t>UPPSALA LÄN</t>
        </is>
      </c>
      <c r="E904" t="inlineStr">
        <is>
          <t>UPPSALA</t>
        </is>
      </c>
      <c r="F904" t="inlineStr">
        <is>
          <t>Bergvik skog öst AB</t>
        </is>
      </c>
      <c r="G904" t="n">
        <v>4.1</v>
      </c>
      <c r="H904" t="n">
        <v>0</v>
      </c>
      <c r="I904" t="n">
        <v>0</v>
      </c>
      <c r="J904" t="n">
        <v>0</v>
      </c>
      <c r="K904" t="n">
        <v>0</v>
      </c>
      <c r="L904" t="n">
        <v>0</v>
      </c>
      <c r="M904" t="n">
        <v>0</v>
      </c>
      <c r="N904" t="n">
        <v>0</v>
      </c>
      <c r="O904" t="n">
        <v>0</v>
      </c>
      <c r="P904" t="n">
        <v>0</v>
      </c>
      <c r="Q904" t="n">
        <v>0</v>
      </c>
      <c r="R904" s="2" t="inlineStr"/>
    </row>
    <row r="905" ht="15" customHeight="1">
      <c r="A905" t="inlineStr">
        <is>
          <t>A 50232-2025</t>
        </is>
      </c>
      <c r="B905" s="1" t="n">
        <v>45943.70756944444</v>
      </c>
      <c r="C905" s="1" t="n">
        <v>45964</v>
      </c>
      <c r="D905" t="inlineStr">
        <is>
          <t>UPPSALA LÄN</t>
        </is>
      </c>
      <c r="E905" t="inlineStr">
        <is>
          <t>UPPSALA</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46807-2022</t>
        </is>
      </c>
      <c r="B906" s="1" t="n">
        <v>44848</v>
      </c>
      <c r="C906" s="1" t="n">
        <v>45964</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44781-2021</t>
        </is>
      </c>
      <c r="B907" s="1" t="n">
        <v>44438</v>
      </c>
      <c r="C907" s="1" t="n">
        <v>45964</v>
      </c>
      <c r="D907" t="inlineStr">
        <is>
          <t>UPPSALA LÄN</t>
        </is>
      </c>
      <c r="E907" t="inlineStr">
        <is>
          <t>UPPSALA</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5605-2025</t>
        </is>
      </c>
      <c r="B908" s="1" t="n">
        <v>45693</v>
      </c>
      <c r="C908" s="1" t="n">
        <v>45964</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49938-2025</t>
        </is>
      </c>
      <c r="B909" s="1" t="n">
        <v>45940</v>
      </c>
      <c r="C909" s="1" t="n">
        <v>45964</v>
      </c>
      <c r="D909" t="inlineStr">
        <is>
          <t>UPPSALA LÄN</t>
        </is>
      </c>
      <c r="E909" t="inlineStr">
        <is>
          <t>UPPSALA</t>
        </is>
      </c>
      <c r="G909" t="n">
        <v>1.6</v>
      </c>
      <c r="H909" t="n">
        <v>0</v>
      </c>
      <c r="I909" t="n">
        <v>0</v>
      </c>
      <c r="J909" t="n">
        <v>0</v>
      </c>
      <c r="K909" t="n">
        <v>0</v>
      </c>
      <c r="L909" t="n">
        <v>0</v>
      </c>
      <c r="M909" t="n">
        <v>0</v>
      </c>
      <c r="N909" t="n">
        <v>0</v>
      </c>
      <c r="O909" t="n">
        <v>0</v>
      </c>
      <c r="P909" t="n">
        <v>0</v>
      </c>
      <c r="Q909" t="n">
        <v>0</v>
      </c>
      <c r="R909" s="2" t="inlineStr"/>
    </row>
    <row r="910" ht="15" customHeight="1">
      <c r="A910" t="inlineStr">
        <is>
          <t>A 12507-2024</t>
        </is>
      </c>
      <c r="B910" s="1" t="n">
        <v>45379</v>
      </c>
      <c r="C910" s="1" t="n">
        <v>45964</v>
      </c>
      <c r="D910" t="inlineStr">
        <is>
          <t>UPPSALA LÄN</t>
        </is>
      </c>
      <c r="E910" t="inlineStr">
        <is>
          <t>UPPSALA</t>
        </is>
      </c>
      <c r="G910" t="n">
        <v>4.6</v>
      </c>
      <c r="H910" t="n">
        <v>0</v>
      </c>
      <c r="I910" t="n">
        <v>0</v>
      </c>
      <c r="J910" t="n">
        <v>0</v>
      </c>
      <c r="K910" t="n">
        <v>0</v>
      </c>
      <c r="L910" t="n">
        <v>0</v>
      </c>
      <c r="M910" t="n">
        <v>0</v>
      </c>
      <c r="N910" t="n">
        <v>0</v>
      </c>
      <c r="O910" t="n">
        <v>0</v>
      </c>
      <c r="P910" t="n">
        <v>0</v>
      </c>
      <c r="Q910" t="n">
        <v>0</v>
      </c>
      <c r="R910" s="2" t="inlineStr"/>
    </row>
    <row r="911" ht="15" customHeight="1">
      <c r="A911" t="inlineStr">
        <is>
          <t>A 49988-2025</t>
        </is>
      </c>
      <c r="B911" s="1" t="n">
        <v>45942.80318287037</v>
      </c>
      <c r="C911" s="1" t="n">
        <v>45964</v>
      </c>
      <c r="D911" t="inlineStr">
        <is>
          <t>UPPSALA LÄN</t>
        </is>
      </c>
      <c r="E911" t="inlineStr">
        <is>
          <t>UPPSALA</t>
        </is>
      </c>
      <c r="F911" t="inlineStr">
        <is>
          <t>Bergvik skog öst AB</t>
        </is>
      </c>
      <c r="G911" t="n">
        <v>2.1</v>
      </c>
      <c r="H911" t="n">
        <v>0</v>
      </c>
      <c r="I911" t="n">
        <v>0</v>
      </c>
      <c r="J911" t="n">
        <v>0</v>
      </c>
      <c r="K911" t="n">
        <v>0</v>
      </c>
      <c r="L911" t="n">
        <v>0</v>
      </c>
      <c r="M911" t="n">
        <v>0</v>
      </c>
      <c r="N911" t="n">
        <v>0</v>
      </c>
      <c r="O911" t="n">
        <v>0</v>
      </c>
      <c r="P911" t="n">
        <v>0</v>
      </c>
      <c r="Q911" t="n">
        <v>0</v>
      </c>
      <c r="R911" s="2" t="inlineStr"/>
    </row>
    <row r="912" ht="15" customHeight="1">
      <c r="A912" t="inlineStr">
        <is>
          <t>A 49990-2025</t>
        </is>
      </c>
      <c r="B912" s="1" t="n">
        <v>45942.84414351852</v>
      </c>
      <c r="C912" s="1" t="n">
        <v>45964</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4065-2024</t>
        </is>
      </c>
      <c r="B913" s="1" t="n">
        <v>45323.55914351852</v>
      </c>
      <c r="C913" s="1" t="n">
        <v>45964</v>
      </c>
      <c r="D913" t="inlineStr">
        <is>
          <t>UPPSALA LÄN</t>
        </is>
      </c>
      <c r="E913" t="inlineStr">
        <is>
          <t>UPPSALA</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41445-2025</t>
        </is>
      </c>
      <c r="B914" s="1" t="n">
        <v>45901.41853009259</v>
      </c>
      <c r="C914" s="1" t="n">
        <v>45964</v>
      </c>
      <c r="D914" t="inlineStr">
        <is>
          <t>UPPSALA LÄN</t>
        </is>
      </c>
      <c r="E914" t="inlineStr">
        <is>
          <t>UPPSALA</t>
        </is>
      </c>
      <c r="F914" t="inlineStr">
        <is>
          <t>Kyrkan</t>
        </is>
      </c>
      <c r="G914" t="n">
        <v>4.5</v>
      </c>
      <c r="H914" t="n">
        <v>0</v>
      </c>
      <c r="I914" t="n">
        <v>0</v>
      </c>
      <c r="J914" t="n">
        <v>0</v>
      </c>
      <c r="K914" t="n">
        <v>0</v>
      </c>
      <c r="L914" t="n">
        <v>0</v>
      </c>
      <c r="M914" t="n">
        <v>0</v>
      </c>
      <c r="N914" t="n">
        <v>0</v>
      </c>
      <c r="O914" t="n">
        <v>0</v>
      </c>
      <c r="P914" t="n">
        <v>0</v>
      </c>
      <c r="Q914" t="n">
        <v>0</v>
      </c>
      <c r="R914" s="2" t="inlineStr"/>
    </row>
    <row r="915" ht="15" customHeight="1">
      <c r="A915" t="inlineStr">
        <is>
          <t>A 49986-2025</t>
        </is>
      </c>
      <c r="B915" s="1" t="n">
        <v>45942.79476851852</v>
      </c>
      <c r="C915" s="1" t="n">
        <v>45964</v>
      </c>
      <c r="D915" t="inlineStr">
        <is>
          <t>UPPSALA LÄN</t>
        </is>
      </c>
      <c r="E915" t="inlineStr">
        <is>
          <t>UPPSALA</t>
        </is>
      </c>
      <c r="F915" t="inlineStr">
        <is>
          <t>Bergvik skog öst AB</t>
        </is>
      </c>
      <c r="G915" t="n">
        <v>4.5</v>
      </c>
      <c r="H915" t="n">
        <v>0</v>
      </c>
      <c r="I915" t="n">
        <v>0</v>
      </c>
      <c r="J915" t="n">
        <v>0</v>
      </c>
      <c r="K915" t="n">
        <v>0</v>
      </c>
      <c r="L915" t="n">
        <v>0</v>
      </c>
      <c r="M915" t="n">
        <v>0</v>
      </c>
      <c r="N915" t="n">
        <v>0</v>
      </c>
      <c r="O915" t="n">
        <v>0</v>
      </c>
      <c r="P915" t="n">
        <v>0</v>
      </c>
      <c r="Q915" t="n">
        <v>0</v>
      </c>
      <c r="R915" s="2" t="inlineStr"/>
    </row>
    <row r="916" ht="15" customHeight="1">
      <c r="A916" t="inlineStr">
        <is>
          <t>A 49989-2025</t>
        </is>
      </c>
      <c r="B916" s="1" t="n">
        <v>45942.8396412037</v>
      </c>
      <c r="C916" s="1" t="n">
        <v>45964</v>
      </c>
      <c r="D916" t="inlineStr">
        <is>
          <t>UPPSALA LÄN</t>
        </is>
      </c>
      <c r="E916" t="inlineStr">
        <is>
          <t>UPPSALA</t>
        </is>
      </c>
      <c r="G916" t="n">
        <v>2.4</v>
      </c>
      <c r="H916" t="n">
        <v>0</v>
      </c>
      <c r="I916" t="n">
        <v>0</v>
      </c>
      <c r="J916" t="n">
        <v>0</v>
      </c>
      <c r="K916" t="n">
        <v>0</v>
      </c>
      <c r="L916" t="n">
        <v>0</v>
      </c>
      <c r="M916" t="n">
        <v>0</v>
      </c>
      <c r="N916" t="n">
        <v>0</v>
      </c>
      <c r="O916" t="n">
        <v>0</v>
      </c>
      <c r="P916" t="n">
        <v>0</v>
      </c>
      <c r="Q916" t="n">
        <v>0</v>
      </c>
      <c r="R916" s="2" t="inlineStr"/>
    </row>
    <row r="917" ht="15" customHeight="1">
      <c r="A917" t="inlineStr">
        <is>
          <t>A 49829-2025</t>
        </is>
      </c>
      <c r="B917" s="1" t="n">
        <v>45940.45038194444</v>
      </c>
      <c r="C917" s="1" t="n">
        <v>45964</v>
      </c>
      <c r="D917" t="inlineStr">
        <is>
          <t>UPPSALA LÄN</t>
        </is>
      </c>
      <c r="E917" t="inlineStr">
        <is>
          <t>UPPSALA</t>
        </is>
      </c>
      <c r="F917" t="inlineStr">
        <is>
          <t>Bergvik skog öst AB</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49987-2025</t>
        </is>
      </c>
      <c r="B918" s="1" t="n">
        <v>45942.80185185185</v>
      </c>
      <c r="C918" s="1" t="n">
        <v>45964</v>
      </c>
      <c r="D918" t="inlineStr">
        <is>
          <t>UPPSALA LÄN</t>
        </is>
      </c>
      <c r="E918" t="inlineStr">
        <is>
          <t>UPPSALA</t>
        </is>
      </c>
      <c r="F918" t="inlineStr">
        <is>
          <t>Bergvik skog öst AB</t>
        </is>
      </c>
      <c r="G918" t="n">
        <v>3.4</v>
      </c>
      <c r="H918" t="n">
        <v>0</v>
      </c>
      <c r="I918" t="n">
        <v>0</v>
      </c>
      <c r="J918" t="n">
        <v>0</v>
      </c>
      <c r="K918" t="n">
        <v>0</v>
      </c>
      <c r="L918" t="n">
        <v>0</v>
      </c>
      <c r="M918" t="n">
        <v>0</v>
      </c>
      <c r="N918" t="n">
        <v>0</v>
      </c>
      <c r="O918" t="n">
        <v>0</v>
      </c>
      <c r="P918" t="n">
        <v>0</v>
      </c>
      <c r="Q918" t="n">
        <v>0</v>
      </c>
      <c r="R918" s="2" t="inlineStr"/>
    </row>
    <row r="919" ht="15" customHeight="1">
      <c r="A919" t="inlineStr">
        <is>
          <t>A 49094-2025</t>
        </is>
      </c>
      <c r="B919" s="1" t="n">
        <v>45937.68865740741</v>
      </c>
      <c r="C919" s="1" t="n">
        <v>45964</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41112-2025</t>
        </is>
      </c>
      <c r="B920" s="1" t="n">
        <v>45898.46040509259</v>
      </c>
      <c r="C920" s="1" t="n">
        <v>45964</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41954-2025</t>
        </is>
      </c>
      <c r="B921" s="1" t="n">
        <v>45903</v>
      </c>
      <c r="C921" s="1" t="n">
        <v>45964</v>
      </c>
      <c r="D921" t="inlineStr">
        <is>
          <t>UPPSALA LÄN</t>
        </is>
      </c>
      <c r="E921" t="inlineStr">
        <is>
          <t>UPPSALA</t>
        </is>
      </c>
      <c r="G921" t="n">
        <v>7.5</v>
      </c>
      <c r="H921" t="n">
        <v>0</v>
      </c>
      <c r="I921" t="n">
        <v>0</v>
      </c>
      <c r="J921" t="n">
        <v>0</v>
      </c>
      <c r="K921" t="n">
        <v>0</v>
      </c>
      <c r="L921" t="n">
        <v>0</v>
      </c>
      <c r="M921" t="n">
        <v>0</v>
      </c>
      <c r="N921" t="n">
        <v>0</v>
      </c>
      <c r="O921" t="n">
        <v>0</v>
      </c>
      <c r="P921" t="n">
        <v>0</v>
      </c>
      <c r="Q921" t="n">
        <v>0</v>
      </c>
      <c r="R921" s="2" t="inlineStr"/>
    </row>
    <row r="922" ht="15" customHeight="1">
      <c r="A922" t="inlineStr">
        <is>
          <t>A 42084-2025</t>
        </is>
      </c>
      <c r="B922" s="1" t="n">
        <v>45903.69096064815</v>
      </c>
      <c r="C922" s="1" t="n">
        <v>45964</v>
      </c>
      <c r="D922" t="inlineStr">
        <is>
          <t>UPPSALA LÄN</t>
        </is>
      </c>
      <c r="E922" t="inlineStr">
        <is>
          <t>UPPSALA</t>
        </is>
      </c>
      <c r="F922" t="inlineStr">
        <is>
          <t>Bergvik skog öst AB</t>
        </is>
      </c>
      <c r="G922" t="n">
        <v>1.8</v>
      </c>
      <c r="H922" t="n">
        <v>0</v>
      </c>
      <c r="I922" t="n">
        <v>0</v>
      </c>
      <c r="J922" t="n">
        <v>0</v>
      </c>
      <c r="K922" t="n">
        <v>0</v>
      </c>
      <c r="L922" t="n">
        <v>0</v>
      </c>
      <c r="M922" t="n">
        <v>0</v>
      </c>
      <c r="N922" t="n">
        <v>0</v>
      </c>
      <c r="O922" t="n">
        <v>0</v>
      </c>
      <c r="P922" t="n">
        <v>0</v>
      </c>
      <c r="Q922" t="n">
        <v>0</v>
      </c>
      <c r="R922" s="2" t="inlineStr"/>
    </row>
    <row r="923" ht="15" customHeight="1">
      <c r="A923" t="inlineStr">
        <is>
          <t>A 42085-2025</t>
        </is>
      </c>
      <c r="B923" s="1" t="n">
        <v>45903.69358796296</v>
      </c>
      <c r="C923" s="1" t="n">
        <v>45964</v>
      </c>
      <c r="D923" t="inlineStr">
        <is>
          <t>UPPSALA LÄN</t>
        </is>
      </c>
      <c r="E923" t="inlineStr">
        <is>
          <t>UPPSALA</t>
        </is>
      </c>
      <c r="F923" t="inlineStr">
        <is>
          <t>Bergvik skog öst AB</t>
        </is>
      </c>
      <c r="G923" t="n">
        <v>1.7</v>
      </c>
      <c r="H923" t="n">
        <v>0</v>
      </c>
      <c r="I923" t="n">
        <v>0</v>
      </c>
      <c r="J923" t="n">
        <v>0</v>
      </c>
      <c r="K923" t="n">
        <v>0</v>
      </c>
      <c r="L923" t="n">
        <v>0</v>
      </c>
      <c r="M923" t="n">
        <v>0</v>
      </c>
      <c r="N923" t="n">
        <v>0</v>
      </c>
      <c r="O923" t="n">
        <v>0</v>
      </c>
      <c r="P923" t="n">
        <v>0</v>
      </c>
      <c r="Q923" t="n">
        <v>0</v>
      </c>
      <c r="R923" s="2" t="inlineStr"/>
    </row>
    <row r="924" ht="15" customHeight="1">
      <c r="A924" t="inlineStr">
        <is>
          <t>A 41707-2025</t>
        </is>
      </c>
      <c r="B924" s="1" t="n">
        <v>45902.42243055555</v>
      </c>
      <c r="C924" s="1" t="n">
        <v>45964</v>
      </c>
      <c r="D924" t="inlineStr">
        <is>
          <t>UPPSALA LÄN</t>
        </is>
      </c>
      <c r="E924" t="inlineStr">
        <is>
          <t>UPPSALA</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49080-2025</t>
        </is>
      </c>
      <c r="B925" s="1" t="n">
        <v>45937</v>
      </c>
      <c r="C925" s="1" t="n">
        <v>45964</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42541-2025</t>
        </is>
      </c>
      <c r="B926" s="1" t="n">
        <v>45905.5756712963</v>
      </c>
      <c r="C926" s="1" t="n">
        <v>45964</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24909-2025</t>
        </is>
      </c>
      <c r="B927" s="1" t="n">
        <v>45799.53348379629</v>
      </c>
      <c r="C927" s="1" t="n">
        <v>45964</v>
      </c>
      <c r="D927" t="inlineStr">
        <is>
          <t>UPPSALA LÄN</t>
        </is>
      </c>
      <c r="E927" t="inlineStr">
        <is>
          <t>UPPSALA</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26739-2025</t>
        </is>
      </c>
      <c r="B928" s="1" t="n">
        <v>45809</v>
      </c>
      <c r="C928" s="1" t="n">
        <v>45964</v>
      </c>
      <c r="D928" t="inlineStr">
        <is>
          <t>UPPSALA LÄN</t>
        </is>
      </c>
      <c r="E928" t="inlineStr">
        <is>
          <t>UPPSALA</t>
        </is>
      </c>
      <c r="F928" t="inlineStr">
        <is>
          <t>Övriga Aktiebolag</t>
        </is>
      </c>
      <c r="G928" t="n">
        <v>3.6</v>
      </c>
      <c r="H928" t="n">
        <v>0</v>
      </c>
      <c r="I928" t="n">
        <v>0</v>
      </c>
      <c r="J928" t="n">
        <v>0</v>
      </c>
      <c r="K928" t="n">
        <v>0</v>
      </c>
      <c r="L928" t="n">
        <v>0</v>
      </c>
      <c r="M928" t="n">
        <v>0</v>
      </c>
      <c r="N928" t="n">
        <v>0</v>
      </c>
      <c r="O928" t="n">
        <v>0</v>
      </c>
      <c r="P928" t="n">
        <v>0</v>
      </c>
      <c r="Q928" t="n">
        <v>0</v>
      </c>
      <c r="R928" s="2" t="inlineStr"/>
    </row>
    <row r="929" ht="15" customHeight="1">
      <c r="A929" t="inlineStr">
        <is>
          <t>A 50951-2025</t>
        </is>
      </c>
      <c r="B929" s="1" t="n">
        <v>45946.76038194444</v>
      </c>
      <c r="C929" s="1" t="n">
        <v>45964</v>
      </c>
      <c r="D929" t="inlineStr">
        <is>
          <t>UPPSALA LÄN</t>
        </is>
      </c>
      <c r="E929" t="inlineStr">
        <is>
          <t>UPPSALA</t>
        </is>
      </c>
      <c r="G929" t="n">
        <v>2.9</v>
      </c>
      <c r="H929" t="n">
        <v>0</v>
      </c>
      <c r="I929" t="n">
        <v>0</v>
      </c>
      <c r="J929" t="n">
        <v>0</v>
      </c>
      <c r="K929" t="n">
        <v>0</v>
      </c>
      <c r="L929" t="n">
        <v>0</v>
      </c>
      <c r="M929" t="n">
        <v>0</v>
      </c>
      <c r="N929" t="n">
        <v>0</v>
      </c>
      <c r="O929" t="n">
        <v>0</v>
      </c>
      <c r="P929" t="n">
        <v>0</v>
      </c>
      <c r="Q929" t="n">
        <v>0</v>
      </c>
      <c r="R929" s="2" t="inlineStr"/>
    </row>
    <row r="930" ht="15" customHeight="1">
      <c r="A930" t="inlineStr">
        <is>
          <t>A 42347-2025</t>
        </is>
      </c>
      <c r="B930" s="1" t="n">
        <v>45904.77746527778</v>
      </c>
      <c r="C930" s="1" t="n">
        <v>45964</v>
      </c>
      <c r="D930" t="inlineStr">
        <is>
          <t>UPPSALA LÄN</t>
        </is>
      </c>
      <c r="E930" t="inlineStr">
        <is>
          <t>UPPSALA</t>
        </is>
      </c>
      <c r="G930" t="n">
        <v>2.7</v>
      </c>
      <c r="H930" t="n">
        <v>0</v>
      </c>
      <c r="I930" t="n">
        <v>0</v>
      </c>
      <c r="J930" t="n">
        <v>0</v>
      </c>
      <c r="K930" t="n">
        <v>0</v>
      </c>
      <c r="L930" t="n">
        <v>0</v>
      </c>
      <c r="M930" t="n">
        <v>0</v>
      </c>
      <c r="N930" t="n">
        <v>0</v>
      </c>
      <c r="O930" t="n">
        <v>0</v>
      </c>
      <c r="P930" t="n">
        <v>0</v>
      </c>
      <c r="Q930" t="n">
        <v>0</v>
      </c>
      <c r="R930" s="2" t="inlineStr"/>
    </row>
    <row r="931" ht="15" customHeight="1">
      <c r="A931" t="inlineStr">
        <is>
          <t>A 12211-2025</t>
        </is>
      </c>
      <c r="B931" s="1" t="n">
        <v>45729</v>
      </c>
      <c r="C931" s="1" t="n">
        <v>45964</v>
      </c>
      <c r="D931" t="inlineStr">
        <is>
          <t>UPPSALA LÄN</t>
        </is>
      </c>
      <c r="E931" t="inlineStr">
        <is>
          <t>UPPSALA</t>
        </is>
      </c>
      <c r="G931" t="n">
        <v>3.6</v>
      </c>
      <c r="H931" t="n">
        <v>0</v>
      </c>
      <c r="I931" t="n">
        <v>0</v>
      </c>
      <c r="J931" t="n">
        <v>0</v>
      </c>
      <c r="K931" t="n">
        <v>0</v>
      </c>
      <c r="L931" t="n">
        <v>0</v>
      </c>
      <c r="M931" t="n">
        <v>0</v>
      </c>
      <c r="N931" t="n">
        <v>0</v>
      </c>
      <c r="O931" t="n">
        <v>0</v>
      </c>
      <c r="P931" t="n">
        <v>0</v>
      </c>
      <c r="Q931" t="n">
        <v>0</v>
      </c>
      <c r="R931" s="2" t="inlineStr"/>
    </row>
    <row r="932" ht="15" customHeight="1">
      <c r="A932" t="inlineStr">
        <is>
          <t>A 50706-2025</t>
        </is>
      </c>
      <c r="B932" s="1" t="n">
        <v>45946.30063657407</v>
      </c>
      <c r="C932" s="1" t="n">
        <v>45964</v>
      </c>
      <c r="D932" t="inlineStr">
        <is>
          <t>UPPSALA LÄN</t>
        </is>
      </c>
      <c r="E932" t="inlineStr">
        <is>
          <t>UPPSALA</t>
        </is>
      </c>
      <c r="G932" t="n">
        <v>3.6</v>
      </c>
      <c r="H932" t="n">
        <v>0</v>
      </c>
      <c r="I932" t="n">
        <v>0</v>
      </c>
      <c r="J932" t="n">
        <v>0</v>
      </c>
      <c r="K932" t="n">
        <v>0</v>
      </c>
      <c r="L932" t="n">
        <v>0</v>
      </c>
      <c r="M932" t="n">
        <v>0</v>
      </c>
      <c r="N932" t="n">
        <v>0</v>
      </c>
      <c r="O932" t="n">
        <v>0</v>
      </c>
      <c r="P932" t="n">
        <v>0</v>
      </c>
      <c r="Q932" t="n">
        <v>0</v>
      </c>
      <c r="R932" s="2" t="inlineStr"/>
    </row>
    <row r="933" ht="15" customHeight="1">
      <c r="A933" t="inlineStr">
        <is>
          <t>A 50708-2025</t>
        </is>
      </c>
      <c r="B933" s="1" t="n">
        <v>45946.31299768519</v>
      </c>
      <c r="C933" s="1" t="n">
        <v>45964</v>
      </c>
      <c r="D933" t="inlineStr">
        <is>
          <t>UPPSALA LÄN</t>
        </is>
      </c>
      <c r="E933" t="inlineStr">
        <is>
          <t>UPPSALA</t>
        </is>
      </c>
      <c r="G933" t="n">
        <v>6.7</v>
      </c>
      <c r="H933" t="n">
        <v>0</v>
      </c>
      <c r="I933" t="n">
        <v>0</v>
      </c>
      <c r="J933" t="n">
        <v>0</v>
      </c>
      <c r="K933" t="n">
        <v>0</v>
      </c>
      <c r="L933" t="n">
        <v>0</v>
      </c>
      <c r="M933" t="n">
        <v>0</v>
      </c>
      <c r="N933" t="n">
        <v>0</v>
      </c>
      <c r="O933" t="n">
        <v>0</v>
      </c>
      <c r="P933" t="n">
        <v>0</v>
      </c>
      <c r="Q933" t="n">
        <v>0</v>
      </c>
      <c r="R933" s="2" t="inlineStr"/>
    </row>
    <row r="934" ht="15" customHeight="1">
      <c r="A934" t="inlineStr">
        <is>
          <t>A 51090-2025</t>
        </is>
      </c>
      <c r="B934" s="1" t="n">
        <v>45947.4724537037</v>
      </c>
      <c r="C934" s="1" t="n">
        <v>45964</v>
      </c>
      <c r="D934" t="inlineStr">
        <is>
          <t>UPPSALA LÄN</t>
        </is>
      </c>
      <c r="E934" t="inlineStr">
        <is>
          <t>UPPSALA</t>
        </is>
      </c>
      <c r="F934" t="inlineStr">
        <is>
          <t>Övriga Aktiebolag</t>
        </is>
      </c>
      <c r="G934" t="n">
        <v>17.5</v>
      </c>
      <c r="H934" t="n">
        <v>0</v>
      </c>
      <c r="I934" t="n">
        <v>0</v>
      </c>
      <c r="J934" t="n">
        <v>0</v>
      </c>
      <c r="K934" t="n">
        <v>0</v>
      </c>
      <c r="L934" t="n">
        <v>0</v>
      </c>
      <c r="M934" t="n">
        <v>0</v>
      </c>
      <c r="N934" t="n">
        <v>0</v>
      </c>
      <c r="O934" t="n">
        <v>0</v>
      </c>
      <c r="P934" t="n">
        <v>0</v>
      </c>
      <c r="Q934" t="n">
        <v>0</v>
      </c>
      <c r="R934" s="2" t="inlineStr"/>
    </row>
    <row r="935" ht="15" customHeight="1">
      <c r="A935" t="inlineStr">
        <is>
          <t>A 50949-2025</t>
        </is>
      </c>
      <c r="B935" s="1" t="n">
        <v>45946.75140046296</v>
      </c>
      <c r="C935" s="1" t="n">
        <v>45964</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42593-2025</t>
        </is>
      </c>
      <c r="B936" s="1" t="n">
        <v>45905.64862268518</v>
      </c>
      <c r="C936" s="1" t="n">
        <v>45964</v>
      </c>
      <c r="D936" t="inlineStr">
        <is>
          <t>UPPSALA LÄN</t>
        </is>
      </c>
      <c r="E936" t="inlineStr">
        <is>
          <t>UPPSALA</t>
        </is>
      </c>
      <c r="G936" t="n">
        <v>2.1</v>
      </c>
      <c r="H936" t="n">
        <v>0</v>
      </c>
      <c r="I936" t="n">
        <v>0</v>
      </c>
      <c r="J936" t="n">
        <v>0</v>
      </c>
      <c r="K936" t="n">
        <v>0</v>
      </c>
      <c r="L936" t="n">
        <v>0</v>
      </c>
      <c r="M936" t="n">
        <v>0</v>
      </c>
      <c r="N936" t="n">
        <v>0</v>
      </c>
      <c r="O936" t="n">
        <v>0</v>
      </c>
      <c r="P936" t="n">
        <v>0</v>
      </c>
      <c r="Q936" t="n">
        <v>0</v>
      </c>
      <c r="R936" s="2" t="inlineStr"/>
    </row>
    <row r="937" ht="15" customHeight="1">
      <c r="A937" t="inlineStr">
        <is>
          <t>A 26738-2025</t>
        </is>
      </c>
      <c r="B937" s="1" t="n">
        <v>45809</v>
      </c>
      <c r="C937" s="1" t="n">
        <v>45964</v>
      </c>
      <c r="D937" t="inlineStr">
        <is>
          <t>UPPSALA LÄN</t>
        </is>
      </c>
      <c r="E937" t="inlineStr">
        <is>
          <t>UPPSALA</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51158-2025</t>
        </is>
      </c>
      <c r="B938" s="1" t="n">
        <v>45947.58105324074</v>
      </c>
      <c r="C938" s="1" t="n">
        <v>45964</v>
      </c>
      <c r="D938" t="inlineStr">
        <is>
          <t>UPPSALA LÄN</t>
        </is>
      </c>
      <c r="E938" t="inlineStr">
        <is>
          <t>UPPSALA</t>
        </is>
      </c>
      <c r="F938" t="inlineStr">
        <is>
          <t>Övriga Aktiebolag</t>
        </is>
      </c>
      <c r="G938" t="n">
        <v>12.1</v>
      </c>
      <c r="H938" t="n">
        <v>0</v>
      </c>
      <c r="I938" t="n">
        <v>0</v>
      </c>
      <c r="J938" t="n">
        <v>0</v>
      </c>
      <c r="K938" t="n">
        <v>0</v>
      </c>
      <c r="L938" t="n">
        <v>0</v>
      </c>
      <c r="M938" t="n">
        <v>0</v>
      </c>
      <c r="N938" t="n">
        <v>0</v>
      </c>
      <c r="O938" t="n">
        <v>0</v>
      </c>
      <c r="P938" t="n">
        <v>0</v>
      </c>
      <c r="Q938" t="n">
        <v>0</v>
      </c>
      <c r="R938" s="2" t="inlineStr"/>
    </row>
    <row r="939" ht="15" customHeight="1">
      <c r="A939" t="inlineStr">
        <is>
          <t>A 42134-2025</t>
        </is>
      </c>
      <c r="B939" s="1" t="n">
        <v>45904</v>
      </c>
      <c r="C939" s="1" t="n">
        <v>45964</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50897-2025</t>
        </is>
      </c>
      <c r="B940" s="1" t="n">
        <v>45946.64121527778</v>
      </c>
      <c r="C940" s="1" t="n">
        <v>45964</v>
      </c>
      <c r="D940" t="inlineStr">
        <is>
          <t>UPPSALA LÄN</t>
        </is>
      </c>
      <c r="E940" t="inlineStr">
        <is>
          <t>UPPSALA</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10394-2025</t>
        </is>
      </c>
      <c r="B941" s="1" t="n">
        <v>45720.60410879629</v>
      </c>
      <c r="C941" s="1" t="n">
        <v>45964</v>
      </c>
      <c r="D941" t="inlineStr">
        <is>
          <t>UPPSALA LÄN</t>
        </is>
      </c>
      <c r="E941" t="inlineStr">
        <is>
          <t>UPPSALA</t>
        </is>
      </c>
      <c r="G941" t="n">
        <v>3.4</v>
      </c>
      <c r="H941" t="n">
        <v>0</v>
      </c>
      <c r="I941" t="n">
        <v>0</v>
      </c>
      <c r="J941" t="n">
        <v>0</v>
      </c>
      <c r="K941" t="n">
        <v>0</v>
      </c>
      <c r="L941" t="n">
        <v>0</v>
      </c>
      <c r="M941" t="n">
        <v>0</v>
      </c>
      <c r="N941" t="n">
        <v>0</v>
      </c>
      <c r="O941" t="n">
        <v>0</v>
      </c>
      <c r="P941" t="n">
        <v>0</v>
      </c>
      <c r="Q941" t="n">
        <v>0</v>
      </c>
      <c r="R941" s="2" t="inlineStr"/>
    </row>
    <row r="942" ht="15" customHeight="1">
      <c r="A942" t="inlineStr">
        <is>
          <t>A 43056-2025</t>
        </is>
      </c>
      <c r="B942" s="1" t="n">
        <v>45909.57565972222</v>
      </c>
      <c r="C942" s="1" t="n">
        <v>45964</v>
      </c>
      <c r="D942" t="inlineStr">
        <is>
          <t>UPPSALA LÄN</t>
        </is>
      </c>
      <c r="E942" t="inlineStr">
        <is>
          <t>UPPSALA</t>
        </is>
      </c>
      <c r="F942" t="inlineStr">
        <is>
          <t>Allmännings- och besparingsskogar</t>
        </is>
      </c>
      <c r="G942" t="n">
        <v>11.8</v>
      </c>
      <c r="H942" t="n">
        <v>0</v>
      </c>
      <c r="I942" t="n">
        <v>0</v>
      </c>
      <c r="J942" t="n">
        <v>0</v>
      </c>
      <c r="K942" t="n">
        <v>0</v>
      </c>
      <c r="L942" t="n">
        <v>0</v>
      </c>
      <c r="M942" t="n">
        <v>0</v>
      </c>
      <c r="N942" t="n">
        <v>0</v>
      </c>
      <c r="O942" t="n">
        <v>0</v>
      </c>
      <c r="P942" t="n">
        <v>0</v>
      </c>
      <c r="Q942" t="n">
        <v>0</v>
      </c>
      <c r="R942" s="2" t="inlineStr"/>
    </row>
    <row r="943" ht="15" customHeight="1">
      <c r="A943" t="inlineStr">
        <is>
          <t>A 51433-2025</t>
        </is>
      </c>
      <c r="B943" s="1" t="n">
        <v>45950.55603009259</v>
      </c>
      <c r="C943" s="1" t="n">
        <v>45964</v>
      </c>
      <c r="D943" t="inlineStr">
        <is>
          <t>UPPSALA LÄN</t>
        </is>
      </c>
      <c r="E943" t="inlineStr">
        <is>
          <t>UPPSALA</t>
        </is>
      </c>
      <c r="F943" t="inlineStr">
        <is>
          <t>Bergvik skog öst AB</t>
        </is>
      </c>
      <c r="G943" t="n">
        <v>14.7</v>
      </c>
      <c r="H943" t="n">
        <v>0</v>
      </c>
      <c r="I943" t="n">
        <v>0</v>
      </c>
      <c r="J943" t="n">
        <v>0</v>
      </c>
      <c r="K943" t="n">
        <v>0</v>
      </c>
      <c r="L943" t="n">
        <v>0</v>
      </c>
      <c r="M943" t="n">
        <v>0</v>
      </c>
      <c r="N943" t="n">
        <v>0</v>
      </c>
      <c r="O943" t="n">
        <v>0</v>
      </c>
      <c r="P943" t="n">
        <v>0</v>
      </c>
      <c r="Q943" t="n">
        <v>0</v>
      </c>
      <c r="R943" s="2" t="inlineStr"/>
    </row>
    <row r="944" ht="15" customHeight="1">
      <c r="A944" t="inlineStr">
        <is>
          <t>A 52267-2025</t>
        </is>
      </c>
      <c r="B944" s="1" t="n">
        <v>45953.53460648148</v>
      </c>
      <c r="C944" s="1" t="n">
        <v>45964</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52269-2025</t>
        </is>
      </c>
      <c r="B945" s="1" t="n">
        <v>45953.53765046296</v>
      </c>
      <c r="C945" s="1" t="n">
        <v>45964</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51275-2025</t>
        </is>
      </c>
      <c r="B946" s="1" t="n">
        <v>45949</v>
      </c>
      <c r="C946" s="1" t="n">
        <v>45964</v>
      </c>
      <c r="D946" t="inlineStr">
        <is>
          <t>UPPSALA LÄN</t>
        </is>
      </c>
      <c r="E946" t="inlineStr">
        <is>
          <t>UPPSALA</t>
        </is>
      </c>
      <c r="G946" t="n">
        <v>0.3</v>
      </c>
      <c r="H946" t="n">
        <v>0</v>
      </c>
      <c r="I946" t="n">
        <v>0</v>
      </c>
      <c r="J946" t="n">
        <v>0</v>
      </c>
      <c r="K946" t="n">
        <v>0</v>
      </c>
      <c r="L946" t="n">
        <v>0</v>
      </c>
      <c r="M946" t="n">
        <v>0</v>
      </c>
      <c r="N946" t="n">
        <v>0</v>
      </c>
      <c r="O946" t="n">
        <v>0</v>
      </c>
      <c r="P946" t="n">
        <v>0</v>
      </c>
      <c r="Q946" t="n">
        <v>0</v>
      </c>
      <c r="R946" s="2" t="inlineStr"/>
    </row>
    <row r="947" ht="15" customHeight="1">
      <c r="A947" t="inlineStr">
        <is>
          <t>A 51493-2025</t>
        </is>
      </c>
      <c r="B947" s="1" t="n">
        <v>45950</v>
      </c>
      <c r="C947" s="1" t="n">
        <v>45964</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43893-2025</t>
        </is>
      </c>
      <c r="B948" s="1" t="n">
        <v>45912.7097337963</v>
      </c>
      <c r="C948" s="1" t="n">
        <v>45964</v>
      </c>
      <c r="D948" t="inlineStr">
        <is>
          <t>UPPSALA LÄN</t>
        </is>
      </c>
      <c r="E948" t="inlineStr">
        <is>
          <t>UPPSALA</t>
        </is>
      </c>
      <c r="F948" t="inlineStr">
        <is>
          <t>Kyrkan</t>
        </is>
      </c>
      <c r="G948" t="n">
        <v>5.7</v>
      </c>
      <c r="H948" t="n">
        <v>0</v>
      </c>
      <c r="I948" t="n">
        <v>0</v>
      </c>
      <c r="J948" t="n">
        <v>0</v>
      </c>
      <c r="K948" t="n">
        <v>0</v>
      </c>
      <c r="L948" t="n">
        <v>0</v>
      </c>
      <c r="M948" t="n">
        <v>0</v>
      </c>
      <c r="N948" t="n">
        <v>0</v>
      </c>
      <c r="O948" t="n">
        <v>0</v>
      </c>
      <c r="P948" t="n">
        <v>0</v>
      </c>
      <c r="Q948" t="n">
        <v>0</v>
      </c>
      <c r="R948" s="2" t="inlineStr"/>
    </row>
    <row r="949" ht="15" customHeight="1">
      <c r="A949" t="inlineStr">
        <is>
          <t>A 52523-2025</t>
        </is>
      </c>
      <c r="B949" s="1" t="n">
        <v>45954.528125</v>
      </c>
      <c r="C949" s="1" t="n">
        <v>45964</v>
      </c>
      <c r="D949" t="inlineStr">
        <is>
          <t>UPPSALA LÄN</t>
        </is>
      </c>
      <c r="E949" t="inlineStr">
        <is>
          <t>UPPSALA</t>
        </is>
      </c>
      <c r="G949" t="n">
        <v>1.8</v>
      </c>
      <c r="H949" t="n">
        <v>0</v>
      </c>
      <c r="I949" t="n">
        <v>0</v>
      </c>
      <c r="J949" t="n">
        <v>0</v>
      </c>
      <c r="K949" t="n">
        <v>0</v>
      </c>
      <c r="L949" t="n">
        <v>0</v>
      </c>
      <c r="M949" t="n">
        <v>0</v>
      </c>
      <c r="N949" t="n">
        <v>0</v>
      </c>
      <c r="O949" t="n">
        <v>0</v>
      </c>
      <c r="P949" t="n">
        <v>0</v>
      </c>
      <c r="Q949" t="n">
        <v>0</v>
      </c>
      <c r="R949" s="2" t="inlineStr"/>
    </row>
    <row r="950" ht="15" customHeight="1">
      <c r="A950" t="inlineStr">
        <is>
          <t>A 44226-2025</t>
        </is>
      </c>
      <c r="B950" s="1" t="n">
        <v>45915.64064814815</v>
      </c>
      <c r="C950" s="1" t="n">
        <v>45964</v>
      </c>
      <c r="D950" t="inlineStr">
        <is>
          <t>UPPSALA LÄN</t>
        </is>
      </c>
      <c r="E950" t="inlineStr">
        <is>
          <t>UPPSALA</t>
        </is>
      </c>
      <c r="F950" t="inlineStr">
        <is>
          <t>Kyrkan</t>
        </is>
      </c>
      <c r="G950" t="n">
        <v>2.5</v>
      </c>
      <c r="H950" t="n">
        <v>0</v>
      </c>
      <c r="I950" t="n">
        <v>0</v>
      </c>
      <c r="J950" t="n">
        <v>0</v>
      </c>
      <c r="K950" t="n">
        <v>0</v>
      </c>
      <c r="L950" t="n">
        <v>0</v>
      </c>
      <c r="M950" t="n">
        <v>0</v>
      </c>
      <c r="N950" t="n">
        <v>0</v>
      </c>
      <c r="O950" t="n">
        <v>0</v>
      </c>
      <c r="P950" t="n">
        <v>0</v>
      </c>
      <c r="Q950" t="n">
        <v>0</v>
      </c>
      <c r="R950" s="2" t="inlineStr"/>
    </row>
    <row r="951" ht="15" customHeight="1">
      <c r="A951" t="inlineStr">
        <is>
          <t>A 43903-2025</t>
        </is>
      </c>
      <c r="B951" s="1" t="n">
        <v>45913.39467592593</v>
      </c>
      <c r="C951" s="1" t="n">
        <v>45964</v>
      </c>
      <c r="D951" t="inlineStr">
        <is>
          <t>UPPSALA LÄN</t>
        </is>
      </c>
      <c r="E951" t="inlineStr">
        <is>
          <t>UPPSALA</t>
        </is>
      </c>
      <c r="F951" t="inlineStr">
        <is>
          <t>Bergvik skog öst AB</t>
        </is>
      </c>
      <c r="G951" t="n">
        <v>3.5</v>
      </c>
      <c r="H951" t="n">
        <v>0</v>
      </c>
      <c r="I951" t="n">
        <v>0</v>
      </c>
      <c r="J951" t="n">
        <v>0</v>
      </c>
      <c r="K951" t="n">
        <v>0</v>
      </c>
      <c r="L951" t="n">
        <v>0</v>
      </c>
      <c r="M951" t="n">
        <v>0</v>
      </c>
      <c r="N951" t="n">
        <v>0</v>
      </c>
      <c r="O951" t="n">
        <v>0</v>
      </c>
      <c r="P951" t="n">
        <v>0</v>
      </c>
      <c r="Q951" t="n">
        <v>0</v>
      </c>
      <c r="R951" s="2" t="inlineStr"/>
    </row>
    <row r="952" ht="15" customHeight="1">
      <c r="A952" t="inlineStr">
        <is>
          <t>A 49098-2025</t>
        </is>
      </c>
      <c r="B952" s="1" t="n">
        <v>45937</v>
      </c>
      <c r="C952" s="1" t="n">
        <v>45964</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52517-2025</t>
        </is>
      </c>
      <c r="B953" s="1" t="n">
        <v>45954.51438657408</v>
      </c>
      <c r="C953" s="1" t="n">
        <v>45964</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45519-2025</t>
        </is>
      </c>
      <c r="B954" s="1" t="n">
        <v>45922</v>
      </c>
      <c r="C954" s="1" t="n">
        <v>45964</v>
      </c>
      <c r="D954" t="inlineStr">
        <is>
          <t>UPPSALA LÄN</t>
        </is>
      </c>
      <c r="E954" t="inlineStr">
        <is>
          <t>UPPSALA</t>
        </is>
      </c>
      <c r="G954" t="n">
        <v>0.3</v>
      </c>
      <c r="H954" t="n">
        <v>0</v>
      </c>
      <c r="I954" t="n">
        <v>0</v>
      </c>
      <c r="J954" t="n">
        <v>0</v>
      </c>
      <c r="K954" t="n">
        <v>0</v>
      </c>
      <c r="L954" t="n">
        <v>0</v>
      </c>
      <c r="M954" t="n">
        <v>0</v>
      </c>
      <c r="N954" t="n">
        <v>0</v>
      </c>
      <c r="O954" t="n">
        <v>0</v>
      </c>
      <c r="P954" t="n">
        <v>0</v>
      </c>
      <c r="Q954" t="n">
        <v>0</v>
      </c>
      <c r="R954" s="2" t="inlineStr"/>
    </row>
    <row r="955" ht="15" customHeight="1">
      <c r="A955" t="inlineStr">
        <is>
          <t>A 52963-2025</t>
        </is>
      </c>
      <c r="B955" s="1" t="n">
        <v>45957.66506944445</v>
      </c>
      <c r="C955" s="1" t="n">
        <v>45964</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52429-2025</t>
        </is>
      </c>
      <c r="B956" s="1" t="n">
        <v>45954.38475694445</v>
      </c>
      <c r="C956" s="1" t="n">
        <v>45964</v>
      </c>
      <c r="D956" t="inlineStr">
        <is>
          <t>UPPSALA LÄN</t>
        </is>
      </c>
      <c r="E956" t="inlineStr">
        <is>
          <t>UPPSALA</t>
        </is>
      </c>
      <c r="G956" t="n">
        <v>16.6</v>
      </c>
      <c r="H956" t="n">
        <v>0</v>
      </c>
      <c r="I956" t="n">
        <v>0</v>
      </c>
      <c r="J956" t="n">
        <v>0</v>
      </c>
      <c r="K956" t="n">
        <v>0</v>
      </c>
      <c r="L956" t="n">
        <v>0</v>
      </c>
      <c r="M956" t="n">
        <v>0</v>
      </c>
      <c r="N956" t="n">
        <v>0</v>
      </c>
      <c r="O956" t="n">
        <v>0</v>
      </c>
      <c r="P956" t="n">
        <v>0</v>
      </c>
      <c r="Q956" t="n">
        <v>0</v>
      </c>
      <c r="R956" s="2" t="inlineStr"/>
    </row>
    <row r="957" ht="15" customHeight="1">
      <c r="A957" t="inlineStr">
        <is>
          <t>A 53322-2025</t>
        </is>
      </c>
      <c r="B957" s="1" t="n">
        <v>45959.35965277778</v>
      </c>
      <c r="C957" s="1" t="n">
        <v>45964</v>
      </c>
      <c r="D957" t="inlineStr">
        <is>
          <t>UPPSALA LÄN</t>
        </is>
      </c>
      <c r="E957" t="inlineStr">
        <is>
          <t>UPPSALA</t>
        </is>
      </c>
      <c r="F957" t="inlineStr">
        <is>
          <t>Bergvik skog öst AB</t>
        </is>
      </c>
      <c r="G957" t="n">
        <v>2.4</v>
      </c>
      <c r="H957" t="n">
        <v>0</v>
      </c>
      <c r="I957" t="n">
        <v>0</v>
      </c>
      <c r="J957" t="n">
        <v>0</v>
      </c>
      <c r="K957" t="n">
        <v>0</v>
      </c>
      <c r="L957" t="n">
        <v>0</v>
      </c>
      <c r="M957" t="n">
        <v>0</v>
      </c>
      <c r="N957" t="n">
        <v>0</v>
      </c>
      <c r="O957" t="n">
        <v>0</v>
      </c>
      <c r="P957" t="n">
        <v>0</v>
      </c>
      <c r="Q957" t="n">
        <v>0</v>
      </c>
      <c r="R957" s="2" t="inlineStr"/>
    </row>
    <row r="958" ht="15" customHeight="1">
      <c r="A958" t="inlineStr">
        <is>
          <t>A 53324-2025</t>
        </is>
      </c>
      <c r="B958" s="1" t="n">
        <v>45959.36146990741</v>
      </c>
      <c r="C958" s="1" t="n">
        <v>45964</v>
      </c>
      <c r="D958" t="inlineStr">
        <is>
          <t>UPPSALA LÄN</t>
        </is>
      </c>
      <c r="E958" t="inlineStr">
        <is>
          <t>UPPSALA</t>
        </is>
      </c>
      <c r="F958" t="inlineStr">
        <is>
          <t>Bergvik skog öst AB</t>
        </is>
      </c>
      <c r="G958" t="n">
        <v>1.2</v>
      </c>
      <c r="H958" t="n">
        <v>0</v>
      </c>
      <c r="I958" t="n">
        <v>0</v>
      </c>
      <c r="J958" t="n">
        <v>0</v>
      </c>
      <c r="K958" t="n">
        <v>0</v>
      </c>
      <c r="L958" t="n">
        <v>0</v>
      </c>
      <c r="M958" t="n">
        <v>0</v>
      </c>
      <c r="N958" t="n">
        <v>0</v>
      </c>
      <c r="O958" t="n">
        <v>0</v>
      </c>
      <c r="P958" t="n">
        <v>0</v>
      </c>
      <c r="Q958" t="n">
        <v>0</v>
      </c>
      <c r="R958" s="2" t="inlineStr"/>
    </row>
    <row r="959" ht="15" customHeight="1">
      <c r="A959" t="inlineStr">
        <is>
          <t>A 53021-2025</t>
        </is>
      </c>
      <c r="B959" s="1" t="n">
        <v>45957.95233796296</v>
      </c>
      <c r="C959" s="1" t="n">
        <v>45964</v>
      </c>
      <c r="D959" t="inlineStr">
        <is>
          <t>UPPSALA LÄN</t>
        </is>
      </c>
      <c r="E959" t="inlineStr">
        <is>
          <t>UPPSALA</t>
        </is>
      </c>
      <c r="G959" t="n">
        <v>1.6</v>
      </c>
      <c r="H959" t="n">
        <v>0</v>
      </c>
      <c r="I959" t="n">
        <v>0</v>
      </c>
      <c r="J959" t="n">
        <v>0</v>
      </c>
      <c r="K959" t="n">
        <v>0</v>
      </c>
      <c r="L959" t="n">
        <v>0</v>
      </c>
      <c r="M959" t="n">
        <v>0</v>
      </c>
      <c r="N959" t="n">
        <v>0</v>
      </c>
      <c r="O959" t="n">
        <v>0</v>
      </c>
      <c r="P959" t="n">
        <v>0</v>
      </c>
      <c r="Q959" t="n">
        <v>0</v>
      </c>
      <c r="R959" s="2" t="inlineStr"/>
    </row>
    <row r="960" ht="15" customHeight="1">
      <c r="A960" t="inlineStr">
        <is>
          <t>A 44385-2025</t>
        </is>
      </c>
      <c r="B960" s="1" t="n">
        <v>45916.48704861111</v>
      </c>
      <c r="C960" s="1" t="n">
        <v>45964</v>
      </c>
      <c r="D960" t="inlineStr">
        <is>
          <t>UPPSALA LÄN</t>
        </is>
      </c>
      <c r="E960" t="inlineStr">
        <is>
          <t>UPPSALA</t>
        </is>
      </c>
      <c r="F960" t="inlineStr">
        <is>
          <t>Bergvik skog öst AB</t>
        </is>
      </c>
      <c r="G960" t="n">
        <v>6.8</v>
      </c>
      <c r="H960" t="n">
        <v>0</v>
      </c>
      <c r="I960" t="n">
        <v>0</v>
      </c>
      <c r="J960" t="n">
        <v>0</v>
      </c>
      <c r="K960" t="n">
        <v>0</v>
      </c>
      <c r="L960" t="n">
        <v>0</v>
      </c>
      <c r="M960" t="n">
        <v>0</v>
      </c>
      <c r="N960" t="n">
        <v>0</v>
      </c>
      <c r="O960" t="n">
        <v>0</v>
      </c>
      <c r="P960" t="n">
        <v>0</v>
      </c>
      <c r="Q960" t="n">
        <v>0</v>
      </c>
      <c r="R960" s="2" t="inlineStr"/>
    </row>
    <row r="961" ht="15" customHeight="1">
      <c r="A961" t="inlineStr">
        <is>
          <t>A 53161-2025</t>
        </is>
      </c>
      <c r="B961" s="1" t="n">
        <v>45958.49162037037</v>
      </c>
      <c r="C961" s="1" t="n">
        <v>45964</v>
      </c>
      <c r="D961" t="inlineStr">
        <is>
          <t>UPPSALA LÄN</t>
        </is>
      </c>
      <c r="E961" t="inlineStr">
        <is>
          <t>UPPSALA</t>
        </is>
      </c>
      <c r="F961" t="inlineStr">
        <is>
          <t>Bergvik skog väst AB</t>
        </is>
      </c>
      <c r="G961" t="n">
        <v>14.5</v>
      </c>
      <c r="H961" t="n">
        <v>0</v>
      </c>
      <c r="I961" t="n">
        <v>0</v>
      </c>
      <c r="J961" t="n">
        <v>0</v>
      </c>
      <c r="K961" t="n">
        <v>0</v>
      </c>
      <c r="L961" t="n">
        <v>0</v>
      </c>
      <c r="M961" t="n">
        <v>0</v>
      </c>
      <c r="N961" t="n">
        <v>0</v>
      </c>
      <c r="O961" t="n">
        <v>0</v>
      </c>
      <c r="P961" t="n">
        <v>0</v>
      </c>
      <c r="Q961" t="n">
        <v>0</v>
      </c>
      <c r="R961" s="2" t="inlineStr"/>
    </row>
    <row r="962" ht="15" customHeight="1">
      <c r="A962" t="inlineStr">
        <is>
          <t>A 53062-2025</t>
        </is>
      </c>
      <c r="B962" s="1" t="n">
        <v>45958.37273148148</v>
      </c>
      <c r="C962" s="1" t="n">
        <v>45964</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53206-2025</t>
        </is>
      </c>
      <c r="B963" s="1" t="n">
        <v>45958.58711805556</v>
      </c>
      <c r="C963" s="1" t="n">
        <v>45964</v>
      </c>
      <c r="D963" t="inlineStr">
        <is>
          <t>UPPSALA LÄN</t>
        </is>
      </c>
      <c r="E963" t="inlineStr">
        <is>
          <t>UPPSALA</t>
        </is>
      </c>
      <c r="F963" t="inlineStr">
        <is>
          <t>Bergvik skog väst AB</t>
        </is>
      </c>
      <c r="G963" t="n">
        <v>18.6</v>
      </c>
      <c r="H963" t="n">
        <v>0</v>
      </c>
      <c r="I963" t="n">
        <v>0</v>
      </c>
      <c r="J963" t="n">
        <v>0</v>
      </c>
      <c r="K963" t="n">
        <v>0</v>
      </c>
      <c r="L963" t="n">
        <v>0</v>
      </c>
      <c r="M963" t="n">
        <v>0</v>
      </c>
      <c r="N963" t="n">
        <v>0</v>
      </c>
      <c r="O963" t="n">
        <v>0</v>
      </c>
      <c r="P963" t="n">
        <v>0</v>
      </c>
      <c r="Q963" t="n">
        <v>0</v>
      </c>
      <c r="R963" s="2" t="inlineStr"/>
    </row>
    <row r="964" ht="15" customHeight="1">
      <c r="A964" t="inlineStr">
        <is>
          <t>A 53238-2025</t>
        </is>
      </c>
      <c r="B964" s="1" t="n">
        <v>45958.63368055555</v>
      </c>
      <c r="C964" s="1" t="n">
        <v>45964</v>
      </c>
      <c r="D964" t="inlineStr">
        <is>
          <t>UPPSALA LÄN</t>
        </is>
      </c>
      <c r="E964" t="inlineStr">
        <is>
          <t>UPPSALA</t>
        </is>
      </c>
      <c r="F964" t="inlineStr">
        <is>
          <t>Bergvik skog väst AB</t>
        </is>
      </c>
      <c r="G964" t="n">
        <v>1.2</v>
      </c>
      <c r="H964" t="n">
        <v>0</v>
      </c>
      <c r="I964" t="n">
        <v>0</v>
      </c>
      <c r="J964" t="n">
        <v>0</v>
      </c>
      <c r="K964" t="n">
        <v>0</v>
      </c>
      <c r="L964" t="n">
        <v>0</v>
      </c>
      <c r="M964" t="n">
        <v>0</v>
      </c>
      <c r="N964" t="n">
        <v>0</v>
      </c>
      <c r="O964" t="n">
        <v>0</v>
      </c>
      <c r="P964" t="n">
        <v>0</v>
      </c>
      <c r="Q964" t="n">
        <v>0</v>
      </c>
      <c r="R964" s="2" t="inlineStr"/>
    </row>
    <row r="965" ht="15" customHeight="1">
      <c r="A965" t="inlineStr">
        <is>
          <t>A 53244-2025</t>
        </is>
      </c>
      <c r="B965" s="1" t="n">
        <v>45957</v>
      </c>
      <c r="C965" s="1" t="n">
        <v>45964</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53248-2025</t>
        </is>
      </c>
      <c r="B966" s="1" t="n">
        <v>45958.6516087963</v>
      </c>
      <c r="C966" s="1" t="n">
        <v>45964</v>
      </c>
      <c r="D966" t="inlineStr">
        <is>
          <t>UPPSALA LÄN</t>
        </is>
      </c>
      <c r="E966" t="inlineStr">
        <is>
          <t>UPPSALA</t>
        </is>
      </c>
      <c r="F966" t="inlineStr">
        <is>
          <t>Bergvik skog väst AB</t>
        </is>
      </c>
      <c r="G966" t="n">
        <v>2.1</v>
      </c>
      <c r="H966" t="n">
        <v>0</v>
      </c>
      <c r="I966" t="n">
        <v>0</v>
      </c>
      <c r="J966" t="n">
        <v>0</v>
      </c>
      <c r="K966" t="n">
        <v>0</v>
      </c>
      <c r="L966" t="n">
        <v>0</v>
      </c>
      <c r="M966" t="n">
        <v>0</v>
      </c>
      <c r="N966" t="n">
        <v>0</v>
      </c>
      <c r="O966" t="n">
        <v>0</v>
      </c>
      <c r="P966" t="n">
        <v>0</v>
      </c>
      <c r="Q966" t="n">
        <v>0</v>
      </c>
      <c r="R966" s="2" t="inlineStr"/>
    </row>
    <row r="967" ht="15" customHeight="1">
      <c r="A967" t="inlineStr">
        <is>
          <t>A 53423-2025</t>
        </is>
      </c>
      <c r="B967" s="1" t="n">
        <v>45959.60851851852</v>
      </c>
      <c r="C967" s="1" t="n">
        <v>45964</v>
      </c>
      <c r="D967" t="inlineStr">
        <is>
          <t>UPPSALA LÄN</t>
        </is>
      </c>
      <c r="E967" t="inlineStr">
        <is>
          <t>UPPSALA</t>
        </is>
      </c>
      <c r="F967" t="inlineStr">
        <is>
          <t>Övriga Aktiebolag</t>
        </is>
      </c>
      <c r="G967" t="n">
        <v>23.6</v>
      </c>
      <c r="H967" t="n">
        <v>0</v>
      </c>
      <c r="I967" t="n">
        <v>0</v>
      </c>
      <c r="J967" t="n">
        <v>0</v>
      </c>
      <c r="K967" t="n">
        <v>0</v>
      </c>
      <c r="L967" t="n">
        <v>0</v>
      </c>
      <c r="M967" t="n">
        <v>0</v>
      </c>
      <c r="N967" t="n">
        <v>0</v>
      </c>
      <c r="O967" t="n">
        <v>0</v>
      </c>
      <c r="P967" t="n">
        <v>0</v>
      </c>
      <c r="Q967" t="n">
        <v>0</v>
      </c>
      <c r="R967" s="2" t="inlineStr"/>
    </row>
    <row r="968" ht="15" customHeight="1">
      <c r="A968" t="inlineStr">
        <is>
          <t>A 30583-2025</t>
        </is>
      </c>
      <c r="B968" s="1" t="n">
        <v>45831.42365740741</v>
      </c>
      <c r="C968" s="1" t="n">
        <v>45964</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44470-2025</t>
        </is>
      </c>
      <c r="B969" s="1" t="n">
        <v>45916</v>
      </c>
      <c r="C969" s="1" t="n">
        <v>45964</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53228-2025</t>
        </is>
      </c>
      <c r="B970" s="1" t="n">
        <v>45958.61577546296</v>
      </c>
      <c r="C970" s="1" t="n">
        <v>45964</v>
      </c>
      <c r="D970" t="inlineStr">
        <is>
          <t>UPPSALA LÄN</t>
        </is>
      </c>
      <c r="E970" t="inlineStr">
        <is>
          <t>UPPSALA</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53230-2025</t>
        </is>
      </c>
      <c r="B971" s="1" t="n">
        <v>45958.62303240741</v>
      </c>
      <c r="C971" s="1" t="n">
        <v>45964</v>
      </c>
      <c r="D971" t="inlineStr">
        <is>
          <t>UPPSALA LÄN</t>
        </is>
      </c>
      <c r="E971" t="inlineStr">
        <is>
          <t>UPPSALA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53234-2025</t>
        </is>
      </c>
      <c r="B972" s="1" t="n">
        <v>45958.62765046296</v>
      </c>
      <c r="C972" s="1" t="n">
        <v>45964</v>
      </c>
      <c r="D972" t="inlineStr">
        <is>
          <t>UPPSALA LÄN</t>
        </is>
      </c>
      <c r="E972" t="inlineStr">
        <is>
          <t>UPPSALA</t>
        </is>
      </c>
      <c r="F972" t="inlineStr">
        <is>
          <t>Bergvik skog väst AB</t>
        </is>
      </c>
      <c r="G972" t="n">
        <v>1.6</v>
      </c>
      <c r="H972" t="n">
        <v>0</v>
      </c>
      <c r="I972" t="n">
        <v>0</v>
      </c>
      <c r="J972" t="n">
        <v>0</v>
      </c>
      <c r="K972" t="n">
        <v>0</v>
      </c>
      <c r="L972" t="n">
        <v>0</v>
      </c>
      <c r="M972" t="n">
        <v>0</v>
      </c>
      <c r="N972" t="n">
        <v>0</v>
      </c>
      <c r="O972" t="n">
        <v>0</v>
      </c>
      <c r="P972" t="n">
        <v>0</v>
      </c>
      <c r="Q972" t="n">
        <v>0</v>
      </c>
      <c r="R972" s="2" t="inlineStr"/>
    </row>
    <row r="973" ht="15" customHeight="1">
      <c r="A973" t="inlineStr">
        <is>
          <t>A 53242-2025</t>
        </is>
      </c>
      <c r="B973" s="1" t="n">
        <v>45958.64146990741</v>
      </c>
      <c r="C973" s="1" t="n">
        <v>45964</v>
      </c>
      <c r="D973" t="inlineStr">
        <is>
          <t>UPPSALA LÄN</t>
        </is>
      </c>
      <c r="E973" t="inlineStr">
        <is>
          <t>UPPSALA</t>
        </is>
      </c>
      <c r="F973" t="inlineStr">
        <is>
          <t>Bergvik skog väst AB</t>
        </is>
      </c>
      <c r="G973" t="n">
        <v>1.3</v>
      </c>
      <c r="H973" t="n">
        <v>0</v>
      </c>
      <c r="I973" t="n">
        <v>0</v>
      </c>
      <c r="J973" t="n">
        <v>0</v>
      </c>
      <c r="K973" t="n">
        <v>0</v>
      </c>
      <c r="L973" t="n">
        <v>0</v>
      </c>
      <c r="M973" t="n">
        <v>0</v>
      </c>
      <c r="N973" t="n">
        <v>0</v>
      </c>
      <c r="O973" t="n">
        <v>0</v>
      </c>
      <c r="P973" t="n">
        <v>0</v>
      </c>
      <c r="Q973" t="n">
        <v>0</v>
      </c>
      <c r="R973" s="2" t="inlineStr"/>
    </row>
    <row r="974" ht="15" customHeight="1">
      <c r="A974" t="inlineStr">
        <is>
          <t>A 50103-2025</t>
        </is>
      </c>
      <c r="B974" s="1" t="n">
        <v>45943.53451388889</v>
      </c>
      <c r="C974" s="1" t="n">
        <v>45964</v>
      </c>
      <c r="D974" t="inlineStr">
        <is>
          <t>UPPSALA LÄN</t>
        </is>
      </c>
      <c r="E974" t="inlineStr">
        <is>
          <t>UPPSALA</t>
        </is>
      </c>
      <c r="F974" t="inlineStr">
        <is>
          <t>Bergvik skog öst AB</t>
        </is>
      </c>
      <c r="G974" t="n">
        <v>3.5</v>
      </c>
      <c r="H974" t="n">
        <v>0</v>
      </c>
      <c r="I974" t="n">
        <v>0</v>
      </c>
      <c r="J974" t="n">
        <v>0</v>
      </c>
      <c r="K974" t="n">
        <v>0</v>
      </c>
      <c r="L974" t="n">
        <v>0</v>
      </c>
      <c r="M974" t="n">
        <v>0</v>
      </c>
      <c r="N974" t="n">
        <v>0</v>
      </c>
      <c r="O974" t="n">
        <v>0</v>
      </c>
      <c r="P974" t="n">
        <v>0</v>
      </c>
      <c r="Q974" t="n">
        <v>0</v>
      </c>
      <c r="R974" s="2" t="inlineStr"/>
    </row>
    <row r="975" ht="15" customHeight="1">
      <c r="A975" t="inlineStr">
        <is>
          <t>A 53224-2025</t>
        </is>
      </c>
      <c r="B975" s="1" t="n">
        <v>45958.60826388889</v>
      </c>
      <c r="C975" s="1" t="n">
        <v>45964</v>
      </c>
      <c r="D975" t="inlineStr">
        <is>
          <t>UPPSALA LÄN</t>
        </is>
      </c>
      <c r="E975" t="inlineStr">
        <is>
          <t>UPPSALA</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53235-2025</t>
        </is>
      </c>
      <c r="B976" s="1" t="n">
        <v>45958.62983796297</v>
      </c>
      <c r="C976" s="1" t="n">
        <v>45964</v>
      </c>
      <c r="D976" t="inlineStr">
        <is>
          <t>UPPSALA LÄN</t>
        </is>
      </c>
      <c r="E976" t="inlineStr">
        <is>
          <t>UPPSALA</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53384-2024</t>
        </is>
      </c>
      <c r="B977" s="1" t="n">
        <v>45614</v>
      </c>
      <c r="C977" s="1" t="n">
        <v>45964</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53886-2025</t>
        </is>
      </c>
      <c r="B978" s="1" t="n">
        <v>45961.40716435185</v>
      </c>
      <c r="C978" s="1" t="n">
        <v>45964</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53870-2025</t>
        </is>
      </c>
      <c r="B979" s="1" t="n">
        <v>45961.38690972222</v>
      </c>
      <c r="C979" s="1" t="n">
        <v>45964</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53891-2025</t>
        </is>
      </c>
      <c r="B980" s="1" t="n">
        <v>45961.41853009259</v>
      </c>
      <c r="C980" s="1" t="n">
        <v>45964</v>
      </c>
      <c r="D980" t="inlineStr">
        <is>
          <t>UPPSALA LÄN</t>
        </is>
      </c>
      <c r="E980" t="inlineStr">
        <is>
          <t>UPPSALA</t>
        </is>
      </c>
      <c r="G980" t="n">
        <v>1.7</v>
      </c>
      <c r="H980" t="n">
        <v>0</v>
      </c>
      <c r="I980" t="n">
        <v>0</v>
      </c>
      <c r="J980" t="n">
        <v>0</v>
      </c>
      <c r="K980" t="n">
        <v>0</v>
      </c>
      <c r="L980" t="n">
        <v>0</v>
      </c>
      <c r="M980" t="n">
        <v>0</v>
      </c>
      <c r="N980" t="n">
        <v>0</v>
      </c>
      <c r="O980" t="n">
        <v>0</v>
      </c>
      <c r="P980" t="n">
        <v>0</v>
      </c>
      <c r="Q980" t="n">
        <v>0</v>
      </c>
      <c r="R980" s="2" t="inlineStr"/>
    </row>
    <row r="981" ht="15" customHeight="1">
      <c r="A981" t="inlineStr">
        <is>
          <t>A 44813-2025</t>
        </is>
      </c>
      <c r="B981" s="1" t="n">
        <v>45918.37322916667</v>
      </c>
      <c r="C981" s="1" t="n">
        <v>45964</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53582-2025</t>
        </is>
      </c>
      <c r="B982" s="1" t="n">
        <v>45960.43065972222</v>
      </c>
      <c r="C982" s="1" t="n">
        <v>45964</v>
      </c>
      <c r="D982" t="inlineStr">
        <is>
          <t>UPPSALA LÄN</t>
        </is>
      </c>
      <c r="E982" t="inlineStr">
        <is>
          <t>UPPSALA</t>
        </is>
      </c>
      <c r="G982" t="n">
        <v>12.2</v>
      </c>
      <c r="H982" t="n">
        <v>0</v>
      </c>
      <c r="I982" t="n">
        <v>0</v>
      </c>
      <c r="J982" t="n">
        <v>0</v>
      </c>
      <c r="K982" t="n">
        <v>0</v>
      </c>
      <c r="L982" t="n">
        <v>0</v>
      </c>
      <c r="M982" t="n">
        <v>0</v>
      </c>
      <c r="N982" t="n">
        <v>0</v>
      </c>
      <c r="O982" t="n">
        <v>0</v>
      </c>
      <c r="P982" t="n">
        <v>0</v>
      </c>
      <c r="Q982" t="n">
        <v>0</v>
      </c>
      <c r="R982" s="2" t="inlineStr"/>
    </row>
    <row r="983" ht="15" customHeight="1">
      <c r="A983" t="inlineStr">
        <is>
          <t>A 51505-2025</t>
        </is>
      </c>
      <c r="B983" s="1" t="n">
        <v>45950</v>
      </c>
      <c r="C983" s="1" t="n">
        <v>45964</v>
      </c>
      <c r="D983" t="inlineStr">
        <is>
          <t>UPPSALA LÄN</t>
        </is>
      </c>
      <c r="E983" t="inlineStr">
        <is>
          <t>UPPSALA</t>
        </is>
      </c>
      <c r="G983" t="n">
        <v>6.7</v>
      </c>
      <c r="H983" t="n">
        <v>0</v>
      </c>
      <c r="I983" t="n">
        <v>0</v>
      </c>
      <c r="J983" t="n">
        <v>0</v>
      </c>
      <c r="K983" t="n">
        <v>0</v>
      </c>
      <c r="L983" t="n">
        <v>0</v>
      </c>
      <c r="M983" t="n">
        <v>0</v>
      </c>
      <c r="N983" t="n">
        <v>0</v>
      </c>
      <c r="O983" t="n">
        <v>0</v>
      </c>
      <c r="P983" t="n">
        <v>0</v>
      </c>
      <c r="Q983" t="n">
        <v>0</v>
      </c>
      <c r="R983" s="2" t="inlineStr"/>
    </row>
    <row r="984" ht="15" customHeight="1">
      <c r="A984" t="inlineStr">
        <is>
          <t>A 53851-2025</t>
        </is>
      </c>
      <c r="B984" s="1" t="n">
        <v>45961.37217592593</v>
      </c>
      <c r="C984" s="1" t="n">
        <v>45964</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c r="A985" t="inlineStr">
        <is>
          <t>A 53589-2025</t>
        </is>
      </c>
      <c r="B985" s="1" t="n">
        <v>45960.43780092592</v>
      </c>
      <c r="C985" s="1" t="n">
        <v>45964</v>
      </c>
      <c r="D985" t="inlineStr">
        <is>
          <t>UPPSALA LÄN</t>
        </is>
      </c>
      <c r="E985" t="inlineStr">
        <is>
          <t>UPPSALA</t>
        </is>
      </c>
      <c r="G985" t="n">
        <v>9.699999999999999</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2025-11-03T10:01:20Z</dcterms:created>
  <dcterms:modified xmlns:dcterms="http://purl.org/dc/terms/" xmlns:xsi="http://www.w3.org/2001/XMLSchema-instance" xsi:type="dcterms:W3CDTF">2025-11-03T10:01:21Z</dcterms:modified>
</cp:coreProperties>
</file>