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45884</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45884</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45884</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45884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45884</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45884</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9409-2025</t>
        </is>
      </c>
      <c r="B8" s="1" t="n">
        <v>45715.38824074074</v>
      </c>
      <c r="C8" s="1" t="n">
        <v>45884</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45884</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45884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27286-2025</t>
        </is>
      </c>
      <c r="B11" s="1" t="n">
        <v>45812.55136574074</v>
      </c>
      <c r="C11" s="1" t="n">
        <v>45884</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38208-2025</t>
        </is>
      </c>
      <c r="B12" s="1" t="n">
        <v>45882.73309027778</v>
      </c>
      <c r="C12" s="1" t="n">
        <v>45884</v>
      </c>
      <c r="D12" t="inlineStr">
        <is>
          <t>UPPSALA LÄN</t>
        </is>
      </c>
      <c r="E12" t="inlineStr">
        <is>
          <t>UPPSALA</t>
        </is>
      </c>
      <c r="G12" t="n">
        <v>3.4</v>
      </c>
      <c r="H12" t="n">
        <v>3</v>
      </c>
      <c r="I12" t="n">
        <v>5</v>
      </c>
      <c r="J12" t="n">
        <v>6</v>
      </c>
      <c r="K12" t="n">
        <v>2</v>
      </c>
      <c r="L12" t="n">
        <v>0</v>
      </c>
      <c r="M12" t="n">
        <v>0</v>
      </c>
      <c r="N12" t="n">
        <v>0</v>
      </c>
      <c r="O12" t="n">
        <v>8</v>
      </c>
      <c r="P12" t="n">
        <v>2</v>
      </c>
      <c r="Q12" t="n">
        <v>13</v>
      </c>
      <c r="R12" s="2" t="inlineStr">
        <is>
          <t>Rynkskinn
Ulltickeporing
Havsörn
Mindre hackspett
Rosenticka
Rutskinn
Spillkråka
Ullticka
Fjällig taggsvamp s.str.
Fällmossa
Guldlockmossa
Lönnlav
Slanklav</t>
        </is>
      </c>
      <c r="S12">
        <f>HYPERLINK("https://klasma.github.io/Logging_0380/artfynd/A 38208-2025 artfynd.xlsx", "A 38208-2025")</f>
        <v/>
      </c>
      <c r="T12">
        <f>HYPERLINK("https://klasma.github.io/Logging_0380/kartor/A 38208-2025 karta.png", "A 38208-2025")</f>
        <v/>
      </c>
      <c r="V12">
        <f>HYPERLINK("https://klasma.github.io/Logging_0380/klagomål/A 38208-2025 FSC-klagomål.docx", "A 38208-2025")</f>
        <v/>
      </c>
      <c r="W12">
        <f>HYPERLINK("https://klasma.github.io/Logging_0380/klagomålsmail/A 38208-2025 FSC-klagomål mail.docx", "A 38208-2025")</f>
        <v/>
      </c>
      <c r="X12">
        <f>HYPERLINK("https://klasma.github.io/Logging_0380/tillsyn/A 38208-2025 tillsynsbegäran.docx", "A 38208-2025")</f>
        <v/>
      </c>
      <c r="Y12">
        <f>HYPERLINK("https://klasma.github.io/Logging_0380/tillsynsmail/A 38208-2025 tillsynsbegäran mail.docx", "A 38208-2025")</f>
        <v/>
      </c>
      <c r="Z12">
        <f>HYPERLINK("https://klasma.github.io/Logging_0380/fåglar/A 38208-2025 prioriterade fågelarter.docx", "A 38208-2025")</f>
        <v/>
      </c>
    </row>
    <row r="13" ht="15" customHeight="1">
      <c r="A13" t="inlineStr">
        <is>
          <t>A 7380-2023</t>
        </is>
      </c>
      <c r="B13" s="1" t="n">
        <v>44971</v>
      </c>
      <c r="C13" s="1" t="n">
        <v>45884</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45884</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45884</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45884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25143-2023</t>
        </is>
      </c>
      <c r="B17" s="1" t="n">
        <v>45086</v>
      </c>
      <c r="C17" s="1" t="n">
        <v>45884</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2021-2022</t>
        </is>
      </c>
      <c r="B18" s="1" t="n">
        <v>44575</v>
      </c>
      <c r="C18" s="1" t="n">
        <v>45884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25609-2025</t>
        </is>
      </c>
      <c r="B19" s="1" t="n">
        <v>45803.55737268519</v>
      </c>
      <c r="C19" s="1" t="n">
        <v>45884</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25604-2025</t>
        </is>
      </c>
      <c r="B20" s="1" t="n">
        <v>45803.55260416667</v>
      </c>
      <c r="C20" s="1" t="n">
        <v>45884</v>
      </c>
      <c r="D20" t="inlineStr">
        <is>
          <t>UPPSALA LÄN</t>
        </is>
      </c>
      <c r="E20" t="inlineStr">
        <is>
          <t>UPPSALA</t>
        </is>
      </c>
      <c r="F20" t="inlineStr">
        <is>
          <t>Holmen skog AB</t>
        </is>
      </c>
      <c r="G20" t="n">
        <v>4.7</v>
      </c>
      <c r="H20" t="n">
        <v>8</v>
      </c>
      <c r="I20" t="n">
        <v>2</v>
      </c>
      <c r="J20" t="n">
        <v>2</v>
      </c>
      <c r="K20" t="n">
        <v>2</v>
      </c>
      <c r="L20" t="n">
        <v>0</v>
      </c>
      <c r="M20" t="n">
        <v>0</v>
      </c>
      <c r="N20" t="n">
        <v>0</v>
      </c>
      <c r="O20" t="n">
        <v>4</v>
      </c>
      <c r="P20" t="n">
        <v>2</v>
      </c>
      <c r="Q20" t="n">
        <v>10</v>
      </c>
      <c r="R20" s="2" t="inlineStr">
        <is>
          <t>Knärot
Tallbit
Spillkråka
Talltita
Bronshjon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28450-2021</t>
        </is>
      </c>
      <c r="B21" s="1" t="n">
        <v>44356</v>
      </c>
      <c r="C21" s="1" t="n">
        <v>45884</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45884</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17846-2025</t>
        </is>
      </c>
      <c r="B23" s="1" t="n">
        <v>45758</v>
      </c>
      <c r="C23" s="1" t="n">
        <v>45884</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66979-2020</t>
        </is>
      </c>
      <c r="B24" s="1" t="n">
        <v>44180</v>
      </c>
      <c r="C24" s="1" t="n">
        <v>45884</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45884</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45884</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45884</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27281-2025</t>
        </is>
      </c>
      <c r="B28" s="1" t="n">
        <v>45812</v>
      </c>
      <c r="C28" s="1" t="n">
        <v>45884</v>
      </c>
      <c r="D28" t="inlineStr">
        <is>
          <t>UPPSALA LÄN</t>
        </is>
      </c>
      <c r="E28" t="inlineStr">
        <is>
          <t>UPPSALA</t>
        </is>
      </c>
      <c r="G28" t="n">
        <v>2.8</v>
      </c>
      <c r="H28" t="n">
        <v>4</v>
      </c>
      <c r="I28" t="n">
        <v>3</v>
      </c>
      <c r="J28" t="n">
        <v>2</v>
      </c>
      <c r="K28" t="n">
        <v>0</v>
      </c>
      <c r="L28" t="n">
        <v>0</v>
      </c>
      <c r="M28" t="n">
        <v>0</v>
      </c>
      <c r="N28" t="n">
        <v>0</v>
      </c>
      <c r="O28" t="n">
        <v>2</v>
      </c>
      <c r="P28" t="n">
        <v>0</v>
      </c>
      <c r="Q28" t="n">
        <v>8</v>
      </c>
      <c r="R28" s="2" t="inlineStr">
        <is>
          <t>Ullticka
Vedtrappmossa
Grön sköldmossa
Svart trolldruva
Vedticka
Kungsfågel
Nattviol
Blåsippa</t>
        </is>
      </c>
      <c r="S28">
        <f>HYPERLINK("https://klasma.github.io/Logging_0380/artfynd/A 27281-2025 artfynd.xlsx", "A 27281-2025")</f>
        <v/>
      </c>
      <c r="T28">
        <f>HYPERLINK("https://klasma.github.io/Logging_0380/kartor/A 27281-2025 karta.png", "A 27281-2025")</f>
        <v/>
      </c>
      <c r="V28">
        <f>HYPERLINK("https://klasma.github.io/Logging_0380/klagomål/A 27281-2025 FSC-klagomål.docx", "A 27281-2025")</f>
        <v/>
      </c>
      <c r="W28">
        <f>HYPERLINK("https://klasma.github.io/Logging_0380/klagomålsmail/A 27281-2025 FSC-klagomål mail.docx", "A 27281-2025")</f>
        <v/>
      </c>
      <c r="X28">
        <f>HYPERLINK("https://klasma.github.io/Logging_0380/tillsyn/A 27281-2025 tillsynsbegäran.docx", "A 27281-2025")</f>
        <v/>
      </c>
      <c r="Y28">
        <f>HYPERLINK("https://klasma.github.io/Logging_0380/tillsynsmail/A 27281-2025 tillsynsbegäran mail.docx", "A 27281-2025")</f>
        <v/>
      </c>
      <c r="Z28">
        <f>HYPERLINK("https://klasma.github.io/Logging_0380/fåglar/A 27281-2025 prioriterade fågelarter.docx", "A 27281-2025")</f>
        <v/>
      </c>
    </row>
    <row r="29" ht="15" customHeight="1">
      <c r="A29" t="inlineStr">
        <is>
          <t>A 24987-2025</t>
        </is>
      </c>
      <c r="B29" s="1" t="n">
        <v>45799.60315972222</v>
      </c>
      <c r="C29" s="1" t="n">
        <v>45884</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14836-2023</t>
        </is>
      </c>
      <c r="B30" s="1" t="n">
        <v>45013</v>
      </c>
      <c r="C30" s="1" t="n">
        <v>45884</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69711-2021</t>
        </is>
      </c>
      <c r="B31" s="1" t="n">
        <v>44532</v>
      </c>
      <c r="C31" s="1" t="n">
        <v>45884</v>
      </c>
      <c r="D31" t="inlineStr">
        <is>
          <t>UPPSALA LÄN</t>
        </is>
      </c>
      <c r="E31" t="inlineStr">
        <is>
          <t>UPPSALA</t>
        </is>
      </c>
      <c r="G31" t="n">
        <v>10.2</v>
      </c>
      <c r="H31" t="n">
        <v>1</v>
      </c>
      <c r="I31" t="n">
        <v>3</v>
      </c>
      <c r="J31" t="n">
        <v>2</v>
      </c>
      <c r="K31" t="n">
        <v>0</v>
      </c>
      <c r="L31" t="n">
        <v>0</v>
      </c>
      <c r="M31" t="n">
        <v>0</v>
      </c>
      <c r="N31" t="n">
        <v>0</v>
      </c>
      <c r="O31" t="n">
        <v>2</v>
      </c>
      <c r="P31" t="n">
        <v>0</v>
      </c>
      <c r="Q31" t="n">
        <v>6</v>
      </c>
      <c r="R31" s="2" t="inlineStr">
        <is>
          <t>Granticka
Ullticka
Brandticka
Skinnlav
Trådticka
Tjäder</t>
        </is>
      </c>
      <c r="S31">
        <f>HYPERLINK("https://klasma.github.io/Logging_0380/artfynd/A 69711-2021 artfynd.xlsx", "A 69711-2021")</f>
        <v/>
      </c>
      <c r="T31">
        <f>HYPERLINK("https://klasma.github.io/Logging_0380/kartor/A 69711-2021 karta.png", "A 69711-2021")</f>
        <v/>
      </c>
      <c r="V31">
        <f>HYPERLINK("https://klasma.github.io/Logging_0380/klagomål/A 69711-2021 FSC-klagomål.docx", "A 69711-2021")</f>
        <v/>
      </c>
      <c r="W31">
        <f>HYPERLINK("https://klasma.github.io/Logging_0380/klagomålsmail/A 69711-2021 FSC-klagomål mail.docx", "A 69711-2021")</f>
        <v/>
      </c>
      <c r="X31">
        <f>HYPERLINK("https://klasma.github.io/Logging_0380/tillsyn/A 69711-2021 tillsynsbegäran.docx", "A 69711-2021")</f>
        <v/>
      </c>
      <c r="Y31">
        <f>HYPERLINK("https://klasma.github.io/Logging_0380/tillsynsmail/A 69711-2021 tillsynsbegäran mail.docx", "A 69711-2021")</f>
        <v/>
      </c>
      <c r="Z31">
        <f>HYPERLINK("https://klasma.github.io/Logging_0380/fåglar/A 69711-2021 prioriterade fågelarter.docx", "A 69711-2021")</f>
        <v/>
      </c>
    </row>
    <row r="32" ht="15" customHeight="1">
      <c r="A32" t="inlineStr">
        <is>
          <t>A 34459-2022</t>
        </is>
      </c>
      <c r="B32" s="1" t="n">
        <v>44792</v>
      </c>
      <c r="C32" s="1" t="n">
        <v>45884</v>
      </c>
      <c r="D32" t="inlineStr">
        <is>
          <t>UPPSALA LÄN</t>
        </is>
      </c>
      <c r="E32" t="inlineStr">
        <is>
          <t>UPPSALA</t>
        </is>
      </c>
      <c r="F32" t="inlineStr">
        <is>
          <t>Kommuner</t>
        </is>
      </c>
      <c r="G32" t="n">
        <v>2.6</v>
      </c>
      <c r="H32" t="n">
        <v>5</v>
      </c>
      <c r="I32" t="n">
        <v>1</v>
      </c>
      <c r="J32" t="n">
        <v>0</v>
      </c>
      <c r="K32" t="n">
        <v>0</v>
      </c>
      <c r="L32" t="n">
        <v>1</v>
      </c>
      <c r="M32" t="n">
        <v>0</v>
      </c>
      <c r="N32" t="n">
        <v>0</v>
      </c>
      <c r="O32" t="n">
        <v>1</v>
      </c>
      <c r="P32" t="n">
        <v>1</v>
      </c>
      <c r="Q32" t="n">
        <v>6</v>
      </c>
      <c r="R32" s="2" t="inlineStr">
        <is>
          <t>Cinnoberbagge
Svart trolldruva
Åkergroda
Huggorm
Vanlig padda
Vanlig snok</t>
        </is>
      </c>
      <c r="S32">
        <f>HYPERLINK("https://klasma.github.io/Logging_0380/artfynd/A 34459-2022 artfynd.xlsx", "A 34459-2022")</f>
        <v/>
      </c>
      <c r="T32">
        <f>HYPERLINK("https://klasma.github.io/Logging_0380/kartor/A 34459-2022 karta.png", "A 34459-2022")</f>
        <v/>
      </c>
      <c r="V32">
        <f>HYPERLINK("https://klasma.github.io/Logging_0380/klagomål/A 34459-2022 FSC-klagomål.docx", "A 34459-2022")</f>
        <v/>
      </c>
      <c r="W32">
        <f>HYPERLINK("https://klasma.github.io/Logging_0380/klagomålsmail/A 34459-2022 FSC-klagomål mail.docx", "A 34459-2022")</f>
        <v/>
      </c>
      <c r="X32">
        <f>HYPERLINK("https://klasma.github.io/Logging_0380/tillsyn/A 34459-2022 tillsynsbegäran.docx", "A 34459-2022")</f>
        <v/>
      </c>
      <c r="Y32">
        <f>HYPERLINK("https://klasma.github.io/Logging_0380/tillsynsmail/A 34459-2022 tillsynsbegäran mail.docx", "A 34459-2022")</f>
        <v/>
      </c>
    </row>
    <row r="33" ht="15" customHeight="1">
      <c r="A33" t="inlineStr">
        <is>
          <t>A 25651-2025</t>
        </is>
      </c>
      <c r="B33" s="1" t="n">
        <v>45803.61035879629</v>
      </c>
      <c r="C33" s="1" t="n">
        <v>45884</v>
      </c>
      <c r="D33" t="inlineStr">
        <is>
          <t>UPPSALA LÄN</t>
        </is>
      </c>
      <c r="E33" t="inlineStr">
        <is>
          <t>UPPSALA</t>
        </is>
      </c>
      <c r="F33" t="inlineStr">
        <is>
          <t>Holmen skog AB</t>
        </is>
      </c>
      <c r="G33" t="n">
        <v>3.6</v>
      </c>
      <c r="H33" t="n">
        <v>3</v>
      </c>
      <c r="I33" t="n">
        <v>2</v>
      </c>
      <c r="J33" t="n">
        <v>2</v>
      </c>
      <c r="K33" t="n">
        <v>1</v>
      </c>
      <c r="L33" t="n">
        <v>0</v>
      </c>
      <c r="M33" t="n">
        <v>0</v>
      </c>
      <c r="N33" t="n">
        <v>0</v>
      </c>
      <c r="O33" t="n">
        <v>3</v>
      </c>
      <c r="P33" t="n">
        <v>1</v>
      </c>
      <c r="Q33" t="n">
        <v>6</v>
      </c>
      <c r="R33" s="2" t="inlineStr">
        <is>
          <t>Knärot
Talltita
Vedtrappmossa
Bronshjon
Vågbandad barkbock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61388-2021</t>
        </is>
      </c>
      <c r="B34" s="1" t="n">
        <v>44500</v>
      </c>
      <c r="C34" s="1" t="n">
        <v>45884</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45884</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45884</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45884</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1725-2022</t>
        </is>
      </c>
      <c r="B38" s="1" t="n">
        <v>44574</v>
      </c>
      <c r="C38" s="1" t="n">
        <v>45884</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29803-2023</t>
        </is>
      </c>
      <c r="B39" s="1" t="n">
        <v>45107</v>
      </c>
      <c r="C39" s="1" t="n">
        <v>45884</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27389-2021</t>
        </is>
      </c>
      <c r="B40" s="1" t="n">
        <v>44351</v>
      </c>
      <c r="C40" s="1" t="n">
        <v>45884</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15956-2022</t>
        </is>
      </c>
      <c r="B41" s="1" t="n">
        <v>44664</v>
      </c>
      <c r="C41" s="1" t="n">
        <v>45884</v>
      </c>
      <c r="D41" t="inlineStr">
        <is>
          <t>UPPSALA LÄN</t>
        </is>
      </c>
      <c r="E41" t="inlineStr">
        <is>
          <t>UPPSALA</t>
        </is>
      </c>
      <c r="G41" t="n">
        <v>0.8</v>
      </c>
      <c r="H41" t="n">
        <v>0</v>
      </c>
      <c r="I41" t="n">
        <v>1</v>
      </c>
      <c r="J41" t="n">
        <v>2</v>
      </c>
      <c r="K41" t="n">
        <v>1</v>
      </c>
      <c r="L41" t="n">
        <v>0</v>
      </c>
      <c r="M41" t="n">
        <v>0</v>
      </c>
      <c r="N41" t="n">
        <v>0</v>
      </c>
      <c r="O41" t="n">
        <v>3</v>
      </c>
      <c r="P41" t="n">
        <v>1</v>
      </c>
      <c r="Q41" t="n">
        <v>4</v>
      </c>
      <c r="R41" s="2" t="inlineStr">
        <is>
          <t>Koppartaggsvamp
Orange taggsvamp
Svart taggsvamp
Mandelriska</t>
        </is>
      </c>
      <c r="S41">
        <f>HYPERLINK("https://klasma.github.io/Logging_0380/artfynd/A 15956-2022 artfynd.xlsx", "A 15956-2022")</f>
        <v/>
      </c>
      <c r="T41">
        <f>HYPERLINK("https://klasma.github.io/Logging_0380/kartor/A 15956-2022 karta.png", "A 15956-2022")</f>
        <v/>
      </c>
      <c r="V41">
        <f>HYPERLINK("https://klasma.github.io/Logging_0380/klagomål/A 15956-2022 FSC-klagomål.docx", "A 15956-2022")</f>
        <v/>
      </c>
      <c r="W41">
        <f>HYPERLINK("https://klasma.github.io/Logging_0380/klagomålsmail/A 15956-2022 FSC-klagomål mail.docx", "A 15956-2022")</f>
        <v/>
      </c>
      <c r="X41">
        <f>HYPERLINK("https://klasma.github.io/Logging_0380/tillsyn/A 15956-2022 tillsynsbegäran.docx", "A 15956-2022")</f>
        <v/>
      </c>
      <c r="Y41">
        <f>HYPERLINK("https://klasma.github.io/Logging_0380/tillsynsmail/A 15956-2022 tillsynsbegäran mail.docx", "A 15956-2022")</f>
        <v/>
      </c>
    </row>
    <row r="42" ht="15" customHeight="1">
      <c r="A42" t="inlineStr">
        <is>
          <t>A 23153-2022</t>
        </is>
      </c>
      <c r="B42" s="1" t="n">
        <v>44719</v>
      </c>
      <c r="C42" s="1" t="n">
        <v>45884</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8323-2023</t>
        </is>
      </c>
      <c r="B43" s="1" t="n">
        <v>44974</v>
      </c>
      <c r="C43" s="1" t="n">
        <v>45884</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11217-2024</t>
        </is>
      </c>
      <c r="B44" s="1" t="n">
        <v>45371</v>
      </c>
      <c r="C44" s="1" t="n">
        <v>45884</v>
      </c>
      <c r="D44" t="inlineStr">
        <is>
          <t>UPPSALA LÄN</t>
        </is>
      </c>
      <c r="E44" t="inlineStr">
        <is>
          <t>UPPSALA</t>
        </is>
      </c>
      <c r="F44" t="inlineStr">
        <is>
          <t>Kommuner</t>
        </is>
      </c>
      <c r="G44" t="n">
        <v>1.5</v>
      </c>
      <c r="H44" t="n">
        <v>1</v>
      </c>
      <c r="I44" t="n">
        <v>4</v>
      </c>
      <c r="J44" t="n">
        <v>0</v>
      </c>
      <c r="K44" t="n">
        <v>0</v>
      </c>
      <c r="L44" t="n">
        <v>0</v>
      </c>
      <c r="M44" t="n">
        <v>0</v>
      </c>
      <c r="N44" t="n">
        <v>0</v>
      </c>
      <c r="O44" t="n">
        <v>0</v>
      </c>
      <c r="P44" t="n">
        <v>0</v>
      </c>
      <c r="Q44" t="n">
        <v>4</v>
      </c>
      <c r="R44" s="2" t="inlineStr">
        <is>
          <t>Fällmossa
Grön sköldmossa
Lönnlav
Stor aspticka</t>
        </is>
      </c>
      <c r="S44">
        <f>HYPERLINK("https://klasma.github.io/Logging_0380/artfynd/A 11217-2024 artfynd.xlsx", "A 11217-2024")</f>
        <v/>
      </c>
      <c r="T44">
        <f>HYPERLINK("https://klasma.github.io/Logging_0380/kartor/A 11217-2024 karta.png", "A 11217-2024")</f>
        <v/>
      </c>
      <c r="V44">
        <f>HYPERLINK("https://klasma.github.io/Logging_0380/klagomål/A 11217-2024 FSC-klagomål.docx", "A 11217-2024")</f>
        <v/>
      </c>
      <c r="W44">
        <f>HYPERLINK("https://klasma.github.io/Logging_0380/klagomålsmail/A 11217-2024 FSC-klagomål mail.docx", "A 11217-2024")</f>
        <v/>
      </c>
      <c r="X44">
        <f>HYPERLINK("https://klasma.github.io/Logging_0380/tillsyn/A 11217-2024 tillsynsbegäran.docx", "A 11217-2024")</f>
        <v/>
      </c>
      <c r="Y44">
        <f>HYPERLINK("https://klasma.github.io/Logging_0380/tillsynsmail/A 11217-2024 tillsynsbegäran mail.docx", "A 11217-2024")</f>
        <v/>
      </c>
    </row>
    <row r="45" ht="15" customHeight="1">
      <c r="A45" t="inlineStr">
        <is>
          <t>A 26758-2022</t>
        </is>
      </c>
      <c r="B45" s="1" t="n">
        <v>44740</v>
      </c>
      <c r="C45" s="1" t="n">
        <v>45884</v>
      </c>
      <c r="D45" t="inlineStr">
        <is>
          <t>UPPSALA LÄN</t>
        </is>
      </c>
      <c r="E45" t="inlineStr">
        <is>
          <t>UPPSALA</t>
        </is>
      </c>
      <c r="G45" t="n">
        <v>21.5</v>
      </c>
      <c r="H45" t="n">
        <v>0</v>
      </c>
      <c r="I45" t="n">
        <v>3</v>
      </c>
      <c r="J45" t="n">
        <v>1</v>
      </c>
      <c r="K45" t="n">
        <v>0</v>
      </c>
      <c r="L45" t="n">
        <v>0</v>
      </c>
      <c r="M45" t="n">
        <v>0</v>
      </c>
      <c r="N45" t="n">
        <v>0</v>
      </c>
      <c r="O45" t="n">
        <v>1</v>
      </c>
      <c r="P45" t="n">
        <v>0</v>
      </c>
      <c r="Q45" t="n">
        <v>4</v>
      </c>
      <c r="R45" s="2" t="inlineStr">
        <is>
          <t>Vedtrappmossa
Blåmossa
Bronshjon
Trådticka</t>
        </is>
      </c>
      <c r="S45">
        <f>HYPERLINK("https://klasma.github.io/Logging_0380/artfynd/A 26758-2022 artfynd.xlsx", "A 26758-2022")</f>
        <v/>
      </c>
      <c r="T45">
        <f>HYPERLINK("https://klasma.github.io/Logging_0380/kartor/A 26758-2022 karta.png", "A 26758-2022")</f>
        <v/>
      </c>
      <c r="V45">
        <f>HYPERLINK("https://klasma.github.io/Logging_0380/klagomål/A 26758-2022 FSC-klagomål.docx", "A 26758-2022")</f>
        <v/>
      </c>
      <c r="W45">
        <f>HYPERLINK("https://klasma.github.io/Logging_0380/klagomålsmail/A 26758-2022 FSC-klagomål mail.docx", "A 26758-2022")</f>
        <v/>
      </c>
      <c r="X45">
        <f>HYPERLINK("https://klasma.github.io/Logging_0380/tillsyn/A 26758-2022 tillsynsbegäran.docx", "A 26758-2022")</f>
        <v/>
      </c>
      <c r="Y45">
        <f>HYPERLINK("https://klasma.github.io/Logging_0380/tillsynsmail/A 26758-2022 tillsynsbegäran mail.docx", "A 26758-2022")</f>
        <v/>
      </c>
    </row>
    <row r="46" ht="15" customHeight="1">
      <c r="A46" t="inlineStr">
        <is>
          <t>A 15297-2022</t>
        </is>
      </c>
      <c r="B46" s="1" t="n">
        <v>44659</v>
      </c>
      <c r="C46" s="1" t="n">
        <v>45884</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21809-2024</t>
        </is>
      </c>
      <c r="B47" s="1" t="n">
        <v>45442</v>
      </c>
      <c r="C47" s="1" t="n">
        <v>45884</v>
      </c>
      <c r="D47" t="inlineStr">
        <is>
          <t>UPPSALA LÄN</t>
        </is>
      </c>
      <c r="E47" t="inlineStr">
        <is>
          <t>UPPSALA</t>
        </is>
      </c>
      <c r="F47" t="inlineStr">
        <is>
          <t>Övriga statliga verk och myndigheter</t>
        </is>
      </c>
      <c r="G47" t="n">
        <v>6.6</v>
      </c>
      <c r="H47" t="n">
        <v>3</v>
      </c>
      <c r="I47" t="n">
        <v>1</v>
      </c>
      <c r="J47" t="n">
        <v>1</v>
      </c>
      <c r="K47" t="n">
        <v>0</v>
      </c>
      <c r="L47" t="n">
        <v>0</v>
      </c>
      <c r="M47" t="n">
        <v>0</v>
      </c>
      <c r="N47" t="n">
        <v>0</v>
      </c>
      <c r="O47" t="n">
        <v>1</v>
      </c>
      <c r="P47" t="n">
        <v>0</v>
      </c>
      <c r="Q47" t="n">
        <v>4</v>
      </c>
      <c r="R47" s="2" t="inlineStr">
        <is>
          <t>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33636-2025</t>
        </is>
      </c>
      <c r="B48" s="1" t="n">
        <v>45841.64539351852</v>
      </c>
      <c r="C48" s="1" t="n">
        <v>45884</v>
      </c>
      <c r="D48" t="inlineStr">
        <is>
          <t>UPPSALA LÄN</t>
        </is>
      </c>
      <c r="E48" t="inlineStr">
        <is>
          <t>UPPSALA</t>
        </is>
      </c>
      <c r="F48" t="inlineStr">
        <is>
          <t>Holmen skog AB</t>
        </is>
      </c>
      <c r="G48" t="n">
        <v>13.3</v>
      </c>
      <c r="H48" t="n">
        <v>0</v>
      </c>
      <c r="I48" t="n">
        <v>2</v>
      </c>
      <c r="J48" t="n">
        <v>2</v>
      </c>
      <c r="K48" t="n">
        <v>0</v>
      </c>
      <c r="L48" t="n">
        <v>0</v>
      </c>
      <c r="M48" t="n">
        <v>0</v>
      </c>
      <c r="N48" t="n">
        <v>0</v>
      </c>
      <c r="O48" t="n">
        <v>2</v>
      </c>
      <c r="P48" t="n">
        <v>0</v>
      </c>
      <c r="Q48" t="n">
        <v>4</v>
      </c>
      <c r="R48" s="2" t="inlineStr">
        <is>
          <t>Lunglav
Rödbrun blekspik
Brun nållav
Fällmossa</t>
        </is>
      </c>
      <c r="S48">
        <f>HYPERLINK("https://klasma.github.io/Logging_0380/artfynd/A 33636-2025 artfynd.xlsx", "A 33636-2025")</f>
        <v/>
      </c>
      <c r="T48">
        <f>HYPERLINK("https://klasma.github.io/Logging_0380/kartor/A 33636-2025 karta.png", "A 33636-2025")</f>
        <v/>
      </c>
      <c r="V48">
        <f>HYPERLINK("https://klasma.github.io/Logging_0380/klagomål/A 33636-2025 FSC-klagomål.docx", "A 33636-2025")</f>
        <v/>
      </c>
      <c r="W48">
        <f>HYPERLINK("https://klasma.github.io/Logging_0380/klagomålsmail/A 33636-2025 FSC-klagomål mail.docx", "A 33636-2025")</f>
        <v/>
      </c>
      <c r="X48">
        <f>HYPERLINK("https://klasma.github.io/Logging_0380/tillsyn/A 33636-2025 tillsynsbegäran.docx", "A 33636-2025")</f>
        <v/>
      </c>
      <c r="Y48">
        <f>HYPERLINK("https://klasma.github.io/Logging_0380/tillsynsmail/A 33636-2025 tillsynsbegäran mail.docx", "A 33636-2025")</f>
        <v/>
      </c>
    </row>
    <row r="49" ht="15" customHeight="1">
      <c r="A49" t="inlineStr">
        <is>
          <t>A 34147-2022</t>
        </is>
      </c>
      <c r="B49" s="1" t="n">
        <v>44791</v>
      </c>
      <c r="C49" s="1" t="n">
        <v>45884</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60038-2021</t>
        </is>
      </c>
      <c r="B50" s="1" t="n">
        <v>44495</v>
      </c>
      <c r="C50" s="1" t="n">
        <v>45884</v>
      </c>
      <c r="D50" t="inlineStr">
        <is>
          <t>UPPSALA LÄN</t>
        </is>
      </c>
      <c r="E50" t="inlineStr">
        <is>
          <t>UPPSALA</t>
        </is>
      </c>
      <c r="G50" t="n">
        <v>1.2</v>
      </c>
      <c r="H50" t="n">
        <v>1</v>
      </c>
      <c r="I50" t="n">
        <v>0</v>
      </c>
      <c r="J50" t="n">
        <v>1</v>
      </c>
      <c r="K50" t="n">
        <v>1</v>
      </c>
      <c r="L50" t="n">
        <v>0</v>
      </c>
      <c r="M50" t="n">
        <v>0</v>
      </c>
      <c r="N50" t="n">
        <v>0</v>
      </c>
      <c r="O50" t="n">
        <v>2</v>
      </c>
      <c r="P50" t="n">
        <v>1</v>
      </c>
      <c r="Q50" t="n">
        <v>3</v>
      </c>
      <c r="R50" s="2" t="inlineStr">
        <is>
          <t>Rynkskinn
Ullticka
Blåsippa</t>
        </is>
      </c>
      <c r="S50">
        <f>HYPERLINK("https://klasma.github.io/Logging_0380/artfynd/A 60038-2021 artfynd.xlsx", "A 60038-2021")</f>
        <v/>
      </c>
      <c r="T50">
        <f>HYPERLINK("https://klasma.github.io/Logging_0380/kartor/A 60038-2021 karta.png", "A 60038-2021")</f>
        <v/>
      </c>
      <c r="V50">
        <f>HYPERLINK("https://klasma.github.io/Logging_0380/klagomål/A 60038-2021 FSC-klagomål.docx", "A 60038-2021")</f>
        <v/>
      </c>
      <c r="W50">
        <f>HYPERLINK("https://klasma.github.io/Logging_0380/klagomålsmail/A 60038-2021 FSC-klagomål mail.docx", "A 60038-2021")</f>
        <v/>
      </c>
      <c r="X50">
        <f>HYPERLINK("https://klasma.github.io/Logging_0380/tillsyn/A 60038-2021 tillsynsbegäran.docx", "A 60038-2021")</f>
        <v/>
      </c>
      <c r="Y50">
        <f>HYPERLINK("https://klasma.github.io/Logging_0380/tillsynsmail/A 60038-2021 tillsynsbegäran mail.docx", "A 60038-2021")</f>
        <v/>
      </c>
    </row>
    <row r="51" ht="15" customHeight="1">
      <c r="A51" t="inlineStr">
        <is>
          <t>A 18079-2022</t>
        </is>
      </c>
      <c r="B51" s="1" t="n">
        <v>44684</v>
      </c>
      <c r="C51" s="1" t="n">
        <v>45884</v>
      </c>
      <c r="D51" t="inlineStr">
        <is>
          <t>UPPSALA LÄN</t>
        </is>
      </c>
      <c r="E51" t="inlineStr">
        <is>
          <t>UPPSALA</t>
        </is>
      </c>
      <c r="G51" t="n">
        <v>2</v>
      </c>
      <c r="H51" t="n">
        <v>0</v>
      </c>
      <c r="I51" t="n">
        <v>2</v>
      </c>
      <c r="J51" t="n">
        <v>0</v>
      </c>
      <c r="K51" t="n">
        <v>1</v>
      </c>
      <c r="L51" t="n">
        <v>0</v>
      </c>
      <c r="M51" t="n">
        <v>0</v>
      </c>
      <c r="N51" t="n">
        <v>0</v>
      </c>
      <c r="O51" t="n">
        <v>1</v>
      </c>
      <c r="P51" t="n">
        <v>1</v>
      </c>
      <c r="Q51" t="n">
        <v>3</v>
      </c>
      <c r="R51" s="2" t="inlineStr">
        <is>
          <t>Aspfjädermossa
Dvärgtufs
Skinnlav</t>
        </is>
      </c>
      <c r="S51">
        <f>HYPERLINK("https://klasma.github.io/Logging_0380/artfynd/A 18079-2022 artfynd.xlsx", "A 18079-2022")</f>
        <v/>
      </c>
      <c r="T51">
        <f>HYPERLINK("https://klasma.github.io/Logging_0380/kartor/A 18079-2022 karta.png", "A 18079-2022")</f>
        <v/>
      </c>
      <c r="V51">
        <f>HYPERLINK("https://klasma.github.io/Logging_0380/klagomål/A 18079-2022 FSC-klagomål.docx", "A 18079-2022")</f>
        <v/>
      </c>
      <c r="W51">
        <f>HYPERLINK("https://klasma.github.io/Logging_0380/klagomålsmail/A 18079-2022 FSC-klagomål mail.docx", "A 18079-2022")</f>
        <v/>
      </c>
      <c r="X51">
        <f>HYPERLINK("https://klasma.github.io/Logging_0380/tillsyn/A 18079-2022 tillsynsbegäran.docx", "A 18079-2022")</f>
        <v/>
      </c>
      <c r="Y51">
        <f>HYPERLINK("https://klasma.github.io/Logging_0380/tillsynsmail/A 18079-2022 tillsynsbegäran mail.docx", "A 18079-2022")</f>
        <v/>
      </c>
    </row>
    <row r="52" ht="15" customHeight="1">
      <c r="A52" t="inlineStr">
        <is>
          <t>A 25943-2023</t>
        </is>
      </c>
      <c r="B52" s="1" t="n">
        <v>45090</v>
      </c>
      <c r="C52" s="1" t="n">
        <v>45884</v>
      </c>
      <c r="D52" t="inlineStr">
        <is>
          <t>UPPSALA LÄN</t>
        </is>
      </c>
      <c r="E52" t="inlineStr">
        <is>
          <t>UPPSALA</t>
        </is>
      </c>
      <c r="F52" t="inlineStr">
        <is>
          <t>Holmen skog AB</t>
        </is>
      </c>
      <c r="G52" t="n">
        <v>2.7</v>
      </c>
      <c r="H52" t="n">
        <v>1</v>
      </c>
      <c r="I52" t="n">
        <v>1</v>
      </c>
      <c r="J52" t="n">
        <v>2</v>
      </c>
      <c r="K52" t="n">
        <v>0</v>
      </c>
      <c r="L52" t="n">
        <v>0</v>
      </c>
      <c r="M52" t="n">
        <v>0</v>
      </c>
      <c r="N52" t="n">
        <v>0</v>
      </c>
      <c r="O52" t="n">
        <v>2</v>
      </c>
      <c r="P52" t="n">
        <v>0</v>
      </c>
      <c r="Q52" t="n">
        <v>3</v>
      </c>
      <c r="R52" s="2" t="inlineStr">
        <is>
          <t>Mindre hackspett
Vedtrappmossa
Vedticka</t>
        </is>
      </c>
      <c r="S52">
        <f>HYPERLINK("https://klasma.github.io/Logging_0380/artfynd/A 25943-2023 artfynd.xlsx", "A 25943-2023")</f>
        <v/>
      </c>
      <c r="T52">
        <f>HYPERLINK("https://klasma.github.io/Logging_0380/kartor/A 25943-2023 karta.png", "A 25943-2023")</f>
        <v/>
      </c>
      <c r="V52">
        <f>HYPERLINK("https://klasma.github.io/Logging_0380/klagomål/A 25943-2023 FSC-klagomål.docx", "A 25943-2023")</f>
        <v/>
      </c>
      <c r="W52">
        <f>HYPERLINK("https://klasma.github.io/Logging_0380/klagomålsmail/A 25943-2023 FSC-klagomål mail.docx", "A 25943-2023")</f>
        <v/>
      </c>
      <c r="X52">
        <f>HYPERLINK("https://klasma.github.io/Logging_0380/tillsyn/A 25943-2023 tillsynsbegäran.docx", "A 25943-2023")</f>
        <v/>
      </c>
      <c r="Y52">
        <f>HYPERLINK("https://klasma.github.io/Logging_0380/tillsynsmail/A 25943-2023 tillsynsbegäran mail.docx", "A 25943-2023")</f>
        <v/>
      </c>
      <c r="Z52">
        <f>HYPERLINK("https://klasma.github.io/Logging_0380/fåglar/A 25943-2023 prioriterade fågelarter.docx", "A 25943-2023")</f>
        <v/>
      </c>
    </row>
    <row r="53" ht="15" customHeight="1">
      <c r="A53" t="inlineStr">
        <is>
          <t>A 25608-2025</t>
        </is>
      </c>
      <c r="B53" s="1" t="n">
        <v>45803.55535879629</v>
      </c>
      <c r="C53" s="1" t="n">
        <v>45884</v>
      </c>
      <c r="D53" t="inlineStr">
        <is>
          <t>UPPSALA LÄN</t>
        </is>
      </c>
      <c r="E53" t="inlineStr">
        <is>
          <t>UPPSALA</t>
        </is>
      </c>
      <c r="F53" t="inlineStr">
        <is>
          <t>Holmen skog AB</t>
        </is>
      </c>
      <c r="G53" t="n">
        <v>3</v>
      </c>
      <c r="H53" t="n">
        <v>2</v>
      </c>
      <c r="I53" t="n">
        <v>1</v>
      </c>
      <c r="J53" t="n">
        <v>1</v>
      </c>
      <c r="K53" t="n">
        <v>1</v>
      </c>
      <c r="L53" t="n">
        <v>0</v>
      </c>
      <c r="M53" t="n">
        <v>0</v>
      </c>
      <c r="N53" t="n">
        <v>0</v>
      </c>
      <c r="O53" t="n">
        <v>2</v>
      </c>
      <c r="P53" t="n">
        <v>1</v>
      </c>
      <c r="Q53" t="n">
        <v>3</v>
      </c>
      <c r="R53" s="2" t="inlineStr">
        <is>
          <t>Knärot
Spillkråka
Stuplav</t>
        </is>
      </c>
      <c r="S53">
        <f>HYPERLINK("https://klasma.github.io/Logging_0380/artfynd/A 25608-2025 artfynd.xlsx", "A 25608-2025")</f>
        <v/>
      </c>
      <c r="T53">
        <f>HYPERLINK("https://klasma.github.io/Logging_0380/kartor/A 25608-2025 karta.png", "A 25608-2025")</f>
        <v/>
      </c>
      <c r="U53">
        <f>HYPERLINK("https://klasma.github.io/Logging_0380/knärot/A 25608-2025 karta knärot.png", "A 25608-2025")</f>
        <v/>
      </c>
      <c r="V53">
        <f>HYPERLINK("https://klasma.github.io/Logging_0380/klagomål/A 25608-2025 FSC-klagomål.docx", "A 25608-2025")</f>
        <v/>
      </c>
      <c r="W53">
        <f>HYPERLINK("https://klasma.github.io/Logging_0380/klagomålsmail/A 25608-2025 FSC-klagomål mail.docx", "A 25608-2025")</f>
        <v/>
      </c>
      <c r="X53">
        <f>HYPERLINK("https://klasma.github.io/Logging_0380/tillsyn/A 25608-2025 tillsynsbegäran.docx", "A 25608-2025")</f>
        <v/>
      </c>
      <c r="Y53">
        <f>HYPERLINK("https://klasma.github.io/Logging_0380/tillsynsmail/A 25608-2025 tillsynsbegäran mail.docx", "A 25608-2025")</f>
        <v/>
      </c>
      <c r="Z53">
        <f>HYPERLINK("https://klasma.github.io/Logging_0380/fåglar/A 25608-2025 prioriterade fågelarter.docx", "A 25608-2025")</f>
        <v/>
      </c>
    </row>
    <row r="54" ht="15" customHeight="1">
      <c r="A54" t="inlineStr">
        <is>
          <t>A 36471-2022</t>
        </is>
      </c>
      <c r="B54" s="1" t="n">
        <v>44804</v>
      </c>
      <c r="C54" s="1" t="n">
        <v>45884</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30716-2025</t>
        </is>
      </c>
      <c r="B55" s="1" t="n">
        <v>45831.55982638889</v>
      </c>
      <c r="C55" s="1" t="n">
        <v>45884</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18425-2025</t>
        </is>
      </c>
      <c r="B56" s="1" t="n">
        <v>45762.62260416667</v>
      </c>
      <c r="C56" s="1" t="n">
        <v>45884</v>
      </c>
      <c r="D56" t="inlineStr">
        <is>
          <t>UPPSALA LÄN</t>
        </is>
      </c>
      <c r="E56" t="inlineStr">
        <is>
          <t>UPPSALA</t>
        </is>
      </c>
      <c r="G56" t="n">
        <v>9.800000000000001</v>
      </c>
      <c r="H56" t="n">
        <v>1</v>
      </c>
      <c r="I56" t="n">
        <v>0</v>
      </c>
      <c r="J56" t="n">
        <v>2</v>
      </c>
      <c r="K56" t="n">
        <v>0</v>
      </c>
      <c r="L56" t="n">
        <v>0</v>
      </c>
      <c r="M56" t="n">
        <v>0</v>
      </c>
      <c r="N56" t="n">
        <v>0</v>
      </c>
      <c r="O56" t="n">
        <v>2</v>
      </c>
      <c r="P56" t="n">
        <v>0</v>
      </c>
      <c r="Q56" t="n">
        <v>2</v>
      </c>
      <c r="R56" s="2" t="inlineStr">
        <is>
          <t>Spillkråka
Tallticka</t>
        </is>
      </c>
      <c r="S56">
        <f>HYPERLINK("https://klasma.github.io/Logging_0380/artfynd/A 18425-2025 artfynd.xlsx", "A 18425-2025")</f>
        <v/>
      </c>
      <c r="T56">
        <f>HYPERLINK("https://klasma.github.io/Logging_0380/kartor/A 18425-2025 karta.png", "A 18425-2025")</f>
        <v/>
      </c>
      <c r="V56">
        <f>HYPERLINK("https://klasma.github.io/Logging_0380/klagomål/A 18425-2025 FSC-klagomål.docx", "A 18425-2025")</f>
        <v/>
      </c>
      <c r="W56">
        <f>HYPERLINK("https://klasma.github.io/Logging_0380/klagomålsmail/A 18425-2025 FSC-klagomål mail.docx", "A 18425-2025")</f>
        <v/>
      </c>
      <c r="X56">
        <f>HYPERLINK("https://klasma.github.io/Logging_0380/tillsyn/A 18425-2025 tillsynsbegäran.docx", "A 18425-2025")</f>
        <v/>
      </c>
      <c r="Y56">
        <f>HYPERLINK("https://klasma.github.io/Logging_0380/tillsynsmail/A 18425-2025 tillsynsbegäran mail.docx", "A 18425-2025")</f>
        <v/>
      </c>
      <c r="Z56">
        <f>HYPERLINK("https://klasma.github.io/Logging_0380/fåglar/A 18425-2025 prioriterade fågelarter.docx", "A 18425-2025")</f>
        <v/>
      </c>
    </row>
    <row r="57" ht="15" customHeight="1">
      <c r="A57" t="inlineStr">
        <is>
          <t>A 6998-2023</t>
        </is>
      </c>
      <c r="B57" s="1" t="n">
        <v>44967</v>
      </c>
      <c r="C57" s="1" t="n">
        <v>45884</v>
      </c>
      <c r="D57" t="inlineStr">
        <is>
          <t>UPPSALA LÄN</t>
        </is>
      </c>
      <c r="E57" t="inlineStr">
        <is>
          <t>UPPSALA</t>
        </is>
      </c>
      <c r="G57" t="n">
        <v>8.4</v>
      </c>
      <c r="H57" t="n">
        <v>2</v>
      </c>
      <c r="I57" t="n">
        <v>0</v>
      </c>
      <c r="J57" t="n">
        <v>0</v>
      </c>
      <c r="K57" t="n">
        <v>0</v>
      </c>
      <c r="L57" t="n">
        <v>0</v>
      </c>
      <c r="M57" t="n">
        <v>0</v>
      </c>
      <c r="N57" t="n">
        <v>0</v>
      </c>
      <c r="O57" t="n">
        <v>0</v>
      </c>
      <c r="P57" t="n">
        <v>0</v>
      </c>
      <c r="Q57" t="n">
        <v>2</v>
      </c>
      <c r="R57" s="2" t="inlineStr">
        <is>
          <t>Nattviol
Blåsippa</t>
        </is>
      </c>
      <c r="S57">
        <f>HYPERLINK("https://klasma.github.io/Logging_0380/artfynd/A 6998-2023 artfynd.xlsx", "A 6998-2023")</f>
        <v/>
      </c>
      <c r="T57">
        <f>HYPERLINK("https://klasma.github.io/Logging_0380/kartor/A 6998-2023 karta.png", "A 6998-2023")</f>
        <v/>
      </c>
      <c r="V57">
        <f>HYPERLINK("https://klasma.github.io/Logging_0380/klagomål/A 6998-2023 FSC-klagomål.docx", "A 6998-2023")</f>
        <v/>
      </c>
      <c r="W57">
        <f>HYPERLINK("https://klasma.github.io/Logging_0380/klagomålsmail/A 6998-2023 FSC-klagomål mail.docx", "A 6998-2023")</f>
        <v/>
      </c>
      <c r="X57">
        <f>HYPERLINK("https://klasma.github.io/Logging_0380/tillsyn/A 6998-2023 tillsynsbegäran.docx", "A 6998-2023")</f>
        <v/>
      </c>
      <c r="Y57">
        <f>HYPERLINK("https://klasma.github.io/Logging_0380/tillsynsmail/A 6998-2023 tillsynsbegäran mail.docx", "A 6998-2023")</f>
        <v/>
      </c>
    </row>
    <row r="58" ht="15" customHeight="1">
      <c r="A58" t="inlineStr">
        <is>
          <t>A 39933-2023</t>
        </is>
      </c>
      <c r="B58" s="1" t="n">
        <v>45168.50667824074</v>
      </c>
      <c r="C58" s="1" t="n">
        <v>45884</v>
      </c>
      <c r="D58" t="inlineStr">
        <is>
          <t>UPPSALA LÄN</t>
        </is>
      </c>
      <c r="E58" t="inlineStr">
        <is>
          <t>UPPSALA</t>
        </is>
      </c>
      <c r="F58" t="inlineStr">
        <is>
          <t>Holmen skog AB</t>
        </is>
      </c>
      <c r="G58" t="n">
        <v>6.3</v>
      </c>
      <c r="H58" t="n">
        <v>2</v>
      </c>
      <c r="I58" t="n">
        <v>0</v>
      </c>
      <c r="J58" t="n">
        <v>2</v>
      </c>
      <c r="K58" t="n">
        <v>0</v>
      </c>
      <c r="L58" t="n">
        <v>0</v>
      </c>
      <c r="M58" t="n">
        <v>0</v>
      </c>
      <c r="N58" t="n">
        <v>0</v>
      </c>
      <c r="O58" t="n">
        <v>2</v>
      </c>
      <c r="P58" t="n">
        <v>0</v>
      </c>
      <c r="Q58" t="n">
        <v>2</v>
      </c>
      <c r="R58" s="2" t="inlineStr">
        <is>
          <t>Entita
Spillkråka</t>
        </is>
      </c>
      <c r="S58">
        <f>HYPERLINK("https://klasma.github.io/Logging_0380/artfynd/A 39933-2023 artfynd.xlsx", "A 39933-2023")</f>
        <v/>
      </c>
      <c r="T58">
        <f>HYPERLINK("https://klasma.github.io/Logging_0380/kartor/A 39933-2023 karta.png", "A 39933-2023")</f>
        <v/>
      </c>
      <c r="V58">
        <f>HYPERLINK("https://klasma.github.io/Logging_0380/klagomål/A 39933-2023 FSC-klagomål.docx", "A 39933-2023")</f>
        <v/>
      </c>
      <c r="W58">
        <f>HYPERLINK("https://klasma.github.io/Logging_0380/klagomålsmail/A 39933-2023 FSC-klagomål mail.docx", "A 39933-2023")</f>
        <v/>
      </c>
      <c r="X58">
        <f>HYPERLINK("https://klasma.github.io/Logging_0380/tillsyn/A 39933-2023 tillsynsbegäran.docx", "A 39933-2023")</f>
        <v/>
      </c>
      <c r="Y58">
        <f>HYPERLINK("https://klasma.github.io/Logging_0380/tillsynsmail/A 39933-2023 tillsynsbegäran mail.docx", "A 39933-2023")</f>
        <v/>
      </c>
      <c r="Z58">
        <f>HYPERLINK("https://klasma.github.io/Logging_0380/fåglar/A 39933-2023 prioriterade fågelarter.docx", "A 39933-2023")</f>
        <v/>
      </c>
    </row>
    <row r="59" ht="15" customHeight="1">
      <c r="A59" t="inlineStr">
        <is>
          <t>A 5755-2025</t>
        </is>
      </c>
      <c r="B59" s="1" t="n">
        <v>45694.55559027778</v>
      </c>
      <c r="C59" s="1" t="n">
        <v>45884</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88-2024</t>
        </is>
      </c>
      <c r="B60" s="1" t="n">
        <v>45293</v>
      </c>
      <c r="C60" s="1" t="n">
        <v>45884</v>
      </c>
      <c r="D60" t="inlineStr">
        <is>
          <t>UPPSALA LÄN</t>
        </is>
      </c>
      <c r="E60" t="inlineStr">
        <is>
          <t>UPPSALA</t>
        </is>
      </c>
      <c r="G60" t="n">
        <v>2.1</v>
      </c>
      <c r="H60" t="n">
        <v>0</v>
      </c>
      <c r="I60" t="n">
        <v>0</v>
      </c>
      <c r="J60" t="n">
        <v>1</v>
      </c>
      <c r="K60" t="n">
        <v>0</v>
      </c>
      <c r="L60" t="n">
        <v>1</v>
      </c>
      <c r="M60" t="n">
        <v>0</v>
      </c>
      <c r="N60" t="n">
        <v>0</v>
      </c>
      <c r="O60" t="n">
        <v>2</v>
      </c>
      <c r="P60" t="n">
        <v>1</v>
      </c>
      <c r="Q60" t="n">
        <v>2</v>
      </c>
      <c r="R60" s="2" t="inlineStr">
        <is>
          <t>Ask
Gullklöver</t>
        </is>
      </c>
      <c r="S60">
        <f>HYPERLINK("https://klasma.github.io/Logging_0380/artfynd/A 88-2024 artfynd.xlsx", "A 88-2024")</f>
        <v/>
      </c>
      <c r="T60">
        <f>HYPERLINK("https://klasma.github.io/Logging_0380/kartor/A 88-2024 karta.png", "A 88-2024")</f>
        <v/>
      </c>
      <c r="V60">
        <f>HYPERLINK("https://klasma.github.io/Logging_0380/klagomål/A 88-2024 FSC-klagomål.docx", "A 88-2024")</f>
        <v/>
      </c>
      <c r="W60">
        <f>HYPERLINK("https://klasma.github.io/Logging_0380/klagomålsmail/A 88-2024 FSC-klagomål mail.docx", "A 88-2024")</f>
        <v/>
      </c>
      <c r="X60">
        <f>HYPERLINK("https://klasma.github.io/Logging_0380/tillsyn/A 88-2024 tillsynsbegäran.docx", "A 88-2024")</f>
        <v/>
      </c>
      <c r="Y60">
        <f>HYPERLINK("https://klasma.github.io/Logging_0380/tillsynsmail/A 88-2024 tillsynsbegäran mail.docx", "A 88-2024")</f>
        <v/>
      </c>
    </row>
    <row r="61" ht="15" customHeight="1">
      <c r="A61" t="inlineStr">
        <is>
          <t>A 44675-2023</t>
        </is>
      </c>
      <c r="B61" s="1" t="n">
        <v>45189</v>
      </c>
      <c r="C61" s="1" t="n">
        <v>45884</v>
      </c>
      <c r="D61" t="inlineStr">
        <is>
          <t>UPPSALA LÄN</t>
        </is>
      </c>
      <c r="E61" t="inlineStr">
        <is>
          <t>UPPSALA</t>
        </is>
      </c>
      <c r="G61" t="n">
        <v>7.1</v>
      </c>
      <c r="H61" t="n">
        <v>2</v>
      </c>
      <c r="I61" t="n">
        <v>0</v>
      </c>
      <c r="J61" t="n">
        <v>1</v>
      </c>
      <c r="K61" t="n">
        <v>1</v>
      </c>
      <c r="L61" t="n">
        <v>0</v>
      </c>
      <c r="M61" t="n">
        <v>0</v>
      </c>
      <c r="N61" t="n">
        <v>0</v>
      </c>
      <c r="O61" t="n">
        <v>2</v>
      </c>
      <c r="P61" t="n">
        <v>1</v>
      </c>
      <c r="Q61" t="n">
        <v>2</v>
      </c>
      <c r="R61" s="2" t="inlineStr">
        <is>
          <t>Knärot
Talltita</t>
        </is>
      </c>
      <c r="S61">
        <f>HYPERLINK("https://klasma.github.io/Logging_0380/artfynd/A 44675-2023 artfynd.xlsx", "A 44675-2023")</f>
        <v/>
      </c>
      <c r="T61">
        <f>HYPERLINK("https://klasma.github.io/Logging_0380/kartor/A 44675-2023 karta.png", "A 44675-2023")</f>
        <v/>
      </c>
      <c r="U61">
        <f>HYPERLINK("https://klasma.github.io/Logging_0380/knärot/A 44675-2023 karta knärot.png", "A 44675-2023")</f>
        <v/>
      </c>
      <c r="V61">
        <f>HYPERLINK("https://klasma.github.io/Logging_0380/klagomål/A 44675-2023 FSC-klagomål.docx", "A 44675-2023")</f>
        <v/>
      </c>
      <c r="W61">
        <f>HYPERLINK("https://klasma.github.io/Logging_0380/klagomålsmail/A 44675-2023 FSC-klagomål mail.docx", "A 44675-2023")</f>
        <v/>
      </c>
      <c r="X61">
        <f>HYPERLINK("https://klasma.github.io/Logging_0380/tillsyn/A 44675-2023 tillsynsbegäran.docx", "A 44675-2023")</f>
        <v/>
      </c>
      <c r="Y61">
        <f>HYPERLINK("https://klasma.github.io/Logging_0380/tillsynsmail/A 44675-2023 tillsynsbegäran mail.docx", "A 44675-2023")</f>
        <v/>
      </c>
      <c r="Z61">
        <f>HYPERLINK("https://klasma.github.io/Logging_0380/fåglar/A 44675-2023 prioriterade fågelarter.docx", "A 44675-2023")</f>
        <v/>
      </c>
    </row>
    <row r="62" ht="15" customHeight="1">
      <c r="A62" t="inlineStr">
        <is>
          <t>A 1124-2025</t>
        </is>
      </c>
      <c r="B62" s="1" t="n">
        <v>45666</v>
      </c>
      <c r="C62" s="1" t="n">
        <v>45884</v>
      </c>
      <c r="D62" t="inlineStr">
        <is>
          <t>UPPSALA LÄN</t>
        </is>
      </c>
      <c r="E62" t="inlineStr">
        <is>
          <t>UPPSALA</t>
        </is>
      </c>
      <c r="G62" t="n">
        <v>8.300000000000001</v>
      </c>
      <c r="H62" t="n">
        <v>1</v>
      </c>
      <c r="I62" t="n">
        <v>1</v>
      </c>
      <c r="J62" t="n">
        <v>0</v>
      </c>
      <c r="K62" t="n">
        <v>1</v>
      </c>
      <c r="L62" t="n">
        <v>0</v>
      </c>
      <c r="M62" t="n">
        <v>0</v>
      </c>
      <c r="N62" t="n">
        <v>0</v>
      </c>
      <c r="O62" t="n">
        <v>1</v>
      </c>
      <c r="P62" t="n">
        <v>1</v>
      </c>
      <c r="Q62" t="n">
        <v>2</v>
      </c>
      <c r="R62" s="2" t="inlineStr">
        <is>
          <t>Rynkskinn
Grön sköldmossa</t>
        </is>
      </c>
      <c r="S62">
        <f>HYPERLINK("https://klasma.github.io/Logging_0380/artfynd/A 1124-2025 artfynd.xlsx", "A 1124-2025")</f>
        <v/>
      </c>
      <c r="T62">
        <f>HYPERLINK("https://klasma.github.io/Logging_0380/kartor/A 1124-2025 karta.png", "A 1124-2025")</f>
        <v/>
      </c>
      <c r="V62">
        <f>HYPERLINK("https://klasma.github.io/Logging_0380/klagomål/A 1124-2025 FSC-klagomål.docx", "A 1124-2025")</f>
        <v/>
      </c>
      <c r="W62">
        <f>HYPERLINK("https://klasma.github.io/Logging_0380/klagomålsmail/A 1124-2025 FSC-klagomål mail.docx", "A 1124-2025")</f>
        <v/>
      </c>
      <c r="X62">
        <f>HYPERLINK("https://klasma.github.io/Logging_0380/tillsyn/A 1124-2025 tillsynsbegäran.docx", "A 1124-2025")</f>
        <v/>
      </c>
      <c r="Y62">
        <f>HYPERLINK("https://klasma.github.io/Logging_0380/tillsynsmail/A 1124-2025 tillsynsbegäran mail.docx", "A 1124-2025")</f>
        <v/>
      </c>
    </row>
    <row r="63" ht="15" customHeight="1">
      <c r="A63" t="inlineStr">
        <is>
          <t>A 27502-2024</t>
        </is>
      </c>
      <c r="B63" s="1" t="n">
        <v>45474</v>
      </c>
      <c r="C63" s="1" t="n">
        <v>45884</v>
      </c>
      <c r="D63" t="inlineStr">
        <is>
          <t>UPPSALA LÄN</t>
        </is>
      </c>
      <c r="E63" t="inlineStr">
        <is>
          <t>UPPSALA</t>
        </is>
      </c>
      <c r="G63" t="n">
        <v>13.6</v>
      </c>
      <c r="H63" t="n">
        <v>2</v>
      </c>
      <c r="I63" t="n">
        <v>0</v>
      </c>
      <c r="J63" t="n">
        <v>1</v>
      </c>
      <c r="K63" t="n">
        <v>1</v>
      </c>
      <c r="L63" t="n">
        <v>0</v>
      </c>
      <c r="M63" t="n">
        <v>0</v>
      </c>
      <c r="N63" t="n">
        <v>0</v>
      </c>
      <c r="O63" t="n">
        <v>2</v>
      </c>
      <c r="P63" t="n">
        <v>1</v>
      </c>
      <c r="Q63" t="n">
        <v>2</v>
      </c>
      <c r="R63" s="2" t="inlineStr">
        <is>
          <t>Knärot
Talltita</t>
        </is>
      </c>
      <c r="S63">
        <f>HYPERLINK("https://klasma.github.io/Logging_0380/artfynd/A 27502-2024 artfynd.xlsx", "A 27502-2024")</f>
        <v/>
      </c>
      <c r="T63">
        <f>HYPERLINK("https://klasma.github.io/Logging_0380/kartor/A 27502-2024 karta.png", "A 27502-2024")</f>
        <v/>
      </c>
      <c r="U63">
        <f>HYPERLINK("https://klasma.github.io/Logging_0380/knärot/A 27502-2024 karta knärot.png", "A 27502-2024")</f>
        <v/>
      </c>
      <c r="V63">
        <f>HYPERLINK("https://klasma.github.io/Logging_0380/klagomål/A 27502-2024 FSC-klagomål.docx", "A 27502-2024")</f>
        <v/>
      </c>
      <c r="W63">
        <f>HYPERLINK("https://klasma.github.io/Logging_0380/klagomålsmail/A 27502-2024 FSC-klagomål mail.docx", "A 27502-2024")</f>
        <v/>
      </c>
      <c r="X63">
        <f>HYPERLINK("https://klasma.github.io/Logging_0380/tillsyn/A 27502-2024 tillsynsbegäran.docx", "A 27502-2024")</f>
        <v/>
      </c>
      <c r="Y63">
        <f>HYPERLINK("https://klasma.github.io/Logging_0380/tillsynsmail/A 27502-2024 tillsynsbegäran mail.docx", "A 27502-2024")</f>
        <v/>
      </c>
      <c r="Z63">
        <f>HYPERLINK("https://klasma.github.io/Logging_0380/fåglar/A 27502-2024 prioriterade fågelarter.docx", "A 27502-2024")</f>
        <v/>
      </c>
    </row>
    <row r="64" ht="15" customHeight="1">
      <c r="A64" t="inlineStr">
        <is>
          <t>A 17277-2023</t>
        </is>
      </c>
      <c r="B64" s="1" t="n">
        <v>45035.44672453704</v>
      </c>
      <c r="C64" s="1" t="n">
        <v>45884</v>
      </c>
      <c r="D64" t="inlineStr">
        <is>
          <t>UPPSALA LÄN</t>
        </is>
      </c>
      <c r="E64" t="inlineStr">
        <is>
          <t>UPPSALA</t>
        </is>
      </c>
      <c r="F64" t="inlineStr">
        <is>
          <t>Övriga Aktiebolag</t>
        </is>
      </c>
      <c r="G64" t="n">
        <v>6.1</v>
      </c>
      <c r="H64" t="n">
        <v>2</v>
      </c>
      <c r="I64" t="n">
        <v>0</v>
      </c>
      <c r="J64" t="n">
        <v>1</v>
      </c>
      <c r="K64" t="n">
        <v>0</v>
      </c>
      <c r="L64" t="n">
        <v>0</v>
      </c>
      <c r="M64" t="n">
        <v>0</v>
      </c>
      <c r="N64" t="n">
        <v>0</v>
      </c>
      <c r="O64" t="n">
        <v>1</v>
      </c>
      <c r="P64" t="n">
        <v>0</v>
      </c>
      <c r="Q64" t="n">
        <v>2</v>
      </c>
      <c r="R64" s="2" t="inlineStr">
        <is>
          <t>Slaguggla
Trana</t>
        </is>
      </c>
      <c r="S64">
        <f>HYPERLINK("https://klasma.github.io/Logging_0380/artfynd/A 17277-2023 artfynd.xlsx", "A 17277-2023")</f>
        <v/>
      </c>
      <c r="T64">
        <f>HYPERLINK("https://klasma.github.io/Logging_0380/kartor/A 17277-2023 karta.png", "A 17277-2023")</f>
        <v/>
      </c>
      <c r="V64">
        <f>HYPERLINK("https://klasma.github.io/Logging_0380/klagomål/A 17277-2023 FSC-klagomål.docx", "A 17277-2023")</f>
        <v/>
      </c>
      <c r="W64">
        <f>HYPERLINK("https://klasma.github.io/Logging_0380/klagomålsmail/A 17277-2023 FSC-klagomål mail.docx", "A 17277-2023")</f>
        <v/>
      </c>
      <c r="X64">
        <f>HYPERLINK("https://klasma.github.io/Logging_0380/tillsyn/A 17277-2023 tillsynsbegäran.docx", "A 17277-2023")</f>
        <v/>
      </c>
      <c r="Y64">
        <f>HYPERLINK("https://klasma.github.io/Logging_0380/tillsynsmail/A 17277-2023 tillsynsbegäran mail.docx", "A 17277-2023")</f>
        <v/>
      </c>
      <c r="Z64">
        <f>HYPERLINK("https://klasma.github.io/Logging_0380/fåglar/A 17277-2023 prioriterade fågelarter.docx", "A 17277-2023")</f>
        <v/>
      </c>
    </row>
    <row r="65" ht="15" customHeight="1">
      <c r="A65" t="inlineStr">
        <is>
          <t>A 51749-2023</t>
        </is>
      </c>
      <c r="B65" s="1" t="n">
        <v>45222</v>
      </c>
      <c r="C65" s="1" t="n">
        <v>45884</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33707-2025</t>
        </is>
      </c>
      <c r="B66" s="1" t="n">
        <v>45841.80690972223</v>
      </c>
      <c r="C66" s="1" t="n">
        <v>45884</v>
      </c>
      <c r="D66" t="inlineStr">
        <is>
          <t>UPPSALA LÄN</t>
        </is>
      </c>
      <c r="E66" t="inlineStr">
        <is>
          <t>UPPSALA</t>
        </is>
      </c>
      <c r="F66" t="inlineStr">
        <is>
          <t>Holmen skog AB</t>
        </is>
      </c>
      <c r="G66" t="n">
        <v>7.9</v>
      </c>
      <c r="H66" t="n">
        <v>2</v>
      </c>
      <c r="I66" t="n">
        <v>0</v>
      </c>
      <c r="J66" t="n">
        <v>2</v>
      </c>
      <c r="K66" t="n">
        <v>0</v>
      </c>
      <c r="L66" t="n">
        <v>0</v>
      </c>
      <c r="M66" t="n">
        <v>0</v>
      </c>
      <c r="N66" t="n">
        <v>0</v>
      </c>
      <c r="O66" t="n">
        <v>2</v>
      </c>
      <c r="P66" t="n">
        <v>0</v>
      </c>
      <c r="Q66" t="n">
        <v>2</v>
      </c>
      <c r="R66" s="2" t="inlineStr">
        <is>
          <t>Buskskvätta
Gulsparv</t>
        </is>
      </c>
      <c r="S66">
        <f>HYPERLINK("https://klasma.github.io/Logging_0380/artfynd/A 33707-2025 artfynd.xlsx", "A 33707-2025")</f>
        <v/>
      </c>
      <c r="T66">
        <f>HYPERLINK("https://klasma.github.io/Logging_0380/kartor/A 33707-2025 karta.png", "A 33707-2025")</f>
        <v/>
      </c>
      <c r="V66">
        <f>HYPERLINK("https://klasma.github.io/Logging_0380/klagomål/A 33707-2025 FSC-klagomål.docx", "A 33707-2025")</f>
        <v/>
      </c>
      <c r="W66">
        <f>HYPERLINK("https://klasma.github.io/Logging_0380/klagomålsmail/A 33707-2025 FSC-klagomål mail.docx", "A 33707-2025")</f>
        <v/>
      </c>
      <c r="X66">
        <f>HYPERLINK("https://klasma.github.io/Logging_0380/tillsyn/A 33707-2025 tillsynsbegäran.docx", "A 33707-2025")</f>
        <v/>
      </c>
      <c r="Y66">
        <f>HYPERLINK("https://klasma.github.io/Logging_0380/tillsynsmail/A 33707-2025 tillsynsbegäran mail.docx", "A 33707-2025")</f>
        <v/>
      </c>
      <c r="Z66">
        <f>HYPERLINK("https://klasma.github.io/Logging_0380/fåglar/A 33707-2025 prioriterade fågelarter.docx", "A 33707-2025")</f>
        <v/>
      </c>
    </row>
    <row r="67" ht="15" customHeight="1">
      <c r="A67" t="inlineStr">
        <is>
          <t>A 9401-2025</t>
        </is>
      </c>
      <c r="B67" s="1" t="n">
        <v>45715.38105324074</v>
      </c>
      <c r="C67" s="1" t="n">
        <v>45884</v>
      </c>
      <c r="D67" t="inlineStr">
        <is>
          <t>UPPSALA LÄN</t>
        </is>
      </c>
      <c r="E67" t="inlineStr">
        <is>
          <t>UPPSALA</t>
        </is>
      </c>
      <c r="G67" t="n">
        <v>3.1</v>
      </c>
      <c r="H67" t="n">
        <v>2</v>
      </c>
      <c r="I67" t="n">
        <v>0</v>
      </c>
      <c r="J67" t="n">
        <v>0</v>
      </c>
      <c r="K67" t="n">
        <v>0</v>
      </c>
      <c r="L67" t="n">
        <v>0</v>
      </c>
      <c r="M67" t="n">
        <v>0</v>
      </c>
      <c r="N67" t="n">
        <v>0</v>
      </c>
      <c r="O67" t="n">
        <v>0</v>
      </c>
      <c r="P67" t="n">
        <v>0</v>
      </c>
      <c r="Q67" t="n">
        <v>2</v>
      </c>
      <c r="R67" s="2" t="inlineStr">
        <is>
          <t>Vanlig padda
Blåsippa</t>
        </is>
      </c>
      <c r="S67">
        <f>HYPERLINK("https://klasma.github.io/Logging_0380/artfynd/A 9401-2025 artfynd.xlsx", "A 9401-2025")</f>
        <v/>
      </c>
      <c r="T67">
        <f>HYPERLINK("https://klasma.github.io/Logging_0380/kartor/A 9401-2025 karta.png", "A 9401-2025")</f>
        <v/>
      </c>
      <c r="V67">
        <f>HYPERLINK("https://klasma.github.io/Logging_0380/klagomål/A 9401-2025 FSC-klagomål.docx", "A 9401-2025")</f>
        <v/>
      </c>
      <c r="W67">
        <f>HYPERLINK("https://klasma.github.io/Logging_0380/klagomålsmail/A 9401-2025 FSC-klagomål mail.docx", "A 9401-2025")</f>
        <v/>
      </c>
      <c r="X67">
        <f>HYPERLINK("https://klasma.github.io/Logging_0380/tillsyn/A 9401-2025 tillsynsbegäran.docx", "A 9401-2025")</f>
        <v/>
      </c>
      <c r="Y67">
        <f>HYPERLINK("https://klasma.github.io/Logging_0380/tillsynsmail/A 9401-2025 tillsynsbegäran mail.docx", "A 9401-2025")</f>
        <v/>
      </c>
    </row>
    <row r="68" ht="15" customHeight="1">
      <c r="A68" t="inlineStr">
        <is>
          <t>A 58906-2021</t>
        </is>
      </c>
      <c r="B68" s="1" t="n">
        <v>44489</v>
      </c>
      <c r="C68" s="1" t="n">
        <v>45884</v>
      </c>
      <c r="D68" t="inlineStr">
        <is>
          <t>UPPSALA LÄN</t>
        </is>
      </c>
      <c r="E68" t="inlineStr">
        <is>
          <t>UPPSALA</t>
        </is>
      </c>
      <c r="G68" t="n">
        <v>8.6</v>
      </c>
      <c r="H68" t="n">
        <v>1</v>
      </c>
      <c r="I68" t="n">
        <v>0</v>
      </c>
      <c r="J68" t="n">
        <v>1</v>
      </c>
      <c r="K68" t="n">
        <v>0</v>
      </c>
      <c r="L68" t="n">
        <v>0</v>
      </c>
      <c r="M68" t="n">
        <v>0</v>
      </c>
      <c r="N68" t="n">
        <v>0</v>
      </c>
      <c r="O68" t="n">
        <v>1</v>
      </c>
      <c r="P68" t="n">
        <v>0</v>
      </c>
      <c r="Q68" t="n">
        <v>2</v>
      </c>
      <c r="R68" s="2" t="inlineStr">
        <is>
          <t>Ullticka
Tjäder</t>
        </is>
      </c>
      <c r="S68">
        <f>HYPERLINK("https://klasma.github.io/Logging_0380/artfynd/A 58906-2021 artfynd.xlsx", "A 58906-2021")</f>
        <v/>
      </c>
      <c r="T68">
        <f>HYPERLINK("https://klasma.github.io/Logging_0380/kartor/A 58906-2021 karta.png", "A 58906-2021")</f>
        <v/>
      </c>
      <c r="V68">
        <f>HYPERLINK("https://klasma.github.io/Logging_0380/klagomål/A 58906-2021 FSC-klagomål.docx", "A 58906-2021")</f>
        <v/>
      </c>
      <c r="W68">
        <f>HYPERLINK("https://klasma.github.io/Logging_0380/klagomålsmail/A 58906-2021 FSC-klagomål mail.docx", "A 58906-2021")</f>
        <v/>
      </c>
      <c r="X68">
        <f>HYPERLINK("https://klasma.github.io/Logging_0380/tillsyn/A 58906-2021 tillsynsbegäran.docx", "A 58906-2021")</f>
        <v/>
      </c>
      <c r="Y68">
        <f>HYPERLINK("https://klasma.github.io/Logging_0380/tillsynsmail/A 58906-2021 tillsynsbegäran mail.docx", "A 58906-2021")</f>
        <v/>
      </c>
      <c r="Z68">
        <f>HYPERLINK("https://klasma.github.io/Logging_0380/fåglar/A 58906-2021 prioriterade fågelarter.docx", "A 58906-2021")</f>
        <v/>
      </c>
    </row>
    <row r="69" ht="15" customHeight="1">
      <c r="A69" t="inlineStr">
        <is>
          <t>A 8865-2022</t>
        </is>
      </c>
      <c r="B69" s="1" t="n">
        <v>44614</v>
      </c>
      <c r="C69" s="1" t="n">
        <v>45884</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45884</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45884</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45884</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58050-2021</t>
        </is>
      </c>
      <c r="B73" s="1" t="n">
        <v>44487</v>
      </c>
      <c r="C73" s="1" t="n">
        <v>45884</v>
      </c>
      <c r="D73" t="inlineStr">
        <is>
          <t>UPPSALA LÄN</t>
        </is>
      </c>
      <c r="E73" t="inlineStr">
        <is>
          <t>UPPSALA</t>
        </is>
      </c>
      <c r="G73" t="n">
        <v>4.4</v>
      </c>
      <c r="H73" t="n">
        <v>0</v>
      </c>
      <c r="I73" t="n">
        <v>0</v>
      </c>
      <c r="J73" t="n">
        <v>1</v>
      </c>
      <c r="K73" t="n">
        <v>0</v>
      </c>
      <c r="L73" t="n">
        <v>0</v>
      </c>
      <c r="M73" t="n">
        <v>0</v>
      </c>
      <c r="N73" t="n">
        <v>0</v>
      </c>
      <c r="O73" t="n">
        <v>1</v>
      </c>
      <c r="P73" t="n">
        <v>0</v>
      </c>
      <c r="Q73" t="n">
        <v>1</v>
      </c>
      <c r="R73" s="2" t="inlineStr">
        <is>
          <t>Ullticka</t>
        </is>
      </c>
      <c r="S73">
        <f>HYPERLINK("https://klasma.github.io/Logging_0380/artfynd/A 58050-2021 artfynd.xlsx", "A 58050-2021")</f>
        <v/>
      </c>
      <c r="T73">
        <f>HYPERLINK("https://klasma.github.io/Logging_0380/kartor/A 58050-2021 karta.png", "A 58050-2021")</f>
        <v/>
      </c>
      <c r="V73">
        <f>HYPERLINK("https://klasma.github.io/Logging_0380/klagomål/A 58050-2021 FSC-klagomål.docx", "A 58050-2021")</f>
        <v/>
      </c>
      <c r="W73">
        <f>HYPERLINK("https://klasma.github.io/Logging_0380/klagomålsmail/A 58050-2021 FSC-klagomål mail.docx", "A 58050-2021")</f>
        <v/>
      </c>
      <c r="X73">
        <f>HYPERLINK("https://klasma.github.io/Logging_0380/tillsyn/A 58050-2021 tillsynsbegäran.docx", "A 58050-2021")</f>
        <v/>
      </c>
      <c r="Y73">
        <f>HYPERLINK("https://klasma.github.io/Logging_0380/tillsynsmail/A 58050-2021 tillsynsbegäran mail.docx", "A 58050-2021")</f>
        <v/>
      </c>
    </row>
    <row r="74" ht="15" customHeight="1">
      <c r="A74" t="inlineStr">
        <is>
          <t>A 18624-2025</t>
        </is>
      </c>
      <c r="B74" s="1" t="n">
        <v>45763.52524305556</v>
      </c>
      <c r="C74" s="1" t="n">
        <v>45884</v>
      </c>
      <c r="D74" t="inlineStr">
        <is>
          <t>UPPSALA LÄN</t>
        </is>
      </c>
      <c r="E74" t="inlineStr">
        <is>
          <t>UPPSALA</t>
        </is>
      </c>
      <c r="G74" t="n">
        <v>5</v>
      </c>
      <c r="H74" t="n">
        <v>0</v>
      </c>
      <c r="I74" t="n">
        <v>1</v>
      </c>
      <c r="J74" t="n">
        <v>0</v>
      </c>
      <c r="K74" t="n">
        <v>0</v>
      </c>
      <c r="L74" t="n">
        <v>0</v>
      </c>
      <c r="M74" t="n">
        <v>0</v>
      </c>
      <c r="N74" t="n">
        <v>0</v>
      </c>
      <c r="O74" t="n">
        <v>0</v>
      </c>
      <c r="P74" t="n">
        <v>0</v>
      </c>
      <c r="Q74" t="n">
        <v>1</v>
      </c>
      <c r="R74" s="2" t="inlineStr">
        <is>
          <t>Blåmossa</t>
        </is>
      </c>
      <c r="S74">
        <f>HYPERLINK("https://klasma.github.io/Logging_0380/artfynd/A 18624-2025 artfynd.xlsx", "A 18624-2025")</f>
        <v/>
      </c>
      <c r="T74">
        <f>HYPERLINK("https://klasma.github.io/Logging_0380/kartor/A 18624-2025 karta.png", "A 18624-2025")</f>
        <v/>
      </c>
      <c r="V74">
        <f>HYPERLINK("https://klasma.github.io/Logging_0380/klagomål/A 18624-2025 FSC-klagomål.docx", "A 18624-2025")</f>
        <v/>
      </c>
      <c r="W74">
        <f>HYPERLINK("https://klasma.github.io/Logging_0380/klagomålsmail/A 18624-2025 FSC-klagomål mail.docx", "A 18624-2025")</f>
        <v/>
      </c>
      <c r="X74">
        <f>HYPERLINK("https://klasma.github.io/Logging_0380/tillsyn/A 18624-2025 tillsynsbegäran.docx", "A 18624-2025")</f>
        <v/>
      </c>
      <c r="Y74">
        <f>HYPERLINK("https://klasma.github.io/Logging_0380/tillsynsmail/A 18624-2025 tillsynsbegäran mail.docx", "A 18624-2025")</f>
        <v/>
      </c>
    </row>
    <row r="75" ht="15" customHeight="1">
      <c r="A75" t="inlineStr">
        <is>
          <t>A 2729-2024</t>
        </is>
      </c>
      <c r="B75" s="1" t="n">
        <v>45314.55579861111</v>
      </c>
      <c r="C75" s="1" t="n">
        <v>45884</v>
      </c>
      <c r="D75" t="inlineStr">
        <is>
          <t>UPPSALA LÄN</t>
        </is>
      </c>
      <c r="E75" t="inlineStr">
        <is>
          <t>UPPSALA</t>
        </is>
      </c>
      <c r="G75" t="n">
        <v>3.3</v>
      </c>
      <c r="H75" t="n">
        <v>1</v>
      </c>
      <c r="I75" t="n">
        <v>0</v>
      </c>
      <c r="J75" t="n">
        <v>0</v>
      </c>
      <c r="K75" t="n">
        <v>0</v>
      </c>
      <c r="L75" t="n">
        <v>0</v>
      </c>
      <c r="M75" t="n">
        <v>0</v>
      </c>
      <c r="N75" t="n">
        <v>0</v>
      </c>
      <c r="O75" t="n">
        <v>0</v>
      </c>
      <c r="P75" t="n">
        <v>0</v>
      </c>
      <c r="Q75" t="n">
        <v>1</v>
      </c>
      <c r="R75" s="2" t="inlineStr">
        <is>
          <t>Revlummer</t>
        </is>
      </c>
      <c r="S75">
        <f>HYPERLINK("https://klasma.github.io/Logging_0380/artfynd/A 2729-2024 artfynd.xlsx", "A 2729-2024")</f>
        <v/>
      </c>
      <c r="T75">
        <f>HYPERLINK("https://klasma.github.io/Logging_0380/kartor/A 2729-2024 karta.png", "A 2729-2024")</f>
        <v/>
      </c>
      <c r="V75">
        <f>HYPERLINK("https://klasma.github.io/Logging_0380/klagomål/A 2729-2024 FSC-klagomål.docx", "A 2729-2024")</f>
        <v/>
      </c>
      <c r="W75">
        <f>HYPERLINK("https://klasma.github.io/Logging_0380/klagomålsmail/A 2729-2024 FSC-klagomål mail.docx", "A 2729-2024")</f>
        <v/>
      </c>
      <c r="X75">
        <f>HYPERLINK("https://klasma.github.io/Logging_0380/tillsyn/A 2729-2024 tillsynsbegäran.docx", "A 2729-2024")</f>
        <v/>
      </c>
      <c r="Y75">
        <f>HYPERLINK("https://klasma.github.io/Logging_0380/tillsynsmail/A 2729-2024 tillsynsbegäran mail.docx", "A 2729-2024")</f>
        <v/>
      </c>
    </row>
    <row r="76" ht="15" customHeight="1">
      <c r="A76" t="inlineStr">
        <is>
          <t>A 9206-2024</t>
        </is>
      </c>
      <c r="B76" s="1" t="n">
        <v>45358</v>
      </c>
      <c r="C76" s="1" t="n">
        <v>45884</v>
      </c>
      <c r="D76" t="inlineStr">
        <is>
          <t>UPPSALA LÄN</t>
        </is>
      </c>
      <c r="E76" t="inlineStr">
        <is>
          <t>UPPSALA</t>
        </is>
      </c>
      <c r="F76" t="inlineStr">
        <is>
          <t>Allmännings- och besparingsskogar</t>
        </is>
      </c>
      <c r="G76" t="n">
        <v>22.2</v>
      </c>
      <c r="H76" t="n">
        <v>1</v>
      </c>
      <c r="I76" t="n">
        <v>0</v>
      </c>
      <c r="J76" t="n">
        <v>0</v>
      </c>
      <c r="K76" t="n">
        <v>1</v>
      </c>
      <c r="L76" t="n">
        <v>0</v>
      </c>
      <c r="M76" t="n">
        <v>0</v>
      </c>
      <c r="N76" t="n">
        <v>0</v>
      </c>
      <c r="O76" t="n">
        <v>1</v>
      </c>
      <c r="P76" t="n">
        <v>1</v>
      </c>
      <c r="Q76" t="n">
        <v>1</v>
      </c>
      <c r="R76" s="2" t="inlineStr">
        <is>
          <t>Knärot</t>
        </is>
      </c>
      <c r="S76">
        <f>HYPERLINK("https://klasma.github.io/Logging_0380/artfynd/A 9206-2024 artfynd.xlsx", "A 9206-2024")</f>
        <v/>
      </c>
      <c r="T76">
        <f>HYPERLINK("https://klasma.github.io/Logging_0380/kartor/A 9206-2024 karta.png", "A 9206-2024")</f>
        <v/>
      </c>
      <c r="U76">
        <f>HYPERLINK("https://klasma.github.io/Logging_0380/knärot/A 9206-2024 karta knärot.png", "A 9206-2024")</f>
        <v/>
      </c>
      <c r="V76">
        <f>HYPERLINK("https://klasma.github.io/Logging_0380/klagomål/A 9206-2024 FSC-klagomål.docx", "A 9206-2024")</f>
        <v/>
      </c>
      <c r="W76">
        <f>HYPERLINK("https://klasma.github.io/Logging_0380/klagomålsmail/A 9206-2024 FSC-klagomål mail.docx", "A 9206-2024")</f>
        <v/>
      </c>
      <c r="X76">
        <f>HYPERLINK("https://klasma.github.io/Logging_0380/tillsyn/A 9206-2024 tillsynsbegäran.docx", "A 9206-2024")</f>
        <v/>
      </c>
      <c r="Y76">
        <f>HYPERLINK("https://klasma.github.io/Logging_0380/tillsynsmail/A 9206-2024 tillsynsbegäran mail.docx", "A 9206-2024")</f>
        <v/>
      </c>
    </row>
    <row r="77" ht="15" customHeight="1">
      <c r="A77" t="inlineStr">
        <is>
          <t>A 29906-2023</t>
        </is>
      </c>
      <c r="B77" s="1" t="n">
        <v>45107</v>
      </c>
      <c r="C77" s="1" t="n">
        <v>45884</v>
      </c>
      <c r="D77" t="inlineStr">
        <is>
          <t>UPPSALA LÄN</t>
        </is>
      </c>
      <c r="E77" t="inlineStr">
        <is>
          <t>UPPSALA</t>
        </is>
      </c>
      <c r="F77" t="inlineStr">
        <is>
          <t>Kyrkan</t>
        </is>
      </c>
      <c r="G77" t="n">
        <v>0.5</v>
      </c>
      <c r="H77" t="n">
        <v>0</v>
      </c>
      <c r="I77" t="n">
        <v>1</v>
      </c>
      <c r="J77" t="n">
        <v>0</v>
      </c>
      <c r="K77" t="n">
        <v>0</v>
      </c>
      <c r="L77" t="n">
        <v>0</v>
      </c>
      <c r="M77" t="n">
        <v>0</v>
      </c>
      <c r="N77" t="n">
        <v>0</v>
      </c>
      <c r="O77" t="n">
        <v>0</v>
      </c>
      <c r="P77" t="n">
        <v>0</v>
      </c>
      <c r="Q77" t="n">
        <v>1</v>
      </c>
      <c r="R77" s="2" t="inlineStr">
        <is>
          <t>Sotriska</t>
        </is>
      </c>
      <c r="S77">
        <f>HYPERLINK("https://klasma.github.io/Logging_0380/artfynd/A 29906-2023 artfynd.xlsx", "A 29906-2023")</f>
        <v/>
      </c>
      <c r="T77">
        <f>HYPERLINK("https://klasma.github.io/Logging_0380/kartor/A 29906-2023 karta.png", "A 29906-2023")</f>
        <v/>
      </c>
      <c r="V77">
        <f>HYPERLINK("https://klasma.github.io/Logging_0380/klagomål/A 29906-2023 FSC-klagomål.docx", "A 29906-2023")</f>
        <v/>
      </c>
      <c r="W77">
        <f>HYPERLINK("https://klasma.github.io/Logging_0380/klagomålsmail/A 29906-2023 FSC-klagomål mail.docx", "A 29906-2023")</f>
        <v/>
      </c>
      <c r="X77">
        <f>HYPERLINK("https://klasma.github.io/Logging_0380/tillsyn/A 29906-2023 tillsynsbegäran.docx", "A 29906-2023")</f>
        <v/>
      </c>
      <c r="Y77">
        <f>HYPERLINK("https://klasma.github.io/Logging_0380/tillsynsmail/A 29906-2023 tillsynsbegäran mail.docx", "A 29906-2023")</f>
        <v/>
      </c>
    </row>
    <row r="78" ht="15" customHeight="1">
      <c r="A78" t="inlineStr">
        <is>
          <t>A 61818-2022</t>
        </is>
      </c>
      <c r="B78" s="1" t="n">
        <v>44917</v>
      </c>
      <c r="C78" s="1" t="n">
        <v>45884</v>
      </c>
      <c r="D78" t="inlineStr">
        <is>
          <t>UPPSALA LÄN</t>
        </is>
      </c>
      <c r="E78" t="inlineStr">
        <is>
          <t>UPPSALA</t>
        </is>
      </c>
      <c r="F78" t="inlineStr">
        <is>
          <t>Holmen skog AB</t>
        </is>
      </c>
      <c r="G78" t="n">
        <v>0.8</v>
      </c>
      <c r="H78" t="n">
        <v>0</v>
      </c>
      <c r="I78" t="n">
        <v>0</v>
      </c>
      <c r="J78" t="n">
        <v>1</v>
      </c>
      <c r="K78" t="n">
        <v>0</v>
      </c>
      <c r="L78" t="n">
        <v>0</v>
      </c>
      <c r="M78" t="n">
        <v>0</v>
      </c>
      <c r="N78" t="n">
        <v>0</v>
      </c>
      <c r="O78" t="n">
        <v>1</v>
      </c>
      <c r="P78" t="n">
        <v>0</v>
      </c>
      <c r="Q78" t="n">
        <v>1</v>
      </c>
      <c r="R78" s="2" t="inlineStr">
        <is>
          <t>Blekticka</t>
        </is>
      </c>
      <c r="S78">
        <f>HYPERLINK("https://klasma.github.io/Logging_0380/artfynd/A 61818-2022 artfynd.xlsx", "A 61818-2022")</f>
        <v/>
      </c>
      <c r="T78">
        <f>HYPERLINK("https://klasma.github.io/Logging_0380/kartor/A 61818-2022 karta.png", "A 61818-2022")</f>
        <v/>
      </c>
      <c r="V78">
        <f>HYPERLINK("https://klasma.github.io/Logging_0380/klagomål/A 61818-2022 FSC-klagomål.docx", "A 61818-2022")</f>
        <v/>
      </c>
      <c r="W78">
        <f>HYPERLINK("https://klasma.github.io/Logging_0380/klagomålsmail/A 61818-2022 FSC-klagomål mail.docx", "A 61818-2022")</f>
        <v/>
      </c>
      <c r="X78">
        <f>HYPERLINK("https://klasma.github.io/Logging_0380/tillsyn/A 61818-2022 tillsynsbegäran.docx", "A 61818-2022")</f>
        <v/>
      </c>
      <c r="Y78">
        <f>HYPERLINK("https://klasma.github.io/Logging_0380/tillsynsmail/A 61818-2022 tillsynsbegäran mail.docx", "A 61818-2022")</f>
        <v/>
      </c>
    </row>
    <row r="79" ht="15" customHeight="1">
      <c r="A79" t="inlineStr">
        <is>
          <t>A 43192-2020</t>
        </is>
      </c>
      <c r="B79" s="1" t="n">
        <v>44081</v>
      </c>
      <c r="C79" s="1" t="n">
        <v>45884</v>
      </c>
      <c r="D79" t="inlineStr">
        <is>
          <t>UPPSALA LÄN</t>
        </is>
      </c>
      <c r="E79" t="inlineStr">
        <is>
          <t>UPPSALA</t>
        </is>
      </c>
      <c r="G79" t="n">
        <v>16.5</v>
      </c>
      <c r="H79" t="n">
        <v>0</v>
      </c>
      <c r="I79" t="n">
        <v>0</v>
      </c>
      <c r="J79" t="n">
        <v>1</v>
      </c>
      <c r="K79" t="n">
        <v>0</v>
      </c>
      <c r="L79" t="n">
        <v>0</v>
      </c>
      <c r="M79" t="n">
        <v>0</v>
      </c>
      <c r="N79" t="n">
        <v>0</v>
      </c>
      <c r="O79" t="n">
        <v>1</v>
      </c>
      <c r="P79" t="n">
        <v>0</v>
      </c>
      <c r="Q79" t="n">
        <v>1</v>
      </c>
      <c r="R79" s="2" t="inlineStr">
        <is>
          <t>Lunglav</t>
        </is>
      </c>
      <c r="S79">
        <f>HYPERLINK("https://klasma.github.io/Logging_0380/artfynd/A 43192-2020 artfynd.xlsx", "A 43192-2020")</f>
        <v/>
      </c>
      <c r="T79">
        <f>HYPERLINK("https://klasma.github.io/Logging_0380/kartor/A 43192-2020 karta.png", "A 43192-2020")</f>
        <v/>
      </c>
      <c r="V79">
        <f>HYPERLINK("https://klasma.github.io/Logging_0380/klagomål/A 43192-2020 FSC-klagomål.docx", "A 43192-2020")</f>
        <v/>
      </c>
      <c r="W79">
        <f>HYPERLINK("https://klasma.github.io/Logging_0380/klagomålsmail/A 43192-2020 FSC-klagomål mail.docx", "A 43192-2020")</f>
        <v/>
      </c>
      <c r="X79">
        <f>HYPERLINK("https://klasma.github.io/Logging_0380/tillsyn/A 43192-2020 tillsynsbegäran.docx", "A 43192-2020")</f>
        <v/>
      </c>
      <c r="Y79">
        <f>HYPERLINK("https://klasma.github.io/Logging_0380/tillsynsmail/A 43192-2020 tillsynsbegäran mail.docx", "A 43192-2020")</f>
        <v/>
      </c>
    </row>
    <row r="80" ht="15" customHeight="1">
      <c r="A80" t="inlineStr">
        <is>
          <t>A 16761-2022</t>
        </is>
      </c>
      <c r="B80" s="1" t="n">
        <v>44673.47858796296</v>
      </c>
      <c r="C80" s="1" t="n">
        <v>45884</v>
      </c>
      <c r="D80" t="inlineStr">
        <is>
          <t>UPPSALA LÄN</t>
        </is>
      </c>
      <c r="E80" t="inlineStr">
        <is>
          <t>UPPSALA</t>
        </is>
      </c>
      <c r="G80" t="n">
        <v>0.6</v>
      </c>
      <c r="H80" t="n">
        <v>1</v>
      </c>
      <c r="I80" t="n">
        <v>0</v>
      </c>
      <c r="J80" t="n">
        <v>0</v>
      </c>
      <c r="K80" t="n">
        <v>0</v>
      </c>
      <c r="L80" t="n">
        <v>0</v>
      </c>
      <c r="M80" t="n">
        <v>0</v>
      </c>
      <c r="N80" t="n">
        <v>0</v>
      </c>
      <c r="O80" t="n">
        <v>0</v>
      </c>
      <c r="P80" t="n">
        <v>0</v>
      </c>
      <c r="Q80" t="n">
        <v>1</v>
      </c>
      <c r="R80" s="2" t="inlineStr">
        <is>
          <t>Trädlärka</t>
        </is>
      </c>
      <c r="S80">
        <f>HYPERLINK("https://klasma.github.io/Logging_0380/artfynd/A 16761-2022 artfynd.xlsx", "A 16761-2022")</f>
        <v/>
      </c>
      <c r="T80">
        <f>HYPERLINK("https://klasma.github.io/Logging_0380/kartor/A 16761-2022 karta.png", "A 16761-2022")</f>
        <v/>
      </c>
      <c r="V80">
        <f>HYPERLINK("https://klasma.github.io/Logging_0380/klagomål/A 16761-2022 FSC-klagomål.docx", "A 16761-2022")</f>
        <v/>
      </c>
      <c r="W80">
        <f>HYPERLINK("https://klasma.github.io/Logging_0380/klagomålsmail/A 16761-2022 FSC-klagomål mail.docx", "A 16761-2022")</f>
        <v/>
      </c>
      <c r="X80">
        <f>HYPERLINK("https://klasma.github.io/Logging_0380/tillsyn/A 16761-2022 tillsynsbegäran.docx", "A 16761-2022")</f>
        <v/>
      </c>
      <c r="Y80">
        <f>HYPERLINK("https://klasma.github.io/Logging_0380/tillsynsmail/A 16761-2022 tillsynsbegäran mail.docx", "A 16761-2022")</f>
        <v/>
      </c>
      <c r="Z80">
        <f>HYPERLINK("https://klasma.github.io/Logging_0380/fåglar/A 16761-2022 prioriterade fågelarter.docx", "A 16761-2022")</f>
        <v/>
      </c>
    </row>
    <row r="81" ht="15" customHeight="1">
      <c r="A81" t="inlineStr">
        <is>
          <t>A 49015-2022</t>
        </is>
      </c>
      <c r="B81" s="1" t="n">
        <v>44855</v>
      </c>
      <c r="C81" s="1" t="n">
        <v>45884</v>
      </c>
      <c r="D81" t="inlineStr">
        <is>
          <t>UPPSALA LÄN</t>
        </is>
      </c>
      <c r="E81" t="inlineStr">
        <is>
          <t>UPPSALA</t>
        </is>
      </c>
      <c r="F81" t="inlineStr">
        <is>
          <t>Kommuner</t>
        </is>
      </c>
      <c r="G81" t="n">
        <v>4.5</v>
      </c>
      <c r="H81" t="n">
        <v>0</v>
      </c>
      <c r="I81" t="n">
        <v>0</v>
      </c>
      <c r="J81" t="n">
        <v>1</v>
      </c>
      <c r="K81" t="n">
        <v>0</v>
      </c>
      <c r="L81" t="n">
        <v>0</v>
      </c>
      <c r="M81" t="n">
        <v>0</v>
      </c>
      <c r="N81" t="n">
        <v>0</v>
      </c>
      <c r="O81" t="n">
        <v>1</v>
      </c>
      <c r="P81" t="n">
        <v>0</v>
      </c>
      <c r="Q81" t="n">
        <v>1</v>
      </c>
      <c r="R81" s="2" t="inlineStr">
        <is>
          <t>Harticka</t>
        </is>
      </c>
      <c r="S81">
        <f>HYPERLINK("https://klasma.github.io/Logging_0380/artfynd/A 49015-2022 artfynd.xlsx", "A 49015-2022")</f>
        <v/>
      </c>
      <c r="T81">
        <f>HYPERLINK("https://klasma.github.io/Logging_0380/kartor/A 49015-2022 karta.png", "A 49015-2022")</f>
        <v/>
      </c>
      <c r="V81">
        <f>HYPERLINK("https://klasma.github.io/Logging_0380/klagomål/A 49015-2022 FSC-klagomål.docx", "A 49015-2022")</f>
        <v/>
      </c>
      <c r="W81">
        <f>HYPERLINK("https://klasma.github.io/Logging_0380/klagomålsmail/A 49015-2022 FSC-klagomål mail.docx", "A 49015-2022")</f>
        <v/>
      </c>
      <c r="X81">
        <f>HYPERLINK("https://klasma.github.io/Logging_0380/tillsyn/A 49015-2022 tillsynsbegäran.docx", "A 49015-2022")</f>
        <v/>
      </c>
      <c r="Y81">
        <f>HYPERLINK("https://klasma.github.io/Logging_0380/tillsynsmail/A 49015-2022 tillsynsbegäran mail.docx", "A 49015-2022")</f>
        <v/>
      </c>
    </row>
    <row r="82" ht="15" customHeight="1">
      <c r="A82" t="inlineStr">
        <is>
          <t>A 844-2025</t>
        </is>
      </c>
      <c r="B82" s="1" t="n">
        <v>45665</v>
      </c>
      <c r="C82" s="1" t="n">
        <v>45884</v>
      </c>
      <c r="D82" t="inlineStr">
        <is>
          <t>UPPSALA LÄN</t>
        </is>
      </c>
      <c r="E82" t="inlineStr">
        <is>
          <t>UPPSALA</t>
        </is>
      </c>
      <c r="G82" t="n">
        <v>2.6</v>
      </c>
      <c r="H82" t="n">
        <v>1</v>
      </c>
      <c r="I82" t="n">
        <v>0</v>
      </c>
      <c r="J82" t="n">
        <v>0</v>
      </c>
      <c r="K82" t="n">
        <v>0</v>
      </c>
      <c r="L82" t="n">
        <v>0</v>
      </c>
      <c r="M82" t="n">
        <v>0</v>
      </c>
      <c r="N82" t="n">
        <v>0</v>
      </c>
      <c r="O82" t="n">
        <v>0</v>
      </c>
      <c r="P82" t="n">
        <v>0</v>
      </c>
      <c r="Q82" t="n">
        <v>1</v>
      </c>
      <c r="R82" s="2" t="inlineStr">
        <is>
          <t>Tjäder</t>
        </is>
      </c>
      <c r="S82">
        <f>HYPERLINK("https://klasma.github.io/Logging_0380/artfynd/A 844-2025 artfynd.xlsx", "A 844-2025")</f>
        <v/>
      </c>
      <c r="T82">
        <f>HYPERLINK("https://klasma.github.io/Logging_0380/kartor/A 844-2025 karta.png", "A 844-2025")</f>
        <v/>
      </c>
      <c r="V82">
        <f>HYPERLINK("https://klasma.github.io/Logging_0380/klagomål/A 844-2025 FSC-klagomål.docx", "A 844-2025")</f>
        <v/>
      </c>
      <c r="W82">
        <f>HYPERLINK("https://klasma.github.io/Logging_0380/klagomålsmail/A 844-2025 FSC-klagomål mail.docx", "A 844-2025")</f>
        <v/>
      </c>
      <c r="X82">
        <f>HYPERLINK("https://klasma.github.io/Logging_0380/tillsyn/A 844-2025 tillsynsbegäran.docx", "A 844-2025")</f>
        <v/>
      </c>
      <c r="Y82">
        <f>HYPERLINK("https://klasma.github.io/Logging_0380/tillsynsmail/A 844-2025 tillsynsbegäran mail.docx", "A 844-2025")</f>
        <v/>
      </c>
      <c r="Z82">
        <f>HYPERLINK("https://klasma.github.io/Logging_0380/fåglar/A 844-2025 prioriterade fågelarter.docx", "A 844-2025")</f>
        <v/>
      </c>
    </row>
    <row r="83" ht="15" customHeight="1">
      <c r="A83" t="inlineStr">
        <is>
          <t>A 5009-2023</t>
        </is>
      </c>
      <c r="B83" s="1" t="n">
        <v>44958</v>
      </c>
      <c r="C83" s="1" t="n">
        <v>45884</v>
      </c>
      <c r="D83" t="inlineStr">
        <is>
          <t>UPPSALA LÄN</t>
        </is>
      </c>
      <c r="E83" t="inlineStr">
        <is>
          <t>UPPSALA</t>
        </is>
      </c>
      <c r="G83" t="n">
        <v>4.7</v>
      </c>
      <c r="H83" t="n">
        <v>1</v>
      </c>
      <c r="I83" t="n">
        <v>0</v>
      </c>
      <c r="J83" t="n">
        <v>0</v>
      </c>
      <c r="K83" t="n">
        <v>0</v>
      </c>
      <c r="L83" t="n">
        <v>0</v>
      </c>
      <c r="M83" t="n">
        <v>0</v>
      </c>
      <c r="N83" t="n">
        <v>0</v>
      </c>
      <c r="O83" t="n">
        <v>0</v>
      </c>
      <c r="P83" t="n">
        <v>0</v>
      </c>
      <c r="Q83" t="n">
        <v>1</v>
      </c>
      <c r="R83" s="2" t="inlineStr">
        <is>
          <t>Blåsippa</t>
        </is>
      </c>
      <c r="S83">
        <f>HYPERLINK("https://klasma.github.io/Logging_0380/artfynd/A 5009-2023 artfynd.xlsx", "A 5009-2023")</f>
        <v/>
      </c>
      <c r="T83">
        <f>HYPERLINK("https://klasma.github.io/Logging_0380/kartor/A 5009-2023 karta.png", "A 5009-2023")</f>
        <v/>
      </c>
      <c r="V83">
        <f>HYPERLINK("https://klasma.github.io/Logging_0380/klagomål/A 5009-2023 FSC-klagomål.docx", "A 5009-2023")</f>
        <v/>
      </c>
      <c r="W83">
        <f>HYPERLINK("https://klasma.github.io/Logging_0380/klagomålsmail/A 5009-2023 FSC-klagomål mail.docx", "A 5009-2023")</f>
        <v/>
      </c>
      <c r="X83">
        <f>HYPERLINK("https://klasma.github.io/Logging_0380/tillsyn/A 5009-2023 tillsynsbegäran.docx", "A 5009-2023")</f>
        <v/>
      </c>
      <c r="Y83">
        <f>HYPERLINK("https://klasma.github.io/Logging_0380/tillsynsmail/A 5009-2023 tillsynsbegäran mail.docx", "A 5009-2023")</f>
        <v/>
      </c>
    </row>
    <row r="84" ht="15" customHeight="1">
      <c r="A84" t="inlineStr">
        <is>
          <t>A 18373-2025</t>
        </is>
      </c>
      <c r="B84" s="1" t="n">
        <v>45762.57244212963</v>
      </c>
      <c r="C84" s="1" t="n">
        <v>45884</v>
      </c>
      <c r="D84" t="inlineStr">
        <is>
          <t>UPPSALA LÄN</t>
        </is>
      </c>
      <c r="E84" t="inlineStr">
        <is>
          <t>UPPSALA</t>
        </is>
      </c>
      <c r="G84" t="n">
        <v>9.5</v>
      </c>
      <c r="H84" t="n">
        <v>0</v>
      </c>
      <c r="I84" t="n">
        <v>0</v>
      </c>
      <c r="J84" t="n">
        <v>1</v>
      </c>
      <c r="K84" t="n">
        <v>0</v>
      </c>
      <c r="L84" t="n">
        <v>0</v>
      </c>
      <c r="M84" t="n">
        <v>0</v>
      </c>
      <c r="N84" t="n">
        <v>0</v>
      </c>
      <c r="O84" t="n">
        <v>1</v>
      </c>
      <c r="P84" t="n">
        <v>0</v>
      </c>
      <c r="Q84" t="n">
        <v>1</v>
      </c>
      <c r="R84" s="2" t="inlineStr">
        <is>
          <t>Ullticka</t>
        </is>
      </c>
      <c r="S84">
        <f>HYPERLINK("https://klasma.github.io/Logging_0380/artfynd/A 18373-2025 artfynd.xlsx", "A 18373-2025")</f>
        <v/>
      </c>
      <c r="T84">
        <f>HYPERLINK("https://klasma.github.io/Logging_0380/kartor/A 18373-2025 karta.png", "A 18373-2025")</f>
        <v/>
      </c>
      <c r="V84">
        <f>HYPERLINK("https://klasma.github.io/Logging_0380/klagomål/A 18373-2025 FSC-klagomål.docx", "A 18373-2025")</f>
        <v/>
      </c>
      <c r="W84">
        <f>HYPERLINK("https://klasma.github.io/Logging_0380/klagomålsmail/A 18373-2025 FSC-klagomål mail.docx", "A 18373-2025")</f>
        <v/>
      </c>
      <c r="X84">
        <f>HYPERLINK("https://klasma.github.io/Logging_0380/tillsyn/A 18373-2025 tillsynsbegäran.docx", "A 18373-2025")</f>
        <v/>
      </c>
      <c r="Y84">
        <f>HYPERLINK("https://klasma.github.io/Logging_0380/tillsynsmail/A 18373-2025 tillsynsbegäran mail.docx", "A 18373-2025")</f>
        <v/>
      </c>
    </row>
    <row r="85" ht="15" customHeight="1">
      <c r="A85" t="inlineStr">
        <is>
          <t>A 25729-2024</t>
        </is>
      </c>
      <c r="B85" s="1" t="n">
        <v>45464</v>
      </c>
      <c r="C85" s="1" t="n">
        <v>45884</v>
      </c>
      <c r="D85" t="inlineStr">
        <is>
          <t>UPPSALA LÄN</t>
        </is>
      </c>
      <c r="E85" t="inlineStr">
        <is>
          <t>UPPSALA</t>
        </is>
      </c>
      <c r="G85" t="n">
        <v>22.3</v>
      </c>
      <c r="H85" t="n">
        <v>0</v>
      </c>
      <c r="I85" t="n">
        <v>0</v>
      </c>
      <c r="J85" t="n">
        <v>1</v>
      </c>
      <c r="K85" t="n">
        <v>0</v>
      </c>
      <c r="L85" t="n">
        <v>0</v>
      </c>
      <c r="M85" t="n">
        <v>0</v>
      </c>
      <c r="N85" t="n">
        <v>0</v>
      </c>
      <c r="O85" t="n">
        <v>1</v>
      </c>
      <c r="P85" t="n">
        <v>0</v>
      </c>
      <c r="Q85" t="n">
        <v>1</v>
      </c>
      <c r="R85" s="2" t="inlineStr">
        <is>
          <t>Ullticka</t>
        </is>
      </c>
      <c r="S85">
        <f>HYPERLINK("https://klasma.github.io/Logging_0380/artfynd/A 25729-2024 artfynd.xlsx", "A 25729-2024")</f>
        <v/>
      </c>
      <c r="T85">
        <f>HYPERLINK("https://klasma.github.io/Logging_0380/kartor/A 25729-2024 karta.png", "A 25729-2024")</f>
        <v/>
      </c>
      <c r="V85">
        <f>HYPERLINK("https://klasma.github.io/Logging_0380/klagomål/A 25729-2024 FSC-klagomål.docx", "A 25729-2024")</f>
        <v/>
      </c>
      <c r="W85">
        <f>HYPERLINK("https://klasma.github.io/Logging_0380/klagomålsmail/A 25729-2024 FSC-klagomål mail.docx", "A 25729-2024")</f>
        <v/>
      </c>
      <c r="X85">
        <f>HYPERLINK("https://klasma.github.io/Logging_0380/tillsyn/A 25729-2024 tillsynsbegäran.docx", "A 25729-2024")</f>
        <v/>
      </c>
      <c r="Y85">
        <f>HYPERLINK("https://klasma.github.io/Logging_0380/tillsynsmail/A 25729-2024 tillsynsbegäran mail.docx", "A 25729-2024")</f>
        <v/>
      </c>
    </row>
    <row r="86" ht="15" customHeight="1">
      <c r="A86" t="inlineStr">
        <is>
          <t>A 29902-2023</t>
        </is>
      </c>
      <c r="B86" s="1" t="n">
        <v>45107</v>
      </c>
      <c r="C86" s="1" t="n">
        <v>45884</v>
      </c>
      <c r="D86" t="inlineStr">
        <is>
          <t>UPPSALA LÄN</t>
        </is>
      </c>
      <c r="E86" t="inlineStr">
        <is>
          <t>UPPSALA</t>
        </is>
      </c>
      <c r="F86" t="inlineStr">
        <is>
          <t>Kyrkan</t>
        </is>
      </c>
      <c r="G86" t="n">
        <v>10.6</v>
      </c>
      <c r="H86" t="n">
        <v>1</v>
      </c>
      <c r="I86" t="n">
        <v>0</v>
      </c>
      <c r="J86" t="n">
        <v>1</v>
      </c>
      <c r="K86" t="n">
        <v>0</v>
      </c>
      <c r="L86" t="n">
        <v>0</v>
      </c>
      <c r="M86" t="n">
        <v>0</v>
      </c>
      <c r="N86" t="n">
        <v>0</v>
      </c>
      <c r="O86" t="n">
        <v>1</v>
      </c>
      <c r="P86" t="n">
        <v>0</v>
      </c>
      <c r="Q86" t="n">
        <v>1</v>
      </c>
      <c r="R86" s="2" t="inlineStr">
        <is>
          <t>Järpe</t>
        </is>
      </c>
      <c r="S86">
        <f>HYPERLINK("https://klasma.github.io/Logging_0380/artfynd/A 29902-2023 artfynd.xlsx", "A 29902-2023")</f>
        <v/>
      </c>
      <c r="T86">
        <f>HYPERLINK("https://klasma.github.io/Logging_0380/kartor/A 29902-2023 karta.png", "A 29902-2023")</f>
        <v/>
      </c>
      <c r="V86">
        <f>HYPERLINK("https://klasma.github.io/Logging_0380/klagomål/A 29902-2023 FSC-klagomål.docx", "A 29902-2023")</f>
        <v/>
      </c>
      <c r="W86">
        <f>HYPERLINK("https://klasma.github.io/Logging_0380/klagomålsmail/A 29902-2023 FSC-klagomål mail.docx", "A 29902-2023")</f>
        <v/>
      </c>
      <c r="X86">
        <f>HYPERLINK("https://klasma.github.io/Logging_0380/tillsyn/A 29902-2023 tillsynsbegäran.docx", "A 29902-2023")</f>
        <v/>
      </c>
      <c r="Y86">
        <f>HYPERLINK("https://klasma.github.io/Logging_0380/tillsynsmail/A 29902-2023 tillsynsbegäran mail.docx", "A 29902-2023")</f>
        <v/>
      </c>
      <c r="Z86">
        <f>HYPERLINK("https://klasma.github.io/Logging_0380/fåglar/A 29902-2023 prioriterade fågelarter.docx", "A 29902-2023")</f>
        <v/>
      </c>
    </row>
    <row r="87" ht="15" customHeight="1">
      <c r="A87" t="inlineStr">
        <is>
          <t>A 52849-2021</t>
        </is>
      </c>
      <c r="B87" s="1" t="n">
        <v>44467</v>
      </c>
      <c r="C87" s="1" t="n">
        <v>45884</v>
      </c>
      <c r="D87" t="inlineStr">
        <is>
          <t>UPPSALA LÄN</t>
        </is>
      </c>
      <c r="E87" t="inlineStr">
        <is>
          <t>UPPSALA</t>
        </is>
      </c>
      <c r="F87" t="inlineStr">
        <is>
          <t>Övriga Aktiebolag</t>
        </is>
      </c>
      <c r="G87" t="n">
        <v>3.3</v>
      </c>
      <c r="H87" t="n">
        <v>0</v>
      </c>
      <c r="I87" t="n">
        <v>0</v>
      </c>
      <c r="J87" t="n">
        <v>1</v>
      </c>
      <c r="K87" t="n">
        <v>0</v>
      </c>
      <c r="L87" t="n">
        <v>0</v>
      </c>
      <c r="M87" t="n">
        <v>0</v>
      </c>
      <c r="N87" t="n">
        <v>0</v>
      </c>
      <c r="O87" t="n">
        <v>1</v>
      </c>
      <c r="P87" t="n">
        <v>0</v>
      </c>
      <c r="Q87" t="n">
        <v>1</v>
      </c>
      <c r="R87" s="2" t="inlineStr">
        <is>
          <t>Skogshare</t>
        </is>
      </c>
      <c r="S87">
        <f>HYPERLINK("https://klasma.github.io/Logging_0380/artfynd/A 52849-2021 artfynd.xlsx", "A 52849-2021")</f>
        <v/>
      </c>
      <c r="T87">
        <f>HYPERLINK("https://klasma.github.io/Logging_0380/kartor/A 52849-2021 karta.png", "A 52849-2021")</f>
        <v/>
      </c>
      <c r="V87">
        <f>HYPERLINK("https://klasma.github.io/Logging_0380/klagomål/A 52849-2021 FSC-klagomål.docx", "A 52849-2021")</f>
        <v/>
      </c>
      <c r="W87">
        <f>HYPERLINK("https://klasma.github.io/Logging_0380/klagomålsmail/A 52849-2021 FSC-klagomål mail.docx", "A 52849-2021")</f>
        <v/>
      </c>
      <c r="X87">
        <f>HYPERLINK("https://klasma.github.io/Logging_0380/tillsyn/A 52849-2021 tillsynsbegäran.docx", "A 52849-2021")</f>
        <v/>
      </c>
      <c r="Y87">
        <f>HYPERLINK("https://klasma.github.io/Logging_0380/tillsynsmail/A 52849-2021 tillsynsbegäran mail.docx", "A 52849-2021")</f>
        <v/>
      </c>
    </row>
    <row r="88" ht="15" customHeight="1">
      <c r="A88" t="inlineStr">
        <is>
          <t>A 39741-2023</t>
        </is>
      </c>
      <c r="B88" s="1" t="n">
        <v>45167</v>
      </c>
      <c r="C88" s="1" t="n">
        <v>45884</v>
      </c>
      <c r="D88" t="inlineStr">
        <is>
          <t>UPPSALA LÄN</t>
        </is>
      </c>
      <c r="E88" t="inlineStr">
        <is>
          <t>UPPSALA</t>
        </is>
      </c>
      <c r="G88" t="n">
        <v>5.6</v>
      </c>
      <c r="H88" t="n">
        <v>1</v>
      </c>
      <c r="I88" t="n">
        <v>0</v>
      </c>
      <c r="J88" t="n">
        <v>1</v>
      </c>
      <c r="K88" t="n">
        <v>0</v>
      </c>
      <c r="L88" t="n">
        <v>0</v>
      </c>
      <c r="M88" t="n">
        <v>0</v>
      </c>
      <c r="N88" t="n">
        <v>0</v>
      </c>
      <c r="O88" t="n">
        <v>1</v>
      </c>
      <c r="P88" t="n">
        <v>0</v>
      </c>
      <c r="Q88" t="n">
        <v>1</v>
      </c>
      <c r="R88" s="2" t="inlineStr">
        <is>
          <t>Entita</t>
        </is>
      </c>
      <c r="S88">
        <f>HYPERLINK("https://klasma.github.io/Logging_0380/artfynd/A 39741-2023 artfynd.xlsx", "A 39741-2023")</f>
        <v/>
      </c>
      <c r="T88">
        <f>HYPERLINK("https://klasma.github.io/Logging_0380/kartor/A 39741-2023 karta.png", "A 39741-2023")</f>
        <v/>
      </c>
      <c r="V88">
        <f>HYPERLINK("https://klasma.github.io/Logging_0380/klagomål/A 39741-2023 FSC-klagomål.docx", "A 39741-2023")</f>
        <v/>
      </c>
      <c r="W88">
        <f>HYPERLINK("https://klasma.github.io/Logging_0380/klagomålsmail/A 39741-2023 FSC-klagomål mail.docx", "A 39741-2023")</f>
        <v/>
      </c>
      <c r="X88">
        <f>HYPERLINK("https://klasma.github.io/Logging_0380/tillsyn/A 39741-2023 tillsynsbegäran.docx", "A 39741-2023")</f>
        <v/>
      </c>
      <c r="Y88">
        <f>HYPERLINK("https://klasma.github.io/Logging_0380/tillsynsmail/A 39741-2023 tillsynsbegäran mail.docx", "A 39741-2023")</f>
        <v/>
      </c>
      <c r="Z88">
        <f>HYPERLINK("https://klasma.github.io/Logging_0380/fåglar/A 39741-2023 prioriterade fågelarter.docx", "A 39741-2023")</f>
        <v/>
      </c>
    </row>
    <row r="89" ht="15" customHeight="1">
      <c r="A89" t="inlineStr">
        <is>
          <t>A 60055-2022</t>
        </is>
      </c>
      <c r="B89" s="1" t="n">
        <v>44909</v>
      </c>
      <c r="C89" s="1" t="n">
        <v>45884</v>
      </c>
      <c r="D89" t="inlineStr">
        <is>
          <t>UPPSALA LÄN</t>
        </is>
      </c>
      <c r="E89" t="inlineStr">
        <is>
          <t>UPPSALA</t>
        </is>
      </c>
      <c r="G89" t="n">
        <v>11.4</v>
      </c>
      <c r="H89" t="n">
        <v>1</v>
      </c>
      <c r="I89" t="n">
        <v>0</v>
      </c>
      <c r="J89" t="n">
        <v>0</v>
      </c>
      <c r="K89" t="n">
        <v>0</v>
      </c>
      <c r="L89" t="n">
        <v>0</v>
      </c>
      <c r="M89" t="n">
        <v>0</v>
      </c>
      <c r="N89" t="n">
        <v>0</v>
      </c>
      <c r="O89" t="n">
        <v>0</v>
      </c>
      <c r="P89" t="n">
        <v>0</v>
      </c>
      <c r="Q89" t="n">
        <v>1</v>
      </c>
      <c r="R89" s="2" t="inlineStr">
        <is>
          <t>Tjäder</t>
        </is>
      </c>
      <c r="S89">
        <f>HYPERLINK("https://klasma.github.io/Logging_0380/artfynd/A 60055-2022 artfynd.xlsx", "A 60055-2022")</f>
        <v/>
      </c>
      <c r="T89">
        <f>HYPERLINK("https://klasma.github.io/Logging_0380/kartor/A 60055-2022 karta.png", "A 60055-2022")</f>
        <v/>
      </c>
      <c r="V89">
        <f>HYPERLINK("https://klasma.github.io/Logging_0380/klagomål/A 60055-2022 FSC-klagomål.docx", "A 60055-2022")</f>
        <v/>
      </c>
      <c r="W89">
        <f>HYPERLINK("https://klasma.github.io/Logging_0380/klagomålsmail/A 60055-2022 FSC-klagomål mail.docx", "A 60055-2022")</f>
        <v/>
      </c>
      <c r="X89">
        <f>HYPERLINK("https://klasma.github.io/Logging_0380/tillsyn/A 60055-2022 tillsynsbegäran.docx", "A 60055-2022")</f>
        <v/>
      </c>
      <c r="Y89">
        <f>HYPERLINK("https://klasma.github.io/Logging_0380/tillsynsmail/A 60055-2022 tillsynsbegäran mail.docx", "A 60055-2022")</f>
        <v/>
      </c>
      <c r="Z89">
        <f>HYPERLINK("https://klasma.github.io/Logging_0380/fåglar/A 60055-2022 prioriterade fågelarter.docx", "A 60055-2022")</f>
        <v/>
      </c>
    </row>
    <row r="90" ht="15" customHeight="1">
      <c r="A90" t="inlineStr">
        <is>
          <t>A 63172-2023</t>
        </is>
      </c>
      <c r="B90" s="1" t="n">
        <v>45273</v>
      </c>
      <c r="C90" s="1" t="n">
        <v>45884</v>
      </c>
      <c r="D90" t="inlineStr">
        <is>
          <t>UPPSALA LÄN</t>
        </is>
      </c>
      <c r="E90" t="inlineStr">
        <is>
          <t>UPPSALA</t>
        </is>
      </c>
      <c r="G90" t="n">
        <v>1.8</v>
      </c>
      <c r="H90" t="n">
        <v>0</v>
      </c>
      <c r="I90" t="n">
        <v>1</v>
      </c>
      <c r="J90" t="n">
        <v>0</v>
      </c>
      <c r="K90" t="n">
        <v>0</v>
      </c>
      <c r="L90" t="n">
        <v>0</v>
      </c>
      <c r="M90" t="n">
        <v>0</v>
      </c>
      <c r="N90" t="n">
        <v>0</v>
      </c>
      <c r="O90" t="n">
        <v>0</v>
      </c>
      <c r="P90" t="n">
        <v>0</v>
      </c>
      <c r="Q90" t="n">
        <v>1</v>
      </c>
      <c r="R90" s="2" t="inlineStr">
        <is>
          <t>Ögonpyrola</t>
        </is>
      </c>
      <c r="S90">
        <f>HYPERLINK("https://klasma.github.io/Logging_0380/artfynd/A 63172-2023 artfynd.xlsx", "A 63172-2023")</f>
        <v/>
      </c>
      <c r="T90">
        <f>HYPERLINK("https://klasma.github.io/Logging_0380/kartor/A 63172-2023 karta.png", "A 63172-2023")</f>
        <v/>
      </c>
      <c r="V90">
        <f>HYPERLINK("https://klasma.github.io/Logging_0380/klagomål/A 63172-2023 FSC-klagomål.docx", "A 63172-2023")</f>
        <v/>
      </c>
      <c r="W90">
        <f>HYPERLINK("https://klasma.github.io/Logging_0380/klagomålsmail/A 63172-2023 FSC-klagomål mail.docx", "A 63172-2023")</f>
        <v/>
      </c>
      <c r="X90">
        <f>HYPERLINK("https://klasma.github.io/Logging_0380/tillsyn/A 63172-2023 tillsynsbegäran.docx", "A 63172-2023")</f>
        <v/>
      </c>
      <c r="Y90">
        <f>HYPERLINK("https://klasma.github.io/Logging_0380/tillsynsmail/A 63172-2023 tillsynsbegäran mail.docx", "A 63172-2023")</f>
        <v/>
      </c>
    </row>
    <row r="91" ht="15" customHeight="1">
      <c r="A91" t="inlineStr">
        <is>
          <t>A 17484-2025</t>
        </is>
      </c>
      <c r="B91" s="1" t="n">
        <v>45757.49934027778</v>
      </c>
      <c r="C91" s="1" t="n">
        <v>45884</v>
      </c>
      <c r="D91" t="inlineStr">
        <is>
          <t>UPPSALA LÄN</t>
        </is>
      </c>
      <c r="E91" t="inlineStr">
        <is>
          <t>UPPSALA</t>
        </is>
      </c>
      <c r="G91" t="n">
        <v>13.1</v>
      </c>
      <c r="H91" t="n">
        <v>1</v>
      </c>
      <c r="I91" t="n">
        <v>0</v>
      </c>
      <c r="J91" t="n">
        <v>0</v>
      </c>
      <c r="K91" t="n">
        <v>0</v>
      </c>
      <c r="L91" t="n">
        <v>0</v>
      </c>
      <c r="M91" t="n">
        <v>0</v>
      </c>
      <c r="N91" t="n">
        <v>0</v>
      </c>
      <c r="O91" t="n">
        <v>0</v>
      </c>
      <c r="P91" t="n">
        <v>0</v>
      </c>
      <c r="Q91" t="n">
        <v>1</v>
      </c>
      <c r="R91" s="2" t="inlineStr">
        <is>
          <t>Fläcknycklar</t>
        </is>
      </c>
      <c r="S91">
        <f>HYPERLINK("https://klasma.github.io/Logging_0380/artfynd/A 17484-2025 artfynd.xlsx", "A 17484-2025")</f>
        <v/>
      </c>
      <c r="T91">
        <f>HYPERLINK("https://klasma.github.io/Logging_0380/kartor/A 17484-2025 karta.png", "A 17484-2025")</f>
        <v/>
      </c>
      <c r="V91">
        <f>HYPERLINK("https://klasma.github.io/Logging_0380/klagomål/A 17484-2025 FSC-klagomål.docx", "A 17484-2025")</f>
        <v/>
      </c>
      <c r="W91">
        <f>HYPERLINK("https://klasma.github.io/Logging_0380/klagomålsmail/A 17484-2025 FSC-klagomål mail.docx", "A 17484-2025")</f>
        <v/>
      </c>
      <c r="X91">
        <f>HYPERLINK("https://klasma.github.io/Logging_0380/tillsyn/A 17484-2025 tillsynsbegäran.docx", "A 17484-2025")</f>
        <v/>
      </c>
      <c r="Y91">
        <f>HYPERLINK("https://klasma.github.io/Logging_0380/tillsynsmail/A 17484-2025 tillsynsbegäran mail.docx", "A 17484-2025")</f>
        <v/>
      </c>
    </row>
    <row r="92" ht="15" customHeight="1">
      <c r="A92" t="inlineStr">
        <is>
          <t>A 57793-2022</t>
        </is>
      </c>
      <c r="B92" s="1" t="n">
        <v>44897</v>
      </c>
      <c r="C92" s="1" t="n">
        <v>45884</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5750-2023</t>
        </is>
      </c>
      <c r="B93" s="1" t="n">
        <v>44963</v>
      </c>
      <c r="C93" s="1" t="n">
        <v>45884</v>
      </c>
      <c r="D93" t="inlineStr">
        <is>
          <t>UPPSALA LÄN</t>
        </is>
      </c>
      <c r="E93" t="inlineStr">
        <is>
          <t>UPPSALA</t>
        </is>
      </c>
      <c r="G93" t="n">
        <v>13.8</v>
      </c>
      <c r="H93" t="n">
        <v>0</v>
      </c>
      <c r="I93" t="n">
        <v>0</v>
      </c>
      <c r="J93" t="n">
        <v>0</v>
      </c>
      <c r="K93" t="n">
        <v>1</v>
      </c>
      <c r="L93" t="n">
        <v>0</v>
      </c>
      <c r="M93" t="n">
        <v>0</v>
      </c>
      <c r="N93" t="n">
        <v>0</v>
      </c>
      <c r="O93" t="n">
        <v>1</v>
      </c>
      <c r="P93" t="n">
        <v>1</v>
      </c>
      <c r="Q93" t="n">
        <v>1</v>
      </c>
      <c r="R93" s="2" t="inlineStr">
        <is>
          <t>Raggbock</t>
        </is>
      </c>
      <c r="S93">
        <f>HYPERLINK("https://klasma.github.io/Logging_0380/artfynd/A 5750-2023 artfynd.xlsx", "A 5750-2023")</f>
        <v/>
      </c>
      <c r="T93">
        <f>HYPERLINK("https://klasma.github.io/Logging_0380/kartor/A 5750-2023 karta.png", "A 5750-2023")</f>
        <v/>
      </c>
      <c r="V93">
        <f>HYPERLINK("https://klasma.github.io/Logging_0380/klagomål/A 5750-2023 FSC-klagomål.docx", "A 5750-2023")</f>
        <v/>
      </c>
      <c r="W93">
        <f>HYPERLINK("https://klasma.github.io/Logging_0380/klagomålsmail/A 5750-2023 FSC-klagomål mail.docx", "A 5750-2023")</f>
        <v/>
      </c>
      <c r="X93">
        <f>HYPERLINK("https://klasma.github.io/Logging_0380/tillsyn/A 5750-2023 tillsynsbegäran.docx", "A 5750-2023")</f>
        <v/>
      </c>
      <c r="Y93">
        <f>HYPERLINK("https://klasma.github.io/Logging_0380/tillsynsmail/A 5750-2023 tillsynsbegäran mail.docx", "A 5750-2023")</f>
        <v/>
      </c>
    </row>
    <row r="94" ht="15" customHeight="1">
      <c r="A94" t="inlineStr">
        <is>
          <t>A 46634-2022</t>
        </is>
      </c>
      <c r="B94" s="1" t="n">
        <v>44849</v>
      </c>
      <c r="C94" s="1" t="n">
        <v>45884</v>
      </c>
      <c r="D94" t="inlineStr">
        <is>
          <t>UPPSALA LÄN</t>
        </is>
      </c>
      <c r="E94" t="inlineStr">
        <is>
          <t>UPPSALA</t>
        </is>
      </c>
      <c r="G94" t="n">
        <v>2.9</v>
      </c>
      <c r="H94" t="n">
        <v>0</v>
      </c>
      <c r="I94" t="n">
        <v>1</v>
      </c>
      <c r="J94" t="n">
        <v>0</v>
      </c>
      <c r="K94" t="n">
        <v>0</v>
      </c>
      <c r="L94" t="n">
        <v>0</v>
      </c>
      <c r="M94" t="n">
        <v>0</v>
      </c>
      <c r="N94" t="n">
        <v>0</v>
      </c>
      <c r="O94" t="n">
        <v>0</v>
      </c>
      <c r="P94" t="n">
        <v>0</v>
      </c>
      <c r="Q94" t="n">
        <v>1</v>
      </c>
      <c r="R94" s="2" t="inlineStr">
        <is>
          <t>Fjällig taggsvamp s.str.</t>
        </is>
      </c>
      <c r="S94">
        <f>HYPERLINK("https://klasma.github.io/Logging_0380/artfynd/A 46634-2022 artfynd.xlsx", "A 46634-2022")</f>
        <v/>
      </c>
      <c r="T94">
        <f>HYPERLINK("https://klasma.github.io/Logging_0380/kartor/A 46634-2022 karta.png", "A 46634-2022")</f>
        <v/>
      </c>
      <c r="V94">
        <f>HYPERLINK("https://klasma.github.io/Logging_0380/klagomål/A 46634-2022 FSC-klagomål.docx", "A 46634-2022")</f>
        <v/>
      </c>
      <c r="W94">
        <f>HYPERLINK("https://klasma.github.io/Logging_0380/klagomålsmail/A 46634-2022 FSC-klagomål mail.docx", "A 46634-2022")</f>
        <v/>
      </c>
      <c r="X94">
        <f>HYPERLINK("https://klasma.github.io/Logging_0380/tillsyn/A 46634-2022 tillsynsbegäran.docx", "A 46634-2022")</f>
        <v/>
      </c>
      <c r="Y94">
        <f>HYPERLINK("https://klasma.github.io/Logging_0380/tillsynsmail/A 46634-2022 tillsynsbegäran mail.docx", "A 46634-2022")</f>
        <v/>
      </c>
    </row>
    <row r="95" ht="15" customHeight="1">
      <c r="A95" t="inlineStr">
        <is>
          <t>A 61830-2022</t>
        </is>
      </c>
      <c r="B95" s="1" t="n">
        <v>44917.59298611111</v>
      </c>
      <c r="C95" s="1" t="n">
        <v>45884</v>
      </c>
      <c r="D95" t="inlineStr">
        <is>
          <t>UPPSALA LÄN</t>
        </is>
      </c>
      <c r="E95" t="inlineStr">
        <is>
          <t>UPPSALA</t>
        </is>
      </c>
      <c r="F95" t="inlineStr">
        <is>
          <t>Holmen skog AB</t>
        </is>
      </c>
      <c r="G95" t="n">
        <v>1.1</v>
      </c>
      <c r="H95" t="n">
        <v>0</v>
      </c>
      <c r="I95" t="n">
        <v>0</v>
      </c>
      <c r="J95" t="n">
        <v>1</v>
      </c>
      <c r="K95" t="n">
        <v>0</v>
      </c>
      <c r="L95" t="n">
        <v>0</v>
      </c>
      <c r="M95" t="n">
        <v>0</v>
      </c>
      <c r="N95" t="n">
        <v>0</v>
      </c>
      <c r="O95" t="n">
        <v>1</v>
      </c>
      <c r="P95" t="n">
        <v>0</v>
      </c>
      <c r="Q95" t="n">
        <v>1</v>
      </c>
      <c r="R95" s="2" t="inlineStr">
        <is>
          <t>Rödbrun blekspik</t>
        </is>
      </c>
      <c r="S95">
        <f>HYPERLINK("https://klasma.github.io/Logging_0380/artfynd/A 61830-2022 artfynd.xlsx", "A 61830-2022")</f>
        <v/>
      </c>
      <c r="T95">
        <f>HYPERLINK("https://klasma.github.io/Logging_0380/kartor/A 61830-2022 karta.png", "A 61830-2022")</f>
        <v/>
      </c>
      <c r="V95">
        <f>HYPERLINK("https://klasma.github.io/Logging_0380/klagomål/A 61830-2022 FSC-klagomål.docx", "A 61830-2022")</f>
        <v/>
      </c>
      <c r="W95">
        <f>HYPERLINK("https://klasma.github.io/Logging_0380/klagomålsmail/A 61830-2022 FSC-klagomål mail.docx", "A 61830-2022")</f>
        <v/>
      </c>
      <c r="X95">
        <f>HYPERLINK("https://klasma.github.io/Logging_0380/tillsyn/A 61830-2022 tillsynsbegäran.docx", "A 61830-2022")</f>
        <v/>
      </c>
      <c r="Y95">
        <f>HYPERLINK("https://klasma.github.io/Logging_0380/tillsynsmail/A 61830-2022 tillsynsbegäran mail.docx", "A 61830-2022")</f>
        <v/>
      </c>
    </row>
    <row r="96" ht="15" customHeight="1">
      <c r="A96" t="inlineStr">
        <is>
          <t>A 13093-2024</t>
        </is>
      </c>
      <c r="B96" s="1" t="n">
        <v>45385</v>
      </c>
      <c r="C96" s="1" t="n">
        <v>45884</v>
      </c>
      <c r="D96" t="inlineStr">
        <is>
          <t>UPPSALA LÄN</t>
        </is>
      </c>
      <c r="E96" t="inlineStr">
        <is>
          <t>UPPSALA</t>
        </is>
      </c>
      <c r="G96" t="n">
        <v>1.1</v>
      </c>
      <c r="H96" t="n">
        <v>1</v>
      </c>
      <c r="I96" t="n">
        <v>1</v>
      </c>
      <c r="J96" t="n">
        <v>0</v>
      </c>
      <c r="K96" t="n">
        <v>0</v>
      </c>
      <c r="L96" t="n">
        <v>0</v>
      </c>
      <c r="M96" t="n">
        <v>0</v>
      </c>
      <c r="N96" t="n">
        <v>0</v>
      </c>
      <c r="O96" t="n">
        <v>0</v>
      </c>
      <c r="P96" t="n">
        <v>0</v>
      </c>
      <c r="Q96" t="n">
        <v>1</v>
      </c>
      <c r="R96" s="2" t="inlineStr">
        <is>
          <t>Skogsknipprot</t>
        </is>
      </c>
      <c r="S96">
        <f>HYPERLINK("https://klasma.github.io/Logging_0380/artfynd/A 13093-2024 artfynd.xlsx", "A 13093-2024")</f>
        <v/>
      </c>
      <c r="T96">
        <f>HYPERLINK("https://klasma.github.io/Logging_0380/kartor/A 13093-2024 karta.png", "A 13093-2024")</f>
        <v/>
      </c>
      <c r="V96">
        <f>HYPERLINK("https://klasma.github.io/Logging_0380/klagomål/A 13093-2024 FSC-klagomål.docx", "A 13093-2024")</f>
        <v/>
      </c>
      <c r="W96">
        <f>HYPERLINK("https://klasma.github.io/Logging_0380/klagomålsmail/A 13093-2024 FSC-klagomål mail.docx", "A 13093-2024")</f>
        <v/>
      </c>
      <c r="X96">
        <f>HYPERLINK("https://klasma.github.io/Logging_0380/tillsyn/A 13093-2024 tillsynsbegäran.docx", "A 13093-2024")</f>
        <v/>
      </c>
      <c r="Y96">
        <f>HYPERLINK("https://klasma.github.io/Logging_0380/tillsynsmail/A 13093-2024 tillsynsbegäran mail.docx", "A 13093-2024")</f>
        <v/>
      </c>
    </row>
    <row r="97" ht="15" customHeight="1">
      <c r="A97" t="inlineStr">
        <is>
          <t>A 21801-2025</t>
        </is>
      </c>
      <c r="B97" s="1" t="n">
        <v>45783</v>
      </c>
      <c r="C97" s="1" t="n">
        <v>45884</v>
      </c>
      <c r="D97" t="inlineStr">
        <is>
          <t>UPPSALA LÄN</t>
        </is>
      </c>
      <c r="E97" t="inlineStr">
        <is>
          <t>UPPSALA</t>
        </is>
      </c>
      <c r="G97" t="n">
        <v>7.9</v>
      </c>
      <c r="H97" t="n">
        <v>1</v>
      </c>
      <c r="I97" t="n">
        <v>0</v>
      </c>
      <c r="J97" t="n">
        <v>0</v>
      </c>
      <c r="K97" t="n">
        <v>0</v>
      </c>
      <c r="L97" t="n">
        <v>0</v>
      </c>
      <c r="M97" t="n">
        <v>0</v>
      </c>
      <c r="N97" t="n">
        <v>0</v>
      </c>
      <c r="O97" t="n">
        <v>0</v>
      </c>
      <c r="P97" t="n">
        <v>0</v>
      </c>
      <c r="Q97" t="n">
        <v>1</v>
      </c>
      <c r="R97" s="2" t="inlineStr">
        <is>
          <t>Mattlummer</t>
        </is>
      </c>
      <c r="S97">
        <f>HYPERLINK("https://klasma.github.io/Logging_0380/artfynd/A 21801-2025 artfynd.xlsx", "A 21801-2025")</f>
        <v/>
      </c>
      <c r="T97">
        <f>HYPERLINK("https://klasma.github.io/Logging_0380/kartor/A 21801-2025 karta.png", "A 21801-2025")</f>
        <v/>
      </c>
      <c r="V97">
        <f>HYPERLINK("https://klasma.github.io/Logging_0380/klagomål/A 21801-2025 FSC-klagomål.docx", "A 21801-2025")</f>
        <v/>
      </c>
      <c r="W97">
        <f>HYPERLINK("https://klasma.github.io/Logging_0380/klagomålsmail/A 21801-2025 FSC-klagomål mail.docx", "A 21801-2025")</f>
        <v/>
      </c>
      <c r="X97">
        <f>HYPERLINK("https://klasma.github.io/Logging_0380/tillsyn/A 21801-2025 tillsynsbegäran.docx", "A 21801-2025")</f>
        <v/>
      </c>
      <c r="Y97">
        <f>HYPERLINK("https://klasma.github.io/Logging_0380/tillsynsmail/A 21801-2025 tillsynsbegäran mail.docx", "A 21801-2025")</f>
        <v/>
      </c>
    </row>
    <row r="98" ht="15" customHeight="1">
      <c r="A98" t="inlineStr">
        <is>
          <t>A 4657-2025</t>
        </is>
      </c>
      <c r="B98" s="1" t="n">
        <v>45687</v>
      </c>
      <c r="C98" s="1" t="n">
        <v>45884</v>
      </c>
      <c r="D98" t="inlineStr">
        <is>
          <t>UPPSALA LÄN</t>
        </is>
      </c>
      <c r="E98" t="inlineStr">
        <is>
          <t>UPPSALA</t>
        </is>
      </c>
      <c r="G98" t="n">
        <v>2.9</v>
      </c>
      <c r="H98" t="n">
        <v>1</v>
      </c>
      <c r="I98" t="n">
        <v>0</v>
      </c>
      <c r="J98" t="n">
        <v>1</v>
      </c>
      <c r="K98" t="n">
        <v>0</v>
      </c>
      <c r="L98" t="n">
        <v>0</v>
      </c>
      <c r="M98" t="n">
        <v>0</v>
      </c>
      <c r="N98" t="n">
        <v>0</v>
      </c>
      <c r="O98" t="n">
        <v>1</v>
      </c>
      <c r="P98" t="n">
        <v>0</v>
      </c>
      <c r="Q98" t="n">
        <v>1</v>
      </c>
      <c r="R98" s="2" t="inlineStr">
        <is>
          <t>Grönsångare</t>
        </is>
      </c>
      <c r="S98">
        <f>HYPERLINK("https://klasma.github.io/Logging_0380/artfynd/A 4657-2025 artfynd.xlsx", "A 4657-2025")</f>
        <v/>
      </c>
      <c r="T98">
        <f>HYPERLINK("https://klasma.github.io/Logging_0380/kartor/A 4657-2025 karta.png", "A 4657-2025")</f>
        <v/>
      </c>
      <c r="V98">
        <f>HYPERLINK("https://klasma.github.io/Logging_0380/klagomål/A 4657-2025 FSC-klagomål.docx", "A 4657-2025")</f>
        <v/>
      </c>
      <c r="W98">
        <f>HYPERLINK("https://klasma.github.io/Logging_0380/klagomålsmail/A 4657-2025 FSC-klagomål mail.docx", "A 4657-2025")</f>
        <v/>
      </c>
      <c r="X98">
        <f>HYPERLINK("https://klasma.github.io/Logging_0380/tillsyn/A 4657-2025 tillsynsbegäran.docx", "A 4657-2025")</f>
        <v/>
      </c>
      <c r="Y98">
        <f>HYPERLINK("https://klasma.github.io/Logging_0380/tillsynsmail/A 4657-2025 tillsynsbegäran mail.docx", "A 4657-2025")</f>
        <v/>
      </c>
      <c r="Z98">
        <f>HYPERLINK("https://klasma.github.io/Logging_0380/fåglar/A 4657-2025 prioriterade fågelarter.docx", "A 4657-2025")</f>
        <v/>
      </c>
    </row>
    <row r="99" ht="15" customHeight="1">
      <c r="A99" t="inlineStr">
        <is>
          <t>A 13363-2022</t>
        </is>
      </c>
      <c r="B99" s="1" t="n">
        <v>44645</v>
      </c>
      <c r="C99" s="1" t="n">
        <v>45884</v>
      </c>
      <c r="D99" t="inlineStr">
        <is>
          <t>UPPSALA LÄN</t>
        </is>
      </c>
      <c r="E99" t="inlineStr">
        <is>
          <t>UPPSALA</t>
        </is>
      </c>
      <c r="F99" t="inlineStr">
        <is>
          <t>Övriga Aktiebolag</t>
        </is>
      </c>
      <c r="G99" t="n">
        <v>9.4</v>
      </c>
      <c r="H99" t="n">
        <v>1</v>
      </c>
      <c r="I99" t="n">
        <v>0</v>
      </c>
      <c r="J99" t="n">
        <v>0</v>
      </c>
      <c r="K99" t="n">
        <v>0</v>
      </c>
      <c r="L99" t="n">
        <v>0</v>
      </c>
      <c r="M99" t="n">
        <v>0</v>
      </c>
      <c r="N99" t="n">
        <v>0</v>
      </c>
      <c r="O99" t="n">
        <v>0</v>
      </c>
      <c r="P99" t="n">
        <v>0</v>
      </c>
      <c r="Q99" t="n">
        <v>1</v>
      </c>
      <c r="R99" s="2" t="inlineStr">
        <is>
          <t>Huggorm</t>
        </is>
      </c>
      <c r="S99">
        <f>HYPERLINK("https://klasma.github.io/Logging_0380/artfynd/A 13363-2022 artfynd.xlsx", "A 13363-2022")</f>
        <v/>
      </c>
      <c r="T99">
        <f>HYPERLINK("https://klasma.github.io/Logging_0380/kartor/A 13363-2022 karta.png", "A 13363-2022")</f>
        <v/>
      </c>
      <c r="V99">
        <f>HYPERLINK("https://klasma.github.io/Logging_0380/klagomål/A 13363-2022 FSC-klagomål.docx", "A 13363-2022")</f>
        <v/>
      </c>
      <c r="W99">
        <f>HYPERLINK("https://klasma.github.io/Logging_0380/klagomålsmail/A 13363-2022 FSC-klagomål mail.docx", "A 13363-2022")</f>
        <v/>
      </c>
      <c r="X99">
        <f>HYPERLINK("https://klasma.github.io/Logging_0380/tillsyn/A 13363-2022 tillsynsbegäran.docx", "A 13363-2022")</f>
        <v/>
      </c>
      <c r="Y99">
        <f>HYPERLINK("https://klasma.github.io/Logging_0380/tillsynsmail/A 13363-2022 tillsynsbegäran mail.docx", "A 13363-2022")</f>
        <v/>
      </c>
    </row>
    <row r="100" ht="15" customHeight="1">
      <c r="A100" t="inlineStr">
        <is>
          <t>A 6044-2024</t>
        </is>
      </c>
      <c r="B100" s="1" t="n">
        <v>45336</v>
      </c>
      <c r="C100" s="1" t="n">
        <v>45884</v>
      </c>
      <c r="D100" t="inlineStr">
        <is>
          <t>UPPSALA LÄN</t>
        </is>
      </c>
      <c r="E100" t="inlineStr">
        <is>
          <t>UPPSALA</t>
        </is>
      </c>
      <c r="F100" t="inlineStr">
        <is>
          <t>Holmen skog AB</t>
        </is>
      </c>
      <c r="G100" t="n">
        <v>7.4</v>
      </c>
      <c r="H100" t="n">
        <v>0</v>
      </c>
      <c r="I100" t="n">
        <v>0</v>
      </c>
      <c r="J100" t="n">
        <v>1</v>
      </c>
      <c r="K100" t="n">
        <v>0</v>
      </c>
      <c r="L100" t="n">
        <v>0</v>
      </c>
      <c r="M100" t="n">
        <v>0</v>
      </c>
      <c r="N100" t="n">
        <v>0</v>
      </c>
      <c r="O100" t="n">
        <v>1</v>
      </c>
      <c r="P100" t="n">
        <v>0</v>
      </c>
      <c r="Q100" t="n">
        <v>1</v>
      </c>
      <c r="R100" s="2" t="inlineStr">
        <is>
          <t>Gul dropplav</t>
        </is>
      </c>
      <c r="S100">
        <f>HYPERLINK("https://klasma.github.io/Logging_0380/artfynd/A 6044-2024 artfynd.xlsx", "A 6044-2024")</f>
        <v/>
      </c>
      <c r="T100">
        <f>HYPERLINK("https://klasma.github.io/Logging_0380/kartor/A 6044-2024 karta.png", "A 6044-2024")</f>
        <v/>
      </c>
      <c r="V100">
        <f>HYPERLINK("https://klasma.github.io/Logging_0380/klagomål/A 6044-2024 FSC-klagomål.docx", "A 6044-2024")</f>
        <v/>
      </c>
      <c r="W100">
        <f>HYPERLINK("https://klasma.github.io/Logging_0380/klagomålsmail/A 6044-2024 FSC-klagomål mail.docx", "A 6044-2024")</f>
        <v/>
      </c>
      <c r="X100">
        <f>HYPERLINK("https://klasma.github.io/Logging_0380/tillsyn/A 6044-2024 tillsynsbegäran.docx", "A 6044-2024")</f>
        <v/>
      </c>
      <c r="Y100">
        <f>HYPERLINK("https://klasma.github.io/Logging_0380/tillsynsmail/A 6044-2024 tillsynsbegäran mail.docx", "A 6044-2024")</f>
        <v/>
      </c>
    </row>
    <row r="101" ht="15" customHeight="1">
      <c r="A101" t="inlineStr">
        <is>
          <t>A 25660-2025</t>
        </is>
      </c>
      <c r="B101" s="1" t="n">
        <v>45803.61554398148</v>
      </c>
      <c r="C101" s="1" t="n">
        <v>45884</v>
      </c>
      <c r="D101" t="inlineStr">
        <is>
          <t>UPPSALA LÄN</t>
        </is>
      </c>
      <c r="E101" t="inlineStr">
        <is>
          <t>UPPSALA</t>
        </is>
      </c>
      <c r="F101" t="inlineStr">
        <is>
          <t>Holmen skog AB</t>
        </is>
      </c>
      <c r="G101" t="n">
        <v>4.8</v>
      </c>
      <c r="H101" t="n">
        <v>0</v>
      </c>
      <c r="I101" t="n">
        <v>1</v>
      </c>
      <c r="J101" t="n">
        <v>0</v>
      </c>
      <c r="K101" t="n">
        <v>0</v>
      </c>
      <c r="L101" t="n">
        <v>0</v>
      </c>
      <c r="M101" t="n">
        <v>0</v>
      </c>
      <c r="N101" t="n">
        <v>0</v>
      </c>
      <c r="O101" t="n">
        <v>0</v>
      </c>
      <c r="P101" t="n">
        <v>0</v>
      </c>
      <c r="Q101" t="n">
        <v>1</v>
      </c>
      <c r="R101" s="2" t="inlineStr">
        <is>
          <t>Skogshakmossa</t>
        </is>
      </c>
      <c r="S101">
        <f>HYPERLINK("https://klasma.github.io/Logging_0380/artfynd/A 25660-2025 artfynd.xlsx", "A 25660-2025")</f>
        <v/>
      </c>
      <c r="T101">
        <f>HYPERLINK("https://klasma.github.io/Logging_0380/kartor/A 25660-2025 karta.png", "A 25660-2025")</f>
        <v/>
      </c>
      <c r="V101">
        <f>HYPERLINK("https://klasma.github.io/Logging_0380/klagomål/A 25660-2025 FSC-klagomål.docx", "A 25660-2025")</f>
        <v/>
      </c>
      <c r="W101">
        <f>HYPERLINK("https://klasma.github.io/Logging_0380/klagomålsmail/A 25660-2025 FSC-klagomål mail.docx", "A 25660-2025")</f>
        <v/>
      </c>
      <c r="X101">
        <f>HYPERLINK("https://klasma.github.io/Logging_0380/tillsyn/A 25660-2025 tillsynsbegäran.docx", "A 25660-2025")</f>
        <v/>
      </c>
      <c r="Y101">
        <f>HYPERLINK("https://klasma.github.io/Logging_0380/tillsynsmail/A 25660-2025 tillsynsbegäran mail.docx", "A 25660-2025")</f>
        <v/>
      </c>
    </row>
    <row r="102" ht="15" customHeight="1">
      <c r="A102" t="inlineStr">
        <is>
          <t>A 26135-2025</t>
        </is>
      </c>
      <c r="B102" s="1" t="n">
        <v>45805.41232638889</v>
      </c>
      <c r="C102" s="1" t="n">
        <v>45884</v>
      </c>
      <c r="D102" t="inlineStr">
        <is>
          <t>UPPSALA LÄN</t>
        </is>
      </c>
      <c r="E102" t="inlineStr">
        <is>
          <t>UPPSALA</t>
        </is>
      </c>
      <c r="F102" t="inlineStr">
        <is>
          <t>Holmen skog AB</t>
        </is>
      </c>
      <c r="G102" t="n">
        <v>3.1</v>
      </c>
      <c r="H102" t="n">
        <v>0</v>
      </c>
      <c r="I102" t="n">
        <v>0</v>
      </c>
      <c r="J102" t="n">
        <v>1</v>
      </c>
      <c r="K102" t="n">
        <v>0</v>
      </c>
      <c r="L102" t="n">
        <v>0</v>
      </c>
      <c r="M102" t="n">
        <v>0</v>
      </c>
      <c r="N102" t="n">
        <v>0</v>
      </c>
      <c r="O102" t="n">
        <v>1</v>
      </c>
      <c r="P102" t="n">
        <v>0</v>
      </c>
      <c r="Q102" t="n">
        <v>1</v>
      </c>
      <c r="R102" s="2" t="inlineStr">
        <is>
          <t>Vedtrappmossa</t>
        </is>
      </c>
      <c r="S102">
        <f>HYPERLINK("https://klasma.github.io/Logging_0380/artfynd/A 26135-2025 artfynd.xlsx", "A 26135-2025")</f>
        <v/>
      </c>
      <c r="T102">
        <f>HYPERLINK("https://klasma.github.io/Logging_0380/kartor/A 26135-2025 karta.png", "A 26135-2025")</f>
        <v/>
      </c>
      <c r="V102">
        <f>HYPERLINK("https://klasma.github.io/Logging_0380/klagomål/A 26135-2025 FSC-klagomål.docx", "A 26135-2025")</f>
        <v/>
      </c>
      <c r="W102">
        <f>HYPERLINK("https://klasma.github.io/Logging_0380/klagomålsmail/A 26135-2025 FSC-klagomål mail.docx", "A 26135-2025")</f>
        <v/>
      </c>
      <c r="X102">
        <f>HYPERLINK("https://klasma.github.io/Logging_0380/tillsyn/A 26135-2025 tillsynsbegäran.docx", "A 26135-2025")</f>
        <v/>
      </c>
      <c r="Y102">
        <f>HYPERLINK("https://klasma.github.io/Logging_0380/tillsynsmail/A 26135-2025 tillsynsbegäran mail.docx", "A 26135-2025")</f>
        <v/>
      </c>
    </row>
    <row r="103" ht="15" customHeight="1">
      <c r="A103" t="inlineStr">
        <is>
          <t>A 26923-2025</t>
        </is>
      </c>
      <c r="B103" s="1" t="n">
        <v>45811.38710648148</v>
      </c>
      <c r="C103" s="1" t="n">
        <v>45884</v>
      </c>
      <c r="D103" t="inlineStr">
        <is>
          <t>UPPSALA LÄN</t>
        </is>
      </c>
      <c r="E103" t="inlineStr">
        <is>
          <t>UPPSALA</t>
        </is>
      </c>
      <c r="F103" t="inlineStr">
        <is>
          <t>Kyrkan</t>
        </is>
      </c>
      <c r="G103" t="n">
        <v>9.800000000000001</v>
      </c>
      <c r="H103" t="n">
        <v>1</v>
      </c>
      <c r="I103" t="n">
        <v>0</v>
      </c>
      <c r="J103" t="n">
        <v>0</v>
      </c>
      <c r="K103" t="n">
        <v>0</v>
      </c>
      <c r="L103" t="n">
        <v>0</v>
      </c>
      <c r="M103" t="n">
        <v>0</v>
      </c>
      <c r="N103" t="n">
        <v>0</v>
      </c>
      <c r="O103" t="n">
        <v>0</v>
      </c>
      <c r="P103" t="n">
        <v>0</v>
      </c>
      <c r="Q103" t="n">
        <v>1</v>
      </c>
      <c r="R103" s="2" t="inlineStr">
        <is>
          <t>Fläcknycklar</t>
        </is>
      </c>
      <c r="S103">
        <f>HYPERLINK("https://klasma.github.io/Logging_0380/artfynd/A 26923-2025 artfynd.xlsx", "A 26923-2025")</f>
        <v/>
      </c>
      <c r="T103">
        <f>HYPERLINK("https://klasma.github.io/Logging_0380/kartor/A 26923-2025 karta.png", "A 26923-2025")</f>
        <v/>
      </c>
      <c r="V103">
        <f>HYPERLINK("https://klasma.github.io/Logging_0380/klagomål/A 26923-2025 FSC-klagomål.docx", "A 26923-2025")</f>
        <v/>
      </c>
      <c r="W103">
        <f>HYPERLINK("https://klasma.github.io/Logging_0380/klagomålsmail/A 26923-2025 FSC-klagomål mail.docx", "A 26923-2025")</f>
        <v/>
      </c>
      <c r="X103">
        <f>HYPERLINK("https://klasma.github.io/Logging_0380/tillsyn/A 26923-2025 tillsynsbegäran.docx", "A 26923-2025")</f>
        <v/>
      </c>
      <c r="Y103">
        <f>HYPERLINK("https://klasma.github.io/Logging_0380/tillsynsmail/A 26923-2025 tillsynsbegäran mail.docx", "A 26923-2025")</f>
        <v/>
      </c>
    </row>
    <row r="104" ht="15" customHeight="1">
      <c r="A104" t="inlineStr">
        <is>
          <t>A 27848-2023</t>
        </is>
      </c>
      <c r="B104" s="1" t="n">
        <v>45098</v>
      </c>
      <c r="C104" s="1" t="n">
        <v>45884</v>
      </c>
      <c r="D104" t="inlineStr">
        <is>
          <t>UPPSALA LÄN</t>
        </is>
      </c>
      <c r="E104" t="inlineStr">
        <is>
          <t>UPPSALA</t>
        </is>
      </c>
      <c r="G104" t="n">
        <v>14.3</v>
      </c>
      <c r="H104" t="n">
        <v>0</v>
      </c>
      <c r="I104" t="n">
        <v>1</v>
      </c>
      <c r="J104" t="n">
        <v>0</v>
      </c>
      <c r="K104" t="n">
        <v>0</v>
      </c>
      <c r="L104" t="n">
        <v>0</v>
      </c>
      <c r="M104" t="n">
        <v>0</v>
      </c>
      <c r="N104" t="n">
        <v>0</v>
      </c>
      <c r="O104" t="n">
        <v>0</v>
      </c>
      <c r="P104" t="n">
        <v>0</v>
      </c>
      <c r="Q104" t="n">
        <v>1</v>
      </c>
      <c r="R104" s="2" t="inlineStr">
        <is>
          <t>Blåmossa</t>
        </is>
      </c>
      <c r="S104">
        <f>HYPERLINK("https://klasma.github.io/Logging_0380/artfynd/A 27848-2023 artfynd.xlsx", "A 27848-2023")</f>
        <v/>
      </c>
      <c r="T104">
        <f>HYPERLINK("https://klasma.github.io/Logging_0380/kartor/A 27848-2023 karta.png", "A 27848-2023")</f>
        <v/>
      </c>
      <c r="V104">
        <f>HYPERLINK("https://klasma.github.io/Logging_0380/klagomål/A 27848-2023 FSC-klagomål.docx", "A 27848-2023")</f>
        <v/>
      </c>
      <c r="W104">
        <f>HYPERLINK("https://klasma.github.io/Logging_0380/klagomålsmail/A 27848-2023 FSC-klagomål mail.docx", "A 27848-2023")</f>
        <v/>
      </c>
      <c r="X104">
        <f>HYPERLINK("https://klasma.github.io/Logging_0380/tillsyn/A 27848-2023 tillsynsbegäran.docx", "A 27848-2023")</f>
        <v/>
      </c>
      <c r="Y104">
        <f>HYPERLINK("https://klasma.github.io/Logging_0380/tillsynsmail/A 27848-2023 tillsynsbegäran mail.docx", "A 27848-2023")</f>
        <v/>
      </c>
    </row>
    <row r="105" ht="15" customHeight="1">
      <c r="A105" t="inlineStr">
        <is>
          <t>A 3304-2025</t>
        </is>
      </c>
      <c r="B105" s="1" t="n">
        <v>45679</v>
      </c>
      <c r="C105" s="1" t="n">
        <v>45884</v>
      </c>
      <c r="D105" t="inlineStr">
        <is>
          <t>UPPSALA LÄN</t>
        </is>
      </c>
      <c r="E105" t="inlineStr">
        <is>
          <t>UPPSALA</t>
        </is>
      </c>
      <c r="F105" t="inlineStr">
        <is>
          <t>Övriga statliga verk och myndigheter</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HYPERLINK("https://klasma.github.io/Logging_0380/artfynd/A 3304-2025 artfynd.xlsx", "A 3304-2025")</f>
        <v/>
      </c>
      <c r="T105">
        <f>HYPERLINK("https://klasma.github.io/Logging_0380/kartor/A 3304-2025 karta.png", "A 3304-2025")</f>
        <v/>
      </c>
      <c r="V105">
        <f>HYPERLINK("https://klasma.github.io/Logging_0380/klagomål/A 3304-2025 FSC-klagomål.docx", "A 3304-2025")</f>
        <v/>
      </c>
      <c r="W105">
        <f>HYPERLINK("https://klasma.github.io/Logging_0380/klagomålsmail/A 3304-2025 FSC-klagomål mail.docx", "A 3304-2025")</f>
        <v/>
      </c>
      <c r="X105">
        <f>HYPERLINK("https://klasma.github.io/Logging_0380/tillsyn/A 3304-2025 tillsynsbegäran.docx", "A 3304-2025")</f>
        <v/>
      </c>
      <c r="Y105">
        <f>HYPERLINK("https://klasma.github.io/Logging_0380/tillsynsmail/A 3304-2025 tillsynsbegäran mail.docx", "A 3304-2025")</f>
        <v/>
      </c>
    </row>
    <row r="106" ht="15" customHeight="1">
      <c r="A106" t="inlineStr">
        <is>
          <t>A 28056-2025</t>
        </is>
      </c>
      <c r="B106" s="1" t="n">
        <v>45817</v>
      </c>
      <c r="C106" s="1" t="n">
        <v>45884</v>
      </c>
      <c r="D106" t="inlineStr">
        <is>
          <t>UPPSALA LÄN</t>
        </is>
      </c>
      <c r="E106" t="inlineStr">
        <is>
          <t>UPPSALA</t>
        </is>
      </c>
      <c r="G106" t="n">
        <v>19.3</v>
      </c>
      <c r="H106" t="n">
        <v>1</v>
      </c>
      <c r="I106" t="n">
        <v>0</v>
      </c>
      <c r="J106" t="n">
        <v>0</v>
      </c>
      <c r="K106" t="n">
        <v>1</v>
      </c>
      <c r="L106" t="n">
        <v>0</v>
      </c>
      <c r="M106" t="n">
        <v>0</v>
      </c>
      <c r="N106" t="n">
        <v>0</v>
      </c>
      <c r="O106" t="n">
        <v>1</v>
      </c>
      <c r="P106" t="n">
        <v>1</v>
      </c>
      <c r="Q106" t="n">
        <v>1</v>
      </c>
      <c r="R106" s="2" t="inlineStr">
        <is>
          <t>Knärot</t>
        </is>
      </c>
      <c r="S106">
        <f>HYPERLINK("https://klasma.github.io/Logging_0380/artfynd/A 28056-2025 artfynd.xlsx", "A 28056-2025")</f>
        <v/>
      </c>
      <c r="T106">
        <f>HYPERLINK("https://klasma.github.io/Logging_0380/kartor/A 28056-2025 karta.png", "A 28056-2025")</f>
        <v/>
      </c>
      <c r="U106">
        <f>HYPERLINK("https://klasma.github.io/Logging_0380/knärot/A 28056-2025 karta knärot.png", "A 28056-2025")</f>
        <v/>
      </c>
      <c r="V106">
        <f>HYPERLINK("https://klasma.github.io/Logging_0380/klagomål/A 28056-2025 FSC-klagomål.docx", "A 28056-2025")</f>
        <v/>
      </c>
      <c r="W106">
        <f>HYPERLINK("https://klasma.github.io/Logging_0380/klagomålsmail/A 28056-2025 FSC-klagomål mail.docx", "A 28056-2025")</f>
        <v/>
      </c>
      <c r="X106">
        <f>HYPERLINK("https://klasma.github.io/Logging_0380/tillsyn/A 28056-2025 tillsynsbegäran.docx", "A 28056-2025")</f>
        <v/>
      </c>
      <c r="Y106">
        <f>HYPERLINK("https://klasma.github.io/Logging_0380/tillsynsmail/A 28056-2025 tillsynsbegäran mail.docx", "A 28056-2025")</f>
        <v/>
      </c>
    </row>
    <row r="107" ht="15" customHeight="1">
      <c r="A107" t="inlineStr">
        <is>
          <t>A 27824-2025</t>
        </is>
      </c>
      <c r="B107" s="1" t="n">
        <v>45817.34614583333</v>
      </c>
      <c r="C107" s="1" t="n">
        <v>45884</v>
      </c>
      <c r="D107" t="inlineStr">
        <is>
          <t>UPPSALA LÄN</t>
        </is>
      </c>
      <c r="E107" t="inlineStr">
        <is>
          <t>UPPSALA</t>
        </is>
      </c>
      <c r="F107" t="inlineStr">
        <is>
          <t>Kyrkan</t>
        </is>
      </c>
      <c r="G107" t="n">
        <v>3.3</v>
      </c>
      <c r="H107" t="n">
        <v>0</v>
      </c>
      <c r="I107" t="n">
        <v>1</v>
      </c>
      <c r="J107" t="n">
        <v>0</v>
      </c>
      <c r="K107" t="n">
        <v>0</v>
      </c>
      <c r="L107" t="n">
        <v>0</v>
      </c>
      <c r="M107" t="n">
        <v>0</v>
      </c>
      <c r="N107" t="n">
        <v>0</v>
      </c>
      <c r="O107" t="n">
        <v>0</v>
      </c>
      <c r="P107" t="n">
        <v>0</v>
      </c>
      <c r="Q107" t="n">
        <v>1</v>
      </c>
      <c r="R107" s="2" t="inlineStr">
        <is>
          <t>Sårläka</t>
        </is>
      </c>
      <c r="S107">
        <f>HYPERLINK("https://klasma.github.io/Logging_0380/artfynd/A 27824-2025 artfynd.xlsx", "A 27824-2025")</f>
        <v/>
      </c>
      <c r="T107">
        <f>HYPERLINK("https://klasma.github.io/Logging_0380/kartor/A 27824-2025 karta.png", "A 27824-2025")</f>
        <v/>
      </c>
      <c r="V107">
        <f>HYPERLINK("https://klasma.github.io/Logging_0380/klagomål/A 27824-2025 FSC-klagomål.docx", "A 27824-2025")</f>
        <v/>
      </c>
      <c r="W107">
        <f>HYPERLINK("https://klasma.github.io/Logging_0380/klagomålsmail/A 27824-2025 FSC-klagomål mail.docx", "A 27824-2025")</f>
        <v/>
      </c>
      <c r="X107">
        <f>HYPERLINK("https://klasma.github.io/Logging_0380/tillsyn/A 27824-2025 tillsynsbegäran.docx", "A 27824-2025")</f>
        <v/>
      </c>
      <c r="Y107">
        <f>HYPERLINK("https://klasma.github.io/Logging_0380/tillsynsmail/A 27824-2025 tillsynsbegäran mail.docx", "A 27824-2025")</f>
        <v/>
      </c>
    </row>
    <row r="108" ht="15" customHeight="1">
      <c r="A108" t="inlineStr">
        <is>
          <t>A 28299-2025</t>
        </is>
      </c>
      <c r="B108" s="1" t="n">
        <v>45818.60254629629</v>
      </c>
      <c r="C108" s="1" t="n">
        <v>45884</v>
      </c>
      <c r="D108" t="inlineStr">
        <is>
          <t>UPPSALA LÄN</t>
        </is>
      </c>
      <c r="E108" t="inlineStr">
        <is>
          <t>UPPSALA</t>
        </is>
      </c>
      <c r="F108" t="inlineStr">
        <is>
          <t>Holmen skog AB</t>
        </is>
      </c>
      <c r="G108" t="n">
        <v>12</v>
      </c>
      <c r="H108" t="n">
        <v>0</v>
      </c>
      <c r="I108" t="n">
        <v>0</v>
      </c>
      <c r="J108" t="n">
        <v>1</v>
      </c>
      <c r="K108" t="n">
        <v>0</v>
      </c>
      <c r="L108" t="n">
        <v>0</v>
      </c>
      <c r="M108" t="n">
        <v>0</v>
      </c>
      <c r="N108" t="n">
        <v>0</v>
      </c>
      <c r="O108" t="n">
        <v>1</v>
      </c>
      <c r="P108" t="n">
        <v>0</v>
      </c>
      <c r="Q108" t="n">
        <v>1</v>
      </c>
      <c r="R108" s="2" t="inlineStr">
        <is>
          <t>Slåtterfibbla</t>
        </is>
      </c>
      <c r="S108">
        <f>HYPERLINK("https://klasma.github.io/Logging_0380/artfynd/A 28299-2025 artfynd.xlsx", "A 28299-2025")</f>
        <v/>
      </c>
      <c r="T108">
        <f>HYPERLINK("https://klasma.github.io/Logging_0380/kartor/A 28299-2025 karta.png", "A 28299-2025")</f>
        <v/>
      </c>
      <c r="V108">
        <f>HYPERLINK("https://klasma.github.io/Logging_0380/klagomål/A 28299-2025 FSC-klagomål.docx", "A 28299-2025")</f>
        <v/>
      </c>
      <c r="W108">
        <f>HYPERLINK("https://klasma.github.io/Logging_0380/klagomålsmail/A 28299-2025 FSC-klagomål mail.docx", "A 28299-2025")</f>
        <v/>
      </c>
      <c r="X108">
        <f>HYPERLINK("https://klasma.github.io/Logging_0380/tillsyn/A 28299-2025 tillsynsbegäran.docx", "A 28299-2025")</f>
        <v/>
      </c>
      <c r="Y108">
        <f>HYPERLINK("https://klasma.github.io/Logging_0380/tillsynsmail/A 28299-2025 tillsynsbegäran mail.docx", "A 28299-2025")</f>
        <v/>
      </c>
    </row>
    <row r="109" ht="15" customHeight="1">
      <c r="A109" t="inlineStr">
        <is>
          <t>A 13526-2025</t>
        </is>
      </c>
      <c r="B109" s="1" t="n">
        <v>45736.49902777778</v>
      </c>
      <c r="C109" s="1" t="n">
        <v>45884</v>
      </c>
      <c r="D109" t="inlineStr">
        <is>
          <t>UPPSALA LÄN</t>
        </is>
      </c>
      <c r="E109" t="inlineStr">
        <is>
          <t>UPPSALA</t>
        </is>
      </c>
      <c r="F109" t="inlineStr">
        <is>
          <t>Allmännings- och besparingsskogar</t>
        </is>
      </c>
      <c r="G109" t="n">
        <v>3</v>
      </c>
      <c r="H109" t="n">
        <v>0</v>
      </c>
      <c r="I109" t="n">
        <v>0</v>
      </c>
      <c r="J109" t="n">
        <v>1</v>
      </c>
      <c r="K109" t="n">
        <v>0</v>
      </c>
      <c r="L109" t="n">
        <v>0</v>
      </c>
      <c r="M109" t="n">
        <v>0</v>
      </c>
      <c r="N109" t="n">
        <v>0</v>
      </c>
      <c r="O109" t="n">
        <v>1</v>
      </c>
      <c r="P109" t="n">
        <v>0</v>
      </c>
      <c r="Q109" t="n">
        <v>1</v>
      </c>
      <c r="R109" s="2" t="inlineStr">
        <is>
          <t>Vedtrappmossa</t>
        </is>
      </c>
      <c r="S109">
        <f>HYPERLINK("https://klasma.github.io/Logging_0380/artfynd/A 13526-2025 artfynd.xlsx", "A 13526-2025")</f>
        <v/>
      </c>
      <c r="T109">
        <f>HYPERLINK("https://klasma.github.io/Logging_0380/kartor/A 13526-2025 karta.png", "A 13526-2025")</f>
        <v/>
      </c>
      <c r="V109">
        <f>HYPERLINK("https://klasma.github.io/Logging_0380/klagomål/A 13526-2025 FSC-klagomål.docx", "A 13526-2025")</f>
        <v/>
      </c>
      <c r="W109">
        <f>HYPERLINK("https://klasma.github.io/Logging_0380/klagomålsmail/A 13526-2025 FSC-klagomål mail.docx", "A 13526-2025")</f>
        <v/>
      </c>
      <c r="X109">
        <f>HYPERLINK("https://klasma.github.io/Logging_0380/tillsyn/A 13526-2025 tillsynsbegäran.docx", "A 13526-2025")</f>
        <v/>
      </c>
      <c r="Y109">
        <f>HYPERLINK("https://klasma.github.io/Logging_0380/tillsynsmail/A 13526-2025 tillsynsbegäran mail.docx", "A 13526-2025")</f>
        <v/>
      </c>
    </row>
    <row r="110" ht="15" customHeight="1">
      <c r="A110" t="inlineStr">
        <is>
          <t>A 28950-2025</t>
        </is>
      </c>
      <c r="B110" s="1" t="n">
        <v>45820.84516203704</v>
      </c>
      <c r="C110" s="1" t="n">
        <v>45884</v>
      </c>
      <c r="D110" t="inlineStr">
        <is>
          <t>UPPSALA LÄN</t>
        </is>
      </c>
      <c r="E110" t="inlineStr">
        <is>
          <t>UPPSALA</t>
        </is>
      </c>
      <c r="F110" t="inlineStr">
        <is>
          <t>Bergvik skog öst AB</t>
        </is>
      </c>
      <c r="G110" t="n">
        <v>6</v>
      </c>
      <c r="H110" t="n">
        <v>0</v>
      </c>
      <c r="I110" t="n">
        <v>0</v>
      </c>
      <c r="J110" t="n">
        <v>0</v>
      </c>
      <c r="K110" t="n">
        <v>0</v>
      </c>
      <c r="L110" t="n">
        <v>1</v>
      </c>
      <c r="M110" t="n">
        <v>0</v>
      </c>
      <c r="N110" t="n">
        <v>0</v>
      </c>
      <c r="O110" t="n">
        <v>1</v>
      </c>
      <c r="P110" t="n">
        <v>1</v>
      </c>
      <c r="Q110" t="n">
        <v>1</v>
      </c>
      <c r="R110" s="2" t="inlineStr">
        <is>
          <t>Fältgentiana</t>
        </is>
      </c>
      <c r="S110">
        <f>HYPERLINK("https://klasma.github.io/Logging_0380/artfynd/A 28950-2025 artfynd.xlsx", "A 28950-2025")</f>
        <v/>
      </c>
      <c r="T110">
        <f>HYPERLINK("https://klasma.github.io/Logging_0380/kartor/A 28950-2025 karta.png", "A 28950-2025")</f>
        <v/>
      </c>
      <c r="V110">
        <f>HYPERLINK("https://klasma.github.io/Logging_0380/klagomål/A 28950-2025 FSC-klagomål.docx", "A 28950-2025")</f>
        <v/>
      </c>
      <c r="W110">
        <f>HYPERLINK("https://klasma.github.io/Logging_0380/klagomålsmail/A 28950-2025 FSC-klagomål mail.docx", "A 28950-2025")</f>
        <v/>
      </c>
      <c r="X110">
        <f>HYPERLINK("https://klasma.github.io/Logging_0380/tillsyn/A 28950-2025 tillsynsbegäran.docx", "A 28950-2025")</f>
        <v/>
      </c>
      <c r="Y110">
        <f>HYPERLINK("https://klasma.github.io/Logging_0380/tillsynsmail/A 28950-2025 tillsynsbegäran mail.docx", "A 28950-2025")</f>
        <v/>
      </c>
    </row>
    <row r="111" ht="15" customHeight="1">
      <c r="A111" t="inlineStr">
        <is>
          <t>A 36842-2025</t>
        </is>
      </c>
      <c r="B111" s="1" t="n">
        <v>45874</v>
      </c>
      <c r="C111" s="1" t="n">
        <v>45884</v>
      </c>
      <c r="D111" t="inlineStr">
        <is>
          <t>UPPSALA LÄN</t>
        </is>
      </c>
      <c r="E111" t="inlineStr">
        <is>
          <t>UPPSALA</t>
        </is>
      </c>
      <c r="G111" t="n">
        <v>9.9</v>
      </c>
      <c r="H111" t="n">
        <v>0</v>
      </c>
      <c r="I111" t="n">
        <v>1</v>
      </c>
      <c r="J111" t="n">
        <v>0</v>
      </c>
      <c r="K111" t="n">
        <v>0</v>
      </c>
      <c r="L111" t="n">
        <v>0</v>
      </c>
      <c r="M111" t="n">
        <v>0</v>
      </c>
      <c r="N111" t="n">
        <v>0</v>
      </c>
      <c r="O111" t="n">
        <v>0</v>
      </c>
      <c r="P111" t="n">
        <v>0</v>
      </c>
      <c r="Q111" t="n">
        <v>1</v>
      </c>
      <c r="R111" s="2" t="inlineStr">
        <is>
          <t>Vedticka</t>
        </is>
      </c>
      <c r="S111">
        <f>HYPERLINK("https://klasma.github.io/Logging_0380/artfynd/A 36842-2025 artfynd.xlsx", "A 36842-2025")</f>
        <v/>
      </c>
      <c r="T111">
        <f>HYPERLINK("https://klasma.github.io/Logging_0380/kartor/A 36842-2025 karta.png", "A 36842-2025")</f>
        <v/>
      </c>
      <c r="V111">
        <f>HYPERLINK("https://klasma.github.io/Logging_0380/klagomål/A 36842-2025 FSC-klagomål.docx", "A 36842-2025")</f>
        <v/>
      </c>
      <c r="W111">
        <f>HYPERLINK("https://klasma.github.io/Logging_0380/klagomålsmail/A 36842-2025 FSC-klagomål mail.docx", "A 36842-2025")</f>
        <v/>
      </c>
      <c r="X111">
        <f>HYPERLINK("https://klasma.github.io/Logging_0380/tillsyn/A 36842-2025 tillsynsbegäran.docx", "A 36842-2025")</f>
        <v/>
      </c>
      <c r="Y111">
        <f>HYPERLINK("https://klasma.github.io/Logging_0380/tillsynsmail/A 36842-2025 tillsynsbegäran mail.docx", "A 36842-2025")</f>
        <v/>
      </c>
    </row>
    <row r="112" ht="15" customHeight="1">
      <c r="A112" t="inlineStr">
        <is>
          <t>A 37004-2025</t>
        </is>
      </c>
      <c r="B112" s="1" t="n">
        <v>45874.69282407407</v>
      </c>
      <c r="C112" s="1" t="n">
        <v>45884</v>
      </c>
      <c r="D112" t="inlineStr">
        <is>
          <t>UPPSALA LÄN</t>
        </is>
      </c>
      <c r="E112" t="inlineStr">
        <is>
          <t>UPPSALA</t>
        </is>
      </c>
      <c r="G112" t="n">
        <v>15.8</v>
      </c>
      <c r="H112" t="n">
        <v>1</v>
      </c>
      <c r="I112" t="n">
        <v>0</v>
      </c>
      <c r="J112" t="n">
        <v>0</v>
      </c>
      <c r="K112" t="n">
        <v>0</v>
      </c>
      <c r="L112" t="n">
        <v>0</v>
      </c>
      <c r="M112" t="n">
        <v>0</v>
      </c>
      <c r="N112" t="n">
        <v>0</v>
      </c>
      <c r="O112" t="n">
        <v>0</v>
      </c>
      <c r="P112" t="n">
        <v>0</v>
      </c>
      <c r="Q112" t="n">
        <v>1</v>
      </c>
      <c r="R112" s="2" t="inlineStr">
        <is>
          <t>Vanlig padda</t>
        </is>
      </c>
      <c r="S112">
        <f>HYPERLINK("https://klasma.github.io/Logging_0380/artfynd/A 37004-2025 artfynd.xlsx", "A 37004-2025")</f>
        <v/>
      </c>
      <c r="T112">
        <f>HYPERLINK("https://klasma.github.io/Logging_0380/kartor/A 37004-2025 karta.png", "A 37004-2025")</f>
        <v/>
      </c>
      <c r="V112">
        <f>HYPERLINK("https://klasma.github.io/Logging_0380/klagomål/A 37004-2025 FSC-klagomål.docx", "A 37004-2025")</f>
        <v/>
      </c>
      <c r="W112">
        <f>HYPERLINK("https://klasma.github.io/Logging_0380/klagomålsmail/A 37004-2025 FSC-klagomål mail.docx", "A 37004-2025")</f>
        <v/>
      </c>
      <c r="X112">
        <f>HYPERLINK("https://klasma.github.io/Logging_0380/tillsyn/A 37004-2025 tillsynsbegäran.docx", "A 37004-2025")</f>
        <v/>
      </c>
      <c r="Y112">
        <f>HYPERLINK("https://klasma.github.io/Logging_0380/tillsynsmail/A 37004-2025 tillsynsbegäran mail.docx", "A 37004-2025")</f>
        <v/>
      </c>
    </row>
    <row r="113" ht="15" customHeight="1">
      <c r="A113" t="inlineStr">
        <is>
          <t>A 58288-2020</t>
        </is>
      </c>
      <c r="B113" s="1" t="n">
        <v>44144</v>
      </c>
      <c r="C113" s="1" t="n">
        <v>45884</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45884</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45884</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45884</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45884</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45884</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45884</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45884</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45884</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45884</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45884</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45884</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45884</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45884</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45884</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45884</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45884</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45884</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45884</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45884</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45884</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45884</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45884</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45884</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45884</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45884</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5663-2021</t>
        </is>
      </c>
      <c r="B139" s="1" t="n">
        <v>44230</v>
      </c>
      <c r="C139" s="1" t="n">
        <v>45884</v>
      </c>
      <c r="D139" t="inlineStr">
        <is>
          <t>UPPSALA LÄN</t>
        </is>
      </c>
      <c r="E139" t="inlineStr">
        <is>
          <t>UPPSALA</t>
        </is>
      </c>
      <c r="G139" t="n">
        <v>0.9</v>
      </c>
      <c r="H139" t="n">
        <v>0</v>
      </c>
      <c r="I139" t="n">
        <v>0</v>
      </c>
      <c r="J139" t="n">
        <v>0</v>
      </c>
      <c r="K139" t="n">
        <v>0</v>
      </c>
      <c r="L139" t="n">
        <v>0</v>
      </c>
      <c r="M139" t="n">
        <v>0</v>
      </c>
      <c r="N139" t="n">
        <v>0</v>
      </c>
      <c r="O139" t="n">
        <v>0</v>
      </c>
      <c r="P139" t="n">
        <v>0</v>
      </c>
      <c r="Q139" t="n">
        <v>0</v>
      </c>
      <c r="R139" s="2" t="inlineStr"/>
    </row>
    <row r="140" ht="15" customHeight="1">
      <c r="A140" t="inlineStr">
        <is>
          <t>A 59881-2021</t>
        </is>
      </c>
      <c r="B140" s="1" t="n">
        <v>44494</v>
      </c>
      <c r="C140" s="1" t="n">
        <v>45884</v>
      </c>
      <c r="D140" t="inlineStr">
        <is>
          <t>UPPSALA LÄN</t>
        </is>
      </c>
      <c r="E140" t="inlineStr">
        <is>
          <t>UPPSALA</t>
        </is>
      </c>
      <c r="F140" t="inlineStr">
        <is>
          <t>Allmännings- och besparingsskogar</t>
        </is>
      </c>
      <c r="G140" t="n">
        <v>1.6</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45884</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45884</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45884</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45884</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45884</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45884</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45884</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45884</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45884</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45884</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45884</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45884</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45884</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45884</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45884</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45884</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45884</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45884</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45884</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45884</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45884</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45884</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50006-2022</t>
        </is>
      </c>
      <c r="B163" s="1" t="n">
        <v>44865.43494212963</v>
      </c>
      <c r="C163" s="1" t="n">
        <v>45884</v>
      </c>
      <c r="D163" t="inlineStr">
        <is>
          <t>UPPSALA LÄN</t>
        </is>
      </c>
      <c r="E163" t="inlineStr">
        <is>
          <t>UPPSALA</t>
        </is>
      </c>
      <c r="G163" t="n">
        <v>1.5</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45884</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3259-2022</t>
        </is>
      </c>
      <c r="B165" s="1" t="n">
        <v>44583.61555555555</v>
      </c>
      <c r="C165" s="1" t="n">
        <v>45884</v>
      </c>
      <c r="D165" t="inlineStr">
        <is>
          <t>UPPSALA LÄN</t>
        </is>
      </c>
      <c r="E165" t="inlineStr">
        <is>
          <t>UPPSALA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2017-2022</t>
        </is>
      </c>
      <c r="B166" s="1" t="n">
        <v>44575</v>
      </c>
      <c r="C166" s="1" t="n">
        <v>45884</v>
      </c>
      <c r="D166" t="inlineStr">
        <is>
          <t>UPPSALA LÄN</t>
        </is>
      </c>
      <c r="E166" t="inlineStr">
        <is>
          <t>UPPSALA</t>
        </is>
      </c>
      <c r="G166" t="n">
        <v>1.1</v>
      </c>
      <c r="H166" t="n">
        <v>0</v>
      </c>
      <c r="I166" t="n">
        <v>0</v>
      </c>
      <c r="J166" t="n">
        <v>0</v>
      </c>
      <c r="K166" t="n">
        <v>0</v>
      </c>
      <c r="L166" t="n">
        <v>0</v>
      </c>
      <c r="M166" t="n">
        <v>0</v>
      </c>
      <c r="N166" t="n">
        <v>0</v>
      </c>
      <c r="O166" t="n">
        <v>0</v>
      </c>
      <c r="P166" t="n">
        <v>0</v>
      </c>
      <c r="Q166" t="n">
        <v>0</v>
      </c>
      <c r="R166" s="2" t="inlineStr"/>
    </row>
    <row r="167" ht="15" customHeight="1">
      <c r="A167" t="inlineStr">
        <is>
          <t>A 71675-2021</t>
        </is>
      </c>
      <c r="B167" s="1" t="n">
        <v>44543</v>
      </c>
      <c r="C167" s="1" t="n">
        <v>45884</v>
      </c>
      <c r="D167" t="inlineStr">
        <is>
          <t>UPPSALA LÄN</t>
        </is>
      </c>
      <c r="E167" t="inlineStr">
        <is>
          <t>UPPSALA</t>
        </is>
      </c>
      <c r="F167" t="inlineStr">
        <is>
          <t>Bergvik skog öst AB</t>
        </is>
      </c>
      <c r="G167" t="n">
        <v>1.4</v>
      </c>
      <c r="H167" t="n">
        <v>0</v>
      </c>
      <c r="I167" t="n">
        <v>0</v>
      </c>
      <c r="J167" t="n">
        <v>0</v>
      </c>
      <c r="K167" t="n">
        <v>0</v>
      </c>
      <c r="L167" t="n">
        <v>0</v>
      </c>
      <c r="M167" t="n">
        <v>0</v>
      </c>
      <c r="N167" t="n">
        <v>0</v>
      </c>
      <c r="O167" t="n">
        <v>0</v>
      </c>
      <c r="P167" t="n">
        <v>0</v>
      </c>
      <c r="Q167" t="n">
        <v>0</v>
      </c>
      <c r="R167" s="2" t="inlineStr"/>
    </row>
    <row r="168" ht="15" customHeight="1">
      <c r="A168" t="inlineStr">
        <is>
          <t>A 51821-2021</t>
        </is>
      </c>
      <c r="B168" s="1" t="n">
        <v>44461</v>
      </c>
      <c r="C168" s="1" t="n">
        <v>45884</v>
      </c>
      <c r="D168" t="inlineStr">
        <is>
          <t>UPPSALA LÄN</t>
        </is>
      </c>
      <c r="E168" t="inlineStr">
        <is>
          <t>UPPSALA</t>
        </is>
      </c>
      <c r="F168" t="inlineStr">
        <is>
          <t>Övriga Aktiebolag</t>
        </is>
      </c>
      <c r="G168" t="n">
        <v>5.3</v>
      </c>
      <c r="H168" t="n">
        <v>0</v>
      </c>
      <c r="I168" t="n">
        <v>0</v>
      </c>
      <c r="J168" t="n">
        <v>0</v>
      </c>
      <c r="K168" t="n">
        <v>0</v>
      </c>
      <c r="L168" t="n">
        <v>0</v>
      </c>
      <c r="M168" t="n">
        <v>0</v>
      </c>
      <c r="N168" t="n">
        <v>0</v>
      </c>
      <c r="O168" t="n">
        <v>0</v>
      </c>
      <c r="P168" t="n">
        <v>0</v>
      </c>
      <c r="Q168" t="n">
        <v>0</v>
      </c>
      <c r="R168" s="2" t="inlineStr"/>
    </row>
    <row r="169" ht="15" customHeight="1">
      <c r="A169" t="inlineStr">
        <is>
          <t>A 55066-2022</t>
        </is>
      </c>
      <c r="B169" s="1" t="n">
        <v>44886.58890046296</v>
      </c>
      <c r="C169" s="1" t="n">
        <v>45884</v>
      </c>
      <c r="D169" t="inlineStr">
        <is>
          <t>UPPSALA LÄN</t>
        </is>
      </c>
      <c r="E169" t="inlineStr">
        <is>
          <t>UPPSALA</t>
        </is>
      </c>
      <c r="G169" t="n">
        <v>0.4</v>
      </c>
      <c r="H169" t="n">
        <v>0</v>
      </c>
      <c r="I169" t="n">
        <v>0</v>
      </c>
      <c r="J169" t="n">
        <v>0</v>
      </c>
      <c r="K169" t="n">
        <v>0</v>
      </c>
      <c r="L169" t="n">
        <v>0</v>
      </c>
      <c r="M169" t="n">
        <v>0</v>
      </c>
      <c r="N169" t="n">
        <v>0</v>
      </c>
      <c r="O169" t="n">
        <v>0</v>
      </c>
      <c r="P169" t="n">
        <v>0</v>
      </c>
      <c r="Q169" t="n">
        <v>0</v>
      </c>
      <c r="R169" s="2" t="inlineStr"/>
    </row>
    <row r="170" ht="15" customHeight="1">
      <c r="A170" t="inlineStr">
        <is>
          <t>A 34838-2021</t>
        </is>
      </c>
      <c r="B170" s="1" t="n">
        <v>44383</v>
      </c>
      <c r="C170" s="1" t="n">
        <v>45884</v>
      </c>
      <c r="D170" t="inlineStr">
        <is>
          <t>UPPSALA LÄN</t>
        </is>
      </c>
      <c r="E170" t="inlineStr">
        <is>
          <t>UPPSALA</t>
        </is>
      </c>
      <c r="F170" t="inlineStr">
        <is>
          <t>Bergvik skog öst AB</t>
        </is>
      </c>
      <c r="G170" t="n">
        <v>1</v>
      </c>
      <c r="H170" t="n">
        <v>0</v>
      </c>
      <c r="I170" t="n">
        <v>0</v>
      </c>
      <c r="J170" t="n">
        <v>0</v>
      </c>
      <c r="K170" t="n">
        <v>0</v>
      </c>
      <c r="L170" t="n">
        <v>0</v>
      </c>
      <c r="M170" t="n">
        <v>0</v>
      </c>
      <c r="N170" t="n">
        <v>0</v>
      </c>
      <c r="O170" t="n">
        <v>0</v>
      </c>
      <c r="P170" t="n">
        <v>0</v>
      </c>
      <c r="Q170" t="n">
        <v>0</v>
      </c>
      <c r="R170" s="2" t="inlineStr"/>
    </row>
    <row r="171" ht="15" customHeight="1">
      <c r="A171" t="inlineStr">
        <is>
          <t>A 1936-2022</t>
        </is>
      </c>
      <c r="B171" s="1" t="n">
        <v>44575.4366087963</v>
      </c>
      <c r="C171" s="1" t="n">
        <v>45884</v>
      </c>
      <c r="D171" t="inlineStr">
        <is>
          <t>UPPSALA LÄN</t>
        </is>
      </c>
      <c r="E171" t="inlineStr">
        <is>
          <t>UPPSALA</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45884</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33920-2021</t>
        </is>
      </c>
      <c r="B173" s="1" t="n">
        <v>44378.69857638889</v>
      </c>
      <c r="C173" s="1" t="n">
        <v>45884</v>
      </c>
      <c r="D173" t="inlineStr">
        <is>
          <t>UPPSALA LÄN</t>
        </is>
      </c>
      <c r="E173" t="inlineStr">
        <is>
          <t>UPPSALA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59241-2021</t>
        </is>
      </c>
      <c r="B174" s="1" t="n">
        <v>44490.64313657407</v>
      </c>
      <c r="C174" s="1" t="n">
        <v>45884</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22946-2021</t>
        </is>
      </c>
      <c r="B175" s="1" t="n">
        <v>44328.57100694445</v>
      </c>
      <c r="C175" s="1" t="n">
        <v>45884</v>
      </c>
      <c r="D175" t="inlineStr">
        <is>
          <t>UPPSALA LÄN</t>
        </is>
      </c>
      <c r="E175" t="inlineStr">
        <is>
          <t>UPPSALA</t>
        </is>
      </c>
      <c r="G175" t="n">
        <v>2.3</v>
      </c>
      <c r="H175" t="n">
        <v>0</v>
      </c>
      <c r="I175" t="n">
        <v>0</v>
      </c>
      <c r="J175" t="n">
        <v>0</v>
      </c>
      <c r="K175" t="n">
        <v>0</v>
      </c>
      <c r="L175" t="n">
        <v>0</v>
      </c>
      <c r="M175" t="n">
        <v>0</v>
      </c>
      <c r="N175" t="n">
        <v>0</v>
      </c>
      <c r="O175" t="n">
        <v>0</v>
      </c>
      <c r="P175" t="n">
        <v>0</v>
      </c>
      <c r="Q175" t="n">
        <v>0</v>
      </c>
      <c r="R175" s="2" t="inlineStr"/>
    </row>
    <row r="176" ht="15" customHeight="1">
      <c r="A176" t="inlineStr">
        <is>
          <t>A 31646-2021</t>
        </is>
      </c>
      <c r="B176" s="1" t="n">
        <v>44369</v>
      </c>
      <c r="C176" s="1" t="n">
        <v>45884</v>
      </c>
      <c r="D176" t="inlineStr">
        <is>
          <t>UPPSALA LÄN</t>
        </is>
      </c>
      <c r="E176" t="inlineStr">
        <is>
          <t>UPPSALA</t>
        </is>
      </c>
      <c r="G176" t="n">
        <v>1.7</v>
      </c>
      <c r="H176" t="n">
        <v>0</v>
      </c>
      <c r="I176" t="n">
        <v>0</v>
      </c>
      <c r="J176" t="n">
        <v>0</v>
      </c>
      <c r="K176" t="n">
        <v>0</v>
      </c>
      <c r="L176" t="n">
        <v>0</v>
      </c>
      <c r="M176" t="n">
        <v>0</v>
      </c>
      <c r="N176" t="n">
        <v>0</v>
      </c>
      <c r="O176" t="n">
        <v>0</v>
      </c>
      <c r="P176" t="n">
        <v>0</v>
      </c>
      <c r="Q176" t="n">
        <v>0</v>
      </c>
      <c r="R176" s="2" t="inlineStr"/>
    </row>
    <row r="177" ht="15" customHeight="1">
      <c r="A177" t="inlineStr">
        <is>
          <t>A 62865-2021</t>
        </is>
      </c>
      <c r="B177" s="1" t="n">
        <v>44504.59193287037</v>
      </c>
      <c r="C177" s="1" t="n">
        <v>45884</v>
      </c>
      <c r="D177" t="inlineStr">
        <is>
          <t>UPPSALA LÄN</t>
        </is>
      </c>
      <c r="E177" t="inlineStr">
        <is>
          <t>UPPSALA</t>
        </is>
      </c>
      <c r="F177" t="inlineStr">
        <is>
          <t>Bergvik skog öst AB</t>
        </is>
      </c>
      <c r="G177" t="n">
        <v>1.7</v>
      </c>
      <c r="H177" t="n">
        <v>0</v>
      </c>
      <c r="I177" t="n">
        <v>0</v>
      </c>
      <c r="J177" t="n">
        <v>0</v>
      </c>
      <c r="K177" t="n">
        <v>0</v>
      </c>
      <c r="L177" t="n">
        <v>0</v>
      </c>
      <c r="M177" t="n">
        <v>0</v>
      </c>
      <c r="N177" t="n">
        <v>0</v>
      </c>
      <c r="O177" t="n">
        <v>0</v>
      </c>
      <c r="P177" t="n">
        <v>0</v>
      </c>
      <c r="Q177" t="n">
        <v>0</v>
      </c>
      <c r="R177" s="2" t="inlineStr"/>
    </row>
    <row r="178" ht="15" customHeight="1">
      <c r="A178" t="inlineStr">
        <is>
          <t>A 45930-2020</t>
        </is>
      </c>
      <c r="B178" s="1" t="n">
        <v>44091</v>
      </c>
      <c r="C178" s="1" t="n">
        <v>45884</v>
      </c>
      <c r="D178" t="inlineStr">
        <is>
          <t>UPPSALA LÄN</t>
        </is>
      </c>
      <c r="E178" t="inlineStr">
        <is>
          <t>UPPSALA</t>
        </is>
      </c>
      <c r="F178" t="inlineStr">
        <is>
          <t>Holmen skog AB</t>
        </is>
      </c>
      <c r="G178" t="n">
        <v>1.8</v>
      </c>
      <c r="H178" t="n">
        <v>0</v>
      </c>
      <c r="I178" t="n">
        <v>0</v>
      </c>
      <c r="J178" t="n">
        <v>0</v>
      </c>
      <c r="K178" t="n">
        <v>0</v>
      </c>
      <c r="L178" t="n">
        <v>0</v>
      </c>
      <c r="M178" t="n">
        <v>0</v>
      </c>
      <c r="N178" t="n">
        <v>0</v>
      </c>
      <c r="O178" t="n">
        <v>0</v>
      </c>
      <c r="P178" t="n">
        <v>0</v>
      </c>
      <c r="Q178" t="n">
        <v>0</v>
      </c>
      <c r="R178" s="2" t="inlineStr"/>
    </row>
    <row r="179" ht="15" customHeight="1">
      <c r="A179" t="inlineStr">
        <is>
          <t>A 13009-2022</t>
        </is>
      </c>
      <c r="B179" s="1" t="n">
        <v>44643.51446759259</v>
      </c>
      <c r="C179" s="1" t="n">
        <v>45884</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29134-2022</t>
        </is>
      </c>
      <c r="B180" s="1" t="n">
        <v>44750.45800925926</v>
      </c>
      <c r="C180" s="1" t="n">
        <v>45884</v>
      </c>
      <c r="D180" t="inlineStr">
        <is>
          <t>UPPSALA LÄN</t>
        </is>
      </c>
      <c r="E180" t="inlineStr">
        <is>
          <t>UPPSALA</t>
        </is>
      </c>
      <c r="G180" t="n">
        <v>1.2</v>
      </c>
      <c r="H180" t="n">
        <v>0</v>
      </c>
      <c r="I180" t="n">
        <v>0</v>
      </c>
      <c r="J180" t="n">
        <v>0</v>
      </c>
      <c r="K180" t="n">
        <v>0</v>
      </c>
      <c r="L180" t="n">
        <v>0</v>
      </c>
      <c r="M180" t="n">
        <v>0</v>
      </c>
      <c r="N180" t="n">
        <v>0</v>
      </c>
      <c r="O180" t="n">
        <v>0</v>
      </c>
      <c r="P180" t="n">
        <v>0</v>
      </c>
      <c r="Q180" t="n">
        <v>0</v>
      </c>
      <c r="R180" s="2" t="inlineStr"/>
    </row>
    <row r="181" ht="15" customHeight="1">
      <c r="A181" t="inlineStr">
        <is>
          <t>A 42341-2020</t>
        </is>
      </c>
      <c r="B181" s="1" t="n">
        <v>44076</v>
      </c>
      <c r="C181" s="1" t="n">
        <v>45884</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20265-2022</t>
        </is>
      </c>
      <c r="B182" s="1" t="n">
        <v>44698.67151620371</v>
      </c>
      <c r="C182" s="1" t="n">
        <v>45884</v>
      </c>
      <c r="D182" t="inlineStr">
        <is>
          <t>UPPSALA LÄN</t>
        </is>
      </c>
      <c r="E182" t="inlineStr">
        <is>
          <t>UPPSALA</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20980-2022</t>
        </is>
      </c>
      <c r="B183" s="1" t="n">
        <v>44702.70721064815</v>
      </c>
      <c r="C183" s="1" t="n">
        <v>45884</v>
      </c>
      <c r="D183" t="inlineStr">
        <is>
          <t>UPPSALA LÄN</t>
        </is>
      </c>
      <c r="E183" t="inlineStr">
        <is>
          <t>UPPSALA</t>
        </is>
      </c>
      <c r="G183" t="n">
        <v>0.8</v>
      </c>
      <c r="H183" t="n">
        <v>0</v>
      </c>
      <c r="I183" t="n">
        <v>0</v>
      </c>
      <c r="J183" t="n">
        <v>0</v>
      </c>
      <c r="K183" t="n">
        <v>0</v>
      </c>
      <c r="L183" t="n">
        <v>0</v>
      </c>
      <c r="M183" t="n">
        <v>0</v>
      </c>
      <c r="N183" t="n">
        <v>0</v>
      </c>
      <c r="O183" t="n">
        <v>0</v>
      </c>
      <c r="P183" t="n">
        <v>0</v>
      </c>
      <c r="Q183" t="n">
        <v>0</v>
      </c>
      <c r="R183" s="2" t="inlineStr"/>
    </row>
    <row r="184" ht="15" customHeight="1">
      <c r="A184" t="inlineStr">
        <is>
          <t>A 14022-2021</t>
        </is>
      </c>
      <c r="B184" s="1" t="n">
        <v>44277.65263888889</v>
      </c>
      <c r="C184" s="1" t="n">
        <v>45884</v>
      </c>
      <c r="D184" t="inlineStr">
        <is>
          <t>UPPSALA LÄN</t>
        </is>
      </c>
      <c r="E184" t="inlineStr">
        <is>
          <t>UPPSALA</t>
        </is>
      </c>
      <c r="G184" t="n">
        <v>11.1</v>
      </c>
      <c r="H184" t="n">
        <v>0</v>
      </c>
      <c r="I184" t="n">
        <v>0</v>
      </c>
      <c r="J184" t="n">
        <v>0</v>
      </c>
      <c r="K184" t="n">
        <v>0</v>
      </c>
      <c r="L184" t="n">
        <v>0</v>
      </c>
      <c r="M184" t="n">
        <v>0</v>
      </c>
      <c r="N184" t="n">
        <v>0</v>
      </c>
      <c r="O184" t="n">
        <v>0</v>
      </c>
      <c r="P184" t="n">
        <v>0</v>
      </c>
      <c r="Q184" t="n">
        <v>0</v>
      </c>
      <c r="R184" s="2" t="inlineStr"/>
    </row>
    <row r="185" ht="15" customHeight="1">
      <c r="A185" t="inlineStr">
        <is>
          <t>A 46097-2021</t>
        </is>
      </c>
      <c r="B185" s="1" t="n">
        <v>44442.35195601852</v>
      </c>
      <c r="C185" s="1" t="n">
        <v>45884</v>
      </c>
      <c r="D185" t="inlineStr">
        <is>
          <t>UPPSALA LÄN</t>
        </is>
      </c>
      <c r="E185" t="inlineStr">
        <is>
          <t>UPPSALA</t>
        </is>
      </c>
      <c r="G185" t="n">
        <v>0.5</v>
      </c>
      <c r="H185" t="n">
        <v>0</v>
      </c>
      <c r="I185" t="n">
        <v>0</v>
      </c>
      <c r="J185" t="n">
        <v>0</v>
      </c>
      <c r="K185" t="n">
        <v>0</v>
      </c>
      <c r="L185" t="n">
        <v>0</v>
      </c>
      <c r="M185" t="n">
        <v>0</v>
      </c>
      <c r="N185" t="n">
        <v>0</v>
      </c>
      <c r="O185" t="n">
        <v>0</v>
      </c>
      <c r="P185" t="n">
        <v>0</v>
      </c>
      <c r="Q185" t="n">
        <v>0</v>
      </c>
      <c r="R185" s="2" t="inlineStr"/>
    </row>
    <row r="186" ht="15" customHeight="1">
      <c r="A186" t="inlineStr">
        <is>
          <t>A 46099-2021</t>
        </is>
      </c>
      <c r="B186" s="1" t="n">
        <v>44442</v>
      </c>
      <c r="C186" s="1" t="n">
        <v>45884</v>
      </c>
      <c r="D186" t="inlineStr">
        <is>
          <t>UPPSALA LÄN</t>
        </is>
      </c>
      <c r="E186" t="inlineStr">
        <is>
          <t>UPPSALA</t>
        </is>
      </c>
      <c r="G186" t="n">
        <v>0.7</v>
      </c>
      <c r="H186" t="n">
        <v>0</v>
      </c>
      <c r="I186" t="n">
        <v>0</v>
      </c>
      <c r="J186" t="n">
        <v>0</v>
      </c>
      <c r="K186" t="n">
        <v>0</v>
      </c>
      <c r="L186" t="n">
        <v>0</v>
      </c>
      <c r="M186" t="n">
        <v>0</v>
      </c>
      <c r="N186" t="n">
        <v>0</v>
      </c>
      <c r="O186" t="n">
        <v>0</v>
      </c>
      <c r="P186" t="n">
        <v>0</v>
      </c>
      <c r="Q186" t="n">
        <v>0</v>
      </c>
      <c r="R186" s="2" t="inlineStr"/>
    </row>
    <row r="187" ht="15" customHeight="1">
      <c r="A187" t="inlineStr">
        <is>
          <t>A 14941-2021</t>
        </is>
      </c>
      <c r="B187" s="1" t="n">
        <v>44281.4499537037</v>
      </c>
      <c r="C187" s="1" t="n">
        <v>45884</v>
      </c>
      <c r="D187" t="inlineStr">
        <is>
          <t>UPPSALA LÄN</t>
        </is>
      </c>
      <c r="E187" t="inlineStr">
        <is>
          <t>UPPSALA</t>
        </is>
      </c>
      <c r="F187" t="inlineStr">
        <is>
          <t>Holmen skog AB</t>
        </is>
      </c>
      <c r="G187" t="n">
        <v>1.2</v>
      </c>
      <c r="H187" t="n">
        <v>0</v>
      </c>
      <c r="I187" t="n">
        <v>0</v>
      </c>
      <c r="J187" t="n">
        <v>0</v>
      </c>
      <c r="K187" t="n">
        <v>0</v>
      </c>
      <c r="L187" t="n">
        <v>0</v>
      </c>
      <c r="M187" t="n">
        <v>0</v>
      </c>
      <c r="N187" t="n">
        <v>0</v>
      </c>
      <c r="O187" t="n">
        <v>0</v>
      </c>
      <c r="P187" t="n">
        <v>0</v>
      </c>
      <c r="Q187" t="n">
        <v>0</v>
      </c>
      <c r="R187" s="2" t="inlineStr"/>
    </row>
    <row r="188" ht="15" customHeight="1">
      <c r="A188" t="inlineStr">
        <is>
          <t>A 8475-2022</t>
        </is>
      </c>
      <c r="B188" s="1" t="n">
        <v>44610</v>
      </c>
      <c r="C188" s="1" t="n">
        <v>45884</v>
      </c>
      <c r="D188" t="inlineStr">
        <is>
          <t>UPPSALA LÄN</t>
        </is>
      </c>
      <c r="E188" t="inlineStr">
        <is>
          <t>UPPSALA</t>
        </is>
      </c>
      <c r="F188" t="inlineStr">
        <is>
          <t>Allmännings- och besparingsskogar</t>
        </is>
      </c>
      <c r="G188" t="n">
        <v>32.7</v>
      </c>
      <c r="H188" t="n">
        <v>0</v>
      </c>
      <c r="I188" t="n">
        <v>0</v>
      </c>
      <c r="J188" t="n">
        <v>0</v>
      </c>
      <c r="K188" t="n">
        <v>0</v>
      </c>
      <c r="L188" t="n">
        <v>0</v>
      </c>
      <c r="M188" t="n">
        <v>0</v>
      </c>
      <c r="N188" t="n">
        <v>0</v>
      </c>
      <c r="O188" t="n">
        <v>0</v>
      </c>
      <c r="P188" t="n">
        <v>0</v>
      </c>
      <c r="Q188" t="n">
        <v>0</v>
      </c>
      <c r="R188" s="2" t="inlineStr"/>
    </row>
    <row r="189" ht="15" customHeight="1">
      <c r="A189" t="inlineStr">
        <is>
          <t>A 45849-2022</t>
        </is>
      </c>
      <c r="B189" s="1" t="n">
        <v>44846</v>
      </c>
      <c r="C189" s="1" t="n">
        <v>45884</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46647-2020</t>
        </is>
      </c>
      <c r="B190" s="1" t="n">
        <v>44095</v>
      </c>
      <c r="C190" s="1" t="n">
        <v>45884</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5996-2022</t>
        </is>
      </c>
      <c r="B191" s="1" t="n">
        <v>44599.43265046296</v>
      </c>
      <c r="C191" s="1" t="n">
        <v>45884</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73468-2021</t>
        </is>
      </c>
      <c r="B192" s="1" t="n">
        <v>44551.59704861111</v>
      </c>
      <c r="C192" s="1" t="n">
        <v>45884</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56466-2020</t>
        </is>
      </c>
      <c r="B193" s="1" t="n">
        <v>44134</v>
      </c>
      <c r="C193" s="1" t="n">
        <v>45884</v>
      </c>
      <c r="D193" t="inlineStr">
        <is>
          <t>UPPSALA LÄN</t>
        </is>
      </c>
      <c r="E193" t="inlineStr">
        <is>
          <t>UPPSALA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50092-2022</t>
        </is>
      </c>
      <c r="B194" s="1" t="n">
        <v>44865</v>
      </c>
      <c r="C194" s="1" t="n">
        <v>45884</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51396-2021</t>
        </is>
      </c>
      <c r="B195" s="1" t="n">
        <v>44461.73350694445</v>
      </c>
      <c r="C195" s="1" t="n">
        <v>45884</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46916-2021</t>
        </is>
      </c>
      <c r="B196" s="1" t="n">
        <v>44446.47693287037</v>
      </c>
      <c r="C196" s="1" t="n">
        <v>45884</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45884</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45884</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874-2022</t>
        </is>
      </c>
      <c r="B199" s="1" t="n">
        <v>44571.44563657408</v>
      </c>
      <c r="C199" s="1" t="n">
        <v>45884</v>
      </c>
      <c r="D199" t="inlineStr">
        <is>
          <t>UPPSALA LÄN</t>
        </is>
      </c>
      <c r="E199" t="inlineStr">
        <is>
          <t>UPPSALA</t>
        </is>
      </c>
      <c r="G199" t="n">
        <v>7.2</v>
      </c>
      <c r="H199" t="n">
        <v>0</v>
      </c>
      <c r="I199" t="n">
        <v>0</v>
      </c>
      <c r="J199" t="n">
        <v>0</v>
      </c>
      <c r="K199" t="n">
        <v>0</v>
      </c>
      <c r="L199" t="n">
        <v>0</v>
      </c>
      <c r="M199" t="n">
        <v>0</v>
      </c>
      <c r="N199" t="n">
        <v>0</v>
      </c>
      <c r="O199" t="n">
        <v>0</v>
      </c>
      <c r="P199" t="n">
        <v>0</v>
      </c>
      <c r="Q199" t="n">
        <v>0</v>
      </c>
      <c r="R199" s="2" t="inlineStr"/>
    </row>
    <row r="200" ht="15" customHeight="1">
      <c r="A200" t="inlineStr">
        <is>
          <t>A 48786-2020</t>
        </is>
      </c>
      <c r="B200" s="1" t="n">
        <v>44103</v>
      </c>
      <c r="C200" s="1" t="n">
        <v>45884</v>
      </c>
      <c r="D200" t="inlineStr">
        <is>
          <t>UPPSALA LÄN</t>
        </is>
      </c>
      <c r="E200" t="inlineStr">
        <is>
          <t>UPPSALA</t>
        </is>
      </c>
      <c r="G200" t="n">
        <v>0.4</v>
      </c>
      <c r="H200" t="n">
        <v>0</v>
      </c>
      <c r="I200" t="n">
        <v>0</v>
      </c>
      <c r="J200" t="n">
        <v>0</v>
      </c>
      <c r="K200" t="n">
        <v>0</v>
      </c>
      <c r="L200" t="n">
        <v>0</v>
      </c>
      <c r="M200" t="n">
        <v>0</v>
      </c>
      <c r="N200" t="n">
        <v>0</v>
      </c>
      <c r="O200" t="n">
        <v>0</v>
      </c>
      <c r="P200" t="n">
        <v>0</v>
      </c>
      <c r="Q200" t="n">
        <v>0</v>
      </c>
      <c r="R200" s="2" t="inlineStr"/>
    </row>
    <row r="201" ht="15" customHeight="1">
      <c r="A201" t="inlineStr">
        <is>
          <t>A 59500-2021</t>
        </is>
      </c>
      <c r="B201" s="1" t="n">
        <v>44491.54116898148</v>
      </c>
      <c r="C201" s="1" t="n">
        <v>45884</v>
      </c>
      <c r="D201" t="inlineStr">
        <is>
          <t>UPPSALA LÄN</t>
        </is>
      </c>
      <c r="E201" t="inlineStr">
        <is>
          <t>UPPSALA</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16978-2022</t>
        </is>
      </c>
      <c r="B202" s="1" t="n">
        <v>44676</v>
      </c>
      <c r="C202" s="1" t="n">
        <v>45884</v>
      </c>
      <c r="D202" t="inlineStr">
        <is>
          <t>UPPSALA LÄN</t>
        </is>
      </c>
      <c r="E202" t="inlineStr">
        <is>
          <t>UPPSALA</t>
        </is>
      </c>
      <c r="G202" t="n">
        <v>0.8</v>
      </c>
      <c r="H202" t="n">
        <v>0</v>
      </c>
      <c r="I202" t="n">
        <v>0</v>
      </c>
      <c r="J202" t="n">
        <v>0</v>
      </c>
      <c r="K202" t="n">
        <v>0</v>
      </c>
      <c r="L202" t="n">
        <v>0</v>
      </c>
      <c r="M202" t="n">
        <v>0</v>
      </c>
      <c r="N202" t="n">
        <v>0</v>
      </c>
      <c r="O202" t="n">
        <v>0</v>
      </c>
      <c r="P202" t="n">
        <v>0</v>
      </c>
      <c r="Q202" t="n">
        <v>0</v>
      </c>
      <c r="R202" s="2" t="inlineStr"/>
    </row>
    <row r="203" ht="15" customHeight="1">
      <c r="A203" t="inlineStr">
        <is>
          <t>A 43850-2022</t>
        </is>
      </c>
      <c r="B203" s="1" t="n">
        <v>44838.40635416667</v>
      </c>
      <c r="C203" s="1" t="n">
        <v>45884</v>
      </c>
      <c r="D203" t="inlineStr">
        <is>
          <t>UPPSALA LÄN</t>
        </is>
      </c>
      <c r="E203" t="inlineStr">
        <is>
          <t>UPPSALA</t>
        </is>
      </c>
      <c r="G203" t="n">
        <v>0.6</v>
      </c>
      <c r="H203" t="n">
        <v>0</v>
      </c>
      <c r="I203" t="n">
        <v>0</v>
      </c>
      <c r="J203" t="n">
        <v>0</v>
      </c>
      <c r="K203" t="n">
        <v>0</v>
      </c>
      <c r="L203" t="n">
        <v>0</v>
      </c>
      <c r="M203" t="n">
        <v>0</v>
      </c>
      <c r="N203" t="n">
        <v>0</v>
      </c>
      <c r="O203" t="n">
        <v>0</v>
      </c>
      <c r="P203" t="n">
        <v>0</v>
      </c>
      <c r="Q203" t="n">
        <v>0</v>
      </c>
      <c r="R203" s="2" t="inlineStr"/>
    </row>
    <row r="204" ht="15" customHeight="1">
      <c r="A204" t="inlineStr">
        <is>
          <t>A 5081-2022</t>
        </is>
      </c>
      <c r="B204" s="1" t="n">
        <v>44593</v>
      </c>
      <c r="C204" s="1" t="n">
        <v>45884</v>
      </c>
      <c r="D204" t="inlineStr">
        <is>
          <t>UPPSALA LÄN</t>
        </is>
      </c>
      <c r="E204" t="inlineStr">
        <is>
          <t>UPPSALA</t>
        </is>
      </c>
      <c r="G204" t="n">
        <v>3</v>
      </c>
      <c r="H204" t="n">
        <v>0</v>
      </c>
      <c r="I204" t="n">
        <v>0</v>
      </c>
      <c r="J204" t="n">
        <v>0</v>
      </c>
      <c r="K204" t="n">
        <v>0</v>
      </c>
      <c r="L204" t="n">
        <v>0</v>
      </c>
      <c r="M204" t="n">
        <v>0</v>
      </c>
      <c r="N204" t="n">
        <v>0</v>
      </c>
      <c r="O204" t="n">
        <v>0</v>
      </c>
      <c r="P204" t="n">
        <v>0</v>
      </c>
      <c r="Q204" t="n">
        <v>0</v>
      </c>
      <c r="R204" s="2" t="inlineStr"/>
    </row>
    <row r="205" ht="15" customHeight="1">
      <c r="A205" t="inlineStr">
        <is>
          <t>A 51050-2021</t>
        </is>
      </c>
      <c r="B205" s="1" t="n">
        <v>44459</v>
      </c>
      <c r="C205" s="1" t="n">
        <v>45884</v>
      </c>
      <c r="D205" t="inlineStr">
        <is>
          <t>UPPSALA LÄN</t>
        </is>
      </c>
      <c r="E205" t="inlineStr">
        <is>
          <t>UPPSALA</t>
        </is>
      </c>
      <c r="F205" t="inlineStr">
        <is>
          <t>Övriga Aktiebolag</t>
        </is>
      </c>
      <c r="G205" t="n">
        <v>7.5</v>
      </c>
      <c r="H205" t="n">
        <v>0</v>
      </c>
      <c r="I205" t="n">
        <v>0</v>
      </c>
      <c r="J205" t="n">
        <v>0</v>
      </c>
      <c r="K205" t="n">
        <v>0</v>
      </c>
      <c r="L205" t="n">
        <v>0</v>
      </c>
      <c r="M205" t="n">
        <v>0</v>
      </c>
      <c r="N205" t="n">
        <v>0</v>
      </c>
      <c r="O205" t="n">
        <v>0</v>
      </c>
      <c r="P205" t="n">
        <v>0</v>
      </c>
      <c r="Q205" t="n">
        <v>0</v>
      </c>
      <c r="R205" s="2" t="inlineStr"/>
    </row>
    <row r="206" ht="15" customHeight="1">
      <c r="A206" t="inlineStr">
        <is>
          <t>A 26972-2022</t>
        </is>
      </c>
      <c r="B206" s="1" t="n">
        <v>44740.68142361111</v>
      </c>
      <c r="C206" s="1" t="n">
        <v>45884</v>
      </c>
      <c r="D206" t="inlineStr">
        <is>
          <t>UPPSALA LÄN</t>
        </is>
      </c>
      <c r="E206" t="inlineStr">
        <is>
          <t>UPPSALA</t>
        </is>
      </c>
      <c r="F206" t="inlineStr">
        <is>
          <t>Bergvik skog öst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62504-2020</t>
        </is>
      </c>
      <c r="B207" s="1" t="n">
        <v>44160</v>
      </c>
      <c r="C207" s="1" t="n">
        <v>45884</v>
      </c>
      <c r="D207" t="inlineStr">
        <is>
          <t>UPPSALA LÄN</t>
        </is>
      </c>
      <c r="E207" t="inlineStr">
        <is>
          <t>UPPSALA</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55823-2021</t>
        </is>
      </c>
      <c r="B208" s="1" t="n">
        <v>44476.61263888889</v>
      </c>
      <c r="C208" s="1" t="n">
        <v>45884</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65964-2021</t>
        </is>
      </c>
      <c r="B209" s="1" t="n">
        <v>44517</v>
      </c>
      <c r="C209" s="1" t="n">
        <v>45884</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38892-2022</t>
        </is>
      </c>
      <c r="B210" s="1" t="n">
        <v>44816</v>
      </c>
      <c r="C210" s="1" t="n">
        <v>45884</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46079-2022</t>
        </is>
      </c>
      <c r="B211" s="1" t="n">
        <v>44847.35622685185</v>
      </c>
      <c r="C211" s="1" t="n">
        <v>45884</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21394-2022</t>
        </is>
      </c>
      <c r="B212" s="1" t="n">
        <v>44705.84535879629</v>
      </c>
      <c r="C212" s="1" t="n">
        <v>45884</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11693-2022</t>
        </is>
      </c>
      <c r="B213" s="1" t="n">
        <v>44634</v>
      </c>
      <c r="C213" s="1" t="n">
        <v>45884</v>
      </c>
      <c r="D213" t="inlineStr">
        <is>
          <t>UPPSALA LÄN</t>
        </is>
      </c>
      <c r="E213" t="inlineStr">
        <is>
          <t>UPPSALA</t>
        </is>
      </c>
      <c r="G213" t="n">
        <v>4</v>
      </c>
      <c r="H213" t="n">
        <v>0</v>
      </c>
      <c r="I213" t="n">
        <v>0</v>
      </c>
      <c r="J213" t="n">
        <v>0</v>
      </c>
      <c r="K213" t="n">
        <v>0</v>
      </c>
      <c r="L213" t="n">
        <v>0</v>
      </c>
      <c r="M213" t="n">
        <v>0</v>
      </c>
      <c r="N213" t="n">
        <v>0</v>
      </c>
      <c r="O213" t="n">
        <v>0</v>
      </c>
      <c r="P213" t="n">
        <v>0</v>
      </c>
      <c r="Q213" t="n">
        <v>0</v>
      </c>
      <c r="R213" s="2" t="inlineStr"/>
    </row>
    <row r="214" ht="15" customHeight="1">
      <c r="A214" t="inlineStr">
        <is>
          <t>A 17262-2021</t>
        </is>
      </c>
      <c r="B214" s="1" t="n">
        <v>44297</v>
      </c>
      <c r="C214" s="1" t="n">
        <v>45884</v>
      </c>
      <c r="D214" t="inlineStr">
        <is>
          <t>UPPSALA LÄN</t>
        </is>
      </c>
      <c r="E214" t="inlineStr">
        <is>
          <t>UPPSALA</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56463-2021</t>
        </is>
      </c>
      <c r="B215" s="1" t="n">
        <v>44479</v>
      </c>
      <c r="C215" s="1" t="n">
        <v>45884</v>
      </c>
      <c r="D215" t="inlineStr">
        <is>
          <t>UPPSALA LÄN</t>
        </is>
      </c>
      <c r="E215" t="inlineStr">
        <is>
          <t>UPPSALA</t>
        </is>
      </c>
      <c r="G215" t="n">
        <v>6.4</v>
      </c>
      <c r="H215" t="n">
        <v>0</v>
      </c>
      <c r="I215" t="n">
        <v>0</v>
      </c>
      <c r="J215" t="n">
        <v>0</v>
      </c>
      <c r="K215" t="n">
        <v>0</v>
      </c>
      <c r="L215" t="n">
        <v>0</v>
      </c>
      <c r="M215" t="n">
        <v>0</v>
      </c>
      <c r="N215" t="n">
        <v>0</v>
      </c>
      <c r="O215" t="n">
        <v>0</v>
      </c>
      <c r="P215" t="n">
        <v>0</v>
      </c>
      <c r="Q215" t="n">
        <v>0</v>
      </c>
      <c r="R215" s="2" t="inlineStr"/>
    </row>
    <row r="216" ht="15" customHeight="1">
      <c r="A216" t="inlineStr">
        <is>
          <t>A 71643-2021</t>
        </is>
      </c>
      <c r="B216" s="1" t="n">
        <v>44543.34697916666</v>
      </c>
      <c r="C216" s="1" t="n">
        <v>45884</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58767-2021</t>
        </is>
      </c>
      <c r="B217" s="1" t="n">
        <v>44489</v>
      </c>
      <c r="C217" s="1" t="n">
        <v>45884</v>
      </c>
      <c r="D217" t="inlineStr">
        <is>
          <t>UPPSALA LÄN</t>
        </is>
      </c>
      <c r="E217" t="inlineStr">
        <is>
          <t>UPPSALA</t>
        </is>
      </c>
      <c r="G217" t="n">
        <v>4.8</v>
      </c>
      <c r="H217" t="n">
        <v>0</v>
      </c>
      <c r="I217" t="n">
        <v>0</v>
      </c>
      <c r="J217" t="n">
        <v>0</v>
      </c>
      <c r="K217" t="n">
        <v>0</v>
      </c>
      <c r="L217" t="n">
        <v>0</v>
      </c>
      <c r="M217" t="n">
        <v>0</v>
      </c>
      <c r="N217" t="n">
        <v>0</v>
      </c>
      <c r="O217" t="n">
        <v>0</v>
      </c>
      <c r="P217" t="n">
        <v>0</v>
      </c>
      <c r="Q217" t="n">
        <v>0</v>
      </c>
      <c r="R217" s="2" t="inlineStr"/>
    </row>
    <row r="218" ht="15" customHeight="1">
      <c r="A218" t="inlineStr">
        <is>
          <t>A 60032-2021</t>
        </is>
      </c>
      <c r="B218" s="1" t="n">
        <v>44495</v>
      </c>
      <c r="C218" s="1" t="n">
        <v>45884</v>
      </c>
      <c r="D218" t="inlineStr">
        <is>
          <t>UPPSALA LÄN</t>
        </is>
      </c>
      <c r="E218" t="inlineStr">
        <is>
          <t>UPPSALA</t>
        </is>
      </c>
      <c r="G218" t="n">
        <v>1.8</v>
      </c>
      <c r="H218" t="n">
        <v>0</v>
      </c>
      <c r="I218" t="n">
        <v>0</v>
      </c>
      <c r="J218" t="n">
        <v>0</v>
      </c>
      <c r="K218" t="n">
        <v>0</v>
      </c>
      <c r="L218" t="n">
        <v>0</v>
      </c>
      <c r="M218" t="n">
        <v>0</v>
      </c>
      <c r="N218" t="n">
        <v>0</v>
      </c>
      <c r="O218" t="n">
        <v>0</v>
      </c>
      <c r="P218" t="n">
        <v>0</v>
      </c>
      <c r="Q218" t="n">
        <v>0</v>
      </c>
      <c r="R218" s="2" t="inlineStr"/>
    </row>
    <row r="219" ht="15" customHeight="1">
      <c r="A219" t="inlineStr">
        <is>
          <t>A 21387-2022</t>
        </is>
      </c>
      <c r="B219" s="1" t="n">
        <v>44705.78475694444</v>
      </c>
      <c r="C219" s="1" t="n">
        <v>45884</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21391-2022</t>
        </is>
      </c>
      <c r="B220" s="1" t="n">
        <v>44705.83326388889</v>
      </c>
      <c r="C220" s="1" t="n">
        <v>45884</v>
      </c>
      <c r="D220" t="inlineStr">
        <is>
          <t>UPPSALA LÄN</t>
        </is>
      </c>
      <c r="E220" t="inlineStr">
        <is>
          <t>UPPSALA</t>
        </is>
      </c>
      <c r="G220" t="n">
        <v>0.9</v>
      </c>
      <c r="H220" t="n">
        <v>0</v>
      </c>
      <c r="I220" t="n">
        <v>0</v>
      </c>
      <c r="J220" t="n">
        <v>0</v>
      </c>
      <c r="K220" t="n">
        <v>0</v>
      </c>
      <c r="L220" t="n">
        <v>0</v>
      </c>
      <c r="M220" t="n">
        <v>0</v>
      </c>
      <c r="N220" t="n">
        <v>0</v>
      </c>
      <c r="O220" t="n">
        <v>0</v>
      </c>
      <c r="P220" t="n">
        <v>0</v>
      </c>
      <c r="Q220" t="n">
        <v>0</v>
      </c>
      <c r="R220" s="2" t="inlineStr"/>
    </row>
    <row r="221" ht="15" customHeight="1">
      <c r="A221" t="inlineStr">
        <is>
          <t>A 23713-2022</t>
        </is>
      </c>
      <c r="B221" s="1" t="n">
        <v>44722.30703703704</v>
      </c>
      <c r="C221" s="1" t="n">
        <v>45884</v>
      </c>
      <c r="D221" t="inlineStr">
        <is>
          <t>UPPSALA LÄN</t>
        </is>
      </c>
      <c r="E221" t="inlineStr">
        <is>
          <t>UPPSALA</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10411-2022</t>
        </is>
      </c>
      <c r="B222" s="1" t="n">
        <v>44623.4572337963</v>
      </c>
      <c r="C222" s="1" t="n">
        <v>45884</v>
      </c>
      <c r="D222" t="inlineStr">
        <is>
          <t>UPPSALA LÄN</t>
        </is>
      </c>
      <c r="E222" t="inlineStr">
        <is>
          <t>UPPSALA</t>
        </is>
      </c>
      <c r="F222" t="inlineStr">
        <is>
          <t>Övriga Aktiebolag</t>
        </is>
      </c>
      <c r="G222" t="n">
        <v>4.2</v>
      </c>
      <c r="H222" t="n">
        <v>0</v>
      </c>
      <c r="I222" t="n">
        <v>0</v>
      </c>
      <c r="J222" t="n">
        <v>0</v>
      </c>
      <c r="K222" t="n">
        <v>0</v>
      </c>
      <c r="L222" t="n">
        <v>0</v>
      </c>
      <c r="M222" t="n">
        <v>0</v>
      </c>
      <c r="N222" t="n">
        <v>0</v>
      </c>
      <c r="O222" t="n">
        <v>0</v>
      </c>
      <c r="P222" t="n">
        <v>0</v>
      </c>
      <c r="Q222" t="n">
        <v>0</v>
      </c>
      <c r="R222" s="2" t="inlineStr"/>
    </row>
    <row r="223" ht="15" customHeight="1">
      <c r="A223" t="inlineStr">
        <is>
          <t>A 19382-2022</t>
        </is>
      </c>
      <c r="B223" s="1" t="n">
        <v>44692.87630787037</v>
      </c>
      <c r="C223" s="1" t="n">
        <v>45884</v>
      </c>
      <c r="D223" t="inlineStr">
        <is>
          <t>UPPSALA LÄN</t>
        </is>
      </c>
      <c r="E223" t="inlineStr">
        <is>
          <t>UPPSALA</t>
        </is>
      </c>
      <c r="G223" t="n">
        <v>4.3</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45884</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35539-2022</t>
        </is>
      </c>
      <c r="B225" s="1" t="n">
        <v>44799.36359953704</v>
      </c>
      <c r="C225" s="1" t="n">
        <v>45884</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33191-2023</t>
        </is>
      </c>
      <c r="B226" s="1" t="n">
        <v>45127</v>
      </c>
      <c r="C226" s="1" t="n">
        <v>45884</v>
      </c>
      <c r="D226" t="inlineStr">
        <is>
          <t>UPPSALA LÄN</t>
        </is>
      </c>
      <c r="E226" t="inlineStr">
        <is>
          <t>UPPSALA</t>
        </is>
      </c>
      <c r="G226" t="n">
        <v>1.3</v>
      </c>
      <c r="H226" t="n">
        <v>0</v>
      </c>
      <c r="I226" t="n">
        <v>0</v>
      </c>
      <c r="J226" t="n">
        <v>0</v>
      </c>
      <c r="K226" t="n">
        <v>0</v>
      </c>
      <c r="L226" t="n">
        <v>0</v>
      </c>
      <c r="M226" t="n">
        <v>0</v>
      </c>
      <c r="N226" t="n">
        <v>0</v>
      </c>
      <c r="O226" t="n">
        <v>0</v>
      </c>
      <c r="P226" t="n">
        <v>0</v>
      </c>
      <c r="Q226" t="n">
        <v>0</v>
      </c>
      <c r="R226" s="2" t="inlineStr"/>
    </row>
    <row r="227" ht="15" customHeight="1">
      <c r="A227" t="inlineStr">
        <is>
          <t>A 37588-2022</t>
        </is>
      </c>
      <c r="B227" s="1" t="n">
        <v>44809.92752314815</v>
      </c>
      <c r="C227" s="1" t="n">
        <v>45884</v>
      </c>
      <c r="D227" t="inlineStr">
        <is>
          <t>UPPSALA LÄN</t>
        </is>
      </c>
      <c r="E227" t="inlineStr">
        <is>
          <t>UPPSALA</t>
        </is>
      </c>
      <c r="G227" t="n">
        <v>1.2</v>
      </c>
      <c r="H227" t="n">
        <v>0</v>
      </c>
      <c r="I227" t="n">
        <v>0</v>
      </c>
      <c r="J227" t="n">
        <v>0</v>
      </c>
      <c r="K227" t="n">
        <v>0</v>
      </c>
      <c r="L227" t="n">
        <v>0</v>
      </c>
      <c r="M227" t="n">
        <v>0</v>
      </c>
      <c r="N227" t="n">
        <v>0</v>
      </c>
      <c r="O227" t="n">
        <v>0</v>
      </c>
      <c r="P227" t="n">
        <v>0</v>
      </c>
      <c r="Q227" t="n">
        <v>0</v>
      </c>
      <c r="R227" s="2" t="inlineStr"/>
    </row>
    <row r="228" ht="15" customHeight="1">
      <c r="A228" t="inlineStr">
        <is>
          <t>A 59549-2024</t>
        </is>
      </c>
      <c r="B228" s="1" t="n">
        <v>45638</v>
      </c>
      <c r="C228" s="1" t="n">
        <v>45884</v>
      </c>
      <c r="D228" t="inlineStr">
        <is>
          <t>UPPSALA LÄN</t>
        </is>
      </c>
      <c r="E228" t="inlineStr">
        <is>
          <t>UPPSALA</t>
        </is>
      </c>
      <c r="G228" t="n">
        <v>0.9</v>
      </c>
      <c r="H228" t="n">
        <v>0</v>
      </c>
      <c r="I228" t="n">
        <v>0</v>
      </c>
      <c r="J228" t="n">
        <v>0</v>
      </c>
      <c r="K228" t="n">
        <v>0</v>
      </c>
      <c r="L228" t="n">
        <v>0</v>
      </c>
      <c r="M228" t="n">
        <v>0</v>
      </c>
      <c r="N228" t="n">
        <v>0</v>
      </c>
      <c r="O228" t="n">
        <v>0</v>
      </c>
      <c r="P228" t="n">
        <v>0</v>
      </c>
      <c r="Q228" t="n">
        <v>0</v>
      </c>
      <c r="R228" s="2" t="inlineStr"/>
    </row>
    <row r="229" ht="15" customHeight="1">
      <c r="A229" t="inlineStr">
        <is>
          <t>A 50473-2023</t>
        </is>
      </c>
      <c r="B229" s="1" t="n">
        <v>45216</v>
      </c>
      <c r="C229" s="1" t="n">
        <v>45884</v>
      </c>
      <c r="D229" t="inlineStr">
        <is>
          <t>UPPSALA LÄN</t>
        </is>
      </c>
      <c r="E229" t="inlineStr">
        <is>
          <t>UPPSALA</t>
        </is>
      </c>
      <c r="F229" t="inlineStr">
        <is>
          <t>Allmännings- och besparingsskogar</t>
        </is>
      </c>
      <c r="G229" t="n">
        <v>7.6</v>
      </c>
      <c r="H229" t="n">
        <v>0</v>
      </c>
      <c r="I229" t="n">
        <v>0</v>
      </c>
      <c r="J229" t="n">
        <v>0</v>
      </c>
      <c r="K229" t="n">
        <v>0</v>
      </c>
      <c r="L229" t="n">
        <v>0</v>
      </c>
      <c r="M229" t="n">
        <v>0</v>
      </c>
      <c r="N229" t="n">
        <v>0</v>
      </c>
      <c r="O229" t="n">
        <v>0</v>
      </c>
      <c r="P229" t="n">
        <v>0</v>
      </c>
      <c r="Q229" t="n">
        <v>0</v>
      </c>
      <c r="R229" s="2" t="inlineStr"/>
    </row>
    <row r="230" ht="15" customHeight="1">
      <c r="A230" t="inlineStr">
        <is>
          <t>A 25120-2022</t>
        </is>
      </c>
      <c r="B230" s="1" t="n">
        <v>44729</v>
      </c>
      <c r="C230" s="1" t="n">
        <v>45884</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60056-2022</t>
        </is>
      </c>
      <c r="B231" s="1" t="n">
        <v>44909</v>
      </c>
      <c r="C231" s="1" t="n">
        <v>45884</v>
      </c>
      <c r="D231" t="inlineStr">
        <is>
          <t>UPPSALA LÄN</t>
        </is>
      </c>
      <c r="E231" t="inlineStr">
        <is>
          <t>UPPSALA</t>
        </is>
      </c>
      <c r="G231" t="n">
        <v>1.2</v>
      </c>
      <c r="H231" t="n">
        <v>0</v>
      </c>
      <c r="I231" t="n">
        <v>0</v>
      </c>
      <c r="J231" t="n">
        <v>0</v>
      </c>
      <c r="K231" t="n">
        <v>0</v>
      </c>
      <c r="L231" t="n">
        <v>0</v>
      </c>
      <c r="M231" t="n">
        <v>0</v>
      </c>
      <c r="N231" t="n">
        <v>0</v>
      </c>
      <c r="O231" t="n">
        <v>0</v>
      </c>
      <c r="P231" t="n">
        <v>0</v>
      </c>
      <c r="Q231" t="n">
        <v>0</v>
      </c>
      <c r="R231" s="2" t="inlineStr"/>
    </row>
    <row r="232" ht="15" customHeight="1">
      <c r="A232" t="inlineStr">
        <is>
          <t>A 13892-2022</t>
        </is>
      </c>
      <c r="B232" s="1" t="n">
        <v>44649</v>
      </c>
      <c r="C232" s="1" t="n">
        <v>45884</v>
      </c>
      <c r="D232" t="inlineStr">
        <is>
          <t>UPPSALA LÄN</t>
        </is>
      </c>
      <c r="E232" t="inlineStr">
        <is>
          <t>UPPSALA</t>
        </is>
      </c>
      <c r="G232" t="n">
        <v>3.3</v>
      </c>
      <c r="H232" t="n">
        <v>0</v>
      </c>
      <c r="I232" t="n">
        <v>0</v>
      </c>
      <c r="J232" t="n">
        <v>0</v>
      </c>
      <c r="K232" t="n">
        <v>0</v>
      </c>
      <c r="L232" t="n">
        <v>0</v>
      </c>
      <c r="M232" t="n">
        <v>0</v>
      </c>
      <c r="N232" t="n">
        <v>0</v>
      </c>
      <c r="O232" t="n">
        <v>0</v>
      </c>
      <c r="P232" t="n">
        <v>0</v>
      </c>
      <c r="Q232" t="n">
        <v>0</v>
      </c>
      <c r="R232" s="2" t="inlineStr"/>
    </row>
    <row r="233" ht="15" customHeight="1">
      <c r="A233" t="inlineStr">
        <is>
          <t>A 781-2024</t>
        </is>
      </c>
      <c r="B233" s="1" t="n">
        <v>45300.55028935185</v>
      </c>
      <c r="C233" s="1" t="n">
        <v>45884</v>
      </c>
      <c r="D233" t="inlineStr">
        <is>
          <t>UPPSALA LÄN</t>
        </is>
      </c>
      <c r="E233" t="inlineStr">
        <is>
          <t>UPPSALA</t>
        </is>
      </c>
      <c r="G233" t="n">
        <v>6.3</v>
      </c>
      <c r="H233" t="n">
        <v>0</v>
      </c>
      <c r="I233" t="n">
        <v>0</v>
      </c>
      <c r="J233" t="n">
        <v>0</v>
      </c>
      <c r="K233" t="n">
        <v>0</v>
      </c>
      <c r="L233" t="n">
        <v>0</v>
      </c>
      <c r="M233" t="n">
        <v>0</v>
      </c>
      <c r="N233" t="n">
        <v>0</v>
      </c>
      <c r="O233" t="n">
        <v>0</v>
      </c>
      <c r="P233" t="n">
        <v>0</v>
      </c>
      <c r="Q233" t="n">
        <v>0</v>
      </c>
      <c r="R233" s="2" t="inlineStr"/>
    </row>
    <row r="234" ht="15" customHeight="1">
      <c r="A234" t="inlineStr">
        <is>
          <t>A 58056-2020</t>
        </is>
      </c>
      <c r="B234" s="1" t="n">
        <v>44144</v>
      </c>
      <c r="C234" s="1" t="n">
        <v>45884</v>
      </c>
      <c r="D234" t="inlineStr">
        <is>
          <t>UPPSALA LÄN</t>
        </is>
      </c>
      <c r="E234" t="inlineStr">
        <is>
          <t>UPPSALA</t>
        </is>
      </c>
      <c r="G234" t="n">
        <v>5.5</v>
      </c>
      <c r="H234" t="n">
        <v>0</v>
      </c>
      <c r="I234" t="n">
        <v>0</v>
      </c>
      <c r="J234" t="n">
        <v>0</v>
      </c>
      <c r="K234" t="n">
        <v>0</v>
      </c>
      <c r="L234" t="n">
        <v>0</v>
      </c>
      <c r="M234" t="n">
        <v>0</v>
      </c>
      <c r="N234" t="n">
        <v>0</v>
      </c>
      <c r="O234" t="n">
        <v>0</v>
      </c>
      <c r="P234" t="n">
        <v>0</v>
      </c>
      <c r="Q234" t="n">
        <v>0</v>
      </c>
      <c r="R234" s="2" t="inlineStr"/>
    </row>
    <row r="235" ht="15" customHeight="1">
      <c r="A235" t="inlineStr">
        <is>
          <t>A 46293-2022</t>
        </is>
      </c>
      <c r="B235" s="1" t="n">
        <v>44847</v>
      </c>
      <c r="C235" s="1" t="n">
        <v>45884</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9592-2022</t>
        </is>
      </c>
      <c r="B236" s="1" t="n">
        <v>44617.48311342593</v>
      </c>
      <c r="C236" s="1" t="n">
        <v>45884</v>
      </c>
      <c r="D236" t="inlineStr">
        <is>
          <t>UPPSALA LÄN</t>
        </is>
      </c>
      <c r="E236" t="inlineStr">
        <is>
          <t>UPPSALA</t>
        </is>
      </c>
      <c r="G236" t="n">
        <v>7.5</v>
      </c>
      <c r="H236" t="n">
        <v>0</v>
      </c>
      <c r="I236" t="n">
        <v>0</v>
      </c>
      <c r="J236" t="n">
        <v>0</v>
      </c>
      <c r="K236" t="n">
        <v>0</v>
      </c>
      <c r="L236" t="n">
        <v>0</v>
      </c>
      <c r="M236" t="n">
        <v>0</v>
      </c>
      <c r="N236" t="n">
        <v>0</v>
      </c>
      <c r="O236" t="n">
        <v>0</v>
      </c>
      <c r="P236" t="n">
        <v>0</v>
      </c>
      <c r="Q236" t="n">
        <v>0</v>
      </c>
      <c r="R236" s="2" t="inlineStr"/>
    </row>
    <row r="237" ht="15" customHeight="1">
      <c r="A237" t="inlineStr">
        <is>
          <t>A 12152-2021</t>
        </is>
      </c>
      <c r="B237" s="1" t="n">
        <v>44266.57917824074</v>
      </c>
      <c r="C237" s="1" t="n">
        <v>45884</v>
      </c>
      <c r="D237" t="inlineStr">
        <is>
          <t>UPPSALA LÄN</t>
        </is>
      </c>
      <c r="E237" t="inlineStr">
        <is>
          <t>UPPSALA</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53365-2024</t>
        </is>
      </c>
      <c r="B238" s="1" t="n">
        <v>45614</v>
      </c>
      <c r="C238" s="1" t="n">
        <v>45884</v>
      </c>
      <c r="D238" t="inlineStr">
        <is>
          <t>UPPSALA LÄN</t>
        </is>
      </c>
      <c r="E238" t="inlineStr">
        <is>
          <t>UPPSALA</t>
        </is>
      </c>
      <c r="F238" t="inlineStr">
        <is>
          <t>Allmännings- och besparingsskogar</t>
        </is>
      </c>
      <c r="G238" t="n">
        <v>6.6</v>
      </c>
      <c r="H238" t="n">
        <v>0</v>
      </c>
      <c r="I238" t="n">
        <v>0</v>
      </c>
      <c r="J238" t="n">
        <v>0</v>
      </c>
      <c r="K238" t="n">
        <v>0</v>
      </c>
      <c r="L238" t="n">
        <v>0</v>
      </c>
      <c r="M238" t="n">
        <v>0</v>
      </c>
      <c r="N238" t="n">
        <v>0</v>
      </c>
      <c r="O238" t="n">
        <v>0</v>
      </c>
      <c r="P238" t="n">
        <v>0</v>
      </c>
      <c r="Q238" t="n">
        <v>0</v>
      </c>
      <c r="R238" s="2" t="inlineStr"/>
    </row>
    <row r="239" ht="15" customHeight="1">
      <c r="A239" t="inlineStr">
        <is>
          <t>A 29277-2022</t>
        </is>
      </c>
      <c r="B239" s="1" t="n">
        <v>44750.678125</v>
      </c>
      <c r="C239" s="1" t="n">
        <v>45884</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29901-2023</t>
        </is>
      </c>
      <c r="B240" s="1" t="n">
        <v>45107</v>
      </c>
      <c r="C240" s="1" t="n">
        <v>45884</v>
      </c>
      <c r="D240" t="inlineStr">
        <is>
          <t>UPPSALA LÄN</t>
        </is>
      </c>
      <c r="E240" t="inlineStr">
        <is>
          <t>UPPSALA</t>
        </is>
      </c>
      <c r="G240" t="n">
        <v>0.7</v>
      </c>
      <c r="H240" t="n">
        <v>0</v>
      </c>
      <c r="I240" t="n">
        <v>0</v>
      </c>
      <c r="J240" t="n">
        <v>0</v>
      </c>
      <c r="K240" t="n">
        <v>0</v>
      </c>
      <c r="L240" t="n">
        <v>0</v>
      </c>
      <c r="M240" t="n">
        <v>0</v>
      </c>
      <c r="N240" t="n">
        <v>0</v>
      </c>
      <c r="O240" t="n">
        <v>0</v>
      </c>
      <c r="P240" t="n">
        <v>0</v>
      </c>
      <c r="Q240" t="n">
        <v>0</v>
      </c>
      <c r="R240" s="2" t="inlineStr"/>
    </row>
    <row r="241" ht="15" customHeight="1">
      <c r="A241" t="inlineStr">
        <is>
          <t>A 29926-2023</t>
        </is>
      </c>
      <c r="B241" s="1" t="n">
        <v>45107</v>
      </c>
      <c r="C241" s="1" t="n">
        <v>45884</v>
      </c>
      <c r="D241" t="inlineStr">
        <is>
          <t>UPPSALA LÄN</t>
        </is>
      </c>
      <c r="E241" t="inlineStr">
        <is>
          <t>UPPSALA</t>
        </is>
      </c>
      <c r="G241" t="n">
        <v>1.3</v>
      </c>
      <c r="H241" t="n">
        <v>0</v>
      </c>
      <c r="I241" t="n">
        <v>0</v>
      </c>
      <c r="J241" t="n">
        <v>0</v>
      </c>
      <c r="K241" t="n">
        <v>0</v>
      </c>
      <c r="L241" t="n">
        <v>0</v>
      </c>
      <c r="M241" t="n">
        <v>0</v>
      </c>
      <c r="N241" t="n">
        <v>0</v>
      </c>
      <c r="O241" t="n">
        <v>0</v>
      </c>
      <c r="P241" t="n">
        <v>0</v>
      </c>
      <c r="Q241" t="n">
        <v>0</v>
      </c>
      <c r="R241" s="2" t="inlineStr"/>
    </row>
    <row r="242" ht="15" customHeight="1">
      <c r="A242" t="inlineStr">
        <is>
          <t>A 35142-2023</t>
        </is>
      </c>
      <c r="B242" s="1" t="n">
        <v>45145</v>
      </c>
      <c r="C242" s="1" t="n">
        <v>45884</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16615-2021</t>
        </is>
      </c>
      <c r="B243" s="1" t="n">
        <v>44294.37555555555</v>
      </c>
      <c r="C243" s="1" t="n">
        <v>45884</v>
      </c>
      <c r="D243" t="inlineStr">
        <is>
          <t>UPPSALA LÄN</t>
        </is>
      </c>
      <c r="E243" t="inlineStr">
        <is>
          <t>UPPSALA</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45884</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32117-2024</t>
        </is>
      </c>
      <c r="B245" s="1" t="n">
        <v>45511</v>
      </c>
      <c r="C245" s="1" t="n">
        <v>45884</v>
      </c>
      <c r="D245" t="inlineStr">
        <is>
          <t>UPPSALA LÄN</t>
        </is>
      </c>
      <c r="E245" t="inlineStr">
        <is>
          <t>UPPSALA</t>
        </is>
      </c>
      <c r="F245" t="inlineStr">
        <is>
          <t>Allmännings- och besparingsskogar</t>
        </is>
      </c>
      <c r="G245" t="n">
        <v>7.4</v>
      </c>
      <c r="H245" t="n">
        <v>0</v>
      </c>
      <c r="I245" t="n">
        <v>0</v>
      </c>
      <c r="J245" t="n">
        <v>0</v>
      </c>
      <c r="K245" t="n">
        <v>0</v>
      </c>
      <c r="L245" t="n">
        <v>0</v>
      </c>
      <c r="M245" t="n">
        <v>0</v>
      </c>
      <c r="N245" t="n">
        <v>0</v>
      </c>
      <c r="O245" t="n">
        <v>0</v>
      </c>
      <c r="P245" t="n">
        <v>0</v>
      </c>
      <c r="Q245" t="n">
        <v>0</v>
      </c>
      <c r="R245" s="2" t="inlineStr"/>
    </row>
    <row r="246" ht="15" customHeight="1">
      <c r="A246" t="inlineStr">
        <is>
          <t>A 58070-2020</t>
        </is>
      </c>
      <c r="B246" s="1" t="n">
        <v>44140</v>
      </c>
      <c r="C246" s="1" t="n">
        <v>45884</v>
      </c>
      <c r="D246" t="inlineStr">
        <is>
          <t>UPPSALA LÄN</t>
        </is>
      </c>
      <c r="E246" t="inlineStr">
        <is>
          <t>UPPSALA</t>
        </is>
      </c>
      <c r="G246" t="n">
        <v>4</v>
      </c>
      <c r="H246" t="n">
        <v>0</v>
      </c>
      <c r="I246" t="n">
        <v>0</v>
      </c>
      <c r="J246" t="n">
        <v>0</v>
      </c>
      <c r="K246" t="n">
        <v>0</v>
      </c>
      <c r="L246" t="n">
        <v>0</v>
      </c>
      <c r="M246" t="n">
        <v>0</v>
      </c>
      <c r="N246" t="n">
        <v>0</v>
      </c>
      <c r="O246" t="n">
        <v>0</v>
      </c>
      <c r="P246" t="n">
        <v>0</v>
      </c>
      <c r="Q246" t="n">
        <v>0</v>
      </c>
      <c r="R246" s="2" t="inlineStr"/>
    </row>
    <row r="247" ht="15" customHeight="1">
      <c r="A247" t="inlineStr">
        <is>
          <t>A 15377-2022</t>
        </is>
      </c>
      <c r="B247" s="1" t="n">
        <v>44659.57912037037</v>
      </c>
      <c r="C247" s="1" t="n">
        <v>45884</v>
      </c>
      <c r="D247" t="inlineStr">
        <is>
          <t>UPPSALA LÄN</t>
        </is>
      </c>
      <c r="E247" t="inlineStr">
        <is>
          <t>UPPSALA</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34061-2022</t>
        </is>
      </c>
      <c r="B248" s="1" t="n">
        <v>44791.38336805555</v>
      </c>
      <c r="C248" s="1" t="n">
        <v>45884</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73531-2021</t>
        </is>
      </c>
      <c r="B249" s="1" t="n">
        <v>44551.76711805556</v>
      </c>
      <c r="C249" s="1" t="n">
        <v>45884</v>
      </c>
      <c r="D249" t="inlineStr">
        <is>
          <t>UPPSALA LÄN</t>
        </is>
      </c>
      <c r="E249" t="inlineStr">
        <is>
          <t>UPPSALA</t>
        </is>
      </c>
      <c r="F249" t="inlineStr">
        <is>
          <t>Holmen skog AB</t>
        </is>
      </c>
      <c r="G249" t="n">
        <v>1.9</v>
      </c>
      <c r="H249" t="n">
        <v>0</v>
      </c>
      <c r="I249" t="n">
        <v>0</v>
      </c>
      <c r="J249" t="n">
        <v>0</v>
      </c>
      <c r="K249" t="n">
        <v>0</v>
      </c>
      <c r="L249" t="n">
        <v>0</v>
      </c>
      <c r="M249" t="n">
        <v>0</v>
      </c>
      <c r="N249" t="n">
        <v>0</v>
      </c>
      <c r="O249" t="n">
        <v>0</v>
      </c>
      <c r="P249" t="n">
        <v>0</v>
      </c>
      <c r="Q249" t="n">
        <v>0</v>
      </c>
      <c r="R249" s="2" t="inlineStr"/>
    </row>
    <row r="250" ht="15" customHeight="1">
      <c r="A250" t="inlineStr">
        <is>
          <t>A 3353-2023</t>
        </is>
      </c>
      <c r="B250" s="1" t="n">
        <v>44949.4708912037</v>
      </c>
      <c r="C250" s="1" t="n">
        <v>45884</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25745-2022</t>
        </is>
      </c>
      <c r="B251" s="1" t="n">
        <v>44733.43420138889</v>
      </c>
      <c r="C251" s="1" t="n">
        <v>45884</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22021-2022</t>
        </is>
      </c>
      <c r="B252" s="1" t="n">
        <v>44711</v>
      </c>
      <c r="C252" s="1" t="n">
        <v>45884</v>
      </c>
      <c r="D252" t="inlineStr">
        <is>
          <t>UPPSALA LÄN</t>
        </is>
      </c>
      <c r="E252" t="inlineStr">
        <is>
          <t>UPPSALA</t>
        </is>
      </c>
      <c r="F252" t="inlineStr">
        <is>
          <t>Allmännings- och besparingsskogar</t>
        </is>
      </c>
      <c r="G252" t="n">
        <v>2.1</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45884</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30580-2022</t>
        </is>
      </c>
      <c r="B254" s="1" t="n">
        <v>44762</v>
      </c>
      <c r="C254" s="1" t="n">
        <v>45884</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60820-2024</t>
        </is>
      </c>
      <c r="B255" s="1" t="n">
        <v>45644.62677083333</v>
      </c>
      <c r="C255" s="1" t="n">
        <v>45884</v>
      </c>
      <c r="D255" t="inlineStr">
        <is>
          <t>UPPSALA LÄN</t>
        </is>
      </c>
      <c r="E255" t="inlineStr">
        <is>
          <t>UPPSALA</t>
        </is>
      </c>
      <c r="G255" t="n">
        <v>1.2</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45884</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54783-2023</t>
        </is>
      </c>
      <c r="B257" s="1" t="n">
        <v>45236.47697916667</v>
      </c>
      <c r="C257" s="1" t="n">
        <v>45884</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58058-2020</t>
        </is>
      </c>
      <c r="B258" s="1" t="n">
        <v>44144</v>
      </c>
      <c r="C258" s="1" t="n">
        <v>45884</v>
      </c>
      <c r="D258" t="inlineStr">
        <is>
          <t>UPPSALA LÄN</t>
        </is>
      </c>
      <c r="E258" t="inlineStr">
        <is>
          <t>UPPSALA</t>
        </is>
      </c>
      <c r="G258" t="n">
        <v>4.4</v>
      </c>
      <c r="H258" t="n">
        <v>0</v>
      </c>
      <c r="I258" t="n">
        <v>0</v>
      </c>
      <c r="J258" t="n">
        <v>0</v>
      </c>
      <c r="K258" t="n">
        <v>0</v>
      </c>
      <c r="L258" t="n">
        <v>0</v>
      </c>
      <c r="M258" t="n">
        <v>0</v>
      </c>
      <c r="N258" t="n">
        <v>0</v>
      </c>
      <c r="O258" t="n">
        <v>0</v>
      </c>
      <c r="P258" t="n">
        <v>0</v>
      </c>
      <c r="Q258" t="n">
        <v>0</v>
      </c>
      <c r="R258" s="2" t="inlineStr"/>
    </row>
    <row r="259" ht="15" customHeight="1">
      <c r="A259" t="inlineStr">
        <is>
          <t>A 27763-2022</t>
        </is>
      </c>
      <c r="B259" s="1" t="n">
        <v>44743</v>
      </c>
      <c r="C259" s="1" t="n">
        <v>45884</v>
      </c>
      <c r="D259" t="inlineStr">
        <is>
          <t>UPPSALA LÄN</t>
        </is>
      </c>
      <c r="E259" t="inlineStr">
        <is>
          <t>UPPSALA</t>
        </is>
      </c>
      <c r="G259" t="n">
        <v>0.5</v>
      </c>
      <c r="H259" t="n">
        <v>0</v>
      </c>
      <c r="I259" t="n">
        <v>0</v>
      </c>
      <c r="J259" t="n">
        <v>0</v>
      </c>
      <c r="K259" t="n">
        <v>0</v>
      </c>
      <c r="L259" t="n">
        <v>0</v>
      </c>
      <c r="M259" t="n">
        <v>0</v>
      </c>
      <c r="N259" t="n">
        <v>0</v>
      </c>
      <c r="O259" t="n">
        <v>0</v>
      </c>
      <c r="P259" t="n">
        <v>0</v>
      </c>
      <c r="Q259" t="n">
        <v>0</v>
      </c>
      <c r="R259" s="2" t="inlineStr"/>
    </row>
    <row r="260" ht="15" customHeight="1">
      <c r="A260" t="inlineStr">
        <is>
          <t>A 15310-2022</t>
        </is>
      </c>
      <c r="B260" s="1" t="n">
        <v>44659</v>
      </c>
      <c r="C260" s="1" t="n">
        <v>45884</v>
      </c>
      <c r="D260" t="inlineStr">
        <is>
          <t>UPPSALA LÄN</t>
        </is>
      </c>
      <c r="E260" t="inlineStr">
        <is>
          <t>UPPSALA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6677-2024</t>
        </is>
      </c>
      <c r="B261" s="1" t="n">
        <v>45341</v>
      </c>
      <c r="C261" s="1" t="n">
        <v>45884</v>
      </c>
      <c r="D261" t="inlineStr">
        <is>
          <t>UPPSALA LÄN</t>
        </is>
      </c>
      <c r="E261" t="inlineStr">
        <is>
          <t>UPPSALA</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5006-2022</t>
        </is>
      </c>
      <c r="B262" s="1" t="n">
        <v>44593</v>
      </c>
      <c r="C262" s="1" t="n">
        <v>45884</v>
      </c>
      <c r="D262" t="inlineStr">
        <is>
          <t>UPPSALA LÄN</t>
        </is>
      </c>
      <c r="E262" t="inlineStr">
        <is>
          <t>UPPSALA</t>
        </is>
      </c>
      <c r="F262" t="inlineStr">
        <is>
          <t>BillerudKorsnäs AB</t>
        </is>
      </c>
      <c r="G262" t="n">
        <v>1.4</v>
      </c>
      <c r="H262" t="n">
        <v>0</v>
      </c>
      <c r="I262" t="n">
        <v>0</v>
      </c>
      <c r="J262" t="n">
        <v>0</v>
      </c>
      <c r="K262" t="n">
        <v>0</v>
      </c>
      <c r="L262" t="n">
        <v>0</v>
      </c>
      <c r="M262" t="n">
        <v>0</v>
      </c>
      <c r="N262" t="n">
        <v>0</v>
      </c>
      <c r="O262" t="n">
        <v>0</v>
      </c>
      <c r="P262" t="n">
        <v>0</v>
      </c>
      <c r="Q262" t="n">
        <v>0</v>
      </c>
      <c r="R262" s="2" t="inlineStr"/>
    </row>
    <row r="263" ht="15" customHeight="1">
      <c r="A263" t="inlineStr">
        <is>
          <t>A 5007-2022</t>
        </is>
      </c>
      <c r="B263" s="1" t="n">
        <v>44593.61355324074</v>
      </c>
      <c r="C263" s="1" t="n">
        <v>45884</v>
      </c>
      <c r="D263" t="inlineStr">
        <is>
          <t>UPPSALA LÄN</t>
        </is>
      </c>
      <c r="E263" t="inlineStr">
        <is>
          <t>UPPSALA</t>
        </is>
      </c>
      <c r="F263" t="inlineStr">
        <is>
          <t>BillerudKorsnäs AB</t>
        </is>
      </c>
      <c r="G263" t="n">
        <v>3.6</v>
      </c>
      <c r="H263" t="n">
        <v>0</v>
      </c>
      <c r="I263" t="n">
        <v>0</v>
      </c>
      <c r="J263" t="n">
        <v>0</v>
      </c>
      <c r="K263" t="n">
        <v>0</v>
      </c>
      <c r="L263" t="n">
        <v>0</v>
      </c>
      <c r="M263" t="n">
        <v>0</v>
      </c>
      <c r="N263" t="n">
        <v>0</v>
      </c>
      <c r="O263" t="n">
        <v>0</v>
      </c>
      <c r="P263" t="n">
        <v>0</v>
      </c>
      <c r="Q263" t="n">
        <v>0</v>
      </c>
      <c r="R263" s="2" t="inlineStr"/>
    </row>
    <row r="264" ht="15" customHeight="1">
      <c r="A264" t="inlineStr">
        <is>
          <t>A 36123-2023</t>
        </is>
      </c>
      <c r="B264" s="1" t="n">
        <v>45149.56928240741</v>
      </c>
      <c r="C264" s="1" t="n">
        <v>45884</v>
      </c>
      <c r="D264" t="inlineStr">
        <is>
          <t>UPPSALA LÄN</t>
        </is>
      </c>
      <c r="E264" t="inlineStr">
        <is>
          <t>UPPSALA</t>
        </is>
      </c>
      <c r="F264" t="inlineStr">
        <is>
          <t>Allmännings- och besparingsskogar</t>
        </is>
      </c>
      <c r="G264" t="n">
        <v>4.2</v>
      </c>
      <c r="H264" t="n">
        <v>0</v>
      </c>
      <c r="I264" t="n">
        <v>0</v>
      </c>
      <c r="J264" t="n">
        <v>0</v>
      </c>
      <c r="K264" t="n">
        <v>0</v>
      </c>
      <c r="L264" t="n">
        <v>0</v>
      </c>
      <c r="M264" t="n">
        <v>0</v>
      </c>
      <c r="N264" t="n">
        <v>0</v>
      </c>
      <c r="O264" t="n">
        <v>0</v>
      </c>
      <c r="P264" t="n">
        <v>0</v>
      </c>
      <c r="Q264" t="n">
        <v>0</v>
      </c>
      <c r="R264" s="2" t="inlineStr"/>
    </row>
    <row r="265" ht="15" customHeight="1">
      <c r="A265" t="inlineStr">
        <is>
          <t>A 9201-2024</t>
        </is>
      </c>
      <c r="B265" s="1" t="n">
        <v>45358</v>
      </c>
      <c r="C265" s="1" t="n">
        <v>45884</v>
      </c>
      <c r="D265" t="inlineStr">
        <is>
          <t>UPPSALA LÄN</t>
        </is>
      </c>
      <c r="E265" t="inlineStr">
        <is>
          <t>UPPSALA</t>
        </is>
      </c>
      <c r="F265" t="inlineStr">
        <is>
          <t>Allmännings- och besparingsskogar</t>
        </is>
      </c>
      <c r="G265" t="n">
        <v>6.5</v>
      </c>
      <c r="H265" t="n">
        <v>0</v>
      </c>
      <c r="I265" t="n">
        <v>0</v>
      </c>
      <c r="J265" t="n">
        <v>0</v>
      </c>
      <c r="K265" t="n">
        <v>0</v>
      </c>
      <c r="L265" t="n">
        <v>0</v>
      </c>
      <c r="M265" t="n">
        <v>0</v>
      </c>
      <c r="N265" t="n">
        <v>0</v>
      </c>
      <c r="O265" t="n">
        <v>0</v>
      </c>
      <c r="P265" t="n">
        <v>0</v>
      </c>
      <c r="Q265" t="n">
        <v>0</v>
      </c>
      <c r="R265" s="2" t="inlineStr"/>
    </row>
    <row r="266" ht="15" customHeight="1">
      <c r="A266" t="inlineStr">
        <is>
          <t>A 37162-2021</t>
        </is>
      </c>
      <c r="B266" s="1" t="n">
        <v>44395</v>
      </c>
      <c r="C266" s="1" t="n">
        <v>45884</v>
      </c>
      <c r="D266" t="inlineStr">
        <is>
          <t>UPPSALA LÄN</t>
        </is>
      </c>
      <c r="E266" t="inlineStr">
        <is>
          <t>UPPSALA</t>
        </is>
      </c>
      <c r="G266" t="n">
        <v>3.5</v>
      </c>
      <c r="H266" t="n">
        <v>0</v>
      </c>
      <c r="I266" t="n">
        <v>0</v>
      </c>
      <c r="J266" t="n">
        <v>0</v>
      </c>
      <c r="K266" t="n">
        <v>0</v>
      </c>
      <c r="L266" t="n">
        <v>0</v>
      </c>
      <c r="M266" t="n">
        <v>0</v>
      </c>
      <c r="N266" t="n">
        <v>0</v>
      </c>
      <c r="O266" t="n">
        <v>0</v>
      </c>
      <c r="P266" t="n">
        <v>0</v>
      </c>
      <c r="Q266" t="n">
        <v>0</v>
      </c>
      <c r="R266" s="2" t="inlineStr"/>
    </row>
    <row r="267" ht="15" customHeight="1">
      <c r="A267" t="inlineStr">
        <is>
          <t>A 73326-2021</t>
        </is>
      </c>
      <c r="B267" s="1" t="n">
        <v>44548</v>
      </c>
      <c r="C267" s="1" t="n">
        <v>45884</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2980-2025</t>
        </is>
      </c>
      <c r="B268" s="1" t="n">
        <v>45678</v>
      </c>
      <c r="C268" s="1" t="n">
        <v>45884</v>
      </c>
      <c r="D268" t="inlineStr">
        <is>
          <t>UPPSALA LÄN</t>
        </is>
      </c>
      <c r="E268" t="inlineStr">
        <is>
          <t>UPPSALA</t>
        </is>
      </c>
      <c r="G268" t="n">
        <v>5</v>
      </c>
      <c r="H268" t="n">
        <v>0</v>
      </c>
      <c r="I268" t="n">
        <v>0</v>
      </c>
      <c r="J268" t="n">
        <v>0</v>
      </c>
      <c r="K268" t="n">
        <v>0</v>
      </c>
      <c r="L268" t="n">
        <v>0</v>
      </c>
      <c r="M268" t="n">
        <v>0</v>
      </c>
      <c r="N268" t="n">
        <v>0</v>
      </c>
      <c r="O268" t="n">
        <v>0</v>
      </c>
      <c r="P268" t="n">
        <v>0</v>
      </c>
      <c r="Q268" t="n">
        <v>0</v>
      </c>
      <c r="R268" s="2" t="inlineStr"/>
    </row>
    <row r="269" ht="15" customHeight="1">
      <c r="A269" t="inlineStr">
        <is>
          <t>A 56679-2022</t>
        </is>
      </c>
      <c r="B269" s="1" t="n">
        <v>44893</v>
      </c>
      <c r="C269" s="1" t="n">
        <v>45884</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8494-2021</t>
        </is>
      </c>
      <c r="B270" s="1" t="n">
        <v>44245</v>
      </c>
      <c r="C270" s="1" t="n">
        <v>45884</v>
      </c>
      <c r="D270" t="inlineStr">
        <is>
          <t>UPPSALA LÄN</t>
        </is>
      </c>
      <c r="E270" t="inlineStr">
        <is>
          <t>UPPSALA</t>
        </is>
      </c>
      <c r="G270" t="n">
        <v>1.3</v>
      </c>
      <c r="H270" t="n">
        <v>0</v>
      </c>
      <c r="I270" t="n">
        <v>0</v>
      </c>
      <c r="J270" t="n">
        <v>0</v>
      </c>
      <c r="K270" t="n">
        <v>0</v>
      </c>
      <c r="L270" t="n">
        <v>0</v>
      </c>
      <c r="M270" t="n">
        <v>0</v>
      </c>
      <c r="N270" t="n">
        <v>0</v>
      </c>
      <c r="O270" t="n">
        <v>0</v>
      </c>
      <c r="P270" t="n">
        <v>0</v>
      </c>
      <c r="Q270" t="n">
        <v>0</v>
      </c>
      <c r="R270" s="2" t="inlineStr"/>
    </row>
    <row r="271" ht="15" customHeight="1">
      <c r="A271" t="inlineStr">
        <is>
          <t>A 13526-2023</t>
        </is>
      </c>
      <c r="B271" s="1" t="n">
        <v>45006</v>
      </c>
      <c r="C271" s="1" t="n">
        <v>45884</v>
      </c>
      <c r="D271" t="inlineStr">
        <is>
          <t>UPPSALA LÄN</t>
        </is>
      </c>
      <c r="E271" t="inlineStr">
        <is>
          <t>UPPSALA</t>
        </is>
      </c>
      <c r="G271" t="n">
        <v>0.7</v>
      </c>
      <c r="H271" t="n">
        <v>0</v>
      </c>
      <c r="I271" t="n">
        <v>0</v>
      </c>
      <c r="J271" t="n">
        <v>0</v>
      </c>
      <c r="K271" t="n">
        <v>0</v>
      </c>
      <c r="L271" t="n">
        <v>0</v>
      </c>
      <c r="M271" t="n">
        <v>0</v>
      </c>
      <c r="N271" t="n">
        <v>0</v>
      </c>
      <c r="O271" t="n">
        <v>0</v>
      </c>
      <c r="P271" t="n">
        <v>0</v>
      </c>
      <c r="Q271" t="n">
        <v>0</v>
      </c>
      <c r="R271" s="2" t="inlineStr"/>
    </row>
    <row r="272" ht="15" customHeight="1">
      <c r="A272" t="inlineStr">
        <is>
          <t>A 5309-2022</t>
        </is>
      </c>
      <c r="B272" s="1" t="n">
        <v>44594</v>
      </c>
      <c r="C272" s="1" t="n">
        <v>45884</v>
      </c>
      <c r="D272" t="inlineStr">
        <is>
          <t>UPPSALA LÄN</t>
        </is>
      </c>
      <c r="E272" t="inlineStr">
        <is>
          <t>UPPSALA</t>
        </is>
      </c>
      <c r="G272" t="n">
        <v>4.8</v>
      </c>
      <c r="H272" t="n">
        <v>0</v>
      </c>
      <c r="I272" t="n">
        <v>0</v>
      </c>
      <c r="J272" t="n">
        <v>0</v>
      </c>
      <c r="K272" t="n">
        <v>0</v>
      </c>
      <c r="L272" t="n">
        <v>0</v>
      </c>
      <c r="M272" t="n">
        <v>0</v>
      </c>
      <c r="N272" t="n">
        <v>0</v>
      </c>
      <c r="O272" t="n">
        <v>0</v>
      </c>
      <c r="P272" t="n">
        <v>0</v>
      </c>
      <c r="Q272" t="n">
        <v>0</v>
      </c>
      <c r="R272" s="2" t="inlineStr"/>
    </row>
    <row r="273" ht="15" customHeight="1">
      <c r="A273" t="inlineStr">
        <is>
          <t>A 47221-2023</t>
        </is>
      </c>
      <c r="B273" s="1" t="n">
        <v>45202</v>
      </c>
      <c r="C273" s="1" t="n">
        <v>45884</v>
      </c>
      <c r="D273" t="inlineStr">
        <is>
          <t>UPPSALA LÄN</t>
        </is>
      </c>
      <c r="E273" t="inlineStr">
        <is>
          <t>UPPSALA</t>
        </is>
      </c>
      <c r="G273" t="n">
        <v>8.6</v>
      </c>
      <c r="H273" t="n">
        <v>0</v>
      </c>
      <c r="I273" t="n">
        <v>0</v>
      </c>
      <c r="J273" t="n">
        <v>0</v>
      </c>
      <c r="K273" t="n">
        <v>0</v>
      </c>
      <c r="L273" t="n">
        <v>0</v>
      </c>
      <c r="M273" t="n">
        <v>0</v>
      </c>
      <c r="N273" t="n">
        <v>0</v>
      </c>
      <c r="O273" t="n">
        <v>0</v>
      </c>
      <c r="P273" t="n">
        <v>0</v>
      </c>
      <c r="Q273" t="n">
        <v>0</v>
      </c>
      <c r="R273" s="2" t="inlineStr"/>
    </row>
    <row r="274" ht="15" customHeight="1">
      <c r="A274" t="inlineStr">
        <is>
          <t>A 27442-2024</t>
        </is>
      </c>
      <c r="B274" s="1" t="n">
        <v>45474.41729166666</v>
      </c>
      <c r="C274" s="1" t="n">
        <v>45884</v>
      </c>
      <c r="D274" t="inlineStr">
        <is>
          <t>UPPSALA LÄN</t>
        </is>
      </c>
      <c r="E274" t="inlineStr">
        <is>
          <t>UPPSALA</t>
        </is>
      </c>
      <c r="F274" t="inlineStr">
        <is>
          <t>Holmen skog AB</t>
        </is>
      </c>
      <c r="G274" t="n">
        <v>2.6</v>
      </c>
      <c r="H274" t="n">
        <v>0</v>
      </c>
      <c r="I274" t="n">
        <v>0</v>
      </c>
      <c r="J274" t="n">
        <v>0</v>
      </c>
      <c r="K274" t="n">
        <v>0</v>
      </c>
      <c r="L274" t="n">
        <v>0</v>
      </c>
      <c r="M274" t="n">
        <v>0</v>
      </c>
      <c r="N274" t="n">
        <v>0</v>
      </c>
      <c r="O274" t="n">
        <v>0</v>
      </c>
      <c r="P274" t="n">
        <v>0</v>
      </c>
      <c r="Q274" t="n">
        <v>0</v>
      </c>
      <c r="R274" s="2" t="inlineStr"/>
    </row>
    <row r="275" ht="15" customHeight="1">
      <c r="A275" t="inlineStr">
        <is>
          <t>A 24012-2023</t>
        </is>
      </c>
      <c r="B275" s="1" t="n">
        <v>45078</v>
      </c>
      <c r="C275" s="1" t="n">
        <v>45884</v>
      </c>
      <c r="D275" t="inlineStr">
        <is>
          <t>UPPSALA LÄN</t>
        </is>
      </c>
      <c r="E275" t="inlineStr">
        <is>
          <t>UPPSALA</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10612-2025</t>
        </is>
      </c>
      <c r="B276" s="1" t="n">
        <v>45721.60894675926</v>
      </c>
      <c r="C276" s="1" t="n">
        <v>45884</v>
      </c>
      <c r="D276" t="inlineStr">
        <is>
          <t>UPPSALA LÄN</t>
        </is>
      </c>
      <c r="E276" t="inlineStr">
        <is>
          <t>UPPSALA</t>
        </is>
      </c>
      <c r="G276" t="n">
        <v>3.5</v>
      </c>
      <c r="H276" t="n">
        <v>0</v>
      </c>
      <c r="I276" t="n">
        <v>0</v>
      </c>
      <c r="J276" t="n">
        <v>0</v>
      </c>
      <c r="K276" t="n">
        <v>0</v>
      </c>
      <c r="L276" t="n">
        <v>0</v>
      </c>
      <c r="M276" t="n">
        <v>0</v>
      </c>
      <c r="N276" t="n">
        <v>0</v>
      </c>
      <c r="O276" t="n">
        <v>0</v>
      </c>
      <c r="P276" t="n">
        <v>0</v>
      </c>
      <c r="Q276" t="n">
        <v>0</v>
      </c>
      <c r="R276" s="2" t="inlineStr"/>
    </row>
    <row r="277" ht="15" customHeight="1">
      <c r="A277" t="inlineStr">
        <is>
          <t>A 3040-2023</t>
        </is>
      </c>
      <c r="B277" s="1" t="n">
        <v>44946</v>
      </c>
      <c r="C277" s="1" t="n">
        <v>45884</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45-2024</t>
        </is>
      </c>
      <c r="B278" s="1" t="n">
        <v>45293</v>
      </c>
      <c r="C278" s="1" t="n">
        <v>45884</v>
      </c>
      <c r="D278" t="inlineStr">
        <is>
          <t>UPPSALA LÄN</t>
        </is>
      </c>
      <c r="E278" t="inlineStr">
        <is>
          <t>UPPSALA</t>
        </is>
      </c>
      <c r="G278" t="n">
        <v>12.5</v>
      </c>
      <c r="H278" t="n">
        <v>0</v>
      </c>
      <c r="I278" t="n">
        <v>0</v>
      </c>
      <c r="J278" t="n">
        <v>0</v>
      </c>
      <c r="K278" t="n">
        <v>0</v>
      </c>
      <c r="L278" t="n">
        <v>0</v>
      </c>
      <c r="M278" t="n">
        <v>0</v>
      </c>
      <c r="N278" t="n">
        <v>0</v>
      </c>
      <c r="O278" t="n">
        <v>0</v>
      </c>
      <c r="P278" t="n">
        <v>0</v>
      </c>
      <c r="Q278" t="n">
        <v>0</v>
      </c>
      <c r="R278" s="2" t="inlineStr"/>
    </row>
    <row r="279" ht="15" customHeight="1">
      <c r="A279" t="inlineStr">
        <is>
          <t>A 66983-2021</t>
        </is>
      </c>
      <c r="B279" s="1" t="n">
        <v>44522</v>
      </c>
      <c r="C279" s="1" t="n">
        <v>45884</v>
      </c>
      <c r="D279" t="inlineStr">
        <is>
          <t>UPPSALA LÄN</t>
        </is>
      </c>
      <c r="E279" t="inlineStr">
        <is>
          <t>UPPSALA</t>
        </is>
      </c>
      <c r="G279" t="n">
        <v>2.5</v>
      </c>
      <c r="H279" t="n">
        <v>0</v>
      </c>
      <c r="I279" t="n">
        <v>0</v>
      </c>
      <c r="J279" t="n">
        <v>0</v>
      </c>
      <c r="K279" t="n">
        <v>0</v>
      </c>
      <c r="L279" t="n">
        <v>0</v>
      </c>
      <c r="M279" t="n">
        <v>0</v>
      </c>
      <c r="N279" t="n">
        <v>0</v>
      </c>
      <c r="O279" t="n">
        <v>0</v>
      </c>
      <c r="P279" t="n">
        <v>0</v>
      </c>
      <c r="Q279" t="n">
        <v>0</v>
      </c>
      <c r="R279" s="2" t="inlineStr"/>
    </row>
    <row r="280" ht="15" customHeight="1">
      <c r="A280" t="inlineStr">
        <is>
          <t>A 40503-2024</t>
        </is>
      </c>
      <c r="B280" s="1" t="n">
        <v>45555.5727662037</v>
      </c>
      <c r="C280" s="1" t="n">
        <v>45884</v>
      </c>
      <c r="D280" t="inlineStr">
        <is>
          <t>UPPSALA LÄN</t>
        </is>
      </c>
      <c r="E280" t="inlineStr">
        <is>
          <t>UPPSALA</t>
        </is>
      </c>
      <c r="G280" t="n">
        <v>0.9</v>
      </c>
      <c r="H280" t="n">
        <v>0</v>
      </c>
      <c r="I280" t="n">
        <v>0</v>
      </c>
      <c r="J280" t="n">
        <v>0</v>
      </c>
      <c r="K280" t="n">
        <v>0</v>
      </c>
      <c r="L280" t="n">
        <v>0</v>
      </c>
      <c r="M280" t="n">
        <v>0</v>
      </c>
      <c r="N280" t="n">
        <v>0</v>
      </c>
      <c r="O280" t="n">
        <v>0</v>
      </c>
      <c r="P280" t="n">
        <v>0</v>
      </c>
      <c r="Q280" t="n">
        <v>0</v>
      </c>
      <c r="R280" s="2" t="inlineStr"/>
    </row>
    <row r="281" ht="15" customHeight="1">
      <c r="A281" t="inlineStr">
        <is>
          <t>A 5028-2022</t>
        </is>
      </c>
      <c r="B281" s="1" t="n">
        <v>44593.64863425926</v>
      </c>
      <c r="C281" s="1" t="n">
        <v>45884</v>
      </c>
      <c r="D281" t="inlineStr">
        <is>
          <t>UPPSALA LÄN</t>
        </is>
      </c>
      <c r="E281" t="inlineStr">
        <is>
          <t>UPPSALA</t>
        </is>
      </c>
      <c r="F281" t="inlineStr">
        <is>
          <t>Holmen skog AB</t>
        </is>
      </c>
      <c r="G281" t="n">
        <v>1.6</v>
      </c>
      <c r="H281" t="n">
        <v>0</v>
      </c>
      <c r="I281" t="n">
        <v>0</v>
      </c>
      <c r="J281" t="n">
        <v>0</v>
      </c>
      <c r="K281" t="n">
        <v>0</v>
      </c>
      <c r="L281" t="n">
        <v>0</v>
      </c>
      <c r="M281" t="n">
        <v>0</v>
      </c>
      <c r="N281" t="n">
        <v>0</v>
      </c>
      <c r="O281" t="n">
        <v>0</v>
      </c>
      <c r="P281" t="n">
        <v>0</v>
      </c>
      <c r="Q281" t="n">
        <v>0</v>
      </c>
      <c r="R281" s="2" t="inlineStr"/>
    </row>
    <row r="282" ht="15" customHeight="1">
      <c r="A282" t="inlineStr">
        <is>
          <t>A 20418-2025</t>
        </is>
      </c>
      <c r="B282" s="1" t="n">
        <v>45775.46377314815</v>
      </c>
      <c r="C282" s="1" t="n">
        <v>45884</v>
      </c>
      <c r="D282" t="inlineStr">
        <is>
          <t>UPPSALA LÄN</t>
        </is>
      </c>
      <c r="E282" t="inlineStr">
        <is>
          <t>UPPSALA</t>
        </is>
      </c>
      <c r="F282" t="inlineStr">
        <is>
          <t>Allmännings- och besparingsskogar</t>
        </is>
      </c>
      <c r="G282" t="n">
        <v>5.2</v>
      </c>
      <c r="H282" t="n">
        <v>0</v>
      </c>
      <c r="I282" t="n">
        <v>0</v>
      </c>
      <c r="J282" t="n">
        <v>0</v>
      </c>
      <c r="K282" t="n">
        <v>0</v>
      </c>
      <c r="L282" t="n">
        <v>0</v>
      </c>
      <c r="M282" t="n">
        <v>0</v>
      </c>
      <c r="N282" t="n">
        <v>0</v>
      </c>
      <c r="O282" t="n">
        <v>0</v>
      </c>
      <c r="P282" t="n">
        <v>0</v>
      </c>
      <c r="Q282" t="n">
        <v>0</v>
      </c>
      <c r="R282" s="2" t="inlineStr"/>
    </row>
    <row r="283" ht="15" customHeight="1">
      <c r="A283" t="inlineStr">
        <is>
          <t>A 43795-2023</t>
        </is>
      </c>
      <c r="B283" s="1" t="n">
        <v>45182</v>
      </c>
      <c r="C283" s="1" t="n">
        <v>45884</v>
      </c>
      <c r="D283" t="inlineStr">
        <is>
          <t>UPPSALA LÄN</t>
        </is>
      </c>
      <c r="E283" t="inlineStr">
        <is>
          <t>UPPSALA</t>
        </is>
      </c>
      <c r="G283" t="n">
        <v>4.7</v>
      </c>
      <c r="H283" t="n">
        <v>0</v>
      </c>
      <c r="I283" t="n">
        <v>0</v>
      </c>
      <c r="J283" t="n">
        <v>0</v>
      </c>
      <c r="K283" t="n">
        <v>0</v>
      </c>
      <c r="L283" t="n">
        <v>0</v>
      </c>
      <c r="M283" t="n">
        <v>0</v>
      </c>
      <c r="N283" t="n">
        <v>0</v>
      </c>
      <c r="O283" t="n">
        <v>0</v>
      </c>
      <c r="P283" t="n">
        <v>0</v>
      </c>
      <c r="Q283" t="n">
        <v>0</v>
      </c>
      <c r="R283" s="2" t="inlineStr"/>
    </row>
    <row r="284" ht="15" customHeight="1">
      <c r="A284" t="inlineStr">
        <is>
          <t>A 43818-2023</t>
        </is>
      </c>
      <c r="B284" s="1" t="n">
        <v>45182</v>
      </c>
      <c r="C284" s="1" t="n">
        <v>45884</v>
      </c>
      <c r="D284" t="inlineStr">
        <is>
          <t>UPPSALA LÄN</t>
        </is>
      </c>
      <c r="E284" t="inlineStr">
        <is>
          <t>UPPSALA</t>
        </is>
      </c>
      <c r="G284" t="n">
        <v>10.8</v>
      </c>
      <c r="H284" t="n">
        <v>0</v>
      </c>
      <c r="I284" t="n">
        <v>0</v>
      </c>
      <c r="J284" t="n">
        <v>0</v>
      </c>
      <c r="K284" t="n">
        <v>0</v>
      </c>
      <c r="L284" t="n">
        <v>0</v>
      </c>
      <c r="M284" t="n">
        <v>0</v>
      </c>
      <c r="N284" t="n">
        <v>0</v>
      </c>
      <c r="O284" t="n">
        <v>0</v>
      </c>
      <c r="P284" t="n">
        <v>0</v>
      </c>
      <c r="Q284" t="n">
        <v>0</v>
      </c>
      <c r="R284" s="2" t="inlineStr"/>
    </row>
    <row r="285" ht="15" customHeight="1">
      <c r="A285" t="inlineStr">
        <is>
          <t>A 36479-2023</t>
        </is>
      </c>
      <c r="B285" s="1" t="n">
        <v>45152</v>
      </c>
      <c r="C285" s="1" t="n">
        <v>45884</v>
      </c>
      <c r="D285" t="inlineStr">
        <is>
          <t>UPPSALA LÄN</t>
        </is>
      </c>
      <c r="E285" t="inlineStr">
        <is>
          <t>UPPSALA</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600-2024</t>
        </is>
      </c>
      <c r="B286" s="1" t="n">
        <v>45299</v>
      </c>
      <c r="C286" s="1" t="n">
        <v>45884</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54742-2020</t>
        </is>
      </c>
      <c r="B287" s="1" t="n">
        <v>44126</v>
      </c>
      <c r="C287" s="1" t="n">
        <v>45884</v>
      </c>
      <c r="D287" t="inlineStr">
        <is>
          <t>UPPSALA LÄN</t>
        </is>
      </c>
      <c r="E287" t="inlineStr">
        <is>
          <t>UPPSALA</t>
        </is>
      </c>
      <c r="G287" t="n">
        <v>3.6</v>
      </c>
      <c r="H287" t="n">
        <v>0</v>
      </c>
      <c r="I287" t="n">
        <v>0</v>
      </c>
      <c r="J287" t="n">
        <v>0</v>
      </c>
      <c r="K287" t="n">
        <v>0</v>
      </c>
      <c r="L287" t="n">
        <v>0</v>
      </c>
      <c r="M287" t="n">
        <v>0</v>
      </c>
      <c r="N287" t="n">
        <v>0</v>
      </c>
      <c r="O287" t="n">
        <v>0</v>
      </c>
      <c r="P287" t="n">
        <v>0</v>
      </c>
      <c r="Q287" t="n">
        <v>0</v>
      </c>
      <c r="R287" s="2" t="inlineStr"/>
    </row>
    <row r="288" ht="15" customHeight="1">
      <c r="A288" t="inlineStr">
        <is>
          <t>A 13420-2021</t>
        </is>
      </c>
      <c r="B288" s="1" t="n">
        <v>44273</v>
      </c>
      <c r="C288" s="1" t="n">
        <v>45884</v>
      </c>
      <c r="D288" t="inlineStr">
        <is>
          <t>UPPSALA LÄN</t>
        </is>
      </c>
      <c r="E288" t="inlineStr">
        <is>
          <t>UPPSALA</t>
        </is>
      </c>
      <c r="G288" t="n">
        <v>1.9</v>
      </c>
      <c r="H288" t="n">
        <v>0</v>
      </c>
      <c r="I288" t="n">
        <v>0</v>
      </c>
      <c r="J288" t="n">
        <v>0</v>
      </c>
      <c r="K288" t="n">
        <v>0</v>
      </c>
      <c r="L288" t="n">
        <v>0</v>
      </c>
      <c r="M288" t="n">
        <v>0</v>
      </c>
      <c r="N288" t="n">
        <v>0</v>
      </c>
      <c r="O288" t="n">
        <v>0</v>
      </c>
      <c r="P288" t="n">
        <v>0</v>
      </c>
      <c r="Q288" t="n">
        <v>0</v>
      </c>
      <c r="R288" s="2" t="inlineStr"/>
    </row>
    <row r="289" ht="15" customHeight="1">
      <c r="A289" t="inlineStr">
        <is>
          <t>A 37819-2021</t>
        </is>
      </c>
      <c r="B289" s="1" t="n">
        <v>44403.29719907408</v>
      </c>
      <c r="C289" s="1" t="n">
        <v>45884</v>
      </c>
      <c r="D289" t="inlineStr">
        <is>
          <t>UPPSALA LÄN</t>
        </is>
      </c>
      <c r="E289" t="inlineStr">
        <is>
          <t>UPPSALA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51935-2023</t>
        </is>
      </c>
      <c r="B290" s="1" t="n">
        <v>45223</v>
      </c>
      <c r="C290" s="1" t="n">
        <v>45884</v>
      </c>
      <c r="D290" t="inlineStr">
        <is>
          <t>UPPSALA LÄN</t>
        </is>
      </c>
      <c r="E290" t="inlineStr">
        <is>
          <t>UPPSALA</t>
        </is>
      </c>
      <c r="G290" t="n">
        <v>4.8</v>
      </c>
      <c r="H290" t="n">
        <v>0</v>
      </c>
      <c r="I290" t="n">
        <v>0</v>
      </c>
      <c r="J290" t="n">
        <v>0</v>
      </c>
      <c r="K290" t="n">
        <v>0</v>
      </c>
      <c r="L290" t="n">
        <v>0</v>
      </c>
      <c r="M290" t="n">
        <v>0</v>
      </c>
      <c r="N290" t="n">
        <v>0</v>
      </c>
      <c r="O290" t="n">
        <v>0</v>
      </c>
      <c r="P290" t="n">
        <v>0</v>
      </c>
      <c r="Q290" t="n">
        <v>0</v>
      </c>
      <c r="R290" s="2" t="inlineStr"/>
    </row>
    <row r="291" ht="15" customHeight="1">
      <c r="A291" t="inlineStr">
        <is>
          <t>A 9206-2022</t>
        </is>
      </c>
      <c r="B291" s="1" t="n">
        <v>44616</v>
      </c>
      <c r="C291" s="1" t="n">
        <v>45884</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9981-2025</t>
        </is>
      </c>
      <c r="B292" s="1" t="n">
        <v>45719.40723379629</v>
      </c>
      <c r="C292" s="1" t="n">
        <v>45884</v>
      </c>
      <c r="D292" t="inlineStr">
        <is>
          <t>UPPSALA LÄN</t>
        </is>
      </c>
      <c r="E292" t="inlineStr">
        <is>
          <t>UPPSALA</t>
        </is>
      </c>
      <c r="F292" t="inlineStr">
        <is>
          <t>Kyrkan</t>
        </is>
      </c>
      <c r="G292" t="n">
        <v>2.9</v>
      </c>
      <c r="H292" t="n">
        <v>0</v>
      </c>
      <c r="I292" t="n">
        <v>0</v>
      </c>
      <c r="J292" t="n">
        <v>0</v>
      </c>
      <c r="K292" t="n">
        <v>0</v>
      </c>
      <c r="L292" t="n">
        <v>0</v>
      </c>
      <c r="M292" t="n">
        <v>0</v>
      </c>
      <c r="N292" t="n">
        <v>0</v>
      </c>
      <c r="O292" t="n">
        <v>0</v>
      </c>
      <c r="P292" t="n">
        <v>0</v>
      </c>
      <c r="Q292" t="n">
        <v>0</v>
      </c>
      <c r="R292" s="2" t="inlineStr"/>
    </row>
    <row r="293" ht="15" customHeight="1">
      <c r="A293" t="inlineStr">
        <is>
          <t>A 60698-2024</t>
        </is>
      </c>
      <c r="B293" s="1" t="n">
        <v>45644</v>
      </c>
      <c r="C293" s="1" t="n">
        <v>45884</v>
      </c>
      <c r="D293" t="inlineStr">
        <is>
          <t>UPPSALA LÄN</t>
        </is>
      </c>
      <c r="E293" t="inlineStr">
        <is>
          <t>UPPSALA</t>
        </is>
      </c>
      <c r="G293" t="n">
        <v>2</v>
      </c>
      <c r="H293" t="n">
        <v>0</v>
      </c>
      <c r="I293" t="n">
        <v>0</v>
      </c>
      <c r="J293" t="n">
        <v>0</v>
      </c>
      <c r="K293" t="n">
        <v>0</v>
      </c>
      <c r="L293" t="n">
        <v>0</v>
      </c>
      <c r="M293" t="n">
        <v>0</v>
      </c>
      <c r="N293" t="n">
        <v>0</v>
      </c>
      <c r="O293" t="n">
        <v>0</v>
      </c>
      <c r="P293" t="n">
        <v>0</v>
      </c>
      <c r="Q293" t="n">
        <v>0</v>
      </c>
      <c r="R293" s="2" t="inlineStr"/>
    </row>
    <row r="294" ht="15" customHeight="1">
      <c r="A294" t="inlineStr">
        <is>
          <t>A 60735-2024</t>
        </is>
      </c>
      <c r="B294" s="1" t="n">
        <v>45644</v>
      </c>
      <c r="C294" s="1" t="n">
        <v>45884</v>
      </c>
      <c r="D294" t="inlineStr">
        <is>
          <t>UPPSALA LÄN</t>
        </is>
      </c>
      <c r="E294" t="inlineStr">
        <is>
          <t>UPPSALA</t>
        </is>
      </c>
      <c r="G294" t="n">
        <v>1.4</v>
      </c>
      <c r="H294" t="n">
        <v>0</v>
      </c>
      <c r="I294" t="n">
        <v>0</v>
      </c>
      <c r="J294" t="n">
        <v>0</v>
      </c>
      <c r="K294" t="n">
        <v>0</v>
      </c>
      <c r="L294" t="n">
        <v>0</v>
      </c>
      <c r="M294" t="n">
        <v>0</v>
      </c>
      <c r="N294" t="n">
        <v>0</v>
      </c>
      <c r="O294" t="n">
        <v>0</v>
      </c>
      <c r="P294" t="n">
        <v>0</v>
      </c>
      <c r="Q294" t="n">
        <v>0</v>
      </c>
      <c r="R294" s="2" t="inlineStr"/>
    </row>
    <row r="295" ht="15" customHeight="1">
      <c r="A295" t="inlineStr">
        <is>
          <t>A 60003-2024</t>
        </is>
      </c>
      <c r="B295" s="1" t="n">
        <v>45642</v>
      </c>
      <c r="C295" s="1" t="n">
        <v>45884</v>
      </c>
      <c r="D295" t="inlineStr">
        <is>
          <t>UPPSALA LÄN</t>
        </is>
      </c>
      <c r="E295" t="inlineStr">
        <is>
          <t>UPPSALA</t>
        </is>
      </c>
      <c r="F295" t="inlineStr">
        <is>
          <t>Bergvik skog väst AB</t>
        </is>
      </c>
      <c r="G295" t="n">
        <v>14.5</v>
      </c>
      <c r="H295" t="n">
        <v>0</v>
      </c>
      <c r="I295" t="n">
        <v>0</v>
      </c>
      <c r="J295" t="n">
        <v>0</v>
      </c>
      <c r="K295" t="n">
        <v>0</v>
      </c>
      <c r="L295" t="n">
        <v>0</v>
      </c>
      <c r="M295" t="n">
        <v>0</v>
      </c>
      <c r="N295" t="n">
        <v>0</v>
      </c>
      <c r="O295" t="n">
        <v>0</v>
      </c>
      <c r="P295" t="n">
        <v>0</v>
      </c>
      <c r="Q295" t="n">
        <v>0</v>
      </c>
      <c r="R295" s="2" t="inlineStr"/>
    </row>
    <row r="296" ht="15" customHeight="1">
      <c r="A296" t="inlineStr">
        <is>
          <t>A 61463-2024</t>
        </is>
      </c>
      <c r="B296" s="1" t="n">
        <v>45646.50211805556</v>
      </c>
      <c r="C296" s="1" t="n">
        <v>45884</v>
      </c>
      <c r="D296" t="inlineStr">
        <is>
          <t>UPPSALA LÄN</t>
        </is>
      </c>
      <c r="E296" t="inlineStr">
        <is>
          <t>UPPSALA</t>
        </is>
      </c>
      <c r="G296" t="n">
        <v>0.8</v>
      </c>
      <c r="H296" t="n">
        <v>0</v>
      </c>
      <c r="I296" t="n">
        <v>0</v>
      </c>
      <c r="J296" t="n">
        <v>0</v>
      </c>
      <c r="K296" t="n">
        <v>0</v>
      </c>
      <c r="L296" t="n">
        <v>0</v>
      </c>
      <c r="M296" t="n">
        <v>0</v>
      </c>
      <c r="N296" t="n">
        <v>0</v>
      </c>
      <c r="O296" t="n">
        <v>0</v>
      </c>
      <c r="P296" t="n">
        <v>0</v>
      </c>
      <c r="Q296" t="n">
        <v>0</v>
      </c>
      <c r="R296" s="2" t="inlineStr"/>
    </row>
    <row r="297" ht="15" customHeight="1">
      <c r="A297" t="inlineStr">
        <is>
          <t>A 20206-2023</t>
        </is>
      </c>
      <c r="B297" s="1" t="n">
        <v>45055</v>
      </c>
      <c r="C297" s="1" t="n">
        <v>45884</v>
      </c>
      <c r="D297" t="inlineStr">
        <is>
          <t>UPPSALA LÄN</t>
        </is>
      </c>
      <c r="E297" t="inlineStr">
        <is>
          <t>UPPSALA</t>
        </is>
      </c>
      <c r="G297" t="n">
        <v>5.7</v>
      </c>
      <c r="H297" t="n">
        <v>0</v>
      </c>
      <c r="I297" t="n">
        <v>0</v>
      </c>
      <c r="J297" t="n">
        <v>0</v>
      </c>
      <c r="K297" t="n">
        <v>0</v>
      </c>
      <c r="L297" t="n">
        <v>0</v>
      </c>
      <c r="M297" t="n">
        <v>0</v>
      </c>
      <c r="N297" t="n">
        <v>0</v>
      </c>
      <c r="O297" t="n">
        <v>0</v>
      </c>
      <c r="P297" t="n">
        <v>0</v>
      </c>
      <c r="Q297" t="n">
        <v>0</v>
      </c>
      <c r="R297" s="2" t="inlineStr"/>
    </row>
    <row r="298" ht="15" customHeight="1">
      <c r="A298" t="inlineStr">
        <is>
          <t>A 6059-2025</t>
        </is>
      </c>
      <c r="B298" s="1" t="n">
        <v>45695.8391550926</v>
      </c>
      <c r="C298" s="1" t="n">
        <v>45884</v>
      </c>
      <c r="D298" t="inlineStr">
        <is>
          <t>UPPSALA LÄN</t>
        </is>
      </c>
      <c r="E298" t="inlineStr">
        <is>
          <t>UPPSALA</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1838-2024</t>
        </is>
      </c>
      <c r="B299" s="1" t="n">
        <v>45307</v>
      </c>
      <c r="C299" s="1" t="n">
        <v>45884</v>
      </c>
      <c r="D299" t="inlineStr">
        <is>
          <t>UPPSALA LÄN</t>
        </is>
      </c>
      <c r="E299" t="inlineStr">
        <is>
          <t>UPPSALA</t>
        </is>
      </c>
      <c r="G299" t="n">
        <v>1.8</v>
      </c>
      <c r="H299" t="n">
        <v>0</v>
      </c>
      <c r="I299" t="n">
        <v>0</v>
      </c>
      <c r="J299" t="n">
        <v>0</v>
      </c>
      <c r="K299" t="n">
        <v>0</v>
      </c>
      <c r="L299" t="n">
        <v>0</v>
      </c>
      <c r="M299" t="n">
        <v>0</v>
      </c>
      <c r="N299" t="n">
        <v>0</v>
      </c>
      <c r="O299" t="n">
        <v>0</v>
      </c>
      <c r="P299" t="n">
        <v>0</v>
      </c>
      <c r="Q299" t="n">
        <v>0</v>
      </c>
      <c r="R299" s="2" t="inlineStr"/>
    </row>
    <row r="300" ht="15" customHeight="1">
      <c r="A300" t="inlineStr">
        <is>
          <t>A 49931-2020</t>
        </is>
      </c>
      <c r="B300" s="1" t="n">
        <v>44109</v>
      </c>
      <c r="C300" s="1" t="n">
        <v>45884</v>
      </c>
      <c r="D300" t="inlineStr">
        <is>
          <t>UPPSALA LÄN</t>
        </is>
      </c>
      <c r="E300" t="inlineStr">
        <is>
          <t>UPPSALA</t>
        </is>
      </c>
      <c r="G300" t="n">
        <v>3.4</v>
      </c>
      <c r="H300" t="n">
        <v>0</v>
      </c>
      <c r="I300" t="n">
        <v>0</v>
      </c>
      <c r="J300" t="n">
        <v>0</v>
      </c>
      <c r="K300" t="n">
        <v>0</v>
      </c>
      <c r="L300" t="n">
        <v>0</v>
      </c>
      <c r="M300" t="n">
        <v>0</v>
      </c>
      <c r="N300" t="n">
        <v>0</v>
      </c>
      <c r="O300" t="n">
        <v>0</v>
      </c>
      <c r="P300" t="n">
        <v>0</v>
      </c>
      <c r="Q300" t="n">
        <v>0</v>
      </c>
      <c r="R300" s="2" t="inlineStr"/>
    </row>
    <row r="301" ht="15" customHeight="1">
      <c r="A301" t="inlineStr">
        <is>
          <t>A 26323-2023</t>
        </is>
      </c>
      <c r="B301" s="1" t="n">
        <v>45091.69766203704</v>
      </c>
      <c r="C301" s="1" t="n">
        <v>45884</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2927-2022</t>
        </is>
      </c>
      <c r="B302" s="1" t="n">
        <v>44581.60254629629</v>
      </c>
      <c r="C302" s="1" t="n">
        <v>45884</v>
      </c>
      <c r="D302" t="inlineStr">
        <is>
          <t>UPPSALA LÄN</t>
        </is>
      </c>
      <c r="E302" t="inlineStr">
        <is>
          <t>UPPSALA</t>
        </is>
      </c>
      <c r="F302" t="inlineStr">
        <is>
          <t>Holmen skog AB</t>
        </is>
      </c>
      <c r="G302" t="n">
        <v>1.3</v>
      </c>
      <c r="H302" t="n">
        <v>0</v>
      </c>
      <c r="I302" t="n">
        <v>0</v>
      </c>
      <c r="J302" t="n">
        <v>0</v>
      </c>
      <c r="K302" t="n">
        <v>0</v>
      </c>
      <c r="L302" t="n">
        <v>0</v>
      </c>
      <c r="M302" t="n">
        <v>0</v>
      </c>
      <c r="N302" t="n">
        <v>0</v>
      </c>
      <c r="O302" t="n">
        <v>0</v>
      </c>
      <c r="P302" t="n">
        <v>0</v>
      </c>
      <c r="Q302" t="n">
        <v>0</v>
      </c>
      <c r="R302" s="2" t="inlineStr"/>
    </row>
    <row r="303" ht="15" customHeight="1">
      <c r="A303" t="inlineStr">
        <is>
          <t>A 60701-2022</t>
        </is>
      </c>
      <c r="B303" s="1" t="n">
        <v>44912</v>
      </c>
      <c r="C303" s="1" t="n">
        <v>45884</v>
      </c>
      <c r="D303" t="inlineStr">
        <is>
          <t>UPPSALA LÄN</t>
        </is>
      </c>
      <c r="E303" t="inlineStr">
        <is>
          <t>UPPSALA</t>
        </is>
      </c>
      <c r="G303" t="n">
        <v>1.4</v>
      </c>
      <c r="H303" t="n">
        <v>0</v>
      </c>
      <c r="I303" t="n">
        <v>0</v>
      </c>
      <c r="J303" t="n">
        <v>0</v>
      </c>
      <c r="K303" t="n">
        <v>0</v>
      </c>
      <c r="L303" t="n">
        <v>0</v>
      </c>
      <c r="M303" t="n">
        <v>0</v>
      </c>
      <c r="N303" t="n">
        <v>0</v>
      </c>
      <c r="O303" t="n">
        <v>0</v>
      </c>
      <c r="P303" t="n">
        <v>0</v>
      </c>
      <c r="Q303" t="n">
        <v>0</v>
      </c>
      <c r="R303" s="2" t="inlineStr"/>
    </row>
    <row r="304" ht="15" customHeight="1">
      <c r="A304" t="inlineStr">
        <is>
          <t>A 53614-2024</t>
        </is>
      </c>
      <c r="B304" s="1" t="n">
        <v>45611</v>
      </c>
      <c r="C304" s="1" t="n">
        <v>45884</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5989-2022</t>
        </is>
      </c>
      <c r="B305" s="1" t="n">
        <v>44599.42277777778</v>
      </c>
      <c r="C305" s="1" t="n">
        <v>45884</v>
      </c>
      <c r="D305" t="inlineStr">
        <is>
          <t>UPPSALA LÄN</t>
        </is>
      </c>
      <c r="E305" t="inlineStr">
        <is>
          <t>UPPSALA</t>
        </is>
      </c>
      <c r="G305" t="n">
        <v>2.8</v>
      </c>
      <c r="H305" t="n">
        <v>0</v>
      </c>
      <c r="I305" t="n">
        <v>0</v>
      </c>
      <c r="J305" t="n">
        <v>0</v>
      </c>
      <c r="K305" t="n">
        <v>0</v>
      </c>
      <c r="L305" t="n">
        <v>0</v>
      </c>
      <c r="M305" t="n">
        <v>0</v>
      </c>
      <c r="N305" t="n">
        <v>0</v>
      </c>
      <c r="O305" t="n">
        <v>0</v>
      </c>
      <c r="P305" t="n">
        <v>0</v>
      </c>
      <c r="Q305" t="n">
        <v>0</v>
      </c>
      <c r="R305" s="2" t="inlineStr"/>
    </row>
    <row r="306" ht="15" customHeight="1">
      <c r="A306" t="inlineStr">
        <is>
          <t>A 8109-2024</t>
        </is>
      </c>
      <c r="B306" s="1" t="n">
        <v>45351.48662037037</v>
      </c>
      <c r="C306" s="1" t="n">
        <v>45884</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6290-2025</t>
        </is>
      </c>
      <c r="B307" s="1" t="n">
        <v>45698.65606481482</v>
      </c>
      <c r="C307" s="1" t="n">
        <v>45884</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16434-2024</t>
        </is>
      </c>
      <c r="B308" s="1" t="n">
        <v>45407.69575231482</v>
      </c>
      <c r="C308" s="1" t="n">
        <v>45884</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1825-2024</t>
        </is>
      </c>
      <c r="B309" s="1" t="n">
        <v>45307</v>
      </c>
      <c r="C309" s="1" t="n">
        <v>45884</v>
      </c>
      <c r="D309" t="inlineStr">
        <is>
          <t>UPPSALA LÄN</t>
        </is>
      </c>
      <c r="E309" t="inlineStr">
        <is>
          <t>UPPSALA</t>
        </is>
      </c>
      <c r="G309" t="n">
        <v>4.2</v>
      </c>
      <c r="H309" t="n">
        <v>0</v>
      </c>
      <c r="I309" t="n">
        <v>0</v>
      </c>
      <c r="J309" t="n">
        <v>0</v>
      </c>
      <c r="K309" t="n">
        <v>0</v>
      </c>
      <c r="L309" t="n">
        <v>0</v>
      </c>
      <c r="M309" t="n">
        <v>0</v>
      </c>
      <c r="N309" t="n">
        <v>0</v>
      </c>
      <c r="O309" t="n">
        <v>0</v>
      </c>
      <c r="P309" t="n">
        <v>0</v>
      </c>
      <c r="Q309" t="n">
        <v>0</v>
      </c>
      <c r="R309" s="2" t="inlineStr"/>
    </row>
    <row r="310" ht="15" customHeight="1">
      <c r="A310" t="inlineStr">
        <is>
          <t>A 64855-2021</t>
        </is>
      </c>
      <c r="B310" s="1" t="n">
        <v>44512</v>
      </c>
      <c r="C310" s="1" t="n">
        <v>45884</v>
      </c>
      <c r="D310" t="inlineStr">
        <is>
          <t>UPPSALA LÄN</t>
        </is>
      </c>
      <c r="E310" t="inlineStr">
        <is>
          <t>UPPSALA</t>
        </is>
      </c>
      <c r="G310" t="n">
        <v>3.1</v>
      </c>
      <c r="H310" t="n">
        <v>0</v>
      </c>
      <c r="I310" t="n">
        <v>0</v>
      </c>
      <c r="J310" t="n">
        <v>0</v>
      </c>
      <c r="K310" t="n">
        <v>0</v>
      </c>
      <c r="L310" t="n">
        <v>0</v>
      </c>
      <c r="M310" t="n">
        <v>0</v>
      </c>
      <c r="N310" t="n">
        <v>0</v>
      </c>
      <c r="O310" t="n">
        <v>0</v>
      </c>
      <c r="P310" t="n">
        <v>0</v>
      </c>
      <c r="Q310" t="n">
        <v>0</v>
      </c>
      <c r="R310" s="2" t="inlineStr"/>
    </row>
    <row r="311" ht="15" customHeight="1">
      <c r="A311" t="inlineStr">
        <is>
          <t>A 11201-2024</t>
        </is>
      </c>
      <c r="B311" s="1" t="n">
        <v>45371</v>
      </c>
      <c r="C311" s="1" t="n">
        <v>45884</v>
      </c>
      <c r="D311" t="inlineStr">
        <is>
          <t>UPPSALA LÄN</t>
        </is>
      </c>
      <c r="E311" t="inlineStr">
        <is>
          <t>UPPSALA</t>
        </is>
      </c>
      <c r="F311" t="inlineStr">
        <is>
          <t>Kommuner</t>
        </is>
      </c>
      <c r="G311" t="n">
        <v>0.5</v>
      </c>
      <c r="H311" t="n">
        <v>0</v>
      </c>
      <c r="I311" t="n">
        <v>0</v>
      </c>
      <c r="J311" t="n">
        <v>0</v>
      </c>
      <c r="K311" t="n">
        <v>0</v>
      </c>
      <c r="L311" t="n">
        <v>0</v>
      </c>
      <c r="M311" t="n">
        <v>0</v>
      </c>
      <c r="N311" t="n">
        <v>0</v>
      </c>
      <c r="O311" t="n">
        <v>0</v>
      </c>
      <c r="P311" t="n">
        <v>0</v>
      </c>
      <c r="Q311" t="n">
        <v>0</v>
      </c>
      <c r="R311" s="2" t="inlineStr"/>
    </row>
    <row r="312" ht="15" customHeight="1">
      <c r="A312" t="inlineStr">
        <is>
          <t>A 27622-2023</t>
        </is>
      </c>
      <c r="B312" s="1" t="n">
        <v>45097</v>
      </c>
      <c r="C312" s="1" t="n">
        <v>45884</v>
      </c>
      <c r="D312" t="inlineStr">
        <is>
          <t>UPPSALA LÄN</t>
        </is>
      </c>
      <c r="E312" t="inlineStr">
        <is>
          <t>UPPSALA</t>
        </is>
      </c>
      <c r="G312" t="n">
        <v>3.2</v>
      </c>
      <c r="H312" t="n">
        <v>0</v>
      </c>
      <c r="I312" t="n">
        <v>0</v>
      </c>
      <c r="J312" t="n">
        <v>0</v>
      </c>
      <c r="K312" t="n">
        <v>0</v>
      </c>
      <c r="L312" t="n">
        <v>0</v>
      </c>
      <c r="M312" t="n">
        <v>0</v>
      </c>
      <c r="N312" t="n">
        <v>0</v>
      </c>
      <c r="O312" t="n">
        <v>0</v>
      </c>
      <c r="P312" t="n">
        <v>0</v>
      </c>
      <c r="Q312" t="n">
        <v>0</v>
      </c>
      <c r="R312" s="2" t="inlineStr"/>
    </row>
    <row r="313" ht="15" customHeight="1">
      <c r="A313" t="inlineStr">
        <is>
          <t>A 9993-2025</t>
        </is>
      </c>
      <c r="B313" s="1" t="n">
        <v>45719.43755787037</v>
      </c>
      <c r="C313" s="1" t="n">
        <v>45884</v>
      </c>
      <c r="D313" t="inlineStr">
        <is>
          <t>UPPSALA LÄN</t>
        </is>
      </c>
      <c r="E313" t="inlineStr">
        <is>
          <t>UPPSALA</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6997-2023</t>
        </is>
      </c>
      <c r="B314" s="1" t="n">
        <v>44967.78984953704</v>
      </c>
      <c r="C314" s="1" t="n">
        <v>45884</v>
      </c>
      <c r="D314" t="inlineStr">
        <is>
          <t>UPPSALA LÄN</t>
        </is>
      </c>
      <c r="E314" t="inlineStr">
        <is>
          <t>UPPSALA</t>
        </is>
      </c>
      <c r="G314" t="n">
        <v>3.9</v>
      </c>
      <c r="H314" t="n">
        <v>0</v>
      </c>
      <c r="I314" t="n">
        <v>0</v>
      </c>
      <c r="J314" t="n">
        <v>0</v>
      </c>
      <c r="K314" t="n">
        <v>0</v>
      </c>
      <c r="L314" t="n">
        <v>0</v>
      </c>
      <c r="M314" t="n">
        <v>0</v>
      </c>
      <c r="N314" t="n">
        <v>0</v>
      </c>
      <c r="O314" t="n">
        <v>0</v>
      </c>
      <c r="P314" t="n">
        <v>0</v>
      </c>
      <c r="Q314" t="n">
        <v>0</v>
      </c>
      <c r="R314" s="2" t="inlineStr"/>
    </row>
    <row r="315" ht="15" customHeight="1">
      <c r="A315" t="inlineStr">
        <is>
          <t>A 12221-2022</t>
        </is>
      </c>
      <c r="B315" s="1" t="n">
        <v>44637.35744212963</v>
      </c>
      <c r="C315" s="1" t="n">
        <v>45884</v>
      </c>
      <c r="D315" t="inlineStr">
        <is>
          <t>UPPSALA LÄN</t>
        </is>
      </c>
      <c r="E315" t="inlineStr">
        <is>
          <t>UPPSALA</t>
        </is>
      </c>
      <c r="G315" t="n">
        <v>1.4</v>
      </c>
      <c r="H315" t="n">
        <v>0</v>
      </c>
      <c r="I315" t="n">
        <v>0</v>
      </c>
      <c r="J315" t="n">
        <v>0</v>
      </c>
      <c r="K315" t="n">
        <v>0</v>
      </c>
      <c r="L315" t="n">
        <v>0</v>
      </c>
      <c r="M315" t="n">
        <v>0</v>
      </c>
      <c r="N315" t="n">
        <v>0</v>
      </c>
      <c r="O315" t="n">
        <v>0</v>
      </c>
      <c r="P315" t="n">
        <v>0</v>
      </c>
      <c r="Q315" t="n">
        <v>0</v>
      </c>
      <c r="R315" s="2" t="inlineStr"/>
    </row>
    <row r="316" ht="15" customHeight="1">
      <c r="A316" t="inlineStr">
        <is>
          <t>A 53921-2024</t>
        </is>
      </c>
      <c r="B316" s="1" t="n">
        <v>45615</v>
      </c>
      <c r="C316" s="1" t="n">
        <v>45884</v>
      </c>
      <c r="D316" t="inlineStr">
        <is>
          <t>UPPSALA LÄN</t>
        </is>
      </c>
      <c r="E316" t="inlineStr">
        <is>
          <t>UPPSALA</t>
        </is>
      </c>
      <c r="G316" t="n">
        <v>8.1</v>
      </c>
      <c r="H316" t="n">
        <v>0</v>
      </c>
      <c r="I316" t="n">
        <v>0</v>
      </c>
      <c r="J316" t="n">
        <v>0</v>
      </c>
      <c r="K316" t="n">
        <v>0</v>
      </c>
      <c r="L316" t="n">
        <v>0</v>
      </c>
      <c r="M316" t="n">
        <v>0</v>
      </c>
      <c r="N316" t="n">
        <v>0</v>
      </c>
      <c r="O316" t="n">
        <v>0</v>
      </c>
      <c r="P316" t="n">
        <v>0</v>
      </c>
      <c r="Q316" t="n">
        <v>0</v>
      </c>
      <c r="R316" s="2" t="inlineStr"/>
    </row>
    <row r="317" ht="15" customHeight="1">
      <c r="A317" t="inlineStr">
        <is>
          <t>A 12293-2022</t>
        </is>
      </c>
      <c r="B317" s="1" t="n">
        <v>44637.56178240741</v>
      </c>
      <c r="C317" s="1" t="n">
        <v>45884</v>
      </c>
      <c r="D317" t="inlineStr">
        <is>
          <t>UPPSALA LÄN</t>
        </is>
      </c>
      <c r="E317" t="inlineStr">
        <is>
          <t>UPPSALA</t>
        </is>
      </c>
      <c r="F317" t="inlineStr">
        <is>
          <t>Kommuner</t>
        </is>
      </c>
      <c r="G317" t="n">
        <v>0.8</v>
      </c>
      <c r="H317" t="n">
        <v>0</v>
      </c>
      <c r="I317" t="n">
        <v>0</v>
      </c>
      <c r="J317" t="n">
        <v>0</v>
      </c>
      <c r="K317" t="n">
        <v>0</v>
      </c>
      <c r="L317" t="n">
        <v>0</v>
      </c>
      <c r="M317" t="n">
        <v>0</v>
      </c>
      <c r="N317" t="n">
        <v>0</v>
      </c>
      <c r="O317" t="n">
        <v>0</v>
      </c>
      <c r="P317" t="n">
        <v>0</v>
      </c>
      <c r="Q317" t="n">
        <v>0</v>
      </c>
      <c r="R317" s="2" t="inlineStr"/>
    </row>
    <row r="318" ht="15" customHeight="1">
      <c r="A318" t="inlineStr">
        <is>
          <t>A 3315-2025</t>
        </is>
      </c>
      <c r="B318" s="1" t="n">
        <v>45679</v>
      </c>
      <c r="C318" s="1" t="n">
        <v>45884</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29145-2021</t>
        </is>
      </c>
      <c r="B319" s="1" t="n">
        <v>44358.63490740741</v>
      </c>
      <c r="C319" s="1" t="n">
        <v>45884</v>
      </c>
      <c r="D319" t="inlineStr">
        <is>
          <t>UPPSALA LÄN</t>
        </is>
      </c>
      <c r="E319" t="inlineStr">
        <is>
          <t>UPPSALA</t>
        </is>
      </c>
      <c r="G319" t="n">
        <v>2.4</v>
      </c>
      <c r="H319" t="n">
        <v>0</v>
      </c>
      <c r="I319" t="n">
        <v>0</v>
      </c>
      <c r="J319" t="n">
        <v>0</v>
      </c>
      <c r="K319" t="n">
        <v>0</v>
      </c>
      <c r="L319" t="n">
        <v>0</v>
      </c>
      <c r="M319" t="n">
        <v>0</v>
      </c>
      <c r="N319" t="n">
        <v>0</v>
      </c>
      <c r="O319" t="n">
        <v>0</v>
      </c>
      <c r="P319" t="n">
        <v>0</v>
      </c>
      <c r="Q319" t="n">
        <v>0</v>
      </c>
      <c r="R319" s="2" t="inlineStr"/>
    </row>
    <row r="320" ht="15" customHeight="1">
      <c r="A320" t="inlineStr">
        <is>
          <t>A 6012-2025</t>
        </is>
      </c>
      <c r="B320" s="1" t="n">
        <v>45695.59805555556</v>
      </c>
      <c r="C320" s="1" t="n">
        <v>45884</v>
      </c>
      <c r="D320" t="inlineStr">
        <is>
          <t>UPPSALA LÄN</t>
        </is>
      </c>
      <c r="E320" t="inlineStr">
        <is>
          <t>UPPSALA</t>
        </is>
      </c>
      <c r="F320" t="inlineStr">
        <is>
          <t>Övriga Aktiebolag</t>
        </is>
      </c>
      <c r="G320" t="n">
        <v>14.3</v>
      </c>
      <c r="H320" t="n">
        <v>0</v>
      </c>
      <c r="I320" t="n">
        <v>0</v>
      </c>
      <c r="J320" t="n">
        <v>0</v>
      </c>
      <c r="K320" t="n">
        <v>0</v>
      </c>
      <c r="L320" t="n">
        <v>0</v>
      </c>
      <c r="M320" t="n">
        <v>0</v>
      </c>
      <c r="N320" t="n">
        <v>0</v>
      </c>
      <c r="O320" t="n">
        <v>0</v>
      </c>
      <c r="P320" t="n">
        <v>0</v>
      </c>
      <c r="Q320" t="n">
        <v>0</v>
      </c>
      <c r="R320" s="2" t="inlineStr"/>
    </row>
    <row r="321" ht="15" customHeight="1">
      <c r="A321" t="inlineStr">
        <is>
          <t>A 59719-2022</t>
        </is>
      </c>
      <c r="B321" s="1" t="n">
        <v>44908.425625</v>
      </c>
      <c r="C321" s="1" t="n">
        <v>45884</v>
      </c>
      <c r="D321" t="inlineStr">
        <is>
          <t>UPPSALA LÄN</t>
        </is>
      </c>
      <c r="E321" t="inlineStr">
        <is>
          <t>UPPSALA</t>
        </is>
      </c>
      <c r="G321" t="n">
        <v>3.6</v>
      </c>
      <c r="H321" t="n">
        <v>0</v>
      </c>
      <c r="I321" t="n">
        <v>0</v>
      </c>
      <c r="J321" t="n">
        <v>0</v>
      </c>
      <c r="K321" t="n">
        <v>0</v>
      </c>
      <c r="L321" t="n">
        <v>0</v>
      </c>
      <c r="M321" t="n">
        <v>0</v>
      </c>
      <c r="N321" t="n">
        <v>0</v>
      </c>
      <c r="O321" t="n">
        <v>0</v>
      </c>
      <c r="P321" t="n">
        <v>0</v>
      </c>
      <c r="Q321" t="n">
        <v>0</v>
      </c>
      <c r="R321" s="2" t="inlineStr"/>
    </row>
    <row r="322" ht="15" customHeight="1">
      <c r="A322" t="inlineStr">
        <is>
          <t>A 43031-2023</t>
        </is>
      </c>
      <c r="B322" s="1" t="n">
        <v>45182</v>
      </c>
      <c r="C322" s="1" t="n">
        <v>45884</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38934-2023</t>
        </is>
      </c>
      <c r="B323" s="1" t="n">
        <v>45163.59913194444</v>
      </c>
      <c r="C323" s="1" t="n">
        <v>45884</v>
      </c>
      <c r="D323" t="inlineStr">
        <is>
          <t>UPPSALA LÄN</t>
        </is>
      </c>
      <c r="E323" t="inlineStr">
        <is>
          <t>UPPSALA</t>
        </is>
      </c>
      <c r="G323" t="n">
        <v>0.7</v>
      </c>
      <c r="H323" t="n">
        <v>0</v>
      </c>
      <c r="I323" t="n">
        <v>0</v>
      </c>
      <c r="J323" t="n">
        <v>0</v>
      </c>
      <c r="K323" t="n">
        <v>0</v>
      </c>
      <c r="L323" t="n">
        <v>0</v>
      </c>
      <c r="M323" t="n">
        <v>0</v>
      </c>
      <c r="N323" t="n">
        <v>0</v>
      </c>
      <c r="O323" t="n">
        <v>0</v>
      </c>
      <c r="P323" t="n">
        <v>0</v>
      </c>
      <c r="Q323" t="n">
        <v>0</v>
      </c>
      <c r="R323" s="2" t="inlineStr"/>
    </row>
    <row r="324" ht="15" customHeight="1">
      <c r="A324" t="inlineStr">
        <is>
          <t>A 66686-2021</t>
        </is>
      </c>
      <c r="B324" s="1" t="n">
        <v>44519</v>
      </c>
      <c r="C324" s="1" t="n">
        <v>45884</v>
      </c>
      <c r="D324" t="inlineStr">
        <is>
          <t>UPPSALA LÄN</t>
        </is>
      </c>
      <c r="E324" t="inlineStr">
        <is>
          <t>UPPSALA</t>
        </is>
      </c>
      <c r="G324" t="n">
        <v>6.4</v>
      </c>
      <c r="H324" t="n">
        <v>0</v>
      </c>
      <c r="I324" t="n">
        <v>0</v>
      </c>
      <c r="J324" t="n">
        <v>0</v>
      </c>
      <c r="K324" t="n">
        <v>0</v>
      </c>
      <c r="L324" t="n">
        <v>0</v>
      </c>
      <c r="M324" t="n">
        <v>0</v>
      </c>
      <c r="N324" t="n">
        <v>0</v>
      </c>
      <c r="O324" t="n">
        <v>0</v>
      </c>
      <c r="P324" t="n">
        <v>0</v>
      </c>
      <c r="Q324" t="n">
        <v>0</v>
      </c>
      <c r="R324" s="2" t="inlineStr"/>
    </row>
    <row r="325" ht="15" customHeight="1">
      <c r="A325" t="inlineStr">
        <is>
          <t>A 42681-2023</t>
        </is>
      </c>
      <c r="B325" s="1" t="n">
        <v>45181.58055555556</v>
      </c>
      <c r="C325" s="1" t="n">
        <v>45884</v>
      </c>
      <c r="D325" t="inlineStr">
        <is>
          <t>UPPSALA LÄN</t>
        </is>
      </c>
      <c r="E325" t="inlineStr">
        <is>
          <t>UPPSALA</t>
        </is>
      </c>
      <c r="F325" t="inlineStr">
        <is>
          <t>Bergvik skog öst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59133-2022</t>
        </is>
      </c>
      <c r="B326" s="1" t="n">
        <v>44904</v>
      </c>
      <c r="C326" s="1" t="n">
        <v>45884</v>
      </c>
      <c r="D326" t="inlineStr">
        <is>
          <t>UPPSALA LÄN</t>
        </is>
      </c>
      <c r="E326" t="inlineStr">
        <is>
          <t>UPPSALA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179-2024</t>
        </is>
      </c>
      <c r="B327" s="1" t="n">
        <v>45294.5666550926</v>
      </c>
      <c r="C327" s="1" t="n">
        <v>45884</v>
      </c>
      <c r="D327" t="inlineStr">
        <is>
          <t>UPPSALA LÄN</t>
        </is>
      </c>
      <c r="E327" t="inlineStr">
        <is>
          <t>UPPSALA</t>
        </is>
      </c>
      <c r="F327" t="inlineStr">
        <is>
          <t>Bergvik skog öst AB</t>
        </is>
      </c>
      <c r="G327" t="n">
        <v>12.7</v>
      </c>
      <c r="H327" t="n">
        <v>0</v>
      </c>
      <c r="I327" t="n">
        <v>0</v>
      </c>
      <c r="J327" t="n">
        <v>0</v>
      </c>
      <c r="K327" t="n">
        <v>0</v>
      </c>
      <c r="L327" t="n">
        <v>0</v>
      </c>
      <c r="M327" t="n">
        <v>0</v>
      </c>
      <c r="N327" t="n">
        <v>0</v>
      </c>
      <c r="O327" t="n">
        <v>0</v>
      </c>
      <c r="P327" t="n">
        <v>0</v>
      </c>
      <c r="Q327" t="n">
        <v>0</v>
      </c>
      <c r="R327" s="2" t="inlineStr"/>
    </row>
    <row r="328" ht="15" customHeight="1">
      <c r="A328" t="inlineStr">
        <is>
          <t>A 33941-2023</t>
        </is>
      </c>
      <c r="B328" s="1" t="n">
        <v>45134.57021990741</v>
      </c>
      <c r="C328" s="1" t="n">
        <v>45884</v>
      </c>
      <c r="D328" t="inlineStr">
        <is>
          <t>UPPSALA LÄN</t>
        </is>
      </c>
      <c r="E328" t="inlineStr">
        <is>
          <t>UPPSALA</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50954-2022</t>
        </is>
      </c>
      <c r="B329" s="1" t="n">
        <v>44866</v>
      </c>
      <c r="C329" s="1" t="n">
        <v>45884</v>
      </c>
      <c r="D329" t="inlineStr">
        <is>
          <t>UPPSALA LÄN</t>
        </is>
      </c>
      <c r="E329" t="inlineStr">
        <is>
          <t>UPPSALA</t>
        </is>
      </c>
      <c r="G329" t="n">
        <v>0.6</v>
      </c>
      <c r="H329" t="n">
        <v>0</v>
      </c>
      <c r="I329" t="n">
        <v>0</v>
      </c>
      <c r="J329" t="n">
        <v>0</v>
      </c>
      <c r="K329" t="n">
        <v>0</v>
      </c>
      <c r="L329" t="n">
        <v>0</v>
      </c>
      <c r="M329" t="n">
        <v>0</v>
      </c>
      <c r="N329" t="n">
        <v>0</v>
      </c>
      <c r="O329" t="n">
        <v>0</v>
      </c>
      <c r="P329" t="n">
        <v>0</v>
      </c>
      <c r="Q329" t="n">
        <v>0</v>
      </c>
      <c r="R329" s="2" t="inlineStr"/>
    </row>
    <row r="330" ht="15" customHeight="1">
      <c r="A330" t="inlineStr">
        <is>
          <t>A 17211-2025</t>
        </is>
      </c>
      <c r="B330" s="1" t="n">
        <v>45756.44024305556</v>
      </c>
      <c r="C330" s="1" t="n">
        <v>45884</v>
      </c>
      <c r="D330" t="inlineStr">
        <is>
          <t>UPPSALA LÄN</t>
        </is>
      </c>
      <c r="E330" t="inlineStr">
        <is>
          <t>UPPSALA</t>
        </is>
      </c>
      <c r="G330" t="n">
        <v>1.2</v>
      </c>
      <c r="H330" t="n">
        <v>0</v>
      </c>
      <c r="I330" t="n">
        <v>0</v>
      </c>
      <c r="J330" t="n">
        <v>0</v>
      </c>
      <c r="K330" t="n">
        <v>0</v>
      </c>
      <c r="L330" t="n">
        <v>0</v>
      </c>
      <c r="M330" t="n">
        <v>0</v>
      </c>
      <c r="N330" t="n">
        <v>0</v>
      </c>
      <c r="O330" t="n">
        <v>0</v>
      </c>
      <c r="P330" t="n">
        <v>0</v>
      </c>
      <c r="Q330" t="n">
        <v>0</v>
      </c>
      <c r="R330" s="2" t="inlineStr"/>
    </row>
    <row r="331" ht="15" customHeight="1">
      <c r="A331" t="inlineStr">
        <is>
          <t>A 36392-2023</t>
        </is>
      </c>
      <c r="B331" s="1" t="n">
        <v>45152</v>
      </c>
      <c r="C331" s="1" t="n">
        <v>45884</v>
      </c>
      <c r="D331" t="inlineStr">
        <is>
          <t>UPPSALA LÄN</t>
        </is>
      </c>
      <c r="E331" t="inlineStr">
        <is>
          <t>UPPSALA</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18625-2025</t>
        </is>
      </c>
      <c r="B332" s="1" t="n">
        <v>45763.52744212963</v>
      </c>
      <c r="C332" s="1" t="n">
        <v>45884</v>
      </c>
      <c r="D332" t="inlineStr">
        <is>
          <t>UPPSALA LÄN</t>
        </is>
      </c>
      <c r="E332" t="inlineStr">
        <is>
          <t>UPPSALA</t>
        </is>
      </c>
      <c r="G332" t="n">
        <v>1.8</v>
      </c>
      <c r="H332" t="n">
        <v>0</v>
      </c>
      <c r="I332" t="n">
        <v>0</v>
      </c>
      <c r="J332" t="n">
        <v>0</v>
      </c>
      <c r="K332" t="n">
        <v>0</v>
      </c>
      <c r="L332" t="n">
        <v>0</v>
      </c>
      <c r="M332" t="n">
        <v>0</v>
      </c>
      <c r="N332" t="n">
        <v>0</v>
      </c>
      <c r="O332" t="n">
        <v>0</v>
      </c>
      <c r="P332" t="n">
        <v>0</v>
      </c>
      <c r="Q332" t="n">
        <v>0</v>
      </c>
      <c r="R332" s="2" t="inlineStr"/>
    </row>
    <row r="333" ht="15" customHeight="1">
      <c r="A333" t="inlineStr">
        <is>
          <t>A 8090-2022</t>
        </is>
      </c>
      <c r="B333" s="1" t="n">
        <v>44608</v>
      </c>
      <c r="C333" s="1" t="n">
        <v>45884</v>
      </c>
      <c r="D333" t="inlineStr">
        <is>
          <t>UPPSALA LÄN</t>
        </is>
      </c>
      <c r="E333" t="inlineStr">
        <is>
          <t>UPPSALA</t>
        </is>
      </c>
      <c r="G333" t="n">
        <v>1.4</v>
      </c>
      <c r="H333" t="n">
        <v>0</v>
      </c>
      <c r="I333" t="n">
        <v>0</v>
      </c>
      <c r="J333" t="n">
        <v>0</v>
      </c>
      <c r="K333" t="n">
        <v>0</v>
      </c>
      <c r="L333" t="n">
        <v>0</v>
      </c>
      <c r="M333" t="n">
        <v>0</v>
      </c>
      <c r="N333" t="n">
        <v>0</v>
      </c>
      <c r="O333" t="n">
        <v>0</v>
      </c>
      <c r="P333" t="n">
        <v>0</v>
      </c>
      <c r="Q333" t="n">
        <v>0</v>
      </c>
      <c r="R333" s="2" t="inlineStr"/>
    </row>
    <row r="334" ht="15" customHeight="1">
      <c r="A334" t="inlineStr">
        <is>
          <t>A 39148-2022</t>
        </is>
      </c>
      <c r="B334" s="1" t="n">
        <v>44816</v>
      </c>
      <c r="C334" s="1" t="n">
        <v>45884</v>
      </c>
      <c r="D334" t="inlineStr">
        <is>
          <t>UPPSALA LÄN</t>
        </is>
      </c>
      <c r="E334" t="inlineStr">
        <is>
          <t>UPPSALA</t>
        </is>
      </c>
      <c r="F334" t="inlineStr">
        <is>
          <t>Övriga statliga verk och myndigheter</t>
        </is>
      </c>
      <c r="G334" t="n">
        <v>1.7</v>
      </c>
      <c r="H334" t="n">
        <v>0</v>
      </c>
      <c r="I334" t="n">
        <v>0</v>
      </c>
      <c r="J334" t="n">
        <v>0</v>
      </c>
      <c r="K334" t="n">
        <v>0</v>
      </c>
      <c r="L334" t="n">
        <v>0</v>
      </c>
      <c r="M334" t="n">
        <v>0</v>
      </c>
      <c r="N334" t="n">
        <v>0</v>
      </c>
      <c r="O334" t="n">
        <v>0</v>
      </c>
      <c r="P334" t="n">
        <v>0</v>
      </c>
      <c r="Q334" t="n">
        <v>0</v>
      </c>
      <c r="R334" s="2" t="inlineStr"/>
    </row>
    <row r="335" ht="15" customHeight="1">
      <c r="A335" t="inlineStr">
        <is>
          <t>A 5729-2025</t>
        </is>
      </c>
      <c r="B335" s="1" t="n">
        <v>45694.49037037037</v>
      </c>
      <c r="C335" s="1" t="n">
        <v>45884</v>
      </c>
      <c r="D335" t="inlineStr">
        <is>
          <t>UPPSALA LÄN</t>
        </is>
      </c>
      <c r="E335" t="inlineStr">
        <is>
          <t>UPPSALA</t>
        </is>
      </c>
      <c r="G335" t="n">
        <v>1</v>
      </c>
      <c r="H335" t="n">
        <v>0</v>
      </c>
      <c r="I335" t="n">
        <v>0</v>
      </c>
      <c r="J335" t="n">
        <v>0</v>
      </c>
      <c r="K335" t="n">
        <v>0</v>
      </c>
      <c r="L335" t="n">
        <v>0</v>
      </c>
      <c r="M335" t="n">
        <v>0</v>
      </c>
      <c r="N335" t="n">
        <v>0</v>
      </c>
      <c r="O335" t="n">
        <v>0</v>
      </c>
      <c r="P335" t="n">
        <v>0</v>
      </c>
      <c r="Q335" t="n">
        <v>0</v>
      </c>
      <c r="R335" s="2" t="inlineStr"/>
    </row>
    <row r="336" ht="15" customHeight="1">
      <c r="A336" t="inlineStr">
        <is>
          <t>A 55220-2020</t>
        </is>
      </c>
      <c r="B336" s="1" t="n">
        <v>44130</v>
      </c>
      <c r="C336" s="1" t="n">
        <v>45884</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42124-2021</t>
        </is>
      </c>
      <c r="B337" s="1" t="n">
        <v>44426</v>
      </c>
      <c r="C337" s="1" t="n">
        <v>45884</v>
      </c>
      <c r="D337" t="inlineStr">
        <is>
          <t>UPPSALA LÄN</t>
        </is>
      </c>
      <c r="E337" t="inlineStr">
        <is>
          <t>UPPSALA</t>
        </is>
      </c>
      <c r="G337" t="n">
        <v>6.3</v>
      </c>
      <c r="H337" t="n">
        <v>0</v>
      </c>
      <c r="I337" t="n">
        <v>0</v>
      </c>
      <c r="J337" t="n">
        <v>0</v>
      </c>
      <c r="K337" t="n">
        <v>0</v>
      </c>
      <c r="L337" t="n">
        <v>0</v>
      </c>
      <c r="M337" t="n">
        <v>0</v>
      </c>
      <c r="N337" t="n">
        <v>0</v>
      </c>
      <c r="O337" t="n">
        <v>0</v>
      </c>
      <c r="P337" t="n">
        <v>0</v>
      </c>
      <c r="Q337" t="n">
        <v>0</v>
      </c>
      <c r="R337" s="2" t="inlineStr"/>
    </row>
    <row r="338" ht="15" customHeight="1">
      <c r="A338" t="inlineStr">
        <is>
          <t>A 10477-2024</t>
        </is>
      </c>
      <c r="B338" s="1" t="n">
        <v>45366.42888888889</v>
      </c>
      <c r="C338" s="1" t="n">
        <v>45884</v>
      </c>
      <c r="D338" t="inlineStr">
        <is>
          <t>UPPSALA LÄN</t>
        </is>
      </c>
      <c r="E338" t="inlineStr">
        <is>
          <t>UPPSALA</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6630-2024</t>
        </is>
      </c>
      <c r="B339" s="1" t="n">
        <v>45341.63811342593</v>
      </c>
      <c r="C339" s="1" t="n">
        <v>45884</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22431-2024</t>
        </is>
      </c>
      <c r="B340" s="1" t="n">
        <v>45446.78256944445</v>
      </c>
      <c r="C340" s="1" t="n">
        <v>45884</v>
      </c>
      <c r="D340" t="inlineStr">
        <is>
          <t>UPPSALA LÄN</t>
        </is>
      </c>
      <c r="E340" t="inlineStr">
        <is>
          <t>UPPSALA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11744-2023</t>
        </is>
      </c>
      <c r="B341" s="1" t="n">
        <v>44993</v>
      </c>
      <c r="C341" s="1" t="n">
        <v>45884</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39795-2022</t>
        </is>
      </c>
      <c r="B342" s="1" t="n">
        <v>44819.50233796296</v>
      </c>
      <c r="C342" s="1" t="n">
        <v>45884</v>
      </c>
      <c r="D342" t="inlineStr">
        <is>
          <t>UPPSALA LÄN</t>
        </is>
      </c>
      <c r="E342" t="inlineStr">
        <is>
          <t>UPPSALA</t>
        </is>
      </c>
      <c r="F342" t="inlineStr">
        <is>
          <t>Övriga Aktiebolag</t>
        </is>
      </c>
      <c r="G342" t="n">
        <v>3.5</v>
      </c>
      <c r="H342" t="n">
        <v>0</v>
      </c>
      <c r="I342" t="n">
        <v>0</v>
      </c>
      <c r="J342" t="n">
        <v>0</v>
      </c>
      <c r="K342" t="n">
        <v>0</v>
      </c>
      <c r="L342" t="n">
        <v>0</v>
      </c>
      <c r="M342" t="n">
        <v>0</v>
      </c>
      <c r="N342" t="n">
        <v>0</v>
      </c>
      <c r="O342" t="n">
        <v>0</v>
      </c>
      <c r="P342" t="n">
        <v>0</v>
      </c>
      <c r="Q342" t="n">
        <v>0</v>
      </c>
      <c r="R342" s="2" t="inlineStr"/>
    </row>
    <row r="343" ht="15" customHeight="1">
      <c r="A343" t="inlineStr">
        <is>
          <t>A 8132-2024</t>
        </is>
      </c>
      <c r="B343" s="1" t="n">
        <v>45351.54596064815</v>
      </c>
      <c r="C343" s="1" t="n">
        <v>45884</v>
      </c>
      <c r="D343" t="inlineStr">
        <is>
          <t>UPPSALA LÄN</t>
        </is>
      </c>
      <c r="E343" t="inlineStr">
        <is>
          <t>UPPSALA</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11409-2025</t>
        </is>
      </c>
      <c r="B344" s="1" t="n">
        <v>45726</v>
      </c>
      <c r="C344" s="1" t="n">
        <v>45884</v>
      </c>
      <c r="D344" t="inlineStr">
        <is>
          <t>UPPSALA LÄN</t>
        </is>
      </c>
      <c r="E344" t="inlineStr">
        <is>
          <t>UPPSALA</t>
        </is>
      </c>
      <c r="G344" t="n">
        <v>0.3</v>
      </c>
      <c r="H344" t="n">
        <v>0</v>
      </c>
      <c r="I344" t="n">
        <v>0</v>
      </c>
      <c r="J344" t="n">
        <v>0</v>
      </c>
      <c r="K344" t="n">
        <v>0</v>
      </c>
      <c r="L344" t="n">
        <v>0</v>
      </c>
      <c r="M344" t="n">
        <v>0</v>
      </c>
      <c r="N344" t="n">
        <v>0</v>
      </c>
      <c r="O344" t="n">
        <v>0</v>
      </c>
      <c r="P344" t="n">
        <v>0</v>
      </c>
      <c r="Q344" t="n">
        <v>0</v>
      </c>
      <c r="R344" s="2" t="inlineStr"/>
    </row>
    <row r="345" ht="15" customHeight="1">
      <c r="A345" t="inlineStr">
        <is>
          <t>A 1855-2021</t>
        </is>
      </c>
      <c r="B345" s="1" t="n">
        <v>44210</v>
      </c>
      <c r="C345" s="1" t="n">
        <v>45884</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34114-2024</t>
        </is>
      </c>
      <c r="B346" s="1" t="n">
        <v>45524</v>
      </c>
      <c r="C346" s="1" t="n">
        <v>45884</v>
      </c>
      <c r="D346" t="inlineStr">
        <is>
          <t>UPPSALA LÄN</t>
        </is>
      </c>
      <c r="E346" t="inlineStr">
        <is>
          <t>UPPSALA</t>
        </is>
      </c>
      <c r="F346" t="inlineStr">
        <is>
          <t>Allmännings- och besparingsskogar</t>
        </is>
      </c>
      <c r="G346" t="n">
        <v>1.3</v>
      </c>
      <c r="H346" t="n">
        <v>0</v>
      </c>
      <c r="I346" t="n">
        <v>0</v>
      </c>
      <c r="J346" t="n">
        <v>0</v>
      </c>
      <c r="K346" t="n">
        <v>0</v>
      </c>
      <c r="L346" t="n">
        <v>0</v>
      </c>
      <c r="M346" t="n">
        <v>0</v>
      </c>
      <c r="N346" t="n">
        <v>0</v>
      </c>
      <c r="O346" t="n">
        <v>0</v>
      </c>
      <c r="P346" t="n">
        <v>0</v>
      </c>
      <c r="Q346" t="n">
        <v>0</v>
      </c>
      <c r="R346" s="2" t="inlineStr"/>
    </row>
    <row r="347" ht="15" customHeight="1">
      <c r="A347" t="inlineStr">
        <is>
          <t>A 668-2025</t>
        </is>
      </c>
      <c r="B347" s="1" t="n">
        <v>45664</v>
      </c>
      <c r="C347" s="1" t="n">
        <v>45884</v>
      </c>
      <c r="D347" t="inlineStr">
        <is>
          <t>UPPSALA LÄN</t>
        </is>
      </c>
      <c r="E347" t="inlineStr">
        <is>
          <t>UPPSALA</t>
        </is>
      </c>
      <c r="F347" t="inlineStr">
        <is>
          <t>Bergvik skog öst AB</t>
        </is>
      </c>
      <c r="G347" t="n">
        <v>4.7</v>
      </c>
      <c r="H347" t="n">
        <v>0</v>
      </c>
      <c r="I347" t="n">
        <v>0</v>
      </c>
      <c r="J347" t="n">
        <v>0</v>
      </c>
      <c r="K347" t="n">
        <v>0</v>
      </c>
      <c r="L347" t="n">
        <v>0</v>
      </c>
      <c r="M347" t="n">
        <v>0</v>
      </c>
      <c r="N347" t="n">
        <v>0</v>
      </c>
      <c r="O347" t="n">
        <v>0</v>
      </c>
      <c r="P347" t="n">
        <v>0</v>
      </c>
      <c r="Q347" t="n">
        <v>0</v>
      </c>
      <c r="R347" s="2" t="inlineStr"/>
    </row>
    <row r="348" ht="15" customHeight="1">
      <c r="A348" t="inlineStr">
        <is>
          <t>A 6408-2022</t>
        </is>
      </c>
      <c r="B348" s="1" t="n">
        <v>44600</v>
      </c>
      <c r="C348" s="1" t="n">
        <v>45884</v>
      </c>
      <c r="D348" t="inlineStr">
        <is>
          <t>UPPSALA LÄN</t>
        </is>
      </c>
      <c r="E348" t="inlineStr">
        <is>
          <t>UPPSALA</t>
        </is>
      </c>
      <c r="F348" t="inlineStr">
        <is>
          <t>Bergvik skog öst AB</t>
        </is>
      </c>
      <c r="G348" t="n">
        <v>1.8</v>
      </c>
      <c r="H348" t="n">
        <v>0</v>
      </c>
      <c r="I348" t="n">
        <v>0</v>
      </c>
      <c r="J348" t="n">
        <v>0</v>
      </c>
      <c r="K348" t="n">
        <v>0</v>
      </c>
      <c r="L348" t="n">
        <v>0</v>
      </c>
      <c r="M348" t="n">
        <v>0</v>
      </c>
      <c r="N348" t="n">
        <v>0</v>
      </c>
      <c r="O348" t="n">
        <v>0</v>
      </c>
      <c r="P348" t="n">
        <v>0</v>
      </c>
      <c r="Q348" t="n">
        <v>0</v>
      </c>
      <c r="R348" s="2" t="inlineStr"/>
    </row>
    <row r="349" ht="15" customHeight="1">
      <c r="A349" t="inlineStr">
        <is>
          <t>A 24098-2024</t>
        </is>
      </c>
      <c r="B349" s="1" t="n">
        <v>45456.59535879629</v>
      </c>
      <c r="C349" s="1" t="n">
        <v>45884</v>
      </c>
      <c r="D349" t="inlineStr">
        <is>
          <t>UPPSALA LÄN</t>
        </is>
      </c>
      <c r="E349" t="inlineStr">
        <is>
          <t>UPPSALA</t>
        </is>
      </c>
      <c r="G349" t="n">
        <v>2.2</v>
      </c>
      <c r="H349" t="n">
        <v>0</v>
      </c>
      <c r="I349" t="n">
        <v>0</v>
      </c>
      <c r="J349" t="n">
        <v>0</v>
      </c>
      <c r="K349" t="n">
        <v>0</v>
      </c>
      <c r="L349" t="n">
        <v>0</v>
      </c>
      <c r="M349" t="n">
        <v>0</v>
      </c>
      <c r="N349" t="n">
        <v>0</v>
      </c>
      <c r="O349" t="n">
        <v>0</v>
      </c>
      <c r="P349" t="n">
        <v>0</v>
      </c>
      <c r="Q349" t="n">
        <v>0</v>
      </c>
      <c r="R349" s="2" t="inlineStr"/>
    </row>
    <row r="350" ht="15" customHeight="1">
      <c r="A350" t="inlineStr">
        <is>
          <t>A 5722-2025</t>
        </is>
      </c>
      <c r="B350" s="1" t="n">
        <v>45694</v>
      </c>
      <c r="C350" s="1" t="n">
        <v>45884</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37316-2022</t>
        </is>
      </c>
      <c r="B351" s="1" t="n">
        <v>44806</v>
      </c>
      <c r="C351" s="1" t="n">
        <v>45884</v>
      </c>
      <c r="D351" t="inlineStr">
        <is>
          <t>UPPSALA LÄN</t>
        </is>
      </c>
      <c r="E351" t="inlineStr">
        <is>
          <t>UPPSALA</t>
        </is>
      </c>
      <c r="G351" t="n">
        <v>10.6</v>
      </c>
      <c r="H351" t="n">
        <v>0</v>
      </c>
      <c r="I351" t="n">
        <v>0</v>
      </c>
      <c r="J351" t="n">
        <v>0</v>
      </c>
      <c r="K351" t="n">
        <v>0</v>
      </c>
      <c r="L351" t="n">
        <v>0</v>
      </c>
      <c r="M351" t="n">
        <v>0</v>
      </c>
      <c r="N351" t="n">
        <v>0</v>
      </c>
      <c r="O351" t="n">
        <v>0</v>
      </c>
      <c r="P351" t="n">
        <v>0</v>
      </c>
      <c r="Q351" t="n">
        <v>0</v>
      </c>
      <c r="R351" s="2" t="inlineStr"/>
    </row>
    <row r="352" ht="15" customHeight="1">
      <c r="A352" t="inlineStr">
        <is>
          <t>A 58023-2022</t>
        </is>
      </c>
      <c r="B352" s="1" t="n">
        <v>44900.54711805555</v>
      </c>
      <c r="C352" s="1" t="n">
        <v>45884</v>
      </c>
      <c r="D352" t="inlineStr">
        <is>
          <t>UPPSALA LÄN</t>
        </is>
      </c>
      <c r="E352" t="inlineStr">
        <is>
          <t>UPPSALA</t>
        </is>
      </c>
      <c r="G352" t="n">
        <v>0.7</v>
      </c>
      <c r="H352" t="n">
        <v>0</v>
      </c>
      <c r="I352" t="n">
        <v>0</v>
      </c>
      <c r="J352" t="n">
        <v>0</v>
      </c>
      <c r="K352" t="n">
        <v>0</v>
      </c>
      <c r="L352" t="n">
        <v>0</v>
      </c>
      <c r="M352" t="n">
        <v>0</v>
      </c>
      <c r="N352" t="n">
        <v>0</v>
      </c>
      <c r="O352" t="n">
        <v>0</v>
      </c>
      <c r="P352" t="n">
        <v>0</v>
      </c>
      <c r="Q352" t="n">
        <v>0</v>
      </c>
      <c r="R352" s="2" t="inlineStr"/>
    </row>
    <row r="353" ht="15" customHeight="1">
      <c r="A353" t="inlineStr">
        <is>
          <t>A 51661-2022</t>
        </is>
      </c>
      <c r="B353" s="1" t="n">
        <v>44872</v>
      </c>
      <c r="C353" s="1" t="n">
        <v>45884</v>
      </c>
      <c r="D353" t="inlineStr">
        <is>
          <t>UPPSALA LÄN</t>
        </is>
      </c>
      <c r="E353" t="inlineStr">
        <is>
          <t>UPPSALA</t>
        </is>
      </c>
      <c r="G353" t="n">
        <v>8.9</v>
      </c>
      <c r="H353" t="n">
        <v>0</v>
      </c>
      <c r="I353" t="n">
        <v>0</v>
      </c>
      <c r="J353" t="n">
        <v>0</v>
      </c>
      <c r="K353" t="n">
        <v>0</v>
      </c>
      <c r="L353" t="n">
        <v>0</v>
      </c>
      <c r="M353" t="n">
        <v>0</v>
      </c>
      <c r="N353" t="n">
        <v>0</v>
      </c>
      <c r="O353" t="n">
        <v>0</v>
      </c>
      <c r="P353" t="n">
        <v>0</v>
      </c>
      <c r="Q353" t="n">
        <v>0</v>
      </c>
      <c r="R353" s="2" t="inlineStr"/>
    </row>
    <row r="354" ht="15" customHeight="1">
      <c r="A354" t="inlineStr">
        <is>
          <t>A 6363-2024</t>
        </is>
      </c>
      <c r="B354" s="1" t="n">
        <v>45338.49412037037</v>
      </c>
      <c r="C354" s="1" t="n">
        <v>45884</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54808-2023</t>
        </is>
      </c>
      <c r="B355" s="1" t="n">
        <v>45236</v>
      </c>
      <c r="C355" s="1" t="n">
        <v>45884</v>
      </c>
      <c r="D355" t="inlineStr">
        <is>
          <t>UPPSALA LÄN</t>
        </is>
      </c>
      <c r="E355" t="inlineStr">
        <is>
          <t>UPPSALA</t>
        </is>
      </c>
      <c r="G355" t="n">
        <v>4.1</v>
      </c>
      <c r="H355" t="n">
        <v>0</v>
      </c>
      <c r="I355" t="n">
        <v>0</v>
      </c>
      <c r="J355" t="n">
        <v>0</v>
      </c>
      <c r="K355" t="n">
        <v>0</v>
      </c>
      <c r="L355" t="n">
        <v>0</v>
      </c>
      <c r="M355" t="n">
        <v>0</v>
      </c>
      <c r="N355" t="n">
        <v>0</v>
      </c>
      <c r="O355" t="n">
        <v>0</v>
      </c>
      <c r="P355" t="n">
        <v>0</v>
      </c>
      <c r="Q355" t="n">
        <v>0</v>
      </c>
      <c r="R355" s="2" t="inlineStr"/>
    </row>
    <row r="356" ht="15" customHeight="1">
      <c r="A356" t="inlineStr">
        <is>
          <t>A 10394-2025</t>
        </is>
      </c>
      <c r="B356" s="1" t="n">
        <v>45720.60410879629</v>
      </c>
      <c r="C356" s="1" t="n">
        <v>45884</v>
      </c>
      <c r="D356" t="inlineStr">
        <is>
          <t>UPPSALA LÄN</t>
        </is>
      </c>
      <c r="E356" t="inlineStr">
        <is>
          <t>UPPSALA</t>
        </is>
      </c>
      <c r="G356" t="n">
        <v>3.4</v>
      </c>
      <c r="H356" t="n">
        <v>0</v>
      </c>
      <c r="I356" t="n">
        <v>0</v>
      </c>
      <c r="J356" t="n">
        <v>0</v>
      </c>
      <c r="K356" t="n">
        <v>0</v>
      </c>
      <c r="L356" t="n">
        <v>0</v>
      </c>
      <c r="M356" t="n">
        <v>0</v>
      </c>
      <c r="N356" t="n">
        <v>0</v>
      </c>
      <c r="O356" t="n">
        <v>0</v>
      </c>
      <c r="P356" t="n">
        <v>0</v>
      </c>
      <c r="Q356" t="n">
        <v>0</v>
      </c>
      <c r="R356" s="2" t="inlineStr"/>
    </row>
    <row r="357" ht="15" customHeight="1">
      <c r="A357" t="inlineStr">
        <is>
          <t>A 34243-2021</t>
        </is>
      </c>
      <c r="B357" s="1" t="n">
        <v>44379.56163194445</v>
      </c>
      <c r="C357" s="1" t="n">
        <v>45884</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7276-2024</t>
        </is>
      </c>
      <c r="B358" s="1" t="n">
        <v>45344</v>
      </c>
      <c r="C358" s="1" t="n">
        <v>45884</v>
      </c>
      <c r="D358" t="inlineStr">
        <is>
          <t>UPPSALA LÄN</t>
        </is>
      </c>
      <c r="E358" t="inlineStr">
        <is>
          <t>UPPSALA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49682-2023</t>
        </is>
      </c>
      <c r="B359" s="1" t="n">
        <v>45212.34997685185</v>
      </c>
      <c r="C359" s="1" t="n">
        <v>45884</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54813-2022</t>
        </is>
      </c>
      <c r="B360" s="1" t="n">
        <v>44883</v>
      </c>
      <c r="C360" s="1" t="n">
        <v>45884</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69691-2021</t>
        </is>
      </c>
      <c r="B361" s="1" t="n">
        <v>44532</v>
      </c>
      <c r="C361" s="1" t="n">
        <v>45884</v>
      </c>
      <c r="D361" t="inlineStr">
        <is>
          <t>UPPSALA LÄN</t>
        </is>
      </c>
      <c r="E361" t="inlineStr">
        <is>
          <t>UPPSALA</t>
        </is>
      </c>
      <c r="G361" t="n">
        <v>2.3</v>
      </c>
      <c r="H361" t="n">
        <v>0</v>
      </c>
      <c r="I361" t="n">
        <v>0</v>
      </c>
      <c r="J361" t="n">
        <v>0</v>
      </c>
      <c r="K361" t="n">
        <v>0</v>
      </c>
      <c r="L361" t="n">
        <v>0</v>
      </c>
      <c r="M361" t="n">
        <v>0</v>
      </c>
      <c r="N361" t="n">
        <v>0</v>
      </c>
      <c r="O361" t="n">
        <v>0</v>
      </c>
      <c r="P361" t="n">
        <v>0</v>
      </c>
      <c r="Q361" t="n">
        <v>0</v>
      </c>
      <c r="R361" s="2" t="inlineStr"/>
    </row>
    <row r="362" ht="15" customHeight="1">
      <c r="A362" t="inlineStr">
        <is>
          <t>A 35542-2022</t>
        </is>
      </c>
      <c r="B362" s="1" t="n">
        <v>44799.36695601852</v>
      </c>
      <c r="C362" s="1" t="n">
        <v>45884</v>
      </c>
      <c r="D362" t="inlineStr">
        <is>
          <t>UPPSALA LÄN</t>
        </is>
      </c>
      <c r="E362" t="inlineStr">
        <is>
          <t>UPPSALA</t>
        </is>
      </c>
      <c r="G362" t="n">
        <v>3.2</v>
      </c>
      <c r="H362" t="n">
        <v>0</v>
      </c>
      <c r="I362" t="n">
        <v>0</v>
      </c>
      <c r="J362" t="n">
        <v>0</v>
      </c>
      <c r="K362" t="n">
        <v>0</v>
      </c>
      <c r="L362" t="n">
        <v>0</v>
      </c>
      <c r="M362" t="n">
        <v>0</v>
      </c>
      <c r="N362" t="n">
        <v>0</v>
      </c>
      <c r="O362" t="n">
        <v>0</v>
      </c>
      <c r="P362" t="n">
        <v>0</v>
      </c>
      <c r="Q362" t="n">
        <v>0</v>
      </c>
      <c r="R362" s="2" t="inlineStr"/>
    </row>
    <row r="363" ht="15" customHeight="1">
      <c r="A363" t="inlineStr">
        <is>
          <t>A 39608-2022</t>
        </is>
      </c>
      <c r="B363" s="1" t="n">
        <v>44817</v>
      </c>
      <c r="C363" s="1" t="n">
        <v>45884</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42622-2022</t>
        </is>
      </c>
      <c r="B364" s="1" t="n">
        <v>44831</v>
      </c>
      <c r="C364" s="1" t="n">
        <v>45884</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5362-2023</t>
        </is>
      </c>
      <c r="B365" s="1" t="n">
        <v>44944</v>
      </c>
      <c r="C365" s="1" t="n">
        <v>45884</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26762-2023</t>
        </is>
      </c>
      <c r="B366" s="1" t="n">
        <v>45093.46706018518</v>
      </c>
      <c r="C366" s="1" t="n">
        <v>45884</v>
      </c>
      <c r="D366" t="inlineStr">
        <is>
          <t>UPPSALA LÄN</t>
        </is>
      </c>
      <c r="E366" t="inlineStr">
        <is>
          <t>UPPSALA</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11162-2022</t>
        </is>
      </c>
      <c r="B367" s="1" t="n">
        <v>44629.42423611111</v>
      </c>
      <c r="C367" s="1" t="n">
        <v>45884</v>
      </c>
      <c r="D367" t="inlineStr">
        <is>
          <t>UPPSALA LÄN</t>
        </is>
      </c>
      <c r="E367" t="inlineStr">
        <is>
          <t>UPPSALA</t>
        </is>
      </c>
      <c r="G367" t="n">
        <v>1.5</v>
      </c>
      <c r="H367" t="n">
        <v>0</v>
      </c>
      <c r="I367" t="n">
        <v>0</v>
      </c>
      <c r="J367" t="n">
        <v>0</v>
      </c>
      <c r="K367" t="n">
        <v>0</v>
      </c>
      <c r="L367" t="n">
        <v>0</v>
      </c>
      <c r="M367" t="n">
        <v>0</v>
      </c>
      <c r="N367" t="n">
        <v>0</v>
      </c>
      <c r="O367" t="n">
        <v>0</v>
      </c>
      <c r="P367" t="n">
        <v>0</v>
      </c>
      <c r="Q367" t="n">
        <v>0</v>
      </c>
      <c r="R367" s="2" t="inlineStr"/>
    </row>
    <row r="368" ht="15" customHeight="1">
      <c r="A368" t="inlineStr">
        <is>
          <t>A 7058-2023</t>
        </is>
      </c>
      <c r="B368" s="1" t="n">
        <v>44969</v>
      </c>
      <c r="C368" s="1" t="n">
        <v>45884</v>
      </c>
      <c r="D368" t="inlineStr">
        <is>
          <t>UPPSALA LÄN</t>
        </is>
      </c>
      <c r="E368" t="inlineStr">
        <is>
          <t>UPPSALA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47316-2023</t>
        </is>
      </c>
      <c r="B369" s="1" t="n">
        <v>45202.4997337963</v>
      </c>
      <c r="C369" s="1" t="n">
        <v>45884</v>
      </c>
      <c r="D369" t="inlineStr">
        <is>
          <t>UPPSALA LÄN</t>
        </is>
      </c>
      <c r="E369" t="inlineStr">
        <is>
          <t>UPPSALA</t>
        </is>
      </c>
      <c r="F369" t="inlineStr">
        <is>
          <t>Bergvik skog öst AB</t>
        </is>
      </c>
      <c r="G369" t="n">
        <v>0.3</v>
      </c>
      <c r="H369" t="n">
        <v>0</v>
      </c>
      <c r="I369" t="n">
        <v>0</v>
      </c>
      <c r="J369" t="n">
        <v>0</v>
      </c>
      <c r="K369" t="n">
        <v>0</v>
      </c>
      <c r="L369" t="n">
        <v>0</v>
      </c>
      <c r="M369" t="n">
        <v>0</v>
      </c>
      <c r="N369" t="n">
        <v>0</v>
      </c>
      <c r="O369" t="n">
        <v>0</v>
      </c>
      <c r="P369" t="n">
        <v>0</v>
      </c>
      <c r="Q369" t="n">
        <v>0</v>
      </c>
      <c r="R369" s="2" t="inlineStr"/>
    </row>
    <row r="370" ht="15" customHeight="1">
      <c r="A370" t="inlineStr">
        <is>
          <t>A 6851-2022</t>
        </is>
      </c>
      <c r="B370" s="1" t="n">
        <v>44602</v>
      </c>
      <c r="C370" s="1" t="n">
        <v>45884</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1731-2022</t>
        </is>
      </c>
      <c r="B371" s="1" t="n">
        <v>44574</v>
      </c>
      <c r="C371" s="1" t="n">
        <v>45884</v>
      </c>
      <c r="D371" t="inlineStr">
        <is>
          <t>UPPSALA LÄN</t>
        </is>
      </c>
      <c r="E371" t="inlineStr">
        <is>
          <t>UPPSALA</t>
        </is>
      </c>
      <c r="G371" t="n">
        <v>10.1</v>
      </c>
      <c r="H371" t="n">
        <v>0</v>
      </c>
      <c r="I371" t="n">
        <v>0</v>
      </c>
      <c r="J371" t="n">
        <v>0</v>
      </c>
      <c r="K371" t="n">
        <v>0</v>
      </c>
      <c r="L371" t="n">
        <v>0</v>
      </c>
      <c r="M371" t="n">
        <v>0</v>
      </c>
      <c r="N371" t="n">
        <v>0</v>
      </c>
      <c r="O371" t="n">
        <v>0</v>
      </c>
      <c r="P371" t="n">
        <v>0</v>
      </c>
      <c r="Q371" t="n">
        <v>0</v>
      </c>
      <c r="R371" s="2" t="inlineStr"/>
    </row>
    <row r="372" ht="15" customHeight="1">
      <c r="A372" t="inlineStr">
        <is>
          <t>A 39107-2023</t>
        </is>
      </c>
      <c r="B372" s="1" t="n">
        <v>45164.82913194445</v>
      </c>
      <c r="C372" s="1" t="n">
        <v>45884</v>
      </c>
      <c r="D372" t="inlineStr">
        <is>
          <t>UPPSALA LÄN</t>
        </is>
      </c>
      <c r="E372" t="inlineStr">
        <is>
          <t>UPPSALA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27068-2023</t>
        </is>
      </c>
      <c r="B373" s="1" t="n">
        <v>45096</v>
      </c>
      <c r="C373" s="1" t="n">
        <v>45884</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45878-2024</t>
        </is>
      </c>
      <c r="B374" s="1" t="n">
        <v>45580</v>
      </c>
      <c r="C374" s="1" t="n">
        <v>45884</v>
      </c>
      <c r="D374" t="inlineStr">
        <is>
          <t>UPPSALA LÄN</t>
        </is>
      </c>
      <c r="E374" t="inlineStr">
        <is>
          <t>UPPSALA</t>
        </is>
      </c>
      <c r="G374" t="n">
        <v>2.8</v>
      </c>
      <c r="H374" t="n">
        <v>0</v>
      </c>
      <c r="I374" t="n">
        <v>0</v>
      </c>
      <c r="J374" t="n">
        <v>0</v>
      </c>
      <c r="K374" t="n">
        <v>0</v>
      </c>
      <c r="L374" t="n">
        <v>0</v>
      </c>
      <c r="M374" t="n">
        <v>0</v>
      </c>
      <c r="N374" t="n">
        <v>0</v>
      </c>
      <c r="O374" t="n">
        <v>0</v>
      </c>
      <c r="P374" t="n">
        <v>0</v>
      </c>
      <c r="Q374" t="n">
        <v>0</v>
      </c>
      <c r="R374" s="2" t="inlineStr"/>
    </row>
    <row r="375" ht="15" customHeight="1">
      <c r="A375" t="inlineStr">
        <is>
          <t>A 43-2024</t>
        </is>
      </c>
      <c r="B375" s="1" t="n">
        <v>45293</v>
      </c>
      <c r="C375" s="1" t="n">
        <v>45884</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62044-2024</t>
        </is>
      </c>
      <c r="B376" s="1" t="n">
        <v>45656</v>
      </c>
      <c r="C376" s="1" t="n">
        <v>45884</v>
      </c>
      <c r="D376" t="inlineStr">
        <is>
          <t>UPPSALA LÄN</t>
        </is>
      </c>
      <c r="E376" t="inlineStr">
        <is>
          <t>UPPSALA</t>
        </is>
      </c>
      <c r="F376" t="inlineStr">
        <is>
          <t>Övriga statliga verk och myndigheter</t>
        </is>
      </c>
      <c r="G376" t="n">
        <v>11.6</v>
      </c>
      <c r="H376" t="n">
        <v>0</v>
      </c>
      <c r="I376" t="n">
        <v>0</v>
      </c>
      <c r="J376" t="n">
        <v>0</v>
      </c>
      <c r="K376" t="n">
        <v>0</v>
      </c>
      <c r="L376" t="n">
        <v>0</v>
      </c>
      <c r="M376" t="n">
        <v>0</v>
      </c>
      <c r="N376" t="n">
        <v>0</v>
      </c>
      <c r="O376" t="n">
        <v>0</v>
      </c>
      <c r="P376" t="n">
        <v>0</v>
      </c>
      <c r="Q376" t="n">
        <v>0</v>
      </c>
      <c r="R376" s="2" t="inlineStr"/>
    </row>
    <row r="377" ht="15" customHeight="1">
      <c r="A377" t="inlineStr">
        <is>
          <t>A 16811-2023</t>
        </is>
      </c>
      <c r="B377" s="1" t="n">
        <v>45033</v>
      </c>
      <c r="C377" s="1" t="n">
        <v>45884</v>
      </c>
      <c r="D377" t="inlineStr">
        <is>
          <t>UPPSALA LÄN</t>
        </is>
      </c>
      <c r="E377" t="inlineStr">
        <is>
          <t>UPPSALA</t>
        </is>
      </c>
      <c r="G377" t="n">
        <v>10.1</v>
      </c>
      <c r="H377" t="n">
        <v>0</v>
      </c>
      <c r="I377" t="n">
        <v>0</v>
      </c>
      <c r="J377" t="n">
        <v>0</v>
      </c>
      <c r="K377" t="n">
        <v>0</v>
      </c>
      <c r="L377" t="n">
        <v>0</v>
      </c>
      <c r="M377" t="n">
        <v>0</v>
      </c>
      <c r="N377" t="n">
        <v>0</v>
      </c>
      <c r="O377" t="n">
        <v>0</v>
      </c>
      <c r="P377" t="n">
        <v>0</v>
      </c>
      <c r="Q377" t="n">
        <v>0</v>
      </c>
      <c r="R377" s="2" t="inlineStr"/>
    </row>
    <row r="378" ht="15" customHeight="1">
      <c r="A378" t="inlineStr">
        <is>
          <t>A 17587-2025</t>
        </is>
      </c>
      <c r="B378" s="1" t="n">
        <v>45757.67611111111</v>
      </c>
      <c r="C378" s="1" t="n">
        <v>45884</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62352-2020</t>
        </is>
      </c>
      <c r="B379" s="1" t="n">
        <v>44159</v>
      </c>
      <c r="C379" s="1" t="n">
        <v>45884</v>
      </c>
      <c r="D379" t="inlineStr">
        <is>
          <t>UPPSALA LÄN</t>
        </is>
      </c>
      <c r="E379" t="inlineStr">
        <is>
          <t>UPPSALA</t>
        </is>
      </c>
      <c r="F379" t="inlineStr">
        <is>
          <t>Allmännings- och besparingsskogar</t>
        </is>
      </c>
      <c r="G379" t="n">
        <v>12.9</v>
      </c>
      <c r="H379" t="n">
        <v>0</v>
      </c>
      <c r="I379" t="n">
        <v>0</v>
      </c>
      <c r="J379" t="n">
        <v>0</v>
      </c>
      <c r="K379" t="n">
        <v>0</v>
      </c>
      <c r="L379" t="n">
        <v>0</v>
      </c>
      <c r="M379" t="n">
        <v>0</v>
      </c>
      <c r="N379" t="n">
        <v>0</v>
      </c>
      <c r="O379" t="n">
        <v>0</v>
      </c>
      <c r="P379" t="n">
        <v>0</v>
      </c>
      <c r="Q379" t="n">
        <v>0</v>
      </c>
      <c r="R379" s="2" t="inlineStr"/>
    </row>
    <row r="380" ht="15" customHeight="1">
      <c r="A380" t="inlineStr">
        <is>
          <t>A 74495-2021</t>
        </is>
      </c>
      <c r="B380" s="1" t="n">
        <v>44560</v>
      </c>
      <c r="C380" s="1" t="n">
        <v>45884</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46920-2021</t>
        </is>
      </c>
      <c r="B381" s="1" t="n">
        <v>44446</v>
      </c>
      <c r="C381" s="1" t="n">
        <v>45884</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48564-2023</t>
        </is>
      </c>
      <c r="B382" s="1" t="n">
        <v>45208.4350462963</v>
      </c>
      <c r="C382" s="1" t="n">
        <v>45884</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21727-2023</t>
        </is>
      </c>
      <c r="B383" s="1" t="n">
        <v>45065.43013888889</v>
      </c>
      <c r="C383" s="1" t="n">
        <v>45884</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18668-2024</t>
        </is>
      </c>
      <c r="B384" s="1" t="n">
        <v>45426.34148148148</v>
      </c>
      <c r="C384" s="1" t="n">
        <v>45884</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5189-2022</t>
        </is>
      </c>
      <c r="B385" s="1" t="n">
        <v>44594</v>
      </c>
      <c r="C385" s="1" t="n">
        <v>45884</v>
      </c>
      <c r="D385" t="inlineStr">
        <is>
          <t>UPPSALA LÄN</t>
        </is>
      </c>
      <c r="E385" t="inlineStr">
        <is>
          <t>UPPSALA</t>
        </is>
      </c>
      <c r="G385" t="n">
        <v>5.9</v>
      </c>
      <c r="H385" t="n">
        <v>0</v>
      </c>
      <c r="I385" t="n">
        <v>0</v>
      </c>
      <c r="J385" t="n">
        <v>0</v>
      </c>
      <c r="K385" t="n">
        <v>0</v>
      </c>
      <c r="L385" t="n">
        <v>0</v>
      </c>
      <c r="M385" t="n">
        <v>0</v>
      </c>
      <c r="N385" t="n">
        <v>0</v>
      </c>
      <c r="O385" t="n">
        <v>0</v>
      </c>
      <c r="P385" t="n">
        <v>0</v>
      </c>
      <c r="Q385" t="n">
        <v>0</v>
      </c>
      <c r="R385" s="2" t="inlineStr"/>
    </row>
    <row r="386" ht="15" customHeight="1">
      <c r="A386" t="inlineStr">
        <is>
          <t>A 53893-2023</t>
        </is>
      </c>
      <c r="B386" s="1" t="n">
        <v>45231</v>
      </c>
      <c r="C386" s="1" t="n">
        <v>45884</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32276-2021</t>
        </is>
      </c>
      <c r="B387" s="1" t="n">
        <v>44371.49178240741</v>
      </c>
      <c r="C387" s="1" t="n">
        <v>45884</v>
      </c>
      <c r="D387" t="inlineStr">
        <is>
          <t>UPPSALA LÄN</t>
        </is>
      </c>
      <c r="E387" t="inlineStr">
        <is>
          <t>UPPSALA</t>
        </is>
      </c>
      <c r="G387" t="n">
        <v>3.7</v>
      </c>
      <c r="H387" t="n">
        <v>0</v>
      </c>
      <c r="I387" t="n">
        <v>0</v>
      </c>
      <c r="J387" t="n">
        <v>0</v>
      </c>
      <c r="K387" t="n">
        <v>0</v>
      </c>
      <c r="L387" t="n">
        <v>0</v>
      </c>
      <c r="M387" t="n">
        <v>0</v>
      </c>
      <c r="N387" t="n">
        <v>0</v>
      </c>
      <c r="O387" t="n">
        <v>0</v>
      </c>
      <c r="P387" t="n">
        <v>0</v>
      </c>
      <c r="Q387" t="n">
        <v>0</v>
      </c>
      <c r="R387" s="2" t="inlineStr"/>
    </row>
    <row r="388" ht="15" customHeight="1">
      <c r="A388" t="inlineStr">
        <is>
          <t>A 40325-2023</t>
        </is>
      </c>
      <c r="B388" s="1" t="n">
        <v>45169</v>
      </c>
      <c r="C388" s="1" t="n">
        <v>45884</v>
      </c>
      <c r="D388" t="inlineStr">
        <is>
          <t>UPPSALA LÄN</t>
        </is>
      </c>
      <c r="E388" t="inlineStr">
        <is>
          <t>UPPSALA</t>
        </is>
      </c>
      <c r="F388" t="inlineStr">
        <is>
          <t>Kommuner</t>
        </is>
      </c>
      <c r="G388" t="n">
        <v>1.3</v>
      </c>
      <c r="H388" t="n">
        <v>0</v>
      </c>
      <c r="I388" t="n">
        <v>0</v>
      </c>
      <c r="J388" t="n">
        <v>0</v>
      </c>
      <c r="K388" t="n">
        <v>0</v>
      </c>
      <c r="L388" t="n">
        <v>0</v>
      </c>
      <c r="M388" t="n">
        <v>0</v>
      </c>
      <c r="N388" t="n">
        <v>0</v>
      </c>
      <c r="O388" t="n">
        <v>0</v>
      </c>
      <c r="P388" t="n">
        <v>0</v>
      </c>
      <c r="Q388" t="n">
        <v>0</v>
      </c>
      <c r="R388" s="2" t="inlineStr"/>
    </row>
    <row r="389" ht="15" customHeight="1">
      <c r="A389" t="inlineStr">
        <is>
          <t>A 39812-2024</t>
        </is>
      </c>
      <c r="B389" s="1" t="n">
        <v>45552</v>
      </c>
      <c r="C389" s="1" t="n">
        <v>45884</v>
      </c>
      <c r="D389" t="inlineStr">
        <is>
          <t>UPPSALA LÄN</t>
        </is>
      </c>
      <c r="E389" t="inlineStr">
        <is>
          <t>UPPSALA</t>
        </is>
      </c>
      <c r="G389" t="n">
        <v>7.9</v>
      </c>
      <c r="H389" t="n">
        <v>0</v>
      </c>
      <c r="I389" t="n">
        <v>0</v>
      </c>
      <c r="J389" t="n">
        <v>0</v>
      </c>
      <c r="K389" t="n">
        <v>0</v>
      </c>
      <c r="L389" t="n">
        <v>0</v>
      </c>
      <c r="M389" t="n">
        <v>0</v>
      </c>
      <c r="N389" t="n">
        <v>0</v>
      </c>
      <c r="O389" t="n">
        <v>0</v>
      </c>
      <c r="P389" t="n">
        <v>0</v>
      </c>
      <c r="Q389" t="n">
        <v>0</v>
      </c>
      <c r="R389" s="2" t="inlineStr"/>
    </row>
    <row r="390" ht="15" customHeight="1">
      <c r="A390" t="inlineStr">
        <is>
          <t>A 11103-2025</t>
        </is>
      </c>
      <c r="B390" s="1" t="n">
        <v>45723</v>
      </c>
      <c r="C390" s="1" t="n">
        <v>45884</v>
      </c>
      <c r="D390" t="inlineStr">
        <is>
          <t>UPPSALA LÄN</t>
        </is>
      </c>
      <c r="E390" t="inlineStr">
        <is>
          <t>UPPSALA</t>
        </is>
      </c>
      <c r="G390" t="n">
        <v>7.9</v>
      </c>
      <c r="H390" t="n">
        <v>0</v>
      </c>
      <c r="I390" t="n">
        <v>0</v>
      </c>
      <c r="J390" t="n">
        <v>0</v>
      </c>
      <c r="K390" t="n">
        <v>0</v>
      </c>
      <c r="L390" t="n">
        <v>0</v>
      </c>
      <c r="M390" t="n">
        <v>0</v>
      </c>
      <c r="N390" t="n">
        <v>0</v>
      </c>
      <c r="O390" t="n">
        <v>0</v>
      </c>
      <c r="P390" t="n">
        <v>0</v>
      </c>
      <c r="Q390" t="n">
        <v>0</v>
      </c>
      <c r="R390" s="2" t="inlineStr"/>
    </row>
    <row r="391" ht="15" customHeight="1">
      <c r="A391" t="inlineStr">
        <is>
          <t>A 50395-2023</t>
        </is>
      </c>
      <c r="B391" s="1" t="n">
        <v>45216</v>
      </c>
      <c r="C391" s="1" t="n">
        <v>45884</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36478-2023</t>
        </is>
      </c>
      <c r="B392" s="1" t="n">
        <v>45152</v>
      </c>
      <c r="C392" s="1" t="n">
        <v>45884</v>
      </c>
      <c r="D392" t="inlineStr">
        <is>
          <t>UPPSALA LÄN</t>
        </is>
      </c>
      <c r="E392" t="inlineStr">
        <is>
          <t>UPPSALA</t>
        </is>
      </c>
      <c r="F392" t="inlineStr">
        <is>
          <t>Allmännings- och besparingsskogar</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6549-2025</t>
        </is>
      </c>
      <c r="B393" s="1" t="n">
        <v>45699</v>
      </c>
      <c r="C393" s="1" t="n">
        <v>45884</v>
      </c>
      <c r="D393" t="inlineStr">
        <is>
          <t>UPPSALA LÄN</t>
        </is>
      </c>
      <c r="E393" t="inlineStr">
        <is>
          <t>UPPSALA</t>
        </is>
      </c>
      <c r="G393" t="n">
        <v>2.4</v>
      </c>
      <c r="H393" t="n">
        <v>0</v>
      </c>
      <c r="I393" t="n">
        <v>0</v>
      </c>
      <c r="J393" t="n">
        <v>0</v>
      </c>
      <c r="K393" t="n">
        <v>0</v>
      </c>
      <c r="L393" t="n">
        <v>0</v>
      </c>
      <c r="M393" t="n">
        <v>0</v>
      </c>
      <c r="N393" t="n">
        <v>0</v>
      </c>
      <c r="O393" t="n">
        <v>0</v>
      </c>
      <c r="P393" t="n">
        <v>0</v>
      </c>
      <c r="Q393" t="n">
        <v>0</v>
      </c>
      <c r="R393" s="2" t="inlineStr"/>
    </row>
    <row r="394" ht="15" customHeight="1">
      <c r="A394" t="inlineStr">
        <is>
          <t>A 18677-2024</t>
        </is>
      </c>
      <c r="B394" s="1" t="n">
        <v>45426</v>
      </c>
      <c r="C394" s="1" t="n">
        <v>45884</v>
      </c>
      <c r="D394" t="inlineStr">
        <is>
          <t>UPPSALA LÄN</t>
        </is>
      </c>
      <c r="E394" t="inlineStr">
        <is>
          <t>UPPSALA</t>
        </is>
      </c>
      <c r="G394" t="n">
        <v>2.8</v>
      </c>
      <c r="H394" t="n">
        <v>0</v>
      </c>
      <c r="I394" t="n">
        <v>0</v>
      </c>
      <c r="J394" t="n">
        <v>0</v>
      </c>
      <c r="K394" t="n">
        <v>0</v>
      </c>
      <c r="L394" t="n">
        <v>0</v>
      </c>
      <c r="M394" t="n">
        <v>0</v>
      </c>
      <c r="N394" t="n">
        <v>0</v>
      </c>
      <c r="O394" t="n">
        <v>0</v>
      </c>
      <c r="P394" t="n">
        <v>0</v>
      </c>
      <c r="Q394" t="n">
        <v>0</v>
      </c>
      <c r="R394" s="2" t="inlineStr"/>
    </row>
    <row r="395" ht="15" customHeight="1">
      <c r="A395" t="inlineStr">
        <is>
          <t>A 6999-2023</t>
        </is>
      </c>
      <c r="B395" s="1" t="n">
        <v>44967.80034722222</v>
      </c>
      <c r="C395" s="1" t="n">
        <v>45884</v>
      </c>
      <c r="D395" t="inlineStr">
        <is>
          <t>UPPSALA LÄN</t>
        </is>
      </c>
      <c r="E395" t="inlineStr">
        <is>
          <t>UPPSALA</t>
        </is>
      </c>
      <c r="G395" t="n">
        <v>1</v>
      </c>
      <c r="H395" t="n">
        <v>0</v>
      </c>
      <c r="I395" t="n">
        <v>0</v>
      </c>
      <c r="J395" t="n">
        <v>0</v>
      </c>
      <c r="K395" t="n">
        <v>0</v>
      </c>
      <c r="L395" t="n">
        <v>0</v>
      </c>
      <c r="M395" t="n">
        <v>0</v>
      </c>
      <c r="N395" t="n">
        <v>0</v>
      </c>
      <c r="O395" t="n">
        <v>0</v>
      </c>
      <c r="P395" t="n">
        <v>0</v>
      </c>
      <c r="Q395" t="n">
        <v>0</v>
      </c>
      <c r="R395" s="2" t="inlineStr"/>
    </row>
    <row r="396" ht="15" customHeight="1">
      <c r="A396" t="inlineStr">
        <is>
          <t>A 7002-2023</t>
        </is>
      </c>
      <c r="B396" s="1" t="n">
        <v>44967</v>
      </c>
      <c r="C396" s="1" t="n">
        <v>45884</v>
      </c>
      <c r="D396" t="inlineStr">
        <is>
          <t>UPPSALA LÄN</t>
        </is>
      </c>
      <c r="E396" t="inlineStr">
        <is>
          <t>UPPSALA</t>
        </is>
      </c>
      <c r="G396" t="n">
        <v>5</v>
      </c>
      <c r="H396" t="n">
        <v>0</v>
      </c>
      <c r="I396" t="n">
        <v>0</v>
      </c>
      <c r="J396" t="n">
        <v>0</v>
      </c>
      <c r="K396" t="n">
        <v>0</v>
      </c>
      <c r="L396" t="n">
        <v>0</v>
      </c>
      <c r="M396" t="n">
        <v>0</v>
      </c>
      <c r="N396" t="n">
        <v>0</v>
      </c>
      <c r="O396" t="n">
        <v>0</v>
      </c>
      <c r="P396" t="n">
        <v>0</v>
      </c>
      <c r="Q396" t="n">
        <v>0</v>
      </c>
      <c r="R396" s="2" t="inlineStr"/>
    </row>
    <row r="397" ht="15" customHeight="1">
      <c r="A397" t="inlineStr">
        <is>
          <t>A 4412-2024</t>
        </is>
      </c>
      <c r="B397" s="1" t="n">
        <v>45327</v>
      </c>
      <c r="C397" s="1" t="n">
        <v>45884</v>
      </c>
      <c r="D397" t="inlineStr">
        <is>
          <t>UPPSALA LÄN</t>
        </is>
      </c>
      <c r="E397" t="inlineStr">
        <is>
          <t>UPPSALA</t>
        </is>
      </c>
      <c r="G397" t="n">
        <v>5.4</v>
      </c>
      <c r="H397" t="n">
        <v>0</v>
      </c>
      <c r="I397" t="n">
        <v>0</v>
      </c>
      <c r="J397" t="n">
        <v>0</v>
      </c>
      <c r="K397" t="n">
        <v>0</v>
      </c>
      <c r="L397" t="n">
        <v>0</v>
      </c>
      <c r="M397" t="n">
        <v>0</v>
      </c>
      <c r="N397" t="n">
        <v>0</v>
      </c>
      <c r="O397" t="n">
        <v>0</v>
      </c>
      <c r="P397" t="n">
        <v>0</v>
      </c>
      <c r="Q397" t="n">
        <v>0</v>
      </c>
      <c r="R397" s="2" t="inlineStr"/>
    </row>
    <row r="398" ht="15" customHeight="1">
      <c r="A398" t="inlineStr">
        <is>
          <t>A 60702-2022</t>
        </is>
      </c>
      <c r="B398" s="1" t="n">
        <v>44912.29869212963</v>
      </c>
      <c r="C398" s="1" t="n">
        <v>45884</v>
      </c>
      <c r="D398" t="inlineStr">
        <is>
          <t>UPPSALA LÄN</t>
        </is>
      </c>
      <c r="E398" t="inlineStr">
        <is>
          <t>UPPSALA</t>
        </is>
      </c>
      <c r="G398" t="n">
        <v>0.9</v>
      </c>
      <c r="H398" t="n">
        <v>0</v>
      </c>
      <c r="I398" t="n">
        <v>0</v>
      </c>
      <c r="J398" t="n">
        <v>0</v>
      </c>
      <c r="K398" t="n">
        <v>0</v>
      </c>
      <c r="L398" t="n">
        <v>0</v>
      </c>
      <c r="M398" t="n">
        <v>0</v>
      </c>
      <c r="N398" t="n">
        <v>0</v>
      </c>
      <c r="O398" t="n">
        <v>0</v>
      </c>
      <c r="P398" t="n">
        <v>0</v>
      </c>
      <c r="Q398" t="n">
        <v>0</v>
      </c>
      <c r="R398" s="2" t="inlineStr"/>
    </row>
    <row r="399" ht="15" customHeight="1">
      <c r="A399" t="inlineStr">
        <is>
          <t>A 9313-2023</t>
        </is>
      </c>
      <c r="B399" s="1" t="n">
        <v>44980</v>
      </c>
      <c r="C399" s="1" t="n">
        <v>45884</v>
      </c>
      <c r="D399" t="inlineStr">
        <is>
          <t>UPPSALA LÄN</t>
        </is>
      </c>
      <c r="E399" t="inlineStr">
        <is>
          <t>UPPSALA</t>
        </is>
      </c>
      <c r="G399" t="n">
        <v>2.6</v>
      </c>
      <c r="H399" t="n">
        <v>0</v>
      </c>
      <c r="I399" t="n">
        <v>0</v>
      </c>
      <c r="J399" t="n">
        <v>0</v>
      </c>
      <c r="K399" t="n">
        <v>0</v>
      </c>
      <c r="L399" t="n">
        <v>0</v>
      </c>
      <c r="M399" t="n">
        <v>0</v>
      </c>
      <c r="N399" t="n">
        <v>0</v>
      </c>
      <c r="O399" t="n">
        <v>0</v>
      </c>
      <c r="P399" t="n">
        <v>0</v>
      </c>
      <c r="Q399" t="n">
        <v>0</v>
      </c>
      <c r="R399" s="2" t="inlineStr"/>
    </row>
    <row r="400" ht="15" customHeight="1">
      <c r="A400" t="inlineStr">
        <is>
          <t>A 39818-2024</t>
        </is>
      </c>
      <c r="B400" s="1" t="n">
        <v>45552</v>
      </c>
      <c r="C400" s="1" t="n">
        <v>45884</v>
      </c>
      <c r="D400" t="inlineStr">
        <is>
          <t>UPPSALA LÄN</t>
        </is>
      </c>
      <c r="E400" t="inlineStr">
        <is>
          <t>UPPSALA</t>
        </is>
      </c>
      <c r="G400" t="n">
        <v>1.9</v>
      </c>
      <c r="H400" t="n">
        <v>0</v>
      </c>
      <c r="I400" t="n">
        <v>0</v>
      </c>
      <c r="J400" t="n">
        <v>0</v>
      </c>
      <c r="K400" t="n">
        <v>0</v>
      </c>
      <c r="L400" t="n">
        <v>0</v>
      </c>
      <c r="M400" t="n">
        <v>0</v>
      </c>
      <c r="N400" t="n">
        <v>0</v>
      </c>
      <c r="O400" t="n">
        <v>0</v>
      </c>
      <c r="P400" t="n">
        <v>0</v>
      </c>
      <c r="Q400" t="n">
        <v>0</v>
      </c>
      <c r="R400" s="2" t="inlineStr"/>
    </row>
    <row r="401" ht="15" customHeight="1">
      <c r="A401" t="inlineStr">
        <is>
          <t>A 6930-2023</t>
        </is>
      </c>
      <c r="B401" s="1" t="n">
        <v>44967.55960648148</v>
      </c>
      <c r="C401" s="1" t="n">
        <v>45884</v>
      </c>
      <c r="D401" t="inlineStr">
        <is>
          <t>UPPSALA LÄN</t>
        </is>
      </c>
      <c r="E401" t="inlineStr">
        <is>
          <t>UPPSALA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57871-2024</t>
        </is>
      </c>
      <c r="B402" s="1" t="n">
        <v>45631.44464120371</v>
      </c>
      <c r="C402" s="1" t="n">
        <v>45884</v>
      </c>
      <c r="D402" t="inlineStr">
        <is>
          <t>UPPSALA LÄN</t>
        </is>
      </c>
      <c r="E402" t="inlineStr">
        <is>
          <t>UPPSALA</t>
        </is>
      </c>
      <c r="G402" t="n">
        <v>2.9</v>
      </c>
      <c r="H402" t="n">
        <v>0</v>
      </c>
      <c r="I402" t="n">
        <v>0</v>
      </c>
      <c r="J402" t="n">
        <v>0</v>
      </c>
      <c r="K402" t="n">
        <v>0</v>
      </c>
      <c r="L402" t="n">
        <v>0</v>
      </c>
      <c r="M402" t="n">
        <v>0</v>
      </c>
      <c r="N402" t="n">
        <v>0</v>
      </c>
      <c r="O402" t="n">
        <v>0</v>
      </c>
      <c r="P402" t="n">
        <v>0</v>
      </c>
      <c r="Q402" t="n">
        <v>0</v>
      </c>
      <c r="R402" s="2" t="inlineStr"/>
    </row>
    <row r="403" ht="15" customHeight="1">
      <c r="A403" t="inlineStr">
        <is>
          <t>A 8877-2022</t>
        </is>
      </c>
      <c r="B403" s="1" t="n">
        <v>44614.59027777778</v>
      </c>
      <c r="C403" s="1" t="n">
        <v>45884</v>
      </c>
      <c r="D403" t="inlineStr">
        <is>
          <t>UPPSALA LÄN</t>
        </is>
      </c>
      <c r="E403" t="inlineStr">
        <is>
          <t>UPPSALA</t>
        </is>
      </c>
      <c r="G403" t="n">
        <v>1.4</v>
      </c>
      <c r="H403" t="n">
        <v>0</v>
      </c>
      <c r="I403" t="n">
        <v>0</v>
      </c>
      <c r="J403" t="n">
        <v>0</v>
      </c>
      <c r="K403" t="n">
        <v>0</v>
      </c>
      <c r="L403" t="n">
        <v>0</v>
      </c>
      <c r="M403" t="n">
        <v>0</v>
      </c>
      <c r="N403" t="n">
        <v>0</v>
      </c>
      <c r="O403" t="n">
        <v>0</v>
      </c>
      <c r="P403" t="n">
        <v>0</v>
      </c>
      <c r="Q403" t="n">
        <v>0</v>
      </c>
      <c r="R403" s="2" t="inlineStr"/>
    </row>
    <row r="404" ht="15" customHeight="1">
      <c r="A404" t="inlineStr">
        <is>
          <t>A 62471-2021</t>
        </is>
      </c>
      <c r="B404" s="1" t="n">
        <v>44503</v>
      </c>
      <c r="C404" s="1" t="n">
        <v>45884</v>
      </c>
      <c r="D404" t="inlineStr">
        <is>
          <t>UPPSALA LÄN</t>
        </is>
      </c>
      <c r="E404" t="inlineStr">
        <is>
          <t>UPPSALA</t>
        </is>
      </c>
      <c r="G404" t="n">
        <v>2</v>
      </c>
      <c r="H404" t="n">
        <v>0</v>
      </c>
      <c r="I404" t="n">
        <v>0</v>
      </c>
      <c r="J404" t="n">
        <v>0</v>
      </c>
      <c r="K404" t="n">
        <v>0</v>
      </c>
      <c r="L404" t="n">
        <v>0</v>
      </c>
      <c r="M404" t="n">
        <v>0</v>
      </c>
      <c r="N404" t="n">
        <v>0</v>
      </c>
      <c r="O404" t="n">
        <v>0</v>
      </c>
      <c r="P404" t="n">
        <v>0</v>
      </c>
      <c r="Q404" t="n">
        <v>0</v>
      </c>
      <c r="R404" s="2" t="inlineStr"/>
    </row>
    <row r="405" ht="15" customHeight="1">
      <c r="A405" t="inlineStr">
        <is>
          <t>A 554-2023</t>
        </is>
      </c>
      <c r="B405" s="1" t="n">
        <v>44930</v>
      </c>
      <c r="C405" s="1" t="n">
        <v>45884</v>
      </c>
      <c r="D405" t="inlineStr">
        <is>
          <t>UPPSALA LÄN</t>
        </is>
      </c>
      <c r="E405" t="inlineStr">
        <is>
          <t>UPPSALA</t>
        </is>
      </c>
      <c r="G405" t="n">
        <v>2</v>
      </c>
      <c r="H405" t="n">
        <v>0</v>
      </c>
      <c r="I405" t="n">
        <v>0</v>
      </c>
      <c r="J405" t="n">
        <v>0</v>
      </c>
      <c r="K405" t="n">
        <v>0</v>
      </c>
      <c r="L405" t="n">
        <v>0</v>
      </c>
      <c r="M405" t="n">
        <v>0</v>
      </c>
      <c r="N405" t="n">
        <v>0</v>
      </c>
      <c r="O405" t="n">
        <v>0</v>
      </c>
      <c r="P405" t="n">
        <v>0</v>
      </c>
      <c r="Q405" t="n">
        <v>0</v>
      </c>
      <c r="R405" s="2" t="inlineStr"/>
    </row>
    <row r="406" ht="15" customHeight="1">
      <c r="A406" t="inlineStr">
        <is>
          <t>A 27903-2023</t>
        </is>
      </c>
      <c r="B406" s="1" t="n">
        <v>45098.62966435185</v>
      </c>
      <c r="C406" s="1" t="n">
        <v>45884</v>
      </c>
      <c r="D406" t="inlineStr">
        <is>
          <t>UPPSALA LÄN</t>
        </is>
      </c>
      <c r="E406" t="inlineStr">
        <is>
          <t>UPPSALA</t>
        </is>
      </c>
      <c r="G406" t="n">
        <v>2.4</v>
      </c>
      <c r="H406" t="n">
        <v>0</v>
      </c>
      <c r="I406" t="n">
        <v>0</v>
      </c>
      <c r="J406" t="n">
        <v>0</v>
      </c>
      <c r="K406" t="n">
        <v>0</v>
      </c>
      <c r="L406" t="n">
        <v>0</v>
      </c>
      <c r="M406" t="n">
        <v>0</v>
      </c>
      <c r="N406" t="n">
        <v>0</v>
      </c>
      <c r="O406" t="n">
        <v>0</v>
      </c>
      <c r="P406" t="n">
        <v>0</v>
      </c>
      <c r="Q406" t="n">
        <v>0</v>
      </c>
      <c r="R406" s="2" t="inlineStr"/>
    </row>
    <row r="407" ht="15" customHeight="1">
      <c r="A407" t="inlineStr">
        <is>
          <t>A 18607-2024</t>
        </is>
      </c>
      <c r="B407" s="1" t="n">
        <v>45425.94947916667</v>
      </c>
      <c r="C407" s="1" t="n">
        <v>45884</v>
      </c>
      <c r="D407" t="inlineStr">
        <is>
          <t>UPPSALA LÄN</t>
        </is>
      </c>
      <c r="E407" t="inlineStr">
        <is>
          <t>UPPSALA</t>
        </is>
      </c>
      <c r="G407" t="n">
        <v>4.3</v>
      </c>
      <c r="H407" t="n">
        <v>0</v>
      </c>
      <c r="I407" t="n">
        <v>0</v>
      </c>
      <c r="J407" t="n">
        <v>0</v>
      </c>
      <c r="K407" t="n">
        <v>0</v>
      </c>
      <c r="L407" t="n">
        <v>0</v>
      </c>
      <c r="M407" t="n">
        <v>0</v>
      </c>
      <c r="N407" t="n">
        <v>0</v>
      </c>
      <c r="O407" t="n">
        <v>0</v>
      </c>
      <c r="P407" t="n">
        <v>0</v>
      </c>
      <c r="Q407" t="n">
        <v>0</v>
      </c>
      <c r="R407" s="2" t="inlineStr"/>
    </row>
    <row r="408" ht="15" customHeight="1">
      <c r="A408" t="inlineStr">
        <is>
          <t>A 17250-2025</t>
        </is>
      </c>
      <c r="B408" s="1" t="n">
        <v>45756.50738425926</v>
      </c>
      <c r="C408" s="1" t="n">
        <v>45884</v>
      </c>
      <c r="D408" t="inlineStr">
        <is>
          <t>UPPSALA LÄN</t>
        </is>
      </c>
      <c r="E408" t="inlineStr">
        <is>
          <t>UPPSALA</t>
        </is>
      </c>
      <c r="G408" t="n">
        <v>2.2</v>
      </c>
      <c r="H408" t="n">
        <v>0</v>
      </c>
      <c r="I408" t="n">
        <v>0</v>
      </c>
      <c r="J408" t="n">
        <v>0</v>
      </c>
      <c r="K408" t="n">
        <v>0</v>
      </c>
      <c r="L408" t="n">
        <v>0</v>
      </c>
      <c r="M408" t="n">
        <v>0</v>
      </c>
      <c r="N408" t="n">
        <v>0</v>
      </c>
      <c r="O408" t="n">
        <v>0</v>
      </c>
      <c r="P408" t="n">
        <v>0</v>
      </c>
      <c r="Q408" t="n">
        <v>0</v>
      </c>
      <c r="R408" s="2" t="inlineStr"/>
    </row>
    <row r="409" ht="15" customHeight="1">
      <c r="A409" t="inlineStr">
        <is>
          <t>A 56872-2023</t>
        </is>
      </c>
      <c r="B409" s="1" t="n">
        <v>45244.52202546296</v>
      </c>
      <c r="C409" s="1" t="n">
        <v>45884</v>
      </c>
      <c r="D409" t="inlineStr">
        <is>
          <t>UPPSALA LÄN</t>
        </is>
      </c>
      <c r="E409" t="inlineStr">
        <is>
          <t>UPPSALA</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14784-2023</t>
        </is>
      </c>
      <c r="B410" s="1" t="n">
        <v>45014</v>
      </c>
      <c r="C410" s="1" t="n">
        <v>45884</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46633-2020</t>
        </is>
      </c>
      <c r="B411" s="1" t="n">
        <v>44095</v>
      </c>
      <c r="C411" s="1" t="n">
        <v>45884</v>
      </c>
      <c r="D411" t="inlineStr">
        <is>
          <t>UPPSALA LÄN</t>
        </is>
      </c>
      <c r="E411" t="inlineStr">
        <is>
          <t>UPPSALA</t>
        </is>
      </c>
      <c r="G411" t="n">
        <v>4.2</v>
      </c>
      <c r="H411" t="n">
        <v>0</v>
      </c>
      <c r="I411" t="n">
        <v>0</v>
      </c>
      <c r="J411" t="n">
        <v>0</v>
      </c>
      <c r="K411" t="n">
        <v>0</v>
      </c>
      <c r="L411" t="n">
        <v>0</v>
      </c>
      <c r="M411" t="n">
        <v>0</v>
      </c>
      <c r="N411" t="n">
        <v>0</v>
      </c>
      <c r="O411" t="n">
        <v>0</v>
      </c>
      <c r="P411" t="n">
        <v>0</v>
      </c>
      <c r="Q411" t="n">
        <v>0</v>
      </c>
      <c r="R411" s="2" t="inlineStr"/>
    </row>
    <row r="412" ht="15" customHeight="1">
      <c r="A412" t="inlineStr">
        <is>
          <t>A 5204-2025</t>
        </is>
      </c>
      <c r="B412" s="1" t="n">
        <v>45691</v>
      </c>
      <c r="C412" s="1" t="n">
        <v>45884</v>
      </c>
      <c r="D412" t="inlineStr">
        <is>
          <t>UPPSALA LÄN</t>
        </is>
      </c>
      <c r="E412" t="inlineStr">
        <is>
          <t>UPPSALA</t>
        </is>
      </c>
      <c r="G412" t="n">
        <v>3.7</v>
      </c>
      <c r="H412" t="n">
        <v>0</v>
      </c>
      <c r="I412" t="n">
        <v>0</v>
      </c>
      <c r="J412" t="n">
        <v>0</v>
      </c>
      <c r="K412" t="n">
        <v>0</v>
      </c>
      <c r="L412" t="n">
        <v>0</v>
      </c>
      <c r="M412" t="n">
        <v>0</v>
      </c>
      <c r="N412" t="n">
        <v>0</v>
      </c>
      <c r="O412" t="n">
        <v>0</v>
      </c>
      <c r="P412" t="n">
        <v>0</v>
      </c>
      <c r="Q412" t="n">
        <v>0</v>
      </c>
      <c r="R412" s="2" t="inlineStr"/>
    </row>
    <row r="413" ht="15" customHeight="1">
      <c r="A413" t="inlineStr">
        <is>
          <t>A 53384-2024</t>
        </is>
      </c>
      <c r="B413" s="1" t="n">
        <v>45614</v>
      </c>
      <c r="C413" s="1" t="n">
        <v>45884</v>
      </c>
      <c r="D413" t="inlineStr">
        <is>
          <t>UPPSALA LÄN</t>
        </is>
      </c>
      <c r="E413" t="inlineStr">
        <is>
          <t>UPPSALA</t>
        </is>
      </c>
      <c r="G413" t="n">
        <v>3.7</v>
      </c>
      <c r="H413" t="n">
        <v>0</v>
      </c>
      <c r="I413" t="n">
        <v>0</v>
      </c>
      <c r="J413" t="n">
        <v>0</v>
      </c>
      <c r="K413" t="n">
        <v>0</v>
      </c>
      <c r="L413" t="n">
        <v>0</v>
      </c>
      <c r="M413" t="n">
        <v>0</v>
      </c>
      <c r="N413" t="n">
        <v>0</v>
      </c>
      <c r="O413" t="n">
        <v>0</v>
      </c>
      <c r="P413" t="n">
        <v>0</v>
      </c>
      <c r="Q413" t="n">
        <v>0</v>
      </c>
      <c r="R413" s="2" t="inlineStr"/>
    </row>
    <row r="414" ht="15" customHeight="1">
      <c r="A414" t="inlineStr">
        <is>
          <t>A 12606-2023</t>
        </is>
      </c>
      <c r="B414" s="1" t="n">
        <v>45000.44666666666</v>
      </c>
      <c r="C414" s="1" t="n">
        <v>45884</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5669-2023</t>
        </is>
      </c>
      <c r="B415" s="1" t="n">
        <v>44960.65061342593</v>
      </c>
      <c r="C415" s="1" t="n">
        <v>45884</v>
      </c>
      <c r="D415" t="inlineStr">
        <is>
          <t>UPPSALA LÄN</t>
        </is>
      </c>
      <c r="E415" t="inlineStr">
        <is>
          <t>UPPSALA</t>
        </is>
      </c>
      <c r="G415" t="n">
        <v>1.4</v>
      </c>
      <c r="H415" t="n">
        <v>0</v>
      </c>
      <c r="I415" t="n">
        <v>0</v>
      </c>
      <c r="J415" t="n">
        <v>0</v>
      </c>
      <c r="K415" t="n">
        <v>0</v>
      </c>
      <c r="L415" t="n">
        <v>0</v>
      </c>
      <c r="M415" t="n">
        <v>0</v>
      </c>
      <c r="N415" t="n">
        <v>0</v>
      </c>
      <c r="O415" t="n">
        <v>0</v>
      </c>
      <c r="P415" t="n">
        <v>0</v>
      </c>
      <c r="Q415" t="n">
        <v>0</v>
      </c>
      <c r="R415" s="2" t="inlineStr"/>
    </row>
    <row r="416" ht="15" customHeight="1">
      <c r="A416" t="inlineStr">
        <is>
          <t>A 5678-2023</t>
        </is>
      </c>
      <c r="B416" s="1" t="n">
        <v>44960</v>
      </c>
      <c r="C416" s="1" t="n">
        <v>45884</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6602-2023</t>
        </is>
      </c>
      <c r="B417" s="1" t="n">
        <v>44966</v>
      </c>
      <c r="C417" s="1" t="n">
        <v>45884</v>
      </c>
      <c r="D417" t="inlineStr">
        <is>
          <t>UPPSALA LÄN</t>
        </is>
      </c>
      <c r="E417" t="inlineStr">
        <is>
          <t>UPPSALA</t>
        </is>
      </c>
      <c r="F417" t="inlineStr">
        <is>
          <t>Allmännings- och besparingsskogar</t>
        </is>
      </c>
      <c r="G417" t="n">
        <v>20.2</v>
      </c>
      <c r="H417" t="n">
        <v>0</v>
      </c>
      <c r="I417" t="n">
        <v>0</v>
      </c>
      <c r="J417" t="n">
        <v>0</v>
      </c>
      <c r="K417" t="n">
        <v>0</v>
      </c>
      <c r="L417" t="n">
        <v>0</v>
      </c>
      <c r="M417" t="n">
        <v>0</v>
      </c>
      <c r="N417" t="n">
        <v>0</v>
      </c>
      <c r="O417" t="n">
        <v>0</v>
      </c>
      <c r="P417" t="n">
        <v>0</v>
      </c>
      <c r="Q417" t="n">
        <v>0</v>
      </c>
      <c r="R417" s="2" t="inlineStr"/>
    </row>
    <row r="418" ht="15" customHeight="1">
      <c r="A418" t="inlineStr">
        <is>
          <t>A 41422-2023</t>
        </is>
      </c>
      <c r="B418" s="1" t="n">
        <v>45175</v>
      </c>
      <c r="C418" s="1" t="n">
        <v>45884</v>
      </c>
      <c r="D418" t="inlineStr">
        <is>
          <t>UPPSALA LÄN</t>
        </is>
      </c>
      <c r="E418" t="inlineStr">
        <is>
          <t>UPPSALA</t>
        </is>
      </c>
      <c r="F418" t="inlineStr">
        <is>
          <t>Kyrkan</t>
        </is>
      </c>
      <c r="G418" t="n">
        <v>5.2</v>
      </c>
      <c r="H418" t="n">
        <v>0</v>
      </c>
      <c r="I418" t="n">
        <v>0</v>
      </c>
      <c r="J418" t="n">
        <v>0</v>
      </c>
      <c r="K418" t="n">
        <v>0</v>
      </c>
      <c r="L418" t="n">
        <v>0</v>
      </c>
      <c r="M418" t="n">
        <v>0</v>
      </c>
      <c r="N418" t="n">
        <v>0</v>
      </c>
      <c r="O418" t="n">
        <v>0</v>
      </c>
      <c r="P418" t="n">
        <v>0</v>
      </c>
      <c r="Q418" t="n">
        <v>0</v>
      </c>
      <c r="R418" s="2" t="inlineStr"/>
    </row>
    <row r="419" ht="15" customHeight="1">
      <c r="A419" t="inlineStr">
        <is>
          <t>A 46796-2024</t>
        </is>
      </c>
      <c r="B419" s="1" t="n">
        <v>45583</v>
      </c>
      <c r="C419" s="1" t="n">
        <v>45884</v>
      </c>
      <c r="D419" t="inlineStr">
        <is>
          <t>UPPSALA LÄN</t>
        </is>
      </c>
      <c r="E419" t="inlineStr">
        <is>
          <t>UPPSALA</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27473-2024</t>
        </is>
      </c>
      <c r="B420" s="1" t="n">
        <v>45474</v>
      </c>
      <c r="C420" s="1" t="n">
        <v>45884</v>
      </c>
      <c r="D420" t="inlineStr">
        <is>
          <t>UPPSALA LÄN</t>
        </is>
      </c>
      <c r="E420" t="inlineStr">
        <is>
          <t>UPPSALA</t>
        </is>
      </c>
      <c r="G420" t="n">
        <v>0.6</v>
      </c>
      <c r="H420" t="n">
        <v>0</v>
      </c>
      <c r="I420" t="n">
        <v>0</v>
      </c>
      <c r="J420" t="n">
        <v>0</v>
      </c>
      <c r="K420" t="n">
        <v>0</v>
      </c>
      <c r="L420" t="n">
        <v>0</v>
      </c>
      <c r="M420" t="n">
        <v>0</v>
      </c>
      <c r="N420" t="n">
        <v>0</v>
      </c>
      <c r="O420" t="n">
        <v>0</v>
      </c>
      <c r="P420" t="n">
        <v>0</v>
      </c>
      <c r="Q420" t="n">
        <v>0</v>
      </c>
      <c r="R420" s="2" t="inlineStr"/>
    </row>
    <row r="421" ht="15" customHeight="1">
      <c r="A421" t="inlineStr">
        <is>
          <t>A 341-2024</t>
        </is>
      </c>
      <c r="B421" s="1" t="n">
        <v>45295</v>
      </c>
      <c r="C421" s="1" t="n">
        <v>45884</v>
      </c>
      <c r="D421" t="inlineStr">
        <is>
          <t>UPPSALA LÄN</t>
        </is>
      </c>
      <c r="E421" t="inlineStr">
        <is>
          <t>UPPSALA</t>
        </is>
      </c>
      <c r="F421" t="inlineStr">
        <is>
          <t>Allmännings- och besparingsskogar</t>
        </is>
      </c>
      <c r="G421" t="n">
        <v>1.8</v>
      </c>
      <c r="H421" t="n">
        <v>0</v>
      </c>
      <c r="I421" t="n">
        <v>0</v>
      </c>
      <c r="J421" t="n">
        <v>0</v>
      </c>
      <c r="K421" t="n">
        <v>0</v>
      </c>
      <c r="L421" t="n">
        <v>0</v>
      </c>
      <c r="M421" t="n">
        <v>0</v>
      </c>
      <c r="N421" t="n">
        <v>0</v>
      </c>
      <c r="O421" t="n">
        <v>0</v>
      </c>
      <c r="P421" t="n">
        <v>0</v>
      </c>
      <c r="Q421" t="n">
        <v>0</v>
      </c>
      <c r="R421" s="2" t="inlineStr"/>
    </row>
    <row r="422" ht="15" customHeight="1">
      <c r="A422" t="inlineStr">
        <is>
          <t>A 44115-2023</t>
        </is>
      </c>
      <c r="B422" s="1" t="n">
        <v>45188</v>
      </c>
      <c r="C422" s="1" t="n">
        <v>45884</v>
      </c>
      <c r="D422" t="inlineStr">
        <is>
          <t>UPPSALA LÄN</t>
        </is>
      </c>
      <c r="E422" t="inlineStr">
        <is>
          <t>UPPSALA</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42063-2023</t>
        </is>
      </c>
      <c r="B423" s="1" t="n">
        <v>45177.56940972222</v>
      </c>
      <c r="C423" s="1" t="n">
        <v>45884</v>
      </c>
      <c r="D423" t="inlineStr">
        <is>
          <t>UPPSALA LÄN</t>
        </is>
      </c>
      <c r="E423" t="inlineStr">
        <is>
          <t>UPPSALA</t>
        </is>
      </c>
      <c r="G423" t="n">
        <v>5.6</v>
      </c>
      <c r="H423" t="n">
        <v>0</v>
      </c>
      <c r="I423" t="n">
        <v>0</v>
      </c>
      <c r="J423" t="n">
        <v>0</v>
      </c>
      <c r="K423" t="n">
        <v>0</v>
      </c>
      <c r="L423" t="n">
        <v>0</v>
      </c>
      <c r="M423" t="n">
        <v>0</v>
      </c>
      <c r="N423" t="n">
        <v>0</v>
      </c>
      <c r="O423" t="n">
        <v>0</v>
      </c>
      <c r="P423" t="n">
        <v>0</v>
      </c>
      <c r="Q423" t="n">
        <v>0</v>
      </c>
      <c r="R423" s="2" t="inlineStr"/>
    </row>
    <row r="424" ht="15" customHeight="1">
      <c r="A424" t="inlineStr">
        <is>
          <t>A 74493-2021</t>
        </is>
      </c>
      <c r="B424" s="1" t="n">
        <v>44560</v>
      </c>
      <c r="C424" s="1" t="n">
        <v>45884</v>
      </c>
      <c r="D424" t="inlineStr">
        <is>
          <t>UPPSALA LÄN</t>
        </is>
      </c>
      <c r="E424" t="inlineStr">
        <is>
          <t>UPPSALA</t>
        </is>
      </c>
      <c r="G424" t="n">
        <v>1.2</v>
      </c>
      <c r="H424" t="n">
        <v>0</v>
      </c>
      <c r="I424" t="n">
        <v>0</v>
      </c>
      <c r="J424" t="n">
        <v>0</v>
      </c>
      <c r="K424" t="n">
        <v>0</v>
      </c>
      <c r="L424" t="n">
        <v>0</v>
      </c>
      <c r="M424" t="n">
        <v>0</v>
      </c>
      <c r="N424" t="n">
        <v>0</v>
      </c>
      <c r="O424" t="n">
        <v>0</v>
      </c>
      <c r="P424" t="n">
        <v>0</v>
      </c>
      <c r="Q424" t="n">
        <v>0</v>
      </c>
      <c r="R424" s="2" t="inlineStr"/>
    </row>
    <row r="425" ht="15" customHeight="1">
      <c r="A425" t="inlineStr">
        <is>
          <t>A 45662-2023</t>
        </is>
      </c>
      <c r="B425" s="1" t="n">
        <v>45194</v>
      </c>
      <c r="C425" s="1" t="n">
        <v>45884</v>
      </c>
      <c r="D425" t="inlineStr">
        <is>
          <t>UPPSALA LÄN</t>
        </is>
      </c>
      <c r="E425" t="inlineStr">
        <is>
          <t>UPPSALA</t>
        </is>
      </c>
      <c r="F425" t="inlineStr">
        <is>
          <t>Bergvik skog öst AB</t>
        </is>
      </c>
      <c r="G425" t="n">
        <v>2.8</v>
      </c>
      <c r="H425" t="n">
        <v>0</v>
      </c>
      <c r="I425" t="n">
        <v>0</v>
      </c>
      <c r="J425" t="n">
        <v>0</v>
      </c>
      <c r="K425" t="n">
        <v>0</v>
      </c>
      <c r="L425" t="n">
        <v>0</v>
      </c>
      <c r="M425" t="n">
        <v>0</v>
      </c>
      <c r="N425" t="n">
        <v>0</v>
      </c>
      <c r="O425" t="n">
        <v>0</v>
      </c>
      <c r="P425" t="n">
        <v>0</v>
      </c>
      <c r="Q425" t="n">
        <v>0</v>
      </c>
      <c r="R425" s="2" t="inlineStr"/>
    </row>
    <row r="426" ht="15" customHeight="1">
      <c r="A426" t="inlineStr">
        <is>
          <t>A 17481-2023</t>
        </is>
      </c>
      <c r="B426" s="1" t="n">
        <v>45036</v>
      </c>
      <c r="C426" s="1" t="n">
        <v>45884</v>
      </c>
      <c r="D426" t="inlineStr">
        <is>
          <t>UPPSALA LÄN</t>
        </is>
      </c>
      <c r="E426" t="inlineStr">
        <is>
          <t>UPPSALA</t>
        </is>
      </c>
      <c r="G426" t="n">
        <v>1.9</v>
      </c>
      <c r="H426" t="n">
        <v>0</v>
      </c>
      <c r="I426" t="n">
        <v>0</v>
      </c>
      <c r="J426" t="n">
        <v>0</v>
      </c>
      <c r="K426" t="n">
        <v>0</v>
      </c>
      <c r="L426" t="n">
        <v>0</v>
      </c>
      <c r="M426" t="n">
        <v>0</v>
      </c>
      <c r="N426" t="n">
        <v>0</v>
      </c>
      <c r="O426" t="n">
        <v>0</v>
      </c>
      <c r="P426" t="n">
        <v>0</v>
      </c>
      <c r="Q426" t="n">
        <v>0</v>
      </c>
      <c r="R426" s="2" t="inlineStr"/>
    </row>
    <row r="427" ht="15" customHeight="1">
      <c r="A427" t="inlineStr">
        <is>
          <t>A 10827-2024</t>
        </is>
      </c>
      <c r="B427" s="1" t="n">
        <v>45369</v>
      </c>
      <c r="C427" s="1" t="n">
        <v>45884</v>
      </c>
      <c r="D427" t="inlineStr">
        <is>
          <t>UPPSALA LÄN</t>
        </is>
      </c>
      <c r="E427" t="inlineStr">
        <is>
          <t>UPPSALA</t>
        </is>
      </c>
      <c r="G427" t="n">
        <v>2</v>
      </c>
      <c r="H427" t="n">
        <v>0</v>
      </c>
      <c r="I427" t="n">
        <v>0</v>
      </c>
      <c r="J427" t="n">
        <v>0</v>
      </c>
      <c r="K427" t="n">
        <v>0</v>
      </c>
      <c r="L427" t="n">
        <v>0</v>
      </c>
      <c r="M427" t="n">
        <v>0</v>
      </c>
      <c r="N427" t="n">
        <v>0</v>
      </c>
      <c r="O427" t="n">
        <v>0</v>
      </c>
      <c r="P427" t="n">
        <v>0</v>
      </c>
      <c r="Q427" t="n">
        <v>0</v>
      </c>
      <c r="R427" s="2" t="inlineStr"/>
    </row>
    <row r="428" ht="15" customHeight="1">
      <c r="A428" t="inlineStr">
        <is>
          <t>A 21657-2024</t>
        </is>
      </c>
      <c r="B428" s="1" t="n">
        <v>45442</v>
      </c>
      <c r="C428" s="1" t="n">
        <v>45884</v>
      </c>
      <c r="D428" t="inlineStr">
        <is>
          <t>UPPSALA LÄN</t>
        </is>
      </c>
      <c r="E428" t="inlineStr">
        <is>
          <t>UPPSALA</t>
        </is>
      </c>
      <c r="G428" t="n">
        <v>5.7</v>
      </c>
      <c r="H428" t="n">
        <v>0</v>
      </c>
      <c r="I428" t="n">
        <v>0</v>
      </c>
      <c r="J428" t="n">
        <v>0</v>
      </c>
      <c r="K428" t="n">
        <v>0</v>
      </c>
      <c r="L428" t="n">
        <v>0</v>
      </c>
      <c r="M428" t="n">
        <v>0</v>
      </c>
      <c r="N428" t="n">
        <v>0</v>
      </c>
      <c r="O428" t="n">
        <v>0</v>
      </c>
      <c r="P428" t="n">
        <v>0</v>
      </c>
      <c r="Q428" t="n">
        <v>0</v>
      </c>
      <c r="R428" s="2" t="inlineStr"/>
    </row>
    <row r="429" ht="15" customHeight="1">
      <c r="A429" t="inlineStr">
        <is>
          <t>A 12830-2025</t>
        </is>
      </c>
      <c r="B429" s="1" t="n">
        <v>45733.63099537037</v>
      </c>
      <c r="C429" s="1" t="n">
        <v>45884</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9914-2024</t>
        </is>
      </c>
      <c r="B430" s="1" t="n">
        <v>45363.54878472222</v>
      </c>
      <c r="C430" s="1" t="n">
        <v>45884</v>
      </c>
      <c r="D430" t="inlineStr">
        <is>
          <t>UPPSALA LÄN</t>
        </is>
      </c>
      <c r="E430" t="inlineStr">
        <is>
          <t>UPPSALA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39865-2022</t>
        </is>
      </c>
      <c r="B431" s="1" t="n">
        <v>44819.62</v>
      </c>
      <c r="C431" s="1" t="n">
        <v>45884</v>
      </c>
      <c r="D431" t="inlineStr">
        <is>
          <t>UPPSALA LÄN</t>
        </is>
      </c>
      <c r="E431" t="inlineStr">
        <is>
          <t>UPPSALA</t>
        </is>
      </c>
      <c r="G431" t="n">
        <v>2.5</v>
      </c>
      <c r="H431" t="n">
        <v>0</v>
      </c>
      <c r="I431" t="n">
        <v>0</v>
      </c>
      <c r="J431" t="n">
        <v>0</v>
      </c>
      <c r="K431" t="n">
        <v>0</v>
      </c>
      <c r="L431" t="n">
        <v>0</v>
      </c>
      <c r="M431" t="n">
        <v>0</v>
      </c>
      <c r="N431" t="n">
        <v>0</v>
      </c>
      <c r="O431" t="n">
        <v>0</v>
      </c>
      <c r="P431" t="n">
        <v>0</v>
      </c>
      <c r="Q431" t="n">
        <v>0</v>
      </c>
      <c r="R431" s="2" t="inlineStr"/>
    </row>
    <row r="432" ht="15" customHeight="1">
      <c r="A432" t="inlineStr">
        <is>
          <t>A 5899-2024</t>
        </is>
      </c>
      <c r="B432" s="1" t="n">
        <v>45335</v>
      </c>
      <c r="C432" s="1" t="n">
        <v>45884</v>
      </c>
      <c r="D432" t="inlineStr">
        <is>
          <t>UPPSALA LÄN</t>
        </is>
      </c>
      <c r="E432" t="inlineStr">
        <is>
          <t>UPPSALA</t>
        </is>
      </c>
      <c r="F432" t="inlineStr">
        <is>
          <t>Allmännings- och besparingsskogar</t>
        </is>
      </c>
      <c r="G432" t="n">
        <v>3.7</v>
      </c>
      <c r="H432" t="n">
        <v>0</v>
      </c>
      <c r="I432" t="n">
        <v>0</v>
      </c>
      <c r="J432" t="n">
        <v>0</v>
      </c>
      <c r="K432" t="n">
        <v>0</v>
      </c>
      <c r="L432" t="n">
        <v>0</v>
      </c>
      <c r="M432" t="n">
        <v>0</v>
      </c>
      <c r="N432" t="n">
        <v>0</v>
      </c>
      <c r="O432" t="n">
        <v>0</v>
      </c>
      <c r="P432" t="n">
        <v>0</v>
      </c>
      <c r="Q432" t="n">
        <v>0</v>
      </c>
      <c r="R432" s="2" t="inlineStr"/>
    </row>
    <row r="433" ht="15" customHeight="1">
      <c r="A433" t="inlineStr">
        <is>
          <t>A 2695-2025</t>
        </is>
      </c>
      <c r="B433" s="1" t="n">
        <v>45677.39440972222</v>
      </c>
      <c r="C433" s="1" t="n">
        <v>45884</v>
      </c>
      <c r="D433" t="inlineStr">
        <is>
          <t>UPPSALA LÄN</t>
        </is>
      </c>
      <c r="E433" t="inlineStr">
        <is>
          <t>UPPSALA</t>
        </is>
      </c>
      <c r="G433" t="n">
        <v>2.2</v>
      </c>
      <c r="H433" t="n">
        <v>0</v>
      </c>
      <c r="I433" t="n">
        <v>0</v>
      </c>
      <c r="J433" t="n">
        <v>0</v>
      </c>
      <c r="K433" t="n">
        <v>0</v>
      </c>
      <c r="L433" t="n">
        <v>0</v>
      </c>
      <c r="M433" t="n">
        <v>0</v>
      </c>
      <c r="N433" t="n">
        <v>0</v>
      </c>
      <c r="O433" t="n">
        <v>0</v>
      </c>
      <c r="P433" t="n">
        <v>0</v>
      </c>
      <c r="Q433" t="n">
        <v>0</v>
      </c>
      <c r="R433" s="2" t="inlineStr"/>
    </row>
    <row r="434" ht="15" customHeight="1">
      <c r="A434" t="inlineStr">
        <is>
          <t>A 15629-2023</t>
        </is>
      </c>
      <c r="B434" s="1" t="n">
        <v>45021.29524305555</v>
      </c>
      <c r="C434" s="1" t="n">
        <v>45884</v>
      </c>
      <c r="D434" t="inlineStr">
        <is>
          <t>UPPSALA LÄN</t>
        </is>
      </c>
      <c r="E434" t="inlineStr">
        <is>
          <t>UPPSALA</t>
        </is>
      </c>
      <c r="F434" t="inlineStr">
        <is>
          <t>Övriga Aktiebolag</t>
        </is>
      </c>
      <c r="G434" t="n">
        <v>7</v>
      </c>
      <c r="H434" t="n">
        <v>0</v>
      </c>
      <c r="I434" t="n">
        <v>0</v>
      </c>
      <c r="J434" t="n">
        <v>0</v>
      </c>
      <c r="K434" t="n">
        <v>0</v>
      </c>
      <c r="L434" t="n">
        <v>0</v>
      </c>
      <c r="M434" t="n">
        <v>0</v>
      </c>
      <c r="N434" t="n">
        <v>0</v>
      </c>
      <c r="O434" t="n">
        <v>0</v>
      </c>
      <c r="P434" t="n">
        <v>0</v>
      </c>
      <c r="Q434" t="n">
        <v>0</v>
      </c>
      <c r="R434" s="2" t="inlineStr"/>
    </row>
    <row r="435" ht="15" customHeight="1">
      <c r="A435" t="inlineStr">
        <is>
          <t>A 20497-2022</t>
        </is>
      </c>
      <c r="B435" s="1" t="n">
        <v>44699</v>
      </c>
      <c r="C435" s="1" t="n">
        <v>45884</v>
      </c>
      <c r="D435" t="inlineStr">
        <is>
          <t>UPPSALA LÄN</t>
        </is>
      </c>
      <c r="E435" t="inlineStr">
        <is>
          <t>UPPSALA</t>
        </is>
      </c>
      <c r="F435" t="inlineStr">
        <is>
          <t>Övriga statliga verk och myndigheter</t>
        </is>
      </c>
      <c r="G435" t="n">
        <v>1</v>
      </c>
      <c r="H435" t="n">
        <v>0</v>
      </c>
      <c r="I435" t="n">
        <v>0</v>
      </c>
      <c r="J435" t="n">
        <v>0</v>
      </c>
      <c r="K435" t="n">
        <v>0</v>
      </c>
      <c r="L435" t="n">
        <v>0</v>
      </c>
      <c r="M435" t="n">
        <v>0</v>
      </c>
      <c r="N435" t="n">
        <v>0</v>
      </c>
      <c r="O435" t="n">
        <v>0</v>
      </c>
      <c r="P435" t="n">
        <v>0</v>
      </c>
      <c r="Q435" t="n">
        <v>0</v>
      </c>
      <c r="R435" s="2" t="inlineStr"/>
    </row>
    <row r="436" ht="15" customHeight="1">
      <c r="A436" t="inlineStr">
        <is>
          <t>A 6679-2024</t>
        </is>
      </c>
      <c r="B436" s="1" t="n">
        <v>45341</v>
      </c>
      <c r="C436" s="1" t="n">
        <v>45884</v>
      </c>
      <c r="D436" t="inlineStr">
        <is>
          <t>UPPSALA LÄN</t>
        </is>
      </c>
      <c r="E436" t="inlineStr">
        <is>
          <t>UPPSALA</t>
        </is>
      </c>
      <c r="F436" t="inlineStr">
        <is>
          <t>Bergvik skog öst AB</t>
        </is>
      </c>
      <c r="G436" t="n">
        <v>0.4</v>
      </c>
      <c r="H436" t="n">
        <v>0</v>
      </c>
      <c r="I436" t="n">
        <v>0</v>
      </c>
      <c r="J436" t="n">
        <v>0</v>
      </c>
      <c r="K436" t="n">
        <v>0</v>
      </c>
      <c r="L436" t="n">
        <v>0</v>
      </c>
      <c r="M436" t="n">
        <v>0</v>
      </c>
      <c r="N436" t="n">
        <v>0</v>
      </c>
      <c r="O436" t="n">
        <v>0</v>
      </c>
      <c r="P436" t="n">
        <v>0</v>
      </c>
      <c r="Q436" t="n">
        <v>0</v>
      </c>
      <c r="R436" s="2" t="inlineStr"/>
    </row>
    <row r="437" ht="15" customHeight="1">
      <c r="A437" t="inlineStr">
        <is>
          <t>A 44080-2023</t>
        </is>
      </c>
      <c r="B437" s="1" t="n">
        <v>45188.42052083334</v>
      </c>
      <c r="C437" s="1" t="n">
        <v>45884</v>
      </c>
      <c r="D437" t="inlineStr">
        <is>
          <t>UPPSALA LÄN</t>
        </is>
      </c>
      <c r="E437" t="inlineStr">
        <is>
          <t>UPPSALA</t>
        </is>
      </c>
      <c r="G437" t="n">
        <v>13.3</v>
      </c>
      <c r="H437" t="n">
        <v>0</v>
      </c>
      <c r="I437" t="n">
        <v>0</v>
      </c>
      <c r="J437" t="n">
        <v>0</v>
      </c>
      <c r="K437" t="n">
        <v>0</v>
      </c>
      <c r="L437" t="n">
        <v>0</v>
      </c>
      <c r="M437" t="n">
        <v>0</v>
      </c>
      <c r="N437" t="n">
        <v>0</v>
      </c>
      <c r="O437" t="n">
        <v>0</v>
      </c>
      <c r="P437" t="n">
        <v>0</v>
      </c>
      <c r="Q437" t="n">
        <v>0</v>
      </c>
      <c r="R437" s="2" t="inlineStr"/>
    </row>
    <row r="438" ht="15" customHeight="1">
      <c r="A438" t="inlineStr">
        <is>
          <t>A 10490-2025</t>
        </is>
      </c>
      <c r="B438" s="1" t="n">
        <v>45721.35173611111</v>
      </c>
      <c r="C438" s="1" t="n">
        <v>45884</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55021-2022</t>
        </is>
      </c>
      <c r="B439" s="1" t="n">
        <v>44886</v>
      </c>
      <c r="C439" s="1" t="n">
        <v>45884</v>
      </c>
      <c r="D439" t="inlineStr">
        <is>
          <t>UPPSALA LÄN</t>
        </is>
      </c>
      <c r="E439" t="inlineStr">
        <is>
          <t>UPPSALA</t>
        </is>
      </c>
      <c r="G439" t="n">
        <v>1.2</v>
      </c>
      <c r="H439" t="n">
        <v>0</v>
      </c>
      <c r="I439" t="n">
        <v>0</v>
      </c>
      <c r="J439" t="n">
        <v>0</v>
      </c>
      <c r="K439" t="n">
        <v>0</v>
      </c>
      <c r="L439" t="n">
        <v>0</v>
      </c>
      <c r="M439" t="n">
        <v>0</v>
      </c>
      <c r="N439" t="n">
        <v>0</v>
      </c>
      <c r="O439" t="n">
        <v>0</v>
      </c>
      <c r="P439" t="n">
        <v>0</v>
      </c>
      <c r="Q439" t="n">
        <v>0</v>
      </c>
      <c r="R439" s="2" t="inlineStr"/>
    </row>
    <row r="440" ht="15" customHeight="1">
      <c r="A440" t="inlineStr">
        <is>
          <t>A 65659-2021</t>
        </is>
      </c>
      <c r="B440" s="1" t="n">
        <v>44516</v>
      </c>
      <c r="C440" s="1" t="n">
        <v>45884</v>
      </c>
      <c r="D440" t="inlineStr">
        <is>
          <t>UPPSALA LÄN</t>
        </is>
      </c>
      <c r="E440" t="inlineStr">
        <is>
          <t>UPPSALA</t>
        </is>
      </c>
      <c r="G440" t="n">
        <v>2.2</v>
      </c>
      <c r="H440" t="n">
        <v>0</v>
      </c>
      <c r="I440" t="n">
        <v>0</v>
      </c>
      <c r="J440" t="n">
        <v>0</v>
      </c>
      <c r="K440" t="n">
        <v>0</v>
      </c>
      <c r="L440" t="n">
        <v>0</v>
      </c>
      <c r="M440" t="n">
        <v>0</v>
      </c>
      <c r="N440" t="n">
        <v>0</v>
      </c>
      <c r="O440" t="n">
        <v>0</v>
      </c>
      <c r="P440" t="n">
        <v>0</v>
      </c>
      <c r="Q440" t="n">
        <v>0</v>
      </c>
      <c r="R440" s="2" t="inlineStr"/>
    </row>
    <row r="441" ht="15" customHeight="1">
      <c r="A441" t="inlineStr">
        <is>
          <t>A 784-2024</t>
        </is>
      </c>
      <c r="B441" s="1" t="n">
        <v>45300.55680555556</v>
      </c>
      <c r="C441" s="1" t="n">
        <v>45884</v>
      </c>
      <c r="D441" t="inlineStr">
        <is>
          <t>UPPSALA LÄN</t>
        </is>
      </c>
      <c r="E441" t="inlineStr">
        <is>
          <t>UPPSALA</t>
        </is>
      </c>
      <c r="G441" t="n">
        <v>6.6</v>
      </c>
      <c r="H441" t="n">
        <v>0</v>
      </c>
      <c r="I441" t="n">
        <v>0</v>
      </c>
      <c r="J441" t="n">
        <v>0</v>
      </c>
      <c r="K441" t="n">
        <v>0</v>
      </c>
      <c r="L441" t="n">
        <v>0</v>
      </c>
      <c r="M441" t="n">
        <v>0</v>
      </c>
      <c r="N441" t="n">
        <v>0</v>
      </c>
      <c r="O441" t="n">
        <v>0</v>
      </c>
      <c r="P441" t="n">
        <v>0</v>
      </c>
      <c r="Q441" t="n">
        <v>0</v>
      </c>
      <c r="R441" s="2" t="inlineStr"/>
    </row>
    <row r="442" ht="15" customHeight="1">
      <c r="A442" t="inlineStr">
        <is>
          <t>A 61271-2020</t>
        </is>
      </c>
      <c r="B442" s="1" t="n">
        <v>44155</v>
      </c>
      <c r="C442" s="1" t="n">
        <v>45884</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9235-2025</t>
        </is>
      </c>
      <c r="B443" s="1" t="n">
        <v>45714.55368055555</v>
      </c>
      <c r="C443" s="1" t="n">
        <v>45884</v>
      </c>
      <c r="D443" t="inlineStr">
        <is>
          <t>UPPSALA LÄN</t>
        </is>
      </c>
      <c r="E443" t="inlineStr">
        <is>
          <t>UPPSALA</t>
        </is>
      </c>
      <c r="G443" t="n">
        <v>1.3</v>
      </c>
      <c r="H443" t="n">
        <v>0</v>
      </c>
      <c r="I443" t="n">
        <v>0</v>
      </c>
      <c r="J443" t="n">
        <v>0</v>
      </c>
      <c r="K443" t="n">
        <v>0</v>
      </c>
      <c r="L443" t="n">
        <v>0</v>
      </c>
      <c r="M443" t="n">
        <v>0</v>
      </c>
      <c r="N443" t="n">
        <v>0</v>
      </c>
      <c r="O443" t="n">
        <v>0</v>
      </c>
      <c r="P443" t="n">
        <v>0</v>
      </c>
      <c r="Q443" t="n">
        <v>0</v>
      </c>
      <c r="R443" s="2" t="inlineStr"/>
    </row>
    <row r="444" ht="15" customHeight="1">
      <c r="A444" t="inlineStr">
        <is>
          <t>A 9984-2025</t>
        </is>
      </c>
      <c r="B444" s="1" t="n">
        <v>45719.42197916667</v>
      </c>
      <c r="C444" s="1" t="n">
        <v>45884</v>
      </c>
      <c r="D444" t="inlineStr">
        <is>
          <t>UPPSALA LÄN</t>
        </is>
      </c>
      <c r="E444" t="inlineStr">
        <is>
          <t>UPPSALA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9991-2025</t>
        </is>
      </c>
      <c r="B445" s="1" t="n">
        <v>45719.43646990741</v>
      </c>
      <c r="C445" s="1" t="n">
        <v>45884</v>
      </c>
      <c r="D445" t="inlineStr">
        <is>
          <t>UPPSALA LÄN</t>
        </is>
      </c>
      <c r="E445" t="inlineStr">
        <is>
          <t>UPPSALA</t>
        </is>
      </c>
      <c r="F445" t="inlineStr">
        <is>
          <t>Kyrkan</t>
        </is>
      </c>
      <c r="G445" t="n">
        <v>6.1</v>
      </c>
      <c r="H445" t="n">
        <v>0</v>
      </c>
      <c r="I445" t="n">
        <v>0</v>
      </c>
      <c r="J445" t="n">
        <v>0</v>
      </c>
      <c r="K445" t="n">
        <v>0</v>
      </c>
      <c r="L445" t="n">
        <v>0</v>
      </c>
      <c r="M445" t="n">
        <v>0</v>
      </c>
      <c r="N445" t="n">
        <v>0</v>
      </c>
      <c r="O445" t="n">
        <v>0</v>
      </c>
      <c r="P445" t="n">
        <v>0</v>
      </c>
      <c r="Q445" t="n">
        <v>0</v>
      </c>
      <c r="R445" s="2" t="inlineStr"/>
    </row>
    <row r="446" ht="15" customHeight="1">
      <c r="A446" t="inlineStr">
        <is>
          <t>A 6199-2024</t>
        </is>
      </c>
      <c r="B446" s="1" t="n">
        <v>45337.58318287037</v>
      </c>
      <c r="C446" s="1" t="n">
        <v>45884</v>
      </c>
      <c r="D446" t="inlineStr">
        <is>
          <t>UPPSALA LÄN</t>
        </is>
      </c>
      <c r="E446" t="inlineStr">
        <is>
          <t>UPPSALA</t>
        </is>
      </c>
      <c r="F446" t="inlineStr">
        <is>
          <t>Kyrkan</t>
        </is>
      </c>
      <c r="G446" t="n">
        <v>0.6</v>
      </c>
      <c r="H446" t="n">
        <v>0</v>
      </c>
      <c r="I446" t="n">
        <v>0</v>
      </c>
      <c r="J446" t="n">
        <v>0</v>
      </c>
      <c r="K446" t="n">
        <v>0</v>
      </c>
      <c r="L446" t="n">
        <v>0</v>
      </c>
      <c r="M446" t="n">
        <v>0</v>
      </c>
      <c r="N446" t="n">
        <v>0</v>
      </c>
      <c r="O446" t="n">
        <v>0</v>
      </c>
      <c r="P446" t="n">
        <v>0</v>
      </c>
      <c r="Q446" t="n">
        <v>0</v>
      </c>
      <c r="R446" s="2" t="inlineStr"/>
    </row>
    <row r="447" ht="15" customHeight="1">
      <c r="A447" t="inlineStr">
        <is>
          <t>A 48571-2023</t>
        </is>
      </c>
      <c r="B447" s="1" t="n">
        <v>45208.46130787037</v>
      </c>
      <c r="C447" s="1" t="n">
        <v>45884</v>
      </c>
      <c r="D447" t="inlineStr">
        <is>
          <t>UPPSALA LÄN</t>
        </is>
      </c>
      <c r="E447" t="inlineStr">
        <is>
          <t>UPPSALA</t>
        </is>
      </c>
      <c r="G447" t="n">
        <v>1.8</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44168.55746527778</v>
      </c>
      <c r="C448" s="1" t="n">
        <v>45884</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41002-2023</t>
        </is>
      </c>
      <c r="B449" s="1" t="n">
        <v>45173</v>
      </c>
      <c r="C449" s="1" t="n">
        <v>45884</v>
      </c>
      <c r="D449" t="inlineStr">
        <is>
          <t>UPPSALA LÄN</t>
        </is>
      </c>
      <c r="E449" t="inlineStr">
        <is>
          <t>UPPSALA</t>
        </is>
      </c>
      <c r="G449" t="n">
        <v>6.2</v>
      </c>
      <c r="H449" t="n">
        <v>0</v>
      </c>
      <c r="I449" t="n">
        <v>0</v>
      </c>
      <c r="J449" t="n">
        <v>0</v>
      </c>
      <c r="K449" t="n">
        <v>0</v>
      </c>
      <c r="L449" t="n">
        <v>0</v>
      </c>
      <c r="M449" t="n">
        <v>0</v>
      </c>
      <c r="N449" t="n">
        <v>0</v>
      </c>
      <c r="O449" t="n">
        <v>0</v>
      </c>
      <c r="P449" t="n">
        <v>0</v>
      </c>
      <c r="Q449" t="n">
        <v>0</v>
      </c>
      <c r="R449" s="2" t="inlineStr"/>
    </row>
    <row r="450" ht="15" customHeight="1">
      <c r="A450" t="inlineStr">
        <is>
          <t>A 60984-2022</t>
        </is>
      </c>
      <c r="B450" s="1" t="n">
        <v>44914.67600694444</v>
      </c>
      <c r="C450" s="1" t="n">
        <v>45884</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9820-2023</t>
        </is>
      </c>
      <c r="B451" s="1" t="n">
        <v>44984.69216435185</v>
      </c>
      <c r="C451" s="1" t="n">
        <v>45884</v>
      </c>
      <c r="D451" t="inlineStr">
        <is>
          <t>UPPSALA LÄN</t>
        </is>
      </c>
      <c r="E451" t="inlineStr">
        <is>
          <t>UPPSALA</t>
        </is>
      </c>
      <c r="F451" t="inlineStr">
        <is>
          <t>Kyrkan</t>
        </is>
      </c>
      <c r="G451" t="n">
        <v>2</v>
      </c>
      <c r="H451" t="n">
        <v>0</v>
      </c>
      <c r="I451" t="n">
        <v>0</v>
      </c>
      <c r="J451" t="n">
        <v>0</v>
      </c>
      <c r="K451" t="n">
        <v>0</v>
      </c>
      <c r="L451" t="n">
        <v>0</v>
      </c>
      <c r="M451" t="n">
        <v>0</v>
      </c>
      <c r="N451" t="n">
        <v>0</v>
      </c>
      <c r="O451" t="n">
        <v>0</v>
      </c>
      <c r="P451" t="n">
        <v>0</v>
      </c>
      <c r="Q451" t="n">
        <v>0</v>
      </c>
      <c r="R451" s="2" t="inlineStr"/>
    </row>
    <row r="452" ht="15" customHeight="1">
      <c r="A452" t="inlineStr">
        <is>
          <t>A 34265-2021</t>
        </is>
      </c>
      <c r="B452" s="1" t="n">
        <v>44379.5745949074</v>
      </c>
      <c r="C452" s="1" t="n">
        <v>45884</v>
      </c>
      <c r="D452" t="inlineStr">
        <is>
          <t>UPPSALA LÄN</t>
        </is>
      </c>
      <c r="E452" t="inlineStr">
        <is>
          <t>UPPSALA</t>
        </is>
      </c>
      <c r="G452" t="n">
        <v>1.1</v>
      </c>
      <c r="H452" t="n">
        <v>0</v>
      </c>
      <c r="I452" t="n">
        <v>0</v>
      </c>
      <c r="J452" t="n">
        <v>0</v>
      </c>
      <c r="K452" t="n">
        <v>0</v>
      </c>
      <c r="L452" t="n">
        <v>0</v>
      </c>
      <c r="M452" t="n">
        <v>0</v>
      </c>
      <c r="N452" t="n">
        <v>0</v>
      </c>
      <c r="O452" t="n">
        <v>0</v>
      </c>
      <c r="P452" t="n">
        <v>0</v>
      </c>
      <c r="Q452" t="n">
        <v>0</v>
      </c>
      <c r="R452" s="2" t="inlineStr"/>
    </row>
    <row r="453" ht="15" customHeight="1">
      <c r="A453" t="inlineStr">
        <is>
          <t>A 45489-2023</t>
        </is>
      </c>
      <c r="B453" s="1" t="n">
        <v>45194</v>
      </c>
      <c r="C453" s="1" t="n">
        <v>45884</v>
      </c>
      <c r="D453" t="inlineStr">
        <is>
          <t>UPPSALA LÄN</t>
        </is>
      </c>
      <c r="E453" t="inlineStr">
        <is>
          <t>UPPSALA</t>
        </is>
      </c>
      <c r="F453" t="inlineStr">
        <is>
          <t>Allmännings- och besparingsskogar</t>
        </is>
      </c>
      <c r="G453" t="n">
        <v>15.8</v>
      </c>
      <c r="H453" t="n">
        <v>0</v>
      </c>
      <c r="I453" t="n">
        <v>0</v>
      </c>
      <c r="J453" t="n">
        <v>0</v>
      </c>
      <c r="K453" t="n">
        <v>0</v>
      </c>
      <c r="L453" t="n">
        <v>0</v>
      </c>
      <c r="M453" t="n">
        <v>0</v>
      </c>
      <c r="N453" t="n">
        <v>0</v>
      </c>
      <c r="O453" t="n">
        <v>0</v>
      </c>
      <c r="P453" t="n">
        <v>0</v>
      </c>
      <c r="Q453" t="n">
        <v>0</v>
      </c>
      <c r="R453" s="2" t="inlineStr"/>
    </row>
    <row r="454" ht="15" customHeight="1">
      <c r="A454" t="inlineStr">
        <is>
          <t>A 53906-2023</t>
        </is>
      </c>
      <c r="B454" s="1" t="n">
        <v>45231</v>
      </c>
      <c r="C454" s="1" t="n">
        <v>45884</v>
      </c>
      <c r="D454" t="inlineStr">
        <is>
          <t>UPPSALA LÄN</t>
        </is>
      </c>
      <c r="E454" t="inlineStr">
        <is>
          <t>UPPSALA</t>
        </is>
      </c>
      <c r="G454" t="n">
        <v>13.2</v>
      </c>
      <c r="H454" t="n">
        <v>0</v>
      </c>
      <c r="I454" t="n">
        <v>0</v>
      </c>
      <c r="J454" t="n">
        <v>0</v>
      </c>
      <c r="K454" t="n">
        <v>0</v>
      </c>
      <c r="L454" t="n">
        <v>0</v>
      </c>
      <c r="M454" t="n">
        <v>0</v>
      </c>
      <c r="N454" t="n">
        <v>0</v>
      </c>
      <c r="O454" t="n">
        <v>0</v>
      </c>
      <c r="P454" t="n">
        <v>0</v>
      </c>
      <c r="Q454" t="n">
        <v>0</v>
      </c>
      <c r="R454" s="2" t="inlineStr"/>
    </row>
    <row r="455" ht="15" customHeight="1">
      <c r="A455" t="inlineStr">
        <is>
          <t>A 55073-2022</t>
        </is>
      </c>
      <c r="B455" s="1" t="n">
        <v>44886.5928125</v>
      </c>
      <c r="C455" s="1" t="n">
        <v>45884</v>
      </c>
      <c r="D455" t="inlineStr">
        <is>
          <t>UPPSALA LÄN</t>
        </is>
      </c>
      <c r="E455" t="inlineStr">
        <is>
          <t>UPPSALA</t>
        </is>
      </c>
      <c r="G455" t="n">
        <v>1</v>
      </c>
      <c r="H455" t="n">
        <v>0</v>
      </c>
      <c r="I455" t="n">
        <v>0</v>
      </c>
      <c r="J455" t="n">
        <v>0</v>
      </c>
      <c r="K455" t="n">
        <v>0</v>
      </c>
      <c r="L455" t="n">
        <v>0</v>
      </c>
      <c r="M455" t="n">
        <v>0</v>
      </c>
      <c r="N455" t="n">
        <v>0</v>
      </c>
      <c r="O455" t="n">
        <v>0</v>
      </c>
      <c r="P455" t="n">
        <v>0</v>
      </c>
      <c r="Q455" t="n">
        <v>0</v>
      </c>
      <c r="R455" s="2" t="inlineStr"/>
    </row>
    <row r="456" ht="15" customHeight="1">
      <c r="A456" t="inlineStr">
        <is>
          <t>A 33816-2024</t>
        </is>
      </c>
      <c r="B456" s="1" t="n">
        <v>45520</v>
      </c>
      <c r="C456" s="1" t="n">
        <v>45884</v>
      </c>
      <c r="D456" t="inlineStr">
        <is>
          <t>UPPSALA LÄN</t>
        </is>
      </c>
      <c r="E456" t="inlineStr">
        <is>
          <t>UPPSALA</t>
        </is>
      </c>
      <c r="G456" t="n">
        <v>1.1</v>
      </c>
      <c r="H456" t="n">
        <v>0</v>
      </c>
      <c r="I456" t="n">
        <v>0</v>
      </c>
      <c r="J456" t="n">
        <v>0</v>
      </c>
      <c r="K456" t="n">
        <v>0</v>
      </c>
      <c r="L456" t="n">
        <v>0</v>
      </c>
      <c r="M456" t="n">
        <v>0</v>
      </c>
      <c r="N456" t="n">
        <v>0</v>
      </c>
      <c r="O456" t="n">
        <v>0</v>
      </c>
      <c r="P456" t="n">
        <v>0</v>
      </c>
      <c r="Q456" t="n">
        <v>0</v>
      </c>
      <c r="R456" s="2" t="inlineStr"/>
    </row>
    <row r="457" ht="15" customHeight="1">
      <c r="A457" t="inlineStr">
        <is>
          <t>A 1020-2021</t>
        </is>
      </c>
      <c r="B457" s="1" t="n">
        <v>44207</v>
      </c>
      <c r="C457" s="1" t="n">
        <v>45884</v>
      </c>
      <c r="D457" t="inlineStr">
        <is>
          <t>UPPSALA LÄN</t>
        </is>
      </c>
      <c r="E457" t="inlineStr">
        <is>
          <t>UPPSALA</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47083-2023</t>
        </is>
      </c>
      <c r="B458" s="1" t="n">
        <v>45201.62318287037</v>
      </c>
      <c r="C458" s="1" t="n">
        <v>45884</v>
      </c>
      <c r="D458" t="inlineStr">
        <is>
          <t>UPPSALA LÄN</t>
        </is>
      </c>
      <c r="E458" t="inlineStr">
        <is>
          <t>UPPSALA</t>
        </is>
      </c>
      <c r="G458" t="n">
        <v>0.7</v>
      </c>
      <c r="H458" t="n">
        <v>0</v>
      </c>
      <c r="I458" t="n">
        <v>0</v>
      </c>
      <c r="J458" t="n">
        <v>0</v>
      </c>
      <c r="K458" t="n">
        <v>0</v>
      </c>
      <c r="L458" t="n">
        <v>0</v>
      </c>
      <c r="M458" t="n">
        <v>0</v>
      </c>
      <c r="N458" t="n">
        <v>0</v>
      </c>
      <c r="O458" t="n">
        <v>0</v>
      </c>
      <c r="P458" t="n">
        <v>0</v>
      </c>
      <c r="Q458" t="n">
        <v>0</v>
      </c>
      <c r="R458" s="2" t="inlineStr"/>
    </row>
    <row r="459" ht="15" customHeight="1">
      <c r="A459" t="inlineStr">
        <is>
          <t>A 34147-2024</t>
        </is>
      </c>
      <c r="B459" s="1" t="n">
        <v>45524</v>
      </c>
      <c r="C459" s="1" t="n">
        <v>45884</v>
      </c>
      <c r="D459" t="inlineStr">
        <is>
          <t>UPPSALA LÄN</t>
        </is>
      </c>
      <c r="E459" t="inlineStr">
        <is>
          <t>UPPSALA</t>
        </is>
      </c>
      <c r="F459" t="inlineStr">
        <is>
          <t>Allmännings- och besparingsskogar</t>
        </is>
      </c>
      <c r="G459" t="n">
        <v>0.2</v>
      </c>
      <c r="H459" t="n">
        <v>0</v>
      </c>
      <c r="I459" t="n">
        <v>0</v>
      </c>
      <c r="J459" t="n">
        <v>0</v>
      </c>
      <c r="K459" t="n">
        <v>0</v>
      </c>
      <c r="L459" t="n">
        <v>0</v>
      </c>
      <c r="M459" t="n">
        <v>0</v>
      </c>
      <c r="N459" t="n">
        <v>0</v>
      </c>
      <c r="O459" t="n">
        <v>0</v>
      </c>
      <c r="P459" t="n">
        <v>0</v>
      </c>
      <c r="Q459" t="n">
        <v>0</v>
      </c>
      <c r="R459" s="2" t="inlineStr"/>
    </row>
    <row r="460" ht="15" customHeight="1">
      <c r="A460" t="inlineStr">
        <is>
          <t>A 37670-2022</t>
        </is>
      </c>
      <c r="B460" s="1" t="n">
        <v>44810</v>
      </c>
      <c r="C460" s="1" t="n">
        <v>45884</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10456-2022</t>
        </is>
      </c>
      <c r="B461" s="1" t="n">
        <v>44623.5571875</v>
      </c>
      <c r="C461" s="1" t="n">
        <v>45884</v>
      </c>
      <c r="D461" t="inlineStr">
        <is>
          <t>UPPSALA LÄN</t>
        </is>
      </c>
      <c r="E461" t="inlineStr">
        <is>
          <t>UPPSALA</t>
        </is>
      </c>
      <c r="F461" t="inlineStr">
        <is>
          <t>Övriga Aktiebolag</t>
        </is>
      </c>
      <c r="G461" t="n">
        <v>12.6</v>
      </c>
      <c r="H461" t="n">
        <v>0</v>
      </c>
      <c r="I461" t="n">
        <v>0</v>
      </c>
      <c r="J461" t="n">
        <v>0</v>
      </c>
      <c r="K461" t="n">
        <v>0</v>
      </c>
      <c r="L461" t="n">
        <v>0</v>
      </c>
      <c r="M461" t="n">
        <v>0</v>
      </c>
      <c r="N461" t="n">
        <v>0</v>
      </c>
      <c r="O461" t="n">
        <v>0</v>
      </c>
      <c r="P461" t="n">
        <v>0</v>
      </c>
      <c r="Q461" t="n">
        <v>0</v>
      </c>
      <c r="R461" s="2" t="inlineStr"/>
    </row>
    <row r="462" ht="15" customHeight="1">
      <c r="A462" t="inlineStr">
        <is>
          <t>A 5663-2023</t>
        </is>
      </c>
      <c r="B462" s="1" t="n">
        <v>44960</v>
      </c>
      <c r="C462" s="1" t="n">
        <v>45884</v>
      </c>
      <c r="D462" t="inlineStr">
        <is>
          <t>UPPSALA LÄN</t>
        </is>
      </c>
      <c r="E462" t="inlineStr">
        <is>
          <t>UPPSALA</t>
        </is>
      </c>
      <c r="G462" t="n">
        <v>0.5</v>
      </c>
      <c r="H462" t="n">
        <v>0</v>
      </c>
      <c r="I462" t="n">
        <v>0</v>
      </c>
      <c r="J462" t="n">
        <v>0</v>
      </c>
      <c r="K462" t="n">
        <v>0</v>
      </c>
      <c r="L462" t="n">
        <v>0</v>
      </c>
      <c r="M462" t="n">
        <v>0</v>
      </c>
      <c r="N462" t="n">
        <v>0</v>
      </c>
      <c r="O462" t="n">
        <v>0</v>
      </c>
      <c r="P462" t="n">
        <v>0</v>
      </c>
      <c r="Q462" t="n">
        <v>0</v>
      </c>
      <c r="R462" s="2" t="inlineStr"/>
    </row>
    <row r="463" ht="15" customHeight="1">
      <c r="A463" t="inlineStr">
        <is>
          <t>A 5675-2023</t>
        </is>
      </c>
      <c r="B463" s="1" t="n">
        <v>44960.66233796296</v>
      </c>
      <c r="C463" s="1" t="n">
        <v>45884</v>
      </c>
      <c r="D463" t="inlineStr">
        <is>
          <t>UPPSALA LÄN</t>
        </is>
      </c>
      <c r="E463" t="inlineStr">
        <is>
          <t>UPPSALA</t>
        </is>
      </c>
      <c r="G463" t="n">
        <v>1.1</v>
      </c>
      <c r="H463" t="n">
        <v>0</v>
      </c>
      <c r="I463" t="n">
        <v>0</v>
      </c>
      <c r="J463" t="n">
        <v>0</v>
      </c>
      <c r="K463" t="n">
        <v>0</v>
      </c>
      <c r="L463" t="n">
        <v>0</v>
      </c>
      <c r="M463" t="n">
        <v>0</v>
      </c>
      <c r="N463" t="n">
        <v>0</v>
      </c>
      <c r="O463" t="n">
        <v>0</v>
      </c>
      <c r="P463" t="n">
        <v>0</v>
      </c>
      <c r="Q463" t="n">
        <v>0</v>
      </c>
      <c r="R463" s="2" t="inlineStr"/>
    </row>
    <row r="464" ht="15" customHeight="1">
      <c r="A464" t="inlineStr">
        <is>
          <t>A 32688-2023</t>
        </is>
      </c>
      <c r="B464" s="1" t="n">
        <v>45121</v>
      </c>
      <c r="C464" s="1" t="n">
        <v>45884</v>
      </c>
      <c r="D464" t="inlineStr">
        <is>
          <t>UPPSALA LÄN</t>
        </is>
      </c>
      <c r="E464" t="inlineStr">
        <is>
          <t>UPPSALA</t>
        </is>
      </c>
      <c r="F464" t="inlineStr">
        <is>
          <t>Holmen skog AB</t>
        </is>
      </c>
      <c r="G464" t="n">
        <v>4.3</v>
      </c>
      <c r="H464" t="n">
        <v>0</v>
      </c>
      <c r="I464" t="n">
        <v>0</v>
      </c>
      <c r="J464" t="n">
        <v>0</v>
      </c>
      <c r="K464" t="n">
        <v>0</v>
      </c>
      <c r="L464" t="n">
        <v>0</v>
      </c>
      <c r="M464" t="n">
        <v>0</v>
      </c>
      <c r="N464" t="n">
        <v>0</v>
      </c>
      <c r="O464" t="n">
        <v>0</v>
      </c>
      <c r="P464" t="n">
        <v>0</v>
      </c>
      <c r="Q464" t="n">
        <v>0</v>
      </c>
      <c r="R464" s="2" t="inlineStr"/>
    </row>
    <row r="465" ht="15" customHeight="1">
      <c r="A465" t="inlineStr">
        <is>
          <t>A 53266-2024</t>
        </is>
      </c>
      <c r="B465" s="1" t="n">
        <v>45614</v>
      </c>
      <c r="C465" s="1" t="n">
        <v>45884</v>
      </c>
      <c r="D465" t="inlineStr">
        <is>
          <t>UPPSALA LÄN</t>
        </is>
      </c>
      <c r="E465" t="inlineStr">
        <is>
          <t>UPPSALA</t>
        </is>
      </c>
      <c r="G465" t="n">
        <v>0.9</v>
      </c>
      <c r="H465" t="n">
        <v>0</v>
      </c>
      <c r="I465" t="n">
        <v>0</v>
      </c>
      <c r="J465" t="n">
        <v>0</v>
      </c>
      <c r="K465" t="n">
        <v>0</v>
      </c>
      <c r="L465" t="n">
        <v>0</v>
      </c>
      <c r="M465" t="n">
        <v>0</v>
      </c>
      <c r="N465" t="n">
        <v>0</v>
      </c>
      <c r="O465" t="n">
        <v>0</v>
      </c>
      <c r="P465" t="n">
        <v>0</v>
      </c>
      <c r="Q465" t="n">
        <v>0</v>
      </c>
      <c r="R465" s="2" t="inlineStr"/>
    </row>
    <row r="466" ht="15" customHeight="1">
      <c r="A466" t="inlineStr">
        <is>
          <t>A 13502-2025</t>
        </is>
      </c>
      <c r="B466" s="1" t="n">
        <v>45736.45847222222</v>
      </c>
      <c r="C466" s="1" t="n">
        <v>45884</v>
      </c>
      <c r="D466" t="inlineStr">
        <is>
          <t>UPPSALA LÄN</t>
        </is>
      </c>
      <c r="E466" t="inlineStr">
        <is>
          <t>UPPSALA</t>
        </is>
      </c>
      <c r="F466" t="inlineStr">
        <is>
          <t>Allmännings- och besparingsskogar</t>
        </is>
      </c>
      <c r="G466" t="n">
        <v>1.6</v>
      </c>
      <c r="H466" t="n">
        <v>0</v>
      </c>
      <c r="I466" t="n">
        <v>0</v>
      </c>
      <c r="J466" t="n">
        <v>0</v>
      </c>
      <c r="K466" t="n">
        <v>0</v>
      </c>
      <c r="L466" t="n">
        <v>0</v>
      </c>
      <c r="M466" t="n">
        <v>0</v>
      </c>
      <c r="N466" t="n">
        <v>0</v>
      </c>
      <c r="O466" t="n">
        <v>0</v>
      </c>
      <c r="P466" t="n">
        <v>0</v>
      </c>
      <c r="Q466" t="n">
        <v>0</v>
      </c>
      <c r="R466" s="2" t="inlineStr"/>
    </row>
    <row r="467" ht="15" customHeight="1">
      <c r="A467" t="inlineStr">
        <is>
          <t>A 12282-2025</t>
        </is>
      </c>
      <c r="B467" s="1" t="n">
        <v>45729</v>
      </c>
      <c r="C467" s="1" t="n">
        <v>45884</v>
      </c>
      <c r="D467" t="inlineStr">
        <is>
          <t>UPPSALA LÄN</t>
        </is>
      </c>
      <c r="E467" t="inlineStr">
        <is>
          <t>UPPSALA</t>
        </is>
      </c>
      <c r="G467" t="n">
        <v>3.3</v>
      </c>
      <c r="H467" t="n">
        <v>0</v>
      </c>
      <c r="I467" t="n">
        <v>0</v>
      </c>
      <c r="J467" t="n">
        <v>0</v>
      </c>
      <c r="K467" t="n">
        <v>0</v>
      </c>
      <c r="L467" t="n">
        <v>0</v>
      </c>
      <c r="M467" t="n">
        <v>0</v>
      </c>
      <c r="N467" t="n">
        <v>0</v>
      </c>
      <c r="O467" t="n">
        <v>0</v>
      </c>
      <c r="P467" t="n">
        <v>0</v>
      </c>
      <c r="Q467" t="n">
        <v>0</v>
      </c>
      <c r="R467" s="2" t="inlineStr"/>
    </row>
    <row r="468" ht="15" customHeight="1">
      <c r="A468" t="inlineStr">
        <is>
          <t>A 69698-2021</t>
        </is>
      </c>
      <c r="B468" s="1" t="n">
        <v>44532</v>
      </c>
      <c r="C468" s="1" t="n">
        <v>45884</v>
      </c>
      <c r="D468" t="inlineStr">
        <is>
          <t>UPPSALA LÄN</t>
        </is>
      </c>
      <c r="E468" t="inlineStr">
        <is>
          <t>UPPSALA</t>
        </is>
      </c>
      <c r="G468" t="n">
        <v>0.7</v>
      </c>
      <c r="H468" t="n">
        <v>0</v>
      </c>
      <c r="I468" t="n">
        <v>0</v>
      </c>
      <c r="J468" t="n">
        <v>0</v>
      </c>
      <c r="K468" t="n">
        <v>0</v>
      </c>
      <c r="L468" t="n">
        <v>0</v>
      </c>
      <c r="M468" t="n">
        <v>0</v>
      </c>
      <c r="N468" t="n">
        <v>0</v>
      </c>
      <c r="O468" t="n">
        <v>0</v>
      </c>
      <c r="P468" t="n">
        <v>0</v>
      </c>
      <c r="Q468" t="n">
        <v>0</v>
      </c>
      <c r="R468" s="2" t="inlineStr"/>
    </row>
    <row r="469" ht="15" customHeight="1">
      <c r="A469" t="inlineStr">
        <is>
          <t>A 40100-2022</t>
        </is>
      </c>
      <c r="B469" s="1" t="n">
        <v>44820.47935185185</v>
      </c>
      <c r="C469" s="1" t="n">
        <v>45884</v>
      </c>
      <c r="D469" t="inlineStr">
        <is>
          <t>UPPSALA LÄN</t>
        </is>
      </c>
      <c r="E469" t="inlineStr">
        <is>
          <t>UPPSALA</t>
        </is>
      </c>
      <c r="F469" t="inlineStr">
        <is>
          <t>Övriga Aktiebolag</t>
        </is>
      </c>
      <c r="G469" t="n">
        <v>1.1</v>
      </c>
      <c r="H469" t="n">
        <v>0</v>
      </c>
      <c r="I469" t="n">
        <v>0</v>
      </c>
      <c r="J469" t="n">
        <v>0</v>
      </c>
      <c r="K469" t="n">
        <v>0</v>
      </c>
      <c r="L469" t="n">
        <v>0</v>
      </c>
      <c r="M469" t="n">
        <v>0</v>
      </c>
      <c r="N469" t="n">
        <v>0</v>
      </c>
      <c r="O469" t="n">
        <v>0</v>
      </c>
      <c r="P469" t="n">
        <v>0</v>
      </c>
      <c r="Q469" t="n">
        <v>0</v>
      </c>
      <c r="R469" s="2" t="inlineStr"/>
    </row>
    <row r="470" ht="15" customHeight="1">
      <c r="A470" t="inlineStr">
        <is>
          <t>A 59116-2024</t>
        </is>
      </c>
      <c r="B470" s="1" t="n">
        <v>45637</v>
      </c>
      <c r="C470" s="1" t="n">
        <v>45884</v>
      </c>
      <c r="D470" t="inlineStr">
        <is>
          <t>UPPSALA LÄN</t>
        </is>
      </c>
      <c r="E470" t="inlineStr">
        <is>
          <t>UPPSALA</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8672-2024</t>
        </is>
      </c>
      <c r="B471" s="1" t="n">
        <v>45352</v>
      </c>
      <c r="C471" s="1" t="n">
        <v>45884</v>
      </c>
      <c r="D471" t="inlineStr">
        <is>
          <t>UPPSALA LÄN</t>
        </is>
      </c>
      <c r="E471" t="inlineStr">
        <is>
          <t>UPPSALA</t>
        </is>
      </c>
      <c r="G471" t="n">
        <v>2.3</v>
      </c>
      <c r="H471" t="n">
        <v>0</v>
      </c>
      <c r="I471" t="n">
        <v>0</v>
      </c>
      <c r="J471" t="n">
        <v>0</v>
      </c>
      <c r="K471" t="n">
        <v>0</v>
      </c>
      <c r="L471" t="n">
        <v>0</v>
      </c>
      <c r="M471" t="n">
        <v>0</v>
      </c>
      <c r="N471" t="n">
        <v>0</v>
      </c>
      <c r="O471" t="n">
        <v>0</v>
      </c>
      <c r="P471" t="n">
        <v>0</v>
      </c>
      <c r="Q471" t="n">
        <v>0</v>
      </c>
      <c r="R471" s="2" t="inlineStr"/>
    </row>
    <row r="472" ht="15" customHeight="1">
      <c r="A472" t="inlineStr">
        <is>
          <t>A 42528-2023</t>
        </is>
      </c>
      <c r="B472" s="1" t="n">
        <v>45181.33571759259</v>
      </c>
      <c r="C472" s="1" t="n">
        <v>45884</v>
      </c>
      <c r="D472" t="inlineStr">
        <is>
          <t>UPPSALA LÄN</t>
        </is>
      </c>
      <c r="E472" t="inlineStr">
        <is>
          <t>UPPSALA</t>
        </is>
      </c>
      <c r="G472" t="n">
        <v>1.2</v>
      </c>
      <c r="H472" t="n">
        <v>0</v>
      </c>
      <c r="I472" t="n">
        <v>0</v>
      </c>
      <c r="J472" t="n">
        <v>0</v>
      </c>
      <c r="K472" t="n">
        <v>0</v>
      </c>
      <c r="L472" t="n">
        <v>0</v>
      </c>
      <c r="M472" t="n">
        <v>0</v>
      </c>
      <c r="N472" t="n">
        <v>0</v>
      </c>
      <c r="O472" t="n">
        <v>0</v>
      </c>
      <c r="P472" t="n">
        <v>0</v>
      </c>
      <c r="Q472" t="n">
        <v>0</v>
      </c>
      <c r="R472" s="2" t="inlineStr"/>
    </row>
    <row r="473" ht="15" customHeight="1">
      <c r="A473" t="inlineStr">
        <is>
          <t>A 9255-2024</t>
        </is>
      </c>
      <c r="B473" s="1" t="n">
        <v>45358</v>
      </c>
      <c r="C473" s="1" t="n">
        <v>45884</v>
      </c>
      <c r="D473" t="inlineStr">
        <is>
          <t>UPPSALA LÄN</t>
        </is>
      </c>
      <c r="E473" t="inlineStr">
        <is>
          <t>UPPSALA</t>
        </is>
      </c>
      <c r="G473" t="n">
        <v>1.8</v>
      </c>
      <c r="H473" t="n">
        <v>0</v>
      </c>
      <c r="I473" t="n">
        <v>0</v>
      </c>
      <c r="J473" t="n">
        <v>0</v>
      </c>
      <c r="K473" t="n">
        <v>0</v>
      </c>
      <c r="L473" t="n">
        <v>0</v>
      </c>
      <c r="M473" t="n">
        <v>0</v>
      </c>
      <c r="N473" t="n">
        <v>0</v>
      </c>
      <c r="O473" t="n">
        <v>0</v>
      </c>
      <c r="P473" t="n">
        <v>0</v>
      </c>
      <c r="Q473" t="n">
        <v>0</v>
      </c>
      <c r="R473" s="2" t="inlineStr"/>
    </row>
    <row r="474" ht="15" customHeight="1">
      <c r="A474" t="inlineStr">
        <is>
          <t>A 13799-2024</t>
        </is>
      </c>
      <c r="B474" s="1" t="n">
        <v>45391.37361111111</v>
      </c>
      <c r="C474" s="1" t="n">
        <v>45884</v>
      </c>
      <c r="D474" t="inlineStr">
        <is>
          <t>UPPSALA LÄN</t>
        </is>
      </c>
      <c r="E474" t="inlineStr">
        <is>
          <t>UPPSALA</t>
        </is>
      </c>
      <c r="G474" t="n">
        <v>1.9</v>
      </c>
      <c r="H474" t="n">
        <v>0</v>
      </c>
      <c r="I474" t="n">
        <v>0</v>
      </c>
      <c r="J474" t="n">
        <v>0</v>
      </c>
      <c r="K474" t="n">
        <v>0</v>
      </c>
      <c r="L474" t="n">
        <v>0</v>
      </c>
      <c r="M474" t="n">
        <v>0</v>
      </c>
      <c r="N474" t="n">
        <v>0</v>
      </c>
      <c r="O474" t="n">
        <v>0</v>
      </c>
      <c r="P474" t="n">
        <v>0</v>
      </c>
      <c r="Q474" t="n">
        <v>0</v>
      </c>
      <c r="R474" s="2" t="inlineStr"/>
    </row>
    <row r="475" ht="15" customHeight="1">
      <c r="A475" t="inlineStr">
        <is>
          <t>A 56889-2022</t>
        </is>
      </c>
      <c r="B475" s="1" t="n">
        <v>44894.57065972222</v>
      </c>
      <c r="C475" s="1" t="n">
        <v>45884</v>
      </c>
      <c r="D475" t="inlineStr">
        <is>
          <t>UPPSALA LÄN</t>
        </is>
      </c>
      <c r="E475" t="inlineStr">
        <is>
          <t>UPPSALA</t>
        </is>
      </c>
      <c r="F475" t="inlineStr">
        <is>
          <t>Övriga Aktiebolag</t>
        </is>
      </c>
      <c r="G475" t="n">
        <v>21.6</v>
      </c>
      <c r="H475" t="n">
        <v>0</v>
      </c>
      <c r="I475" t="n">
        <v>0</v>
      </c>
      <c r="J475" t="n">
        <v>0</v>
      </c>
      <c r="K475" t="n">
        <v>0</v>
      </c>
      <c r="L475" t="n">
        <v>0</v>
      </c>
      <c r="M475" t="n">
        <v>0</v>
      </c>
      <c r="N475" t="n">
        <v>0</v>
      </c>
      <c r="O475" t="n">
        <v>0</v>
      </c>
      <c r="P475" t="n">
        <v>0</v>
      </c>
      <c r="Q475" t="n">
        <v>0</v>
      </c>
      <c r="R475" s="2" t="inlineStr"/>
    </row>
    <row r="476" ht="15" customHeight="1">
      <c r="A476" t="inlineStr">
        <is>
          <t>A 33797-2021</t>
        </is>
      </c>
      <c r="B476" s="1" t="n">
        <v>44378.56137731481</v>
      </c>
      <c r="C476" s="1" t="n">
        <v>45884</v>
      </c>
      <c r="D476" t="inlineStr">
        <is>
          <t>UPPSALA LÄN</t>
        </is>
      </c>
      <c r="E476" t="inlineStr">
        <is>
          <t>UPPSALA</t>
        </is>
      </c>
      <c r="G476" t="n">
        <v>1</v>
      </c>
      <c r="H476" t="n">
        <v>0</v>
      </c>
      <c r="I476" t="n">
        <v>0</v>
      </c>
      <c r="J476" t="n">
        <v>0</v>
      </c>
      <c r="K476" t="n">
        <v>0</v>
      </c>
      <c r="L476" t="n">
        <v>0</v>
      </c>
      <c r="M476" t="n">
        <v>0</v>
      </c>
      <c r="N476" t="n">
        <v>0</v>
      </c>
      <c r="O476" t="n">
        <v>0</v>
      </c>
      <c r="P476" t="n">
        <v>0</v>
      </c>
      <c r="Q476" t="n">
        <v>0</v>
      </c>
      <c r="R476" s="2" t="inlineStr"/>
    </row>
    <row r="477" ht="15" customHeight="1">
      <c r="A477" t="inlineStr">
        <is>
          <t>A 42772-2022</t>
        </is>
      </c>
      <c r="B477" s="1" t="n">
        <v>44832.49594907407</v>
      </c>
      <c r="C477" s="1" t="n">
        <v>45884</v>
      </c>
      <c r="D477" t="inlineStr">
        <is>
          <t>UPPSALA LÄN</t>
        </is>
      </c>
      <c r="E477" t="inlineStr">
        <is>
          <t>UPPSALA</t>
        </is>
      </c>
      <c r="G477" t="n">
        <v>17.7</v>
      </c>
      <c r="H477" t="n">
        <v>0</v>
      </c>
      <c r="I477" t="n">
        <v>0</v>
      </c>
      <c r="J477" t="n">
        <v>0</v>
      </c>
      <c r="K477" t="n">
        <v>0</v>
      </c>
      <c r="L477" t="n">
        <v>0</v>
      </c>
      <c r="M477" t="n">
        <v>0</v>
      </c>
      <c r="N477" t="n">
        <v>0</v>
      </c>
      <c r="O477" t="n">
        <v>0</v>
      </c>
      <c r="P477" t="n">
        <v>0</v>
      </c>
      <c r="Q477" t="n">
        <v>0</v>
      </c>
      <c r="R477" s="2" t="inlineStr"/>
    </row>
    <row r="478" ht="15" customHeight="1">
      <c r="A478" t="inlineStr">
        <is>
          <t>A 3261-2024</t>
        </is>
      </c>
      <c r="B478" s="1" t="n">
        <v>45317</v>
      </c>
      <c r="C478" s="1" t="n">
        <v>45884</v>
      </c>
      <c r="D478" t="inlineStr">
        <is>
          <t>UPPSALA LÄN</t>
        </is>
      </c>
      <c r="E478" t="inlineStr">
        <is>
          <t>UPPSALA</t>
        </is>
      </c>
      <c r="G478" t="n">
        <v>2.8</v>
      </c>
      <c r="H478" t="n">
        <v>0</v>
      </c>
      <c r="I478" t="n">
        <v>0</v>
      </c>
      <c r="J478" t="n">
        <v>0</v>
      </c>
      <c r="K478" t="n">
        <v>0</v>
      </c>
      <c r="L478" t="n">
        <v>0</v>
      </c>
      <c r="M478" t="n">
        <v>0</v>
      </c>
      <c r="N478" t="n">
        <v>0</v>
      </c>
      <c r="O478" t="n">
        <v>0</v>
      </c>
      <c r="P478" t="n">
        <v>0</v>
      </c>
      <c r="Q478" t="n">
        <v>0</v>
      </c>
      <c r="R478" s="2" t="inlineStr"/>
    </row>
    <row r="479" ht="15" customHeight="1">
      <c r="A479" t="inlineStr">
        <is>
          <t>A 29082-2024</t>
        </is>
      </c>
      <c r="B479" s="1" t="n">
        <v>45481.83684027778</v>
      </c>
      <c r="C479" s="1" t="n">
        <v>45884</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5374-2023</t>
        </is>
      </c>
      <c r="B480" s="1" t="n">
        <v>44944</v>
      </c>
      <c r="C480" s="1" t="n">
        <v>45884</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63011-2021</t>
        </is>
      </c>
      <c r="B481" s="1" t="n">
        <v>44504</v>
      </c>
      <c r="C481" s="1" t="n">
        <v>45884</v>
      </c>
      <c r="D481" t="inlineStr">
        <is>
          <t>UPPSALA LÄN</t>
        </is>
      </c>
      <c r="E481" t="inlineStr">
        <is>
          <t>UPPSALA</t>
        </is>
      </c>
      <c r="G481" t="n">
        <v>11.2</v>
      </c>
      <c r="H481" t="n">
        <v>0</v>
      </c>
      <c r="I481" t="n">
        <v>0</v>
      </c>
      <c r="J481" t="n">
        <v>0</v>
      </c>
      <c r="K481" t="n">
        <v>0</v>
      </c>
      <c r="L481" t="n">
        <v>0</v>
      </c>
      <c r="M481" t="n">
        <v>0</v>
      </c>
      <c r="N481" t="n">
        <v>0</v>
      </c>
      <c r="O481" t="n">
        <v>0</v>
      </c>
      <c r="P481" t="n">
        <v>0</v>
      </c>
      <c r="Q481" t="n">
        <v>0</v>
      </c>
      <c r="R481" s="2" t="inlineStr"/>
    </row>
    <row r="482" ht="15" customHeight="1">
      <c r="A482" t="inlineStr">
        <is>
          <t>A 3955-2021</t>
        </is>
      </c>
      <c r="B482" s="1" t="n">
        <v>44222</v>
      </c>
      <c r="C482" s="1" t="n">
        <v>45884</v>
      </c>
      <c r="D482" t="inlineStr">
        <is>
          <t>UPPSALA LÄN</t>
        </is>
      </c>
      <c r="E482" t="inlineStr">
        <is>
          <t>UPPSALA</t>
        </is>
      </c>
      <c r="G482" t="n">
        <v>2.3</v>
      </c>
      <c r="H482" t="n">
        <v>0</v>
      </c>
      <c r="I482" t="n">
        <v>0</v>
      </c>
      <c r="J482" t="n">
        <v>0</v>
      </c>
      <c r="K482" t="n">
        <v>0</v>
      </c>
      <c r="L482" t="n">
        <v>0</v>
      </c>
      <c r="M482" t="n">
        <v>0</v>
      </c>
      <c r="N482" t="n">
        <v>0</v>
      </c>
      <c r="O482" t="n">
        <v>0</v>
      </c>
      <c r="P482" t="n">
        <v>0</v>
      </c>
      <c r="Q482" t="n">
        <v>0</v>
      </c>
      <c r="R482" s="2" t="inlineStr"/>
    </row>
    <row r="483" ht="15" customHeight="1">
      <c r="A483" t="inlineStr">
        <is>
          <t>A 59489-2023</t>
        </is>
      </c>
      <c r="B483" s="1" t="n">
        <v>45254</v>
      </c>
      <c r="C483" s="1" t="n">
        <v>45884</v>
      </c>
      <c r="D483" t="inlineStr">
        <is>
          <t>UPPSALA LÄN</t>
        </is>
      </c>
      <c r="E483" t="inlineStr">
        <is>
          <t>UPPSALA</t>
        </is>
      </c>
      <c r="G483" t="n">
        <v>6.5</v>
      </c>
      <c r="H483" t="n">
        <v>0</v>
      </c>
      <c r="I483" t="n">
        <v>0</v>
      </c>
      <c r="J483" t="n">
        <v>0</v>
      </c>
      <c r="K483" t="n">
        <v>0</v>
      </c>
      <c r="L483" t="n">
        <v>0</v>
      </c>
      <c r="M483" t="n">
        <v>0</v>
      </c>
      <c r="N483" t="n">
        <v>0</v>
      </c>
      <c r="O483" t="n">
        <v>0</v>
      </c>
      <c r="P483" t="n">
        <v>0</v>
      </c>
      <c r="Q483" t="n">
        <v>0</v>
      </c>
      <c r="R483" s="2" t="inlineStr"/>
    </row>
    <row r="484" ht="15" customHeight="1">
      <c r="A484" t="inlineStr">
        <is>
          <t>A 52503-2023</t>
        </is>
      </c>
      <c r="B484" s="1" t="n">
        <v>45225.46480324074</v>
      </c>
      <c r="C484" s="1" t="n">
        <v>45884</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18805-2025</t>
        </is>
      </c>
      <c r="B485" s="1" t="n">
        <v>45763</v>
      </c>
      <c r="C485" s="1" t="n">
        <v>45884</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1032-2023</t>
        </is>
      </c>
      <c r="B486" s="1" t="n">
        <v>44935</v>
      </c>
      <c r="C486" s="1" t="n">
        <v>45884</v>
      </c>
      <c r="D486" t="inlineStr">
        <is>
          <t>UPPSALA LÄN</t>
        </is>
      </c>
      <c r="E486" t="inlineStr">
        <is>
          <t>UPPSALA</t>
        </is>
      </c>
      <c r="G486" t="n">
        <v>0.8</v>
      </c>
      <c r="H486" t="n">
        <v>0</v>
      </c>
      <c r="I486" t="n">
        <v>0</v>
      </c>
      <c r="J486" t="n">
        <v>0</v>
      </c>
      <c r="K486" t="n">
        <v>0</v>
      </c>
      <c r="L486" t="n">
        <v>0</v>
      </c>
      <c r="M486" t="n">
        <v>0</v>
      </c>
      <c r="N486" t="n">
        <v>0</v>
      </c>
      <c r="O486" t="n">
        <v>0</v>
      </c>
      <c r="P486" t="n">
        <v>0</v>
      </c>
      <c r="Q486" t="n">
        <v>0</v>
      </c>
      <c r="R486" s="2" t="inlineStr"/>
    </row>
    <row r="487" ht="15" customHeight="1">
      <c r="A487" t="inlineStr">
        <is>
          <t>A 51576-2023</t>
        </is>
      </c>
      <c r="B487" s="1" t="n">
        <v>45222</v>
      </c>
      <c r="C487" s="1" t="n">
        <v>45884</v>
      </c>
      <c r="D487" t="inlineStr">
        <is>
          <t>UPPSALA LÄN</t>
        </is>
      </c>
      <c r="E487" t="inlineStr">
        <is>
          <t>UPPSALA</t>
        </is>
      </c>
      <c r="G487" t="n">
        <v>2.2</v>
      </c>
      <c r="H487" t="n">
        <v>0</v>
      </c>
      <c r="I487" t="n">
        <v>0</v>
      </c>
      <c r="J487" t="n">
        <v>0</v>
      </c>
      <c r="K487" t="n">
        <v>0</v>
      </c>
      <c r="L487" t="n">
        <v>0</v>
      </c>
      <c r="M487" t="n">
        <v>0</v>
      </c>
      <c r="N487" t="n">
        <v>0</v>
      </c>
      <c r="O487" t="n">
        <v>0</v>
      </c>
      <c r="P487" t="n">
        <v>0</v>
      </c>
      <c r="Q487" t="n">
        <v>0</v>
      </c>
      <c r="R487" s="2" t="inlineStr"/>
    </row>
    <row r="488" ht="15" customHeight="1">
      <c r="A488" t="inlineStr">
        <is>
          <t>A 59585-2023</t>
        </is>
      </c>
      <c r="B488" s="1" t="n">
        <v>45254</v>
      </c>
      <c r="C488" s="1" t="n">
        <v>45884</v>
      </c>
      <c r="D488" t="inlineStr">
        <is>
          <t>UPPSALA LÄN</t>
        </is>
      </c>
      <c r="E488" t="inlineStr">
        <is>
          <t>UPPSALA</t>
        </is>
      </c>
      <c r="G488" t="n">
        <v>4.4</v>
      </c>
      <c r="H488" t="n">
        <v>0</v>
      </c>
      <c r="I488" t="n">
        <v>0</v>
      </c>
      <c r="J488" t="n">
        <v>0</v>
      </c>
      <c r="K488" t="n">
        <v>0</v>
      </c>
      <c r="L488" t="n">
        <v>0</v>
      </c>
      <c r="M488" t="n">
        <v>0</v>
      </c>
      <c r="N488" t="n">
        <v>0</v>
      </c>
      <c r="O488" t="n">
        <v>0</v>
      </c>
      <c r="P488" t="n">
        <v>0</v>
      </c>
      <c r="Q488" t="n">
        <v>0</v>
      </c>
      <c r="R488" s="2" t="inlineStr"/>
    </row>
    <row r="489" ht="15" customHeight="1">
      <c r="A489" t="inlineStr">
        <is>
          <t>A 6989-2022</t>
        </is>
      </c>
      <c r="B489" s="1" t="n">
        <v>44603</v>
      </c>
      <c r="C489" s="1" t="n">
        <v>45884</v>
      </c>
      <c r="D489" t="inlineStr">
        <is>
          <t>UPPSALA LÄN</t>
        </is>
      </c>
      <c r="E489" t="inlineStr">
        <is>
          <t>UPPSALA</t>
        </is>
      </c>
      <c r="G489" t="n">
        <v>3.1</v>
      </c>
      <c r="H489" t="n">
        <v>0</v>
      </c>
      <c r="I489" t="n">
        <v>0</v>
      </c>
      <c r="J489" t="n">
        <v>0</v>
      </c>
      <c r="K489" t="n">
        <v>0</v>
      </c>
      <c r="L489" t="n">
        <v>0</v>
      </c>
      <c r="M489" t="n">
        <v>0</v>
      </c>
      <c r="N489" t="n">
        <v>0</v>
      </c>
      <c r="O489" t="n">
        <v>0</v>
      </c>
      <c r="P489" t="n">
        <v>0</v>
      </c>
      <c r="Q489" t="n">
        <v>0</v>
      </c>
      <c r="R489" s="2" t="inlineStr"/>
    </row>
    <row r="490" ht="15" customHeight="1">
      <c r="A490" t="inlineStr">
        <is>
          <t>A 32553-2024</t>
        </is>
      </c>
      <c r="B490" s="1" t="n">
        <v>45513.51815972223</v>
      </c>
      <c r="C490" s="1" t="n">
        <v>45884</v>
      </c>
      <c r="D490" t="inlineStr">
        <is>
          <t>UPPSALA LÄN</t>
        </is>
      </c>
      <c r="E490" t="inlineStr">
        <is>
          <t>UPPSALA</t>
        </is>
      </c>
      <c r="F490" t="inlineStr">
        <is>
          <t>Bergvik skog öst AB</t>
        </is>
      </c>
      <c r="G490" t="n">
        <v>4.1</v>
      </c>
      <c r="H490" t="n">
        <v>0</v>
      </c>
      <c r="I490" t="n">
        <v>0</v>
      </c>
      <c r="J490" t="n">
        <v>0</v>
      </c>
      <c r="K490" t="n">
        <v>0</v>
      </c>
      <c r="L490" t="n">
        <v>0</v>
      </c>
      <c r="M490" t="n">
        <v>0</v>
      </c>
      <c r="N490" t="n">
        <v>0</v>
      </c>
      <c r="O490" t="n">
        <v>0</v>
      </c>
      <c r="P490" t="n">
        <v>0</v>
      </c>
      <c r="Q490" t="n">
        <v>0</v>
      </c>
      <c r="R490" s="2" t="inlineStr"/>
    </row>
    <row r="491" ht="15" customHeight="1">
      <c r="A491" t="inlineStr">
        <is>
          <t>A 50267-2023</t>
        </is>
      </c>
      <c r="B491" s="1" t="n">
        <v>45216.39040509259</v>
      </c>
      <c r="C491" s="1" t="n">
        <v>45884</v>
      </c>
      <c r="D491" t="inlineStr">
        <is>
          <t>UPPSALA LÄN</t>
        </is>
      </c>
      <c r="E491" t="inlineStr">
        <is>
          <t>UPPSALA</t>
        </is>
      </c>
      <c r="G491" t="n">
        <v>1</v>
      </c>
      <c r="H491" t="n">
        <v>0</v>
      </c>
      <c r="I491" t="n">
        <v>0</v>
      </c>
      <c r="J491" t="n">
        <v>0</v>
      </c>
      <c r="K491" t="n">
        <v>0</v>
      </c>
      <c r="L491" t="n">
        <v>0</v>
      </c>
      <c r="M491" t="n">
        <v>0</v>
      </c>
      <c r="N491" t="n">
        <v>0</v>
      </c>
      <c r="O491" t="n">
        <v>0</v>
      </c>
      <c r="P491" t="n">
        <v>0</v>
      </c>
      <c r="Q491" t="n">
        <v>0</v>
      </c>
      <c r="R491" s="2" t="inlineStr"/>
    </row>
    <row r="492" ht="15" customHeight="1">
      <c r="A492" t="inlineStr">
        <is>
          <t>A 6058-2025</t>
        </is>
      </c>
      <c r="B492" s="1" t="n">
        <v>45695.83655092592</v>
      </c>
      <c r="C492" s="1" t="n">
        <v>45884</v>
      </c>
      <c r="D492" t="inlineStr">
        <is>
          <t>UPPSALA LÄN</t>
        </is>
      </c>
      <c r="E492" t="inlineStr">
        <is>
          <t>UPPSALA</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46807-2022</t>
        </is>
      </c>
      <c r="B493" s="1" t="n">
        <v>44848</v>
      </c>
      <c r="C493" s="1" t="n">
        <v>45884</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44781-2021</t>
        </is>
      </c>
      <c r="B494" s="1" t="n">
        <v>44438</v>
      </c>
      <c r="C494" s="1" t="n">
        <v>45884</v>
      </c>
      <c r="D494" t="inlineStr">
        <is>
          <t>UPPSALA LÄN</t>
        </is>
      </c>
      <c r="E494" t="inlineStr">
        <is>
          <t>UPPSALA</t>
        </is>
      </c>
      <c r="F494" t="inlineStr">
        <is>
          <t>Sveaskog</t>
        </is>
      </c>
      <c r="G494" t="n">
        <v>0.1</v>
      </c>
      <c r="H494" t="n">
        <v>0</v>
      </c>
      <c r="I494" t="n">
        <v>0</v>
      </c>
      <c r="J494" t="n">
        <v>0</v>
      </c>
      <c r="K494" t="n">
        <v>0</v>
      </c>
      <c r="L494" t="n">
        <v>0</v>
      </c>
      <c r="M494" t="n">
        <v>0</v>
      </c>
      <c r="N494" t="n">
        <v>0</v>
      </c>
      <c r="O494" t="n">
        <v>0</v>
      </c>
      <c r="P494" t="n">
        <v>0</v>
      </c>
      <c r="Q494" t="n">
        <v>0</v>
      </c>
      <c r="R494" s="2" t="inlineStr"/>
    </row>
    <row r="495" ht="15" customHeight="1">
      <c r="A495" t="inlineStr">
        <is>
          <t>A 5605-2025</t>
        </is>
      </c>
      <c r="B495" s="1" t="n">
        <v>45693</v>
      </c>
      <c r="C495" s="1" t="n">
        <v>45884</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12507-2024</t>
        </is>
      </c>
      <c r="B496" s="1" t="n">
        <v>45379</v>
      </c>
      <c r="C496" s="1" t="n">
        <v>45884</v>
      </c>
      <c r="D496" t="inlineStr">
        <is>
          <t>UPPSALA LÄN</t>
        </is>
      </c>
      <c r="E496" t="inlineStr">
        <is>
          <t>UPPSALA</t>
        </is>
      </c>
      <c r="G496" t="n">
        <v>4.6</v>
      </c>
      <c r="H496" t="n">
        <v>0</v>
      </c>
      <c r="I496" t="n">
        <v>0</v>
      </c>
      <c r="J496" t="n">
        <v>0</v>
      </c>
      <c r="K496" t="n">
        <v>0</v>
      </c>
      <c r="L496" t="n">
        <v>0</v>
      </c>
      <c r="M496" t="n">
        <v>0</v>
      </c>
      <c r="N496" t="n">
        <v>0</v>
      </c>
      <c r="O496" t="n">
        <v>0</v>
      </c>
      <c r="P496" t="n">
        <v>0</v>
      </c>
      <c r="Q496" t="n">
        <v>0</v>
      </c>
      <c r="R496" s="2" t="inlineStr"/>
    </row>
    <row r="497" ht="15" customHeight="1">
      <c r="A497" t="inlineStr">
        <is>
          <t>A 4065-2024</t>
        </is>
      </c>
      <c r="B497" s="1" t="n">
        <v>45323.55914351852</v>
      </c>
      <c r="C497" s="1" t="n">
        <v>45884</v>
      </c>
      <c r="D497" t="inlineStr">
        <is>
          <t>UPPSALA LÄN</t>
        </is>
      </c>
      <c r="E497" t="inlineStr">
        <is>
          <t>UPPSALA</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59358-2024</t>
        </is>
      </c>
      <c r="B498" s="1" t="n">
        <v>45638</v>
      </c>
      <c r="C498" s="1" t="n">
        <v>45884</v>
      </c>
      <c r="D498" t="inlineStr">
        <is>
          <t>UPPSALA LÄN</t>
        </is>
      </c>
      <c r="E498" t="inlineStr">
        <is>
          <t>UPPSALA</t>
        </is>
      </c>
      <c r="G498" t="n">
        <v>0.7</v>
      </c>
      <c r="H498" t="n">
        <v>0</v>
      </c>
      <c r="I498" t="n">
        <v>0</v>
      </c>
      <c r="J498" t="n">
        <v>0</v>
      </c>
      <c r="K498" t="n">
        <v>0</v>
      </c>
      <c r="L498" t="n">
        <v>0</v>
      </c>
      <c r="M498" t="n">
        <v>0</v>
      </c>
      <c r="N498" t="n">
        <v>0</v>
      </c>
      <c r="O498" t="n">
        <v>0</v>
      </c>
      <c r="P498" t="n">
        <v>0</v>
      </c>
      <c r="Q498" t="n">
        <v>0</v>
      </c>
      <c r="R498" s="2" t="inlineStr"/>
    </row>
    <row r="499" ht="15" customHeight="1">
      <c r="A499" t="inlineStr">
        <is>
          <t>A 17232-2022</t>
        </is>
      </c>
      <c r="B499" s="1" t="n">
        <v>44678.3315625</v>
      </c>
      <c r="C499" s="1" t="n">
        <v>45884</v>
      </c>
      <c r="D499" t="inlineStr">
        <is>
          <t>UPPSALA LÄN</t>
        </is>
      </c>
      <c r="E499" t="inlineStr">
        <is>
          <t>UPPSALA</t>
        </is>
      </c>
      <c r="F499" t="inlineStr">
        <is>
          <t>Övriga Aktiebolag</t>
        </is>
      </c>
      <c r="G499" t="n">
        <v>7.4</v>
      </c>
      <c r="H499" t="n">
        <v>0</v>
      </c>
      <c r="I499" t="n">
        <v>0</v>
      </c>
      <c r="J499" t="n">
        <v>0</v>
      </c>
      <c r="K499" t="n">
        <v>0</v>
      </c>
      <c r="L499" t="n">
        <v>0</v>
      </c>
      <c r="M499" t="n">
        <v>0</v>
      </c>
      <c r="N499" t="n">
        <v>0</v>
      </c>
      <c r="O499" t="n">
        <v>0</v>
      </c>
      <c r="P499" t="n">
        <v>0</v>
      </c>
      <c r="Q499" t="n">
        <v>0</v>
      </c>
      <c r="R499" s="2" t="inlineStr"/>
    </row>
    <row r="500" ht="15" customHeight="1">
      <c r="A500" t="inlineStr">
        <is>
          <t>A 61805-2021</t>
        </is>
      </c>
      <c r="B500" s="1" t="n">
        <v>44501.71344907407</v>
      </c>
      <c r="C500" s="1" t="n">
        <v>45884</v>
      </c>
      <c r="D500" t="inlineStr">
        <is>
          <t>UPPSALA LÄN</t>
        </is>
      </c>
      <c r="E500" t="inlineStr">
        <is>
          <t>UPPSALA</t>
        </is>
      </c>
      <c r="F500" t="inlineStr">
        <is>
          <t>Bergvik skog öst AB</t>
        </is>
      </c>
      <c r="G500" t="n">
        <v>3.8</v>
      </c>
      <c r="H500" t="n">
        <v>0</v>
      </c>
      <c r="I500" t="n">
        <v>0</v>
      </c>
      <c r="J500" t="n">
        <v>0</v>
      </c>
      <c r="K500" t="n">
        <v>0</v>
      </c>
      <c r="L500" t="n">
        <v>0</v>
      </c>
      <c r="M500" t="n">
        <v>0</v>
      </c>
      <c r="N500" t="n">
        <v>0</v>
      </c>
      <c r="O500" t="n">
        <v>0</v>
      </c>
      <c r="P500" t="n">
        <v>0</v>
      </c>
      <c r="Q500" t="n">
        <v>0</v>
      </c>
      <c r="R500" s="2" t="inlineStr"/>
    </row>
    <row r="501" ht="15" customHeight="1">
      <c r="A501" t="inlineStr">
        <is>
          <t>A 4312-2022</t>
        </is>
      </c>
      <c r="B501" s="1" t="n">
        <v>44588</v>
      </c>
      <c r="C501" s="1" t="n">
        <v>45884</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60814-2023</t>
        </is>
      </c>
      <c r="B502" s="1" t="n">
        <v>45259</v>
      </c>
      <c r="C502" s="1" t="n">
        <v>45884</v>
      </c>
      <c r="D502" t="inlineStr">
        <is>
          <t>UPPSALA LÄN</t>
        </is>
      </c>
      <c r="E502" t="inlineStr">
        <is>
          <t>UPPSALA</t>
        </is>
      </c>
      <c r="G502" t="n">
        <v>5.9</v>
      </c>
      <c r="H502" t="n">
        <v>0</v>
      </c>
      <c r="I502" t="n">
        <v>0</v>
      </c>
      <c r="J502" t="n">
        <v>0</v>
      </c>
      <c r="K502" t="n">
        <v>0</v>
      </c>
      <c r="L502" t="n">
        <v>0</v>
      </c>
      <c r="M502" t="n">
        <v>0</v>
      </c>
      <c r="N502" t="n">
        <v>0</v>
      </c>
      <c r="O502" t="n">
        <v>0</v>
      </c>
      <c r="P502" t="n">
        <v>0</v>
      </c>
      <c r="Q502" t="n">
        <v>0</v>
      </c>
      <c r="R502" s="2" t="inlineStr"/>
    </row>
    <row r="503" ht="15" customHeight="1">
      <c r="A503" t="inlineStr">
        <is>
          <t>A 4059-2022</t>
        </is>
      </c>
      <c r="B503" s="1" t="n">
        <v>44588</v>
      </c>
      <c r="C503" s="1" t="n">
        <v>45884</v>
      </c>
      <c r="D503" t="inlineStr">
        <is>
          <t>UPPSALA LÄN</t>
        </is>
      </c>
      <c r="E503" t="inlineStr">
        <is>
          <t>UPPSALA</t>
        </is>
      </c>
      <c r="G503" t="n">
        <v>0.5</v>
      </c>
      <c r="H503" t="n">
        <v>0</v>
      </c>
      <c r="I503" t="n">
        <v>0</v>
      </c>
      <c r="J503" t="n">
        <v>0</v>
      </c>
      <c r="K503" t="n">
        <v>0</v>
      </c>
      <c r="L503" t="n">
        <v>0</v>
      </c>
      <c r="M503" t="n">
        <v>0</v>
      </c>
      <c r="N503" t="n">
        <v>0</v>
      </c>
      <c r="O503" t="n">
        <v>0</v>
      </c>
      <c r="P503" t="n">
        <v>0</v>
      </c>
      <c r="Q503" t="n">
        <v>0</v>
      </c>
      <c r="R503" s="2" t="inlineStr"/>
    </row>
    <row r="504" ht="15" customHeight="1">
      <c r="A504" t="inlineStr">
        <is>
          <t>A 54715-2022</t>
        </is>
      </c>
      <c r="B504" s="1" t="n">
        <v>44883</v>
      </c>
      <c r="C504" s="1" t="n">
        <v>45884</v>
      </c>
      <c r="D504" t="inlineStr">
        <is>
          <t>UPPSALA LÄN</t>
        </is>
      </c>
      <c r="E504" t="inlineStr">
        <is>
          <t>UPPSALA</t>
        </is>
      </c>
      <c r="F504" t="inlineStr">
        <is>
          <t>Övriga Aktiebolag</t>
        </is>
      </c>
      <c r="G504" t="n">
        <v>9.5</v>
      </c>
      <c r="H504" t="n">
        <v>0</v>
      </c>
      <c r="I504" t="n">
        <v>0</v>
      </c>
      <c r="J504" t="n">
        <v>0</v>
      </c>
      <c r="K504" t="n">
        <v>0</v>
      </c>
      <c r="L504" t="n">
        <v>0</v>
      </c>
      <c r="M504" t="n">
        <v>0</v>
      </c>
      <c r="N504" t="n">
        <v>0</v>
      </c>
      <c r="O504" t="n">
        <v>0</v>
      </c>
      <c r="P504" t="n">
        <v>0</v>
      </c>
      <c r="Q504" t="n">
        <v>0</v>
      </c>
      <c r="R504" s="2" t="inlineStr"/>
    </row>
    <row r="505" ht="15" customHeight="1">
      <c r="A505" t="inlineStr">
        <is>
          <t>A 6973-2025</t>
        </is>
      </c>
      <c r="B505" s="1" t="n">
        <v>45693</v>
      </c>
      <c r="C505" s="1" t="n">
        <v>45884</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74019-2021</t>
        </is>
      </c>
      <c r="B506" s="1" t="n">
        <v>44553</v>
      </c>
      <c r="C506" s="1" t="n">
        <v>45884</v>
      </c>
      <c r="D506" t="inlineStr">
        <is>
          <t>UPPSALA LÄN</t>
        </is>
      </c>
      <c r="E506" t="inlineStr">
        <is>
          <t>UPPSALA</t>
        </is>
      </c>
      <c r="G506" t="n">
        <v>3</v>
      </c>
      <c r="H506" t="n">
        <v>0</v>
      </c>
      <c r="I506" t="n">
        <v>0</v>
      </c>
      <c r="J506" t="n">
        <v>0</v>
      </c>
      <c r="K506" t="n">
        <v>0</v>
      </c>
      <c r="L506" t="n">
        <v>0</v>
      </c>
      <c r="M506" t="n">
        <v>0</v>
      </c>
      <c r="N506" t="n">
        <v>0</v>
      </c>
      <c r="O506" t="n">
        <v>0</v>
      </c>
      <c r="P506" t="n">
        <v>0</v>
      </c>
      <c r="Q506" t="n">
        <v>0</v>
      </c>
      <c r="R506" s="2" t="inlineStr"/>
    </row>
    <row r="507" ht="15" customHeight="1">
      <c r="A507" t="inlineStr">
        <is>
          <t>A 53963-2023</t>
        </is>
      </c>
      <c r="B507" s="1" t="n">
        <v>45231.62840277778</v>
      </c>
      <c r="C507" s="1" t="n">
        <v>45884</v>
      </c>
      <c r="D507" t="inlineStr">
        <is>
          <t>UPPSALA LÄN</t>
        </is>
      </c>
      <c r="E507" t="inlineStr">
        <is>
          <t>UPPSALA</t>
        </is>
      </c>
      <c r="G507" t="n">
        <v>1.9</v>
      </c>
      <c r="H507" t="n">
        <v>0</v>
      </c>
      <c r="I507" t="n">
        <v>0</v>
      </c>
      <c r="J507" t="n">
        <v>0</v>
      </c>
      <c r="K507" t="n">
        <v>0</v>
      </c>
      <c r="L507" t="n">
        <v>0</v>
      </c>
      <c r="M507" t="n">
        <v>0</v>
      </c>
      <c r="N507" t="n">
        <v>0</v>
      </c>
      <c r="O507" t="n">
        <v>0</v>
      </c>
      <c r="P507" t="n">
        <v>0</v>
      </c>
      <c r="Q507" t="n">
        <v>0</v>
      </c>
      <c r="R507" s="2" t="inlineStr"/>
    </row>
    <row r="508" ht="15" customHeight="1">
      <c r="A508" t="inlineStr">
        <is>
          <t>A 19613-2025</t>
        </is>
      </c>
      <c r="B508" s="1" t="n">
        <v>45770.61341435185</v>
      </c>
      <c r="C508" s="1" t="n">
        <v>45884</v>
      </c>
      <c r="D508" t="inlineStr">
        <is>
          <t>UPPSALA LÄN</t>
        </is>
      </c>
      <c r="E508" t="inlineStr">
        <is>
          <t>UPPSALA</t>
        </is>
      </c>
      <c r="F508" t="inlineStr">
        <is>
          <t>Övriga Aktiebolag</t>
        </is>
      </c>
      <c r="G508" t="n">
        <v>2.2</v>
      </c>
      <c r="H508" t="n">
        <v>0</v>
      </c>
      <c r="I508" t="n">
        <v>0</v>
      </c>
      <c r="J508" t="n">
        <v>0</v>
      </c>
      <c r="K508" t="n">
        <v>0</v>
      </c>
      <c r="L508" t="n">
        <v>0</v>
      </c>
      <c r="M508" t="n">
        <v>0</v>
      </c>
      <c r="N508" t="n">
        <v>0</v>
      </c>
      <c r="O508" t="n">
        <v>0</v>
      </c>
      <c r="P508" t="n">
        <v>0</v>
      </c>
      <c r="Q508" t="n">
        <v>0</v>
      </c>
      <c r="R508" s="2" t="inlineStr"/>
    </row>
    <row r="509" ht="15" customHeight="1">
      <c r="A509" t="inlineStr">
        <is>
          <t>A 7376-2025</t>
        </is>
      </c>
      <c r="B509" s="1" t="n">
        <v>45705.2953125</v>
      </c>
      <c r="C509" s="1" t="n">
        <v>45884</v>
      </c>
      <c r="D509" t="inlineStr">
        <is>
          <t>UPPSALA LÄN</t>
        </is>
      </c>
      <c r="E509" t="inlineStr">
        <is>
          <t>UPPSALA</t>
        </is>
      </c>
      <c r="F509" t="inlineStr">
        <is>
          <t>Bergvik skog väst AB</t>
        </is>
      </c>
      <c r="G509" t="n">
        <v>7.4</v>
      </c>
      <c r="H509" t="n">
        <v>0</v>
      </c>
      <c r="I509" t="n">
        <v>0</v>
      </c>
      <c r="J509" t="n">
        <v>0</v>
      </c>
      <c r="K509" t="n">
        <v>0</v>
      </c>
      <c r="L509" t="n">
        <v>0</v>
      </c>
      <c r="M509" t="n">
        <v>0</v>
      </c>
      <c r="N509" t="n">
        <v>0</v>
      </c>
      <c r="O509" t="n">
        <v>0</v>
      </c>
      <c r="P509" t="n">
        <v>0</v>
      </c>
      <c r="Q509" t="n">
        <v>0</v>
      </c>
      <c r="R509" s="2" t="inlineStr"/>
    </row>
    <row r="510" ht="15" customHeight="1">
      <c r="A510" t="inlineStr">
        <is>
          <t>A 8162-2025</t>
        </is>
      </c>
      <c r="B510" s="1" t="n">
        <v>45707</v>
      </c>
      <c r="C510" s="1" t="n">
        <v>45884</v>
      </c>
      <c r="D510" t="inlineStr">
        <is>
          <t>UPPSALA LÄN</t>
        </is>
      </c>
      <c r="E510" t="inlineStr">
        <is>
          <t>UPPSALA</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7501-2025</t>
        </is>
      </c>
      <c r="B511" s="1" t="n">
        <v>45705</v>
      </c>
      <c r="C511" s="1" t="n">
        <v>45884</v>
      </c>
      <c r="D511" t="inlineStr">
        <is>
          <t>UPPSALA LÄN</t>
        </is>
      </c>
      <c r="E511" t="inlineStr">
        <is>
          <t>UPPSALA</t>
        </is>
      </c>
      <c r="G511" t="n">
        <v>4.2</v>
      </c>
      <c r="H511" t="n">
        <v>0</v>
      </c>
      <c r="I511" t="n">
        <v>0</v>
      </c>
      <c r="J511" t="n">
        <v>0</v>
      </c>
      <c r="K511" t="n">
        <v>0</v>
      </c>
      <c r="L511" t="n">
        <v>0</v>
      </c>
      <c r="M511" t="n">
        <v>0</v>
      </c>
      <c r="N511" t="n">
        <v>0</v>
      </c>
      <c r="O511" t="n">
        <v>0</v>
      </c>
      <c r="P511" t="n">
        <v>0</v>
      </c>
      <c r="Q511" t="n">
        <v>0</v>
      </c>
      <c r="R511" s="2" t="inlineStr"/>
    </row>
    <row r="512" ht="15" customHeight="1">
      <c r="A512" t="inlineStr">
        <is>
          <t>A 60444-2023</t>
        </is>
      </c>
      <c r="B512" s="1" t="n">
        <v>45259.52809027778</v>
      </c>
      <c r="C512" s="1" t="n">
        <v>45884</v>
      </c>
      <c r="D512" t="inlineStr">
        <is>
          <t>UPPSALA LÄN</t>
        </is>
      </c>
      <c r="E512" t="inlineStr">
        <is>
          <t>UPPSALA</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59996-2024</t>
        </is>
      </c>
      <c r="B513" s="1" t="n">
        <v>45642</v>
      </c>
      <c r="C513" s="1" t="n">
        <v>45884</v>
      </c>
      <c r="D513" t="inlineStr">
        <is>
          <t>UPPSALA LÄN</t>
        </is>
      </c>
      <c r="E513" t="inlineStr">
        <is>
          <t>UPPSALA</t>
        </is>
      </c>
      <c r="F513" t="inlineStr">
        <is>
          <t>Bergvik skog väst AB</t>
        </is>
      </c>
      <c r="G513" t="n">
        <v>14.5</v>
      </c>
      <c r="H513" t="n">
        <v>0</v>
      </c>
      <c r="I513" t="n">
        <v>0</v>
      </c>
      <c r="J513" t="n">
        <v>0</v>
      </c>
      <c r="K513" t="n">
        <v>0</v>
      </c>
      <c r="L513" t="n">
        <v>0</v>
      </c>
      <c r="M513" t="n">
        <v>0</v>
      </c>
      <c r="N513" t="n">
        <v>0</v>
      </c>
      <c r="O513" t="n">
        <v>0</v>
      </c>
      <c r="P513" t="n">
        <v>0</v>
      </c>
      <c r="Q513" t="n">
        <v>0</v>
      </c>
      <c r="R513" s="2" t="inlineStr"/>
    </row>
    <row r="514" ht="15" customHeight="1">
      <c r="A514" t="inlineStr">
        <is>
          <t>A 13644-2024</t>
        </is>
      </c>
      <c r="B514" s="1" t="n">
        <v>45390</v>
      </c>
      <c r="C514" s="1" t="n">
        <v>45884</v>
      </c>
      <c r="D514" t="inlineStr">
        <is>
          <t>UPPSALA LÄN</t>
        </is>
      </c>
      <c r="E514" t="inlineStr">
        <is>
          <t>UPPSALA</t>
        </is>
      </c>
      <c r="G514" t="n">
        <v>0.5</v>
      </c>
      <c r="H514" t="n">
        <v>0</v>
      </c>
      <c r="I514" t="n">
        <v>0</v>
      </c>
      <c r="J514" t="n">
        <v>0</v>
      </c>
      <c r="K514" t="n">
        <v>0</v>
      </c>
      <c r="L514" t="n">
        <v>0</v>
      </c>
      <c r="M514" t="n">
        <v>0</v>
      </c>
      <c r="N514" t="n">
        <v>0</v>
      </c>
      <c r="O514" t="n">
        <v>0</v>
      </c>
      <c r="P514" t="n">
        <v>0</v>
      </c>
      <c r="Q514" t="n">
        <v>0</v>
      </c>
      <c r="R514" s="2" t="inlineStr"/>
    </row>
    <row r="515" ht="15" customHeight="1">
      <c r="A515" t="inlineStr">
        <is>
          <t>A 4014-2025</t>
        </is>
      </c>
      <c r="B515" s="1" t="n">
        <v>45684</v>
      </c>
      <c r="C515" s="1" t="n">
        <v>45884</v>
      </c>
      <c r="D515" t="inlineStr">
        <is>
          <t>UPPSALA LÄN</t>
        </is>
      </c>
      <c r="E515" t="inlineStr">
        <is>
          <t>UPPSALA</t>
        </is>
      </c>
      <c r="G515" t="n">
        <v>2.8</v>
      </c>
      <c r="H515" t="n">
        <v>0</v>
      </c>
      <c r="I515" t="n">
        <v>0</v>
      </c>
      <c r="J515" t="n">
        <v>0</v>
      </c>
      <c r="K515" t="n">
        <v>0</v>
      </c>
      <c r="L515" t="n">
        <v>0</v>
      </c>
      <c r="M515" t="n">
        <v>0</v>
      </c>
      <c r="N515" t="n">
        <v>0</v>
      </c>
      <c r="O515" t="n">
        <v>0</v>
      </c>
      <c r="P515" t="n">
        <v>0</v>
      </c>
      <c r="Q515" t="n">
        <v>0</v>
      </c>
      <c r="R515" s="2" t="inlineStr"/>
    </row>
    <row r="516" ht="15" customHeight="1">
      <c r="A516" t="inlineStr">
        <is>
          <t>A 44815-2023</t>
        </is>
      </c>
      <c r="B516" s="1" t="n">
        <v>45190</v>
      </c>
      <c r="C516" s="1" t="n">
        <v>45884</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27119-2023</t>
        </is>
      </c>
      <c r="B517" s="1" t="n">
        <v>45096</v>
      </c>
      <c r="C517" s="1" t="n">
        <v>45884</v>
      </c>
      <c r="D517" t="inlineStr">
        <is>
          <t>UPPSALA LÄN</t>
        </is>
      </c>
      <c r="E517" t="inlineStr">
        <is>
          <t>UPPSALA</t>
        </is>
      </c>
      <c r="G517" t="n">
        <v>3.1</v>
      </c>
      <c r="H517" t="n">
        <v>0</v>
      </c>
      <c r="I517" t="n">
        <v>0</v>
      </c>
      <c r="J517" t="n">
        <v>0</v>
      </c>
      <c r="K517" t="n">
        <v>0</v>
      </c>
      <c r="L517" t="n">
        <v>0</v>
      </c>
      <c r="M517" t="n">
        <v>0</v>
      </c>
      <c r="N517" t="n">
        <v>0</v>
      </c>
      <c r="O517" t="n">
        <v>0</v>
      </c>
      <c r="P517" t="n">
        <v>0</v>
      </c>
      <c r="Q517" t="n">
        <v>0</v>
      </c>
      <c r="R517" s="2" t="inlineStr"/>
    </row>
    <row r="518" ht="15" customHeight="1">
      <c r="A518" t="inlineStr">
        <is>
          <t>A 20102-2023</t>
        </is>
      </c>
      <c r="B518" s="1" t="n">
        <v>45054.95675925926</v>
      </c>
      <c r="C518" s="1" t="n">
        <v>45884</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1975-2022</t>
        </is>
      </c>
      <c r="B519" s="1" t="n">
        <v>44575</v>
      </c>
      <c r="C519" s="1" t="n">
        <v>45884</v>
      </c>
      <c r="D519" t="inlineStr">
        <is>
          <t>UPPSALA LÄN</t>
        </is>
      </c>
      <c r="E519" t="inlineStr">
        <is>
          <t>UPPSALA</t>
        </is>
      </c>
      <c r="G519" t="n">
        <v>3.9</v>
      </c>
      <c r="H519" t="n">
        <v>0</v>
      </c>
      <c r="I519" t="n">
        <v>0</v>
      </c>
      <c r="J519" t="n">
        <v>0</v>
      </c>
      <c r="K519" t="n">
        <v>0</v>
      </c>
      <c r="L519" t="n">
        <v>0</v>
      </c>
      <c r="M519" t="n">
        <v>0</v>
      </c>
      <c r="N519" t="n">
        <v>0</v>
      </c>
      <c r="O519" t="n">
        <v>0</v>
      </c>
      <c r="P519" t="n">
        <v>0</v>
      </c>
      <c r="Q519" t="n">
        <v>0</v>
      </c>
      <c r="R519" s="2" t="inlineStr"/>
    </row>
    <row r="520" ht="15" customHeight="1">
      <c r="A520" t="inlineStr">
        <is>
          <t>A 11568-2023</t>
        </is>
      </c>
      <c r="B520" s="1" t="n">
        <v>44994</v>
      </c>
      <c r="C520" s="1" t="n">
        <v>45884</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17562-2022</t>
        </is>
      </c>
      <c r="B521" s="1" t="n">
        <v>44679.68706018518</v>
      </c>
      <c r="C521" s="1" t="n">
        <v>45884</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35906-2023</t>
        </is>
      </c>
      <c r="B522" s="1" t="n">
        <v>45148</v>
      </c>
      <c r="C522" s="1" t="n">
        <v>45884</v>
      </c>
      <c r="D522" t="inlineStr">
        <is>
          <t>UPPSALA LÄN</t>
        </is>
      </c>
      <c r="E522" t="inlineStr">
        <is>
          <t>UPPSALA</t>
        </is>
      </c>
      <c r="G522" t="n">
        <v>1.7</v>
      </c>
      <c r="H522" t="n">
        <v>0</v>
      </c>
      <c r="I522" t="n">
        <v>0</v>
      </c>
      <c r="J522" t="n">
        <v>0</v>
      </c>
      <c r="K522" t="n">
        <v>0</v>
      </c>
      <c r="L522" t="n">
        <v>0</v>
      </c>
      <c r="M522" t="n">
        <v>0</v>
      </c>
      <c r="N522" t="n">
        <v>0</v>
      </c>
      <c r="O522" t="n">
        <v>0</v>
      </c>
      <c r="P522" t="n">
        <v>0</v>
      </c>
      <c r="Q522" t="n">
        <v>0</v>
      </c>
      <c r="R522" s="2" t="inlineStr"/>
    </row>
    <row r="523" ht="15" customHeight="1">
      <c r="A523" t="inlineStr">
        <is>
          <t>A 60445-2024</t>
        </is>
      </c>
      <c r="B523" s="1" t="n">
        <v>45643</v>
      </c>
      <c r="C523" s="1" t="n">
        <v>45884</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9295-2023</t>
        </is>
      </c>
      <c r="B524" s="1" t="n">
        <v>44980</v>
      </c>
      <c r="C524" s="1" t="n">
        <v>45884</v>
      </c>
      <c r="D524" t="inlineStr">
        <is>
          <t>UPPSALA LÄN</t>
        </is>
      </c>
      <c r="E524" t="inlineStr">
        <is>
          <t>UPPSALA</t>
        </is>
      </c>
      <c r="G524" t="n">
        <v>2.1</v>
      </c>
      <c r="H524" t="n">
        <v>0</v>
      </c>
      <c r="I524" t="n">
        <v>0</v>
      </c>
      <c r="J524" t="n">
        <v>0</v>
      </c>
      <c r="K524" t="n">
        <v>0</v>
      </c>
      <c r="L524" t="n">
        <v>0</v>
      </c>
      <c r="M524" t="n">
        <v>0</v>
      </c>
      <c r="N524" t="n">
        <v>0</v>
      </c>
      <c r="O524" t="n">
        <v>0</v>
      </c>
      <c r="P524" t="n">
        <v>0</v>
      </c>
      <c r="Q524" t="n">
        <v>0</v>
      </c>
      <c r="R524" s="2" t="inlineStr"/>
    </row>
    <row r="525" ht="15" customHeight="1">
      <c r="A525" t="inlineStr">
        <is>
          <t>A 29019-2023</t>
        </is>
      </c>
      <c r="B525" s="1" t="n">
        <v>45104.6828125</v>
      </c>
      <c r="C525" s="1" t="n">
        <v>45884</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25776-2022</t>
        </is>
      </c>
      <c r="B526" s="1" t="n">
        <v>44733</v>
      </c>
      <c r="C526" s="1" t="n">
        <v>45884</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28782-2024</t>
        </is>
      </c>
      <c r="B527" s="1" t="n">
        <v>45478.60802083334</v>
      </c>
      <c r="C527" s="1" t="n">
        <v>45884</v>
      </c>
      <c r="D527" t="inlineStr">
        <is>
          <t>UPPSALA LÄN</t>
        </is>
      </c>
      <c r="E527" t="inlineStr">
        <is>
          <t>UPPSALA</t>
        </is>
      </c>
      <c r="F527" t="inlineStr">
        <is>
          <t>Holmen skog AB</t>
        </is>
      </c>
      <c r="G527" t="n">
        <v>0.9</v>
      </c>
      <c r="H527" t="n">
        <v>0</v>
      </c>
      <c r="I527" t="n">
        <v>0</v>
      </c>
      <c r="J527" t="n">
        <v>0</v>
      </c>
      <c r="K527" t="n">
        <v>0</v>
      </c>
      <c r="L527" t="n">
        <v>0</v>
      </c>
      <c r="M527" t="n">
        <v>0</v>
      </c>
      <c r="N527" t="n">
        <v>0</v>
      </c>
      <c r="O527" t="n">
        <v>0</v>
      </c>
      <c r="P527" t="n">
        <v>0</v>
      </c>
      <c r="Q527" t="n">
        <v>0</v>
      </c>
      <c r="R527" s="2" t="inlineStr"/>
    </row>
    <row r="528" ht="15" customHeight="1">
      <c r="A528" t="inlineStr">
        <is>
          <t>A 27125-2023</t>
        </is>
      </c>
      <c r="B528" s="1" t="n">
        <v>45096</v>
      </c>
      <c r="C528" s="1" t="n">
        <v>45884</v>
      </c>
      <c r="D528" t="inlineStr">
        <is>
          <t>UPPSALA LÄN</t>
        </is>
      </c>
      <c r="E528" t="inlineStr">
        <is>
          <t>UPPSALA</t>
        </is>
      </c>
      <c r="G528" t="n">
        <v>0.6</v>
      </c>
      <c r="H528" t="n">
        <v>0</v>
      </c>
      <c r="I528" t="n">
        <v>0</v>
      </c>
      <c r="J528" t="n">
        <v>0</v>
      </c>
      <c r="K528" t="n">
        <v>0</v>
      </c>
      <c r="L528" t="n">
        <v>0</v>
      </c>
      <c r="M528" t="n">
        <v>0</v>
      </c>
      <c r="N528" t="n">
        <v>0</v>
      </c>
      <c r="O528" t="n">
        <v>0</v>
      </c>
      <c r="P528" t="n">
        <v>0</v>
      </c>
      <c r="Q528" t="n">
        <v>0</v>
      </c>
      <c r="R528" s="2" t="inlineStr"/>
    </row>
    <row r="529" ht="15" customHeight="1">
      <c r="A529" t="inlineStr">
        <is>
          <t>A 9426-2023</t>
        </is>
      </c>
      <c r="B529" s="1" t="n">
        <v>44977</v>
      </c>
      <c r="C529" s="1" t="n">
        <v>45884</v>
      </c>
      <c r="D529" t="inlineStr">
        <is>
          <t>UPPSALA LÄN</t>
        </is>
      </c>
      <c r="E529" t="inlineStr">
        <is>
          <t>UPPSALA</t>
        </is>
      </c>
      <c r="G529" t="n">
        <v>0.6</v>
      </c>
      <c r="H529" t="n">
        <v>0</v>
      </c>
      <c r="I529" t="n">
        <v>0</v>
      </c>
      <c r="J529" t="n">
        <v>0</v>
      </c>
      <c r="K529" t="n">
        <v>0</v>
      </c>
      <c r="L529" t="n">
        <v>0</v>
      </c>
      <c r="M529" t="n">
        <v>0</v>
      </c>
      <c r="N529" t="n">
        <v>0</v>
      </c>
      <c r="O529" t="n">
        <v>0</v>
      </c>
      <c r="P529" t="n">
        <v>0</v>
      </c>
      <c r="Q529" t="n">
        <v>0</v>
      </c>
      <c r="R529" s="2" t="inlineStr"/>
    </row>
    <row r="530" ht="15" customHeight="1">
      <c r="A530" t="inlineStr">
        <is>
          <t>A 53900-2023</t>
        </is>
      </c>
      <c r="B530" s="1" t="n">
        <v>45231.54601851852</v>
      </c>
      <c r="C530" s="1" t="n">
        <v>45884</v>
      </c>
      <c r="D530" t="inlineStr">
        <is>
          <t>UPPSALA LÄN</t>
        </is>
      </c>
      <c r="E530" t="inlineStr">
        <is>
          <t>UPPSALA</t>
        </is>
      </c>
      <c r="G530" t="n">
        <v>2.1</v>
      </c>
      <c r="H530" t="n">
        <v>0</v>
      </c>
      <c r="I530" t="n">
        <v>0</v>
      </c>
      <c r="J530" t="n">
        <v>0</v>
      </c>
      <c r="K530" t="n">
        <v>0</v>
      </c>
      <c r="L530" t="n">
        <v>0</v>
      </c>
      <c r="M530" t="n">
        <v>0</v>
      </c>
      <c r="N530" t="n">
        <v>0</v>
      </c>
      <c r="O530" t="n">
        <v>0</v>
      </c>
      <c r="P530" t="n">
        <v>0</v>
      </c>
      <c r="Q530" t="n">
        <v>0</v>
      </c>
      <c r="R530" s="2" t="inlineStr"/>
    </row>
    <row r="531" ht="15" customHeight="1">
      <c r="A531" t="inlineStr">
        <is>
          <t>A 9982-2025</t>
        </is>
      </c>
      <c r="B531" s="1" t="n">
        <v>45719.4094212963</v>
      </c>
      <c r="C531" s="1" t="n">
        <v>45884</v>
      </c>
      <c r="D531" t="inlineStr">
        <is>
          <t>UPPSALA LÄN</t>
        </is>
      </c>
      <c r="E531" t="inlineStr">
        <is>
          <t>UPPSALA</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9995-2025</t>
        </is>
      </c>
      <c r="B532" s="1" t="n">
        <v>45719.43872685185</v>
      </c>
      <c r="C532" s="1" t="n">
        <v>45884</v>
      </c>
      <c r="D532" t="inlineStr">
        <is>
          <t>UPPSALA LÄN</t>
        </is>
      </c>
      <c r="E532" t="inlineStr">
        <is>
          <t>UPPSALA</t>
        </is>
      </c>
      <c r="F532" t="inlineStr">
        <is>
          <t>Kyrkan</t>
        </is>
      </c>
      <c r="G532" t="n">
        <v>2</v>
      </c>
      <c r="H532" t="n">
        <v>0</v>
      </c>
      <c r="I532" t="n">
        <v>0</v>
      </c>
      <c r="J532" t="n">
        <v>0</v>
      </c>
      <c r="K532" t="n">
        <v>0</v>
      </c>
      <c r="L532" t="n">
        <v>0</v>
      </c>
      <c r="M532" t="n">
        <v>0</v>
      </c>
      <c r="N532" t="n">
        <v>0</v>
      </c>
      <c r="O532" t="n">
        <v>0</v>
      </c>
      <c r="P532" t="n">
        <v>0</v>
      </c>
      <c r="Q532" t="n">
        <v>0</v>
      </c>
      <c r="R532" s="2" t="inlineStr"/>
    </row>
    <row r="533" ht="15" customHeight="1">
      <c r="A533" t="inlineStr">
        <is>
          <t>A 8132-2022</t>
        </is>
      </c>
      <c r="B533" s="1" t="n">
        <v>44609.60171296296</v>
      </c>
      <c r="C533" s="1" t="n">
        <v>45884</v>
      </c>
      <c r="D533" t="inlineStr">
        <is>
          <t>UPPSALA LÄN</t>
        </is>
      </c>
      <c r="E533" t="inlineStr">
        <is>
          <t>UPPSALA</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19276-2023</t>
        </is>
      </c>
      <c r="B534" s="1" t="n">
        <v>45049</v>
      </c>
      <c r="C534" s="1" t="n">
        <v>45884</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18054-2025</t>
        </is>
      </c>
      <c r="B535" s="1" t="n">
        <v>45761.47540509259</v>
      </c>
      <c r="C535" s="1" t="n">
        <v>45884</v>
      </c>
      <c r="D535" t="inlineStr">
        <is>
          <t>UPPSALA LÄN</t>
        </is>
      </c>
      <c r="E535" t="inlineStr">
        <is>
          <t>UPPSALA</t>
        </is>
      </c>
      <c r="G535" t="n">
        <v>1.9</v>
      </c>
      <c r="H535" t="n">
        <v>0</v>
      </c>
      <c r="I535" t="n">
        <v>0</v>
      </c>
      <c r="J535" t="n">
        <v>0</v>
      </c>
      <c r="K535" t="n">
        <v>0</v>
      </c>
      <c r="L535" t="n">
        <v>0</v>
      </c>
      <c r="M535" t="n">
        <v>0</v>
      </c>
      <c r="N535" t="n">
        <v>0</v>
      </c>
      <c r="O535" t="n">
        <v>0</v>
      </c>
      <c r="P535" t="n">
        <v>0</v>
      </c>
      <c r="Q535" t="n">
        <v>0</v>
      </c>
      <c r="R535" s="2" t="inlineStr"/>
    </row>
    <row r="536" ht="15" customHeight="1">
      <c r="A536" t="inlineStr">
        <is>
          <t>A 18058-2025</t>
        </is>
      </c>
      <c r="B536" s="1" t="n">
        <v>45761.47748842592</v>
      </c>
      <c r="C536" s="1" t="n">
        <v>45884</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47287-2023</t>
        </is>
      </c>
      <c r="B537" s="1" t="n">
        <v>45202</v>
      </c>
      <c r="C537" s="1" t="n">
        <v>45884</v>
      </c>
      <c r="D537" t="inlineStr">
        <is>
          <t>UPPSALA LÄN</t>
        </is>
      </c>
      <c r="E537" t="inlineStr">
        <is>
          <t>UPPSALA</t>
        </is>
      </c>
      <c r="F537" t="inlineStr">
        <is>
          <t>Holmen skog AB</t>
        </is>
      </c>
      <c r="G537" t="n">
        <v>0.4</v>
      </c>
      <c r="H537" t="n">
        <v>0</v>
      </c>
      <c r="I537" t="n">
        <v>0</v>
      </c>
      <c r="J537" t="n">
        <v>0</v>
      </c>
      <c r="K537" t="n">
        <v>0</v>
      </c>
      <c r="L537" t="n">
        <v>0</v>
      </c>
      <c r="M537" t="n">
        <v>0</v>
      </c>
      <c r="N537" t="n">
        <v>0</v>
      </c>
      <c r="O537" t="n">
        <v>0</v>
      </c>
      <c r="P537" t="n">
        <v>0</v>
      </c>
      <c r="Q537" t="n">
        <v>0</v>
      </c>
      <c r="R537" s="2" t="inlineStr"/>
    </row>
    <row r="538" ht="15" customHeight="1">
      <c r="A538" t="inlineStr">
        <is>
          <t>A 40872-2023</t>
        </is>
      </c>
      <c r="B538" s="1" t="n">
        <v>45173</v>
      </c>
      <c r="C538" s="1" t="n">
        <v>45884</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60447-2023</t>
        </is>
      </c>
      <c r="B539" s="1" t="n">
        <v>45259</v>
      </c>
      <c r="C539" s="1" t="n">
        <v>45884</v>
      </c>
      <c r="D539" t="inlineStr">
        <is>
          <t>UPPSALA LÄN</t>
        </is>
      </c>
      <c r="E539" t="inlineStr">
        <is>
          <t>UPPSALA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6550-2025</t>
        </is>
      </c>
      <c r="B540" s="1" t="n">
        <v>45699.71063657408</v>
      </c>
      <c r="C540" s="1" t="n">
        <v>45884</v>
      </c>
      <c r="D540" t="inlineStr">
        <is>
          <t>UPPSALA LÄN</t>
        </is>
      </c>
      <c r="E540" t="inlineStr">
        <is>
          <t>UPPSALA</t>
        </is>
      </c>
      <c r="G540" t="n">
        <v>2.4</v>
      </c>
      <c r="H540" t="n">
        <v>0</v>
      </c>
      <c r="I540" t="n">
        <v>0</v>
      </c>
      <c r="J540" t="n">
        <v>0</v>
      </c>
      <c r="K540" t="n">
        <v>0</v>
      </c>
      <c r="L540" t="n">
        <v>0</v>
      </c>
      <c r="M540" t="n">
        <v>0</v>
      </c>
      <c r="N540" t="n">
        <v>0</v>
      </c>
      <c r="O540" t="n">
        <v>0</v>
      </c>
      <c r="P540" t="n">
        <v>0</v>
      </c>
      <c r="Q540" t="n">
        <v>0</v>
      </c>
      <c r="R540" s="2" t="inlineStr"/>
    </row>
    <row r="541" ht="15" customHeight="1">
      <c r="A541" t="inlineStr">
        <is>
          <t>A 55862-2022</t>
        </is>
      </c>
      <c r="B541" s="1" t="n">
        <v>44888</v>
      </c>
      <c r="C541" s="1" t="n">
        <v>45884</v>
      </c>
      <c r="D541" t="inlineStr">
        <is>
          <t>UPPSALA LÄN</t>
        </is>
      </c>
      <c r="E541" t="inlineStr">
        <is>
          <t>UPPSALA</t>
        </is>
      </c>
      <c r="F541" t="inlineStr">
        <is>
          <t>Bergvik skog öst AB</t>
        </is>
      </c>
      <c r="G541" t="n">
        <v>1.6</v>
      </c>
      <c r="H541" t="n">
        <v>0</v>
      </c>
      <c r="I541" t="n">
        <v>0</v>
      </c>
      <c r="J541" t="n">
        <v>0</v>
      </c>
      <c r="K541" t="n">
        <v>0</v>
      </c>
      <c r="L541" t="n">
        <v>0</v>
      </c>
      <c r="M541" t="n">
        <v>0</v>
      </c>
      <c r="N541" t="n">
        <v>0</v>
      </c>
      <c r="O541" t="n">
        <v>0</v>
      </c>
      <c r="P541" t="n">
        <v>0</v>
      </c>
      <c r="Q541" t="n">
        <v>0</v>
      </c>
      <c r="R541" s="2" t="inlineStr"/>
    </row>
    <row r="542" ht="15" customHeight="1">
      <c r="A542" t="inlineStr">
        <is>
          <t>A 32428-2023</t>
        </is>
      </c>
      <c r="B542" s="1" t="n">
        <v>45110</v>
      </c>
      <c r="C542" s="1" t="n">
        <v>45884</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22996-2021</t>
        </is>
      </c>
      <c r="B543" s="1" t="n">
        <v>44328</v>
      </c>
      <c r="C543" s="1" t="n">
        <v>45884</v>
      </c>
      <c r="D543" t="inlineStr">
        <is>
          <t>UPPSALA LÄN</t>
        </is>
      </c>
      <c r="E543" t="inlineStr">
        <is>
          <t>UPPSALA</t>
        </is>
      </c>
      <c r="F543" t="inlineStr">
        <is>
          <t>Bergvik skog öst AB</t>
        </is>
      </c>
      <c r="G543" t="n">
        <v>3.1</v>
      </c>
      <c r="H543" t="n">
        <v>0</v>
      </c>
      <c r="I543" t="n">
        <v>0</v>
      </c>
      <c r="J543" t="n">
        <v>0</v>
      </c>
      <c r="K543" t="n">
        <v>0</v>
      </c>
      <c r="L543" t="n">
        <v>0</v>
      </c>
      <c r="M543" t="n">
        <v>0</v>
      </c>
      <c r="N543" t="n">
        <v>0</v>
      </c>
      <c r="O543" t="n">
        <v>0</v>
      </c>
      <c r="P543" t="n">
        <v>0</v>
      </c>
      <c r="Q543" t="n">
        <v>0</v>
      </c>
      <c r="R543" s="2" t="inlineStr"/>
    </row>
    <row r="544" ht="15" customHeight="1">
      <c r="A544" t="inlineStr">
        <is>
          <t>A 62287-2023</t>
        </is>
      </c>
      <c r="B544" s="1" t="n">
        <v>45267</v>
      </c>
      <c r="C544" s="1" t="n">
        <v>45884</v>
      </c>
      <c r="D544" t="inlineStr">
        <is>
          <t>UPPSALA LÄN</t>
        </is>
      </c>
      <c r="E544" t="inlineStr">
        <is>
          <t>UPPSALA</t>
        </is>
      </c>
      <c r="F544" t="inlineStr">
        <is>
          <t>Allmännings- och besparingsskogar</t>
        </is>
      </c>
      <c r="G544" t="n">
        <v>2.8</v>
      </c>
      <c r="H544" t="n">
        <v>0</v>
      </c>
      <c r="I544" t="n">
        <v>0</v>
      </c>
      <c r="J544" t="n">
        <v>0</v>
      </c>
      <c r="K544" t="n">
        <v>0</v>
      </c>
      <c r="L544" t="n">
        <v>0</v>
      </c>
      <c r="M544" t="n">
        <v>0</v>
      </c>
      <c r="N544" t="n">
        <v>0</v>
      </c>
      <c r="O544" t="n">
        <v>0</v>
      </c>
      <c r="P544" t="n">
        <v>0</v>
      </c>
      <c r="Q544" t="n">
        <v>0</v>
      </c>
      <c r="R544" s="2" t="inlineStr"/>
    </row>
    <row r="545" ht="15" customHeight="1">
      <c r="A545" t="inlineStr">
        <is>
          <t>A 17595-2025</t>
        </is>
      </c>
      <c r="B545" s="1" t="n">
        <v>45757</v>
      </c>
      <c r="C545" s="1" t="n">
        <v>45884</v>
      </c>
      <c r="D545" t="inlineStr">
        <is>
          <t>UPPSALA LÄN</t>
        </is>
      </c>
      <c r="E545" t="inlineStr">
        <is>
          <t>UPPSALA</t>
        </is>
      </c>
      <c r="G545" t="n">
        <v>2.7</v>
      </c>
      <c r="H545" t="n">
        <v>0</v>
      </c>
      <c r="I545" t="n">
        <v>0</v>
      </c>
      <c r="J545" t="n">
        <v>0</v>
      </c>
      <c r="K545" t="n">
        <v>0</v>
      </c>
      <c r="L545" t="n">
        <v>0</v>
      </c>
      <c r="M545" t="n">
        <v>0</v>
      </c>
      <c r="N545" t="n">
        <v>0</v>
      </c>
      <c r="O545" t="n">
        <v>0</v>
      </c>
      <c r="P545" t="n">
        <v>0</v>
      </c>
      <c r="Q545" t="n">
        <v>0</v>
      </c>
      <c r="R545" s="2" t="inlineStr"/>
    </row>
    <row r="546" ht="15" customHeight="1">
      <c r="A546" t="inlineStr">
        <is>
          <t>A 49050-2024</t>
        </is>
      </c>
      <c r="B546" s="1" t="n">
        <v>45594</v>
      </c>
      <c r="C546" s="1" t="n">
        <v>45884</v>
      </c>
      <c r="D546" t="inlineStr">
        <is>
          <t>UPPSALA LÄN</t>
        </is>
      </c>
      <c r="E546" t="inlineStr">
        <is>
          <t>UPPSALA</t>
        </is>
      </c>
      <c r="F546" t="inlineStr">
        <is>
          <t>Övriga statliga verk och myndigheter</t>
        </is>
      </c>
      <c r="G546" t="n">
        <v>3.9</v>
      </c>
      <c r="H546" t="n">
        <v>0</v>
      </c>
      <c r="I546" t="n">
        <v>0</v>
      </c>
      <c r="J546" t="n">
        <v>0</v>
      </c>
      <c r="K546" t="n">
        <v>0</v>
      </c>
      <c r="L546" t="n">
        <v>0</v>
      </c>
      <c r="M546" t="n">
        <v>0</v>
      </c>
      <c r="N546" t="n">
        <v>0</v>
      </c>
      <c r="O546" t="n">
        <v>0</v>
      </c>
      <c r="P546" t="n">
        <v>0</v>
      </c>
      <c r="Q546" t="n">
        <v>0</v>
      </c>
      <c r="R546" s="2" t="inlineStr"/>
    </row>
    <row r="547" ht="15" customHeight="1">
      <c r="A547" t="inlineStr">
        <is>
          <t>A 16288-2025</t>
        </is>
      </c>
      <c r="B547" s="1" t="n">
        <v>45751.32001157408</v>
      </c>
      <c r="C547" s="1" t="n">
        <v>45884</v>
      </c>
      <c r="D547" t="inlineStr">
        <is>
          <t>UPPSALA LÄN</t>
        </is>
      </c>
      <c r="E547" t="inlineStr">
        <is>
          <t>UPPSALA</t>
        </is>
      </c>
      <c r="G547" t="n">
        <v>3.9</v>
      </c>
      <c r="H547" t="n">
        <v>0</v>
      </c>
      <c r="I547" t="n">
        <v>0</v>
      </c>
      <c r="J547" t="n">
        <v>0</v>
      </c>
      <c r="K547" t="n">
        <v>0</v>
      </c>
      <c r="L547" t="n">
        <v>0</v>
      </c>
      <c r="M547" t="n">
        <v>0</v>
      </c>
      <c r="N547" t="n">
        <v>0</v>
      </c>
      <c r="O547" t="n">
        <v>0</v>
      </c>
      <c r="P547" t="n">
        <v>0</v>
      </c>
      <c r="Q547" t="n">
        <v>0</v>
      </c>
      <c r="R547" s="2" t="inlineStr"/>
    </row>
    <row r="548" ht="15" customHeight="1">
      <c r="A548" t="inlineStr">
        <is>
          <t>A 17658-2025</t>
        </is>
      </c>
      <c r="B548" s="1" t="n">
        <v>45758</v>
      </c>
      <c r="C548" s="1" t="n">
        <v>45884</v>
      </c>
      <c r="D548" t="inlineStr">
        <is>
          <t>UPPSALA LÄN</t>
        </is>
      </c>
      <c r="E548" t="inlineStr">
        <is>
          <t>UPPSALA</t>
        </is>
      </c>
      <c r="G548" t="n">
        <v>1.5</v>
      </c>
      <c r="H548" t="n">
        <v>0</v>
      </c>
      <c r="I548" t="n">
        <v>0</v>
      </c>
      <c r="J548" t="n">
        <v>0</v>
      </c>
      <c r="K548" t="n">
        <v>0</v>
      </c>
      <c r="L548" t="n">
        <v>0</v>
      </c>
      <c r="M548" t="n">
        <v>0</v>
      </c>
      <c r="N548" t="n">
        <v>0</v>
      </c>
      <c r="O548" t="n">
        <v>0</v>
      </c>
      <c r="P548" t="n">
        <v>0</v>
      </c>
      <c r="Q548" t="n">
        <v>0</v>
      </c>
      <c r="R548" s="2" t="inlineStr"/>
    </row>
    <row r="549" ht="15" customHeight="1">
      <c r="A549" t="inlineStr">
        <is>
          <t>A 18781-2025</t>
        </is>
      </c>
      <c r="B549" s="1" t="n">
        <v>45763</v>
      </c>
      <c r="C549" s="1" t="n">
        <v>45884</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59547-2024</t>
        </is>
      </c>
      <c r="B550" s="1" t="n">
        <v>45638</v>
      </c>
      <c r="C550" s="1" t="n">
        <v>45884</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39272-2020</t>
        </is>
      </c>
      <c r="B551" s="1" t="n">
        <v>44063</v>
      </c>
      <c r="C551" s="1" t="n">
        <v>45884</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10383-2022</t>
        </is>
      </c>
      <c r="B552" s="1" t="n">
        <v>44623.41775462963</v>
      </c>
      <c r="C552" s="1" t="n">
        <v>45884</v>
      </c>
      <c r="D552" t="inlineStr">
        <is>
          <t>UPPSALA LÄN</t>
        </is>
      </c>
      <c r="E552" t="inlineStr">
        <is>
          <t>UPPSALA</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60691-2024</t>
        </is>
      </c>
      <c r="B553" s="1" t="n">
        <v>45644.47723379629</v>
      </c>
      <c r="C553" s="1" t="n">
        <v>45884</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31161-2023</t>
        </is>
      </c>
      <c r="B554" s="1" t="n">
        <v>45113.80170138889</v>
      </c>
      <c r="C554" s="1" t="n">
        <v>45884</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23157-2023</t>
        </is>
      </c>
      <c r="B555" s="1" t="n">
        <v>45075.51982638889</v>
      </c>
      <c r="C555" s="1" t="n">
        <v>45884</v>
      </c>
      <c r="D555" t="inlineStr">
        <is>
          <t>UPPSALA LÄN</t>
        </is>
      </c>
      <c r="E555" t="inlineStr">
        <is>
          <t>UPPSALA</t>
        </is>
      </c>
      <c r="G555" t="n">
        <v>1.1</v>
      </c>
      <c r="H555" t="n">
        <v>0</v>
      </c>
      <c r="I555" t="n">
        <v>0</v>
      </c>
      <c r="J555" t="n">
        <v>0</v>
      </c>
      <c r="K555" t="n">
        <v>0</v>
      </c>
      <c r="L555" t="n">
        <v>0</v>
      </c>
      <c r="M555" t="n">
        <v>0</v>
      </c>
      <c r="N555" t="n">
        <v>0</v>
      </c>
      <c r="O555" t="n">
        <v>0</v>
      </c>
      <c r="P555" t="n">
        <v>0</v>
      </c>
      <c r="Q555" t="n">
        <v>0</v>
      </c>
      <c r="R555" s="2" t="inlineStr"/>
    </row>
    <row r="556" ht="15" customHeight="1">
      <c r="A556" t="inlineStr">
        <is>
          <t>A 6155-2023</t>
        </is>
      </c>
      <c r="B556" s="1" t="n">
        <v>44964.65261574074</v>
      </c>
      <c r="C556" s="1" t="n">
        <v>45884</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53346-2020</t>
        </is>
      </c>
      <c r="B557" s="1" t="n">
        <v>44123</v>
      </c>
      <c r="C557" s="1" t="n">
        <v>45884</v>
      </c>
      <c r="D557" t="inlineStr">
        <is>
          <t>UPPSALA LÄN</t>
        </is>
      </c>
      <c r="E557" t="inlineStr">
        <is>
          <t>UPPSALA</t>
        </is>
      </c>
      <c r="G557" t="n">
        <v>1.4</v>
      </c>
      <c r="H557" t="n">
        <v>0</v>
      </c>
      <c r="I557" t="n">
        <v>0</v>
      </c>
      <c r="J557" t="n">
        <v>0</v>
      </c>
      <c r="K557" t="n">
        <v>0</v>
      </c>
      <c r="L557" t="n">
        <v>0</v>
      </c>
      <c r="M557" t="n">
        <v>0</v>
      </c>
      <c r="N557" t="n">
        <v>0</v>
      </c>
      <c r="O557" t="n">
        <v>0</v>
      </c>
      <c r="P557" t="n">
        <v>0</v>
      </c>
      <c r="Q557" t="n">
        <v>0</v>
      </c>
      <c r="R557" s="2" t="inlineStr"/>
    </row>
    <row r="558" ht="15" customHeight="1">
      <c r="A558" t="inlineStr">
        <is>
          <t>A 1588-2025</t>
        </is>
      </c>
      <c r="B558" s="1" t="n">
        <v>45670</v>
      </c>
      <c r="C558" s="1" t="n">
        <v>45884</v>
      </c>
      <c r="D558" t="inlineStr">
        <is>
          <t>UPPSALA LÄN</t>
        </is>
      </c>
      <c r="E558" t="inlineStr">
        <is>
          <t>UPPSALA</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53589-2024</t>
        </is>
      </c>
      <c r="B559" s="1" t="n">
        <v>45614.67020833334</v>
      </c>
      <c r="C559" s="1" t="n">
        <v>45884</v>
      </c>
      <c r="D559" t="inlineStr">
        <is>
          <t>UPPSALA LÄN</t>
        </is>
      </c>
      <c r="E559" t="inlineStr">
        <is>
          <t>UPPSALA</t>
        </is>
      </c>
      <c r="G559" t="n">
        <v>4</v>
      </c>
      <c r="H559" t="n">
        <v>0</v>
      </c>
      <c r="I559" t="n">
        <v>0</v>
      </c>
      <c r="J559" t="n">
        <v>0</v>
      </c>
      <c r="K559" t="n">
        <v>0</v>
      </c>
      <c r="L559" t="n">
        <v>0</v>
      </c>
      <c r="M559" t="n">
        <v>0</v>
      </c>
      <c r="N559" t="n">
        <v>0</v>
      </c>
      <c r="O559" t="n">
        <v>0</v>
      </c>
      <c r="P559" t="n">
        <v>0</v>
      </c>
      <c r="Q559" t="n">
        <v>0</v>
      </c>
      <c r="R559" s="2" t="inlineStr"/>
    </row>
    <row r="560" ht="15" customHeight="1">
      <c r="A560" t="inlineStr">
        <is>
          <t>A 35914-2023</t>
        </is>
      </c>
      <c r="B560" s="1" t="n">
        <v>45148</v>
      </c>
      <c r="C560" s="1" t="n">
        <v>45884</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35916-2023</t>
        </is>
      </c>
      <c r="B561" s="1" t="n">
        <v>45148</v>
      </c>
      <c r="C561" s="1" t="n">
        <v>45884</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43029-2023</t>
        </is>
      </c>
      <c r="B562" s="1" t="n">
        <v>45182</v>
      </c>
      <c r="C562" s="1" t="n">
        <v>45884</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31157-2023</t>
        </is>
      </c>
      <c r="B563" s="1" t="n">
        <v>45113</v>
      </c>
      <c r="C563" s="1" t="n">
        <v>45884</v>
      </c>
      <c r="D563" t="inlineStr">
        <is>
          <t>UPPSALA LÄN</t>
        </is>
      </c>
      <c r="E563" t="inlineStr">
        <is>
          <t>UPPSALA</t>
        </is>
      </c>
      <c r="G563" t="n">
        <v>1.6</v>
      </c>
      <c r="H563" t="n">
        <v>0</v>
      </c>
      <c r="I563" t="n">
        <v>0</v>
      </c>
      <c r="J563" t="n">
        <v>0</v>
      </c>
      <c r="K563" t="n">
        <v>0</v>
      </c>
      <c r="L563" t="n">
        <v>0</v>
      </c>
      <c r="M563" t="n">
        <v>0</v>
      </c>
      <c r="N563" t="n">
        <v>0</v>
      </c>
      <c r="O563" t="n">
        <v>0</v>
      </c>
      <c r="P563" t="n">
        <v>0</v>
      </c>
      <c r="Q563" t="n">
        <v>0</v>
      </c>
      <c r="R563" s="2" t="inlineStr"/>
    </row>
    <row r="564" ht="15" customHeight="1">
      <c r="A564" t="inlineStr">
        <is>
          <t>A 61947-2023</t>
        </is>
      </c>
      <c r="B564" s="1" t="n">
        <v>45266</v>
      </c>
      <c r="C564" s="1" t="n">
        <v>45884</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61574-2024</t>
        </is>
      </c>
      <c r="B565" s="1" t="n">
        <v>45646.61892361111</v>
      </c>
      <c r="C565" s="1" t="n">
        <v>45884</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4993-2025</t>
        </is>
      </c>
      <c r="B566" s="1" t="n">
        <v>45691</v>
      </c>
      <c r="C566" s="1" t="n">
        <v>45884</v>
      </c>
      <c r="D566" t="inlineStr">
        <is>
          <t>UPPSALA LÄN</t>
        </is>
      </c>
      <c r="E566" t="inlineStr">
        <is>
          <t>UPPSALA</t>
        </is>
      </c>
      <c r="F566" t="inlineStr">
        <is>
          <t>Kyrkan</t>
        </is>
      </c>
      <c r="G566" t="n">
        <v>6.7</v>
      </c>
      <c r="H566" t="n">
        <v>0</v>
      </c>
      <c r="I566" t="n">
        <v>0</v>
      </c>
      <c r="J566" t="n">
        <v>0</v>
      </c>
      <c r="K566" t="n">
        <v>0</v>
      </c>
      <c r="L566" t="n">
        <v>0</v>
      </c>
      <c r="M566" t="n">
        <v>0</v>
      </c>
      <c r="N566" t="n">
        <v>0</v>
      </c>
      <c r="O566" t="n">
        <v>0</v>
      </c>
      <c r="P566" t="n">
        <v>0</v>
      </c>
      <c r="Q566" t="n">
        <v>0</v>
      </c>
      <c r="R566" s="2" t="inlineStr"/>
    </row>
    <row r="567" ht="15" customHeight="1">
      <c r="A567" t="inlineStr">
        <is>
          <t>A 25462-2023</t>
        </is>
      </c>
      <c r="B567" s="1" t="n">
        <v>45089</v>
      </c>
      <c r="C567" s="1" t="n">
        <v>45884</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14337-2022</t>
        </is>
      </c>
      <c r="B568" s="1" t="n">
        <v>44652</v>
      </c>
      <c r="C568" s="1" t="n">
        <v>45884</v>
      </c>
      <c r="D568" t="inlineStr">
        <is>
          <t>UPPSALA LÄN</t>
        </is>
      </c>
      <c r="E568" t="inlineStr">
        <is>
          <t>UPPSALA</t>
        </is>
      </c>
      <c r="G568" t="n">
        <v>1.5</v>
      </c>
      <c r="H568" t="n">
        <v>0</v>
      </c>
      <c r="I568" t="n">
        <v>0</v>
      </c>
      <c r="J568" t="n">
        <v>0</v>
      </c>
      <c r="K568" t="n">
        <v>0</v>
      </c>
      <c r="L568" t="n">
        <v>0</v>
      </c>
      <c r="M568" t="n">
        <v>0</v>
      </c>
      <c r="N568" t="n">
        <v>0</v>
      </c>
      <c r="O568" t="n">
        <v>0</v>
      </c>
      <c r="P568" t="n">
        <v>0</v>
      </c>
      <c r="Q568" t="n">
        <v>0</v>
      </c>
      <c r="R568" s="2" t="inlineStr"/>
    </row>
    <row r="569" ht="15" customHeight="1">
      <c r="A569" t="inlineStr">
        <is>
          <t>A 33332-2022</t>
        </is>
      </c>
      <c r="B569" s="1" t="n">
        <v>44788</v>
      </c>
      <c r="C569" s="1" t="n">
        <v>45884</v>
      </c>
      <c r="D569" t="inlineStr">
        <is>
          <t>UPPSALA LÄN</t>
        </is>
      </c>
      <c r="E569" t="inlineStr">
        <is>
          <t>UPPSALA</t>
        </is>
      </c>
      <c r="G569" t="n">
        <v>1</v>
      </c>
      <c r="H569" t="n">
        <v>0</v>
      </c>
      <c r="I569" t="n">
        <v>0</v>
      </c>
      <c r="J569" t="n">
        <v>0</v>
      </c>
      <c r="K569" t="n">
        <v>0</v>
      </c>
      <c r="L569" t="n">
        <v>0</v>
      </c>
      <c r="M569" t="n">
        <v>0</v>
      </c>
      <c r="N569" t="n">
        <v>0</v>
      </c>
      <c r="O569" t="n">
        <v>0</v>
      </c>
      <c r="P569" t="n">
        <v>0</v>
      </c>
      <c r="Q569" t="n">
        <v>0</v>
      </c>
      <c r="R569" s="2" t="inlineStr"/>
    </row>
    <row r="570" ht="15" customHeight="1">
      <c r="A570" t="inlineStr">
        <is>
          <t>A 27912-2023</t>
        </is>
      </c>
      <c r="B570" s="1" t="n">
        <v>45098.63572916666</v>
      </c>
      <c r="C570" s="1" t="n">
        <v>45884</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1592-2025</t>
        </is>
      </c>
      <c r="B571" s="1" t="n">
        <v>45670</v>
      </c>
      <c r="C571" s="1" t="n">
        <v>45884</v>
      </c>
      <c r="D571" t="inlineStr">
        <is>
          <t>UPPSALA LÄN</t>
        </is>
      </c>
      <c r="E571" t="inlineStr">
        <is>
          <t>UPPSALA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46745-2024</t>
        </is>
      </c>
      <c r="B572" s="1" t="n">
        <v>45583</v>
      </c>
      <c r="C572" s="1" t="n">
        <v>45884</v>
      </c>
      <c r="D572" t="inlineStr">
        <is>
          <t>UPPSALA LÄN</t>
        </is>
      </c>
      <c r="E572" t="inlineStr">
        <is>
          <t>UPPSALA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46748-2024</t>
        </is>
      </c>
      <c r="B573" s="1" t="n">
        <v>45583</v>
      </c>
      <c r="C573" s="1" t="n">
        <v>45884</v>
      </c>
      <c r="D573" t="inlineStr">
        <is>
          <t>UPPSALA LÄN</t>
        </is>
      </c>
      <c r="E573" t="inlineStr">
        <is>
          <t>UPPSALA</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9611-2024</t>
        </is>
      </c>
      <c r="B574" s="1" t="n">
        <v>45361.57299768519</v>
      </c>
      <c r="C574" s="1" t="n">
        <v>45884</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24091-2024</t>
        </is>
      </c>
      <c r="B575" s="1" t="n">
        <v>45456.58491898148</v>
      </c>
      <c r="C575" s="1" t="n">
        <v>45884</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20248-2025</t>
        </is>
      </c>
      <c r="B576" s="1" t="n">
        <v>45772.77188657408</v>
      </c>
      <c r="C576" s="1" t="n">
        <v>45884</v>
      </c>
      <c r="D576" t="inlineStr">
        <is>
          <t>UPPSALA LÄN</t>
        </is>
      </c>
      <c r="E576" t="inlineStr">
        <is>
          <t>UPPSALA</t>
        </is>
      </c>
      <c r="G576" t="n">
        <v>7.7</v>
      </c>
      <c r="H576" t="n">
        <v>0</v>
      </c>
      <c r="I576" t="n">
        <v>0</v>
      </c>
      <c r="J576" t="n">
        <v>0</v>
      </c>
      <c r="K576" t="n">
        <v>0</v>
      </c>
      <c r="L576" t="n">
        <v>0</v>
      </c>
      <c r="M576" t="n">
        <v>0</v>
      </c>
      <c r="N576" t="n">
        <v>0</v>
      </c>
      <c r="O576" t="n">
        <v>0</v>
      </c>
      <c r="P576" t="n">
        <v>0</v>
      </c>
      <c r="Q576" t="n">
        <v>0</v>
      </c>
      <c r="R576" s="2" t="inlineStr"/>
    </row>
    <row r="577" ht="15" customHeight="1">
      <c r="A577" t="inlineStr">
        <is>
          <t>A 60781-2023</t>
        </is>
      </c>
      <c r="B577" s="1" t="n">
        <v>45259</v>
      </c>
      <c r="C577" s="1" t="n">
        <v>45884</v>
      </c>
      <c r="D577" t="inlineStr">
        <is>
          <t>UPPSALA LÄN</t>
        </is>
      </c>
      <c r="E577" t="inlineStr">
        <is>
          <t>UPPSALA</t>
        </is>
      </c>
      <c r="G577" t="n">
        <v>4.1</v>
      </c>
      <c r="H577" t="n">
        <v>0</v>
      </c>
      <c r="I577" t="n">
        <v>0</v>
      </c>
      <c r="J577" t="n">
        <v>0</v>
      </c>
      <c r="K577" t="n">
        <v>0</v>
      </c>
      <c r="L577" t="n">
        <v>0</v>
      </c>
      <c r="M577" t="n">
        <v>0</v>
      </c>
      <c r="N577" t="n">
        <v>0</v>
      </c>
      <c r="O577" t="n">
        <v>0</v>
      </c>
      <c r="P577" t="n">
        <v>0</v>
      </c>
      <c r="Q577" t="n">
        <v>0</v>
      </c>
      <c r="R577" s="2" t="inlineStr"/>
    </row>
    <row r="578" ht="15" customHeight="1">
      <c r="A578" t="inlineStr">
        <is>
          <t>A 24787-2024</t>
        </is>
      </c>
      <c r="B578" s="1" t="n">
        <v>45460</v>
      </c>
      <c r="C578" s="1" t="n">
        <v>45884</v>
      </c>
      <c r="D578" t="inlineStr">
        <is>
          <t>UPPSALA LÄN</t>
        </is>
      </c>
      <c r="E578" t="inlineStr">
        <is>
          <t>UPPSALA</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60167-2024</t>
        </is>
      </c>
      <c r="B579" s="1" t="n">
        <v>45642.63524305556</v>
      </c>
      <c r="C579" s="1" t="n">
        <v>45884</v>
      </c>
      <c r="D579" t="inlineStr">
        <is>
          <t>UPPSALA LÄN</t>
        </is>
      </c>
      <c r="E579" t="inlineStr">
        <is>
          <t>UPPSALA</t>
        </is>
      </c>
      <c r="G579" t="n">
        <v>1</v>
      </c>
      <c r="H579" t="n">
        <v>0</v>
      </c>
      <c r="I579" t="n">
        <v>0</v>
      </c>
      <c r="J579" t="n">
        <v>0</v>
      </c>
      <c r="K579" t="n">
        <v>0</v>
      </c>
      <c r="L579" t="n">
        <v>0</v>
      </c>
      <c r="M579" t="n">
        <v>0</v>
      </c>
      <c r="N579" t="n">
        <v>0</v>
      </c>
      <c r="O579" t="n">
        <v>0</v>
      </c>
      <c r="P579" t="n">
        <v>0</v>
      </c>
      <c r="Q579" t="n">
        <v>0</v>
      </c>
      <c r="R579" s="2" t="inlineStr"/>
    </row>
    <row r="580" ht="15" customHeight="1">
      <c r="A580" t="inlineStr">
        <is>
          <t>A 18717-2025</t>
        </is>
      </c>
      <c r="B580" s="1" t="n">
        <v>45763.6503125</v>
      </c>
      <c r="C580" s="1" t="n">
        <v>45884</v>
      </c>
      <c r="D580" t="inlineStr">
        <is>
          <t>UPPSALA LÄN</t>
        </is>
      </c>
      <c r="E580" t="inlineStr">
        <is>
          <t>UPPSALA</t>
        </is>
      </c>
      <c r="G580" t="n">
        <v>1</v>
      </c>
      <c r="H580" t="n">
        <v>0</v>
      </c>
      <c r="I580" t="n">
        <v>0</v>
      </c>
      <c r="J580" t="n">
        <v>0</v>
      </c>
      <c r="K580" t="n">
        <v>0</v>
      </c>
      <c r="L580" t="n">
        <v>0</v>
      </c>
      <c r="M580" t="n">
        <v>0</v>
      </c>
      <c r="N580" t="n">
        <v>0</v>
      </c>
      <c r="O580" t="n">
        <v>0</v>
      </c>
      <c r="P580" t="n">
        <v>0</v>
      </c>
      <c r="Q580" t="n">
        <v>0</v>
      </c>
      <c r="R580" s="2" t="inlineStr"/>
    </row>
    <row r="581" ht="15" customHeight="1">
      <c r="A581" t="inlineStr">
        <is>
          <t>A 6541-2025</t>
        </is>
      </c>
      <c r="B581" s="1" t="n">
        <v>45699</v>
      </c>
      <c r="C581" s="1" t="n">
        <v>45884</v>
      </c>
      <c r="D581" t="inlineStr">
        <is>
          <t>UPPSALA LÄN</t>
        </is>
      </c>
      <c r="E581" t="inlineStr">
        <is>
          <t>UPPSALA</t>
        </is>
      </c>
      <c r="G581" t="n">
        <v>1.5</v>
      </c>
      <c r="H581" t="n">
        <v>0</v>
      </c>
      <c r="I581" t="n">
        <v>0</v>
      </c>
      <c r="J581" t="n">
        <v>0</v>
      </c>
      <c r="K581" t="n">
        <v>0</v>
      </c>
      <c r="L581" t="n">
        <v>0</v>
      </c>
      <c r="M581" t="n">
        <v>0</v>
      </c>
      <c r="N581" t="n">
        <v>0</v>
      </c>
      <c r="O581" t="n">
        <v>0</v>
      </c>
      <c r="P581" t="n">
        <v>0</v>
      </c>
      <c r="Q581" t="n">
        <v>0</v>
      </c>
      <c r="R581" s="2" t="inlineStr"/>
    </row>
    <row r="582" ht="15" customHeight="1">
      <c r="A582" t="inlineStr">
        <is>
          <t>A 33562-2023</t>
        </is>
      </c>
      <c r="B582" s="1" t="n">
        <v>45131</v>
      </c>
      <c r="C582" s="1" t="n">
        <v>45884</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5725-2025</t>
        </is>
      </c>
      <c r="B583" s="1" t="n">
        <v>45694</v>
      </c>
      <c r="C583" s="1" t="n">
        <v>45884</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10565-2022</t>
        </is>
      </c>
      <c r="B584" s="1" t="n">
        <v>44624.35083333333</v>
      </c>
      <c r="C584" s="1" t="n">
        <v>45884</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4240-2025</t>
        </is>
      </c>
      <c r="B585" s="1" t="n">
        <v>45685.5778125</v>
      </c>
      <c r="C585" s="1" t="n">
        <v>45884</v>
      </c>
      <c r="D585" t="inlineStr">
        <is>
          <t>UPPSALA LÄN</t>
        </is>
      </c>
      <c r="E585" t="inlineStr">
        <is>
          <t>UPPSALA</t>
        </is>
      </c>
      <c r="G585" t="n">
        <v>1.2</v>
      </c>
      <c r="H585" t="n">
        <v>0</v>
      </c>
      <c r="I585" t="n">
        <v>0</v>
      </c>
      <c r="J585" t="n">
        <v>0</v>
      </c>
      <c r="K585" t="n">
        <v>0</v>
      </c>
      <c r="L585" t="n">
        <v>0</v>
      </c>
      <c r="M585" t="n">
        <v>0</v>
      </c>
      <c r="N585" t="n">
        <v>0</v>
      </c>
      <c r="O585" t="n">
        <v>0</v>
      </c>
      <c r="P585" t="n">
        <v>0</v>
      </c>
      <c r="Q585" t="n">
        <v>0</v>
      </c>
      <c r="R585" s="2" t="inlineStr"/>
    </row>
    <row r="586" ht="15" customHeight="1">
      <c r="A586" t="inlineStr">
        <is>
          <t>A 38865-2022</t>
        </is>
      </c>
      <c r="B586" s="1" t="n">
        <v>44816</v>
      </c>
      <c r="C586" s="1" t="n">
        <v>45884</v>
      </c>
      <c r="D586" t="inlineStr">
        <is>
          <t>UPPSALA LÄN</t>
        </is>
      </c>
      <c r="E586" t="inlineStr">
        <is>
          <t>UPPSALA</t>
        </is>
      </c>
      <c r="G586" t="n">
        <v>14.6</v>
      </c>
      <c r="H586" t="n">
        <v>0</v>
      </c>
      <c r="I586" t="n">
        <v>0</v>
      </c>
      <c r="J586" t="n">
        <v>0</v>
      </c>
      <c r="K586" t="n">
        <v>0</v>
      </c>
      <c r="L586" t="n">
        <v>0</v>
      </c>
      <c r="M586" t="n">
        <v>0</v>
      </c>
      <c r="N586" t="n">
        <v>0</v>
      </c>
      <c r="O586" t="n">
        <v>0</v>
      </c>
      <c r="P586" t="n">
        <v>0</v>
      </c>
      <c r="Q586" t="n">
        <v>0</v>
      </c>
      <c r="R586" s="2" t="inlineStr"/>
    </row>
    <row r="587" ht="15" customHeight="1">
      <c r="A587" t="inlineStr">
        <is>
          <t>A 1994-2024</t>
        </is>
      </c>
      <c r="B587" s="1" t="n">
        <v>45308.63298611111</v>
      </c>
      <c r="C587" s="1" t="n">
        <v>45884</v>
      </c>
      <c r="D587" t="inlineStr">
        <is>
          <t>UPPSALA LÄN</t>
        </is>
      </c>
      <c r="E587" t="inlineStr">
        <is>
          <t>UPPSALA</t>
        </is>
      </c>
      <c r="G587" t="n">
        <v>1.6</v>
      </c>
      <c r="H587" t="n">
        <v>0</v>
      </c>
      <c r="I587" t="n">
        <v>0</v>
      </c>
      <c r="J587" t="n">
        <v>0</v>
      </c>
      <c r="K587" t="n">
        <v>0</v>
      </c>
      <c r="L587" t="n">
        <v>0</v>
      </c>
      <c r="M587" t="n">
        <v>0</v>
      </c>
      <c r="N587" t="n">
        <v>0</v>
      </c>
      <c r="O587" t="n">
        <v>0</v>
      </c>
      <c r="P587" t="n">
        <v>0</v>
      </c>
      <c r="Q587" t="n">
        <v>0</v>
      </c>
      <c r="R587" s="2" t="inlineStr"/>
    </row>
    <row r="588" ht="15" customHeight="1">
      <c r="A588" t="inlineStr">
        <is>
          <t>A 29927-2023</t>
        </is>
      </c>
      <c r="B588" s="1" t="n">
        <v>45107</v>
      </c>
      <c r="C588" s="1" t="n">
        <v>45884</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45884</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11224-2022</t>
        </is>
      </c>
      <c r="B590" s="1" t="n">
        <v>44629.57741898148</v>
      </c>
      <c r="C590" s="1" t="n">
        <v>45884</v>
      </c>
      <c r="D590" t="inlineStr">
        <is>
          <t>UPPSALA LÄN</t>
        </is>
      </c>
      <c r="E590" t="inlineStr">
        <is>
          <t>UPPSALA</t>
        </is>
      </c>
      <c r="F590" t="inlineStr">
        <is>
          <t>Bergvik skog öst AB</t>
        </is>
      </c>
      <c r="G590" t="n">
        <v>1.5</v>
      </c>
      <c r="H590" t="n">
        <v>0</v>
      </c>
      <c r="I590" t="n">
        <v>0</v>
      </c>
      <c r="J590" t="n">
        <v>0</v>
      </c>
      <c r="K590" t="n">
        <v>0</v>
      </c>
      <c r="L590" t="n">
        <v>0</v>
      </c>
      <c r="M590" t="n">
        <v>0</v>
      </c>
      <c r="N590" t="n">
        <v>0</v>
      </c>
      <c r="O590" t="n">
        <v>0</v>
      </c>
      <c r="P590" t="n">
        <v>0</v>
      </c>
      <c r="Q590" t="n">
        <v>0</v>
      </c>
      <c r="R590" s="2" t="inlineStr"/>
    </row>
    <row r="591" ht="15" customHeight="1">
      <c r="A591" t="inlineStr">
        <is>
          <t>A 7899-2022</t>
        </is>
      </c>
      <c r="B591" s="1" t="n">
        <v>44608</v>
      </c>
      <c r="C591" s="1" t="n">
        <v>45884</v>
      </c>
      <c r="D591" t="inlineStr">
        <is>
          <t>UPPSALA LÄN</t>
        </is>
      </c>
      <c r="E591" t="inlineStr">
        <is>
          <t>UPPSALA</t>
        </is>
      </c>
      <c r="F591" t="inlineStr">
        <is>
          <t>Övriga Aktiebolag</t>
        </is>
      </c>
      <c r="G591" t="n">
        <v>7.1</v>
      </c>
      <c r="H591" t="n">
        <v>0</v>
      </c>
      <c r="I591" t="n">
        <v>0</v>
      </c>
      <c r="J591" t="n">
        <v>0</v>
      </c>
      <c r="K591" t="n">
        <v>0</v>
      </c>
      <c r="L591" t="n">
        <v>0</v>
      </c>
      <c r="M591" t="n">
        <v>0</v>
      </c>
      <c r="N591" t="n">
        <v>0</v>
      </c>
      <c r="O591" t="n">
        <v>0</v>
      </c>
      <c r="P591" t="n">
        <v>0</v>
      </c>
      <c r="Q591" t="n">
        <v>0</v>
      </c>
      <c r="R591" s="2" t="inlineStr"/>
    </row>
    <row r="592" ht="15" customHeight="1">
      <c r="A592" t="inlineStr">
        <is>
          <t>A 1573-2021</t>
        </is>
      </c>
      <c r="B592" s="1" t="n">
        <v>44209</v>
      </c>
      <c r="C592" s="1" t="n">
        <v>45884</v>
      </c>
      <c r="D592" t="inlineStr">
        <is>
          <t>UPPSALA LÄN</t>
        </is>
      </c>
      <c r="E592" t="inlineStr">
        <is>
          <t>UPPSALA</t>
        </is>
      </c>
      <c r="G592" t="n">
        <v>15</v>
      </c>
      <c r="H592" t="n">
        <v>0</v>
      </c>
      <c r="I592" t="n">
        <v>0</v>
      </c>
      <c r="J592" t="n">
        <v>0</v>
      </c>
      <c r="K592" t="n">
        <v>0</v>
      </c>
      <c r="L592" t="n">
        <v>0</v>
      </c>
      <c r="M592" t="n">
        <v>0</v>
      </c>
      <c r="N592" t="n">
        <v>0</v>
      </c>
      <c r="O592" t="n">
        <v>0</v>
      </c>
      <c r="P592" t="n">
        <v>0</v>
      </c>
      <c r="Q592" t="n">
        <v>0</v>
      </c>
      <c r="R592" s="2" t="inlineStr"/>
    </row>
    <row r="593" ht="15" customHeight="1">
      <c r="A593" t="inlineStr">
        <is>
          <t>A 8164-2025</t>
        </is>
      </c>
      <c r="B593" s="1" t="n">
        <v>45707</v>
      </c>
      <c r="C593" s="1" t="n">
        <v>45884</v>
      </c>
      <c r="D593" t="inlineStr">
        <is>
          <t>UPPSALA LÄN</t>
        </is>
      </c>
      <c r="E593" t="inlineStr">
        <is>
          <t>UPPSALA</t>
        </is>
      </c>
      <c r="F593" t="inlineStr">
        <is>
          <t>Övriga Aktiebolag</t>
        </is>
      </c>
      <c r="G593" t="n">
        <v>12.2</v>
      </c>
      <c r="H593" t="n">
        <v>0</v>
      </c>
      <c r="I593" t="n">
        <v>0</v>
      </c>
      <c r="J593" t="n">
        <v>0</v>
      </c>
      <c r="K593" t="n">
        <v>0</v>
      </c>
      <c r="L593" t="n">
        <v>0</v>
      </c>
      <c r="M593" t="n">
        <v>0</v>
      </c>
      <c r="N593" t="n">
        <v>0</v>
      </c>
      <c r="O593" t="n">
        <v>0</v>
      </c>
      <c r="P593" t="n">
        <v>0</v>
      </c>
      <c r="Q593" t="n">
        <v>0</v>
      </c>
      <c r="R593" s="2" t="inlineStr"/>
    </row>
    <row r="594" ht="15" customHeight="1">
      <c r="A594" t="inlineStr">
        <is>
          <t>A 27599-2023</t>
        </is>
      </c>
      <c r="B594" s="1" t="n">
        <v>45097</v>
      </c>
      <c r="C594" s="1" t="n">
        <v>45884</v>
      </c>
      <c r="D594" t="inlineStr">
        <is>
          <t>UPPSALA LÄN</t>
        </is>
      </c>
      <c r="E594" t="inlineStr">
        <is>
          <t>UPPSALA</t>
        </is>
      </c>
      <c r="G594" t="n">
        <v>1</v>
      </c>
      <c r="H594" t="n">
        <v>0</v>
      </c>
      <c r="I594" t="n">
        <v>0</v>
      </c>
      <c r="J594" t="n">
        <v>0</v>
      </c>
      <c r="K594" t="n">
        <v>0</v>
      </c>
      <c r="L594" t="n">
        <v>0</v>
      </c>
      <c r="M594" t="n">
        <v>0</v>
      </c>
      <c r="N594" t="n">
        <v>0</v>
      </c>
      <c r="O594" t="n">
        <v>0</v>
      </c>
      <c r="P594" t="n">
        <v>0</v>
      </c>
      <c r="Q594" t="n">
        <v>0</v>
      </c>
      <c r="R594" s="2" t="inlineStr"/>
    </row>
    <row r="595" ht="15" customHeight="1">
      <c r="A595" t="inlineStr">
        <is>
          <t>A 60729-2024</t>
        </is>
      </c>
      <c r="B595" s="1" t="n">
        <v>45644</v>
      </c>
      <c r="C595" s="1" t="n">
        <v>45884</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60925-2021</t>
        </is>
      </c>
      <c r="B596" s="1" t="n">
        <v>44497.4666087963</v>
      </c>
      <c r="C596" s="1" t="n">
        <v>45884</v>
      </c>
      <c r="D596" t="inlineStr">
        <is>
          <t>UPPSALA LÄN</t>
        </is>
      </c>
      <c r="E596" t="inlineStr">
        <is>
          <t>UPPSALA</t>
        </is>
      </c>
      <c r="G596" t="n">
        <v>3.7</v>
      </c>
      <c r="H596" t="n">
        <v>0</v>
      </c>
      <c r="I596" t="n">
        <v>0</v>
      </c>
      <c r="J596" t="n">
        <v>0</v>
      </c>
      <c r="K596" t="n">
        <v>0</v>
      </c>
      <c r="L596" t="n">
        <v>0</v>
      </c>
      <c r="M596" t="n">
        <v>0</v>
      </c>
      <c r="N596" t="n">
        <v>0</v>
      </c>
      <c r="O596" t="n">
        <v>0</v>
      </c>
      <c r="P596" t="n">
        <v>0</v>
      </c>
      <c r="Q596" t="n">
        <v>0</v>
      </c>
      <c r="R596" s="2" t="inlineStr"/>
    </row>
    <row r="597" ht="15" customHeight="1">
      <c r="A597" t="inlineStr">
        <is>
          <t>A 3086-2023</t>
        </is>
      </c>
      <c r="B597" s="1" t="n">
        <v>44946.43564814814</v>
      </c>
      <c r="C597" s="1" t="n">
        <v>45884</v>
      </c>
      <c r="D597" t="inlineStr">
        <is>
          <t>UPPSALA LÄN</t>
        </is>
      </c>
      <c r="E597" t="inlineStr">
        <is>
          <t>UPPSALA</t>
        </is>
      </c>
      <c r="G597" t="n">
        <v>2</v>
      </c>
      <c r="H597" t="n">
        <v>0</v>
      </c>
      <c r="I597" t="n">
        <v>0</v>
      </c>
      <c r="J597" t="n">
        <v>0</v>
      </c>
      <c r="K597" t="n">
        <v>0</v>
      </c>
      <c r="L597" t="n">
        <v>0</v>
      </c>
      <c r="M597" t="n">
        <v>0</v>
      </c>
      <c r="N597" t="n">
        <v>0</v>
      </c>
      <c r="O597" t="n">
        <v>0</v>
      </c>
      <c r="P597" t="n">
        <v>0</v>
      </c>
      <c r="Q597" t="n">
        <v>0</v>
      </c>
      <c r="R597" s="2" t="inlineStr"/>
    </row>
    <row r="598" ht="15" customHeight="1">
      <c r="A598" t="inlineStr">
        <is>
          <t>A 6422-2023</t>
        </is>
      </c>
      <c r="B598" s="1" t="n">
        <v>44965</v>
      </c>
      <c r="C598" s="1" t="n">
        <v>45884</v>
      </c>
      <c r="D598" t="inlineStr">
        <is>
          <t>UPPSALA LÄN</t>
        </is>
      </c>
      <c r="E598" t="inlineStr">
        <is>
          <t>UPPSALA</t>
        </is>
      </c>
      <c r="G598" t="n">
        <v>3.1</v>
      </c>
      <c r="H598" t="n">
        <v>0</v>
      </c>
      <c r="I598" t="n">
        <v>0</v>
      </c>
      <c r="J598" t="n">
        <v>0</v>
      </c>
      <c r="K598" t="n">
        <v>0</v>
      </c>
      <c r="L598" t="n">
        <v>0</v>
      </c>
      <c r="M598" t="n">
        <v>0</v>
      </c>
      <c r="N598" t="n">
        <v>0</v>
      </c>
      <c r="O598" t="n">
        <v>0</v>
      </c>
      <c r="P598" t="n">
        <v>0</v>
      </c>
      <c r="Q598" t="n">
        <v>0</v>
      </c>
      <c r="R598" s="2" t="inlineStr"/>
    </row>
    <row r="599" ht="15" customHeight="1">
      <c r="A599" t="inlineStr">
        <is>
          <t>A 6423-2023</t>
        </is>
      </c>
      <c r="B599" s="1" t="n">
        <v>44965</v>
      </c>
      <c r="C599" s="1" t="n">
        <v>45884</v>
      </c>
      <c r="D599" t="inlineStr">
        <is>
          <t>UPPSALA LÄN</t>
        </is>
      </c>
      <c r="E599" t="inlineStr">
        <is>
          <t>UPPSALA</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17448-2022</t>
        </is>
      </c>
      <c r="B600" s="1" t="n">
        <v>44679</v>
      </c>
      <c r="C600" s="1" t="n">
        <v>45884</v>
      </c>
      <c r="D600" t="inlineStr">
        <is>
          <t>UPPSALA LÄN</t>
        </is>
      </c>
      <c r="E600" t="inlineStr">
        <is>
          <t>UPPSALA</t>
        </is>
      </c>
      <c r="G600" t="n">
        <v>2.7</v>
      </c>
      <c r="H600" t="n">
        <v>0</v>
      </c>
      <c r="I600" t="n">
        <v>0</v>
      </c>
      <c r="J600" t="n">
        <v>0</v>
      </c>
      <c r="K600" t="n">
        <v>0</v>
      </c>
      <c r="L600" t="n">
        <v>0</v>
      </c>
      <c r="M600" t="n">
        <v>0</v>
      </c>
      <c r="N600" t="n">
        <v>0</v>
      </c>
      <c r="O600" t="n">
        <v>0</v>
      </c>
      <c r="P600" t="n">
        <v>0</v>
      </c>
      <c r="Q600" t="n">
        <v>0</v>
      </c>
      <c r="R600" s="2" t="inlineStr"/>
    </row>
    <row r="601" ht="15" customHeight="1">
      <c r="A601" t="inlineStr">
        <is>
          <t>A 5974-2024</t>
        </is>
      </c>
      <c r="B601" s="1" t="n">
        <v>45336.53908564815</v>
      </c>
      <c r="C601" s="1" t="n">
        <v>45884</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5975-2024</t>
        </is>
      </c>
      <c r="B602" s="1" t="n">
        <v>45336.54270833333</v>
      </c>
      <c r="C602" s="1" t="n">
        <v>45884</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3287-2025</t>
        </is>
      </c>
      <c r="B603" s="1" t="n">
        <v>45679</v>
      </c>
      <c r="C603" s="1" t="n">
        <v>45884</v>
      </c>
      <c r="D603" t="inlineStr">
        <is>
          <t>UPPSALA LÄN</t>
        </is>
      </c>
      <c r="E603" t="inlineStr">
        <is>
          <t>UPPSALA</t>
        </is>
      </c>
      <c r="F603" t="inlineStr">
        <is>
          <t>Kyrkan</t>
        </is>
      </c>
      <c r="G603" t="n">
        <v>6.7</v>
      </c>
      <c r="H603" t="n">
        <v>0</v>
      </c>
      <c r="I603" t="n">
        <v>0</v>
      </c>
      <c r="J603" t="n">
        <v>0</v>
      </c>
      <c r="K603" t="n">
        <v>0</v>
      </c>
      <c r="L603" t="n">
        <v>0</v>
      </c>
      <c r="M603" t="n">
        <v>0</v>
      </c>
      <c r="N603" t="n">
        <v>0</v>
      </c>
      <c r="O603" t="n">
        <v>0</v>
      </c>
      <c r="P603" t="n">
        <v>0</v>
      </c>
      <c r="Q603" t="n">
        <v>0</v>
      </c>
      <c r="R603" s="2" t="inlineStr"/>
    </row>
    <row r="604" ht="15" customHeight="1">
      <c r="A604" t="inlineStr">
        <is>
          <t>A 7727-2024</t>
        </is>
      </c>
      <c r="B604" s="1" t="n">
        <v>45349</v>
      </c>
      <c r="C604" s="1" t="n">
        <v>45884</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4875-2021</t>
        </is>
      </c>
      <c r="B605" s="1" t="n">
        <v>44223</v>
      </c>
      <c r="C605" s="1" t="n">
        <v>45884</v>
      </c>
      <c r="D605" t="inlineStr">
        <is>
          <t>UPPSALA LÄN</t>
        </is>
      </c>
      <c r="E605" t="inlineStr">
        <is>
          <t>UPPSALA</t>
        </is>
      </c>
      <c r="G605" t="n">
        <v>0.4</v>
      </c>
      <c r="H605" t="n">
        <v>0</v>
      </c>
      <c r="I605" t="n">
        <v>0</v>
      </c>
      <c r="J605" t="n">
        <v>0</v>
      </c>
      <c r="K605" t="n">
        <v>0</v>
      </c>
      <c r="L605" t="n">
        <v>0</v>
      </c>
      <c r="M605" t="n">
        <v>0</v>
      </c>
      <c r="N605" t="n">
        <v>0</v>
      </c>
      <c r="O605" t="n">
        <v>0</v>
      </c>
      <c r="P605" t="n">
        <v>0</v>
      </c>
      <c r="Q605" t="n">
        <v>0</v>
      </c>
      <c r="R605" s="2" t="inlineStr"/>
    </row>
    <row r="606" ht="15" customHeight="1">
      <c r="A606" t="inlineStr">
        <is>
          <t>A 20301-2024</t>
        </is>
      </c>
      <c r="B606" s="1" t="n">
        <v>45435.34778935185</v>
      </c>
      <c r="C606" s="1" t="n">
        <v>45884</v>
      </c>
      <c r="D606" t="inlineStr">
        <is>
          <t>UPPSALA LÄN</t>
        </is>
      </c>
      <c r="E606" t="inlineStr">
        <is>
          <t>UPPSALA</t>
        </is>
      </c>
      <c r="F606" t="inlineStr">
        <is>
          <t>Kyrkan</t>
        </is>
      </c>
      <c r="G606" t="n">
        <v>2.8</v>
      </c>
      <c r="H606" t="n">
        <v>0</v>
      </c>
      <c r="I606" t="n">
        <v>0</v>
      </c>
      <c r="J606" t="n">
        <v>0</v>
      </c>
      <c r="K606" t="n">
        <v>0</v>
      </c>
      <c r="L606" t="n">
        <v>0</v>
      </c>
      <c r="M606" t="n">
        <v>0</v>
      </c>
      <c r="N606" t="n">
        <v>0</v>
      </c>
      <c r="O606" t="n">
        <v>0</v>
      </c>
      <c r="P606" t="n">
        <v>0</v>
      </c>
      <c r="Q606" t="n">
        <v>0</v>
      </c>
      <c r="R606" s="2" t="inlineStr"/>
    </row>
    <row r="607" ht="15" customHeight="1">
      <c r="A607" t="inlineStr">
        <is>
          <t>A 2327-2024</t>
        </is>
      </c>
      <c r="B607" s="1" t="n">
        <v>45310.53418981482</v>
      </c>
      <c r="C607" s="1" t="n">
        <v>45884</v>
      </c>
      <c r="D607" t="inlineStr">
        <is>
          <t>UPPSALA LÄN</t>
        </is>
      </c>
      <c r="E607" t="inlineStr">
        <is>
          <t>UPPSALA</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57714-2022</t>
        </is>
      </c>
      <c r="B608" s="1" t="n">
        <v>44897</v>
      </c>
      <c r="C608" s="1" t="n">
        <v>45884</v>
      </c>
      <c r="D608" t="inlineStr">
        <is>
          <t>UPPSALA LÄN</t>
        </is>
      </c>
      <c r="E608" t="inlineStr">
        <is>
          <t>UPPSALA</t>
        </is>
      </c>
      <c r="G608" t="n">
        <v>8.9</v>
      </c>
      <c r="H608" t="n">
        <v>0</v>
      </c>
      <c r="I608" t="n">
        <v>0</v>
      </c>
      <c r="J608" t="n">
        <v>0</v>
      </c>
      <c r="K608" t="n">
        <v>0</v>
      </c>
      <c r="L608" t="n">
        <v>0</v>
      </c>
      <c r="M608" t="n">
        <v>0</v>
      </c>
      <c r="N608" t="n">
        <v>0</v>
      </c>
      <c r="O608" t="n">
        <v>0</v>
      </c>
      <c r="P608" t="n">
        <v>0</v>
      </c>
      <c r="Q608" t="n">
        <v>0</v>
      </c>
      <c r="R608" s="2" t="inlineStr"/>
    </row>
    <row r="609" ht="15" customHeight="1">
      <c r="A609" t="inlineStr">
        <is>
          <t>A 3260-2024</t>
        </is>
      </c>
      <c r="B609" s="1" t="n">
        <v>45317</v>
      </c>
      <c r="C609" s="1" t="n">
        <v>45884</v>
      </c>
      <c r="D609" t="inlineStr">
        <is>
          <t>UPPSALA LÄN</t>
        </is>
      </c>
      <c r="E609" t="inlineStr">
        <is>
          <t>UPPSALA</t>
        </is>
      </c>
      <c r="G609" t="n">
        <v>0.9</v>
      </c>
      <c r="H609" t="n">
        <v>0</v>
      </c>
      <c r="I609" t="n">
        <v>0</v>
      </c>
      <c r="J609" t="n">
        <v>0</v>
      </c>
      <c r="K609" t="n">
        <v>0</v>
      </c>
      <c r="L609" t="n">
        <v>0</v>
      </c>
      <c r="M609" t="n">
        <v>0</v>
      </c>
      <c r="N609" t="n">
        <v>0</v>
      </c>
      <c r="O609" t="n">
        <v>0</v>
      </c>
      <c r="P609" t="n">
        <v>0</v>
      </c>
      <c r="Q609" t="n">
        <v>0</v>
      </c>
      <c r="R609" s="2" t="inlineStr"/>
    </row>
    <row r="610" ht="15" customHeight="1">
      <c r="A610" t="inlineStr">
        <is>
          <t>A 60954-2024</t>
        </is>
      </c>
      <c r="B610" s="1" t="n">
        <v>45645</v>
      </c>
      <c r="C610" s="1" t="n">
        <v>45884</v>
      </c>
      <c r="D610" t="inlineStr">
        <is>
          <t>UPPSALA LÄN</t>
        </is>
      </c>
      <c r="E610" t="inlineStr">
        <is>
          <t>UPPSALA</t>
        </is>
      </c>
      <c r="F610" t="inlineStr">
        <is>
          <t>Kommuner</t>
        </is>
      </c>
      <c r="G610" t="n">
        <v>1</v>
      </c>
      <c r="H610" t="n">
        <v>0</v>
      </c>
      <c r="I610" t="n">
        <v>0</v>
      </c>
      <c r="J610" t="n">
        <v>0</v>
      </c>
      <c r="K610" t="n">
        <v>0</v>
      </c>
      <c r="L610" t="n">
        <v>0</v>
      </c>
      <c r="M610" t="n">
        <v>0</v>
      </c>
      <c r="N610" t="n">
        <v>0</v>
      </c>
      <c r="O610" t="n">
        <v>0</v>
      </c>
      <c r="P610" t="n">
        <v>0</v>
      </c>
      <c r="Q610" t="n">
        <v>0</v>
      </c>
      <c r="R610" s="2" t="inlineStr"/>
    </row>
    <row r="611" ht="15" customHeight="1">
      <c r="A611" t="inlineStr">
        <is>
          <t>A 8933-2022</t>
        </is>
      </c>
      <c r="B611" s="1" t="n">
        <v>44614.69730324074</v>
      </c>
      <c r="C611" s="1" t="n">
        <v>45884</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60714-2023</t>
        </is>
      </c>
      <c r="B612" s="1" t="n">
        <v>45259</v>
      </c>
      <c r="C612" s="1" t="n">
        <v>45884</v>
      </c>
      <c r="D612" t="inlineStr">
        <is>
          <t>UPPSALA LÄN</t>
        </is>
      </c>
      <c r="E612" t="inlineStr">
        <is>
          <t>UPPSALA</t>
        </is>
      </c>
      <c r="G612" t="n">
        <v>3.3</v>
      </c>
      <c r="H612" t="n">
        <v>0</v>
      </c>
      <c r="I612" t="n">
        <v>0</v>
      </c>
      <c r="J612" t="n">
        <v>0</v>
      </c>
      <c r="K612" t="n">
        <v>0</v>
      </c>
      <c r="L612" t="n">
        <v>0</v>
      </c>
      <c r="M612" t="n">
        <v>0</v>
      </c>
      <c r="N612" t="n">
        <v>0</v>
      </c>
      <c r="O612" t="n">
        <v>0</v>
      </c>
      <c r="P612" t="n">
        <v>0</v>
      </c>
      <c r="Q612" t="n">
        <v>0</v>
      </c>
      <c r="R612" s="2" t="inlineStr"/>
    </row>
    <row r="613" ht="15" customHeight="1">
      <c r="A613" t="inlineStr">
        <is>
          <t>A 42273-2023</t>
        </is>
      </c>
      <c r="B613" s="1" t="n">
        <v>45180.40255787037</v>
      </c>
      <c r="C613" s="1" t="n">
        <v>45884</v>
      </c>
      <c r="D613" t="inlineStr">
        <is>
          <t>UPPSALA LÄN</t>
        </is>
      </c>
      <c r="E613" t="inlineStr">
        <is>
          <t>UPPSALA</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53615-2024</t>
        </is>
      </c>
      <c r="B614" s="1" t="n">
        <v>45611</v>
      </c>
      <c r="C614" s="1" t="n">
        <v>45884</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48153-2024</t>
        </is>
      </c>
      <c r="B615" s="1" t="n">
        <v>45589</v>
      </c>
      <c r="C615" s="1" t="n">
        <v>45884</v>
      </c>
      <c r="D615" t="inlineStr">
        <is>
          <t>UPPSALA LÄN</t>
        </is>
      </c>
      <c r="E615" t="inlineStr">
        <is>
          <t>UPPSALA</t>
        </is>
      </c>
      <c r="G615" t="n">
        <v>3.4</v>
      </c>
      <c r="H615" t="n">
        <v>0</v>
      </c>
      <c r="I615" t="n">
        <v>0</v>
      </c>
      <c r="J615" t="n">
        <v>0</v>
      </c>
      <c r="K615" t="n">
        <v>0</v>
      </c>
      <c r="L615" t="n">
        <v>0</v>
      </c>
      <c r="M615" t="n">
        <v>0</v>
      </c>
      <c r="N615" t="n">
        <v>0</v>
      </c>
      <c r="O615" t="n">
        <v>0</v>
      </c>
      <c r="P615" t="n">
        <v>0</v>
      </c>
      <c r="Q615" t="n">
        <v>0</v>
      </c>
      <c r="R615" s="2" t="inlineStr"/>
    </row>
    <row r="616" ht="15" customHeight="1">
      <c r="A616" t="inlineStr">
        <is>
          <t>A 48154-2024</t>
        </is>
      </c>
      <c r="B616" s="1" t="n">
        <v>45589</v>
      </c>
      <c r="C616" s="1" t="n">
        <v>45884</v>
      </c>
      <c r="D616" t="inlineStr">
        <is>
          <t>UPPSALA LÄN</t>
        </is>
      </c>
      <c r="E616" t="inlineStr">
        <is>
          <t>UPPSALA</t>
        </is>
      </c>
      <c r="G616" t="n">
        <v>5.1</v>
      </c>
      <c r="H616" t="n">
        <v>0</v>
      </c>
      <c r="I616" t="n">
        <v>0</v>
      </c>
      <c r="J616" t="n">
        <v>0</v>
      </c>
      <c r="K616" t="n">
        <v>0</v>
      </c>
      <c r="L616" t="n">
        <v>0</v>
      </c>
      <c r="M616" t="n">
        <v>0</v>
      </c>
      <c r="N616" t="n">
        <v>0</v>
      </c>
      <c r="O616" t="n">
        <v>0</v>
      </c>
      <c r="P616" t="n">
        <v>0</v>
      </c>
      <c r="Q616" t="n">
        <v>0</v>
      </c>
      <c r="R616" s="2" t="inlineStr"/>
    </row>
    <row r="617" ht="15" customHeight="1">
      <c r="A617" t="inlineStr">
        <is>
          <t>A 6060-2025</t>
        </is>
      </c>
      <c r="B617" s="1" t="n">
        <v>45695.84078703704</v>
      </c>
      <c r="C617" s="1" t="n">
        <v>45884</v>
      </c>
      <c r="D617" t="inlineStr">
        <is>
          <t>UPPSALA LÄN</t>
        </is>
      </c>
      <c r="E617" t="inlineStr">
        <is>
          <t>UPPSALA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11119-2025</t>
        </is>
      </c>
      <c r="B618" s="1" t="n">
        <v>45723.63290509259</v>
      </c>
      <c r="C618" s="1" t="n">
        <v>45884</v>
      </c>
      <c r="D618" t="inlineStr">
        <is>
          <t>UPPSALA LÄN</t>
        </is>
      </c>
      <c r="E618" t="inlineStr">
        <is>
          <t>UPPSALA</t>
        </is>
      </c>
      <c r="G618" t="n">
        <v>2</v>
      </c>
      <c r="H618" t="n">
        <v>0</v>
      </c>
      <c r="I618" t="n">
        <v>0</v>
      </c>
      <c r="J618" t="n">
        <v>0</v>
      </c>
      <c r="K618" t="n">
        <v>0</v>
      </c>
      <c r="L618" t="n">
        <v>0</v>
      </c>
      <c r="M618" t="n">
        <v>0</v>
      </c>
      <c r="N618" t="n">
        <v>0</v>
      </c>
      <c r="O618" t="n">
        <v>0</v>
      </c>
      <c r="P618" t="n">
        <v>0</v>
      </c>
      <c r="Q618" t="n">
        <v>0</v>
      </c>
      <c r="R618" s="2" t="inlineStr"/>
    </row>
    <row r="619" ht="15" customHeight="1">
      <c r="A619" t="inlineStr">
        <is>
          <t>A 19380-2023</t>
        </is>
      </c>
      <c r="B619" s="1" t="n">
        <v>45049.66025462963</v>
      </c>
      <c r="C619" s="1" t="n">
        <v>45884</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37618-2023</t>
        </is>
      </c>
      <c r="B620" s="1" t="n">
        <v>45159.44694444445</v>
      </c>
      <c r="C620" s="1" t="n">
        <v>45884</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6006-2025</t>
        </is>
      </c>
      <c r="B621" s="1" t="n">
        <v>45695.59197916667</v>
      </c>
      <c r="C621" s="1" t="n">
        <v>45884</v>
      </c>
      <c r="D621" t="inlineStr">
        <is>
          <t>UPPSALA LÄN</t>
        </is>
      </c>
      <c r="E621" t="inlineStr">
        <is>
          <t>UPPSALA</t>
        </is>
      </c>
      <c r="F621" t="inlineStr">
        <is>
          <t>Övriga Aktiebolag</t>
        </is>
      </c>
      <c r="G621" t="n">
        <v>13.8</v>
      </c>
      <c r="H621" t="n">
        <v>0</v>
      </c>
      <c r="I621" t="n">
        <v>0</v>
      </c>
      <c r="J621" t="n">
        <v>0</v>
      </c>
      <c r="K621" t="n">
        <v>0</v>
      </c>
      <c r="L621" t="n">
        <v>0</v>
      </c>
      <c r="M621" t="n">
        <v>0</v>
      </c>
      <c r="N621" t="n">
        <v>0</v>
      </c>
      <c r="O621" t="n">
        <v>0</v>
      </c>
      <c r="P621" t="n">
        <v>0</v>
      </c>
      <c r="Q621" t="n">
        <v>0</v>
      </c>
      <c r="R621" s="2" t="inlineStr"/>
    </row>
    <row r="622" ht="15" customHeight="1">
      <c r="A622" t="inlineStr">
        <is>
          <t>A 28825-2024</t>
        </is>
      </c>
      <c r="B622" s="1" t="n">
        <v>45478</v>
      </c>
      <c r="C622" s="1" t="n">
        <v>45884</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45592-2023</t>
        </is>
      </c>
      <c r="B623" s="1" t="n">
        <v>45194.63479166666</v>
      </c>
      <c r="C623" s="1" t="n">
        <v>45884</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45575-2023</t>
        </is>
      </c>
      <c r="B624" s="1" t="n">
        <v>45194.60876157408</v>
      </c>
      <c r="C624" s="1" t="n">
        <v>45884</v>
      </c>
      <c r="D624" t="inlineStr">
        <is>
          <t>UPPSALA LÄN</t>
        </is>
      </c>
      <c r="E624" t="inlineStr">
        <is>
          <t>UPPSALA</t>
        </is>
      </c>
      <c r="F624" t="inlineStr">
        <is>
          <t>Bergvik skog öst AB</t>
        </is>
      </c>
      <c r="G624" t="n">
        <v>2.2</v>
      </c>
      <c r="H624" t="n">
        <v>0</v>
      </c>
      <c r="I624" t="n">
        <v>0</v>
      </c>
      <c r="J624" t="n">
        <v>0</v>
      </c>
      <c r="K624" t="n">
        <v>0</v>
      </c>
      <c r="L624" t="n">
        <v>0</v>
      </c>
      <c r="M624" t="n">
        <v>0</v>
      </c>
      <c r="N624" t="n">
        <v>0</v>
      </c>
      <c r="O624" t="n">
        <v>0</v>
      </c>
      <c r="P624" t="n">
        <v>0</v>
      </c>
      <c r="Q624" t="n">
        <v>0</v>
      </c>
      <c r="R624" s="2" t="inlineStr"/>
    </row>
    <row r="625" ht="15" customHeight="1">
      <c r="A625" t="inlineStr">
        <is>
          <t>A 50037-2024</t>
        </is>
      </c>
      <c r="B625" s="1" t="n">
        <v>45599</v>
      </c>
      <c r="C625" s="1" t="n">
        <v>45884</v>
      </c>
      <c r="D625" t="inlineStr">
        <is>
          <t>UPPSALA LÄN</t>
        </is>
      </c>
      <c r="E625" t="inlineStr">
        <is>
          <t>UPPSALA</t>
        </is>
      </c>
      <c r="G625" t="n">
        <v>13.7</v>
      </c>
      <c r="H625" t="n">
        <v>0</v>
      </c>
      <c r="I625" t="n">
        <v>0</v>
      </c>
      <c r="J625" t="n">
        <v>0</v>
      </c>
      <c r="K625" t="n">
        <v>0</v>
      </c>
      <c r="L625" t="n">
        <v>0</v>
      </c>
      <c r="M625" t="n">
        <v>0</v>
      </c>
      <c r="N625" t="n">
        <v>0</v>
      </c>
      <c r="O625" t="n">
        <v>0</v>
      </c>
      <c r="P625" t="n">
        <v>0</v>
      </c>
      <c r="Q625" t="n">
        <v>0</v>
      </c>
      <c r="R625" s="2" t="inlineStr"/>
    </row>
    <row r="626" ht="15" customHeight="1">
      <c r="A626" t="inlineStr">
        <is>
          <t>A 59521-2023</t>
        </is>
      </c>
      <c r="B626" s="1" t="n">
        <v>45254.49552083333</v>
      </c>
      <c r="C626" s="1" t="n">
        <v>45884</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7226-2024</t>
        </is>
      </c>
      <c r="B627" s="1" t="n">
        <v>45344.64759259259</v>
      </c>
      <c r="C627" s="1" t="n">
        <v>45884</v>
      </c>
      <c r="D627" t="inlineStr">
        <is>
          <t>UPPSALA LÄN</t>
        </is>
      </c>
      <c r="E627" t="inlineStr">
        <is>
          <t>UPPSALA</t>
        </is>
      </c>
      <c r="F627" t="inlineStr">
        <is>
          <t>Kyrkan</t>
        </is>
      </c>
      <c r="G627" t="n">
        <v>1.2</v>
      </c>
      <c r="H627" t="n">
        <v>0</v>
      </c>
      <c r="I627" t="n">
        <v>0</v>
      </c>
      <c r="J627" t="n">
        <v>0</v>
      </c>
      <c r="K627" t="n">
        <v>0</v>
      </c>
      <c r="L627" t="n">
        <v>0</v>
      </c>
      <c r="M627" t="n">
        <v>0</v>
      </c>
      <c r="N627" t="n">
        <v>0</v>
      </c>
      <c r="O627" t="n">
        <v>0</v>
      </c>
      <c r="P627" t="n">
        <v>0</v>
      </c>
      <c r="Q627" t="n">
        <v>0</v>
      </c>
      <c r="R627" s="2" t="inlineStr"/>
    </row>
    <row r="628" ht="15" customHeight="1">
      <c r="A628" t="inlineStr">
        <is>
          <t>A 50535-2024</t>
        </is>
      </c>
      <c r="B628" s="1" t="n">
        <v>45600</v>
      </c>
      <c r="C628" s="1" t="n">
        <v>45884</v>
      </c>
      <c r="D628" t="inlineStr">
        <is>
          <t>UPPSALA LÄN</t>
        </is>
      </c>
      <c r="E628" t="inlineStr">
        <is>
          <t>UPPSALA</t>
        </is>
      </c>
      <c r="F628" t="inlineStr">
        <is>
          <t>Övriga statliga verk och myndigheter</t>
        </is>
      </c>
      <c r="G628" t="n">
        <v>3.2</v>
      </c>
      <c r="H628" t="n">
        <v>0</v>
      </c>
      <c r="I628" t="n">
        <v>0</v>
      </c>
      <c r="J628" t="n">
        <v>0</v>
      </c>
      <c r="K628" t="n">
        <v>0</v>
      </c>
      <c r="L628" t="n">
        <v>0</v>
      </c>
      <c r="M628" t="n">
        <v>0</v>
      </c>
      <c r="N628" t="n">
        <v>0</v>
      </c>
      <c r="O628" t="n">
        <v>0</v>
      </c>
      <c r="P628" t="n">
        <v>0</v>
      </c>
      <c r="Q628" t="n">
        <v>0</v>
      </c>
      <c r="R628" s="2" t="inlineStr"/>
    </row>
    <row r="629" ht="15" customHeight="1">
      <c r="A629" t="inlineStr">
        <is>
          <t>A 16126-2022</t>
        </is>
      </c>
      <c r="B629" s="1" t="n">
        <v>44665</v>
      </c>
      <c r="C629" s="1" t="n">
        <v>45884</v>
      </c>
      <c r="D629" t="inlineStr">
        <is>
          <t>UPPSALA LÄN</t>
        </is>
      </c>
      <c r="E629" t="inlineStr">
        <is>
          <t>UPPSALA</t>
        </is>
      </c>
      <c r="F629" t="inlineStr">
        <is>
          <t>Bergvik skog öst AB</t>
        </is>
      </c>
      <c r="G629" t="n">
        <v>4.4</v>
      </c>
      <c r="H629" t="n">
        <v>0</v>
      </c>
      <c r="I629" t="n">
        <v>0</v>
      </c>
      <c r="J629" t="n">
        <v>0</v>
      </c>
      <c r="K629" t="n">
        <v>0</v>
      </c>
      <c r="L629" t="n">
        <v>0</v>
      </c>
      <c r="M629" t="n">
        <v>0</v>
      </c>
      <c r="N629" t="n">
        <v>0</v>
      </c>
      <c r="O629" t="n">
        <v>0</v>
      </c>
      <c r="P629" t="n">
        <v>0</v>
      </c>
      <c r="Q629" t="n">
        <v>0</v>
      </c>
      <c r="R629" s="2" t="inlineStr"/>
    </row>
    <row r="630" ht="15" customHeight="1">
      <c r="A630" t="inlineStr">
        <is>
          <t>A 7388-2024</t>
        </is>
      </c>
      <c r="B630" s="1" t="n">
        <v>45345.56</v>
      </c>
      <c r="C630" s="1" t="n">
        <v>45884</v>
      </c>
      <c r="D630" t="inlineStr">
        <is>
          <t>UPPSALA LÄN</t>
        </is>
      </c>
      <c r="E630" t="inlineStr">
        <is>
          <t>UPPSALA</t>
        </is>
      </c>
      <c r="G630" t="n">
        <v>0.5</v>
      </c>
      <c r="H630" t="n">
        <v>0</v>
      </c>
      <c r="I630" t="n">
        <v>0</v>
      </c>
      <c r="J630" t="n">
        <v>0</v>
      </c>
      <c r="K630" t="n">
        <v>0</v>
      </c>
      <c r="L630" t="n">
        <v>0</v>
      </c>
      <c r="M630" t="n">
        <v>0</v>
      </c>
      <c r="N630" t="n">
        <v>0</v>
      </c>
      <c r="O630" t="n">
        <v>0</v>
      </c>
      <c r="P630" t="n">
        <v>0</v>
      </c>
      <c r="Q630" t="n">
        <v>0</v>
      </c>
      <c r="R630" s="2" t="inlineStr"/>
    </row>
    <row r="631" ht="15" customHeight="1">
      <c r="A631" t="inlineStr">
        <is>
          <t>A 19345-2025</t>
        </is>
      </c>
      <c r="B631" s="1" t="n">
        <v>45769.6009375</v>
      </c>
      <c r="C631" s="1" t="n">
        <v>45884</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18410-2025</t>
        </is>
      </c>
      <c r="B632" s="1" t="n">
        <v>45762.61341435185</v>
      </c>
      <c r="C632" s="1" t="n">
        <v>45884</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14400-2025</t>
        </is>
      </c>
      <c r="B633" s="1" t="n">
        <v>45741.45114583334</v>
      </c>
      <c r="C633" s="1" t="n">
        <v>45884</v>
      </c>
      <c r="D633" t="inlineStr">
        <is>
          <t>UPPSALA LÄN</t>
        </is>
      </c>
      <c r="E633" t="inlineStr">
        <is>
          <t>UPPSALA</t>
        </is>
      </c>
      <c r="G633" t="n">
        <v>6.6</v>
      </c>
      <c r="H633" t="n">
        <v>0</v>
      </c>
      <c r="I633" t="n">
        <v>0</v>
      </c>
      <c r="J633" t="n">
        <v>0</v>
      </c>
      <c r="K633" t="n">
        <v>0</v>
      </c>
      <c r="L633" t="n">
        <v>0</v>
      </c>
      <c r="M633" t="n">
        <v>0</v>
      </c>
      <c r="N633" t="n">
        <v>0</v>
      </c>
      <c r="O633" t="n">
        <v>0</v>
      </c>
      <c r="P633" t="n">
        <v>0</v>
      </c>
      <c r="Q633" t="n">
        <v>0</v>
      </c>
      <c r="R633" s="2" t="inlineStr"/>
    </row>
    <row r="634" ht="15" customHeight="1">
      <c r="A634" t="inlineStr">
        <is>
          <t>A 36781-2023</t>
        </is>
      </c>
      <c r="B634" s="1" t="n">
        <v>45154.34931712963</v>
      </c>
      <c r="C634" s="1" t="n">
        <v>45884</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8404-2022</t>
        </is>
      </c>
      <c r="B635" s="1" t="n">
        <v>44610</v>
      </c>
      <c r="C635" s="1" t="n">
        <v>45884</v>
      </c>
      <c r="D635" t="inlineStr">
        <is>
          <t>UPPSALA LÄN</t>
        </is>
      </c>
      <c r="E635" t="inlineStr">
        <is>
          <t>UPPSALA</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21859-2024</t>
        </is>
      </c>
      <c r="B636" s="1" t="n">
        <v>45443</v>
      </c>
      <c r="C636" s="1" t="n">
        <v>45884</v>
      </c>
      <c r="D636" t="inlineStr">
        <is>
          <t>UPPSALA LÄN</t>
        </is>
      </c>
      <c r="E636" t="inlineStr">
        <is>
          <t>UPPSALA</t>
        </is>
      </c>
      <c r="F636" t="inlineStr">
        <is>
          <t>Kyrkan</t>
        </is>
      </c>
      <c r="G636" t="n">
        <v>1.4</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44599.44832175926</v>
      </c>
      <c r="C637" s="1" t="n">
        <v>45884</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2357-2024</t>
        </is>
      </c>
      <c r="B638" s="1" t="n">
        <v>45310</v>
      </c>
      <c r="C638" s="1" t="n">
        <v>45884</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4503-2024</t>
        </is>
      </c>
      <c r="B639" s="1" t="n">
        <v>45327.61831018519</v>
      </c>
      <c r="C639" s="1" t="n">
        <v>45884</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44315-2021</t>
        </is>
      </c>
      <c r="B640" s="1" t="n">
        <v>44435.38657407407</v>
      </c>
      <c r="C640" s="1" t="n">
        <v>45884</v>
      </c>
      <c r="D640" t="inlineStr">
        <is>
          <t>UPPSALA LÄN</t>
        </is>
      </c>
      <c r="E640" t="inlineStr">
        <is>
          <t>UPPSALA</t>
        </is>
      </c>
      <c r="G640" t="n">
        <v>5.2</v>
      </c>
      <c r="H640" t="n">
        <v>0</v>
      </c>
      <c r="I640" t="n">
        <v>0</v>
      </c>
      <c r="J640" t="n">
        <v>0</v>
      </c>
      <c r="K640" t="n">
        <v>0</v>
      </c>
      <c r="L640" t="n">
        <v>0</v>
      </c>
      <c r="M640" t="n">
        <v>0</v>
      </c>
      <c r="N640" t="n">
        <v>0</v>
      </c>
      <c r="O640" t="n">
        <v>0</v>
      </c>
      <c r="P640" t="n">
        <v>0</v>
      </c>
      <c r="Q640" t="n">
        <v>0</v>
      </c>
      <c r="R640" s="2" t="inlineStr"/>
    </row>
    <row r="641" ht="15" customHeight="1">
      <c r="A641" t="inlineStr">
        <is>
          <t>A 4461-2024</t>
        </is>
      </c>
      <c r="B641" s="1" t="n">
        <v>45327</v>
      </c>
      <c r="C641" s="1" t="n">
        <v>45884</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15937-2025</t>
        </is>
      </c>
      <c r="B642" s="1" t="n">
        <v>45749.4737962963</v>
      </c>
      <c r="C642" s="1" t="n">
        <v>45884</v>
      </c>
      <c r="D642" t="inlineStr">
        <is>
          <t>UPPSALA LÄN</t>
        </is>
      </c>
      <c r="E642" t="inlineStr">
        <is>
          <t>UPPSALA</t>
        </is>
      </c>
      <c r="G642" t="n">
        <v>7.6</v>
      </c>
      <c r="H642" t="n">
        <v>0</v>
      </c>
      <c r="I642" t="n">
        <v>0</v>
      </c>
      <c r="J642" t="n">
        <v>0</v>
      </c>
      <c r="K642" t="n">
        <v>0</v>
      </c>
      <c r="L642" t="n">
        <v>0</v>
      </c>
      <c r="M642" t="n">
        <v>0</v>
      </c>
      <c r="N642" t="n">
        <v>0</v>
      </c>
      <c r="O642" t="n">
        <v>0</v>
      </c>
      <c r="P642" t="n">
        <v>0</v>
      </c>
      <c r="Q642" t="n">
        <v>0</v>
      </c>
      <c r="R642" s="2" t="inlineStr"/>
    </row>
    <row r="643" ht="15" customHeight="1">
      <c r="A643" t="inlineStr">
        <is>
          <t>A 23291-2024</t>
        </is>
      </c>
      <c r="B643" s="1" t="n">
        <v>45453</v>
      </c>
      <c r="C643" s="1" t="n">
        <v>45884</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59562-2024</t>
        </is>
      </c>
      <c r="B644" s="1" t="n">
        <v>45638</v>
      </c>
      <c r="C644" s="1" t="n">
        <v>45884</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12209-2025</t>
        </is>
      </c>
      <c r="B645" s="1" t="n">
        <v>45729</v>
      </c>
      <c r="C645" s="1" t="n">
        <v>45884</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12211-2025</t>
        </is>
      </c>
      <c r="B646" s="1" t="n">
        <v>45729</v>
      </c>
      <c r="C646" s="1" t="n">
        <v>45884</v>
      </c>
      <c r="D646" t="inlineStr">
        <is>
          <t>UPPSALA LÄN</t>
        </is>
      </c>
      <c r="E646" t="inlineStr">
        <is>
          <t>UPPSALA</t>
        </is>
      </c>
      <c r="G646" t="n">
        <v>3.6</v>
      </c>
      <c r="H646" t="n">
        <v>0</v>
      </c>
      <c r="I646" t="n">
        <v>0</v>
      </c>
      <c r="J646" t="n">
        <v>0</v>
      </c>
      <c r="K646" t="n">
        <v>0</v>
      </c>
      <c r="L646" t="n">
        <v>0</v>
      </c>
      <c r="M646" t="n">
        <v>0</v>
      </c>
      <c r="N646" t="n">
        <v>0</v>
      </c>
      <c r="O646" t="n">
        <v>0</v>
      </c>
      <c r="P646" t="n">
        <v>0</v>
      </c>
      <c r="Q646" t="n">
        <v>0</v>
      </c>
      <c r="R646" s="2" t="inlineStr"/>
    </row>
    <row r="647" ht="15" customHeight="1">
      <c r="A647" t="inlineStr">
        <is>
          <t>A 20797-2025</t>
        </is>
      </c>
      <c r="B647" s="1" t="n">
        <v>45776.6415162037</v>
      </c>
      <c r="C647" s="1" t="n">
        <v>45884</v>
      </c>
      <c r="D647" t="inlineStr">
        <is>
          <t>UPPSALA LÄN</t>
        </is>
      </c>
      <c r="E647" t="inlineStr">
        <is>
          <t>UPPSALA</t>
        </is>
      </c>
      <c r="F647" t="inlineStr">
        <is>
          <t>Kommuner</t>
        </is>
      </c>
      <c r="G647" t="n">
        <v>4.6</v>
      </c>
      <c r="H647" t="n">
        <v>0</v>
      </c>
      <c r="I647" t="n">
        <v>0</v>
      </c>
      <c r="J647" t="n">
        <v>0</v>
      </c>
      <c r="K647" t="n">
        <v>0</v>
      </c>
      <c r="L647" t="n">
        <v>0</v>
      </c>
      <c r="M647" t="n">
        <v>0</v>
      </c>
      <c r="N647" t="n">
        <v>0</v>
      </c>
      <c r="O647" t="n">
        <v>0</v>
      </c>
      <c r="P647" t="n">
        <v>0</v>
      </c>
      <c r="Q647" t="n">
        <v>0</v>
      </c>
      <c r="R647" s="2" t="inlineStr"/>
    </row>
    <row r="648" ht="15" customHeight="1">
      <c r="A648" t="inlineStr">
        <is>
          <t>A 33667-2024</t>
        </is>
      </c>
      <c r="B648" s="1" t="n">
        <v>45520</v>
      </c>
      <c r="C648" s="1" t="n">
        <v>45884</v>
      </c>
      <c r="D648" t="inlineStr">
        <is>
          <t>UPPSALA LÄN</t>
        </is>
      </c>
      <c r="E648" t="inlineStr">
        <is>
          <t>UPPSALA</t>
        </is>
      </c>
      <c r="G648" t="n">
        <v>0.8</v>
      </c>
      <c r="H648" t="n">
        <v>0</v>
      </c>
      <c r="I648" t="n">
        <v>0</v>
      </c>
      <c r="J648" t="n">
        <v>0</v>
      </c>
      <c r="K648" t="n">
        <v>0</v>
      </c>
      <c r="L648" t="n">
        <v>0</v>
      </c>
      <c r="M648" t="n">
        <v>0</v>
      </c>
      <c r="N648" t="n">
        <v>0</v>
      </c>
      <c r="O648" t="n">
        <v>0</v>
      </c>
      <c r="P648" t="n">
        <v>0</v>
      </c>
      <c r="Q648" t="n">
        <v>0</v>
      </c>
      <c r="R648" s="2" t="inlineStr"/>
    </row>
    <row r="649" ht="15" customHeight="1">
      <c r="A649" t="inlineStr">
        <is>
          <t>A 20888-2025</t>
        </is>
      </c>
      <c r="B649" s="1" t="n">
        <v>45777.37119212963</v>
      </c>
      <c r="C649" s="1" t="n">
        <v>45884</v>
      </c>
      <c r="D649" t="inlineStr">
        <is>
          <t>UPPSALA LÄN</t>
        </is>
      </c>
      <c r="E649" t="inlineStr">
        <is>
          <t>UPPSALA</t>
        </is>
      </c>
      <c r="F649" t="inlineStr">
        <is>
          <t>Övriga statliga verk och myndigheter</t>
        </is>
      </c>
      <c r="G649" t="n">
        <v>5.1</v>
      </c>
      <c r="H649" t="n">
        <v>0</v>
      </c>
      <c r="I649" t="n">
        <v>0</v>
      </c>
      <c r="J649" t="n">
        <v>0</v>
      </c>
      <c r="K649" t="n">
        <v>0</v>
      </c>
      <c r="L649" t="n">
        <v>0</v>
      </c>
      <c r="M649" t="n">
        <v>0</v>
      </c>
      <c r="N649" t="n">
        <v>0</v>
      </c>
      <c r="O649" t="n">
        <v>0</v>
      </c>
      <c r="P649" t="n">
        <v>0</v>
      </c>
      <c r="Q649" t="n">
        <v>0</v>
      </c>
      <c r="R649" s="2" t="inlineStr"/>
    </row>
    <row r="650" ht="15" customHeight="1">
      <c r="A650" t="inlineStr">
        <is>
          <t>A 20928-2025</t>
        </is>
      </c>
      <c r="B650" s="1" t="n">
        <v>45777</v>
      </c>
      <c r="C650" s="1" t="n">
        <v>45884</v>
      </c>
      <c r="D650" t="inlineStr">
        <is>
          <t>UPPSALA LÄN</t>
        </is>
      </c>
      <c r="E650" t="inlineStr">
        <is>
          <t>UPPSALA</t>
        </is>
      </c>
      <c r="G650" t="n">
        <v>11.9</v>
      </c>
      <c r="H650" t="n">
        <v>0</v>
      </c>
      <c r="I650" t="n">
        <v>0</v>
      </c>
      <c r="J650" t="n">
        <v>0</v>
      </c>
      <c r="K650" t="n">
        <v>0</v>
      </c>
      <c r="L650" t="n">
        <v>0</v>
      </c>
      <c r="M650" t="n">
        <v>0</v>
      </c>
      <c r="N650" t="n">
        <v>0</v>
      </c>
      <c r="O650" t="n">
        <v>0</v>
      </c>
      <c r="P650" t="n">
        <v>0</v>
      </c>
      <c r="Q650" t="n">
        <v>0</v>
      </c>
      <c r="R650" s="2" t="inlineStr"/>
    </row>
    <row r="651" ht="15" customHeight="1">
      <c r="A651" t="inlineStr">
        <is>
          <t>A 29815-2023</t>
        </is>
      </c>
      <c r="B651" s="1" t="n">
        <v>45107.55574074074</v>
      </c>
      <c r="C651" s="1" t="n">
        <v>45884</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20686-2025</t>
        </is>
      </c>
      <c r="B652" s="1" t="n">
        <v>45776.45263888889</v>
      </c>
      <c r="C652" s="1" t="n">
        <v>45884</v>
      </c>
      <c r="D652" t="inlineStr">
        <is>
          <t>UPPSALA LÄN</t>
        </is>
      </c>
      <c r="E652" t="inlineStr">
        <is>
          <t>UPPSALA</t>
        </is>
      </c>
      <c r="F652" t="inlineStr">
        <is>
          <t>Holmen skog AB</t>
        </is>
      </c>
      <c r="G652" t="n">
        <v>1.8</v>
      </c>
      <c r="H652" t="n">
        <v>0</v>
      </c>
      <c r="I652" t="n">
        <v>0</v>
      </c>
      <c r="J652" t="n">
        <v>0</v>
      </c>
      <c r="K652" t="n">
        <v>0</v>
      </c>
      <c r="L652" t="n">
        <v>0</v>
      </c>
      <c r="M652" t="n">
        <v>0</v>
      </c>
      <c r="N652" t="n">
        <v>0</v>
      </c>
      <c r="O652" t="n">
        <v>0</v>
      </c>
      <c r="P652" t="n">
        <v>0</v>
      </c>
      <c r="Q652" t="n">
        <v>0</v>
      </c>
      <c r="R652" s="2" t="inlineStr"/>
    </row>
    <row r="653" ht="15" customHeight="1">
      <c r="A653" t="inlineStr">
        <is>
          <t>A 21033-2025</t>
        </is>
      </c>
      <c r="B653" s="1" t="n">
        <v>45777.52655092593</v>
      </c>
      <c r="C653" s="1" t="n">
        <v>45884</v>
      </c>
      <c r="D653" t="inlineStr">
        <is>
          <t>UPPSALA LÄN</t>
        </is>
      </c>
      <c r="E653" t="inlineStr">
        <is>
          <t>UPPSALA</t>
        </is>
      </c>
      <c r="G653" t="n">
        <v>2.2</v>
      </c>
      <c r="H653" t="n">
        <v>0</v>
      </c>
      <c r="I653" t="n">
        <v>0</v>
      </c>
      <c r="J653" t="n">
        <v>0</v>
      </c>
      <c r="K653" t="n">
        <v>0</v>
      </c>
      <c r="L653" t="n">
        <v>0</v>
      </c>
      <c r="M653" t="n">
        <v>0</v>
      </c>
      <c r="N653" t="n">
        <v>0</v>
      </c>
      <c r="O653" t="n">
        <v>0</v>
      </c>
      <c r="P653" t="n">
        <v>0</v>
      </c>
      <c r="Q653" t="n">
        <v>0</v>
      </c>
      <c r="R653" s="2" t="inlineStr"/>
    </row>
    <row r="654" ht="15" customHeight="1">
      <c r="A654" t="inlineStr">
        <is>
          <t>A 20874-2025</t>
        </is>
      </c>
      <c r="B654" s="1" t="n">
        <v>45777.34894675926</v>
      </c>
      <c r="C654" s="1" t="n">
        <v>45884</v>
      </c>
      <c r="D654" t="inlineStr">
        <is>
          <t>UPPSALA LÄN</t>
        </is>
      </c>
      <c r="E654" t="inlineStr">
        <is>
          <t>UPPSALA</t>
        </is>
      </c>
      <c r="F654" t="inlineStr">
        <is>
          <t>Övriga Aktiebolag</t>
        </is>
      </c>
      <c r="G654" t="n">
        <v>3.9</v>
      </c>
      <c r="H654" t="n">
        <v>0</v>
      </c>
      <c r="I654" t="n">
        <v>0</v>
      </c>
      <c r="J654" t="n">
        <v>0</v>
      </c>
      <c r="K654" t="n">
        <v>0</v>
      </c>
      <c r="L654" t="n">
        <v>0</v>
      </c>
      <c r="M654" t="n">
        <v>0</v>
      </c>
      <c r="N654" t="n">
        <v>0</v>
      </c>
      <c r="O654" t="n">
        <v>0</v>
      </c>
      <c r="P654" t="n">
        <v>0</v>
      </c>
      <c r="Q654" t="n">
        <v>0</v>
      </c>
      <c r="R654" s="2" t="inlineStr"/>
    </row>
    <row r="655" ht="15" customHeight="1">
      <c r="A655" t="inlineStr">
        <is>
          <t>A 44847-2024</t>
        </is>
      </c>
      <c r="B655" s="1" t="n">
        <v>45574</v>
      </c>
      <c r="C655" s="1" t="n">
        <v>45884</v>
      </c>
      <c r="D655" t="inlineStr">
        <is>
          <t>UPPSALA LÄN</t>
        </is>
      </c>
      <c r="E655" t="inlineStr">
        <is>
          <t>UPPSALA</t>
        </is>
      </c>
      <c r="G655" t="n">
        <v>6.3</v>
      </c>
      <c r="H655" t="n">
        <v>0</v>
      </c>
      <c r="I655" t="n">
        <v>0</v>
      </c>
      <c r="J655" t="n">
        <v>0</v>
      </c>
      <c r="K655" t="n">
        <v>0</v>
      </c>
      <c r="L655" t="n">
        <v>0</v>
      </c>
      <c r="M655" t="n">
        <v>0</v>
      </c>
      <c r="N655" t="n">
        <v>0</v>
      </c>
      <c r="O655" t="n">
        <v>0</v>
      </c>
      <c r="P655" t="n">
        <v>0</v>
      </c>
      <c r="Q655" t="n">
        <v>0</v>
      </c>
      <c r="R655" s="2" t="inlineStr"/>
    </row>
    <row r="656" ht="15" customHeight="1">
      <c r="A656" t="inlineStr">
        <is>
          <t>A 3813-2024</t>
        </is>
      </c>
      <c r="B656" s="1" t="n">
        <v>45321</v>
      </c>
      <c r="C656" s="1" t="n">
        <v>45884</v>
      </c>
      <c r="D656" t="inlineStr">
        <is>
          <t>UPPSALA LÄN</t>
        </is>
      </c>
      <c r="E656" t="inlineStr">
        <is>
          <t>UPPSALA</t>
        </is>
      </c>
      <c r="G656" t="n">
        <v>0.7</v>
      </c>
      <c r="H656" t="n">
        <v>0</v>
      </c>
      <c r="I656" t="n">
        <v>0</v>
      </c>
      <c r="J656" t="n">
        <v>0</v>
      </c>
      <c r="K656" t="n">
        <v>0</v>
      </c>
      <c r="L656" t="n">
        <v>0</v>
      </c>
      <c r="M656" t="n">
        <v>0</v>
      </c>
      <c r="N656" t="n">
        <v>0</v>
      </c>
      <c r="O656" t="n">
        <v>0</v>
      </c>
      <c r="P656" t="n">
        <v>0</v>
      </c>
      <c r="Q656" t="n">
        <v>0</v>
      </c>
      <c r="R656" s="2" t="inlineStr"/>
    </row>
    <row r="657" ht="15" customHeight="1">
      <c r="A657" t="inlineStr">
        <is>
          <t>A 20703-2025</t>
        </is>
      </c>
      <c r="B657" s="1" t="n">
        <v>45776.48275462963</v>
      </c>
      <c r="C657" s="1" t="n">
        <v>45884</v>
      </c>
      <c r="D657" t="inlineStr">
        <is>
          <t>UPPSALA LÄN</t>
        </is>
      </c>
      <c r="E657" t="inlineStr">
        <is>
          <t>UPPSALA</t>
        </is>
      </c>
      <c r="F657" t="inlineStr">
        <is>
          <t>Holmen skog AB</t>
        </is>
      </c>
      <c r="G657" t="n">
        <v>3.5</v>
      </c>
      <c r="H657" t="n">
        <v>0</v>
      </c>
      <c r="I657" t="n">
        <v>0</v>
      </c>
      <c r="J657" t="n">
        <v>0</v>
      </c>
      <c r="K657" t="n">
        <v>0</v>
      </c>
      <c r="L657" t="n">
        <v>0</v>
      </c>
      <c r="M657" t="n">
        <v>0</v>
      </c>
      <c r="N657" t="n">
        <v>0</v>
      </c>
      <c r="O657" t="n">
        <v>0</v>
      </c>
      <c r="P657" t="n">
        <v>0</v>
      </c>
      <c r="Q657" t="n">
        <v>0</v>
      </c>
      <c r="R657" s="2" t="inlineStr"/>
    </row>
    <row r="658" ht="15" customHeight="1">
      <c r="A658" t="inlineStr">
        <is>
          <t>A 20712-2025</t>
        </is>
      </c>
      <c r="B658" s="1" t="n">
        <v>45776</v>
      </c>
      <c r="C658" s="1" t="n">
        <v>45884</v>
      </c>
      <c r="D658" t="inlineStr">
        <is>
          <t>UPPSALA LÄN</t>
        </is>
      </c>
      <c r="E658" t="inlineStr">
        <is>
          <t>UPPSALA</t>
        </is>
      </c>
      <c r="G658" t="n">
        <v>1.5</v>
      </c>
      <c r="H658" t="n">
        <v>0</v>
      </c>
      <c r="I658" t="n">
        <v>0</v>
      </c>
      <c r="J658" t="n">
        <v>0</v>
      </c>
      <c r="K658" t="n">
        <v>0</v>
      </c>
      <c r="L658" t="n">
        <v>0</v>
      </c>
      <c r="M658" t="n">
        <v>0</v>
      </c>
      <c r="N658" t="n">
        <v>0</v>
      </c>
      <c r="O658" t="n">
        <v>0</v>
      </c>
      <c r="P658" t="n">
        <v>0</v>
      </c>
      <c r="Q658" t="n">
        <v>0</v>
      </c>
      <c r="R658" s="2" t="inlineStr"/>
    </row>
    <row r="659" ht="15" customHeight="1">
      <c r="A659" t="inlineStr">
        <is>
          <t>A 20858-2025</t>
        </is>
      </c>
      <c r="B659" s="1" t="n">
        <v>45777.32731481481</v>
      </c>
      <c r="C659" s="1" t="n">
        <v>45884</v>
      </c>
      <c r="D659" t="inlineStr">
        <is>
          <t>UPPSALA LÄN</t>
        </is>
      </c>
      <c r="E659" t="inlineStr">
        <is>
          <t>UPPSALA</t>
        </is>
      </c>
      <c r="F659" t="inlineStr">
        <is>
          <t>Övriga Aktiebolag</t>
        </is>
      </c>
      <c r="G659" t="n">
        <v>4.1</v>
      </c>
      <c r="H659" t="n">
        <v>0</v>
      </c>
      <c r="I659" t="n">
        <v>0</v>
      </c>
      <c r="J659" t="n">
        <v>0</v>
      </c>
      <c r="K659" t="n">
        <v>0</v>
      </c>
      <c r="L659" t="n">
        <v>0</v>
      </c>
      <c r="M659" t="n">
        <v>0</v>
      </c>
      <c r="N659" t="n">
        <v>0</v>
      </c>
      <c r="O659" t="n">
        <v>0</v>
      </c>
      <c r="P659" t="n">
        <v>0</v>
      </c>
      <c r="Q659" t="n">
        <v>0</v>
      </c>
      <c r="R659" s="2" t="inlineStr"/>
    </row>
    <row r="660" ht="15" customHeight="1">
      <c r="A660" t="inlineStr">
        <is>
          <t>A 21217-2025</t>
        </is>
      </c>
      <c r="B660" s="1" t="n">
        <v>45779.49085648148</v>
      </c>
      <c r="C660" s="1" t="n">
        <v>45884</v>
      </c>
      <c r="D660" t="inlineStr">
        <is>
          <t>UPPSALA LÄN</t>
        </is>
      </c>
      <c r="E660" t="inlineStr">
        <is>
          <t>UPPSALA</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21281-2025</t>
        </is>
      </c>
      <c r="B661" s="1" t="n">
        <v>45779.6665162037</v>
      </c>
      <c r="C661" s="1" t="n">
        <v>45884</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21279-2025</t>
        </is>
      </c>
      <c r="B662" s="1" t="n">
        <v>45779.65787037037</v>
      </c>
      <c r="C662" s="1" t="n">
        <v>45884</v>
      </c>
      <c r="D662" t="inlineStr">
        <is>
          <t>UPPSALA LÄN</t>
        </is>
      </c>
      <c r="E662" t="inlineStr">
        <is>
          <t>UPPSALA</t>
        </is>
      </c>
      <c r="F662" t="inlineStr">
        <is>
          <t>Övriga Aktiebolag</t>
        </is>
      </c>
      <c r="G662" t="n">
        <v>0.8</v>
      </c>
      <c r="H662" t="n">
        <v>0</v>
      </c>
      <c r="I662" t="n">
        <v>0</v>
      </c>
      <c r="J662" t="n">
        <v>0</v>
      </c>
      <c r="K662" t="n">
        <v>0</v>
      </c>
      <c r="L662" t="n">
        <v>0</v>
      </c>
      <c r="M662" t="n">
        <v>0</v>
      </c>
      <c r="N662" t="n">
        <v>0</v>
      </c>
      <c r="O662" t="n">
        <v>0</v>
      </c>
      <c r="P662" t="n">
        <v>0</v>
      </c>
      <c r="Q662" t="n">
        <v>0</v>
      </c>
      <c r="R662" s="2" t="inlineStr"/>
    </row>
    <row r="663" ht="15" customHeight="1">
      <c r="A663" t="inlineStr">
        <is>
          <t>A 21748-2025</t>
        </is>
      </c>
      <c r="B663" s="1" t="n">
        <v>45783.61053240741</v>
      </c>
      <c r="C663" s="1" t="n">
        <v>45884</v>
      </c>
      <c r="D663" t="inlineStr">
        <is>
          <t>UPPSALA LÄN</t>
        </is>
      </c>
      <c r="E663" t="inlineStr">
        <is>
          <t>UPPSALA</t>
        </is>
      </c>
      <c r="G663" t="n">
        <v>1.3</v>
      </c>
      <c r="H663" t="n">
        <v>0</v>
      </c>
      <c r="I663" t="n">
        <v>0</v>
      </c>
      <c r="J663" t="n">
        <v>0</v>
      </c>
      <c r="K663" t="n">
        <v>0</v>
      </c>
      <c r="L663" t="n">
        <v>0</v>
      </c>
      <c r="M663" t="n">
        <v>0</v>
      </c>
      <c r="N663" t="n">
        <v>0</v>
      </c>
      <c r="O663" t="n">
        <v>0</v>
      </c>
      <c r="P663" t="n">
        <v>0</v>
      </c>
      <c r="Q663" t="n">
        <v>0</v>
      </c>
      <c r="R663" s="2" t="inlineStr"/>
    </row>
    <row r="664" ht="15" customHeight="1">
      <c r="A664" t="inlineStr">
        <is>
          <t>A 37820-2021</t>
        </is>
      </c>
      <c r="B664" s="1" t="n">
        <v>44403.3119212963</v>
      </c>
      <c r="C664" s="1" t="n">
        <v>45884</v>
      </c>
      <c r="D664" t="inlineStr">
        <is>
          <t>UPPSALA LÄN</t>
        </is>
      </c>
      <c r="E664" t="inlineStr">
        <is>
          <t>UPPSALA</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40507-2021</t>
        </is>
      </c>
      <c r="B665" s="1" t="n">
        <v>44420</v>
      </c>
      <c r="C665" s="1" t="n">
        <v>45884</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40111-2024</t>
        </is>
      </c>
      <c r="B666" s="1" t="n">
        <v>45554</v>
      </c>
      <c r="C666" s="1" t="n">
        <v>45884</v>
      </c>
      <c r="D666" t="inlineStr">
        <is>
          <t>UPPSALA LÄN</t>
        </is>
      </c>
      <c r="E666" t="inlineStr">
        <is>
          <t>UPPSALA</t>
        </is>
      </c>
      <c r="G666" t="n">
        <v>3.7</v>
      </c>
      <c r="H666" t="n">
        <v>0</v>
      </c>
      <c r="I666" t="n">
        <v>0</v>
      </c>
      <c r="J666" t="n">
        <v>0</v>
      </c>
      <c r="K666" t="n">
        <v>0</v>
      </c>
      <c r="L666" t="n">
        <v>0</v>
      </c>
      <c r="M666" t="n">
        <v>0</v>
      </c>
      <c r="N666" t="n">
        <v>0</v>
      </c>
      <c r="O666" t="n">
        <v>0</v>
      </c>
      <c r="P666" t="n">
        <v>0</v>
      </c>
      <c r="Q666" t="n">
        <v>0</v>
      </c>
      <c r="R666" s="2" t="inlineStr"/>
    </row>
    <row r="667" ht="15" customHeight="1">
      <c r="A667" t="inlineStr">
        <is>
          <t>A 22018-2025</t>
        </is>
      </c>
      <c r="B667" s="1" t="n">
        <v>45784.80497685185</v>
      </c>
      <c r="C667" s="1" t="n">
        <v>45884</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2790-2025</t>
        </is>
      </c>
      <c r="B668" s="1" t="n">
        <v>45677</v>
      </c>
      <c r="C668" s="1" t="n">
        <v>45884</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12414-2025</t>
        </is>
      </c>
      <c r="B669" s="1" t="n">
        <v>45730.43966435185</v>
      </c>
      <c r="C669" s="1" t="n">
        <v>45884</v>
      </c>
      <c r="D669" t="inlineStr">
        <is>
          <t>UPPSALA LÄN</t>
        </is>
      </c>
      <c r="E669" t="inlineStr">
        <is>
          <t>UPPSALA</t>
        </is>
      </c>
      <c r="F669" t="inlineStr">
        <is>
          <t>Övriga statliga verk och myndigheter</t>
        </is>
      </c>
      <c r="G669" t="n">
        <v>6.8</v>
      </c>
      <c r="H669" t="n">
        <v>0</v>
      </c>
      <c r="I669" t="n">
        <v>0</v>
      </c>
      <c r="J669" t="n">
        <v>0</v>
      </c>
      <c r="K669" t="n">
        <v>0</v>
      </c>
      <c r="L669" t="n">
        <v>0</v>
      </c>
      <c r="M669" t="n">
        <v>0</v>
      </c>
      <c r="N669" t="n">
        <v>0</v>
      </c>
      <c r="O669" t="n">
        <v>0</v>
      </c>
      <c r="P669" t="n">
        <v>0</v>
      </c>
      <c r="Q669" t="n">
        <v>0</v>
      </c>
      <c r="R669" s="2" t="inlineStr"/>
    </row>
    <row r="670" ht="15" customHeight="1">
      <c r="A670" t="inlineStr">
        <is>
          <t>A 21936-2025</t>
        </is>
      </c>
      <c r="B670" s="1" t="n">
        <v>45784.57266203704</v>
      </c>
      <c r="C670" s="1" t="n">
        <v>45884</v>
      </c>
      <c r="D670" t="inlineStr">
        <is>
          <t>UPPSALA LÄN</t>
        </is>
      </c>
      <c r="E670" t="inlineStr">
        <is>
          <t>UPPSALA</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4929-2022</t>
        </is>
      </c>
      <c r="B671" s="1" t="n">
        <v>44593</v>
      </c>
      <c r="C671" s="1" t="n">
        <v>45884</v>
      </c>
      <c r="D671" t="inlineStr">
        <is>
          <t>UPPSALA LÄN</t>
        </is>
      </c>
      <c r="E671" t="inlineStr">
        <is>
          <t>UPPSALA</t>
        </is>
      </c>
      <c r="G671" t="n">
        <v>2.4</v>
      </c>
      <c r="H671" t="n">
        <v>0</v>
      </c>
      <c r="I671" t="n">
        <v>0</v>
      </c>
      <c r="J671" t="n">
        <v>0</v>
      </c>
      <c r="K671" t="n">
        <v>0</v>
      </c>
      <c r="L671" t="n">
        <v>0</v>
      </c>
      <c r="M671" t="n">
        <v>0</v>
      </c>
      <c r="N671" t="n">
        <v>0</v>
      </c>
      <c r="O671" t="n">
        <v>0</v>
      </c>
      <c r="P671" t="n">
        <v>0</v>
      </c>
      <c r="Q671" t="n">
        <v>0</v>
      </c>
      <c r="R671" s="2" t="inlineStr"/>
    </row>
    <row r="672" ht="15" customHeight="1">
      <c r="A672" t="inlineStr">
        <is>
          <t>A 33622-2024</t>
        </is>
      </c>
      <c r="B672" s="1" t="n">
        <v>45520</v>
      </c>
      <c r="C672" s="1" t="n">
        <v>45884</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41545-2023</t>
        </is>
      </c>
      <c r="B673" s="1" t="n">
        <v>45175.57060185185</v>
      </c>
      <c r="C673" s="1" t="n">
        <v>45884</v>
      </c>
      <c r="D673" t="inlineStr">
        <is>
          <t>UPPSALA LÄN</t>
        </is>
      </c>
      <c r="E673" t="inlineStr">
        <is>
          <t>UPPSALA</t>
        </is>
      </c>
      <c r="G673" t="n">
        <v>6.6</v>
      </c>
      <c r="H673" t="n">
        <v>0</v>
      </c>
      <c r="I673" t="n">
        <v>0</v>
      </c>
      <c r="J673" t="n">
        <v>0</v>
      </c>
      <c r="K673" t="n">
        <v>0</v>
      </c>
      <c r="L673" t="n">
        <v>0</v>
      </c>
      <c r="M673" t="n">
        <v>0</v>
      </c>
      <c r="N673" t="n">
        <v>0</v>
      </c>
      <c r="O673" t="n">
        <v>0</v>
      </c>
      <c r="P673" t="n">
        <v>0</v>
      </c>
      <c r="Q673" t="n">
        <v>0</v>
      </c>
      <c r="R673" s="2" t="inlineStr"/>
    </row>
    <row r="674" ht="15" customHeight="1">
      <c r="A674" t="inlineStr">
        <is>
          <t>A 60047-2022</t>
        </is>
      </c>
      <c r="B674" s="1" t="n">
        <v>44909.51885416666</v>
      </c>
      <c r="C674" s="1" t="n">
        <v>45884</v>
      </c>
      <c r="D674" t="inlineStr">
        <is>
          <t>UPPSALA LÄN</t>
        </is>
      </c>
      <c r="E674" t="inlineStr">
        <is>
          <t>UPPSALA</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12284-2025</t>
        </is>
      </c>
      <c r="B675" s="1" t="n">
        <v>45729</v>
      </c>
      <c r="C675" s="1" t="n">
        <v>45884</v>
      </c>
      <c r="D675" t="inlineStr">
        <is>
          <t>UPPSALA LÄN</t>
        </is>
      </c>
      <c r="E675" t="inlineStr">
        <is>
          <t>UPPSALA</t>
        </is>
      </c>
      <c r="G675" t="n">
        <v>6.7</v>
      </c>
      <c r="H675" t="n">
        <v>0</v>
      </c>
      <c r="I675" t="n">
        <v>0</v>
      </c>
      <c r="J675" t="n">
        <v>0</v>
      </c>
      <c r="K675" t="n">
        <v>0</v>
      </c>
      <c r="L675" t="n">
        <v>0</v>
      </c>
      <c r="M675" t="n">
        <v>0</v>
      </c>
      <c r="N675" t="n">
        <v>0</v>
      </c>
      <c r="O675" t="n">
        <v>0</v>
      </c>
      <c r="P675" t="n">
        <v>0</v>
      </c>
      <c r="Q675" t="n">
        <v>0</v>
      </c>
      <c r="R675" s="2" t="inlineStr"/>
    </row>
    <row r="676" ht="15" customHeight="1">
      <c r="A676" t="inlineStr">
        <is>
          <t>A 12287-2025</t>
        </is>
      </c>
      <c r="B676" s="1" t="n">
        <v>45729</v>
      </c>
      <c r="C676" s="1" t="n">
        <v>45884</v>
      </c>
      <c r="D676" t="inlineStr">
        <is>
          <t>UPPSALA LÄN</t>
        </is>
      </c>
      <c r="E676" t="inlineStr">
        <is>
          <t>UPPSALA</t>
        </is>
      </c>
      <c r="G676" t="n">
        <v>4.6</v>
      </c>
      <c r="H676" t="n">
        <v>0</v>
      </c>
      <c r="I676" t="n">
        <v>0</v>
      </c>
      <c r="J676" t="n">
        <v>0</v>
      </c>
      <c r="K676" t="n">
        <v>0</v>
      </c>
      <c r="L676" t="n">
        <v>0</v>
      </c>
      <c r="M676" t="n">
        <v>0</v>
      </c>
      <c r="N676" t="n">
        <v>0</v>
      </c>
      <c r="O676" t="n">
        <v>0</v>
      </c>
      <c r="P676" t="n">
        <v>0</v>
      </c>
      <c r="Q676" t="n">
        <v>0</v>
      </c>
      <c r="R676" s="2" t="inlineStr"/>
    </row>
    <row r="677" ht="15" customHeight="1">
      <c r="A677" t="inlineStr">
        <is>
          <t>A 42543-2023</t>
        </is>
      </c>
      <c r="B677" s="1" t="n">
        <v>45181.36815972222</v>
      </c>
      <c r="C677" s="1" t="n">
        <v>45884</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8931-2025</t>
        </is>
      </c>
      <c r="B678" s="1" t="n">
        <v>45713.44519675926</v>
      </c>
      <c r="C678" s="1" t="n">
        <v>45884</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40701-2024</t>
        </is>
      </c>
      <c r="B679" s="1" t="n">
        <v>45558.42498842593</v>
      </c>
      <c r="C679" s="1" t="n">
        <v>45884</v>
      </c>
      <c r="D679" t="inlineStr">
        <is>
          <t>UPPSALA LÄN</t>
        </is>
      </c>
      <c r="E679" t="inlineStr">
        <is>
          <t>UPPSALA</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758-2022</t>
        </is>
      </c>
      <c r="B680" s="1" t="n">
        <v>44569.69358796296</v>
      </c>
      <c r="C680" s="1" t="n">
        <v>45884</v>
      </c>
      <c r="D680" t="inlineStr">
        <is>
          <t>UPPSALA LÄN</t>
        </is>
      </c>
      <c r="E680" t="inlineStr">
        <is>
          <t>UPPSALA</t>
        </is>
      </c>
      <c r="F680" t="inlineStr">
        <is>
          <t>Holmen skog AB</t>
        </is>
      </c>
      <c r="G680" t="n">
        <v>5.2</v>
      </c>
      <c r="H680" t="n">
        <v>0</v>
      </c>
      <c r="I680" t="n">
        <v>0</v>
      </c>
      <c r="J680" t="n">
        <v>0</v>
      </c>
      <c r="K680" t="n">
        <v>0</v>
      </c>
      <c r="L680" t="n">
        <v>0</v>
      </c>
      <c r="M680" t="n">
        <v>0</v>
      </c>
      <c r="N680" t="n">
        <v>0</v>
      </c>
      <c r="O680" t="n">
        <v>0</v>
      </c>
      <c r="P680" t="n">
        <v>0</v>
      </c>
      <c r="Q680" t="n">
        <v>0</v>
      </c>
      <c r="R680" s="2" t="inlineStr"/>
    </row>
    <row r="681" ht="15" customHeight="1">
      <c r="A681" t="inlineStr">
        <is>
          <t>A 59570-2023</t>
        </is>
      </c>
      <c r="B681" s="1" t="n">
        <v>45254</v>
      </c>
      <c r="C681" s="1" t="n">
        <v>45884</v>
      </c>
      <c r="D681" t="inlineStr">
        <is>
          <t>UPPSALA LÄN</t>
        </is>
      </c>
      <c r="E681" t="inlineStr">
        <is>
          <t>UPPSALA</t>
        </is>
      </c>
      <c r="G681" t="n">
        <v>6.7</v>
      </c>
      <c r="H681" t="n">
        <v>0</v>
      </c>
      <c r="I681" t="n">
        <v>0</v>
      </c>
      <c r="J681" t="n">
        <v>0</v>
      </c>
      <c r="K681" t="n">
        <v>0</v>
      </c>
      <c r="L681" t="n">
        <v>0</v>
      </c>
      <c r="M681" t="n">
        <v>0</v>
      </c>
      <c r="N681" t="n">
        <v>0</v>
      </c>
      <c r="O681" t="n">
        <v>0</v>
      </c>
      <c r="P681" t="n">
        <v>0</v>
      </c>
      <c r="Q681" t="n">
        <v>0</v>
      </c>
      <c r="R681" s="2" t="inlineStr"/>
    </row>
    <row r="682" ht="15" customHeight="1">
      <c r="A682" t="inlineStr">
        <is>
          <t>A 10650-2024</t>
        </is>
      </c>
      <c r="B682" s="1" t="n">
        <v>45368.64787037037</v>
      </c>
      <c r="C682" s="1" t="n">
        <v>45884</v>
      </c>
      <c r="D682" t="inlineStr">
        <is>
          <t>UPPSALA LÄN</t>
        </is>
      </c>
      <c r="E682" t="inlineStr">
        <is>
          <t>UPPSALA</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74023-2021</t>
        </is>
      </c>
      <c r="B683" s="1" t="n">
        <v>44553</v>
      </c>
      <c r="C683" s="1" t="n">
        <v>45884</v>
      </c>
      <c r="D683" t="inlineStr">
        <is>
          <t>UPPSALA LÄN</t>
        </is>
      </c>
      <c r="E683" t="inlineStr">
        <is>
          <t>UPPSALA</t>
        </is>
      </c>
      <c r="G683" t="n">
        <v>5.4</v>
      </c>
      <c r="H683" t="n">
        <v>0</v>
      </c>
      <c r="I683" t="n">
        <v>0</v>
      </c>
      <c r="J683" t="n">
        <v>0</v>
      </c>
      <c r="K683" t="n">
        <v>0</v>
      </c>
      <c r="L683" t="n">
        <v>0</v>
      </c>
      <c r="M683" t="n">
        <v>0</v>
      </c>
      <c r="N683" t="n">
        <v>0</v>
      </c>
      <c r="O683" t="n">
        <v>0</v>
      </c>
      <c r="P683" t="n">
        <v>0</v>
      </c>
      <c r="Q683" t="n">
        <v>0</v>
      </c>
      <c r="R683" s="2" t="inlineStr"/>
    </row>
    <row r="684" ht="15" customHeight="1">
      <c r="A684" t="inlineStr">
        <is>
          <t>A 44830-2023</t>
        </is>
      </c>
      <c r="B684" s="1" t="n">
        <v>45190</v>
      </c>
      <c r="C684" s="1" t="n">
        <v>45884</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73044-2021</t>
        </is>
      </c>
      <c r="B685" s="1" t="n">
        <v>44550.37994212963</v>
      </c>
      <c r="C685" s="1" t="n">
        <v>45884</v>
      </c>
      <c r="D685" t="inlineStr">
        <is>
          <t>UPPSALA LÄN</t>
        </is>
      </c>
      <c r="E685" t="inlineStr">
        <is>
          <t>UPPSALA</t>
        </is>
      </c>
      <c r="F685" t="inlineStr">
        <is>
          <t>Sveaskog</t>
        </is>
      </c>
      <c r="G685" t="n">
        <v>2.5</v>
      </c>
      <c r="H685" t="n">
        <v>0</v>
      </c>
      <c r="I685" t="n">
        <v>0</v>
      </c>
      <c r="J685" t="n">
        <v>0</v>
      </c>
      <c r="K685" t="n">
        <v>0</v>
      </c>
      <c r="L685" t="n">
        <v>0</v>
      </c>
      <c r="M685" t="n">
        <v>0</v>
      </c>
      <c r="N685" t="n">
        <v>0</v>
      </c>
      <c r="O685" t="n">
        <v>0</v>
      </c>
      <c r="P685" t="n">
        <v>0</v>
      </c>
      <c r="Q685" t="n">
        <v>0</v>
      </c>
      <c r="R685" s="2" t="inlineStr"/>
    </row>
    <row r="686" ht="15" customHeight="1">
      <c r="A686" t="inlineStr">
        <is>
          <t>A 19139-2023</t>
        </is>
      </c>
      <c r="B686" s="1" t="n">
        <v>45048.55349537037</v>
      </c>
      <c r="C686" s="1" t="n">
        <v>45884</v>
      </c>
      <c r="D686" t="inlineStr">
        <is>
          <t>UPPSALA LÄN</t>
        </is>
      </c>
      <c r="E686" t="inlineStr">
        <is>
          <t>UPPSALA</t>
        </is>
      </c>
      <c r="G686" t="n">
        <v>3</v>
      </c>
      <c r="H686" t="n">
        <v>0</v>
      </c>
      <c r="I686" t="n">
        <v>0</v>
      </c>
      <c r="J686" t="n">
        <v>0</v>
      </c>
      <c r="K686" t="n">
        <v>0</v>
      </c>
      <c r="L686" t="n">
        <v>0</v>
      </c>
      <c r="M686" t="n">
        <v>0</v>
      </c>
      <c r="N686" t="n">
        <v>0</v>
      </c>
      <c r="O686" t="n">
        <v>0</v>
      </c>
      <c r="P686" t="n">
        <v>0</v>
      </c>
      <c r="Q686" t="n">
        <v>0</v>
      </c>
      <c r="R686" s="2" t="inlineStr"/>
    </row>
    <row r="687" ht="15" customHeight="1">
      <c r="A687" t="inlineStr">
        <is>
          <t>A 1617-2021</t>
        </is>
      </c>
      <c r="B687" s="1" t="n">
        <v>44209</v>
      </c>
      <c r="C687" s="1" t="n">
        <v>45884</v>
      </c>
      <c r="D687" t="inlineStr">
        <is>
          <t>UPPSALA LÄN</t>
        </is>
      </c>
      <c r="E687" t="inlineStr">
        <is>
          <t>UPPSALA</t>
        </is>
      </c>
      <c r="G687" t="n">
        <v>2.5</v>
      </c>
      <c r="H687" t="n">
        <v>0</v>
      </c>
      <c r="I687" t="n">
        <v>0</v>
      </c>
      <c r="J687" t="n">
        <v>0</v>
      </c>
      <c r="K687" t="n">
        <v>0</v>
      </c>
      <c r="L687" t="n">
        <v>0</v>
      </c>
      <c r="M687" t="n">
        <v>0</v>
      </c>
      <c r="N687" t="n">
        <v>0</v>
      </c>
      <c r="O687" t="n">
        <v>0</v>
      </c>
      <c r="P687" t="n">
        <v>0</v>
      </c>
      <c r="Q687" t="n">
        <v>0</v>
      </c>
      <c r="R687" s="2" t="inlineStr"/>
    </row>
    <row r="688" ht="15" customHeight="1">
      <c r="A688" t="inlineStr">
        <is>
          <t>A 29799-2023</t>
        </is>
      </c>
      <c r="B688" s="1" t="n">
        <v>45107.53688657407</v>
      </c>
      <c r="C688" s="1" t="n">
        <v>45884</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46925-2024</t>
        </is>
      </c>
      <c r="B689" s="1" t="n">
        <v>45584.60038194444</v>
      </c>
      <c r="C689" s="1" t="n">
        <v>45884</v>
      </c>
      <c r="D689" t="inlineStr">
        <is>
          <t>UPPSALA LÄN</t>
        </is>
      </c>
      <c r="E689" t="inlineStr">
        <is>
          <t>UPPSALA</t>
        </is>
      </c>
      <c r="G689" t="n">
        <v>0.7</v>
      </c>
      <c r="H689" t="n">
        <v>0</v>
      </c>
      <c r="I689" t="n">
        <v>0</v>
      </c>
      <c r="J689" t="n">
        <v>0</v>
      </c>
      <c r="K689" t="n">
        <v>0</v>
      </c>
      <c r="L689" t="n">
        <v>0</v>
      </c>
      <c r="M689" t="n">
        <v>0</v>
      </c>
      <c r="N689" t="n">
        <v>0</v>
      </c>
      <c r="O689" t="n">
        <v>0</v>
      </c>
      <c r="P689" t="n">
        <v>0</v>
      </c>
      <c r="Q689" t="n">
        <v>0</v>
      </c>
      <c r="R689" s="2" t="inlineStr"/>
    </row>
    <row r="690" ht="15" customHeight="1">
      <c r="A690" t="inlineStr">
        <is>
          <t>A 179-2023</t>
        </is>
      </c>
      <c r="B690" s="1" t="n">
        <v>44928</v>
      </c>
      <c r="C690" s="1" t="n">
        <v>45884</v>
      </c>
      <c r="D690" t="inlineStr">
        <is>
          <t>UPPSALA LÄN</t>
        </is>
      </c>
      <c r="E690" t="inlineStr">
        <is>
          <t>UPPSALA</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21052-2023</t>
        </is>
      </c>
      <c r="B691" s="1" t="n">
        <v>45061</v>
      </c>
      <c r="C691" s="1" t="n">
        <v>45884</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26208-2023</t>
        </is>
      </c>
      <c r="B692" s="1" t="n">
        <v>45091</v>
      </c>
      <c r="C692" s="1" t="n">
        <v>45884</v>
      </c>
      <c r="D692" t="inlineStr">
        <is>
          <t>UPPSALA LÄN</t>
        </is>
      </c>
      <c r="E692" t="inlineStr">
        <is>
          <t>UPPSALA</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11260-2024</t>
        </is>
      </c>
      <c r="B693" s="1" t="n">
        <v>45371.67368055556</v>
      </c>
      <c r="C693" s="1" t="n">
        <v>45884</v>
      </c>
      <c r="D693" t="inlineStr">
        <is>
          <t>UPPSALA LÄN</t>
        </is>
      </c>
      <c r="E693" t="inlineStr">
        <is>
          <t>UPPSALA</t>
        </is>
      </c>
      <c r="G693" t="n">
        <v>1.9</v>
      </c>
      <c r="H693" t="n">
        <v>0</v>
      </c>
      <c r="I693" t="n">
        <v>0</v>
      </c>
      <c r="J693" t="n">
        <v>0</v>
      </c>
      <c r="K693" t="n">
        <v>0</v>
      </c>
      <c r="L693" t="n">
        <v>0</v>
      </c>
      <c r="M693" t="n">
        <v>0</v>
      </c>
      <c r="N693" t="n">
        <v>0</v>
      </c>
      <c r="O693" t="n">
        <v>0</v>
      </c>
      <c r="P693" t="n">
        <v>0</v>
      </c>
      <c r="Q693" t="n">
        <v>0</v>
      </c>
      <c r="R693" s="2" t="inlineStr"/>
    </row>
    <row r="694" ht="15" customHeight="1">
      <c r="A694" t="inlineStr">
        <is>
          <t>A 3973-2025</t>
        </is>
      </c>
      <c r="B694" s="1" t="n">
        <v>45684</v>
      </c>
      <c r="C694" s="1" t="n">
        <v>45884</v>
      </c>
      <c r="D694" t="inlineStr">
        <is>
          <t>UPPSALA LÄN</t>
        </is>
      </c>
      <c r="E694" t="inlineStr">
        <is>
          <t>UPPSALA</t>
        </is>
      </c>
      <c r="G694" t="n">
        <v>8</v>
      </c>
      <c r="H694" t="n">
        <v>0</v>
      </c>
      <c r="I694" t="n">
        <v>0</v>
      </c>
      <c r="J694" t="n">
        <v>0</v>
      </c>
      <c r="K694" t="n">
        <v>0</v>
      </c>
      <c r="L694" t="n">
        <v>0</v>
      </c>
      <c r="M694" t="n">
        <v>0</v>
      </c>
      <c r="N694" t="n">
        <v>0</v>
      </c>
      <c r="O694" t="n">
        <v>0</v>
      </c>
      <c r="P694" t="n">
        <v>0</v>
      </c>
      <c r="Q694" t="n">
        <v>0</v>
      </c>
      <c r="R694" s="2" t="inlineStr"/>
    </row>
    <row r="695" ht="15" customHeight="1">
      <c r="A695" t="inlineStr">
        <is>
          <t>A 16324-2024</t>
        </is>
      </c>
      <c r="B695" s="1" t="n">
        <v>45407.49721064815</v>
      </c>
      <c r="C695" s="1" t="n">
        <v>45884</v>
      </c>
      <c r="D695" t="inlineStr">
        <is>
          <t>UPPSALA LÄN</t>
        </is>
      </c>
      <c r="E695" t="inlineStr">
        <is>
          <t>UPPSALA</t>
        </is>
      </c>
      <c r="G695" t="n">
        <v>2.3</v>
      </c>
      <c r="H695" t="n">
        <v>0</v>
      </c>
      <c r="I695" t="n">
        <v>0</v>
      </c>
      <c r="J695" t="n">
        <v>0</v>
      </c>
      <c r="K695" t="n">
        <v>0</v>
      </c>
      <c r="L695" t="n">
        <v>0</v>
      </c>
      <c r="M695" t="n">
        <v>0</v>
      </c>
      <c r="N695" t="n">
        <v>0</v>
      </c>
      <c r="O695" t="n">
        <v>0</v>
      </c>
      <c r="P695" t="n">
        <v>0</v>
      </c>
      <c r="Q695" t="n">
        <v>0</v>
      </c>
      <c r="R695" s="2" t="inlineStr"/>
    </row>
    <row r="696" ht="15" customHeight="1">
      <c r="A696" t="inlineStr">
        <is>
          <t>A 62054-2024</t>
        </is>
      </c>
      <c r="B696" s="1" t="n">
        <v>45656</v>
      </c>
      <c r="C696" s="1" t="n">
        <v>45884</v>
      </c>
      <c r="D696" t="inlineStr">
        <is>
          <t>UPPSALA LÄN</t>
        </is>
      </c>
      <c r="E696" t="inlineStr">
        <is>
          <t>UPPSALA</t>
        </is>
      </c>
      <c r="F696" t="inlineStr">
        <is>
          <t>Övriga statliga verk och myndigheter</t>
        </is>
      </c>
      <c r="G696" t="n">
        <v>29.3</v>
      </c>
      <c r="H696" t="n">
        <v>0</v>
      </c>
      <c r="I696" t="n">
        <v>0</v>
      </c>
      <c r="J696" t="n">
        <v>0</v>
      </c>
      <c r="K696" t="n">
        <v>0</v>
      </c>
      <c r="L696" t="n">
        <v>0</v>
      </c>
      <c r="M696" t="n">
        <v>0</v>
      </c>
      <c r="N696" t="n">
        <v>0</v>
      </c>
      <c r="O696" t="n">
        <v>0</v>
      </c>
      <c r="P696" t="n">
        <v>0</v>
      </c>
      <c r="Q696" t="n">
        <v>0</v>
      </c>
      <c r="R696" s="2" t="inlineStr"/>
    </row>
    <row r="697" ht="15" customHeight="1">
      <c r="A697" t="inlineStr">
        <is>
          <t>A 9398-2023</t>
        </is>
      </c>
      <c r="B697" s="1" t="n">
        <v>44977</v>
      </c>
      <c r="C697" s="1" t="n">
        <v>45884</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42276-2024</t>
        </is>
      </c>
      <c r="B698" s="1" t="n">
        <v>45562</v>
      </c>
      <c r="C698" s="1" t="n">
        <v>45884</v>
      </c>
      <c r="D698" t="inlineStr">
        <is>
          <t>UPPSALA LÄN</t>
        </is>
      </c>
      <c r="E698" t="inlineStr">
        <is>
          <t>UPPSALA</t>
        </is>
      </c>
      <c r="G698" t="n">
        <v>2.2</v>
      </c>
      <c r="H698" t="n">
        <v>0</v>
      </c>
      <c r="I698" t="n">
        <v>0</v>
      </c>
      <c r="J698" t="n">
        <v>0</v>
      </c>
      <c r="K698" t="n">
        <v>0</v>
      </c>
      <c r="L698" t="n">
        <v>0</v>
      </c>
      <c r="M698" t="n">
        <v>0</v>
      </c>
      <c r="N698" t="n">
        <v>0</v>
      </c>
      <c r="O698" t="n">
        <v>0</v>
      </c>
      <c r="P698" t="n">
        <v>0</v>
      </c>
      <c r="Q698" t="n">
        <v>0</v>
      </c>
      <c r="R698" s="2" t="inlineStr"/>
    </row>
    <row r="699" ht="15" customHeight="1">
      <c r="A699" t="inlineStr">
        <is>
          <t>A 42131-2023</t>
        </is>
      </c>
      <c r="B699" s="1" t="n">
        <v>45177.79766203704</v>
      </c>
      <c r="C699" s="1" t="n">
        <v>45884</v>
      </c>
      <c r="D699" t="inlineStr">
        <is>
          <t>UPPSALA LÄN</t>
        </is>
      </c>
      <c r="E699" t="inlineStr">
        <is>
          <t>UPPSALA</t>
        </is>
      </c>
      <c r="F699" t="inlineStr">
        <is>
          <t>Allmännings- och besparingsskogar</t>
        </is>
      </c>
      <c r="G699" t="n">
        <v>6.3</v>
      </c>
      <c r="H699" t="n">
        <v>0</v>
      </c>
      <c r="I699" t="n">
        <v>0</v>
      </c>
      <c r="J699" t="n">
        <v>0</v>
      </c>
      <c r="K699" t="n">
        <v>0</v>
      </c>
      <c r="L699" t="n">
        <v>0</v>
      </c>
      <c r="M699" t="n">
        <v>0</v>
      </c>
      <c r="N699" t="n">
        <v>0</v>
      </c>
      <c r="O699" t="n">
        <v>0</v>
      </c>
      <c r="P699" t="n">
        <v>0</v>
      </c>
      <c r="Q699" t="n">
        <v>0</v>
      </c>
      <c r="R699" s="2" t="inlineStr"/>
    </row>
    <row r="700" ht="15" customHeight="1">
      <c r="A700" t="inlineStr">
        <is>
          <t>A 39548-2023</t>
        </is>
      </c>
      <c r="B700" s="1" t="n">
        <v>45167.3721412037</v>
      </c>
      <c r="C700" s="1" t="n">
        <v>45884</v>
      </c>
      <c r="D700" t="inlineStr">
        <is>
          <t>UPPSALA LÄN</t>
        </is>
      </c>
      <c r="E700" t="inlineStr">
        <is>
          <t>UPPSALA</t>
        </is>
      </c>
      <c r="G700" t="n">
        <v>3.4</v>
      </c>
      <c r="H700" t="n">
        <v>0</v>
      </c>
      <c r="I700" t="n">
        <v>0</v>
      </c>
      <c r="J700" t="n">
        <v>0</v>
      </c>
      <c r="K700" t="n">
        <v>0</v>
      </c>
      <c r="L700" t="n">
        <v>0</v>
      </c>
      <c r="M700" t="n">
        <v>0</v>
      </c>
      <c r="N700" t="n">
        <v>0</v>
      </c>
      <c r="O700" t="n">
        <v>0</v>
      </c>
      <c r="P700" t="n">
        <v>0</v>
      </c>
      <c r="Q700" t="n">
        <v>0</v>
      </c>
      <c r="R700" s="2" t="inlineStr"/>
    </row>
    <row r="701" ht="15" customHeight="1">
      <c r="A701" t="inlineStr">
        <is>
          <t>A 26099-2024</t>
        </is>
      </c>
      <c r="B701" s="1" t="n">
        <v>45468</v>
      </c>
      <c r="C701" s="1" t="n">
        <v>45884</v>
      </c>
      <c r="D701" t="inlineStr">
        <is>
          <t>UPPSALA LÄN</t>
        </is>
      </c>
      <c r="E701" t="inlineStr">
        <is>
          <t>UPPSALA</t>
        </is>
      </c>
      <c r="G701" t="n">
        <v>0.3</v>
      </c>
      <c r="H701" t="n">
        <v>0</v>
      </c>
      <c r="I701" t="n">
        <v>0</v>
      </c>
      <c r="J701" t="n">
        <v>0</v>
      </c>
      <c r="K701" t="n">
        <v>0</v>
      </c>
      <c r="L701" t="n">
        <v>0</v>
      </c>
      <c r="M701" t="n">
        <v>0</v>
      </c>
      <c r="N701" t="n">
        <v>0</v>
      </c>
      <c r="O701" t="n">
        <v>0</v>
      </c>
      <c r="P701" t="n">
        <v>0</v>
      </c>
      <c r="Q701" t="n">
        <v>0</v>
      </c>
      <c r="R701" s="2" t="inlineStr"/>
    </row>
    <row r="702" ht="15" customHeight="1">
      <c r="A702" t="inlineStr">
        <is>
          <t>A 56564-2024</t>
        </is>
      </c>
      <c r="B702" s="1" t="n">
        <v>45625.58501157408</v>
      </c>
      <c r="C702" s="1" t="n">
        <v>45884</v>
      </c>
      <c r="D702" t="inlineStr">
        <is>
          <t>UPPSALA LÄN</t>
        </is>
      </c>
      <c r="E702" t="inlineStr">
        <is>
          <t>UPPSALA</t>
        </is>
      </c>
      <c r="F702" t="inlineStr">
        <is>
          <t>Övriga Aktiebolag</t>
        </is>
      </c>
      <c r="G702" t="n">
        <v>1.8</v>
      </c>
      <c r="H702" t="n">
        <v>0</v>
      </c>
      <c r="I702" t="n">
        <v>0</v>
      </c>
      <c r="J702" t="n">
        <v>0</v>
      </c>
      <c r="K702" t="n">
        <v>0</v>
      </c>
      <c r="L702" t="n">
        <v>0</v>
      </c>
      <c r="M702" t="n">
        <v>0</v>
      </c>
      <c r="N702" t="n">
        <v>0</v>
      </c>
      <c r="O702" t="n">
        <v>0</v>
      </c>
      <c r="P702" t="n">
        <v>0</v>
      </c>
      <c r="Q702" t="n">
        <v>0</v>
      </c>
      <c r="R702" s="2" t="inlineStr"/>
    </row>
    <row r="703" ht="15" customHeight="1">
      <c r="A703" t="inlineStr">
        <is>
          <t>A 18675-2024</t>
        </is>
      </c>
      <c r="B703" s="1" t="n">
        <v>45426</v>
      </c>
      <c r="C703" s="1" t="n">
        <v>45884</v>
      </c>
      <c r="D703" t="inlineStr">
        <is>
          <t>UPPSALA LÄN</t>
        </is>
      </c>
      <c r="E703" t="inlineStr">
        <is>
          <t>UPPSALA</t>
        </is>
      </c>
      <c r="G703" t="n">
        <v>8.1</v>
      </c>
      <c r="H703" t="n">
        <v>0</v>
      </c>
      <c r="I703" t="n">
        <v>0</v>
      </c>
      <c r="J703" t="n">
        <v>0</v>
      </c>
      <c r="K703" t="n">
        <v>0</v>
      </c>
      <c r="L703" t="n">
        <v>0</v>
      </c>
      <c r="M703" t="n">
        <v>0</v>
      </c>
      <c r="N703" t="n">
        <v>0</v>
      </c>
      <c r="O703" t="n">
        <v>0</v>
      </c>
      <c r="P703" t="n">
        <v>0</v>
      </c>
      <c r="Q703" t="n">
        <v>0</v>
      </c>
      <c r="R703" s="2" t="inlineStr"/>
    </row>
    <row r="704" ht="15" customHeight="1">
      <c r="A704" t="inlineStr">
        <is>
          <t>A 17558-2022</t>
        </is>
      </c>
      <c r="B704" s="1" t="n">
        <v>44679.66694444444</v>
      </c>
      <c r="C704" s="1" t="n">
        <v>45884</v>
      </c>
      <c r="D704" t="inlineStr">
        <is>
          <t>UPPSALA LÄN</t>
        </is>
      </c>
      <c r="E704" t="inlineStr">
        <is>
          <t>UPPSALA</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33689-2023</t>
        </is>
      </c>
      <c r="B705" s="1" t="n">
        <v>45119</v>
      </c>
      <c r="C705" s="1" t="n">
        <v>45884</v>
      </c>
      <c r="D705" t="inlineStr">
        <is>
          <t>UPPSALA LÄN</t>
        </is>
      </c>
      <c r="E705" t="inlineStr">
        <is>
          <t>UPPSALA</t>
        </is>
      </c>
      <c r="G705" t="n">
        <v>2.2</v>
      </c>
      <c r="H705" t="n">
        <v>0</v>
      </c>
      <c r="I705" t="n">
        <v>0</v>
      </c>
      <c r="J705" t="n">
        <v>0</v>
      </c>
      <c r="K705" t="n">
        <v>0</v>
      </c>
      <c r="L705" t="n">
        <v>0</v>
      </c>
      <c r="M705" t="n">
        <v>0</v>
      </c>
      <c r="N705" t="n">
        <v>0</v>
      </c>
      <c r="O705" t="n">
        <v>0</v>
      </c>
      <c r="P705" t="n">
        <v>0</v>
      </c>
      <c r="Q705" t="n">
        <v>0</v>
      </c>
      <c r="R705" s="2" t="inlineStr"/>
    </row>
    <row r="706" ht="15" customHeight="1">
      <c r="A706" t="inlineStr">
        <is>
          <t>A 18626-2025</t>
        </is>
      </c>
      <c r="B706" s="1" t="n">
        <v>45763.52995370371</v>
      </c>
      <c r="C706" s="1" t="n">
        <v>45884</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4980-2024</t>
        </is>
      </c>
      <c r="B707" s="1" t="n">
        <v>45329</v>
      </c>
      <c r="C707" s="1" t="n">
        <v>45884</v>
      </c>
      <c r="D707" t="inlineStr">
        <is>
          <t>UPPSALA LÄN</t>
        </is>
      </c>
      <c r="E707" t="inlineStr">
        <is>
          <t>UPPSALA</t>
        </is>
      </c>
      <c r="G707" t="n">
        <v>10.8</v>
      </c>
      <c r="H707" t="n">
        <v>0</v>
      </c>
      <c r="I707" t="n">
        <v>0</v>
      </c>
      <c r="J707" t="n">
        <v>0</v>
      </c>
      <c r="K707" t="n">
        <v>0</v>
      </c>
      <c r="L707" t="n">
        <v>0</v>
      </c>
      <c r="M707" t="n">
        <v>0</v>
      </c>
      <c r="N707" t="n">
        <v>0</v>
      </c>
      <c r="O707" t="n">
        <v>0</v>
      </c>
      <c r="P707" t="n">
        <v>0</v>
      </c>
      <c r="Q707" t="n">
        <v>0</v>
      </c>
      <c r="R707" s="2" t="inlineStr"/>
    </row>
    <row r="708" ht="15" customHeight="1">
      <c r="A708" t="inlineStr">
        <is>
          <t>A 57271-2020</t>
        </is>
      </c>
      <c r="B708" s="1" t="n">
        <v>44139</v>
      </c>
      <c r="C708" s="1" t="n">
        <v>45884</v>
      </c>
      <c r="D708" t="inlineStr">
        <is>
          <t>UPPSALA LÄN</t>
        </is>
      </c>
      <c r="E708" t="inlineStr">
        <is>
          <t>UPPSALA</t>
        </is>
      </c>
      <c r="G708" t="n">
        <v>3.8</v>
      </c>
      <c r="H708" t="n">
        <v>0</v>
      </c>
      <c r="I708" t="n">
        <v>0</v>
      </c>
      <c r="J708" t="n">
        <v>0</v>
      </c>
      <c r="K708" t="n">
        <v>0</v>
      </c>
      <c r="L708" t="n">
        <v>0</v>
      </c>
      <c r="M708" t="n">
        <v>0</v>
      </c>
      <c r="N708" t="n">
        <v>0</v>
      </c>
      <c r="O708" t="n">
        <v>0</v>
      </c>
      <c r="P708" t="n">
        <v>0</v>
      </c>
      <c r="Q708" t="n">
        <v>0</v>
      </c>
      <c r="R708" s="2" t="inlineStr"/>
    </row>
    <row r="709" ht="15" customHeight="1">
      <c r="A709" t="inlineStr">
        <is>
          <t>A 3183-2024</t>
        </is>
      </c>
      <c r="B709" s="1" t="n">
        <v>45316</v>
      </c>
      <c r="C709" s="1" t="n">
        <v>45884</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750-2022</t>
        </is>
      </c>
      <c r="B710" s="1" t="n">
        <v>44569.49344907407</v>
      </c>
      <c r="C710" s="1" t="n">
        <v>45884</v>
      </c>
      <c r="D710" t="inlineStr">
        <is>
          <t>UPPSALA LÄN</t>
        </is>
      </c>
      <c r="E710" t="inlineStr">
        <is>
          <t>UPPSALA</t>
        </is>
      </c>
      <c r="F710" t="inlineStr">
        <is>
          <t>Holmen skog AB</t>
        </is>
      </c>
      <c r="G710" t="n">
        <v>6</v>
      </c>
      <c r="H710" t="n">
        <v>0</v>
      </c>
      <c r="I710" t="n">
        <v>0</v>
      </c>
      <c r="J710" t="n">
        <v>0</v>
      </c>
      <c r="K710" t="n">
        <v>0</v>
      </c>
      <c r="L710" t="n">
        <v>0</v>
      </c>
      <c r="M710" t="n">
        <v>0</v>
      </c>
      <c r="N710" t="n">
        <v>0</v>
      </c>
      <c r="O710" t="n">
        <v>0</v>
      </c>
      <c r="P710" t="n">
        <v>0</v>
      </c>
      <c r="Q710" t="n">
        <v>0</v>
      </c>
      <c r="R710" s="2" t="inlineStr"/>
    </row>
    <row r="711" ht="15" customHeight="1">
      <c r="A711" t="inlineStr">
        <is>
          <t>A 46751-2024</t>
        </is>
      </c>
      <c r="B711" s="1" t="n">
        <v>45583.48449074074</v>
      </c>
      <c r="C711" s="1" t="n">
        <v>45884</v>
      </c>
      <c r="D711" t="inlineStr">
        <is>
          <t>UPPSALA LÄN</t>
        </is>
      </c>
      <c r="E711" t="inlineStr">
        <is>
          <t>UPPSALA</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53569-2024</t>
        </is>
      </c>
      <c r="B712" s="1" t="n">
        <v>45614.65928240741</v>
      </c>
      <c r="C712" s="1" t="n">
        <v>45884</v>
      </c>
      <c r="D712" t="inlineStr">
        <is>
          <t>UPPSALA LÄN</t>
        </is>
      </c>
      <c r="E712" t="inlineStr">
        <is>
          <t>UPPSALA</t>
        </is>
      </c>
      <c r="G712" t="n">
        <v>2.7</v>
      </c>
      <c r="H712" t="n">
        <v>0</v>
      </c>
      <c r="I712" t="n">
        <v>0</v>
      </c>
      <c r="J712" t="n">
        <v>0</v>
      </c>
      <c r="K712" t="n">
        <v>0</v>
      </c>
      <c r="L712" t="n">
        <v>0</v>
      </c>
      <c r="M712" t="n">
        <v>0</v>
      </c>
      <c r="N712" t="n">
        <v>0</v>
      </c>
      <c r="O712" t="n">
        <v>0</v>
      </c>
      <c r="P712" t="n">
        <v>0</v>
      </c>
      <c r="Q712" t="n">
        <v>0</v>
      </c>
      <c r="R712" s="2" t="inlineStr"/>
    </row>
    <row r="713" ht="15" customHeight="1">
      <c r="A713" t="inlineStr">
        <is>
          <t>A 69436-2021</t>
        </is>
      </c>
      <c r="B713" s="1" t="n">
        <v>44531</v>
      </c>
      <c r="C713" s="1" t="n">
        <v>45884</v>
      </c>
      <c r="D713" t="inlineStr">
        <is>
          <t>UPPSALA LÄN</t>
        </is>
      </c>
      <c r="E713" t="inlineStr">
        <is>
          <t>UPPSALA</t>
        </is>
      </c>
      <c r="G713" t="n">
        <v>1.1</v>
      </c>
      <c r="H713" t="n">
        <v>0</v>
      </c>
      <c r="I713" t="n">
        <v>0</v>
      </c>
      <c r="J713" t="n">
        <v>0</v>
      </c>
      <c r="K713" t="n">
        <v>0</v>
      </c>
      <c r="L713" t="n">
        <v>0</v>
      </c>
      <c r="M713" t="n">
        <v>0</v>
      </c>
      <c r="N713" t="n">
        <v>0</v>
      </c>
      <c r="O713" t="n">
        <v>0</v>
      </c>
      <c r="P713" t="n">
        <v>0</v>
      </c>
      <c r="Q713" t="n">
        <v>0</v>
      </c>
      <c r="R713" s="2" t="inlineStr"/>
    </row>
    <row r="714" ht="15" customHeight="1">
      <c r="A714" t="inlineStr">
        <is>
          <t>A 7253-2024</t>
        </is>
      </c>
      <c r="B714" s="1" t="n">
        <v>45344.69567129629</v>
      </c>
      <c r="C714" s="1" t="n">
        <v>45884</v>
      </c>
      <c r="D714" t="inlineStr">
        <is>
          <t>UPPSALA LÄN</t>
        </is>
      </c>
      <c r="E714" t="inlineStr">
        <is>
          <t>UPPSALA</t>
        </is>
      </c>
      <c r="F714" t="inlineStr">
        <is>
          <t>Kyrkan</t>
        </is>
      </c>
      <c r="G714" t="n">
        <v>2.5</v>
      </c>
      <c r="H714" t="n">
        <v>0</v>
      </c>
      <c r="I714" t="n">
        <v>0</v>
      </c>
      <c r="J714" t="n">
        <v>0</v>
      </c>
      <c r="K714" t="n">
        <v>0</v>
      </c>
      <c r="L714" t="n">
        <v>0</v>
      </c>
      <c r="M714" t="n">
        <v>0</v>
      </c>
      <c r="N714" t="n">
        <v>0</v>
      </c>
      <c r="O714" t="n">
        <v>0</v>
      </c>
      <c r="P714" t="n">
        <v>0</v>
      </c>
      <c r="Q714" t="n">
        <v>0</v>
      </c>
      <c r="R714" s="2" t="inlineStr"/>
    </row>
    <row r="715" ht="15" customHeight="1">
      <c r="A715" t="inlineStr">
        <is>
          <t>A 5764-2025</t>
        </is>
      </c>
      <c r="B715" s="1" t="n">
        <v>45694</v>
      </c>
      <c r="C715" s="1" t="n">
        <v>45884</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22930-2025</t>
        </is>
      </c>
      <c r="B716" s="1" t="n">
        <v>45790.44972222222</v>
      </c>
      <c r="C716" s="1" t="n">
        <v>45884</v>
      </c>
      <c r="D716" t="inlineStr">
        <is>
          <t>UPPSALA LÄN</t>
        </is>
      </c>
      <c r="E716" t="inlineStr">
        <is>
          <t>UPPSALA</t>
        </is>
      </c>
      <c r="G716" t="n">
        <v>7.7</v>
      </c>
      <c r="H716" t="n">
        <v>0</v>
      </c>
      <c r="I716" t="n">
        <v>0</v>
      </c>
      <c r="J716" t="n">
        <v>0</v>
      </c>
      <c r="K716" t="n">
        <v>0</v>
      </c>
      <c r="L716" t="n">
        <v>0</v>
      </c>
      <c r="M716" t="n">
        <v>0</v>
      </c>
      <c r="N716" t="n">
        <v>0</v>
      </c>
      <c r="O716" t="n">
        <v>0</v>
      </c>
      <c r="P716" t="n">
        <v>0</v>
      </c>
      <c r="Q716" t="n">
        <v>0</v>
      </c>
      <c r="R716" s="2" t="inlineStr"/>
    </row>
    <row r="717" ht="15" customHeight="1">
      <c r="A717" t="inlineStr">
        <is>
          <t>A 11339-2025</t>
        </is>
      </c>
      <c r="B717" s="1" t="n">
        <v>45726</v>
      </c>
      <c r="C717" s="1" t="n">
        <v>45884</v>
      </c>
      <c r="D717" t="inlineStr">
        <is>
          <t>UPPSALA LÄN</t>
        </is>
      </c>
      <c r="E717" t="inlineStr">
        <is>
          <t>UPPSALA</t>
        </is>
      </c>
      <c r="G717" t="n">
        <v>13.4</v>
      </c>
      <c r="H717" t="n">
        <v>0</v>
      </c>
      <c r="I717" t="n">
        <v>0</v>
      </c>
      <c r="J717" t="n">
        <v>0</v>
      </c>
      <c r="K717" t="n">
        <v>0</v>
      </c>
      <c r="L717" t="n">
        <v>0</v>
      </c>
      <c r="M717" t="n">
        <v>0</v>
      </c>
      <c r="N717" t="n">
        <v>0</v>
      </c>
      <c r="O717" t="n">
        <v>0</v>
      </c>
      <c r="P717" t="n">
        <v>0</v>
      </c>
      <c r="Q717" t="n">
        <v>0</v>
      </c>
      <c r="R717" s="2" t="inlineStr"/>
    </row>
    <row r="718" ht="15" customHeight="1">
      <c r="A718" t="inlineStr">
        <is>
          <t>A 22953-2025</t>
        </is>
      </c>
      <c r="B718" s="1" t="n">
        <v>45790.51186342593</v>
      </c>
      <c r="C718" s="1" t="n">
        <v>45884</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22951-2025</t>
        </is>
      </c>
      <c r="B719" s="1" t="n">
        <v>45790.51040509259</v>
      </c>
      <c r="C719" s="1" t="n">
        <v>45884</v>
      </c>
      <c r="D719" t="inlineStr">
        <is>
          <t>UPPSALA LÄN</t>
        </is>
      </c>
      <c r="E719" t="inlineStr">
        <is>
          <t>UPPSALA</t>
        </is>
      </c>
      <c r="G719" t="n">
        <v>0.9</v>
      </c>
      <c r="H719" t="n">
        <v>0</v>
      </c>
      <c r="I719" t="n">
        <v>0</v>
      </c>
      <c r="J719" t="n">
        <v>0</v>
      </c>
      <c r="K719" t="n">
        <v>0</v>
      </c>
      <c r="L719" t="n">
        <v>0</v>
      </c>
      <c r="M719" t="n">
        <v>0</v>
      </c>
      <c r="N719" t="n">
        <v>0</v>
      </c>
      <c r="O719" t="n">
        <v>0</v>
      </c>
      <c r="P719" t="n">
        <v>0</v>
      </c>
      <c r="Q719" t="n">
        <v>0</v>
      </c>
      <c r="R719" s="2" t="inlineStr"/>
    </row>
    <row r="720" ht="15" customHeight="1">
      <c r="A720" t="inlineStr">
        <is>
          <t>A 63307-2021</t>
        </is>
      </c>
      <c r="B720" s="1" t="n">
        <v>44508.44033564815</v>
      </c>
      <c r="C720" s="1" t="n">
        <v>45884</v>
      </c>
      <c r="D720" t="inlineStr">
        <is>
          <t>UPPSALA LÄN</t>
        </is>
      </c>
      <c r="E720" t="inlineStr">
        <is>
          <t>UPPSALA</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13128-2022</t>
        </is>
      </c>
      <c r="B721" s="1" t="n">
        <v>44644.37548611111</v>
      </c>
      <c r="C721" s="1" t="n">
        <v>45884</v>
      </c>
      <c r="D721" t="inlineStr">
        <is>
          <t>UPPSALA LÄN</t>
        </is>
      </c>
      <c r="E721" t="inlineStr">
        <is>
          <t>UPPSALA</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18808-2024</t>
        </is>
      </c>
      <c r="B722" s="1" t="n">
        <v>45426.61569444444</v>
      </c>
      <c r="C722" s="1" t="n">
        <v>45884</v>
      </c>
      <c r="D722" t="inlineStr">
        <is>
          <t>UPPSALA LÄN</t>
        </is>
      </c>
      <c r="E722" t="inlineStr">
        <is>
          <t>UPPSALA</t>
        </is>
      </c>
      <c r="G722" t="n">
        <v>11.5</v>
      </c>
      <c r="H722" t="n">
        <v>0</v>
      </c>
      <c r="I722" t="n">
        <v>0</v>
      </c>
      <c r="J722" t="n">
        <v>0</v>
      </c>
      <c r="K722" t="n">
        <v>0</v>
      </c>
      <c r="L722" t="n">
        <v>0</v>
      </c>
      <c r="M722" t="n">
        <v>0</v>
      </c>
      <c r="N722" t="n">
        <v>0</v>
      </c>
      <c r="O722" t="n">
        <v>0</v>
      </c>
      <c r="P722" t="n">
        <v>0</v>
      </c>
      <c r="Q722" t="n">
        <v>0</v>
      </c>
      <c r="R722" s="2" t="inlineStr"/>
    </row>
    <row r="723" ht="15" customHeight="1">
      <c r="A723" t="inlineStr">
        <is>
          <t>A 30319-2024</t>
        </is>
      </c>
      <c r="B723" s="1" t="n">
        <v>45490</v>
      </c>
      <c r="C723" s="1" t="n">
        <v>45884</v>
      </c>
      <c r="D723" t="inlineStr">
        <is>
          <t>UPPSALA LÄN</t>
        </is>
      </c>
      <c r="E723" t="inlineStr">
        <is>
          <t>UPPSALA</t>
        </is>
      </c>
      <c r="G723" t="n">
        <v>2.3</v>
      </c>
      <c r="H723" t="n">
        <v>0</v>
      </c>
      <c r="I723" t="n">
        <v>0</v>
      </c>
      <c r="J723" t="n">
        <v>0</v>
      </c>
      <c r="K723" t="n">
        <v>0</v>
      </c>
      <c r="L723" t="n">
        <v>0</v>
      </c>
      <c r="M723" t="n">
        <v>0</v>
      </c>
      <c r="N723" t="n">
        <v>0</v>
      </c>
      <c r="O723" t="n">
        <v>0</v>
      </c>
      <c r="P723" t="n">
        <v>0</v>
      </c>
      <c r="Q723" t="n">
        <v>0</v>
      </c>
      <c r="R723" s="2" t="inlineStr"/>
    </row>
    <row r="724" ht="15" customHeight="1">
      <c r="A724" t="inlineStr">
        <is>
          <t>A 45885-2023</t>
        </is>
      </c>
      <c r="B724" s="1" t="n">
        <v>45195.64807870371</v>
      </c>
      <c r="C724" s="1" t="n">
        <v>45884</v>
      </c>
      <c r="D724" t="inlineStr">
        <is>
          <t>UPPSALA LÄN</t>
        </is>
      </c>
      <c r="E724" t="inlineStr">
        <is>
          <t>UPPSALA</t>
        </is>
      </c>
      <c r="G724" t="n">
        <v>6.5</v>
      </c>
      <c r="H724" t="n">
        <v>0</v>
      </c>
      <c r="I724" t="n">
        <v>0</v>
      </c>
      <c r="J724" t="n">
        <v>0</v>
      </c>
      <c r="K724" t="n">
        <v>0</v>
      </c>
      <c r="L724" t="n">
        <v>0</v>
      </c>
      <c r="M724" t="n">
        <v>0</v>
      </c>
      <c r="N724" t="n">
        <v>0</v>
      </c>
      <c r="O724" t="n">
        <v>0</v>
      </c>
      <c r="P724" t="n">
        <v>0</v>
      </c>
      <c r="Q724" t="n">
        <v>0</v>
      </c>
      <c r="R724" s="2" t="inlineStr"/>
    </row>
    <row r="725" ht="15" customHeight="1">
      <c r="A725" t="inlineStr">
        <is>
          <t>A 43855-2023</t>
        </is>
      </c>
      <c r="B725" s="1" t="n">
        <v>45187.61136574074</v>
      </c>
      <c r="C725" s="1" t="n">
        <v>45884</v>
      </c>
      <c r="D725" t="inlineStr">
        <is>
          <t>UPPSALA LÄN</t>
        </is>
      </c>
      <c r="E725" t="inlineStr">
        <is>
          <t>UPPSALA</t>
        </is>
      </c>
      <c r="F725" t="inlineStr">
        <is>
          <t>Bergvik skog öst AB</t>
        </is>
      </c>
      <c r="G725" t="n">
        <v>2</v>
      </c>
      <c r="H725" t="n">
        <v>0</v>
      </c>
      <c r="I725" t="n">
        <v>0</v>
      </c>
      <c r="J725" t="n">
        <v>0</v>
      </c>
      <c r="K725" t="n">
        <v>0</v>
      </c>
      <c r="L725" t="n">
        <v>0</v>
      </c>
      <c r="M725" t="n">
        <v>0</v>
      </c>
      <c r="N725" t="n">
        <v>0</v>
      </c>
      <c r="O725" t="n">
        <v>0</v>
      </c>
      <c r="P725" t="n">
        <v>0</v>
      </c>
      <c r="Q725" t="n">
        <v>0</v>
      </c>
      <c r="R725" s="2" t="inlineStr"/>
    </row>
    <row r="726" ht="15" customHeight="1">
      <c r="A726" t="inlineStr">
        <is>
          <t>A 69432-2021</t>
        </is>
      </c>
      <c r="B726" s="1" t="n">
        <v>44531</v>
      </c>
      <c r="C726" s="1" t="n">
        <v>45884</v>
      </c>
      <c r="D726" t="inlineStr">
        <is>
          <t>UPPSALA LÄN</t>
        </is>
      </c>
      <c r="E726" t="inlineStr">
        <is>
          <t>UPPSALA</t>
        </is>
      </c>
      <c r="G726" t="n">
        <v>1.7</v>
      </c>
      <c r="H726" t="n">
        <v>0</v>
      </c>
      <c r="I726" t="n">
        <v>0</v>
      </c>
      <c r="J726" t="n">
        <v>0</v>
      </c>
      <c r="K726" t="n">
        <v>0</v>
      </c>
      <c r="L726" t="n">
        <v>0</v>
      </c>
      <c r="M726" t="n">
        <v>0</v>
      </c>
      <c r="N726" t="n">
        <v>0</v>
      </c>
      <c r="O726" t="n">
        <v>0</v>
      </c>
      <c r="P726" t="n">
        <v>0</v>
      </c>
      <c r="Q726" t="n">
        <v>0</v>
      </c>
      <c r="R726" s="2" t="inlineStr"/>
    </row>
    <row r="727" ht="15" customHeight="1">
      <c r="A727" t="inlineStr">
        <is>
          <t>A 37763-2021</t>
        </is>
      </c>
      <c r="B727" s="1" t="n">
        <v>44400.6750925926</v>
      </c>
      <c r="C727" s="1" t="n">
        <v>45884</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69595-2021</t>
        </is>
      </c>
      <c r="B728" s="1" t="n">
        <v>44532</v>
      </c>
      <c r="C728" s="1" t="n">
        <v>45884</v>
      </c>
      <c r="D728" t="inlineStr">
        <is>
          <t>UPPSALA LÄN</t>
        </is>
      </c>
      <c r="E728" t="inlineStr">
        <is>
          <t>UPPSALA</t>
        </is>
      </c>
      <c r="G728" t="n">
        <v>3.9</v>
      </c>
      <c r="H728" t="n">
        <v>0</v>
      </c>
      <c r="I728" t="n">
        <v>0</v>
      </c>
      <c r="J728" t="n">
        <v>0</v>
      </c>
      <c r="K728" t="n">
        <v>0</v>
      </c>
      <c r="L728" t="n">
        <v>0</v>
      </c>
      <c r="M728" t="n">
        <v>0</v>
      </c>
      <c r="N728" t="n">
        <v>0</v>
      </c>
      <c r="O728" t="n">
        <v>0</v>
      </c>
      <c r="P728" t="n">
        <v>0</v>
      </c>
      <c r="Q728" t="n">
        <v>0</v>
      </c>
      <c r="R728" s="2" t="inlineStr"/>
    </row>
    <row r="729" ht="15" customHeight="1">
      <c r="A729" t="inlineStr">
        <is>
          <t>A 20903-2024</t>
        </is>
      </c>
      <c r="B729" s="1" t="n">
        <v>45439</v>
      </c>
      <c r="C729" s="1" t="n">
        <v>45884</v>
      </c>
      <c r="D729" t="inlineStr">
        <is>
          <t>UPPSALA LÄN</t>
        </is>
      </c>
      <c r="E729" t="inlineStr">
        <is>
          <t>UPPSALA</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32479-2025</t>
        </is>
      </c>
      <c r="B730" s="1" t="n">
        <v>45838.43185185185</v>
      </c>
      <c r="C730" s="1" t="n">
        <v>45884</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5876-2024</t>
        </is>
      </c>
      <c r="B731" s="1" t="n">
        <v>45335.66331018518</v>
      </c>
      <c r="C731" s="1" t="n">
        <v>45884</v>
      </c>
      <c r="D731" t="inlineStr">
        <is>
          <t>UPPSALA LÄN</t>
        </is>
      </c>
      <c r="E731" t="inlineStr">
        <is>
          <t>UPPSALA</t>
        </is>
      </c>
      <c r="F731" t="inlineStr">
        <is>
          <t>Kyrkan</t>
        </is>
      </c>
      <c r="G731" t="n">
        <v>1.7</v>
      </c>
      <c r="H731" t="n">
        <v>0</v>
      </c>
      <c r="I731" t="n">
        <v>0</v>
      </c>
      <c r="J731" t="n">
        <v>0</v>
      </c>
      <c r="K731" t="n">
        <v>0</v>
      </c>
      <c r="L731" t="n">
        <v>0</v>
      </c>
      <c r="M731" t="n">
        <v>0</v>
      </c>
      <c r="N731" t="n">
        <v>0</v>
      </c>
      <c r="O731" t="n">
        <v>0</v>
      </c>
      <c r="P731" t="n">
        <v>0</v>
      </c>
      <c r="Q731" t="n">
        <v>0</v>
      </c>
      <c r="R731" s="2" t="inlineStr"/>
    </row>
    <row r="732" ht="15" customHeight="1">
      <c r="A732" t="inlineStr">
        <is>
          <t>A 3214-2023</t>
        </is>
      </c>
      <c r="B732" s="1" t="n">
        <v>44944</v>
      </c>
      <c r="C732" s="1" t="n">
        <v>45884</v>
      </c>
      <c r="D732" t="inlineStr">
        <is>
          <t>UPPSALA LÄN</t>
        </is>
      </c>
      <c r="E732" t="inlineStr">
        <is>
          <t>UPPSALA</t>
        </is>
      </c>
      <c r="G732" t="n">
        <v>4.1</v>
      </c>
      <c r="H732" t="n">
        <v>0</v>
      </c>
      <c r="I732" t="n">
        <v>0</v>
      </c>
      <c r="J732" t="n">
        <v>0</v>
      </c>
      <c r="K732" t="n">
        <v>0</v>
      </c>
      <c r="L732" t="n">
        <v>0</v>
      </c>
      <c r="M732" t="n">
        <v>0</v>
      </c>
      <c r="N732" t="n">
        <v>0</v>
      </c>
      <c r="O732" t="n">
        <v>0</v>
      </c>
      <c r="P732" t="n">
        <v>0</v>
      </c>
      <c r="Q732" t="n">
        <v>0</v>
      </c>
      <c r="R732" s="2" t="inlineStr"/>
    </row>
    <row r="733" ht="15" customHeight="1">
      <c r="A733" t="inlineStr">
        <is>
          <t>A 59098-2024</t>
        </is>
      </c>
      <c r="B733" s="1" t="n">
        <v>45636</v>
      </c>
      <c r="C733" s="1" t="n">
        <v>45884</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24268-2025</t>
        </is>
      </c>
      <c r="B734" s="1" t="n">
        <v>45797.42777777778</v>
      </c>
      <c r="C734" s="1" t="n">
        <v>45884</v>
      </c>
      <c r="D734" t="inlineStr">
        <is>
          <t>UPPSALA LÄN</t>
        </is>
      </c>
      <c r="E734" t="inlineStr">
        <is>
          <t>UPPSALA</t>
        </is>
      </c>
      <c r="G734" t="n">
        <v>2.5</v>
      </c>
      <c r="H734" t="n">
        <v>0</v>
      </c>
      <c r="I734" t="n">
        <v>0</v>
      </c>
      <c r="J734" t="n">
        <v>0</v>
      </c>
      <c r="K734" t="n">
        <v>0</v>
      </c>
      <c r="L734" t="n">
        <v>0</v>
      </c>
      <c r="M734" t="n">
        <v>0</v>
      </c>
      <c r="N734" t="n">
        <v>0</v>
      </c>
      <c r="O734" t="n">
        <v>0</v>
      </c>
      <c r="P734" t="n">
        <v>0</v>
      </c>
      <c r="Q734" t="n">
        <v>0</v>
      </c>
      <c r="R734" s="2" t="inlineStr"/>
    </row>
    <row r="735" ht="15" customHeight="1">
      <c r="A735" t="inlineStr">
        <is>
          <t>A 14026-2021</t>
        </is>
      </c>
      <c r="B735" s="1" t="n">
        <v>44277.65650462963</v>
      </c>
      <c r="C735" s="1" t="n">
        <v>45884</v>
      </c>
      <c r="D735" t="inlineStr">
        <is>
          <t>UPPSALA LÄN</t>
        </is>
      </c>
      <c r="E735" t="inlineStr">
        <is>
          <t>UPPSALA</t>
        </is>
      </c>
      <c r="G735" t="n">
        <v>3.5</v>
      </c>
      <c r="H735" t="n">
        <v>0</v>
      </c>
      <c r="I735" t="n">
        <v>0</v>
      </c>
      <c r="J735" t="n">
        <v>0</v>
      </c>
      <c r="K735" t="n">
        <v>0</v>
      </c>
      <c r="L735" t="n">
        <v>0</v>
      </c>
      <c r="M735" t="n">
        <v>0</v>
      </c>
      <c r="N735" t="n">
        <v>0</v>
      </c>
      <c r="O735" t="n">
        <v>0</v>
      </c>
      <c r="P735" t="n">
        <v>0</v>
      </c>
      <c r="Q735" t="n">
        <v>0</v>
      </c>
      <c r="R735" s="2" t="inlineStr"/>
    </row>
    <row r="736" ht="15" customHeight="1">
      <c r="A736" t="inlineStr">
        <is>
          <t>A 38190-2023</t>
        </is>
      </c>
      <c r="B736" s="1" t="n">
        <v>45161</v>
      </c>
      <c r="C736" s="1" t="n">
        <v>45884</v>
      </c>
      <c r="D736" t="inlineStr">
        <is>
          <t>UPPSALA LÄN</t>
        </is>
      </c>
      <c r="E736" t="inlineStr">
        <is>
          <t>UPPSALA</t>
        </is>
      </c>
      <c r="G736" t="n">
        <v>0.4</v>
      </c>
      <c r="H736" t="n">
        <v>0</v>
      </c>
      <c r="I736" t="n">
        <v>0</v>
      </c>
      <c r="J736" t="n">
        <v>0</v>
      </c>
      <c r="K736" t="n">
        <v>0</v>
      </c>
      <c r="L736" t="n">
        <v>0</v>
      </c>
      <c r="M736" t="n">
        <v>0</v>
      </c>
      <c r="N736" t="n">
        <v>0</v>
      </c>
      <c r="O736" t="n">
        <v>0</v>
      </c>
      <c r="P736" t="n">
        <v>0</v>
      </c>
      <c r="Q736" t="n">
        <v>0</v>
      </c>
      <c r="R736" s="2" t="inlineStr"/>
    </row>
    <row r="737" ht="15" customHeight="1">
      <c r="A737" t="inlineStr">
        <is>
          <t>A 24284-2025</t>
        </is>
      </c>
      <c r="B737" s="1" t="n">
        <v>45797.45900462963</v>
      </c>
      <c r="C737" s="1" t="n">
        <v>45884</v>
      </c>
      <c r="D737" t="inlineStr">
        <is>
          <t>UPPSALA LÄN</t>
        </is>
      </c>
      <c r="E737" t="inlineStr">
        <is>
          <t>UPPSALA</t>
        </is>
      </c>
      <c r="F737" t="inlineStr">
        <is>
          <t>Holmen skog AB</t>
        </is>
      </c>
      <c r="G737" t="n">
        <v>12.7</v>
      </c>
      <c r="H737" t="n">
        <v>0</v>
      </c>
      <c r="I737" t="n">
        <v>0</v>
      </c>
      <c r="J737" t="n">
        <v>0</v>
      </c>
      <c r="K737" t="n">
        <v>0</v>
      </c>
      <c r="L737" t="n">
        <v>0</v>
      </c>
      <c r="M737" t="n">
        <v>0</v>
      </c>
      <c r="N737" t="n">
        <v>0</v>
      </c>
      <c r="O737" t="n">
        <v>0</v>
      </c>
      <c r="P737" t="n">
        <v>0</v>
      </c>
      <c r="Q737" t="n">
        <v>0</v>
      </c>
      <c r="R737" s="2" t="inlineStr"/>
    </row>
    <row r="738" ht="15" customHeight="1">
      <c r="A738" t="inlineStr">
        <is>
          <t>A 54924-2024</t>
        </is>
      </c>
      <c r="B738" s="1" t="n">
        <v>45618.71140046296</v>
      </c>
      <c r="C738" s="1" t="n">
        <v>45884</v>
      </c>
      <c r="D738" t="inlineStr">
        <is>
          <t>UPPSALA LÄN</t>
        </is>
      </c>
      <c r="E738" t="inlineStr">
        <is>
          <t>UPPSALA</t>
        </is>
      </c>
      <c r="G738" t="n">
        <v>2.4</v>
      </c>
      <c r="H738" t="n">
        <v>0</v>
      </c>
      <c r="I738" t="n">
        <v>0</v>
      </c>
      <c r="J738" t="n">
        <v>0</v>
      </c>
      <c r="K738" t="n">
        <v>0</v>
      </c>
      <c r="L738" t="n">
        <v>0</v>
      </c>
      <c r="M738" t="n">
        <v>0</v>
      </c>
      <c r="N738" t="n">
        <v>0</v>
      </c>
      <c r="O738" t="n">
        <v>0</v>
      </c>
      <c r="P738" t="n">
        <v>0</v>
      </c>
      <c r="Q738" t="n">
        <v>0</v>
      </c>
      <c r="R738" s="2" t="inlineStr"/>
    </row>
    <row r="739" ht="15" customHeight="1">
      <c r="A739" t="inlineStr">
        <is>
          <t>A 39007-2024</t>
        </is>
      </c>
      <c r="B739" s="1" t="n">
        <v>45548.42854166667</v>
      </c>
      <c r="C739" s="1" t="n">
        <v>45884</v>
      </c>
      <c r="D739" t="inlineStr">
        <is>
          <t>UPPSALA LÄN</t>
        </is>
      </c>
      <c r="E739" t="inlineStr">
        <is>
          <t>UPPSALA</t>
        </is>
      </c>
      <c r="G739" t="n">
        <v>3.1</v>
      </c>
      <c r="H739" t="n">
        <v>0</v>
      </c>
      <c r="I739" t="n">
        <v>0</v>
      </c>
      <c r="J739" t="n">
        <v>0</v>
      </c>
      <c r="K739" t="n">
        <v>0</v>
      </c>
      <c r="L739" t="n">
        <v>0</v>
      </c>
      <c r="M739" t="n">
        <v>0</v>
      </c>
      <c r="N739" t="n">
        <v>0</v>
      </c>
      <c r="O739" t="n">
        <v>0</v>
      </c>
      <c r="P739" t="n">
        <v>0</v>
      </c>
      <c r="Q739" t="n">
        <v>0</v>
      </c>
      <c r="R739" s="2" t="inlineStr"/>
    </row>
    <row r="740" ht="15" customHeight="1">
      <c r="A740" t="inlineStr">
        <is>
          <t>A 34520-2024</t>
        </is>
      </c>
      <c r="B740" s="1" t="n">
        <v>45525</v>
      </c>
      <c r="C740" s="1" t="n">
        <v>45884</v>
      </c>
      <c r="D740" t="inlineStr">
        <is>
          <t>UPPSALA LÄN</t>
        </is>
      </c>
      <c r="E740" t="inlineStr">
        <is>
          <t>UPPSALA</t>
        </is>
      </c>
      <c r="G740" t="n">
        <v>2.5</v>
      </c>
      <c r="H740" t="n">
        <v>0</v>
      </c>
      <c r="I740" t="n">
        <v>0</v>
      </c>
      <c r="J740" t="n">
        <v>0</v>
      </c>
      <c r="K740" t="n">
        <v>0</v>
      </c>
      <c r="L740" t="n">
        <v>0</v>
      </c>
      <c r="M740" t="n">
        <v>0</v>
      </c>
      <c r="N740" t="n">
        <v>0</v>
      </c>
      <c r="O740" t="n">
        <v>0</v>
      </c>
      <c r="P740" t="n">
        <v>0</v>
      </c>
      <c r="Q740" t="n">
        <v>0</v>
      </c>
      <c r="R740" s="2" t="inlineStr"/>
    </row>
    <row r="741" ht="15" customHeight="1">
      <c r="A741" t="inlineStr">
        <is>
          <t>A 19539-2024</t>
        </is>
      </c>
      <c r="B741" s="1" t="n">
        <v>45429</v>
      </c>
      <c r="C741" s="1" t="n">
        <v>45884</v>
      </c>
      <c r="D741" t="inlineStr">
        <is>
          <t>UPPSALA LÄN</t>
        </is>
      </c>
      <c r="E741" t="inlineStr">
        <is>
          <t>UPPSALA</t>
        </is>
      </c>
      <c r="G741" t="n">
        <v>1.9</v>
      </c>
      <c r="H741" t="n">
        <v>0</v>
      </c>
      <c r="I741" t="n">
        <v>0</v>
      </c>
      <c r="J741" t="n">
        <v>0</v>
      </c>
      <c r="K741" t="n">
        <v>0</v>
      </c>
      <c r="L741" t="n">
        <v>0</v>
      </c>
      <c r="M741" t="n">
        <v>0</v>
      </c>
      <c r="N741" t="n">
        <v>0</v>
      </c>
      <c r="O741" t="n">
        <v>0</v>
      </c>
      <c r="P741" t="n">
        <v>0</v>
      </c>
      <c r="Q741" t="n">
        <v>0</v>
      </c>
      <c r="R741" s="2" t="inlineStr"/>
    </row>
    <row r="742" ht="15" customHeight="1">
      <c r="A742" t="inlineStr">
        <is>
          <t>A 32475-2025</t>
        </is>
      </c>
      <c r="B742" s="1" t="n">
        <v>45838.42870370371</v>
      </c>
      <c r="C742" s="1" t="n">
        <v>45884</v>
      </c>
      <c r="D742" t="inlineStr">
        <is>
          <t>UPPSALA LÄN</t>
        </is>
      </c>
      <c r="E742" t="inlineStr">
        <is>
          <t>UPPSALA</t>
        </is>
      </c>
      <c r="G742" t="n">
        <v>3</v>
      </c>
      <c r="H742" t="n">
        <v>0</v>
      </c>
      <c r="I742" t="n">
        <v>0</v>
      </c>
      <c r="J742" t="n">
        <v>0</v>
      </c>
      <c r="K742" t="n">
        <v>0</v>
      </c>
      <c r="L742" t="n">
        <v>0</v>
      </c>
      <c r="M742" t="n">
        <v>0</v>
      </c>
      <c r="N742" t="n">
        <v>0</v>
      </c>
      <c r="O742" t="n">
        <v>0</v>
      </c>
      <c r="P742" t="n">
        <v>0</v>
      </c>
      <c r="Q742" t="n">
        <v>0</v>
      </c>
      <c r="R742" s="2" t="inlineStr"/>
    </row>
    <row r="743" ht="15" customHeight="1">
      <c r="A743" t="inlineStr">
        <is>
          <t>A 32484-2025</t>
        </is>
      </c>
      <c r="B743" s="1" t="n">
        <v>45838.43577546296</v>
      </c>
      <c r="C743" s="1" t="n">
        <v>45884</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27543-2022</t>
        </is>
      </c>
      <c r="B744" s="1" t="n">
        <v>44742</v>
      </c>
      <c r="C744" s="1" t="n">
        <v>45884</v>
      </c>
      <c r="D744" t="inlineStr">
        <is>
          <t>UPPSALA LÄN</t>
        </is>
      </c>
      <c r="E744" t="inlineStr">
        <is>
          <t>UPPSALA</t>
        </is>
      </c>
      <c r="F744" t="inlineStr">
        <is>
          <t>Kyrkan</t>
        </is>
      </c>
      <c r="G744" t="n">
        <v>2.6</v>
      </c>
      <c r="H744" t="n">
        <v>0</v>
      </c>
      <c r="I744" t="n">
        <v>0</v>
      </c>
      <c r="J744" t="n">
        <v>0</v>
      </c>
      <c r="K744" t="n">
        <v>0</v>
      </c>
      <c r="L744" t="n">
        <v>0</v>
      </c>
      <c r="M744" t="n">
        <v>0</v>
      </c>
      <c r="N744" t="n">
        <v>0</v>
      </c>
      <c r="O744" t="n">
        <v>0</v>
      </c>
      <c r="P744" t="n">
        <v>0</v>
      </c>
      <c r="Q744" t="n">
        <v>0</v>
      </c>
      <c r="R744" s="2" t="inlineStr"/>
    </row>
    <row r="745" ht="15" customHeight="1">
      <c r="A745" t="inlineStr">
        <is>
          <t>A 3314-2025</t>
        </is>
      </c>
      <c r="B745" s="1" t="n">
        <v>45679</v>
      </c>
      <c r="C745" s="1" t="n">
        <v>45884</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46743-2024</t>
        </is>
      </c>
      <c r="B746" s="1" t="n">
        <v>45583.47836805556</v>
      </c>
      <c r="C746" s="1" t="n">
        <v>45884</v>
      </c>
      <c r="D746" t="inlineStr">
        <is>
          <t>UPPSALA LÄN</t>
        </is>
      </c>
      <c r="E746" t="inlineStr">
        <is>
          <t>UPPSALA</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66690-2021</t>
        </is>
      </c>
      <c r="B747" s="1" t="n">
        <v>44519.64902777778</v>
      </c>
      <c r="C747" s="1" t="n">
        <v>45884</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13602-2025</t>
        </is>
      </c>
      <c r="B748" s="1" t="n">
        <v>45736.60863425926</v>
      </c>
      <c r="C748" s="1" t="n">
        <v>45884</v>
      </c>
      <c r="D748" t="inlineStr">
        <is>
          <t>UPPSALA LÄN</t>
        </is>
      </c>
      <c r="E748" t="inlineStr">
        <is>
          <t>UPPSALA</t>
        </is>
      </c>
      <c r="F748" t="inlineStr">
        <is>
          <t>Allmännings- och besparingsskogar</t>
        </is>
      </c>
      <c r="G748" t="n">
        <v>9.5</v>
      </c>
      <c r="H748" t="n">
        <v>0</v>
      </c>
      <c r="I748" t="n">
        <v>0</v>
      </c>
      <c r="J748" t="n">
        <v>0</v>
      </c>
      <c r="K748" t="n">
        <v>0</v>
      </c>
      <c r="L748" t="n">
        <v>0</v>
      </c>
      <c r="M748" t="n">
        <v>0</v>
      </c>
      <c r="N748" t="n">
        <v>0</v>
      </c>
      <c r="O748" t="n">
        <v>0</v>
      </c>
      <c r="P748" t="n">
        <v>0</v>
      </c>
      <c r="Q748" t="n">
        <v>0</v>
      </c>
      <c r="R748" s="2" t="inlineStr"/>
    </row>
    <row r="749" ht="15" customHeight="1">
      <c r="A749" t="inlineStr">
        <is>
          <t>A 24912-2025</t>
        </is>
      </c>
      <c r="B749" s="1" t="n">
        <v>45799.53803240741</v>
      </c>
      <c r="C749" s="1" t="n">
        <v>45884</v>
      </c>
      <c r="D749" t="inlineStr">
        <is>
          <t>UPPSALA LÄN</t>
        </is>
      </c>
      <c r="E749" t="inlineStr">
        <is>
          <t>UPPSALA</t>
        </is>
      </c>
      <c r="F749" t="inlineStr">
        <is>
          <t>Sveaskog</t>
        </is>
      </c>
      <c r="G749" t="n">
        <v>1.9</v>
      </c>
      <c r="H749" t="n">
        <v>0</v>
      </c>
      <c r="I749" t="n">
        <v>0</v>
      </c>
      <c r="J749" t="n">
        <v>0</v>
      </c>
      <c r="K749" t="n">
        <v>0</v>
      </c>
      <c r="L749" t="n">
        <v>0</v>
      </c>
      <c r="M749" t="n">
        <v>0</v>
      </c>
      <c r="N749" t="n">
        <v>0</v>
      </c>
      <c r="O749" t="n">
        <v>0</v>
      </c>
      <c r="P749" t="n">
        <v>0</v>
      </c>
      <c r="Q749" t="n">
        <v>0</v>
      </c>
      <c r="R749" s="2" t="inlineStr"/>
    </row>
    <row r="750" ht="15" customHeight="1">
      <c r="A750" t="inlineStr">
        <is>
          <t>A 14652-2025</t>
        </is>
      </c>
      <c r="B750" s="1" t="n">
        <v>45742.49414351852</v>
      </c>
      <c r="C750" s="1" t="n">
        <v>45884</v>
      </c>
      <c r="D750" t="inlineStr">
        <is>
          <t>UPPSALA LÄN</t>
        </is>
      </c>
      <c r="E750" t="inlineStr">
        <is>
          <t>UPPSALA</t>
        </is>
      </c>
      <c r="G750" t="n">
        <v>10.6</v>
      </c>
      <c r="H750" t="n">
        <v>0</v>
      </c>
      <c r="I750" t="n">
        <v>0</v>
      </c>
      <c r="J750" t="n">
        <v>0</v>
      </c>
      <c r="K750" t="n">
        <v>0</v>
      </c>
      <c r="L750" t="n">
        <v>0</v>
      </c>
      <c r="M750" t="n">
        <v>0</v>
      </c>
      <c r="N750" t="n">
        <v>0</v>
      </c>
      <c r="O750" t="n">
        <v>0</v>
      </c>
      <c r="P750" t="n">
        <v>0</v>
      </c>
      <c r="Q750" t="n">
        <v>0</v>
      </c>
      <c r="R750" s="2" t="inlineStr"/>
    </row>
    <row r="751" ht="15" customHeight="1">
      <c r="A751" t="inlineStr">
        <is>
          <t>A 24909-2025</t>
        </is>
      </c>
      <c r="B751" s="1" t="n">
        <v>45799.53348379629</v>
      </c>
      <c r="C751" s="1" t="n">
        <v>45884</v>
      </c>
      <c r="D751" t="inlineStr">
        <is>
          <t>UPPSALA LÄN</t>
        </is>
      </c>
      <c r="E751" t="inlineStr">
        <is>
          <t>UPPSALA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25056-2025</t>
        </is>
      </c>
      <c r="B752" s="1" t="n">
        <v>45799.68190972223</v>
      </c>
      <c r="C752" s="1" t="n">
        <v>45884</v>
      </c>
      <c r="D752" t="inlineStr">
        <is>
          <t>UPPSALA LÄN</t>
        </is>
      </c>
      <c r="E752" t="inlineStr">
        <is>
          <t>UPPSALA</t>
        </is>
      </c>
      <c r="F752" t="inlineStr">
        <is>
          <t>Bergvik skog öst AB</t>
        </is>
      </c>
      <c r="G752" t="n">
        <v>20.9</v>
      </c>
      <c r="H752" t="n">
        <v>0</v>
      </c>
      <c r="I752" t="n">
        <v>0</v>
      </c>
      <c r="J752" t="n">
        <v>0</v>
      </c>
      <c r="K752" t="n">
        <v>0</v>
      </c>
      <c r="L752" t="n">
        <v>0</v>
      </c>
      <c r="M752" t="n">
        <v>0</v>
      </c>
      <c r="N752" t="n">
        <v>0</v>
      </c>
      <c r="O752" t="n">
        <v>0</v>
      </c>
      <c r="P752" t="n">
        <v>0</v>
      </c>
      <c r="Q752" t="n">
        <v>0</v>
      </c>
      <c r="R752" s="2" t="inlineStr"/>
    </row>
    <row r="753" ht="15" customHeight="1">
      <c r="A753" t="inlineStr">
        <is>
          <t>A 25055-2025</t>
        </is>
      </c>
      <c r="B753" s="1" t="n">
        <v>45799.67806712963</v>
      </c>
      <c r="C753" s="1" t="n">
        <v>45884</v>
      </c>
      <c r="D753" t="inlineStr">
        <is>
          <t>UPPSALA LÄN</t>
        </is>
      </c>
      <c r="E753" t="inlineStr">
        <is>
          <t>UPPSALA</t>
        </is>
      </c>
      <c r="F753" t="inlineStr">
        <is>
          <t>Bergvik skog öst AB</t>
        </is>
      </c>
      <c r="G753" t="n">
        <v>1.1</v>
      </c>
      <c r="H753" t="n">
        <v>0</v>
      </c>
      <c r="I753" t="n">
        <v>0</v>
      </c>
      <c r="J753" t="n">
        <v>0</v>
      </c>
      <c r="K753" t="n">
        <v>0</v>
      </c>
      <c r="L753" t="n">
        <v>0</v>
      </c>
      <c r="M753" t="n">
        <v>0</v>
      </c>
      <c r="N753" t="n">
        <v>0</v>
      </c>
      <c r="O753" t="n">
        <v>0</v>
      </c>
      <c r="P753" t="n">
        <v>0</v>
      </c>
      <c r="Q753" t="n">
        <v>0</v>
      </c>
      <c r="R753" s="2" t="inlineStr"/>
    </row>
    <row r="754" ht="15" customHeight="1">
      <c r="A754" t="inlineStr">
        <is>
          <t>A 24521-2025</t>
        </is>
      </c>
      <c r="B754" s="1" t="n">
        <v>45798.41734953703</v>
      </c>
      <c r="C754" s="1" t="n">
        <v>45884</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24961-2025</t>
        </is>
      </c>
      <c r="B755" s="1" t="n">
        <v>45799.57714120371</v>
      </c>
      <c r="C755" s="1" t="n">
        <v>45884</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53379-2020</t>
        </is>
      </c>
      <c r="B756" s="1" t="n">
        <v>44123</v>
      </c>
      <c r="C756" s="1" t="n">
        <v>45884</v>
      </c>
      <c r="D756" t="inlineStr">
        <is>
          <t>UPPSALA LÄN</t>
        </is>
      </c>
      <c r="E756" t="inlineStr">
        <is>
          <t>UPPSALA</t>
        </is>
      </c>
      <c r="G756" t="n">
        <v>2.6</v>
      </c>
      <c r="H756" t="n">
        <v>0</v>
      </c>
      <c r="I756" t="n">
        <v>0</v>
      </c>
      <c r="J756" t="n">
        <v>0</v>
      </c>
      <c r="K756" t="n">
        <v>0</v>
      </c>
      <c r="L756" t="n">
        <v>0</v>
      </c>
      <c r="M756" t="n">
        <v>0</v>
      </c>
      <c r="N756" t="n">
        <v>0</v>
      </c>
      <c r="O756" t="n">
        <v>0</v>
      </c>
      <c r="P756" t="n">
        <v>0</v>
      </c>
      <c r="Q756" t="n">
        <v>0</v>
      </c>
      <c r="R756" s="2" t="inlineStr"/>
    </row>
    <row r="757" ht="15" customHeight="1">
      <c r="A757" t="inlineStr">
        <is>
          <t>A 7611-2023</t>
        </is>
      </c>
      <c r="B757" s="1" t="n">
        <v>44967</v>
      </c>
      <c r="C757" s="1" t="n">
        <v>45884</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25052-2025</t>
        </is>
      </c>
      <c r="B758" s="1" t="n">
        <v>45799.675</v>
      </c>
      <c r="C758" s="1" t="n">
        <v>45884</v>
      </c>
      <c r="D758" t="inlineStr">
        <is>
          <t>UPPSALA LÄN</t>
        </is>
      </c>
      <c r="E758" t="inlineStr">
        <is>
          <t>UPPSALA</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12828-2025</t>
        </is>
      </c>
      <c r="B759" s="1" t="n">
        <v>45733.62903935185</v>
      </c>
      <c r="C759" s="1" t="n">
        <v>45884</v>
      </c>
      <c r="D759" t="inlineStr">
        <is>
          <t>UPPSALA LÄN</t>
        </is>
      </c>
      <c r="E759" t="inlineStr">
        <is>
          <t>UPPSALA</t>
        </is>
      </c>
      <c r="G759" t="n">
        <v>5.3</v>
      </c>
      <c r="H759" t="n">
        <v>0</v>
      </c>
      <c r="I759" t="n">
        <v>0</v>
      </c>
      <c r="J759" t="n">
        <v>0</v>
      </c>
      <c r="K759" t="n">
        <v>0</v>
      </c>
      <c r="L759" t="n">
        <v>0</v>
      </c>
      <c r="M759" t="n">
        <v>0</v>
      </c>
      <c r="N759" t="n">
        <v>0</v>
      </c>
      <c r="O759" t="n">
        <v>0</v>
      </c>
      <c r="P759" t="n">
        <v>0</v>
      </c>
      <c r="Q759" t="n">
        <v>0</v>
      </c>
      <c r="R759" s="2" t="inlineStr"/>
    </row>
    <row r="760" ht="15" customHeight="1">
      <c r="A760" t="inlineStr">
        <is>
          <t>A 25026-2025</t>
        </is>
      </c>
      <c r="B760" s="1" t="n">
        <v>45799.65021990741</v>
      </c>
      <c r="C760" s="1" t="n">
        <v>45884</v>
      </c>
      <c r="D760" t="inlineStr">
        <is>
          <t>UPPSALA LÄN</t>
        </is>
      </c>
      <c r="E760" t="inlineStr">
        <is>
          <t>UPPSALA</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25030-2025</t>
        </is>
      </c>
      <c r="B761" s="1" t="n">
        <v>45799.6527199074</v>
      </c>
      <c r="C761" s="1" t="n">
        <v>45884</v>
      </c>
      <c r="D761" t="inlineStr">
        <is>
          <t>UPPSALA LÄN</t>
        </is>
      </c>
      <c r="E761" t="inlineStr">
        <is>
          <t>UPPSALA</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13742-2025</t>
        </is>
      </c>
      <c r="B762" s="1" t="n">
        <v>45737.40503472222</v>
      </c>
      <c r="C762" s="1" t="n">
        <v>45884</v>
      </c>
      <c r="D762" t="inlineStr">
        <is>
          <t>UPPSALA LÄN</t>
        </is>
      </c>
      <c r="E762" t="inlineStr">
        <is>
          <t>UPPSALA</t>
        </is>
      </c>
      <c r="G762" t="n">
        <v>5.1</v>
      </c>
      <c r="H762" t="n">
        <v>0</v>
      </c>
      <c r="I762" t="n">
        <v>0</v>
      </c>
      <c r="J762" t="n">
        <v>0</v>
      </c>
      <c r="K762" t="n">
        <v>0</v>
      </c>
      <c r="L762" t="n">
        <v>0</v>
      </c>
      <c r="M762" t="n">
        <v>0</v>
      </c>
      <c r="N762" t="n">
        <v>0</v>
      </c>
      <c r="O762" t="n">
        <v>0</v>
      </c>
      <c r="P762" t="n">
        <v>0</v>
      </c>
      <c r="Q762" t="n">
        <v>0</v>
      </c>
      <c r="R762" s="2" t="inlineStr"/>
    </row>
    <row r="763" ht="15" customHeight="1">
      <c r="A763" t="inlineStr">
        <is>
          <t>A 24913-2025</t>
        </is>
      </c>
      <c r="B763" s="1" t="n">
        <v>45799.53947916667</v>
      </c>
      <c r="C763" s="1" t="n">
        <v>45884</v>
      </c>
      <c r="D763" t="inlineStr">
        <is>
          <t>UPPSALA LÄN</t>
        </is>
      </c>
      <c r="E763" t="inlineStr">
        <is>
          <t>UPPSALA</t>
        </is>
      </c>
      <c r="F763" t="inlineStr">
        <is>
          <t>Sveaskog</t>
        </is>
      </c>
      <c r="G763" t="n">
        <v>4.9</v>
      </c>
      <c r="H763" t="n">
        <v>0</v>
      </c>
      <c r="I763" t="n">
        <v>0</v>
      </c>
      <c r="J763" t="n">
        <v>0</v>
      </c>
      <c r="K763" t="n">
        <v>0</v>
      </c>
      <c r="L763" t="n">
        <v>0</v>
      </c>
      <c r="M763" t="n">
        <v>0</v>
      </c>
      <c r="N763" t="n">
        <v>0</v>
      </c>
      <c r="O763" t="n">
        <v>0</v>
      </c>
      <c r="P763" t="n">
        <v>0</v>
      </c>
      <c r="Q763" t="n">
        <v>0</v>
      </c>
      <c r="R763" s="2" t="inlineStr"/>
    </row>
    <row r="764" ht="15" customHeight="1">
      <c r="A764" t="inlineStr">
        <is>
          <t>A 24915-2025</t>
        </is>
      </c>
      <c r="B764" s="1" t="n">
        <v>45799.54104166666</v>
      </c>
      <c r="C764" s="1" t="n">
        <v>45884</v>
      </c>
      <c r="D764" t="inlineStr">
        <is>
          <t>UPPSALA LÄN</t>
        </is>
      </c>
      <c r="E764" t="inlineStr">
        <is>
          <t>UPPSALA</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33708-2025</t>
        </is>
      </c>
      <c r="B765" s="1" t="n">
        <v>45841.81555555556</v>
      </c>
      <c r="C765" s="1" t="n">
        <v>45884</v>
      </c>
      <c r="D765" t="inlineStr">
        <is>
          <t>UPPSALA LÄN</t>
        </is>
      </c>
      <c r="E765" t="inlineStr">
        <is>
          <t>UPPSALA</t>
        </is>
      </c>
      <c r="F765" t="inlineStr">
        <is>
          <t>Holmen skog AB</t>
        </is>
      </c>
      <c r="G765" t="n">
        <v>2</v>
      </c>
      <c r="H765" t="n">
        <v>0</v>
      </c>
      <c r="I765" t="n">
        <v>0</v>
      </c>
      <c r="J765" t="n">
        <v>0</v>
      </c>
      <c r="K765" t="n">
        <v>0</v>
      </c>
      <c r="L765" t="n">
        <v>0</v>
      </c>
      <c r="M765" t="n">
        <v>0</v>
      </c>
      <c r="N765" t="n">
        <v>0</v>
      </c>
      <c r="O765" t="n">
        <v>0</v>
      </c>
      <c r="P765" t="n">
        <v>0</v>
      </c>
      <c r="Q765" t="n">
        <v>0</v>
      </c>
      <c r="R765" s="2" t="inlineStr"/>
    </row>
    <row r="766" ht="15" customHeight="1">
      <c r="A766" t="inlineStr">
        <is>
          <t>A 6988-2025</t>
        </is>
      </c>
      <c r="B766" s="1" t="n">
        <v>45693</v>
      </c>
      <c r="C766" s="1" t="n">
        <v>45884</v>
      </c>
      <c r="D766" t="inlineStr">
        <is>
          <t>UPPSALA LÄN</t>
        </is>
      </c>
      <c r="E766" t="inlineStr">
        <is>
          <t>UPPSALA</t>
        </is>
      </c>
      <c r="G766" t="n">
        <v>1.7</v>
      </c>
      <c r="H766" t="n">
        <v>0</v>
      </c>
      <c r="I766" t="n">
        <v>0</v>
      </c>
      <c r="J766" t="n">
        <v>0</v>
      </c>
      <c r="K766" t="n">
        <v>0</v>
      </c>
      <c r="L766" t="n">
        <v>0</v>
      </c>
      <c r="M766" t="n">
        <v>0</v>
      </c>
      <c r="N766" t="n">
        <v>0</v>
      </c>
      <c r="O766" t="n">
        <v>0</v>
      </c>
      <c r="P766" t="n">
        <v>0</v>
      </c>
      <c r="Q766" t="n">
        <v>0</v>
      </c>
      <c r="R766" s="2" t="inlineStr"/>
    </row>
    <row r="767" ht="15" customHeight="1">
      <c r="A767" t="inlineStr">
        <is>
          <t>A 24794-2025</t>
        </is>
      </c>
      <c r="B767" s="1" t="n">
        <v>45799.43496527777</v>
      </c>
      <c r="C767" s="1" t="n">
        <v>45884</v>
      </c>
      <c r="D767" t="inlineStr">
        <is>
          <t>UPPSALA LÄN</t>
        </is>
      </c>
      <c r="E767" t="inlineStr">
        <is>
          <t>UPPSALA</t>
        </is>
      </c>
      <c r="F767" t="inlineStr">
        <is>
          <t>BillerudKorsnäs AB</t>
        </is>
      </c>
      <c r="G767" t="n">
        <v>1.4</v>
      </c>
      <c r="H767" t="n">
        <v>0</v>
      </c>
      <c r="I767" t="n">
        <v>0</v>
      </c>
      <c r="J767" t="n">
        <v>0</v>
      </c>
      <c r="K767" t="n">
        <v>0</v>
      </c>
      <c r="L767" t="n">
        <v>0</v>
      </c>
      <c r="M767" t="n">
        <v>0</v>
      </c>
      <c r="N767" t="n">
        <v>0</v>
      </c>
      <c r="O767" t="n">
        <v>0</v>
      </c>
      <c r="P767" t="n">
        <v>0</v>
      </c>
      <c r="Q767" t="n">
        <v>0</v>
      </c>
      <c r="R767" s="2" t="inlineStr"/>
    </row>
    <row r="768" ht="15" customHeight="1">
      <c r="A768" t="inlineStr">
        <is>
          <t>A 24916-2025</t>
        </is>
      </c>
      <c r="B768" s="1" t="n">
        <v>45799.5421875</v>
      </c>
      <c r="C768" s="1" t="n">
        <v>45884</v>
      </c>
      <c r="D768" t="inlineStr">
        <is>
          <t>UPPSALA LÄN</t>
        </is>
      </c>
      <c r="E768" t="inlineStr">
        <is>
          <t>UPPSALA</t>
        </is>
      </c>
      <c r="F768" t="inlineStr">
        <is>
          <t>Sveaskog</t>
        </is>
      </c>
      <c r="G768" t="n">
        <v>3.4</v>
      </c>
      <c r="H768" t="n">
        <v>0</v>
      </c>
      <c r="I768" t="n">
        <v>0</v>
      </c>
      <c r="J768" t="n">
        <v>0</v>
      </c>
      <c r="K768" t="n">
        <v>0</v>
      </c>
      <c r="L768" t="n">
        <v>0</v>
      </c>
      <c r="M768" t="n">
        <v>0</v>
      </c>
      <c r="N768" t="n">
        <v>0</v>
      </c>
      <c r="O768" t="n">
        <v>0</v>
      </c>
      <c r="P768" t="n">
        <v>0</v>
      </c>
      <c r="Q768" t="n">
        <v>0</v>
      </c>
      <c r="R768" s="2" t="inlineStr"/>
    </row>
    <row r="769" ht="15" customHeight="1">
      <c r="A769" t="inlineStr">
        <is>
          <t>A 25025-2025</t>
        </is>
      </c>
      <c r="B769" s="1" t="n">
        <v>45799.64877314815</v>
      </c>
      <c r="C769" s="1" t="n">
        <v>45884</v>
      </c>
      <c r="D769" t="inlineStr">
        <is>
          <t>UPPSALA LÄN</t>
        </is>
      </c>
      <c r="E769" t="inlineStr">
        <is>
          <t>UPPSALA</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24525-2025</t>
        </is>
      </c>
      <c r="B770" s="1" t="n">
        <v>45798.42252314815</v>
      </c>
      <c r="C770" s="1" t="n">
        <v>45884</v>
      </c>
      <c r="D770" t="inlineStr">
        <is>
          <t>UPPSALA LÄN</t>
        </is>
      </c>
      <c r="E770" t="inlineStr">
        <is>
          <t>UPPSALA</t>
        </is>
      </c>
      <c r="G770" t="n">
        <v>3.2</v>
      </c>
      <c r="H770" t="n">
        <v>0</v>
      </c>
      <c r="I770" t="n">
        <v>0</v>
      </c>
      <c r="J770" t="n">
        <v>0</v>
      </c>
      <c r="K770" t="n">
        <v>0</v>
      </c>
      <c r="L770" t="n">
        <v>0</v>
      </c>
      <c r="M770" t="n">
        <v>0</v>
      </c>
      <c r="N770" t="n">
        <v>0</v>
      </c>
      <c r="O770" t="n">
        <v>0</v>
      </c>
      <c r="P770" t="n">
        <v>0</v>
      </c>
      <c r="Q770" t="n">
        <v>0</v>
      </c>
      <c r="R770" s="2" t="inlineStr"/>
    </row>
    <row r="771" ht="15" customHeight="1">
      <c r="A771" t="inlineStr">
        <is>
          <t>A 33964-2025</t>
        </is>
      </c>
      <c r="B771" s="1" t="n">
        <v>45842.74049768518</v>
      </c>
      <c r="C771" s="1" t="n">
        <v>45884</v>
      </c>
      <c r="D771" t="inlineStr">
        <is>
          <t>UPPSALA LÄN</t>
        </is>
      </c>
      <c r="E771" t="inlineStr">
        <is>
          <t>UPPSALA</t>
        </is>
      </c>
      <c r="G771" t="n">
        <v>2.7</v>
      </c>
      <c r="H771" t="n">
        <v>0</v>
      </c>
      <c r="I771" t="n">
        <v>0</v>
      </c>
      <c r="J771" t="n">
        <v>0</v>
      </c>
      <c r="K771" t="n">
        <v>0</v>
      </c>
      <c r="L771" t="n">
        <v>0</v>
      </c>
      <c r="M771" t="n">
        <v>0</v>
      </c>
      <c r="N771" t="n">
        <v>0</v>
      </c>
      <c r="O771" t="n">
        <v>0</v>
      </c>
      <c r="P771" t="n">
        <v>0</v>
      </c>
      <c r="Q771" t="n">
        <v>0</v>
      </c>
      <c r="R771" s="2" t="inlineStr"/>
    </row>
    <row r="772" ht="15" customHeight="1">
      <c r="A772" t="inlineStr">
        <is>
          <t>A 733-2022</t>
        </is>
      </c>
      <c r="B772" s="1" t="n">
        <v>44568.67040509259</v>
      </c>
      <c r="C772" s="1" t="n">
        <v>45884</v>
      </c>
      <c r="D772" t="inlineStr">
        <is>
          <t>UPPSALA LÄN</t>
        </is>
      </c>
      <c r="E772" t="inlineStr">
        <is>
          <t>UPPSALA</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20087-2023</t>
        </is>
      </c>
      <c r="B773" s="1" t="n">
        <v>45054.9271875</v>
      </c>
      <c r="C773" s="1" t="n">
        <v>45884</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48588-2022</t>
        </is>
      </c>
      <c r="B774" s="1" t="n">
        <v>44859.36896990741</v>
      </c>
      <c r="C774" s="1" t="n">
        <v>45884</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6971-2025</t>
        </is>
      </c>
      <c r="B775" s="1" t="n">
        <v>45693</v>
      </c>
      <c r="C775" s="1" t="n">
        <v>45884</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43032-2022</t>
        </is>
      </c>
      <c r="B776" s="1" t="n">
        <v>44832</v>
      </c>
      <c r="C776" s="1" t="n">
        <v>45884</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50669-2024</t>
        </is>
      </c>
      <c r="B777" s="1" t="n">
        <v>45601</v>
      </c>
      <c r="C777" s="1" t="n">
        <v>45884</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25513-2025</t>
        </is>
      </c>
      <c r="B778" s="1" t="n">
        <v>45803.36384259259</v>
      </c>
      <c r="C778" s="1" t="n">
        <v>45884</v>
      </c>
      <c r="D778" t="inlineStr">
        <is>
          <t>UPPSALA LÄN</t>
        </is>
      </c>
      <c r="E778" t="inlineStr">
        <is>
          <t>UPPSALA</t>
        </is>
      </c>
      <c r="F778" t="inlineStr">
        <is>
          <t>Bergvik skog öst AB</t>
        </is>
      </c>
      <c r="G778" t="n">
        <v>8.9</v>
      </c>
      <c r="H778" t="n">
        <v>0</v>
      </c>
      <c r="I778" t="n">
        <v>0</v>
      </c>
      <c r="J778" t="n">
        <v>0</v>
      </c>
      <c r="K778" t="n">
        <v>0</v>
      </c>
      <c r="L778" t="n">
        <v>0</v>
      </c>
      <c r="M778" t="n">
        <v>0</v>
      </c>
      <c r="N778" t="n">
        <v>0</v>
      </c>
      <c r="O778" t="n">
        <v>0</v>
      </c>
      <c r="P778" t="n">
        <v>0</v>
      </c>
      <c r="Q778" t="n">
        <v>0</v>
      </c>
      <c r="R778" s="2" t="inlineStr"/>
    </row>
    <row r="779" ht="15" customHeight="1">
      <c r="A779" t="inlineStr">
        <is>
          <t>A 25280-2023</t>
        </is>
      </c>
      <c r="B779" s="1" t="n">
        <v>45086.7037037037</v>
      </c>
      <c r="C779" s="1" t="n">
        <v>45884</v>
      </c>
      <c r="D779" t="inlineStr">
        <is>
          <t>UPPSALA LÄN</t>
        </is>
      </c>
      <c r="E779" t="inlineStr">
        <is>
          <t>UPPSALA</t>
        </is>
      </c>
      <c r="F779" t="inlineStr">
        <is>
          <t>Holmen skog AB</t>
        </is>
      </c>
      <c r="G779" t="n">
        <v>3.2</v>
      </c>
      <c r="H779" t="n">
        <v>0</v>
      </c>
      <c r="I779" t="n">
        <v>0</v>
      </c>
      <c r="J779" t="n">
        <v>0</v>
      </c>
      <c r="K779" t="n">
        <v>0</v>
      </c>
      <c r="L779" t="n">
        <v>0</v>
      </c>
      <c r="M779" t="n">
        <v>0</v>
      </c>
      <c r="N779" t="n">
        <v>0</v>
      </c>
      <c r="O779" t="n">
        <v>0</v>
      </c>
      <c r="P779" t="n">
        <v>0</v>
      </c>
      <c r="Q779" t="n">
        <v>0</v>
      </c>
      <c r="R779" s="2" t="inlineStr"/>
    </row>
    <row r="780" ht="15" customHeight="1">
      <c r="A780" t="inlineStr">
        <is>
          <t>A 34509-2023</t>
        </is>
      </c>
      <c r="B780" s="1" t="n">
        <v>45133</v>
      </c>
      <c r="C780" s="1" t="n">
        <v>45884</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34132-2025</t>
        </is>
      </c>
      <c r="B781" s="1" t="n">
        <v>45845.53202546296</v>
      </c>
      <c r="C781" s="1" t="n">
        <v>45884</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25674-2025</t>
        </is>
      </c>
      <c r="B782" s="1" t="n">
        <v>45803.63395833333</v>
      </c>
      <c r="C782" s="1" t="n">
        <v>45884</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33939-2024</t>
        </is>
      </c>
      <c r="B783" s="1" t="n">
        <v>45523</v>
      </c>
      <c r="C783" s="1" t="n">
        <v>45884</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52197-2024</t>
        </is>
      </c>
      <c r="B784" s="1" t="n">
        <v>45608</v>
      </c>
      <c r="C784" s="1" t="n">
        <v>45884</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6628-2024</t>
        </is>
      </c>
      <c r="B785" s="1" t="n">
        <v>45341</v>
      </c>
      <c r="C785" s="1" t="n">
        <v>45884</v>
      </c>
      <c r="D785" t="inlineStr">
        <is>
          <t>UPPSALA LÄN</t>
        </is>
      </c>
      <c r="E785" t="inlineStr">
        <is>
          <t>UPPSALA</t>
        </is>
      </c>
      <c r="G785" t="n">
        <v>4.3</v>
      </c>
      <c r="H785" t="n">
        <v>0</v>
      </c>
      <c r="I785" t="n">
        <v>0</v>
      </c>
      <c r="J785" t="n">
        <v>0</v>
      </c>
      <c r="K785" t="n">
        <v>0</v>
      </c>
      <c r="L785" t="n">
        <v>0</v>
      </c>
      <c r="M785" t="n">
        <v>0</v>
      </c>
      <c r="N785" t="n">
        <v>0</v>
      </c>
      <c r="O785" t="n">
        <v>0</v>
      </c>
      <c r="P785" t="n">
        <v>0</v>
      </c>
      <c r="Q785" t="n">
        <v>0</v>
      </c>
      <c r="R785" s="2" t="inlineStr"/>
    </row>
    <row r="786" ht="15" customHeight="1">
      <c r="A786" t="inlineStr">
        <is>
          <t>A 18330-2025</t>
        </is>
      </c>
      <c r="B786" s="1" t="n">
        <v>45762.49243055555</v>
      </c>
      <c r="C786" s="1" t="n">
        <v>45884</v>
      </c>
      <c r="D786" t="inlineStr">
        <is>
          <t>UPPSALA LÄN</t>
        </is>
      </c>
      <c r="E786" t="inlineStr">
        <is>
          <t>UPPSALA</t>
        </is>
      </c>
      <c r="G786" t="n">
        <v>1.6</v>
      </c>
      <c r="H786" t="n">
        <v>0</v>
      </c>
      <c r="I786" t="n">
        <v>0</v>
      </c>
      <c r="J786" t="n">
        <v>0</v>
      </c>
      <c r="K786" t="n">
        <v>0</v>
      </c>
      <c r="L786" t="n">
        <v>0</v>
      </c>
      <c r="M786" t="n">
        <v>0</v>
      </c>
      <c r="N786" t="n">
        <v>0</v>
      </c>
      <c r="O786" t="n">
        <v>0</v>
      </c>
      <c r="P786" t="n">
        <v>0</v>
      </c>
      <c r="Q786" t="n">
        <v>0</v>
      </c>
      <c r="R786" s="2" t="inlineStr"/>
    </row>
    <row r="787" ht="15" customHeight="1">
      <c r="A787" t="inlineStr">
        <is>
          <t>A 15264-2025</t>
        </is>
      </c>
      <c r="B787" s="1" t="n">
        <v>45744</v>
      </c>
      <c r="C787" s="1" t="n">
        <v>45884</v>
      </c>
      <c r="D787" t="inlineStr">
        <is>
          <t>UPPSALA LÄN</t>
        </is>
      </c>
      <c r="E787" t="inlineStr">
        <is>
          <t>UPPSALA</t>
        </is>
      </c>
      <c r="G787" t="n">
        <v>3.5</v>
      </c>
      <c r="H787" t="n">
        <v>0</v>
      </c>
      <c r="I787" t="n">
        <v>0</v>
      </c>
      <c r="J787" t="n">
        <v>0</v>
      </c>
      <c r="K787" t="n">
        <v>0</v>
      </c>
      <c r="L787" t="n">
        <v>0</v>
      </c>
      <c r="M787" t="n">
        <v>0</v>
      </c>
      <c r="N787" t="n">
        <v>0</v>
      </c>
      <c r="O787" t="n">
        <v>0</v>
      </c>
      <c r="P787" t="n">
        <v>0</v>
      </c>
      <c r="Q787" t="n">
        <v>0</v>
      </c>
      <c r="R787" s="2" t="inlineStr"/>
    </row>
    <row r="788" ht="15" customHeight="1">
      <c r="A788" t="inlineStr">
        <is>
          <t>A 13343-2022</t>
        </is>
      </c>
      <c r="B788" s="1" t="n">
        <v>44645.39157407408</v>
      </c>
      <c r="C788" s="1" t="n">
        <v>45884</v>
      </c>
      <c r="D788" t="inlineStr">
        <is>
          <t>UPPSALA LÄN</t>
        </is>
      </c>
      <c r="E788" t="inlineStr">
        <is>
          <t>UPPSALA</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11173-2024</t>
        </is>
      </c>
      <c r="B789" s="1" t="n">
        <v>45371.50738425926</v>
      </c>
      <c r="C789" s="1" t="n">
        <v>45884</v>
      </c>
      <c r="D789" t="inlineStr">
        <is>
          <t>UPPSALA LÄN</t>
        </is>
      </c>
      <c r="E789" t="inlineStr">
        <is>
          <t>UPPSALA</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9242-2022</t>
        </is>
      </c>
      <c r="B790" s="1" t="n">
        <v>44616</v>
      </c>
      <c r="C790" s="1" t="n">
        <v>45884</v>
      </c>
      <c r="D790" t="inlineStr">
        <is>
          <t>UPPSALA LÄN</t>
        </is>
      </c>
      <c r="E790" t="inlineStr">
        <is>
          <t>UPPSALA</t>
        </is>
      </c>
      <c r="F790" t="inlineStr">
        <is>
          <t>Övriga Aktiebolag</t>
        </is>
      </c>
      <c r="G790" t="n">
        <v>5.9</v>
      </c>
      <c r="H790" t="n">
        <v>0</v>
      </c>
      <c r="I790" t="n">
        <v>0</v>
      </c>
      <c r="J790" t="n">
        <v>0</v>
      </c>
      <c r="K790" t="n">
        <v>0</v>
      </c>
      <c r="L790" t="n">
        <v>0</v>
      </c>
      <c r="M790" t="n">
        <v>0</v>
      </c>
      <c r="N790" t="n">
        <v>0</v>
      </c>
      <c r="O790" t="n">
        <v>0</v>
      </c>
      <c r="P790" t="n">
        <v>0</v>
      </c>
      <c r="Q790" t="n">
        <v>0</v>
      </c>
      <c r="R790" s="2" t="inlineStr"/>
    </row>
    <row r="791" ht="15" customHeight="1">
      <c r="A791" t="inlineStr">
        <is>
          <t>A 14907-2025</t>
        </is>
      </c>
      <c r="B791" s="1" t="n">
        <v>45743.50744212963</v>
      </c>
      <c r="C791" s="1" t="n">
        <v>45884</v>
      </c>
      <c r="D791" t="inlineStr">
        <is>
          <t>UPPSALA LÄN</t>
        </is>
      </c>
      <c r="E791" t="inlineStr">
        <is>
          <t>UPPSALA</t>
        </is>
      </c>
      <c r="G791" t="n">
        <v>7</v>
      </c>
      <c r="H791" t="n">
        <v>0</v>
      </c>
      <c r="I791" t="n">
        <v>0</v>
      </c>
      <c r="J791" t="n">
        <v>0</v>
      </c>
      <c r="K791" t="n">
        <v>0</v>
      </c>
      <c r="L791" t="n">
        <v>0</v>
      </c>
      <c r="M791" t="n">
        <v>0</v>
      </c>
      <c r="N791" t="n">
        <v>0</v>
      </c>
      <c r="O791" t="n">
        <v>0</v>
      </c>
      <c r="P791" t="n">
        <v>0</v>
      </c>
      <c r="Q791" t="n">
        <v>0</v>
      </c>
      <c r="R791" s="2" t="inlineStr"/>
    </row>
    <row r="792" ht="15" customHeight="1">
      <c r="A792" t="inlineStr">
        <is>
          <t>A 56084-2024</t>
        </is>
      </c>
      <c r="B792" s="1" t="n">
        <v>45624</v>
      </c>
      <c r="C792" s="1" t="n">
        <v>45884</v>
      </c>
      <c r="D792" t="inlineStr">
        <is>
          <t>UPPSALA LÄN</t>
        </is>
      </c>
      <c r="E792" t="inlineStr">
        <is>
          <t>UPPSALA</t>
        </is>
      </c>
      <c r="G792" t="n">
        <v>3.8</v>
      </c>
      <c r="H792" t="n">
        <v>0</v>
      </c>
      <c r="I792" t="n">
        <v>0</v>
      </c>
      <c r="J792" t="n">
        <v>0</v>
      </c>
      <c r="K792" t="n">
        <v>0</v>
      </c>
      <c r="L792" t="n">
        <v>0</v>
      </c>
      <c r="M792" t="n">
        <v>0</v>
      </c>
      <c r="N792" t="n">
        <v>0</v>
      </c>
      <c r="O792" t="n">
        <v>0</v>
      </c>
      <c r="P792" t="n">
        <v>0</v>
      </c>
      <c r="Q792" t="n">
        <v>0</v>
      </c>
      <c r="R792" s="2" t="inlineStr"/>
    </row>
    <row r="793" ht="15" customHeight="1">
      <c r="A793" t="inlineStr">
        <is>
          <t>A 18443-2023</t>
        </is>
      </c>
      <c r="B793" s="1" t="n">
        <v>45042</v>
      </c>
      <c r="C793" s="1" t="n">
        <v>45884</v>
      </c>
      <c r="D793" t="inlineStr">
        <is>
          <t>UPPSALA LÄN</t>
        </is>
      </c>
      <c r="E793" t="inlineStr">
        <is>
          <t>UPPSALA</t>
        </is>
      </c>
      <c r="G793" t="n">
        <v>0.4</v>
      </c>
      <c r="H793" t="n">
        <v>0</v>
      </c>
      <c r="I793" t="n">
        <v>0</v>
      </c>
      <c r="J793" t="n">
        <v>0</v>
      </c>
      <c r="K793" t="n">
        <v>0</v>
      </c>
      <c r="L793" t="n">
        <v>0</v>
      </c>
      <c r="M793" t="n">
        <v>0</v>
      </c>
      <c r="N793" t="n">
        <v>0</v>
      </c>
      <c r="O793" t="n">
        <v>0</v>
      </c>
      <c r="P793" t="n">
        <v>0</v>
      </c>
      <c r="Q793" t="n">
        <v>0</v>
      </c>
      <c r="R793" s="2" t="inlineStr"/>
    </row>
    <row r="794" ht="15" customHeight="1">
      <c r="A794" t="inlineStr">
        <is>
          <t>A 19017-2023</t>
        </is>
      </c>
      <c r="B794" s="1" t="n">
        <v>45047.31793981481</v>
      </c>
      <c r="C794" s="1" t="n">
        <v>45884</v>
      </c>
      <c r="D794" t="inlineStr">
        <is>
          <t>UPPSALA LÄN</t>
        </is>
      </c>
      <c r="E794" t="inlineStr">
        <is>
          <t>UPPSALA</t>
        </is>
      </c>
      <c r="G794" t="n">
        <v>0.6</v>
      </c>
      <c r="H794" t="n">
        <v>0</v>
      </c>
      <c r="I794" t="n">
        <v>0</v>
      </c>
      <c r="J794" t="n">
        <v>0</v>
      </c>
      <c r="K794" t="n">
        <v>0</v>
      </c>
      <c r="L794" t="n">
        <v>0</v>
      </c>
      <c r="M794" t="n">
        <v>0</v>
      </c>
      <c r="N794" t="n">
        <v>0</v>
      </c>
      <c r="O794" t="n">
        <v>0</v>
      </c>
      <c r="P794" t="n">
        <v>0</v>
      </c>
      <c r="Q794" t="n">
        <v>0</v>
      </c>
      <c r="R794" s="2" t="inlineStr"/>
    </row>
    <row r="795" ht="15" customHeight="1">
      <c r="A795" t="inlineStr">
        <is>
          <t>A 26130-2025</t>
        </is>
      </c>
      <c r="B795" s="1" t="n">
        <v>45805.4094675926</v>
      </c>
      <c r="C795" s="1" t="n">
        <v>45884</v>
      </c>
      <c r="D795" t="inlineStr">
        <is>
          <t>UPPSALA LÄN</t>
        </is>
      </c>
      <c r="E795" t="inlineStr">
        <is>
          <t>UPPSALA</t>
        </is>
      </c>
      <c r="F795" t="inlineStr">
        <is>
          <t>Bergvik skog öst AB</t>
        </is>
      </c>
      <c r="G795" t="n">
        <v>1</v>
      </c>
      <c r="H795" t="n">
        <v>0</v>
      </c>
      <c r="I795" t="n">
        <v>0</v>
      </c>
      <c r="J795" t="n">
        <v>0</v>
      </c>
      <c r="K795" t="n">
        <v>0</v>
      </c>
      <c r="L795" t="n">
        <v>0</v>
      </c>
      <c r="M795" t="n">
        <v>0</v>
      </c>
      <c r="N795" t="n">
        <v>0</v>
      </c>
      <c r="O795" t="n">
        <v>0</v>
      </c>
      <c r="P795" t="n">
        <v>0</v>
      </c>
      <c r="Q795" t="n">
        <v>0</v>
      </c>
      <c r="R795" s="2" t="inlineStr"/>
    </row>
    <row r="796" ht="15" customHeight="1">
      <c r="A796" t="inlineStr">
        <is>
          <t>A 10674-2022</t>
        </is>
      </c>
      <c r="B796" s="1" t="n">
        <v>44624.64538194444</v>
      </c>
      <c r="C796" s="1" t="n">
        <v>45884</v>
      </c>
      <c r="D796" t="inlineStr">
        <is>
          <t>UPPSALA LÄN</t>
        </is>
      </c>
      <c r="E796" t="inlineStr">
        <is>
          <t>UPPSALA</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26139-2025</t>
        </is>
      </c>
      <c r="B797" s="1" t="n">
        <v>45805.41813657407</v>
      </c>
      <c r="C797" s="1" t="n">
        <v>45884</v>
      </c>
      <c r="D797" t="inlineStr">
        <is>
          <t>UPPSALA LÄN</t>
        </is>
      </c>
      <c r="E797" t="inlineStr">
        <is>
          <t>UPPSALA</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26141-2025</t>
        </is>
      </c>
      <c r="B798" s="1" t="n">
        <v>45805.4255787037</v>
      </c>
      <c r="C798" s="1" t="n">
        <v>45884</v>
      </c>
      <c r="D798" t="inlineStr">
        <is>
          <t>UPPSALA LÄN</t>
        </is>
      </c>
      <c r="E798" t="inlineStr">
        <is>
          <t>UPPSALA</t>
        </is>
      </c>
      <c r="F798" t="inlineStr">
        <is>
          <t>Holmen skog AB</t>
        </is>
      </c>
      <c r="G798" t="n">
        <v>1.3</v>
      </c>
      <c r="H798" t="n">
        <v>0</v>
      </c>
      <c r="I798" t="n">
        <v>0</v>
      </c>
      <c r="J798" t="n">
        <v>0</v>
      </c>
      <c r="K798" t="n">
        <v>0</v>
      </c>
      <c r="L798" t="n">
        <v>0</v>
      </c>
      <c r="M798" t="n">
        <v>0</v>
      </c>
      <c r="N798" t="n">
        <v>0</v>
      </c>
      <c r="O798" t="n">
        <v>0</v>
      </c>
      <c r="P798" t="n">
        <v>0</v>
      </c>
      <c r="Q798" t="n">
        <v>0</v>
      </c>
      <c r="R798" s="2" t="inlineStr"/>
    </row>
    <row r="799" ht="15" customHeight="1">
      <c r="A799" t="inlineStr">
        <is>
          <t>A 26155-2025</t>
        </is>
      </c>
      <c r="B799" s="1" t="n">
        <v>45805.43402777778</v>
      </c>
      <c r="C799" s="1" t="n">
        <v>45884</v>
      </c>
      <c r="D799" t="inlineStr">
        <is>
          <t>UPPSALA LÄN</t>
        </is>
      </c>
      <c r="E799" t="inlineStr">
        <is>
          <t>UPPSALA</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4509-2024</t>
        </is>
      </c>
      <c r="B800" s="1" t="n">
        <v>45327</v>
      </c>
      <c r="C800" s="1" t="n">
        <v>45884</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19513-2023</t>
        </is>
      </c>
      <c r="B801" s="1" t="n">
        <v>45050.49392361111</v>
      </c>
      <c r="C801" s="1" t="n">
        <v>45884</v>
      </c>
      <c r="D801" t="inlineStr">
        <is>
          <t>UPPSALA LÄN</t>
        </is>
      </c>
      <c r="E801" t="inlineStr">
        <is>
          <t>UPPSALA</t>
        </is>
      </c>
      <c r="G801" t="n">
        <v>6.6</v>
      </c>
      <c r="H801" t="n">
        <v>0</v>
      </c>
      <c r="I801" t="n">
        <v>0</v>
      </c>
      <c r="J801" t="n">
        <v>0</v>
      </c>
      <c r="K801" t="n">
        <v>0</v>
      </c>
      <c r="L801" t="n">
        <v>0</v>
      </c>
      <c r="M801" t="n">
        <v>0</v>
      </c>
      <c r="N801" t="n">
        <v>0</v>
      </c>
      <c r="O801" t="n">
        <v>0</v>
      </c>
      <c r="P801" t="n">
        <v>0</v>
      </c>
      <c r="Q801" t="n">
        <v>0</v>
      </c>
      <c r="R801" s="2" t="inlineStr"/>
    </row>
    <row r="802" ht="15" customHeight="1">
      <c r="A802" t="inlineStr">
        <is>
          <t>A 26131-2025</t>
        </is>
      </c>
      <c r="B802" s="1" t="n">
        <v>45805.41010416667</v>
      </c>
      <c r="C802" s="1" t="n">
        <v>45884</v>
      </c>
      <c r="D802" t="inlineStr">
        <is>
          <t>UPPSALA LÄN</t>
        </is>
      </c>
      <c r="E802" t="inlineStr">
        <is>
          <t>UPPSALA</t>
        </is>
      </c>
      <c r="F802" t="inlineStr">
        <is>
          <t>Bergvik skog öst AB</t>
        </is>
      </c>
      <c r="G802" t="n">
        <v>3.8</v>
      </c>
      <c r="H802" t="n">
        <v>0</v>
      </c>
      <c r="I802" t="n">
        <v>0</v>
      </c>
      <c r="J802" t="n">
        <v>0</v>
      </c>
      <c r="K802" t="n">
        <v>0</v>
      </c>
      <c r="L802" t="n">
        <v>0</v>
      </c>
      <c r="M802" t="n">
        <v>0</v>
      </c>
      <c r="N802" t="n">
        <v>0</v>
      </c>
      <c r="O802" t="n">
        <v>0</v>
      </c>
      <c r="P802" t="n">
        <v>0</v>
      </c>
      <c r="Q802" t="n">
        <v>0</v>
      </c>
      <c r="R802" s="2" t="inlineStr"/>
    </row>
    <row r="803" ht="15" customHeight="1">
      <c r="A803" t="inlineStr">
        <is>
          <t>A 17788-2023</t>
        </is>
      </c>
      <c r="B803" s="1" t="n">
        <v>45037</v>
      </c>
      <c r="C803" s="1" t="n">
        <v>45884</v>
      </c>
      <c r="D803" t="inlineStr">
        <is>
          <t>UPPSALA LÄN</t>
        </is>
      </c>
      <c r="E803" t="inlineStr">
        <is>
          <t>UPPSALA</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34893-2025</t>
        </is>
      </c>
      <c r="B804" s="1" t="n">
        <v>45849.49259259259</v>
      </c>
      <c r="C804" s="1" t="n">
        <v>45884</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787-2024</t>
        </is>
      </c>
      <c r="B805" s="1" t="n">
        <v>45300</v>
      </c>
      <c r="C805" s="1" t="n">
        <v>45884</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70031-2021</t>
        </is>
      </c>
      <c r="B806" s="1" t="n">
        <v>44533.46665509259</v>
      </c>
      <c r="C806" s="1" t="n">
        <v>45884</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265-2021</t>
        </is>
      </c>
      <c r="B807" s="1" t="n">
        <v>44200</v>
      </c>
      <c r="C807" s="1" t="n">
        <v>45884</v>
      </c>
      <c r="D807" t="inlineStr">
        <is>
          <t>UPPSALA LÄN</t>
        </is>
      </c>
      <c r="E807" t="inlineStr">
        <is>
          <t>UPPSALA</t>
        </is>
      </c>
      <c r="G807" t="n">
        <v>3.1</v>
      </c>
      <c r="H807" t="n">
        <v>0</v>
      </c>
      <c r="I807" t="n">
        <v>0</v>
      </c>
      <c r="J807" t="n">
        <v>0</v>
      </c>
      <c r="K807" t="n">
        <v>0</v>
      </c>
      <c r="L807" t="n">
        <v>0</v>
      </c>
      <c r="M807" t="n">
        <v>0</v>
      </c>
      <c r="N807" t="n">
        <v>0</v>
      </c>
      <c r="O807" t="n">
        <v>0</v>
      </c>
      <c r="P807" t="n">
        <v>0</v>
      </c>
      <c r="Q807" t="n">
        <v>0</v>
      </c>
      <c r="R807" s="2" t="inlineStr"/>
    </row>
    <row r="808" ht="15" customHeight="1">
      <c r="A808" t="inlineStr">
        <is>
          <t>A 38493-2023</t>
        </is>
      </c>
      <c r="B808" s="1" t="n">
        <v>45162</v>
      </c>
      <c r="C808" s="1" t="n">
        <v>45884</v>
      </c>
      <c r="D808" t="inlineStr">
        <is>
          <t>UPPSALA LÄN</t>
        </is>
      </c>
      <c r="E808" t="inlineStr">
        <is>
          <t>UPPSALA</t>
        </is>
      </c>
      <c r="F808" t="inlineStr">
        <is>
          <t>Allmännings- och besparingsskogar</t>
        </is>
      </c>
      <c r="G808" t="n">
        <v>3.5</v>
      </c>
      <c r="H808" t="n">
        <v>0</v>
      </c>
      <c r="I808" t="n">
        <v>0</v>
      </c>
      <c r="J808" t="n">
        <v>0</v>
      </c>
      <c r="K808" t="n">
        <v>0</v>
      </c>
      <c r="L808" t="n">
        <v>0</v>
      </c>
      <c r="M808" t="n">
        <v>0</v>
      </c>
      <c r="N808" t="n">
        <v>0</v>
      </c>
      <c r="O808" t="n">
        <v>0</v>
      </c>
      <c r="P808" t="n">
        <v>0</v>
      </c>
      <c r="Q808" t="n">
        <v>0</v>
      </c>
      <c r="R808" s="2" t="inlineStr"/>
    </row>
    <row r="809" ht="15" customHeight="1">
      <c r="A809" t="inlineStr">
        <is>
          <t>A 36782-2023</t>
        </is>
      </c>
      <c r="B809" s="1" t="n">
        <v>45154.35092592592</v>
      </c>
      <c r="C809" s="1" t="n">
        <v>45884</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26740-2025</t>
        </is>
      </c>
      <c r="B810" s="1" t="n">
        <v>45809</v>
      </c>
      <c r="C810" s="1" t="n">
        <v>45884</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49996-2023</t>
        </is>
      </c>
      <c r="B811" s="1" t="n">
        <v>45215.44233796297</v>
      </c>
      <c r="C811" s="1" t="n">
        <v>45884</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26697-2025</t>
        </is>
      </c>
      <c r="B812" s="1" t="n">
        <v>45810.44339120371</v>
      </c>
      <c r="C812" s="1" t="n">
        <v>45884</v>
      </c>
      <c r="D812" t="inlineStr">
        <is>
          <t>UPPSALA LÄN</t>
        </is>
      </c>
      <c r="E812" t="inlineStr">
        <is>
          <t>UPPSALA</t>
        </is>
      </c>
      <c r="F812" t="inlineStr">
        <is>
          <t>Bergvik skog öst AB</t>
        </is>
      </c>
      <c r="G812" t="n">
        <v>2.8</v>
      </c>
      <c r="H812" t="n">
        <v>0</v>
      </c>
      <c r="I812" t="n">
        <v>0</v>
      </c>
      <c r="J812" t="n">
        <v>0</v>
      </c>
      <c r="K812" t="n">
        <v>0</v>
      </c>
      <c r="L812" t="n">
        <v>0</v>
      </c>
      <c r="M812" t="n">
        <v>0</v>
      </c>
      <c r="N812" t="n">
        <v>0</v>
      </c>
      <c r="O812" t="n">
        <v>0</v>
      </c>
      <c r="P812" t="n">
        <v>0</v>
      </c>
      <c r="Q812" t="n">
        <v>0</v>
      </c>
      <c r="R812" s="2" t="inlineStr"/>
    </row>
    <row r="813" ht="15" customHeight="1">
      <c r="A813" t="inlineStr">
        <is>
          <t>A 6970-2025</t>
        </is>
      </c>
      <c r="B813" s="1" t="n">
        <v>45693</v>
      </c>
      <c r="C813" s="1" t="n">
        <v>45884</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26713-2025</t>
        </is>
      </c>
      <c r="B814" s="1" t="n">
        <v>45809</v>
      </c>
      <c r="C814" s="1" t="n">
        <v>45884</v>
      </c>
      <c r="D814" t="inlineStr">
        <is>
          <t>UPPSALA LÄN</t>
        </is>
      </c>
      <c r="E814" t="inlineStr">
        <is>
          <t>UPPSALA</t>
        </is>
      </c>
      <c r="G814" t="n">
        <v>3.8</v>
      </c>
      <c r="H814" t="n">
        <v>0</v>
      </c>
      <c r="I814" t="n">
        <v>0</v>
      </c>
      <c r="J814" t="n">
        <v>0</v>
      </c>
      <c r="K814" t="n">
        <v>0</v>
      </c>
      <c r="L814" t="n">
        <v>0</v>
      </c>
      <c r="M814" t="n">
        <v>0</v>
      </c>
      <c r="N814" t="n">
        <v>0</v>
      </c>
      <c r="O814" t="n">
        <v>0</v>
      </c>
      <c r="P814" t="n">
        <v>0</v>
      </c>
      <c r="Q814" t="n">
        <v>0</v>
      </c>
      <c r="R814" s="2" t="inlineStr"/>
    </row>
    <row r="815" ht="15" customHeight="1">
      <c r="A815" t="inlineStr">
        <is>
          <t>A 35053-2025</t>
        </is>
      </c>
      <c r="B815" s="1" t="n">
        <v>45852.36871527778</v>
      </c>
      <c r="C815" s="1" t="n">
        <v>45884</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5068-2025</t>
        </is>
      </c>
      <c r="B816" s="1" t="n">
        <v>45691</v>
      </c>
      <c r="C816" s="1" t="n">
        <v>45884</v>
      </c>
      <c r="D816" t="inlineStr">
        <is>
          <t>UPPSALA LÄN</t>
        </is>
      </c>
      <c r="E816" t="inlineStr">
        <is>
          <t>UPPSALA</t>
        </is>
      </c>
      <c r="G816" t="n">
        <v>5.9</v>
      </c>
      <c r="H816" t="n">
        <v>0</v>
      </c>
      <c r="I816" t="n">
        <v>0</v>
      </c>
      <c r="J816" t="n">
        <v>0</v>
      </c>
      <c r="K816" t="n">
        <v>0</v>
      </c>
      <c r="L816" t="n">
        <v>0</v>
      </c>
      <c r="M816" t="n">
        <v>0</v>
      </c>
      <c r="N816" t="n">
        <v>0</v>
      </c>
      <c r="O816" t="n">
        <v>0</v>
      </c>
      <c r="P816" t="n">
        <v>0</v>
      </c>
      <c r="Q816" t="n">
        <v>0</v>
      </c>
      <c r="R816" s="2" t="inlineStr"/>
    </row>
    <row r="817" ht="15" customHeight="1">
      <c r="A817" t="inlineStr">
        <is>
          <t>A 35155-2025</t>
        </is>
      </c>
      <c r="B817" s="1" t="n">
        <v>45852.68978009259</v>
      </c>
      <c r="C817" s="1" t="n">
        <v>45884</v>
      </c>
      <c r="D817" t="inlineStr">
        <is>
          <t>UPPSALA LÄN</t>
        </is>
      </c>
      <c r="E817" t="inlineStr">
        <is>
          <t>UPPSALA</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45884</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2897-2025</t>
        </is>
      </c>
      <c r="B819" s="1" t="n">
        <v>45677</v>
      </c>
      <c r="C819" s="1" t="n">
        <v>45884</v>
      </c>
      <c r="D819" t="inlineStr">
        <is>
          <t>UPPSALA LÄN</t>
        </is>
      </c>
      <c r="E819" t="inlineStr">
        <is>
          <t>UPPSALA</t>
        </is>
      </c>
      <c r="G819" t="n">
        <v>2.7</v>
      </c>
      <c r="H819" t="n">
        <v>0</v>
      </c>
      <c r="I819" t="n">
        <v>0</v>
      </c>
      <c r="J819" t="n">
        <v>0</v>
      </c>
      <c r="K819" t="n">
        <v>0</v>
      </c>
      <c r="L819" t="n">
        <v>0</v>
      </c>
      <c r="M819" t="n">
        <v>0</v>
      </c>
      <c r="N819" t="n">
        <v>0</v>
      </c>
      <c r="O819" t="n">
        <v>0</v>
      </c>
      <c r="P819" t="n">
        <v>0</v>
      </c>
      <c r="Q819" t="n">
        <v>0</v>
      </c>
      <c r="R819" s="2" t="inlineStr"/>
    </row>
    <row r="820" ht="15" customHeight="1">
      <c r="A820" t="inlineStr">
        <is>
          <t>A 17593-2025</t>
        </is>
      </c>
      <c r="B820" s="1" t="n">
        <v>45757.6997337963</v>
      </c>
      <c r="C820" s="1" t="n">
        <v>45884</v>
      </c>
      <c r="D820" t="inlineStr">
        <is>
          <t>UPPSALA LÄN</t>
        </is>
      </c>
      <c r="E820" t="inlineStr">
        <is>
          <t>UPPSALA</t>
        </is>
      </c>
      <c r="G820" t="n">
        <v>3.6</v>
      </c>
      <c r="H820" t="n">
        <v>0</v>
      </c>
      <c r="I820" t="n">
        <v>0</v>
      </c>
      <c r="J820" t="n">
        <v>0</v>
      </c>
      <c r="K820" t="n">
        <v>0</v>
      </c>
      <c r="L820" t="n">
        <v>0</v>
      </c>
      <c r="M820" t="n">
        <v>0</v>
      </c>
      <c r="N820" t="n">
        <v>0</v>
      </c>
      <c r="O820" t="n">
        <v>0</v>
      </c>
      <c r="P820" t="n">
        <v>0</v>
      </c>
      <c r="Q820" t="n">
        <v>0</v>
      </c>
      <c r="R820" s="2" t="inlineStr"/>
    </row>
    <row r="821" ht="15" customHeight="1">
      <c r="A821" t="inlineStr">
        <is>
          <t>A 17596-2025</t>
        </is>
      </c>
      <c r="B821" s="1" t="n">
        <v>45757</v>
      </c>
      <c r="C821" s="1" t="n">
        <v>45884</v>
      </c>
      <c r="D821" t="inlineStr">
        <is>
          <t>UPPSALA LÄN</t>
        </is>
      </c>
      <c r="E821" t="inlineStr">
        <is>
          <t>UPPSALA</t>
        </is>
      </c>
      <c r="G821" t="n">
        <v>4.8</v>
      </c>
      <c r="H821" t="n">
        <v>0</v>
      </c>
      <c r="I821" t="n">
        <v>0</v>
      </c>
      <c r="J821" t="n">
        <v>0</v>
      </c>
      <c r="K821" t="n">
        <v>0</v>
      </c>
      <c r="L821" t="n">
        <v>0</v>
      </c>
      <c r="M821" t="n">
        <v>0</v>
      </c>
      <c r="N821" t="n">
        <v>0</v>
      </c>
      <c r="O821" t="n">
        <v>0</v>
      </c>
      <c r="P821" t="n">
        <v>0</v>
      </c>
      <c r="Q821" t="n">
        <v>0</v>
      </c>
      <c r="R821" s="2" t="inlineStr"/>
    </row>
    <row r="822" ht="15" customHeight="1">
      <c r="A822" t="inlineStr">
        <is>
          <t>A 26709-2025</t>
        </is>
      </c>
      <c r="B822" s="1" t="n">
        <v>45810.45960648148</v>
      </c>
      <c r="C822" s="1" t="n">
        <v>45884</v>
      </c>
      <c r="D822" t="inlineStr">
        <is>
          <t>UPPSALA LÄN</t>
        </is>
      </c>
      <c r="E822" t="inlineStr">
        <is>
          <t>UPPSALA</t>
        </is>
      </c>
      <c r="F822" t="inlineStr">
        <is>
          <t>Kyrkan</t>
        </is>
      </c>
      <c r="G822" t="n">
        <v>6.7</v>
      </c>
      <c r="H822" t="n">
        <v>0</v>
      </c>
      <c r="I822" t="n">
        <v>0</v>
      </c>
      <c r="J822" t="n">
        <v>0</v>
      </c>
      <c r="K822" t="n">
        <v>0</v>
      </c>
      <c r="L822" t="n">
        <v>0</v>
      </c>
      <c r="M822" t="n">
        <v>0</v>
      </c>
      <c r="N822" t="n">
        <v>0</v>
      </c>
      <c r="O822" t="n">
        <v>0</v>
      </c>
      <c r="P822" t="n">
        <v>0</v>
      </c>
      <c r="Q822" t="n">
        <v>0</v>
      </c>
      <c r="R822" s="2" t="inlineStr"/>
    </row>
    <row r="823" ht="15" customHeight="1">
      <c r="A823" t="inlineStr">
        <is>
          <t>A 54512-2024</t>
        </is>
      </c>
      <c r="B823" s="1" t="n">
        <v>45617.59006944444</v>
      </c>
      <c r="C823" s="1" t="n">
        <v>45884</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26738-2025</t>
        </is>
      </c>
      <c r="B824" s="1" t="n">
        <v>45809</v>
      </c>
      <c r="C824" s="1" t="n">
        <v>45884</v>
      </c>
      <c r="D824" t="inlineStr">
        <is>
          <t>UPPSALA LÄN</t>
        </is>
      </c>
      <c r="E824" t="inlineStr">
        <is>
          <t>UPPSALA</t>
        </is>
      </c>
      <c r="F824" t="inlineStr">
        <is>
          <t>Övriga Aktiebolag</t>
        </is>
      </c>
      <c r="G824" t="n">
        <v>2.2</v>
      </c>
      <c r="H824" t="n">
        <v>0</v>
      </c>
      <c r="I824" t="n">
        <v>0</v>
      </c>
      <c r="J824" t="n">
        <v>0</v>
      </c>
      <c r="K824" t="n">
        <v>0</v>
      </c>
      <c r="L824" t="n">
        <v>0</v>
      </c>
      <c r="M824" t="n">
        <v>0</v>
      </c>
      <c r="N824" t="n">
        <v>0</v>
      </c>
      <c r="O824" t="n">
        <v>0</v>
      </c>
      <c r="P824" t="n">
        <v>0</v>
      </c>
      <c r="Q824" t="n">
        <v>0</v>
      </c>
      <c r="R824" s="2" t="inlineStr"/>
    </row>
    <row r="825" ht="15" customHeight="1">
      <c r="A825" t="inlineStr">
        <is>
          <t>A 26739-2025</t>
        </is>
      </c>
      <c r="B825" s="1" t="n">
        <v>45809</v>
      </c>
      <c r="C825" s="1" t="n">
        <v>45884</v>
      </c>
      <c r="D825" t="inlineStr">
        <is>
          <t>UPPSALA LÄN</t>
        </is>
      </c>
      <c r="E825" t="inlineStr">
        <is>
          <t>UPPSALA</t>
        </is>
      </c>
      <c r="F825" t="inlineStr">
        <is>
          <t>Övriga Aktiebolag</t>
        </is>
      </c>
      <c r="G825" t="n">
        <v>3.6</v>
      </c>
      <c r="H825" t="n">
        <v>0</v>
      </c>
      <c r="I825" t="n">
        <v>0</v>
      </c>
      <c r="J825" t="n">
        <v>0</v>
      </c>
      <c r="K825" t="n">
        <v>0</v>
      </c>
      <c r="L825" t="n">
        <v>0</v>
      </c>
      <c r="M825" t="n">
        <v>0</v>
      </c>
      <c r="N825" t="n">
        <v>0</v>
      </c>
      <c r="O825" t="n">
        <v>0</v>
      </c>
      <c r="P825" t="n">
        <v>0</v>
      </c>
      <c r="Q825" t="n">
        <v>0</v>
      </c>
      <c r="R825" s="2" t="inlineStr"/>
    </row>
    <row r="826" ht="15" customHeight="1">
      <c r="A826" t="inlineStr">
        <is>
          <t>A 23494-2024</t>
        </is>
      </c>
      <c r="B826" s="1" t="n">
        <v>45453.69339120371</v>
      </c>
      <c r="C826" s="1" t="n">
        <v>45884</v>
      </c>
      <c r="D826" t="inlineStr">
        <is>
          <t>UPPSALA LÄN</t>
        </is>
      </c>
      <c r="E826" t="inlineStr">
        <is>
          <t>UPPSALA</t>
        </is>
      </c>
      <c r="F826" t="inlineStr">
        <is>
          <t>Kyrkan</t>
        </is>
      </c>
      <c r="G826" t="n">
        <v>0.8</v>
      </c>
      <c r="H826" t="n">
        <v>0</v>
      </c>
      <c r="I826" t="n">
        <v>0</v>
      </c>
      <c r="J826" t="n">
        <v>0</v>
      </c>
      <c r="K826" t="n">
        <v>0</v>
      </c>
      <c r="L826" t="n">
        <v>0</v>
      </c>
      <c r="M826" t="n">
        <v>0</v>
      </c>
      <c r="N826" t="n">
        <v>0</v>
      </c>
      <c r="O826" t="n">
        <v>0</v>
      </c>
      <c r="P826" t="n">
        <v>0</v>
      </c>
      <c r="Q826" t="n">
        <v>0</v>
      </c>
      <c r="R826" s="2" t="inlineStr"/>
    </row>
    <row r="827" ht="15" customHeight="1">
      <c r="A827" t="inlineStr">
        <is>
          <t>A 35015-2025</t>
        </is>
      </c>
      <c r="B827" s="1" t="n">
        <v>45851.62018518519</v>
      </c>
      <c r="C827" s="1" t="n">
        <v>45884</v>
      </c>
      <c r="D827" t="inlineStr">
        <is>
          <t>UPPSALA LÄN</t>
        </is>
      </c>
      <c r="E827" t="inlineStr">
        <is>
          <t>UPPSALA</t>
        </is>
      </c>
      <c r="F827" t="inlineStr">
        <is>
          <t>Bergvik skog öst AB</t>
        </is>
      </c>
      <c r="G827" t="n">
        <v>0.3</v>
      </c>
      <c r="H827" t="n">
        <v>0</v>
      </c>
      <c r="I827" t="n">
        <v>0</v>
      </c>
      <c r="J827" t="n">
        <v>0</v>
      </c>
      <c r="K827" t="n">
        <v>0</v>
      </c>
      <c r="L827" t="n">
        <v>0</v>
      </c>
      <c r="M827" t="n">
        <v>0</v>
      </c>
      <c r="N827" t="n">
        <v>0</v>
      </c>
      <c r="O827" t="n">
        <v>0</v>
      </c>
      <c r="P827" t="n">
        <v>0</v>
      </c>
      <c r="Q827" t="n">
        <v>0</v>
      </c>
      <c r="R827" s="2" t="inlineStr"/>
    </row>
    <row r="828" ht="15" customHeight="1">
      <c r="A828" t="inlineStr">
        <is>
          <t>A 8473-2023</t>
        </is>
      </c>
      <c r="B828" s="1" t="n">
        <v>44977</v>
      </c>
      <c r="C828" s="1" t="n">
        <v>45884</v>
      </c>
      <c r="D828" t="inlineStr">
        <is>
          <t>UPPSALA LÄN</t>
        </is>
      </c>
      <c r="E828" t="inlineStr">
        <is>
          <t>UPPSALA</t>
        </is>
      </c>
      <c r="F828" t="inlineStr">
        <is>
          <t>Holmen skog AB</t>
        </is>
      </c>
      <c r="G828" t="n">
        <v>3.6</v>
      </c>
      <c r="H828" t="n">
        <v>0</v>
      </c>
      <c r="I828" t="n">
        <v>0</v>
      </c>
      <c r="J828" t="n">
        <v>0</v>
      </c>
      <c r="K828" t="n">
        <v>0</v>
      </c>
      <c r="L828" t="n">
        <v>0</v>
      </c>
      <c r="M828" t="n">
        <v>0</v>
      </c>
      <c r="N828" t="n">
        <v>0</v>
      </c>
      <c r="O828" t="n">
        <v>0</v>
      </c>
      <c r="P828" t="n">
        <v>0</v>
      </c>
      <c r="Q828" t="n">
        <v>0</v>
      </c>
      <c r="R828" s="2" t="inlineStr"/>
    </row>
    <row r="829" ht="15" customHeight="1">
      <c r="A829" t="inlineStr">
        <is>
          <t>A 35260-2025</t>
        </is>
      </c>
      <c r="B829" s="1" t="n">
        <v>45853.76976851852</v>
      </c>
      <c r="C829" s="1" t="n">
        <v>45884</v>
      </c>
      <c r="D829" t="inlineStr">
        <is>
          <t>UPPSALA LÄN</t>
        </is>
      </c>
      <c r="E829" t="inlineStr">
        <is>
          <t>UPPSALA</t>
        </is>
      </c>
      <c r="G829" t="n">
        <v>7.3</v>
      </c>
      <c r="H829" t="n">
        <v>0</v>
      </c>
      <c r="I829" t="n">
        <v>0</v>
      </c>
      <c r="J829" t="n">
        <v>0</v>
      </c>
      <c r="K829" t="n">
        <v>0</v>
      </c>
      <c r="L829" t="n">
        <v>0</v>
      </c>
      <c r="M829" t="n">
        <v>0</v>
      </c>
      <c r="N829" t="n">
        <v>0</v>
      </c>
      <c r="O829" t="n">
        <v>0</v>
      </c>
      <c r="P829" t="n">
        <v>0</v>
      </c>
      <c r="Q829" t="n">
        <v>0</v>
      </c>
      <c r="R829" s="2" t="inlineStr"/>
    </row>
    <row r="830" ht="15" customHeight="1">
      <c r="A830" t="inlineStr">
        <is>
          <t>A 32127-2024</t>
        </is>
      </c>
      <c r="B830" s="1" t="n">
        <v>45511</v>
      </c>
      <c r="C830" s="1" t="n">
        <v>45884</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35016-2025</t>
        </is>
      </c>
      <c r="B831" s="1" t="n">
        <v>45851.62179398148</v>
      </c>
      <c r="C831" s="1" t="n">
        <v>45884</v>
      </c>
      <c r="D831" t="inlineStr">
        <is>
          <t>UPPSALA LÄN</t>
        </is>
      </c>
      <c r="E831" t="inlineStr">
        <is>
          <t>UPPSALA</t>
        </is>
      </c>
      <c r="F831" t="inlineStr">
        <is>
          <t>Bergvik skog öst AB</t>
        </is>
      </c>
      <c r="G831" t="n">
        <v>7</v>
      </c>
      <c r="H831" t="n">
        <v>0</v>
      </c>
      <c r="I831" t="n">
        <v>0</v>
      </c>
      <c r="J831" t="n">
        <v>0</v>
      </c>
      <c r="K831" t="n">
        <v>0</v>
      </c>
      <c r="L831" t="n">
        <v>0</v>
      </c>
      <c r="M831" t="n">
        <v>0</v>
      </c>
      <c r="N831" t="n">
        <v>0</v>
      </c>
      <c r="O831" t="n">
        <v>0</v>
      </c>
      <c r="P831" t="n">
        <v>0</v>
      </c>
      <c r="Q831" t="n">
        <v>0</v>
      </c>
      <c r="R831" s="2" t="inlineStr"/>
    </row>
    <row r="832" ht="15" customHeight="1">
      <c r="A832" t="inlineStr">
        <is>
          <t>A 35056-2025</t>
        </is>
      </c>
      <c r="B832" s="1" t="n">
        <v>45852.39642361111</v>
      </c>
      <c r="C832" s="1" t="n">
        <v>45884</v>
      </c>
      <c r="D832" t="inlineStr">
        <is>
          <t>UPPSALA LÄN</t>
        </is>
      </c>
      <c r="E832" t="inlineStr">
        <is>
          <t>UPPSALA</t>
        </is>
      </c>
      <c r="G832" t="n">
        <v>2.6</v>
      </c>
      <c r="H832" t="n">
        <v>0</v>
      </c>
      <c r="I832" t="n">
        <v>0</v>
      </c>
      <c r="J832" t="n">
        <v>0</v>
      </c>
      <c r="K832" t="n">
        <v>0</v>
      </c>
      <c r="L832" t="n">
        <v>0</v>
      </c>
      <c r="M832" t="n">
        <v>0</v>
      </c>
      <c r="N832" t="n">
        <v>0</v>
      </c>
      <c r="O832" t="n">
        <v>0</v>
      </c>
      <c r="P832" t="n">
        <v>0</v>
      </c>
      <c r="Q832" t="n">
        <v>0</v>
      </c>
      <c r="R832" s="2" t="inlineStr"/>
    </row>
    <row r="833" ht="15" customHeight="1">
      <c r="A833" t="inlineStr">
        <is>
          <t>A 26696-2025</t>
        </is>
      </c>
      <c r="B833" s="1" t="n">
        <v>45810.44299768518</v>
      </c>
      <c r="C833" s="1" t="n">
        <v>45884</v>
      </c>
      <c r="D833" t="inlineStr">
        <is>
          <t>UPPSALA LÄN</t>
        </is>
      </c>
      <c r="E833" t="inlineStr">
        <is>
          <t>UPPSALA</t>
        </is>
      </c>
      <c r="F833" t="inlineStr">
        <is>
          <t>Bergvik skog öst AB</t>
        </is>
      </c>
      <c r="G833" t="n">
        <v>7.1</v>
      </c>
      <c r="H833" t="n">
        <v>0</v>
      </c>
      <c r="I833" t="n">
        <v>0</v>
      </c>
      <c r="J833" t="n">
        <v>0</v>
      </c>
      <c r="K833" t="n">
        <v>0</v>
      </c>
      <c r="L833" t="n">
        <v>0</v>
      </c>
      <c r="M833" t="n">
        <v>0</v>
      </c>
      <c r="N833" t="n">
        <v>0</v>
      </c>
      <c r="O833" t="n">
        <v>0</v>
      </c>
      <c r="P833" t="n">
        <v>0</v>
      </c>
      <c r="Q833" t="n">
        <v>0</v>
      </c>
      <c r="R833" s="2" t="inlineStr"/>
    </row>
    <row r="834" ht="15" customHeight="1">
      <c r="A834" t="inlineStr">
        <is>
          <t>A 35014-2025</t>
        </is>
      </c>
      <c r="B834" s="1" t="n">
        <v>45851.60097222222</v>
      </c>
      <c r="C834" s="1" t="n">
        <v>45884</v>
      </c>
      <c r="D834" t="inlineStr">
        <is>
          <t>UPPSALA LÄN</t>
        </is>
      </c>
      <c r="E834" t="inlineStr">
        <is>
          <t>UPPSALA</t>
        </is>
      </c>
      <c r="F834" t="inlineStr">
        <is>
          <t>Bergvik skog öst AB</t>
        </is>
      </c>
      <c r="G834" t="n">
        <v>1.3</v>
      </c>
      <c r="H834" t="n">
        <v>0</v>
      </c>
      <c r="I834" t="n">
        <v>0</v>
      </c>
      <c r="J834" t="n">
        <v>0</v>
      </c>
      <c r="K834" t="n">
        <v>0</v>
      </c>
      <c r="L834" t="n">
        <v>0</v>
      </c>
      <c r="M834" t="n">
        <v>0</v>
      </c>
      <c r="N834" t="n">
        <v>0</v>
      </c>
      <c r="O834" t="n">
        <v>0</v>
      </c>
      <c r="P834" t="n">
        <v>0</v>
      </c>
      <c r="Q834" t="n">
        <v>0</v>
      </c>
      <c r="R834" s="2" t="inlineStr"/>
    </row>
    <row r="835" ht="15" customHeight="1">
      <c r="A835" t="inlineStr">
        <is>
          <t>A 35150-2025</t>
        </is>
      </c>
      <c r="B835" s="1" t="n">
        <v>45852</v>
      </c>
      <c r="C835" s="1" t="n">
        <v>45884</v>
      </c>
      <c r="D835" t="inlineStr">
        <is>
          <t>UPPSALA LÄN</t>
        </is>
      </c>
      <c r="E835" t="inlineStr">
        <is>
          <t>UPPSALA</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35167-2025</t>
        </is>
      </c>
      <c r="B836" s="1" t="n">
        <v>45852.72965277778</v>
      </c>
      <c r="C836" s="1" t="n">
        <v>45884</v>
      </c>
      <c r="D836" t="inlineStr">
        <is>
          <t>UPPSALA LÄN</t>
        </is>
      </c>
      <c r="E836" t="inlineStr">
        <is>
          <t>UPPSALA</t>
        </is>
      </c>
      <c r="F836" t="inlineStr">
        <is>
          <t>Holmen skog AB</t>
        </is>
      </c>
      <c r="G836" t="n">
        <v>10</v>
      </c>
      <c r="H836" t="n">
        <v>0</v>
      </c>
      <c r="I836" t="n">
        <v>0</v>
      </c>
      <c r="J836" t="n">
        <v>0</v>
      </c>
      <c r="K836" t="n">
        <v>0</v>
      </c>
      <c r="L836" t="n">
        <v>0</v>
      </c>
      <c r="M836" t="n">
        <v>0</v>
      </c>
      <c r="N836" t="n">
        <v>0</v>
      </c>
      <c r="O836" t="n">
        <v>0</v>
      </c>
      <c r="P836" t="n">
        <v>0</v>
      </c>
      <c r="Q836" t="n">
        <v>0</v>
      </c>
      <c r="R836" s="2" t="inlineStr"/>
    </row>
    <row r="837" ht="15" customHeight="1">
      <c r="A837" t="inlineStr">
        <is>
          <t>A 27265-2025</t>
        </is>
      </c>
      <c r="B837" s="1" t="n">
        <v>45812.48032407407</v>
      </c>
      <c r="C837" s="1" t="n">
        <v>45884</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11739-2023</t>
        </is>
      </c>
      <c r="B838" s="1" t="n">
        <v>44993</v>
      </c>
      <c r="C838" s="1" t="n">
        <v>45884</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27538-2025</t>
        </is>
      </c>
      <c r="B839" s="1" t="n">
        <v>45813.46034722222</v>
      </c>
      <c r="C839" s="1" t="n">
        <v>45884</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49821-2020</t>
        </is>
      </c>
      <c r="B840" s="1" t="n">
        <v>44106</v>
      </c>
      <c r="C840" s="1" t="n">
        <v>45884</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35305-2025</t>
        </is>
      </c>
      <c r="B841" s="1" t="n">
        <v>45854.44017361111</v>
      </c>
      <c r="C841" s="1" t="n">
        <v>45884</v>
      </c>
      <c r="D841" t="inlineStr">
        <is>
          <t>UPPSALA LÄN</t>
        </is>
      </c>
      <c r="E841" t="inlineStr">
        <is>
          <t>UPPSALA</t>
        </is>
      </c>
      <c r="F841" t="inlineStr">
        <is>
          <t>Holmen skog AB</t>
        </is>
      </c>
      <c r="G841" t="n">
        <v>3.3</v>
      </c>
      <c r="H841" t="n">
        <v>0</v>
      </c>
      <c r="I841" t="n">
        <v>0</v>
      </c>
      <c r="J841" t="n">
        <v>0</v>
      </c>
      <c r="K841" t="n">
        <v>0</v>
      </c>
      <c r="L841" t="n">
        <v>0</v>
      </c>
      <c r="M841" t="n">
        <v>0</v>
      </c>
      <c r="N841" t="n">
        <v>0</v>
      </c>
      <c r="O841" t="n">
        <v>0</v>
      </c>
      <c r="P841" t="n">
        <v>0</v>
      </c>
      <c r="Q841" t="n">
        <v>0</v>
      </c>
      <c r="R841" s="2" t="inlineStr"/>
    </row>
    <row r="842" ht="15" customHeight="1">
      <c r="A842" t="inlineStr">
        <is>
          <t>A 27706-2025</t>
        </is>
      </c>
      <c r="B842" s="1" t="n">
        <v>45813</v>
      </c>
      <c r="C842" s="1" t="n">
        <v>45884</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21935-2023</t>
        </is>
      </c>
      <c r="B843" s="1" t="n">
        <v>45068.58563657408</v>
      </c>
      <c r="C843" s="1" t="n">
        <v>45884</v>
      </c>
      <c r="D843" t="inlineStr">
        <is>
          <t>UPPSALA LÄN</t>
        </is>
      </c>
      <c r="E843" t="inlineStr">
        <is>
          <t>UPPSALA</t>
        </is>
      </c>
      <c r="G843" t="n">
        <v>2.6</v>
      </c>
      <c r="H843" t="n">
        <v>0</v>
      </c>
      <c r="I843" t="n">
        <v>0</v>
      </c>
      <c r="J843" t="n">
        <v>0</v>
      </c>
      <c r="K843" t="n">
        <v>0</v>
      </c>
      <c r="L843" t="n">
        <v>0</v>
      </c>
      <c r="M843" t="n">
        <v>0</v>
      </c>
      <c r="N843" t="n">
        <v>0</v>
      </c>
      <c r="O843" t="n">
        <v>0</v>
      </c>
      <c r="P843" t="n">
        <v>0</v>
      </c>
      <c r="Q843" t="n">
        <v>0</v>
      </c>
      <c r="R843" s="2" t="inlineStr"/>
    </row>
    <row r="844" ht="15" customHeight="1">
      <c r="A844" t="inlineStr">
        <is>
          <t>A 367-2023</t>
        </is>
      </c>
      <c r="B844" s="1" t="n">
        <v>44929</v>
      </c>
      <c r="C844" s="1" t="n">
        <v>45884</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49409-2020</t>
        </is>
      </c>
      <c r="B845" s="1" t="n">
        <v>44105</v>
      </c>
      <c r="C845" s="1" t="n">
        <v>45884</v>
      </c>
      <c r="D845" t="inlineStr">
        <is>
          <t>UPPSALA LÄN</t>
        </is>
      </c>
      <c r="E845" t="inlineStr">
        <is>
          <t>UPPSALA</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10489-2025</t>
        </is>
      </c>
      <c r="B846" s="1" t="n">
        <v>45721.34715277778</v>
      </c>
      <c r="C846" s="1" t="n">
        <v>45884</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46069-2022</t>
        </is>
      </c>
      <c r="B847" s="1" t="n">
        <v>44847</v>
      </c>
      <c r="C847" s="1" t="n">
        <v>45884</v>
      </c>
      <c r="D847" t="inlineStr">
        <is>
          <t>UPPSALA LÄN</t>
        </is>
      </c>
      <c r="E847" t="inlineStr">
        <is>
          <t>UPPSALA</t>
        </is>
      </c>
      <c r="G847" t="n">
        <v>2.2</v>
      </c>
      <c r="H847" t="n">
        <v>0</v>
      </c>
      <c r="I847" t="n">
        <v>0</v>
      </c>
      <c r="J847" t="n">
        <v>0</v>
      </c>
      <c r="K847" t="n">
        <v>0</v>
      </c>
      <c r="L847" t="n">
        <v>0</v>
      </c>
      <c r="M847" t="n">
        <v>0</v>
      </c>
      <c r="N847" t="n">
        <v>0</v>
      </c>
      <c r="O847" t="n">
        <v>0</v>
      </c>
      <c r="P847" t="n">
        <v>0</v>
      </c>
      <c r="Q847" t="n">
        <v>0</v>
      </c>
      <c r="R847" s="2" t="inlineStr"/>
    </row>
    <row r="848" ht="15" customHeight="1">
      <c r="A848" t="inlineStr">
        <is>
          <t>A 27917-2025</t>
        </is>
      </c>
      <c r="B848" s="1" t="n">
        <v>45814</v>
      </c>
      <c r="C848" s="1" t="n">
        <v>45884</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50463-2024</t>
        </is>
      </c>
      <c r="B849" s="1" t="n">
        <v>45601</v>
      </c>
      <c r="C849" s="1" t="n">
        <v>45884</v>
      </c>
      <c r="D849" t="inlineStr">
        <is>
          <t>UPPSALA LÄN</t>
        </is>
      </c>
      <c r="E849" t="inlineStr">
        <is>
          <t>UPPSALA</t>
        </is>
      </c>
      <c r="F849" t="inlineStr">
        <is>
          <t>Allmännings- och besparingsskogar</t>
        </is>
      </c>
      <c r="G849" t="n">
        <v>12.6</v>
      </c>
      <c r="H849" t="n">
        <v>0</v>
      </c>
      <c r="I849" t="n">
        <v>0</v>
      </c>
      <c r="J849" t="n">
        <v>0</v>
      </c>
      <c r="K849" t="n">
        <v>0</v>
      </c>
      <c r="L849" t="n">
        <v>0</v>
      </c>
      <c r="M849" t="n">
        <v>0</v>
      </c>
      <c r="N849" t="n">
        <v>0</v>
      </c>
      <c r="O849" t="n">
        <v>0</v>
      </c>
      <c r="P849" t="n">
        <v>0</v>
      </c>
      <c r="Q849" t="n">
        <v>0</v>
      </c>
      <c r="R849" s="2" t="inlineStr"/>
    </row>
    <row r="850" ht="15" customHeight="1">
      <c r="A850" t="inlineStr">
        <is>
          <t>A 72224-2021</t>
        </is>
      </c>
      <c r="B850" s="1" t="n">
        <v>44544</v>
      </c>
      <c r="C850" s="1" t="n">
        <v>45884</v>
      </c>
      <c r="D850" t="inlineStr">
        <is>
          <t>UPPSALA LÄN</t>
        </is>
      </c>
      <c r="E850" t="inlineStr">
        <is>
          <t>UPPSALA</t>
        </is>
      </c>
      <c r="G850" t="n">
        <v>2.5</v>
      </c>
      <c r="H850" t="n">
        <v>0</v>
      </c>
      <c r="I850" t="n">
        <v>0</v>
      </c>
      <c r="J850" t="n">
        <v>0</v>
      </c>
      <c r="K850" t="n">
        <v>0</v>
      </c>
      <c r="L850" t="n">
        <v>0</v>
      </c>
      <c r="M850" t="n">
        <v>0</v>
      </c>
      <c r="N850" t="n">
        <v>0</v>
      </c>
      <c r="O850" t="n">
        <v>0</v>
      </c>
      <c r="P850" t="n">
        <v>0</v>
      </c>
      <c r="Q850" t="n">
        <v>0</v>
      </c>
      <c r="R850" s="2" t="inlineStr"/>
    </row>
    <row r="851" ht="15" customHeight="1">
      <c r="A851" t="inlineStr">
        <is>
          <t>A 37626-2023</t>
        </is>
      </c>
      <c r="B851" s="1" t="n">
        <v>45159.45748842593</v>
      </c>
      <c r="C851" s="1" t="n">
        <v>45884</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35510-2025</t>
        </is>
      </c>
      <c r="B852" s="1" t="n">
        <v>45856.36153935185</v>
      </c>
      <c r="C852" s="1" t="n">
        <v>45884</v>
      </c>
      <c r="D852" t="inlineStr">
        <is>
          <t>UPPSALA LÄN</t>
        </is>
      </c>
      <c r="E852" t="inlineStr">
        <is>
          <t>UPPSALA</t>
        </is>
      </c>
      <c r="F852" t="inlineStr">
        <is>
          <t>Bergvik skog öst AB</t>
        </is>
      </c>
      <c r="G852" t="n">
        <v>0.3</v>
      </c>
      <c r="H852" t="n">
        <v>0</v>
      </c>
      <c r="I852" t="n">
        <v>0</v>
      </c>
      <c r="J852" t="n">
        <v>0</v>
      </c>
      <c r="K852" t="n">
        <v>0</v>
      </c>
      <c r="L852" t="n">
        <v>0</v>
      </c>
      <c r="M852" t="n">
        <v>0</v>
      </c>
      <c r="N852" t="n">
        <v>0</v>
      </c>
      <c r="O852" t="n">
        <v>0</v>
      </c>
      <c r="P852" t="n">
        <v>0</v>
      </c>
      <c r="Q852" t="n">
        <v>0</v>
      </c>
      <c r="R852" s="2" t="inlineStr"/>
    </row>
    <row r="853" ht="15" customHeight="1">
      <c r="A853" t="inlineStr">
        <is>
          <t>A 28121-2025</t>
        </is>
      </c>
      <c r="B853" s="1" t="n">
        <v>45817</v>
      </c>
      <c r="C853" s="1" t="n">
        <v>45884</v>
      </c>
      <c r="D853" t="inlineStr">
        <is>
          <t>UPPSALA LÄN</t>
        </is>
      </c>
      <c r="E853" t="inlineStr">
        <is>
          <t>UPPSALA</t>
        </is>
      </c>
      <c r="G853" t="n">
        <v>5.6</v>
      </c>
      <c r="H853" t="n">
        <v>0</v>
      </c>
      <c r="I853" t="n">
        <v>0</v>
      </c>
      <c r="J853" t="n">
        <v>0</v>
      </c>
      <c r="K853" t="n">
        <v>0</v>
      </c>
      <c r="L853" t="n">
        <v>0</v>
      </c>
      <c r="M853" t="n">
        <v>0</v>
      </c>
      <c r="N853" t="n">
        <v>0</v>
      </c>
      <c r="O853" t="n">
        <v>0</v>
      </c>
      <c r="P853" t="n">
        <v>0</v>
      </c>
      <c r="Q853" t="n">
        <v>0</v>
      </c>
      <c r="R853" s="2" t="inlineStr"/>
    </row>
    <row r="854" ht="15" customHeight="1">
      <c r="A854" t="inlineStr">
        <is>
          <t>A 56067-2024</t>
        </is>
      </c>
      <c r="B854" s="1" t="n">
        <v>45624</v>
      </c>
      <c r="C854" s="1" t="n">
        <v>45884</v>
      </c>
      <c r="D854" t="inlineStr">
        <is>
          <t>UPPSALA LÄN</t>
        </is>
      </c>
      <c r="E854" t="inlineStr">
        <is>
          <t>UPPSALA</t>
        </is>
      </c>
      <c r="G854" t="n">
        <v>2.4</v>
      </c>
      <c r="H854" t="n">
        <v>0</v>
      </c>
      <c r="I854" t="n">
        <v>0</v>
      </c>
      <c r="J854" t="n">
        <v>0</v>
      </c>
      <c r="K854" t="n">
        <v>0</v>
      </c>
      <c r="L854" t="n">
        <v>0</v>
      </c>
      <c r="M854" t="n">
        <v>0</v>
      </c>
      <c r="N854" t="n">
        <v>0</v>
      </c>
      <c r="O854" t="n">
        <v>0</v>
      </c>
      <c r="P854" t="n">
        <v>0</v>
      </c>
      <c r="Q854" t="n">
        <v>0</v>
      </c>
      <c r="R854" s="2" t="inlineStr"/>
    </row>
    <row r="855" ht="15" customHeight="1">
      <c r="A855" t="inlineStr">
        <is>
          <t>A 35509-2025</t>
        </is>
      </c>
      <c r="B855" s="1" t="n">
        <v>45856.34959490741</v>
      </c>
      <c r="C855" s="1" t="n">
        <v>45884</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35504-2025</t>
        </is>
      </c>
      <c r="B856" s="1" t="n">
        <v>45856.34034722222</v>
      </c>
      <c r="C856" s="1" t="n">
        <v>45884</v>
      </c>
      <c r="D856" t="inlineStr">
        <is>
          <t>UPPSALA LÄN</t>
        </is>
      </c>
      <c r="E856" t="inlineStr">
        <is>
          <t>UPPSALA</t>
        </is>
      </c>
      <c r="F856" t="inlineStr">
        <is>
          <t>Bergvik skog öst AB</t>
        </is>
      </c>
      <c r="G856" t="n">
        <v>6.7</v>
      </c>
      <c r="H856" t="n">
        <v>0</v>
      </c>
      <c r="I856" t="n">
        <v>0</v>
      </c>
      <c r="J856" t="n">
        <v>0</v>
      </c>
      <c r="K856" t="n">
        <v>0</v>
      </c>
      <c r="L856" t="n">
        <v>0</v>
      </c>
      <c r="M856" t="n">
        <v>0</v>
      </c>
      <c r="N856" t="n">
        <v>0</v>
      </c>
      <c r="O856" t="n">
        <v>0</v>
      </c>
      <c r="P856" t="n">
        <v>0</v>
      </c>
      <c r="Q856" t="n">
        <v>0</v>
      </c>
      <c r="R856" s="2" t="inlineStr"/>
    </row>
    <row r="857" ht="15" customHeight="1">
      <c r="A857" t="inlineStr">
        <is>
          <t>A 35505-2025</t>
        </is>
      </c>
      <c r="B857" s="1" t="n">
        <v>45856.34231481481</v>
      </c>
      <c r="C857" s="1" t="n">
        <v>45884</v>
      </c>
      <c r="D857" t="inlineStr">
        <is>
          <t>UPPSALA LÄN</t>
        </is>
      </c>
      <c r="E857" t="inlineStr">
        <is>
          <t>UPPSALA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28275-2025</t>
        </is>
      </c>
      <c r="B858" s="1" t="n">
        <v>45818.57910879629</v>
      </c>
      <c r="C858" s="1" t="n">
        <v>45884</v>
      </c>
      <c r="D858" t="inlineStr">
        <is>
          <t>UPPSALA LÄN</t>
        </is>
      </c>
      <c r="E858" t="inlineStr">
        <is>
          <t>UPPSALA</t>
        </is>
      </c>
      <c r="F858" t="inlineStr">
        <is>
          <t>Holmen skog AB</t>
        </is>
      </c>
      <c r="G858" t="n">
        <v>6.5</v>
      </c>
      <c r="H858" t="n">
        <v>0</v>
      </c>
      <c r="I858" t="n">
        <v>0</v>
      </c>
      <c r="J858" t="n">
        <v>0</v>
      </c>
      <c r="K858" t="n">
        <v>0</v>
      </c>
      <c r="L858" t="n">
        <v>0</v>
      </c>
      <c r="M858" t="n">
        <v>0</v>
      </c>
      <c r="N858" t="n">
        <v>0</v>
      </c>
      <c r="O858" t="n">
        <v>0</v>
      </c>
      <c r="P858" t="n">
        <v>0</v>
      </c>
      <c r="Q858" t="n">
        <v>0</v>
      </c>
      <c r="R858" s="2" t="inlineStr"/>
    </row>
    <row r="859" ht="15" customHeight="1">
      <c r="A859" t="inlineStr">
        <is>
          <t>A 27922-2025</t>
        </is>
      </c>
      <c r="B859" s="1" t="n">
        <v>45817</v>
      </c>
      <c r="C859" s="1" t="n">
        <v>45884</v>
      </c>
      <c r="D859" t="inlineStr">
        <is>
          <t>UPPSALA LÄN</t>
        </is>
      </c>
      <c r="E859" t="inlineStr">
        <is>
          <t>UPPSALA</t>
        </is>
      </c>
      <c r="F859" t="inlineStr">
        <is>
          <t>Övriga Aktiebolag</t>
        </is>
      </c>
      <c r="G859" t="n">
        <v>0.1</v>
      </c>
      <c r="H859" t="n">
        <v>0</v>
      </c>
      <c r="I859" t="n">
        <v>0</v>
      </c>
      <c r="J859" t="n">
        <v>0</v>
      </c>
      <c r="K859" t="n">
        <v>0</v>
      </c>
      <c r="L859" t="n">
        <v>0</v>
      </c>
      <c r="M859" t="n">
        <v>0</v>
      </c>
      <c r="N859" t="n">
        <v>0</v>
      </c>
      <c r="O859" t="n">
        <v>0</v>
      </c>
      <c r="P859" t="n">
        <v>0</v>
      </c>
      <c r="Q859" t="n">
        <v>0</v>
      </c>
      <c r="R859" s="2" t="inlineStr"/>
    </row>
    <row r="860" ht="15" customHeight="1">
      <c r="A860" t="inlineStr">
        <is>
          <t>A 55953-2020</t>
        </is>
      </c>
      <c r="B860" s="1" t="n">
        <v>44131</v>
      </c>
      <c r="C860" s="1" t="n">
        <v>45884</v>
      </c>
      <c r="D860" t="inlineStr">
        <is>
          <t>UPPSALA LÄN</t>
        </is>
      </c>
      <c r="E860" t="inlineStr">
        <is>
          <t>UPPSALA</t>
        </is>
      </c>
      <c r="F860" t="inlineStr">
        <is>
          <t>Allmännings- och besparingsskogar</t>
        </is>
      </c>
      <c r="G860" t="n">
        <v>74.40000000000001</v>
      </c>
      <c r="H860" t="n">
        <v>0</v>
      </c>
      <c r="I860" t="n">
        <v>0</v>
      </c>
      <c r="J860" t="n">
        <v>0</v>
      </c>
      <c r="K860" t="n">
        <v>0</v>
      </c>
      <c r="L860" t="n">
        <v>0</v>
      </c>
      <c r="M860" t="n">
        <v>0</v>
      </c>
      <c r="N860" t="n">
        <v>0</v>
      </c>
      <c r="O860" t="n">
        <v>0</v>
      </c>
      <c r="P860" t="n">
        <v>0</v>
      </c>
      <c r="Q860" t="n">
        <v>0</v>
      </c>
      <c r="R860" s="2" t="inlineStr"/>
    </row>
    <row r="861" ht="15" customHeight="1">
      <c r="A861" t="inlineStr">
        <is>
          <t>A 35978-2025</t>
        </is>
      </c>
      <c r="B861" s="1" t="n">
        <v>45863.44648148148</v>
      </c>
      <c r="C861" s="1" t="n">
        <v>45884</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28876-2025</t>
        </is>
      </c>
      <c r="B862" s="1" t="n">
        <v>45820</v>
      </c>
      <c r="C862" s="1" t="n">
        <v>45884</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28871-2025</t>
        </is>
      </c>
      <c r="B863" s="1" t="n">
        <v>45820</v>
      </c>
      <c r="C863" s="1" t="n">
        <v>45884</v>
      </c>
      <c r="D863" t="inlineStr">
        <is>
          <t>UPPSALA LÄN</t>
        </is>
      </c>
      <c r="E863" t="inlineStr">
        <is>
          <t>UPPSALA</t>
        </is>
      </c>
      <c r="G863" t="n">
        <v>6.5</v>
      </c>
      <c r="H863" t="n">
        <v>0</v>
      </c>
      <c r="I863" t="n">
        <v>0</v>
      </c>
      <c r="J863" t="n">
        <v>0</v>
      </c>
      <c r="K863" t="n">
        <v>0</v>
      </c>
      <c r="L863" t="n">
        <v>0</v>
      </c>
      <c r="M863" t="n">
        <v>0</v>
      </c>
      <c r="N863" t="n">
        <v>0</v>
      </c>
      <c r="O863" t="n">
        <v>0</v>
      </c>
      <c r="P863" t="n">
        <v>0</v>
      </c>
      <c r="Q863" t="n">
        <v>0</v>
      </c>
      <c r="R863" s="2" t="inlineStr"/>
    </row>
    <row r="864" ht="15" customHeight="1">
      <c r="A864" t="inlineStr">
        <is>
          <t>A 28878-2025</t>
        </is>
      </c>
      <c r="B864" s="1" t="n">
        <v>45820</v>
      </c>
      <c r="C864" s="1" t="n">
        <v>45884</v>
      </c>
      <c r="D864" t="inlineStr">
        <is>
          <t>UPPSALA LÄN</t>
        </is>
      </c>
      <c r="E864" t="inlineStr">
        <is>
          <t>UPPSALA</t>
        </is>
      </c>
      <c r="G864" t="n">
        <v>5.5</v>
      </c>
      <c r="H864" t="n">
        <v>0</v>
      </c>
      <c r="I864" t="n">
        <v>0</v>
      </c>
      <c r="J864" t="n">
        <v>0</v>
      </c>
      <c r="K864" t="n">
        <v>0</v>
      </c>
      <c r="L864" t="n">
        <v>0</v>
      </c>
      <c r="M864" t="n">
        <v>0</v>
      </c>
      <c r="N864" t="n">
        <v>0</v>
      </c>
      <c r="O864" t="n">
        <v>0</v>
      </c>
      <c r="P864" t="n">
        <v>0</v>
      </c>
      <c r="Q864" t="n">
        <v>0</v>
      </c>
      <c r="R864" s="2" t="inlineStr"/>
    </row>
    <row r="865" ht="15" customHeight="1">
      <c r="A865" t="inlineStr">
        <is>
          <t>A 29030-2025</t>
        </is>
      </c>
      <c r="B865" s="1" t="n">
        <v>45821.44101851852</v>
      </c>
      <c r="C865" s="1" t="n">
        <v>45884</v>
      </c>
      <c r="D865" t="inlineStr">
        <is>
          <t>UPPSALA LÄN</t>
        </is>
      </c>
      <c r="E865" t="inlineStr">
        <is>
          <t>UPPSALA</t>
        </is>
      </c>
      <c r="G865" t="n">
        <v>3.9</v>
      </c>
      <c r="H865" t="n">
        <v>0</v>
      </c>
      <c r="I865" t="n">
        <v>0</v>
      </c>
      <c r="J865" t="n">
        <v>0</v>
      </c>
      <c r="K865" t="n">
        <v>0</v>
      </c>
      <c r="L865" t="n">
        <v>0</v>
      </c>
      <c r="M865" t="n">
        <v>0</v>
      </c>
      <c r="N865" t="n">
        <v>0</v>
      </c>
      <c r="O865" t="n">
        <v>0</v>
      </c>
      <c r="P865" t="n">
        <v>0</v>
      </c>
      <c r="Q865" t="n">
        <v>0</v>
      </c>
      <c r="R865" s="2" t="inlineStr"/>
    </row>
    <row r="866" ht="15" customHeight="1">
      <c r="A866" t="inlineStr">
        <is>
          <t>A 35984-2025</t>
        </is>
      </c>
      <c r="B866" s="1" t="n">
        <v>45863.45355324074</v>
      </c>
      <c r="C866" s="1" t="n">
        <v>45884</v>
      </c>
      <c r="D866" t="inlineStr">
        <is>
          <t>UPPSALA LÄN</t>
        </is>
      </c>
      <c r="E866" t="inlineStr">
        <is>
          <t>UPPSALA</t>
        </is>
      </c>
      <c r="G866" t="n">
        <v>6.1</v>
      </c>
      <c r="H866" t="n">
        <v>0</v>
      </c>
      <c r="I866" t="n">
        <v>0</v>
      </c>
      <c r="J866" t="n">
        <v>0</v>
      </c>
      <c r="K866" t="n">
        <v>0</v>
      </c>
      <c r="L866" t="n">
        <v>0</v>
      </c>
      <c r="M866" t="n">
        <v>0</v>
      </c>
      <c r="N866" t="n">
        <v>0</v>
      </c>
      <c r="O866" t="n">
        <v>0</v>
      </c>
      <c r="P866" t="n">
        <v>0</v>
      </c>
      <c r="Q866" t="n">
        <v>0</v>
      </c>
      <c r="R866" s="2" t="inlineStr"/>
    </row>
    <row r="867" ht="15" customHeight="1">
      <c r="A867" t="inlineStr">
        <is>
          <t>A 29287-2025</t>
        </is>
      </c>
      <c r="B867" s="1" t="n">
        <v>45824.43798611111</v>
      </c>
      <c r="C867" s="1" t="n">
        <v>45884</v>
      </c>
      <c r="D867" t="inlineStr">
        <is>
          <t>UPPSALA LÄN</t>
        </is>
      </c>
      <c r="E867" t="inlineStr">
        <is>
          <t>UPPSALA</t>
        </is>
      </c>
      <c r="F867" t="inlineStr">
        <is>
          <t>Kyrkan</t>
        </is>
      </c>
      <c r="G867" t="n">
        <v>5.2</v>
      </c>
      <c r="H867" t="n">
        <v>0</v>
      </c>
      <c r="I867" t="n">
        <v>0</v>
      </c>
      <c r="J867" t="n">
        <v>0</v>
      </c>
      <c r="K867" t="n">
        <v>0</v>
      </c>
      <c r="L867" t="n">
        <v>0</v>
      </c>
      <c r="M867" t="n">
        <v>0</v>
      </c>
      <c r="N867" t="n">
        <v>0</v>
      </c>
      <c r="O867" t="n">
        <v>0</v>
      </c>
      <c r="P867" t="n">
        <v>0</v>
      </c>
      <c r="Q867" t="n">
        <v>0</v>
      </c>
      <c r="R867" s="2" t="inlineStr"/>
    </row>
    <row r="868" ht="15" customHeight="1">
      <c r="A868" t="inlineStr">
        <is>
          <t>A 29664-2025</t>
        </is>
      </c>
      <c r="B868" s="1" t="n">
        <v>45825.49060185185</v>
      </c>
      <c r="C868" s="1" t="n">
        <v>45884</v>
      </c>
      <c r="D868" t="inlineStr">
        <is>
          <t>UPPSALA LÄN</t>
        </is>
      </c>
      <c r="E868" t="inlineStr">
        <is>
          <t>UPPSALA</t>
        </is>
      </c>
      <c r="F868" t="inlineStr">
        <is>
          <t>Holmen skog AB</t>
        </is>
      </c>
      <c r="G868" t="n">
        <v>16.8</v>
      </c>
      <c r="H868" t="n">
        <v>0</v>
      </c>
      <c r="I868" t="n">
        <v>0</v>
      </c>
      <c r="J868" t="n">
        <v>0</v>
      </c>
      <c r="K868" t="n">
        <v>0</v>
      </c>
      <c r="L868" t="n">
        <v>0</v>
      </c>
      <c r="M868" t="n">
        <v>0</v>
      </c>
      <c r="N868" t="n">
        <v>0</v>
      </c>
      <c r="O868" t="n">
        <v>0</v>
      </c>
      <c r="P868" t="n">
        <v>0</v>
      </c>
      <c r="Q868" t="n">
        <v>0</v>
      </c>
      <c r="R868" s="2" t="inlineStr"/>
    </row>
    <row r="869" ht="15" customHeight="1">
      <c r="A869" t="inlineStr">
        <is>
          <t>A 29627-2025</t>
        </is>
      </c>
      <c r="B869" s="1" t="n">
        <v>45825.44482638889</v>
      </c>
      <c r="C869" s="1" t="n">
        <v>45884</v>
      </c>
      <c r="D869" t="inlineStr">
        <is>
          <t>UPPSALA LÄN</t>
        </is>
      </c>
      <c r="E869" t="inlineStr">
        <is>
          <t>UPPSALA</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29047-2025</t>
        </is>
      </c>
      <c r="B870" s="1" t="n">
        <v>45821.45905092593</v>
      </c>
      <c r="C870" s="1" t="n">
        <v>45884</v>
      </c>
      <c r="D870" t="inlineStr">
        <is>
          <t>UPPSALA LÄN</t>
        </is>
      </c>
      <c r="E870" t="inlineStr">
        <is>
          <t>UPPSALA</t>
        </is>
      </c>
      <c r="G870" t="n">
        <v>1.3</v>
      </c>
      <c r="H870" t="n">
        <v>0</v>
      </c>
      <c r="I870" t="n">
        <v>0</v>
      </c>
      <c r="J870" t="n">
        <v>0</v>
      </c>
      <c r="K870" t="n">
        <v>0</v>
      </c>
      <c r="L870" t="n">
        <v>0</v>
      </c>
      <c r="M870" t="n">
        <v>0</v>
      </c>
      <c r="N870" t="n">
        <v>0</v>
      </c>
      <c r="O870" t="n">
        <v>0</v>
      </c>
      <c r="P870" t="n">
        <v>0</v>
      </c>
      <c r="Q870" t="n">
        <v>0</v>
      </c>
      <c r="R870" s="2" t="inlineStr"/>
    </row>
    <row r="871" ht="15" customHeight="1">
      <c r="A871" t="inlineStr">
        <is>
          <t>A 30437-2025</t>
        </is>
      </c>
      <c r="B871" s="1" t="n">
        <v>45827.64092592592</v>
      </c>
      <c r="C871" s="1" t="n">
        <v>45884</v>
      </c>
      <c r="D871" t="inlineStr">
        <is>
          <t>UPPSALA LÄN</t>
        </is>
      </c>
      <c r="E871" t="inlineStr">
        <is>
          <t>UPPSALA</t>
        </is>
      </c>
      <c r="G871" t="n">
        <v>3.6</v>
      </c>
      <c r="H871" t="n">
        <v>0</v>
      </c>
      <c r="I871" t="n">
        <v>0</v>
      </c>
      <c r="J871" t="n">
        <v>0</v>
      </c>
      <c r="K871" t="n">
        <v>0</v>
      </c>
      <c r="L871" t="n">
        <v>0</v>
      </c>
      <c r="M871" t="n">
        <v>0</v>
      </c>
      <c r="N871" t="n">
        <v>0</v>
      </c>
      <c r="O871" t="n">
        <v>0</v>
      </c>
      <c r="P871" t="n">
        <v>0</v>
      </c>
      <c r="Q871" t="n">
        <v>0</v>
      </c>
      <c r="R871" s="2" t="inlineStr"/>
    </row>
    <row r="872" ht="15" customHeight="1">
      <c r="A872" t="inlineStr">
        <is>
          <t>A 30282-2025</t>
        </is>
      </c>
      <c r="B872" s="1" t="n">
        <v>45827.46288194445</v>
      </c>
      <c r="C872" s="1" t="n">
        <v>45884</v>
      </c>
      <c r="D872" t="inlineStr">
        <is>
          <t>UPPSALA LÄN</t>
        </is>
      </c>
      <c r="E872" t="inlineStr">
        <is>
          <t>UPPSALA</t>
        </is>
      </c>
      <c r="F872" t="inlineStr">
        <is>
          <t>Holmen skog AB</t>
        </is>
      </c>
      <c r="G872" t="n">
        <v>3.5</v>
      </c>
      <c r="H872" t="n">
        <v>0</v>
      </c>
      <c r="I872" t="n">
        <v>0</v>
      </c>
      <c r="J872" t="n">
        <v>0</v>
      </c>
      <c r="K872" t="n">
        <v>0</v>
      </c>
      <c r="L872" t="n">
        <v>0</v>
      </c>
      <c r="M872" t="n">
        <v>0</v>
      </c>
      <c r="N872" t="n">
        <v>0</v>
      </c>
      <c r="O872" t="n">
        <v>0</v>
      </c>
      <c r="P872" t="n">
        <v>0</v>
      </c>
      <c r="Q872" t="n">
        <v>0</v>
      </c>
      <c r="R872" s="2" t="inlineStr"/>
    </row>
    <row r="873" ht="15" customHeight="1">
      <c r="A873" t="inlineStr">
        <is>
          <t>A 30429-2025</t>
        </is>
      </c>
      <c r="B873" s="1" t="n">
        <v>45827.62096064815</v>
      </c>
      <c r="C873" s="1" t="n">
        <v>45884</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30567-2025</t>
        </is>
      </c>
      <c r="B874" s="1" t="n">
        <v>45831.40671296296</v>
      </c>
      <c r="C874" s="1" t="n">
        <v>45884</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35148-2025</t>
        </is>
      </c>
      <c r="B875" s="1" t="n">
        <v>45852.67366898148</v>
      </c>
      <c r="C875" s="1" t="n">
        <v>45884</v>
      </c>
      <c r="D875" t="inlineStr">
        <is>
          <t>UPPSALA LÄN</t>
        </is>
      </c>
      <c r="E875" t="inlineStr">
        <is>
          <t>UPPSALA</t>
        </is>
      </c>
      <c r="F875" t="inlineStr">
        <is>
          <t>Holmen skog AB</t>
        </is>
      </c>
      <c r="G875" t="n">
        <v>2.2</v>
      </c>
      <c r="H875" t="n">
        <v>0</v>
      </c>
      <c r="I875" t="n">
        <v>0</v>
      </c>
      <c r="J875" t="n">
        <v>0</v>
      </c>
      <c r="K875" t="n">
        <v>0</v>
      </c>
      <c r="L875" t="n">
        <v>0</v>
      </c>
      <c r="M875" t="n">
        <v>0</v>
      </c>
      <c r="N875" t="n">
        <v>0</v>
      </c>
      <c r="O875" t="n">
        <v>0</v>
      </c>
      <c r="P875" t="n">
        <v>0</v>
      </c>
      <c r="Q875" t="n">
        <v>0</v>
      </c>
      <c r="R875" s="2" t="inlineStr"/>
    </row>
    <row r="876" ht="15" customHeight="1">
      <c r="A876" t="inlineStr">
        <is>
          <t>A 30838-2025</t>
        </is>
      </c>
      <c r="B876" s="1" t="n">
        <v>45831.72686342592</v>
      </c>
      <c r="C876" s="1" t="n">
        <v>45884</v>
      </c>
      <c r="D876" t="inlineStr">
        <is>
          <t>UPPSALA LÄN</t>
        </is>
      </c>
      <c r="E876" t="inlineStr">
        <is>
          <t>UPPSALA</t>
        </is>
      </c>
      <c r="F876" t="inlineStr">
        <is>
          <t>Kyrkan</t>
        </is>
      </c>
      <c r="G876" t="n">
        <v>2.2</v>
      </c>
      <c r="H876" t="n">
        <v>0</v>
      </c>
      <c r="I876" t="n">
        <v>0</v>
      </c>
      <c r="J876" t="n">
        <v>0</v>
      </c>
      <c r="K876" t="n">
        <v>0</v>
      </c>
      <c r="L876" t="n">
        <v>0</v>
      </c>
      <c r="M876" t="n">
        <v>0</v>
      </c>
      <c r="N876" t="n">
        <v>0</v>
      </c>
      <c r="O876" t="n">
        <v>0</v>
      </c>
      <c r="P876" t="n">
        <v>0</v>
      </c>
      <c r="Q876" t="n">
        <v>0</v>
      </c>
      <c r="R876" s="2" t="inlineStr"/>
    </row>
    <row r="877" ht="15" customHeight="1">
      <c r="A877" t="inlineStr">
        <is>
          <t>A 30839-2025</t>
        </is>
      </c>
      <c r="B877" s="1" t="n">
        <v>45831.73</v>
      </c>
      <c r="C877" s="1" t="n">
        <v>45884</v>
      </c>
      <c r="D877" t="inlineStr">
        <is>
          <t>UPPSALA LÄN</t>
        </is>
      </c>
      <c r="E877" t="inlineStr">
        <is>
          <t>UPPSALA</t>
        </is>
      </c>
      <c r="F877" t="inlineStr">
        <is>
          <t>Kyrkan</t>
        </is>
      </c>
      <c r="G877" t="n">
        <v>2.2</v>
      </c>
      <c r="H877" t="n">
        <v>0</v>
      </c>
      <c r="I877" t="n">
        <v>0</v>
      </c>
      <c r="J877" t="n">
        <v>0</v>
      </c>
      <c r="K877" t="n">
        <v>0</v>
      </c>
      <c r="L877" t="n">
        <v>0</v>
      </c>
      <c r="M877" t="n">
        <v>0</v>
      </c>
      <c r="N877" t="n">
        <v>0</v>
      </c>
      <c r="O877" t="n">
        <v>0</v>
      </c>
      <c r="P877" t="n">
        <v>0</v>
      </c>
      <c r="Q877" t="n">
        <v>0</v>
      </c>
      <c r="R877" s="2" t="inlineStr"/>
    </row>
    <row r="878" ht="15" customHeight="1">
      <c r="A878" t="inlineStr">
        <is>
          <t>A 30616-2025</t>
        </is>
      </c>
      <c r="B878" s="1" t="n">
        <v>45831.46731481481</v>
      </c>
      <c r="C878" s="1" t="n">
        <v>45884</v>
      </c>
      <c r="D878" t="inlineStr">
        <is>
          <t>UPPSALA LÄN</t>
        </is>
      </c>
      <c r="E878" t="inlineStr">
        <is>
          <t>UPPSALA</t>
        </is>
      </c>
      <c r="G878" t="n">
        <v>2.1</v>
      </c>
      <c r="H878" t="n">
        <v>0</v>
      </c>
      <c r="I878" t="n">
        <v>0</v>
      </c>
      <c r="J878" t="n">
        <v>0</v>
      </c>
      <c r="K878" t="n">
        <v>0</v>
      </c>
      <c r="L878" t="n">
        <v>0</v>
      </c>
      <c r="M878" t="n">
        <v>0</v>
      </c>
      <c r="N878" t="n">
        <v>0</v>
      </c>
      <c r="O878" t="n">
        <v>0</v>
      </c>
      <c r="P878" t="n">
        <v>0</v>
      </c>
      <c r="Q878" t="n">
        <v>0</v>
      </c>
      <c r="R878" s="2" t="inlineStr"/>
    </row>
    <row r="879" ht="15" customHeight="1">
      <c r="A879" t="inlineStr">
        <is>
          <t>A 30583-2025</t>
        </is>
      </c>
      <c r="B879" s="1" t="n">
        <v>45831.42365740741</v>
      </c>
      <c r="C879" s="1" t="n">
        <v>45884</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30585-2025</t>
        </is>
      </c>
      <c r="B880" s="1" t="n">
        <v>45831.42616898148</v>
      </c>
      <c r="C880" s="1" t="n">
        <v>45884</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30897-2025</t>
        </is>
      </c>
      <c r="B881" s="1" t="n">
        <v>45832.35545138889</v>
      </c>
      <c r="C881" s="1" t="n">
        <v>45884</v>
      </c>
      <c r="D881" t="inlineStr">
        <is>
          <t>UPPSALA LÄN</t>
        </is>
      </c>
      <c r="E881" t="inlineStr">
        <is>
          <t>UPPSALA</t>
        </is>
      </c>
      <c r="F881" t="inlineStr">
        <is>
          <t>Kyrkan</t>
        </is>
      </c>
      <c r="G881" t="n">
        <v>2.8</v>
      </c>
      <c r="H881" t="n">
        <v>0</v>
      </c>
      <c r="I881" t="n">
        <v>0</v>
      </c>
      <c r="J881" t="n">
        <v>0</v>
      </c>
      <c r="K881" t="n">
        <v>0</v>
      </c>
      <c r="L881" t="n">
        <v>0</v>
      </c>
      <c r="M881" t="n">
        <v>0</v>
      </c>
      <c r="N881" t="n">
        <v>0</v>
      </c>
      <c r="O881" t="n">
        <v>0</v>
      </c>
      <c r="P881" t="n">
        <v>0</v>
      </c>
      <c r="Q881" t="n">
        <v>0</v>
      </c>
      <c r="R881" s="2" t="inlineStr"/>
    </row>
    <row r="882" ht="15" customHeight="1">
      <c r="A882" t="inlineStr">
        <is>
          <t>A 30898-2025</t>
        </is>
      </c>
      <c r="B882" s="1" t="n">
        <v>45832.35590277778</v>
      </c>
      <c r="C882" s="1" t="n">
        <v>45884</v>
      </c>
      <c r="D882" t="inlineStr">
        <is>
          <t>UPPSALA LÄN</t>
        </is>
      </c>
      <c r="E882" t="inlineStr">
        <is>
          <t>UPPSALA</t>
        </is>
      </c>
      <c r="F882" t="inlineStr">
        <is>
          <t>Kyrkan</t>
        </is>
      </c>
      <c r="G882" t="n">
        <v>2.8</v>
      </c>
      <c r="H882" t="n">
        <v>0</v>
      </c>
      <c r="I882" t="n">
        <v>0</v>
      </c>
      <c r="J882" t="n">
        <v>0</v>
      </c>
      <c r="K882" t="n">
        <v>0</v>
      </c>
      <c r="L882" t="n">
        <v>0</v>
      </c>
      <c r="M882" t="n">
        <v>0</v>
      </c>
      <c r="N882" t="n">
        <v>0</v>
      </c>
      <c r="O882" t="n">
        <v>0</v>
      </c>
      <c r="P882" t="n">
        <v>0</v>
      </c>
      <c r="Q882" t="n">
        <v>0</v>
      </c>
      <c r="R882" s="2" t="inlineStr"/>
    </row>
    <row r="883" ht="15" customHeight="1">
      <c r="A883" t="inlineStr">
        <is>
          <t>A 37010-2025</t>
        </is>
      </c>
      <c r="B883" s="1" t="n">
        <v>45874.705</v>
      </c>
      <c r="C883" s="1" t="n">
        <v>45884</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36913-2025</t>
        </is>
      </c>
      <c r="B884" s="1" t="n">
        <v>45874</v>
      </c>
      <c r="C884" s="1" t="n">
        <v>45884</v>
      </c>
      <c r="D884" t="inlineStr">
        <is>
          <t>UPPSALA LÄN</t>
        </is>
      </c>
      <c r="E884" t="inlineStr">
        <is>
          <t>UPPSALA</t>
        </is>
      </c>
      <c r="G884" t="n">
        <v>1.7</v>
      </c>
      <c r="H884" t="n">
        <v>0</v>
      </c>
      <c r="I884" t="n">
        <v>0</v>
      </c>
      <c r="J884" t="n">
        <v>0</v>
      </c>
      <c r="K884" t="n">
        <v>0</v>
      </c>
      <c r="L884" t="n">
        <v>0</v>
      </c>
      <c r="M884" t="n">
        <v>0</v>
      </c>
      <c r="N884" t="n">
        <v>0</v>
      </c>
      <c r="O884" t="n">
        <v>0</v>
      </c>
      <c r="P884" t="n">
        <v>0</v>
      </c>
      <c r="Q884" t="n">
        <v>0</v>
      </c>
      <c r="R884" s="2" t="inlineStr"/>
    </row>
    <row r="885" ht="15" customHeight="1">
      <c r="A885" t="inlineStr">
        <is>
          <t>A 37468-2025</t>
        </is>
      </c>
      <c r="B885" s="1" t="n">
        <v>45877.57847222222</v>
      </c>
      <c r="C885" s="1" t="n">
        <v>45884</v>
      </c>
      <c r="D885" t="inlineStr">
        <is>
          <t>UPPSALA LÄN</t>
        </is>
      </c>
      <c r="E885" t="inlineStr">
        <is>
          <t>UPPSALA</t>
        </is>
      </c>
      <c r="G885" t="n">
        <v>2.9</v>
      </c>
      <c r="H885" t="n">
        <v>0</v>
      </c>
      <c r="I885" t="n">
        <v>0</v>
      </c>
      <c r="J885" t="n">
        <v>0</v>
      </c>
      <c r="K885" t="n">
        <v>0</v>
      </c>
      <c r="L885" t="n">
        <v>0</v>
      </c>
      <c r="M885" t="n">
        <v>0</v>
      </c>
      <c r="N885" t="n">
        <v>0</v>
      </c>
      <c r="O885" t="n">
        <v>0</v>
      </c>
      <c r="P885" t="n">
        <v>0</v>
      </c>
      <c r="Q885" t="n">
        <v>0</v>
      </c>
      <c r="R885" s="2" t="inlineStr"/>
    </row>
    <row r="886" ht="15" customHeight="1">
      <c r="A886" t="inlineStr">
        <is>
          <t>A 37486-2025</t>
        </is>
      </c>
      <c r="B886" s="1" t="n">
        <v>45877.62969907407</v>
      </c>
      <c r="C886" s="1" t="n">
        <v>45884</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37352-2025</t>
        </is>
      </c>
      <c r="B887" s="1" t="n">
        <v>45876</v>
      </c>
      <c r="C887" s="1" t="n">
        <v>45884</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32252-2025</t>
        </is>
      </c>
      <c r="B888" s="1" t="n">
        <v>45835.62752314815</v>
      </c>
      <c r="C888" s="1" t="n">
        <v>45884</v>
      </c>
      <c r="D888" t="inlineStr">
        <is>
          <t>UPPSALA LÄN</t>
        </is>
      </c>
      <c r="E888" t="inlineStr">
        <is>
          <t>UPPSALA</t>
        </is>
      </c>
      <c r="F888" t="inlineStr">
        <is>
          <t>Kyrkan</t>
        </is>
      </c>
      <c r="G888" t="n">
        <v>3.8</v>
      </c>
      <c r="H888" t="n">
        <v>0</v>
      </c>
      <c r="I888" t="n">
        <v>0</v>
      </c>
      <c r="J888" t="n">
        <v>0</v>
      </c>
      <c r="K888" t="n">
        <v>0</v>
      </c>
      <c r="L888" t="n">
        <v>0</v>
      </c>
      <c r="M888" t="n">
        <v>0</v>
      </c>
      <c r="N888" t="n">
        <v>0</v>
      </c>
      <c r="O888" t="n">
        <v>0</v>
      </c>
      <c r="P888" t="n">
        <v>0</v>
      </c>
      <c r="Q888" t="n">
        <v>0</v>
      </c>
      <c r="R888" s="2" t="inlineStr"/>
    </row>
    <row r="889" ht="15" customHeight="1">
      <c r="A889" t="inlineStr">
        <is>
          <t>A 37351-2025</t>
        </is>
      </c>
      <c r="B889" s="1" t="n">
        <v>45876</v>
      </c>
      <c r="C889" s="1" t="n">
        <v>45884</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37759-2025</t>
        </is>
      </c>
      <c r="B890" s="1" t="n">
        <v>45880.68200231482</v>
      </c>
      <c r="C890" s="1" t="n">
        <v>45884</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37557-2025</t>
        </is>
      </c>
      <c r="B891" s="1" t="n">
        <v>45880.32907407408</v>
      </c>
      <c r="C891" s="1" t="n">
        <v>45884</v>
      </c>
      <c r="D891" t="inlineStr">
        <is>
          <t>UPPSALA LÄN</t>
        </is>
      </c>
      <c r="E891" t="inlineStr">
        <is>
          <t>UPPSALA</t>
        </is>
      </c>
      <c r="G891" t="n">
        <v>1.6</v>
      </c>
      <c r="H891" t="n">
        <v>0</v>
      </c>
      <c r="I891" t="n">
        <v>0</v>
      </c>
      <c r="J891" t="n">
        <v>0</v>
      </c>
      <c r="K891" t="n">
        <v>0</v>
      </c>
      <c r="L891" t="n">
        <v>0</v>
      </c>
      <c r="M891" t="n">
        <v>0</v>
      </c>
      <c r="N891" t="n">
        <v>0</v>
      </c>
      <c r="O891" t="n">
        <v>0</v>
      </c>
      <c r="P891" t="n">
        <v>0</v>
      </c>
      <c r="Q891" t="n">
        <v>0</v>
      </c>
      <c r="R891" s="2" t="inlineStr"/>
    </row>
    <row r="892" ht="15" customHeight="1">
      <c r="A892" t="inlineStr">
        <is>
          <t>A 28958-2025</t>
        </is>
      </c>
      <c r="B892" s="1" t="n">
        <v>45821.31292824074</v>
      </c>
      <c r="C892" s="1" t="n">
        <v>45884</v>
      </c>
      <c r="D892" t="inlineStr">
        <is>
          <t>UPPSALA LÄN</t>
        </is>
      </c>
      <c r="E892" t="inlineStr">
        <is>
          <t>UPPSALA</t>
        </is>
      </c>
      <c r="G892" t="n">
        <v>4.6</v>
      </c>
      <c r="H892" t="n">
        <v>0</v>
      </c>
      <c r="I892" t="n">
        <v>0</v>
      </c>
      <c r="J892" t="n">
        <v>0</v>
      </c>
      <c r="K892" t="n">
        <v>0</v>
      </c>
      <c r="L892" t="n">
        <v>0</v>
      </c>
      <c r="M892" t="n">
        <v>0</v>
      </c>
      <c r="N892" t="n">
        <v>0</v>
      </c>
      <c r="O892" t="n">
        <v>0</v>
      </c>
      <c r="P892" t="n">
        <v>0</v>
      </c>
      <c r="Q892" t="n">
        <v>0</v>
      </c>
      <c r="R892" s="2" t="inlineStr"/>
    </row>
    <row r="893" ht="15" customHeight="1">
      <c r="A893" t="inlineStr">
        <is>
          <t>A 32923-2025</t>
        </is>
      </c>
      <c r="B893" s="1" t="n">
        <v>45839</v>
      </c>
      <c r="C893" s="1" t="n">
        <v>45884</v>
      </c>
      <c r="D893" t="inlineStr">
        <is>
          <t>UPPSALA LÄN</t>
        </is>
      </c>
      <c r="E893" t="inlineStr">
        <is>
          <t>UPPSALA</t>
        </is>
      </c>
      <c r="G893" t="n">
        <v>5.1</v>
      </c>
      <c r="H893" t="n">
        <v>0</v>
      </c>
      <c r="I893" t="n">
        <v>0</v>
      </c>
      <c r="J893" t="n">
        <v>0</v>
      </c>
      <c r="K893" t="n">
        <v>0</v>
      </c>
      <c r="L893" t="n">
        <v>0</v>
      </c>
      <c r="M893" t="n">
        <v>0</v>
      </c>
      <c r="N893" t="n">
        <v>0</v>
      </c>
      <c r="O893" t="n">
        <v>0</v>
      </c>
      <c r="P893" t="n">
        <v>0</v>
      </c>
      <c r="Q893" t="n">
        <v>0</v>
      </c>
      <c r="R893" s="2" t="inlineStr"/>
    </row>
    <row r="894" ht="15" customHeight="1">
      <c r="A894" t="inlineStr">
        <is>
          <t>A 37851-2025</t>
        </is>
      </c>
      <c r="B894" s="1" t="n">
        <v>45881.44938657407</v>
      </c>
      <c r="C894" s="1" t="n">
        <v>45884</v>
      </c>
      <c r="D894" t="inlineStr">
        <is>
          <t>UPPSALA LÄN</t>
        </is>
      </c>
      <c r="E894" t="inlineStr">
        <is>
          <t>UPPSALA</t>
        </is>
      </c>
      <c r="G894" t="n">
        <v>2.3</v>
      </c>
      <c r="H894" t="n">
        <v>0</v>
      </c>
      <c r="I894" t="n">
        <v>0</v>
      </c>
      <c r="J894" t="n">
        <v>0</v>
      </c>
      <c r="K894" t="n">
        <v>0</v>
      </c>
      <c r="L894" t="n">
        <v>0</v>
      </c>
      <c r="M894" t="n">
        <v>0</v>
      </c>
      <c r="N894" t="n">
        <v>0</v>
      </c>
      <c r="O894" t="n">
        <v>0</v>
      </c>
      <c r="P894" t="n">
        <v>0</v>
      </c>
      <c r="Q894" t="n">
        <v>0</v>
      </c>
      <c r="R894" s="2" t="inlineStr"/>
    </row>
    <row r="895" ht="15" customHeight="1">
      <c r="A895" t="inlineStr">
        <is>
          <t>A 37561-2025</t>
        </is>
      </c>
      <c r="B895" s="1" t="n">
        <v>45880.34064814815</v>
      </c>
      <c r="C895" s="1" t="n">
        <v>45884</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36253-2025</t>
        </is>
      </c>
      <c r="B896" s="1" t="n">
        <v>45867.58056712963</v>
      </c>
      <c r="C896" s="1" t="n">
        <v>45884</v>
      </c>
      <c r="D896" t="inlineStr">
        <is>
          <t>UPPSALA LÄN</t>
        </is>
      </c>
      <c r="E896" t="inlineStr">
        <is>
          <t>UPPSALA</t>
        </is>
      </c>
      <c r="G896" t="n">
        <v>1.7</v>
      </c>
      <c r="H896" t="n">
        <v>0</v>
      </c>
      <c r="I896" t="n">
        <v>0</v>
      </c>
      <c r="J896" t="n">
        <v>0</v>
      </c>
      <c r="K896" t="n">
        <v>0</v>
      </c>
      <c r="L896" t="n">
        <v>0</v>
      </c>
      <c r="M896" t="n">
        <v>0</v>
      </c>
      <c r="N896" t="n">
        <v>0</v>
      </c>
      <c r="O896" t="n">
        <v>0</v>
      </c>
      <c r="P896" t="n">
        <v>0</v>
      </c>
      <c r="Q896" t="n">
        <v>0</v>
      </c>
      <c r="R896" s="2" t="inlineStr"/>
    </row>
    <row r="897" ht="15" customHeight="1">
      <c r="A897" t="inlineStr">
        <is>
          <t>A 32928-2025</t>
        </is>
      </c>
      <c r="B897" s="1" t="n">
        <v>45839</v>
      </c>
      <c r="C897" s="1" t="n">
        <v>45884</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37856-2025</t>
        </is>
      </c>
      <c r="B898" s="1" t="n">
        <v>45881.45898148148</v>
      </c>
      <c r="C898" s="1" t="n">
        <v>45884</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32711-2025</t>
        </is>
      </c>
      <c r="B899" s="1" t="n">
        <v>45839</v>
      </c>
      <c r="C899" s="1" t="n">
        <v>45884</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c r="U899">
        <f>HYPERLINK("https://klasma.github.io/Logging_0380/knärot/A 32711-2025 karta knärot.png", "A 32711-2025")</f>
        <v/>
      </c>
      <c r="V899">
        <f>HYPERLINK("https://klasma.github.io/Logging_0380/klagomål/A 32711-2025 FSC-klagomål.docx", "A 32711-2025")</f>
        <v/>
      </c>
      <c r="W899">
        <f>HYPERLINK("https://klasma.github.io/Logging_0380/klagomålsmail/A 32711-2025 FSC-klagomål mail.docx", "A 32711-2025")</f>
        <v/>
      </c>
      <c r="X899">
        <f>HYPERLINK("https://klasma.github.io/Logging_0380/tillsyn/A 32711-2025 tillsynsbegäran.docx", "A 32711-2025")</f>
        <v/>
      </c>
      <c r="Y899">
        <f>HYPERLINK("https://klasma.github.io/Logging_0380/tillsynsmail/A 32711-2025 tillsynsbegäran mail.docx", "A 32711-2025")</f>
        <v/>
      </c>
    </row>
    <row r="900" ht="15" customHeight="1">
      <c r="A900" t="inlineStr">
        <is>
          <t>A 37611-2025</t>
        </is>
      </c>
      <c r="B900" s="1" t="n">
        <v>45880.43200231482</v>
      </c>
      <c r="C900" s="1" t="n">
        <v>45884</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33571-2025</t>
        </is>
      </c>
      <c r="B901" s="1" t="n">
        <v>45841.5847337963</v>
      </c>
      <c r="C901" s="1" t="n">
        <v>45884</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33261-2025</t>
        </is>
      </c>
      <c r="B902" s="1" t="n">
        <v>45840</v>
      </c>
      <c r="C902" s="1" t="n">
        <v>45884</v>
      </c>
      <c r="D902" t="inlineStr">
        <is>
          <t>UPPSALA LÄN</t>
        </is>
      </c>
      <c r="E902" t="inlineStr">
        <is>
          <t>UPPSALA</t>
        </is>
      </c>
      <c r="G902" t="n">
        <v>3.4</v>
      </c>
      <c r="H902" t="n">
        <v>0</v>
      </c>
      <c r="I902" t="n">
        <v>0</v>
      </c>
      <c r="J902" t="n">
        <v>0</v>
      </c>
      <c r="K902" t="n">
        <v>0</v>
      </c>
      <c r="L902" t="n">
        <v>0</v>
      </c>
      <c r="M902" t="n">
        <v>0</v>
      </c>
      <c r="N902" t="n">
        <v>0</v>
      </c>
      <c r="O902" t="n">
        <v>0</v>
      </c>
      <c r="P902" t="n">
        <v>0</v>
      </c>
      <c r="Q902" t="n">
        <v>0</v>
      </c>
      <c r="R902" s="2" t="inlineStr"/>
    </row>
    <row r="903" ht="15" customHeight="1">
      <c r="A903" t="inlineStr">
        <is>
          <t>A 38113-2025</t>
        </is>
      </c>
      <c r="B903" s="1" t="n">
        <v>45882.52290509259</v>
      </c>
      <c r="C903" s="1" t="n">
        <v>45884</v>
      </c>
      <c r="D903" t="inlineStr">
        <is>
          <t>UPPSALA LÄN</t>
        </is>
      </c>
      <c r="E903" t="inlineStr">
        <is>
          <t>UPPSALA</t>
        </is>
      </c>
      <c r="G903" t="n">
        <v>5.8</v>
      </c>
      <c r="H903" t="n">
        <v>0</v>
      </c>
      <c r="I903" t="n">
        <v>0</v>
      </c>
      <c r="J903" t="n">
        <v>0</v>
      </c>
      <c r="K903" t="n">
        <v>0</v>
      </c>
      <c r="L903" t="n">
        <v>0</v>
      </c>
      <c r="M903" t="n">
        <v>0</v>
      </c>
      <c r="N903" t="n">
        <v>0</v>
      </c>
      <c r="O903" t="n">
        <v>0</v>
      </c>
      <c r="P903" t="n">
        <v>0</v>
      </c>
      <c r="Q903" t="n">
        <v>0</v>
      </c>
      <c r="R903" s="2" t="inlineStr"/>
    </row>
    <row r="904" ht="15" customHeight="1">
      <c r="A904" t="inlineStr">
        <is>
          <t>A 38085-2025</t>
        </is>
      </c>
      <c r="B904" s="1" t="n">
        <v>45882.47538194444</v>
      </c>
      <c r="C904" s="1" t="n">
        <v>45884</v>
      </c>
      <c r="D904" t="inlineStr">
        <is>
          <t>UPPSALA LÄN</t>
        </is>
      </c>
      <c r="E904" t="inlineStr">
        <is>
          <t>UPPSALA</t>
        </is>
      </c>
      <c r="G904" t="n">
        <v>7.4</v>
      </c>
      <c r="H904" t="n">
        <v>0</v>
      </c>
      <c r="I904" t="n">
        <v>0</v>
      </c>
      <c r="J904" t="n">
        <v>0</v>
      </c>
      <c r="K904" t="n">
        <v>0</v>
      </c>
      <c r="L904" t="n">
        <v>0</v>
      </c>
      <c r="M904" t="n">
        <v>0</v>
      </c>
      <c r="N904" t="n">
        <v>0</v>
      </c>
      <c r="O904" t="n">
        <v>0</v>
      </c>
      <c r="P904" t="n">
        <v>0</v>
      </c>
      <c r="Q904" t="n">
        <v>0</v>
      </c>
      <c r="R904" s="2" t="inlineStr"/>
    </row>
    <row r="905" ht="15" customHeight="1">
      <c r="A905" t="inlineStr">
        <is>
          <t>A 38034-2025</t>
        </is>
      </c>
      <c r="B905" s="1" t="n">
        <v>45882.37202546297</v>
      </c>
      <c r="C905" s="1" t="n">
        <v>45884</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c r="A906" t="inlineStr">
        <is>
          <t>A 33272-2025</t>
        </is>
      </c>
      <c r="B906" s="1" t="n">
        <v>45840.68518518518</v>
      </c>
      <c r="C906" s="1" t="n">
        <v>45884</v>
      </c>
      <c r="D906" t="inlineStr">
        <is>
          <t>UPPSALA LÄN</t>
        </is>
      </c>
      <c r="E906" t="inlineStr">
        <is>
          <t>UPPSALA</t>
        </is>
      </c>
      <c r="G906" t="n">
        <v>4.7</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2025-08-15T08:27:11Z</dcterms:created>
  <dcterms:modified xmlns:dcterms="http://purl.org/dc/terms/" xmlns:xsi="http://www.w3.org/2001/XMLSchema-instance" xsi:type="dcterms:W3CDTF">2025-08-15T08:27:12Z</dcterms:modified>
</cp:coreProperties>
</file>