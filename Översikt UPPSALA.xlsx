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45999</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45999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45999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45999</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45999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45999</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45999</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45999</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45999</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45999</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45999</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45999</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45803.55260416667</v>
      </c>
      <c r="C20" s="1" t="n">
        <v>45999</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3929-2021</t>
        </is>
      </c>
      <c r="B21" s="1" t="n">
        <v>44222</v>
      </c>
      <c r="C21" s="1" t="n">
        <v>45999</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2021-2022</t>
        </is>
      </c>
      <c r="B22" s="1" t="n">
        <v>44575</v>
      </c>
      <c r="C22" s="1" t="n">
        <v>45999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45999</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45999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45999</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45999</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25651-2025</t>
        </is>
      </c>
      <c r="B27" s="1" t="n">
        <v>45803.61035879629</v>
      </c>
      <c r="C27" s="1" t="n">
        <v>45999</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45999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45999</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45999</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45999</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34459-2022</t>
        </is>
      </c>
      <c r="B33" s="1" t="n">
        <v>44792</v>
      </c>
      <c r="C33" s="1" t="n">
        <v>45999</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45999</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45999</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45999</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45999</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3100-2024</t>
        </is>
      </c>
      <c r="B38" s="1" t="n">
        <v>45316</v>
      </c>
      <c r="C38" s="1" t="n">
        <v>45999</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1725-2022</t>
        </is>
      </c>
      <c r="B39" s="1" t="n">
        <v>44574</v>
      </c>
      <c r="C39" s="1" t="n">
        <v>45999</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27625-2023</t>
        </is>
      </c>
      <c r="B40" s="1" t="n">
        <v>45097</v>
      </c>
      <c r="C40" s="1" t="n">
        <v>45999</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44601-2025</t>
        </is>
      </c>
      <c r="B41" s="1" t="n">
        <v>45917.43857638889</v>
      </c>
      <c r="C41" s="1" t="n">
        <v>45999</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21809-2024</t>
        </is>
      </c>
      <c r="B42" s="1" t="n">
        <v>45442</v>
      </c>
      <c r="C42" s="1" t="n">
        <v>45999</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29803-2023</t>
        </is>
      </c>
      <c r="B43" s="1" t="n">
        <v>45107</v>
      </c>
      <c r="C43" s="1" t="n">
        <v>45999</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13546-2025</t>
        </is>
      </c>
      <c r="B44" s="1" t="n">
        <v>45736.53695601852</v>
      </c>
      <c r="C44" s="1" t="n">
        <v>45999</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15956-2022</t>
        </is>
      </c>
      <c r="B45" s="1" t="n">
        <v>44664</v>
      </c>
      <c r="C45" s="1" t="n">
        <v>45999</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23153-2022</t>
        </is>
      </c>
      <c r="B46" s="1" t="n">
        <v>44719</v>
      </c>
      <c r="C46" s="1" t="n">
        <v>45999</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15297-2022</t>
        </is>
      </c>
      <c r="B47" s="1" t="n">
        <v>44659</v>
      </c>
      <c r="C47" s="1" t="n">
        <v>45999</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45999</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45999</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42581-2025</t>
        </is>
      </c>
      <c r="B50" s="1" t="n">
        <v>45905.62541666667</v>
      </c>
      <c r="C50" s="1" t="n">
        <v>45999</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45999</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59539-2025</t>
        </is>
      </c>
      <c r="B52" s="1" t="n">
        <v>45989.96633101852</v>
      </c>
      <c r="C52" s="1" t="n">
        <v>45999</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45999</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26758-2022</t>
        </is>
      </c>
      <c r="B54" s="1" t="n">
        <v>44740</v>
      </c>
      <c r="C54" s="1" t="n">
        <v>45999</v>
      </c>
      <c r="D54" t="inlineStr">
        <is>
          <t>UPPSALA LÄN</t>
        </is>
      </c>
      <c r="E54" t="inlineStr">
        <is>
          <t>UPPSALA</t>
        </is>
      </c>
      <c r="G54" t="n">
        <v>21.5</v>
      </c>
      <c r="H54" t="n">
        <v>0</v>
      </c>
      <c r="I54" t="n">
        <v>3</v>
      </c>
      <c r="J54" t="n">
        <v>1</v>
      </c>
      <c r="K54" t="n">
        <v>0</v>
      </c>
      <c r="L54" t="n">
        <v>0</v>
      </c>
      <c r="M54" t="n">
        <v>0</v>
      </c>
      <c r="N54" t="n">
        <v>0</v>
      </c>
      <c r="O54" t="n">
        <v>1</v>
      </c>
      <c r="P54" t="n">
        <v>0</v>
      </c>
      <c r="Q54" t="n">
        <v>4</v>
      </c>
      <c r="R54" s="2" t="inlineStr">
        <is>
          <t>Vedtrappmossa
Blåmossa
Bronshjon
Trådticka</t>
        </is>
      </c>
      <c r="S54">
        <f>HYPERLINK("https://klasma.github.io/Logging_0380/artfynd/A 26758-2022 artfynd.xlsx", "A 26758-2022")</f>
        <v/>
      </c>
      <c r="T54">
        <f>HYPERLINK("https://klasma.github.io/Logging_0380/kartor/A 26758-2022 karta.png", "A 26758-2022")</f>
        <v/>
      </c>
      <c r="V54">
        <f>HYPERLINK("https://klasma.github.io/Logging_0380/klagomål/A 26758-2022 FSC-klagomål.docx", "A 26758-2022")</f>
        <v/>
      </c>
      <c r="W54">
        <f>HYPERLINK("https://klasma.github.io/Logging_0380/klagomålsmail/A 26758-2022 FSC-klagomål mail.docx", "A 26758-2022")</f>
        <v/>
      </c>
      <c r="X54">
        <f>HYPERLINK("https://klasma.github.io/Logging_0380/tillsyn/A 26758-2022 tillsynsbegäran.docx", "A 26758-2022")</f>
        <v/>
      </c>
      <c r="Y54">
        <f>HYPERLINK("https://klasma.github.io/Logging_0380/tillsynsmail/A 26758-2022 tillsynsbegäran mail.docx", "A 26758-2022")</f>
        <v/>
      </c>
    </row>
    <row r="55" ht="15" customHeight="1">
      <c r="A55" t="inlineStr">
        <is>
          <t>A 34147-2022</t>
        </is>
      </c>
      <c r="B55" s="1" t="n">
        <v>44791</v>
      </c>
      <c r="C55" s="1" t="n">
        <v>45999</v>
      </c>
      <c r="D55" t="inlineStr">
        <is>
          <t>UPPSALA LÄN</t>
        </is>
      </c>
      <c r="E55" t="inlineStr">
        <is>
          <t>UPPSALA</t>
        </is>
      </c>
      <c r="G55" t="n">
        <v>1.9</v>
      </c>
      <c r="H55" t="n">
        <v>0</v>
      </c>
      <c r="I55" t="n">
        <v>2</v>
      </c>
      <c r="J55" t="n">
        <v>1</v>
      </c>
      <c r="K55" t="n">
        <v>0</v>
      </c>
      <c r="L55" t="n">
        <v>0</v>
      </c>
      <c r="M55" t="n">
        <v>0</v>
      </c>
      <c r="N55" t="n">
        <v>0</v>
      </c>
      <c r="O55" t="n">
        <v>1</v>
      </c>
      <c r="P55" t="n">
        <v>0</v>
      </c>
      <c r="Q55" t="n">
        <v>3</v>
      </c>
      <c r="R55" s="2" t="inlineStr">
        <is>
          <t>Granticka
Kamjordstjärna
Stor aspticka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17277-2023</t>
        </is>
      </c>
      <c r="B56" s="1" t="n">
        <v>45035.44672453704</v>
      </c>
      <c r="C56" s="1" t="n">
        <v>45999</v>
      </c>
      <c r="D56" t="inlineStr">
        <is>
          <t>UPPSALA LÄN</t>
        </is>
      </c>
      <c r="E56" t="inlineStr">
        <is>
          <t>UPPSALA</t>
        </is>
      </c>
      <c r="F56" t="inlineStr">
        <is>
          <t>Övriga Aktiebolag</t>
        </is>
      </c>
      <c r="G56" t="n">
        <v>6.1</v>
      </c>
      <c r="H56" t="n">
        <v>3</v>
      </c>
      <c r="I56" t="n">
        <v>0</v>
      </c>
      <c r="J56" t="n">
        <v>2</v>
      </c>
      <c r="K56" t="n">
        <v>0</v>
      </c>
      <c r="L56" t="n">
        <v>0</v>
      </c>
      <c r="M56" t="n">
        <v>0</v>
      </c>
      <c r="N56" t="n">
        <v>0</v>
      </c>
      <c r="O56" t="n">
        <v>2</v>
      </c>
      <c r="P56" t="n">
        <v>0</v>
      </c>
      <c r="Q56" t="n">
        <v>3</v>
      </c>
      <c r="R56" s="2" t="inlineStr">
        <is>
          <t>Duvhök
Slaguggla
Trana</t>
        </is>
      </c>
      <c r="S56">
        <f>HYPERLINK("https://klasma.github.io/Logging_0380/artfynd/A 17277-2023 artfynd.xlsx", "A 17277-2023")</f>
        <v/>
      </c>
      <c r="T56">
        <f>HYPERLINK("https://klasma.github.io/Logging_0380/kartor/A 17277-2023 karta.png", "A 17277-2023")</f>
        <v/>
      </c>
      <c r="V56">
        <f>HYPERLINK("https://klasma.github.io/Logging_0380/klagomål/A 17277-2023 FSC-klagomål.docx", "A 17277-2023")</f>
        <v/>
      </c>
      <c r="W56">
        <f>HYPERLINK("https://klasma.github.io/Logging_0380/klagomålsmail/A 17277-2023 FSC-klagomål mail.docx", "A 17277-2023")</f>
        <v/>
      </c>
      <c r="X56">
        <f>HYPERLINK("https://klasma.github.io/Logging_0380/tillsyn/A 17277-2023 tillsynsbegäran.docx", "A 17277-2023")</f>
        <v/>
      </c>
      <c r="Y56">
        <f>HYPERLINK("https://klasma.github.io/Logging_0380/tillsynsmail/A 17277-2023 tillsynsbegäran mail.docx", "A 17277-2023")</f>
        <v/>
      </c>
      <c r="Z56">
        <f>HYPERLINK("https://klasma.github.io/Logging_0380/fåglar/A 17277-2023 prioriterade fågelarter.docx", "A 17277-2023")</f>
        <v/>
      </c>
    </row>
    <row r="57" ht="15" customHeight="1">
      <c r="A57" t="inlineStr">
        <is>
          <t>A 60038-2021</t>
        </is>
      </c>
      <c r="B57" s="1" t="n">
        <v>44495</v>
      </c>
      <c r="C57" s="1" t="n">
        <v>45999</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36471-2022</t>
        </is>
      </c>
      <c r="B58" s="1" t="n">
        <v>44804</v>
      </c>
      <c r="C58" s="1" t="n">
        <v>45999</v>
      </c>
      <c r="D58" t="inlineStr">
        <is>
          <t>UPPSALA LÄN</t>
        </is>
      </c>
      <c r="E58" t="inlineStr">
        <is>
          <t>UPPSALA</t>
        </is>
      </c>
      <c r="G58" t="n">
        <v>4.2</v>
      </c>
      <c r="H58" t="n">
        <v>0</v>
      </c>
      <c r="I58" t="n">
        <v>3</v>
      </c>
      <c r="J58" t="n">
        <v>0</v>
      </c>
      <c r="K58" t="n">
        <v>0</v>
      </c>
      <c r="L58" t="n">
        <v>0</v>
      </c>
      <c r="M58" t="n">
        <v>0</v>
      </c>
      <c r="N58" t="n">
        <v>0</v>
      </c>
      <c r="O58" t="n">
        <v>0</v>
      </c>
      <c r="P58" t="n">
        <v>0</v>
      </c>
      <c r="Q58" t="n">
        <v>3</v>
      </c>
      <c r="R58" s="2" t="inlineStr">
        <is>
          <t>Bronshjon
Spindelbock
Stor aspticka</t>
        </is>
      </c>
      <c r="S58">
        <f>HYPERLINK("https://klasma.github.io/Logging_0380/artfynd/A 36471-2022 artfynd.xlsx", "A 36471-2022")</f>
        <v/>
      </c>
      <c r="T58">
        <f>HYPERLINK("https://klasma.github.io/Logging_0380/kartor/A 36471-2022 karta.png", "A 36471-2022")</f>
        <v/>
      </c>
      <c r="V58">
        <f>HYPERLINK("https://klasma.github.io/Logging_0380/klagomål/A 36471-2022 FSC-klagomål.docx", "A 36471-2022")</f>
        <v/>
      </c>
      <c r="W58">
        <f>HYPERLINK("https://klasma.github.io/Logging_0380/klagomålsmail/A 36471-2022 FSC-klagomål mail.docx", "A 36471-2022")</f>
        <v/>
      </c>
      <c r="X58">
        <f>HYPERLINK("https://klasma.github.io/Logging_0380/tillsyn/A 36471-2022 tillsynsbegäran.docx", "A 36471-2022")</f>
        <v/>
      </c>
      <c r="Y58">
        <f>HYPERLINK("https://klasma.github.io/Logging_0380/tillsynsmail/A 36471-2022 tillsynsbegäran mail.docx", "A 36471-2022")</f>
        <v/>
      </c>
    </row>
    <row r="59" ht="15" customHeight="1">
      <c r="A59" t="inlineStr">
        <is>
          <t>A 18079-2022</t>
        </is>
      </c>
      <c r="B59" s="1" t="n">
        <v>44684</v>
      </c>
      <c r="C59" s="1" t="n">
        <v>45999</v>
      </c>
      <c r="D59" t="inlineStr">
        <is>
          <t>UPPSALA LÄN</t>
        </is>
      </c>
      <c r="E59" t="inlineStr">
        <is>
          <t>UPPSALA</t>
        </is>
      </c>
      <c r="G59" t="n">
        <v>2</v>
      </c>
      <c r="H59" t="n">
        <v>0</v>
      </c>
      <c r="I59" t="n">
        <v>2</v>
      </c>
      <c r="J59" t="n">
        <v>0</v>
      </c>
      <c r="K59" t="n">
        <v>1</v>
      </c>
      <c r="L59" t="n">
        <v>0</v>
      </c>
      <c r="M59" t="n">
        <v>0</v>
      </c>
      <c r="N59" t="n">
        <v>0</v>
      </c>
      <c r="O59" t="n">
        <v>1</v>
      </c>
      <c r="P59" t="n">
        <v>1</v>
      </c>
      <c r="Q59" t="n">
        <v>3</v>
      </c>
      <c r="R59" s="2" t="inlineStr">
        <is>
          <t>Aspfjädermossa
Dvärgtufs
Skinnlav</t>
        </is>
      </c>
      <c r="S59">
        <f>HYPERLINK("https://klasma.github.io/Logging_0380/artfynd/A 18079-2022 artfynd.xlsx", "A 18079-2022")</f>
        <v/>
      </c>
      <c r="T59">
        <f>HYPERLINK("https://klasma.github.io/Logging_0380/kartor/A 18079-2022 karta.png", "A 18079-2022")</f>
        <v/>
      </c>
      <c r="V59">
        <f>HYPERLINK("https://klasma.github.io/Logging_0380/klagomål/A 18079-2022 FSC-klagomål.docx", "A 18079-2022")</f>
        <v/>
      </c>
      <c r="W59">
        <f>HYPERLINK("https://klasma.github.io/Logging_0380/klagomålsmail/A 18079-2022 FSC-klagomål mail.docx", "A 18079-2022")</f>
        <v/>
      </c>
      <c r="X59">
        <f>HYPERLINK("https://klasma.github.io/Logging_0380/tillsyn/A 18079-2022 tillsynsbegäran.docx", "A 18079-2022")</f>
        <v/>
      </c>
      <c r="Y59">
        <f>HYPERLINK("https://klasma.github.io/Logging_0380/tillsynsmail/A 18079-2022 tillsynsbegäran mail.docx", "A 18079-2022")</f>
        <v/>
      </c>
    </row>
    <row r="60" ht="15" customHeight="1">
      <c r="A60" t="inlineStr">
        <is>
          <t>A 25943-2023</t>
        </is>
      </c>
      <c r="B60" s="1" t="n">
        <v>45090</v>
      </c>
      <c r="C60" s="1" t="n">
        <v>45999</v>
      </c>
      <c r="D60" t="inlineStr">
        <is>
          <t>UPPSALA LÄN</t>
        </is>
      </c>
      <c r="E60" t="inlineStr">
        <is>
          <t>UPPSALA</t>
        </is>
      </c>
      <c r="F60" t="inlineStr">
        <is>
          <t>Holmen skog AB</t>
        </is>
      </c>
      <c r="G60" t="n">
        <v>2.7</v>
      </c>
      <c r="H60" t="n">
        <v>1</v>
      </c>
      <c r="I60" t="n">
        <v>1</v>
      </c>
      <c r="J60" t="n">
        <v>2</v>
      </c>
      <c r="K60" t="n">
        <v>0</v>
      </c>
      <c r="L60" t="n">
        <v>0</v>
      </c>
      <c r="M60" t="n">
        <v>0</v>
      </c>
      <c r="N60" t="n">
        <v>0</v>
      </c>
      <c r="O60" t="n">
        <v>2</v>
      </c>
      <c r="P60" t="n">
        <v>0</v>
      </c>
      <c r="Q60" t="n">
        <v>3</v>
      </c>
      <c r="R60" s="2" t="inlineStr">
        <is>
          <t>Mindre hackspett
Vedtrappmossa
Vedticka</t>
        </is>
      </c>
      <c r="S60">
        <f>HYPERLINK("https://klasma.github.io/Logging_0380/artfynd/A 25943-2023 artfynd.xlsx", "A 25943-2023")</f>
        <v/>
      </c>
      <c r="T60">
        <f>HYPERLINK("https://klasma.github.io/Logging_0380/kartor/A 25943-2023 karta.png", "A 25943-2023")</f>
        <v/>
      </c>
      <c r="V60">
        <f>HYPERLINK("https://klasma.github.io/Logging_0380/klagomål/A 25943-2023 FSC-klagomål.docx", "A 25943-2023")</f>
        <v/>
      </c>
      <c r="W60">
        <f>HYPERLINK("https://klasma.github.io/Logging_0380/klagomålsmail/A 25943-2023 FSC-klagomål mail.docx", "A 25943-2023")</f>
        <v/>
      </c>
      <c r="X60">
        <f>HYPERLINK("https://klasma.github.io/Logging_0380/tillsyn/A 25943-2023 tillsynsbegäran.docx", "A 25943-2023")</f>
        <v/>
      </c>
      <c r="Y60">
        <f>HYPERLINK("https://klasma.github.io/Logging_0380/tillsynsmail/A 25943-2023 tillsynsbegäran mail.docx", "A 25943-2023")</f>
        <v/>
      </c>
      <c r="Z60">
        <f>HYPERLINK("https://klasma.github.io/Logging_0380/fåglar/A 25943-2023 prioriterade fågelarter.docx", "A 25943-2023")</f>
        <v/>
      </c>
    </row>
    <row r="61" ht="15" customHeight="1">
      <c r="A61" t="inlineStr">
        <is>
          <t>A 55788-2025</t>
        </is>
      </c>
      <c r="B61" s="1" t="n">
        <v>45972.64483796297</v>
      </c>
      <c r="C61" s="1" t="n">
        <v>45999</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43280-2025</t>
        </is>
      </c>
      <c r="B62" s="1" t="n">
        <v>45910.59475694445</v>
      </c>
      <c r="C62" s="1" t="n">
        <v>45999</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43278-2025</t>
        </is>
      </c>
      <c r="B63" s="1" t="n">
        <v>45910.59415509259</v>
      </c>
      <c r="C63" s="1" t="n">
        <v>45999</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43278-2025 artfynd.xlsx", "A 43278-2025")</f>
        <v/>
      </c>
      <c r="T63">
        <f>HYPERLINK("https://klasma.github.io/Logging_0380/kartor/A 43278-2025 karta.png", "A 43278-2025")</f>
        <v/>
      </c>
      <c r="V63">
        <f>HYPERLINK("https://klasma.github.io/Logging_0380/klagomål/A 43278-2025 FSC-klagomål.docx", "A 43278-2025")</f>
        <v/>
      </c>
      <c r="W63">
        <f>HYPERLINK("https://klasma.github.io/Logging_0380/klagomålsmail/A 43278-2025 FSC-klagomål mail.docx", "A 43278-2025")</f>
        <v/>
      </c>
      <c r="X63">
        <f>HYPERLINK("https://klasma.github.io/Logging_0380/tillsyn/A 43278-2025 tillsynsbegäran.docx", "A 43278-2025")</f>
        <v/>
      </c>
      <c r="Y63">
        <f>HYPERLINK("https://klasma.github.io/Logging_0380/tillsynsmail/A 43278-2025 tillsynsbegäran mail.docx", "A 43278-2025")</f>
        <v/>
      </c>
    </row>
    <row r="64" ht="15" customHeight="1">
      <c r="A64" t="inlineStr">
        <is>
          <t>A 45627-2025</t>
        </is>
      </c>
      <c r="B64" s="1" t="n">
        <v>45922.80255787037</v>
      </c>
      <c r="C64" s="1" t="n">
        <v>45999</v>
      </c>
      <c r="D64" t="inlineStr">
        <is>
          <t>UPPSALA LÄN</t>
        </is>
      </c>
      <c r="E64" t="inlineStr">
        <is>
          <t>UPPSALA</t>
        </is>
      </c>
      <c r="G64" t="n">
        <v>4</v>
      </c>
      <c r="H64" t="n">
        <v>2</v>
      </c>
      <c r="I64" t="n">
        <v>0</v>
      </c>
      <c r="J64" t="n">
        <v>3</v>
      </c>
      <c r="K64" t="n">
        <v>0</v>
      </c>
      <c r="L64" t="n">
        <v>0</v>
      </c>
      <c r="M64" t="n">
        <v>0</v>
      </c>
      <c r="N64" t="n">
        <v>0</v>
      </c>
      <c r="O64" t="n">
        <v>3</v>
      </c>
      <c r="P64" t="n">
        <v>0</v>
      </c>
      <c r="Q64" t="n">
        <v>3</v>
      </c>
      <c r="R64" s="2" t="inlineStr">
        <is>
          <t>Kungsspindling
Spillkråka
Talltita</t>
        </is>
      </c>
      <c r="S64">
        <f>HYPERLINK("https://klasma.github.io/Logging_0380/artfynd/A 45627-2025 artfynd.xlsx", "A 45627-2025")</f>
        <v/>
      </c>
      <c r="T64">
        <f>HYPERLINK("https://klasma.github.io/Logging_0380/kartor/A 45627-2025 karta.png", "A 45627-2025")</f>
        <v/>
      </c>
      <c r="V64">
        <f>HYPERLINK("https://klasma.github.io/Logging_0380/klagomål/A 45627-2025 FSC-klagomål.docx", "A 45627-2025")</f>
        <v/>
      </c>
      <c r="W64">
        <f>HYPERLINK("https://klasma.github.io/Logging_0380/klagomålsmail/A 45627-2025 FSC-klagomål mail.docx", "A 45627-2025")</f>
        <v/>
      </c>
      <c r="X64">
        <f>HYPERLINK("https://klasma.github.io/Logging_0380/tillsyn/A 45627-2025 tillsynsbegäran.docx", "A 45627-2025")</f>
        <v/>
      </c>
      <c r="Y64">
        <f>HYPERLINK("https://klasma.github.io/Logging_0380/tillsynsmail/A 45627-2025 tillsynsbegäran mail.docx", "A 45627-2025")</f>
        <v/>
      </c>
      <c r="Z64">
        <f>HYPERLINK("https://klasma.github.io/Logging_0380/fåglar/A 45627-2025 prioriterade fågelarter.docx", "A 45627-2025")</f>
        <v/>
      </c>
    </row>
    <row r="65" ht="15" customHeight="1">
      <c r="A65" t="inlineStr">
        <is>
          <t>A 30716-2025</t>
        </is>
      </c>
      <c r="B65" s="1" t="n">
        <v>45831.55982638889</v>
      </c>
      <c r="C65" s="1" t="n">
        <v>45999</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51749-2023</t>
        </is>
      </c>
      <c r="B66" s="1" t="n">
        <v>45222</v>
      </c>
      <c r="C66" s="1" t="n">
        <v>45999</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88-2024</t>
        </is>
      </c>
      <c r="B67" s="1" t="n">
        <v>45293</v>
      </c>
      <c r="C67" s="1" t="n">
        <v>45999</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5755-2025</t>
        </is>
      </c>
      <c r="B68" s="1" t="n">
        <v>45694.55559027778</v>
      </c>
      <c r="C68" s="1" t="n">
        <v>45999</v>
      </c>
      <c r="D68" t="inlineStr">
        <is>
          <t>UPPSALA LÄN</t>
        </is>
      </c>
      <c r="E68" t="inlineStr">
        <is>
          <t>UPPSALA</t>
        </is>
      </c>
      <c r="G68" t="n">
        <v>1.3</v>
      </c>
      <c r="H68" t="n">
        <v>0</v>
      </c>
      <c r="I68" t="n">
        <v>2</v>
      </c>
      <c r="J68" t="n">
        <v>0</v>
      </c>
      <c r="K68" t="n">
        <v>0</v>
      </c>
      <c r="L68" t="n">
        <v>0</v>
      </c>
      <c r="M68" t="n">
        <v>0</v>
      </c>
      <c r="N68" t="n">
        <v>0</v>
      </c>
      <c r="O68" t="n">
        <v>0</v>
      </c>
      <c r="P68" t="n">
        <v>0</v>
      </c>
      <c r="Q68" t="n">
        <v>2</v>
      </c>
      <c r="R68" s="2" t="inlineStr">
        <is>
          <t>Fällmossa
Hasselticka</t>
        </is>
      </c>
      <c r="S68">
        <f>HYPERLINK("https://klasma.github.io/Logging_0380/artfynd/A 5755-2025 artfynd.xlsx", "A 5755-2025")</f>
        <v/>
      </c>
      <c r="T68">
        <f>HYPERLINK("https://klasma.github.io/Logging_0380/kartor/A 5755-2025 karta.png", "A 5755-2025")</f>
        <v/>
      </c>
      <c r="V68">
        <f>HYPERLINK("https://klasma.github.io/Logging_0380/klagomål/A 5755-2025 FSC-klagomål.docx", "A 5755-2025")</f>
        <v/>
      </c>
      <c r="W68">
        <f>HYPERLINK("https://klasma.github.io/Logging_0380/klagomålsmail/A 5755-2025 FSC-klagomål mail.docx", "A 5755-2025")</f>
        <v/>
      </c>
      <c r="X68">
        <f>HYPERLINK("https://klasma.github.io/Logging_0380/tillsyn/A 5755-2025 tillsynsbegäran.docx", "A 5755-2025")</f>
        <v/>
      </c>
      <c r="Y68">
        <f>HYPERLINK("https://klasma.github.io/Logging_0380/tillsynsmail/A 5755-2025 tillsynsbegäran mail.docx", "A 5755-2025")</f>
        <v/>
      </c>
    </row>
    <row r="69" ht="15" customHeight="1">
      <c r="A69" t="inlineStr">
        <is>
          <t>A 6998-2023</t>
        </is>
      </c>
      <c r="B69" s="1" t="n">
        <v>44967</v>
      </c>
      <c r="C69" s="1" t="n">
        <v>45999</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41921-2025</t>
        </is>
      </c>
      <c r="B70" s="1" t="n">
        <v>45903</v>
      </c>
      <c r="C70" s="1" t="n">
        <v>45999</v>
      </c>
      <c r="D70" t="inlineStr">
        <is>
          <t>UPPSALA LÄN</t>
        </is>
      </c>
      <c r="E70" t="inlineStr">
        <is>
          <t>UPPSALA</t>
        </is>
      </c>
      <c r="G70" t="n">
        <v>7.1</v>
      </c>
      <c r="H70" t="n">
        <v>2</v>
      </c>
      <c r="I70" t="n">
        <v>0</v>
      </c>
      <c r="J70" t="n">
        <v>0</v>
      </c>
      <c r="K70" t="n">
        <v>0</v>
      </c>
      <c r="L70" t="n">
        <v>0</v>
      </c>
      <c r="M70" t="n">
        <v>0</v>
      </c>
      <c r="N70" t="n">
        <v>0</v>
      </c>
      <c r="O70" t="n">
        <v>0</v>
      </c>
      <c r="P70" t="n">
        <v>0</v>
      </c>
      <c r="Q70" t="n">
        <v>2</v>
      </c>
      <c r="R70" s="2" t="inlineStr">
        <is>
          <t>Blåsippa
Revlummer</t>
        </is>
      </c>
      <c r="S70">
        <f>HYPERLINK("https://klasma.github.io/Logging_0380/artfynd/A 41921-2025 artfynd.xlsx", "A 41921-2025")</f>
        <v/>
      </c>
      <c r="T70">
        <f>HYPERLINK("https://klasma.github.io/Logging_0380/kartor/A 41921-2025 karta.png", "A 41921-2025")</f>
        <v/>
      </c>
      <c r="V70">
        <f>HYPERLINK("https://klasma.github.io/Logging_0380/klagomål/A 41921-2025 FSC-klagomål.docx", "A 41921-2025")</f>
        <v/>
      </c>
      <c r="W70">
        <f>HYPERLINK("https://klasma.github.io/Logging_0380/klagomålsmail/A 41921-2025 FSC-klagomål mail.docx", "A 41921-2025")</f>
        <v/>
      </c>
      <c r="X70">
        <f>HYPERLINK("https://klasma.github.io/Logging_0380/tillsyn/A 41921-2025 tillsynsbegäran.docx", "A 41921-2025")</f>
        <v/>
      </c>
      <c r="Y70">
        <f>HYPERLINK("https://klasma.github.io/Logging_0380/tillsynsmail/A 41921-2025 tillsynsbegäran mail.docx", "A 41921-2025")</f>
        <v/>
      </c>
    </row>
    <row r="71" ht="15" customHeight="1">
      <c r="A71" t="inlineStr">
        <is>
          <t>A 25660-2025</t>
        </is>
      </c>
      <c r="B71" s="1" t="n">
        <v>45803.61554398148</v>
      </c>
      <c r="C71" s="1" t="n">
        <v>45999</v>
      </c>
      <c r="D71" t="inlineStr">
        <is>
          <t>UPPSALA LÄN</t>
        </is>
      </c>
      <c r="E71" t="inlineStr">
        <is>
          <t>UPPSALA</t>
        </is>
      </c>
      <c r="F71" t="inlineStr">
        <is>
          <t>Holmen skog AB</t>
        </is>
      </c>
      <c r="G71" t="n">
        <v>4.8</v>
      </c>
      <c r="H71" t="n">
        <v>0</v>
      </c>
      <c r="I71" t="n">
        <v>2</v>
      </c>
      <c r="J71" t="n">
        <v>0</v>
      </c>
      <c r="K71" t="n">
        <v>0</v>
      </c>
      <c r="L71" t="n">
        <v>0</v>
      </c>
      <c r="M71" t="n">
        <v>0</v>
      </c>
      <c r="N71" t="n">
        <v>0</v>
      </c>
      <c r="O71" t="n">
        <v>0</v>
      </c>
      <c r="P71" t="n">
        <v>0</v>
      </c>
      <c r="Q71" t="n">
        <v>2</v>
      </c>
      <c r="R71" s="2" t="inlineStr">
        <is>
          <t>Mindre märgborre
Skogshakmossa</t>
        </is>
      </c>
      <c r="S71">
        <f>HYPERLINK("https://klasma.github.io/Logging_0380/artfynd/A 25660-2025 artfynd.xlsx", "A 25660-2025")</f>
        <v/>
      </c>
      <c r="T71">
        <f>HYPERLINK("https://klasma.github.io/Logging_0380/kartor/A 25660-2025 karta.png", "A 25660-2025")</f>
        <v/>
      </c>
      <c r="V71">
        <f>HYPERLINK("https://klasma.github.io/Logging_0380/klagomål/A 25660-2025 FSC-klagomål.docx", "A 25660-2025")</f>
        <v/>
      </c>
      <c r="W71">
        <f>HYPERLINK("https://klasma.github.io/Logging_0380/klagomålsmail/A 25660-2025 FSC-klagomål mail.docx", "A 25660-2025")</f>
        <v/>
      </c>
      <c r="X71">
        <f>HYPERLINK("https://klasma.github.io/Logging_0380/tillsyn/A 25660-2025 tillsynsbegäran.docx", "A 25660-2025")</f>
        <v/>
      </c>
      <c r="Y71">
        <f>HYPERLINK("https://klasma.github.io/Logging_0380/tillsynsmail/A 25660-2025 tillsynsbegäran mail.docx", "A 25660-2025")</f>
        <v/>
      </c>
    </row>
    <row r="72" ht="15" customHeight="1">
      <c r="A72" t="inlineStr">
        <is>
          <t>A 57715-2025</t>
        </is>
      </c>
      <c r="B72" s="1" t="n">
        <v>45981</v>
      </c>
      <c r="C72" s="1" t="n">
        <v>45999</v>
      </c>
      <c r="D72" t="inlineStr">
        <is>
          <t>UPPSALA LÄN</t>
        </is>
      </c>
      <c r="E72" t="inlineStr">
        <is>
          <t>UPPSALA</t>
        </is>
      </c>
      <c r="F72" t="inlineStr">
        <is>
          <t>Kommuner</t>
        </is>
      </c>
      <c r="G72" t="n">
        <v>2</v>
      </c>
      <c r="H72" t="n">
        <v>0</v>
      </c>
      <c r="I72" t="n">
        <v>1</v>
      </c>
      <c r="J72" t="n">
        <v>1</v>
      </c>
      <c r="K72" t="n">
        <v>0</v>
      </c>
      <c r="L72" t="n">
        <v>0</v>
      </c>
      <c r="M72" t="n">
        <v>0</v>
      </c>
      <c r="N72" t="n">
        <v>0</v>
      </c>
      <c r="O72" t="n">
        <v>1</v>
      </c>
      <c r="P72" t="n">
        <v>0</v>
      </c>
      <c r="Q72" t="n">
        <v>2</v>
      </c>
      <c r="R72" s="2" t="inlineStr">
        <is>
          <t>Ullticka
Bronshjon</t>
        </is>
      </c>
      <c r="S72">
        <f>HYPERLINK("https://klasma.github.io/Logging_0380/artfynd/A 57715-2025 artfynd.xlsx", "A 57715-2025")</f>
        <v/>
      </c>
      <c r="T72">
        <f>HYPERLINK("https://klasma.github.io/Logging_0380/kartor/A 57715-2025 karta.png", "A 57715-2025")</f>
        <v/>
      </c>
      <c r="V72">
        <f>HYPERLINK("https://klasma.github.io/Logging_0380/klagomål/A 57715-2025 FSC-klagomål.docx", "A 57715-2025")</f>
        <v/>
      </c>
      <c r="W72">
        <f>HYPERLINK("https://klasma.github.io/Logging_0380/klagomålsmail/A 57715-2025 FSC-klagomål mail.docx", "A 57715-2025")</f>
        <v/>
      </c>
      <c r="X72">
        <f>HYPERLINK("https://klasma.github.io/Logging_0380/tillsyn/A 57715-2025 tillsynsbegäran.docx", "A 57715-2025")</f>
        <v/>
      </c>
      <c r="Y72">
        <f>HYPERLINK("https://klasma.github.io/Logging_0380/tillsynsmail/A 57715-2025 tillsynsbegäran mail.docx", "A 57715-2025")</f>
        <v/>
      </c>
    </row>
    <row r="73" ht="15" customHeight="1">
      <c r="A73" t="inlineStr">
        <is>
          <t>A 53589-2025</t>
        </is>
      </c>
      <c r="B73" s="1" t="n">
        <v>45960.43780092592</v>
      </c>
      <c r="C73" s="1" t="n">
        <v>45999</v>
      </c>
      <c r="D73" t="inlineStr">
        <is>
          <t>UPPSALA LÄN</t>
        </is>
      </c>
      <c r="E73" t="inlineStr">
        <is>
          <t>UPPSALA</t>
        </is>
      </c>
      <c r="G73" t="n">
        <v>9.699999999999999</v>
      </c>
      <c r="H73" t="n">
        <v>1</v>
      </c>
      <c r="I73" t="n">
        <v>0</v>
      </c>
      <c r="J73" t="n">
        <v>2</v>
      </c>
      <c r="K73" t="n">
        <v>0</v>
      </c>
      <c r="L73" t="n">
        <v>0</v>
      </c>
      <c r="M73" t="n">
        <v>0</v>
      </c>
      <c r="N73" t="n">
        <v>0</v>
      </c>
      <c r="O73" t="n">
        <v>2</v>
      </c>
      <c r="P73" t="n">
        <v>0</v>
      </c>
      <c r="Q73" t="n">
        <v>2</v>
      </c>
      <c r="R73" s="2" t="inlineStr">
        <is>
          <t>Spillkråka
Vedtrappmossa</t>
        </is>
      </c>
      <c r="S73">
        <f>HYPERLINK("https://klasma.github.io/Logging_0380/artfynd/A 53589-2025 artfynd.xlsx", "A 53589-2025")</f>
        <v/>
      </c>
      <c r="T73">
        <f>HYPERLINK("https://klasma.github.io/Logging_0380/kartor/A 53589-2025 karta.png", "A 53589-2025")</f>
        <v/>
      </c>
      <c r="V73">
        <f>HYPERLINK("https://klasma.github.io/Logging_0380/klagomål/A 53589-2025 FSC-klagomål.docx", "A 53589-2025")</f>
        <v/>
      </c>
      <c r="W73">
        <f>HYPERLINK("https://klasma.github.io/Logging_0380/klagomålsmail/A 53589-2025 FSC-klagomål mail.docx", "A 53589-2025")</f>
        <v/>
      </c>
      <c r="X73">
        <f>HYPERLINK("https://klasma.github.io/Logging_0380/tillsyn/A 53589-2025 tillsynsbegäran.docx", "A 53589-2025")</f>
        <v/>
      </c>
      <c r="Y73">
        <f>HYPERLINK("https://klasma.github.io/Logging_0380/tillsynsmail/A 53589-2025 tillsynsbegäran mail.docx", "A 53589-2025")</f>
        <v/>
      </c>
      <c r="Z73">
        <f>HYPERLINK("https://klasma.github.io/Logging_0380/fåglar/A 53589-2025 prioriterade fågelarter.docx", "A 53589-2025")</f>
        <v/>
      </c>
    </row>
    <row r="74" ht="15" customHeight="1">
      <c r="A74" t="inlineStr">
        <is>
          <t>A 9401-2025</t>
        </is>
      </c>
      <c r="B74" s="1" t="n">
        <v>45715.38105324074</v>
      </c>
      <c r="C74" s="1" t="n">
        <v>45999</v>
      </c>
      <c r="D74" t="inlineStr">
        <is>
          <t>UPPSALA LÄN</t>
        </is>
      </c>
      <c r="E74" t="inlineStr">
        <is>
          <t>UPPSALA</t>
        </is>
      </c>
      <c r="G74" t="n">
        <v>3.1</v>
      </c>
      <c r="H74" t="n">
        <v>2</v>
      </c>
      <c r="I74" t="n">
        <v>0</v>
      </c>
      <c r="J74" t="n">
        <v>0</v>
      </c>
      <c r="K74" t="n">
        <v>0</v>
      </c>
      <c r="L74" t="n">
        <v>0</v>
      </c>
      <c r="M74" t="n">
        <v>0</v>
      </c>
      <c r="N74" t="n">
        <v>0</v>
      </c>
      <c r="O74" t="n">
        <v>0</v>
      </c>
      <c r="P74" t="n">
        <v>0</v>
      </c>
      <c r="Q74" t="n">
        <v>2</v>
      </c>
      <c r="R74" s="2" t="inlineStr">
        <is>
          <t>Vanlig padda
Blåsippa</t>
        </is>
      </c>
      <c r="S74">
        <f>HYPERLINK("https://klasma.github.io/Logging_0380/artfynd/A 9401-2025 artfynd.xlsx", "A 9401-2025")</f>
        <v/>
      </c>
      <c r="T74">
        <f>HYPERLINK("https://klasma.github.io/Logging_0380/kartor/A 9401-2025 karta.png", "A 9401-2025")</f>
        <v/>
      </c>
      <c r="V74">
        <f>HYPERLINK("https://klasma.github.io/Logging_0380/klagomål/A 9401-2025 FSC-klagomål.docx", "A 9401-2025")</f>
        <v/>
      </c>
      <c r="W74">
        <f>HYPERLINK("https://klasma.github.io/Logging_0380/klagomålsmail/A 9401-2025 FSC-klagomål mail.docx", "A 9401-2025")</f>
        <v/>
      </c>
      <c r="X74">
        <f>HYPERLINK("https://klasma.github.io/Logging_0380/tillsyn/A 9401-2025 tillsynsbegäran.docx", "A 9401-2025")</f>
        <v/>
      </c>
      <c r="Y74">
        <f>HYPERLINK("https://klasma.github.io/Logging_0380/tillsynsmail/A 9401-2025 tillsynsbegäran mail.docx", "A 9401-2025")</f>
        <v/>
      </c>
    </row>
    <row r="75" ht="15" customHeight="1">
      <c r="A75" t="inlineStr">
        <is>
          <t>A 52503-2025</t>
        </is>
      </c>
      <c r="B75" s="1" t="n">
        <v>45954.49768518518</v>
      </c>
      <c r="C75" s="1" t="n">
        <v>45999</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58906-2021</t>
        </is>
      </c>
      <c r="B76" s="1" t="n">
        <v>44489</v>
      </c>
      <c r="C76" s="1" t="n">
        <v>45999</v>
      </c>
      <c r="D76" t="inlineStr">
        <is>
          <t>UPPSALA LÄN</t>
        </is>
      </c>
      <c r="E76" t="inlineStr">
        <is>
          <t>UPPSALA</t>
        </is>
      </c>
      <c r="G76" t="n">
        <v>8.6</v>
      </c>
      <c r="H76" t="n">
        <v>1</v>
      </c>
      <c r="I76" t="n">
        <v>0</v>
      </c>
      <c r="J76" t="n">
        <v>1</v>
      </c>
      <c r="K76" t="n">
        <v>0</v>
      </c>
      <c r="L76" t="n">
        <v>0</v>
      </c>
      <c r="M76" t="n">
        <v>0</v>
      </c>
      <c r="N76" t="n">
        <v>0</v>
      </c>
      <c r="O76" t="n">
        <v>1</v>
      </c>
      <c r="P76" t="n">
        <v>0</v>
      </c>
      <c r="Q76" t="n">
        <v>2</v>
      </c>
      <c r="R76" s="2" t="inlineStr">
        <is>
          <t>Ullticka
Tjäder</t>
        </is>
      </c>
      <c r="S76">
        <f>HYPERLINK("https://klasma.github.io/Logging_0380/artfynd/A 58906-2021 artfynd.xlsx", "A 58906-2021")</f>
        <v/>
      </c>
      <c r="T76">
        <f>HYPERLINK("https://klasma.github.io/Logging_0380/kartor/A 58906-2021 karta.png", "A 58906-2021")</f>
        <v/>
      </c>
      <c r="V76">
        <f>HYPERLINK("https://klasma.github.io/Logging_0380/klagomål/A 58906-2021 FSC-klagomål.docx", "A 58906-2021")</f>
        <v/>
      </c>
      <c r="W76">
        <f>HYPERLINK("https://klasma.github.io/Logging_0380/klagomålsmail/A 58906-2021 FSC-klagomål mail.docx", "A 58906-2021")</f>
        <v/>
      </c>
      <c r="X76">
        <f>HYPERLINK("https://klasma.github.io/Logging_0380/tillsyn/A 58906-2021 tillsynsbegäran.docx", "A 58906-2021")</f>
        <v/>
      </c>
      <c r="Y76">
        <f>HYPERLINK("https://klasma.github.io/Logging_0380/tillsynsmail/A 58906-2021 tillsynsbegäran mail.docx", "A 58906-2021")</f>
        <v/>
      </c>
      <c r="Z76">
        <f>HYPERLINK("https://klasma.github.io/Logging_0380/fåglar/A 58906-2021 prioriterade fågelarter.docx", "A 58906-2021")</f>
        <v/>
      </c>
    </row>
    <row r="77" ht="15" customHeight="1">
      <c r="A77" t="inlineStr">
        <is>
          <t>A 33708-2025</t>
        </is>
      </c>
      <c r="B77" s="1" t="n">
        <v>45841.81555555556</v>
      </c>
      <c r="C77" s="1" t="n">
        <v>45999</v>
      </c>
      <c r="D77" t="inlineStr">
        <is>
          <t>UPPSALA LÄN</t>
        </is>
      </c>
      <c r="E77" t="inlineStr">
        <is>
          <t>UPPSALA</t>
        </is>
      </c>
      <c r="F77" t="inlineStr">
        <is>
          <t>Holmen skog AB</t>
        </is>
      </c>
      <c r="G77" t="n">
        <v>2</v>
      </c>
      <c r="H77" t="n">
        <v>0</v>
      </c>
      <c r="I77" t="n">
        <v>1</v>
      </c>
      <c r="J77" t="n">
        <v>0</v>
      </c>
      <c r="K77" t="n">
        <v>0</v>
      </c>
      <c r="L77" t="n">
        <v>0</v>
      </c>
      <c r="M77" t="n">
        <v>1</v>
      </c>
      <c r="N77" t="n">
        <v>0</v>
      </c>
      <c r="O77" t="n">
        <v>1</v>
      </c>
      <c r="P77" t="n">
        <v>1</v>
      </c>
      <c r="Q77" t="n">
        <v>2</v>
      </c>
      <c r="R77" s="2" t="inlineStr">
        <is>
          <t>Skogsalm
Svavelriska</t>
        </is>
      </c>
      <c r="S77">
        <f>HYPERLINK("https://klasma.github.io/Logging_0380/artfynd/A 33708-2025 artfynd.xlsx", "A 33708-2025")</f>
        <v/>
      </c>
      <c r="T77">
        <f>HYPERLINK("https://klasma.github.io/Logging_0380/kartor/A 33708-2025 karta.png", "A 33708-2025")</f>
        <v/>
      </c>
      <c r="V77">
        <f>HYPERLINK("https://klasma.github.io/Logging_0380/klagomål/A 33708-2025 FSC-klagomål.docx", "A 33708-2025")</f>
        <v/>
      </c>
      <c r="W77">
        <f>HYPERLINK("https://klasma.github.io/Logging_0380/klagomålsmail/A 33708-2025 FSC-klagomål mail.docx", "A 33708-2025")</f>
        <v/>
      </c>
      <c r="X77">
        <f>HYPERLINK("https://klasma.github.io/Logging_0380/tillsyn/A 33708-2025 tillsynsbegäran.docx", "A 33708-2025")</f>
        <v/>
      </c>
      <c r="Y77">
        <f>HYPERLINK("https://klasma.github.io/Logging_0380/tillsynsmail/A 33708-2025 tillsynsbegäran mail.docx", "A 33708-2025")</f>
        <v/>
      </c>
    </row>
    <row r="78" ht="15" customHeight="1">
      <c r="A78" t="inlineStr">
        <is>
          <t>A 44675-2023</t>
        </is>
      </c>
      <c r="B78" s="1" t="n">
        <v>45189</v>
      </c>
      <c r="C78" s="1" t="n">
        <v>45999</v>
      </c>
      <c r="D78" t="inlineStr">
        <is>
          <t>UPPSALA LÄN</t>
        </is>
      </c>
      <c r="E78" t="inlineStr">
        <is>
          <t>UPPSALA</t>
        </is>
      </c>
      <c r="G78" t="n">
        <v>7.1</v>
      </c>
      <c r="H78" t="n">
        <v>2</v>
      </c>
      <c r="I78" t="n">
        <v>0</v>
      </c>
      <c r="J78" t="n">
        <v>1</v>
      </c>
      <c r="K78" t="n">
        <v>1</v>
      </c>
      <c r="L78" t="n">
        <v>0</v>
      </c>
      <c r="M78" t="n">
        <v>0</v>
      </c>
      <c r="N78" t="n">
        <v>0</v>
      </c>
      <c r="O78" t="n">
        <v>2</v>
      </c>
      <c r="P78" t="n">
        <v>1</v>
      </c>
      <c r="Q78" t="n">
        <v>2</v>
      </c>
      <c r="R78" s="2" t="inlineStr">
        <is>
          <t>Knärot
Talltita</t>
        </is>
      </c>
      <c r="S78">
        <f>HYPERLINK("https://klasma.github.io/Logging_0380/artfynd/A 44675-2023 artfynd.xlsx", "A 44675-2023")</f>
        <v/>
      </c>
      <c r="T78">
        <f>HYPERLINK("https://klasma.github.io/Logging_0380/kartor/A 44675-2023 karta.png", "A 44675-2023")</f>
        <v/>
      </c>
      <c r="U78">
        <f>HYPERLINK("https://klasma.github.io/Logging_0380/knärot/A 44675-2023 karta knärot.png", "A 44675-2023")</f>
        <v/>
      </c>
      <c r="V78">
        <f>HYPERLINK("https://klasma.github.io/Logging_0380/klagomål/A 44675-2023 FSC-klagomål.docx", "A 44675-2023")</f>
        <v/>
      </c>
      <c r="W78">
        <f>HYPERLINK("https://klasma.github.io/Logging_0380/klagomålsmail/A 44675-2023 FSC-klagomål mail.docx", "A 44675-2023")</f>
        <v/>
      </c>
      <c r="X78">
        <f>HYPERLINK("https://klasma.github.io/Logging_0380/tillsyn/A 44675-2023 tillsynsbegäran.docx", "A 44675-2023")</f>
        <v/>
      </c>
      <c r="Y78">
        <f>HYPERLINK("https://klasma.github.io/Logging_0380/tillsynsmail/A 44675-2023 tillsynsbegäran mail.docx", "A 44675-2023")</f>
        <v/>
      </c>
      <c r="Z78">
        <f>HYPERLINK("https://klasma.github.io/Logging_0380/fåglar/A 44675-2023 prioriterade fågelarter.docx", "A 44675-2023")</f>
        <v/>
      </c>
    </row>
    <row r="79" ht="15" customHeight="1">
      <c r="A79" t="inlineStr">
        <is>
          <t>A 18425-2025</t>
        </is>
      </c>
      <c r="B79" s="1" t="n">
        <v>45762.62260416667</v>
      </c>
      <c r="C79" s="1" t="n">
        <v>45999</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39933-2023</t>
        </is>
      </c>
      <c r="B80" s="1" t="n">
        <v>45168.50667824074</v>
      </c>
      <c r="C80" s="1" t="n">
        <v>45999</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8865-2022</t>
        </is>
      </c>
      <c r="B81" s="1" t="n">
        <v>44614</v>
      </c>
      <c r="C81" s="1" t="n">
        <v>45999</v>
      </c>
      <c r="D81" t="inlineStr">
        <is>
          <t>UPPSALA LÄN</t>
        </is>
      </c>
      <c r="E81" t="inlineStr">
        <is>
          <t>UPPSALA</t>
        </is>
      </c>
      <c r="G81" t="n">
        <v>1.1</v>
      </c>
      <c r="H81" t="n">
        <v>0</v>
      </c>
      <c r="I81" t="n">
        <v>1</v>
      </c>
      <c r="J81" t="n">
        <v>0</v>
      </c>
      <c r="K81" t="n">
        <v>0</v>
      </c>
      <c r="L81" t="n">
        <v>0</v>
      </c>
      <c r="M81" t="n">
        <v>0</v>
      </c>
      <c r="N81" t="n">
        <v>0</v>
      </c>
      <c r="O81" t="n">
        <v>0</v>
      </c>
      <c r="P81" t="n">
        <v>0</v>
      </c>
      <c r="Q81" t="n">
        <v>1</v>
      </c>
      <c r="R81" s="2" t="inlineStr">
        <is>
          <t>Narrtagging</t>
        </is>
      </c>
      <c r="S81">
        <f>HYPERLINK("https://klasma.github.io/Logging_0380/artfynd/A 8865-2022 artfynd.xlsx", "A 8865-2022")</f>
        <v/>
      </c>
      <c r="T81">
        <f>HYPERLINK("https://klasma.github.io/Logging_0380/kartor/A 8865-2022 karta.png", "A 8865-2022")</f>
        <v/>
      </c>
      <c r="V81">
        <f>HYPERLINK("https://klasma.github.io/Logging_0380/klagomål/A 8865-2022 FSC-klagomål.docx", "A 8865-2022")</f>
        <v/>
      </c>
      <c r="W81">
        <f>HYPERLINK("https://klasma.github.io/Logging_0380/klagomålsmail/A 8865-2022 FSC-klagomål mail.docx", "A 8865-2022")</f>
        <v/>
      </c>
      <c r="X81">
        <f>HYPERLINK("https://klasma.github.io/Logging_0380/tillsyn/A 8865-2022 tillsynsbegäran.docx", "A 8865-2022")</f>
        <v/>
      </c>
      <c r="Y81">
        <f>HYPERLINK("https://klasma.github.io/Logging_0380/tillsynsmail/A 8865-2022 tillsynsbegäran mail.docx", "A 8865-2022")</f>
        <v/>
      </c>
    </row>
    <row r="82" ht="15" customHeight="1">
      <c r="A82" t="inlineStr">
        <is>
          <t>A 34020-2021</t>
        </is>
      </c>
      <c r="B82" s="1" t="n">
        <v>44379</v>
      </c>
      <c r="C82" s="1" t="n">
        <v>45999</v>
      </c>
      <c r="D82" t="inlineStr">
        <is>
          <t>UPPSALA LÄN</t>
        </is>
      </c>
      <c r="E82" t="inlineStr">
        <is>
          <t>UPPSALA</t>
        </is>
      </c>
      <c r="G82" t="n">
        <v>1.9</v>
      </c>
      <c r="H82" t="n">
        <v>0</v>
      </c>
      <c r="I82" t="n">
        <v>0</v>
      </c>
      <c r="J82" t="n">
        <v>1</v>
      </c>
      <c r="K82" t="n">
        <v>0</v>
      </c>
      <c r="L82" t="n">
        <v>0</v>
      </c>
      <c r="M82" t="n">
        <v>0</v>
      </c>
      <c r="N82" t="n">
        <v>0</v>
      </c>
      <c r="O82" t="n">
        <v>1</v>
      </c>
      <c r="P82" t="n">
        <v>0</v>
      </c>
      <c r="Q82" t="n">
        <v>1</v>
      </c>
      <c r="R82" s="2" t="inlineStr">
        <is>
          <t>Tallticka</t>
        </is>
      </c>
      <c r="S82">
        <f>HYPERLINK("https://klasma.github.io/Logging_0380/artfynd/A 34020-2021 artfynd.xlsx", "A 34020-2021")</f>
        <v/>
      </c>
      <c r="T82">
        <f>HYPERLINK("https://klasma.github.io/Logging_0380/kartor/A 34020-2021 karta.png", "A 34020-2021")</f>
        <v/>
      </c>
      <c r="V82">
        <f>HYPERLINK("https://klasma.github.io/Logging_0380/klagomål/A 34020-2021 FSC-klagomål.docx", "A 34020-2021")</f>
        <v/>
      </c>
      <c r="W82">
        <f>HYPERLINK("https://klasma.github.io/Logging_0380/klagomålsmail/A 34020-2021 FSC-klagomål mail.docx", "A 34020-2021")</f>
        <v/>
      </c>
      <c r="X82">
        <f>HYPERLINK("https://klasma.github.io/Logging_0380/tillsyn/A 34020-2021 tillsynsbegäran.docx", "A 34020-2021")</f>
        <v/>
      </c>
      <c r="Y82">
        <f>HYPERLINK("https://klasma.github.io/Logging_0380/tillsynsmail/A 34020-2021 tillsynsbegäran mail.docx", "A 34020-2021")</f>
        <v/>
      </c>
    </row>
    <row r="83" ht="15" customHeight="1">
      <c r="A83" t="inlineStr">
        <is>
          <t>A 14255-2022</t>
        </is>
      </c>
      <c r="B83" s="1" t="n">
        <v>44651</v>
      </c>
      <c r="C83" s="1" t="n">
        <v>45999</v>
      </c>
      <c r="D83" t="inlineStr">
        <is>
          <t>UPPSALA LÄN</t>
        </is>
      </c>
      <c r="E83" t="inlineStr">
        <is>
          <t>UPPSALA</t>
        </is>
      </c>
      <c r="F83" t="inlineStr">
        <is>
          <t>Holmen skog AB</t>
        </is>
      </c>
      <c r="G83" t="n">
        <v>3</v>
      </c>
      <c r="H83" t="n">
        <v>0</v>
      </c>
      <c r="I83" t="n">
        <v>0</v>
      </c>
      <c r="J83" t="n">
        <v>1</v>
      </c>
      <c r="K83" t="n">
        <v>0</v>
      </c>
      <c r="L83" t="n">
        <v>0</v>
      </c>
      <c r="M83" t="n">
        <v>0</v>
      </c>
      <c r="N83" t="n">
        <v>0</v>
      </c>
      <c r="O83" t="n">
        <v>1</v>
      </c>
      <c r="P83" t="n">
        <v>0</v>
      </c>
      <c r="Q83" t="n">
        <v>1</v>
      </c>
      <c r="R83" s="2" t="inlineStr">
        <is>
          <t>Rödbrun blekspik</t>
        </is>
      </c>
      <c r="S83">
        <f>HYPERLINK("https://klasma.github.io/Logging_0380/artfynd/A 14255-2022 artfynd.xlsx", "A 14255-2022")</f>
        <v/>
      </c>
      <c r="T83">
        <f>HYPERLINK("https://klasma.github.io/Logging_0380/kartor/A 14255-2022 karta.png", "A 14255-2022")</f>
        <v/>
      </c>
      <c r="V83">
        <f>HYPERLINK("https://klasma.github.io/Logging_0380/klagomål/A 14255-2022 FSC-klagomål.docx", "A 14255-2022")</f>
        <v/>
      </c>
      <c r="W83">
        <f>HYPERLINK("https://klasma.github.io/Logging_0380/klagomålsmail/A 14255-2022 FSC-klagomål mail.docx", "A 14255-2022")</f>
        <v/>
      </c>
      <c r="X83">
        <f>HYPERLINK("https://klasma.github.io/Logging_0380/tillsyn/A 14255-2022 tillsynsbegäran.docx", "A 14255-2022")</f>
        <v/>
      </c>
      <c r="Y83">
        <f>HYPERLINK("https://klasma.github.io/Logging_0380/tillsynsmail/A 14255-2022 tillsynsbegäran mail.docx", "A 14255-2022")</f>
        <v/>
      </c>
    </row>
    <row r="84" ht="15" customHeight="1">
      <c r="A84" t="inlineStr">
        <is>
          <t>A 52849-2021</t>
        </is>
      </c>
      <c r="B84" s="1" t="n">
        <v>44467</v>
      </c>
      <c r="C84" s="1" t="n">
        <v>45999</v>
      </c>
      <c r="D84" t="inlineStr">
        <is>
          <t>UPPSALA LÄN</t>
        </is>
      </c>
      <c r="E84" t="inlineStr">
        <is>
          <t>UPPSALA</t>
        </is>
      </c>
      <c r="F84" t="inlineStr">
        <is>
          <t>Övriga Aktiebolag</t>
        </is>
      </c>
      <c r="G84" t="n">
        <v>3.3</v>
      </c>
      <c r="H84" t="n">
        <v>0</v>
      </c>
      <c r="I84" t="n">
        <v>0</v>
      </c>
      <c r="J84" t="n">
        <v>1</v>
      </c>
      <c r="K84" t="n">
        <v>0</v>
      </c>
      <c r="L84" t="n">
        <v>0</v>
      </c>
      <c r="M84" t="n">
        <v>0</v>
      </c>
      <c r="N84" t="n">
        <v>0</v>
      </c>
      <c r="O84" t="n">
        <v>1</v>
      </c>
      <c r="P84" t="n">
        <v>0</v>
      </c>
      <c r="Q84" t="n">
        <v>1</v>
      </c>
      <c r="R84" s="2" t="inlineStr">
        <is>
          <t>Skogshare</t>
        </is>
      </c>
      <c r="S84">
        <f>HYPERLINK("https://klasma.github.io/Logging_0380/artfynd/A 52849-2021 artfynd.xlsx", "A 52849-2021")</f>
        <v/>
      </c>
      <c r="T84">
        <f>HYPERLINK("https://klasma.github.io/Logging_0380/kartor/A 52849-2021 karta.png", "A 52849-2021")</f>
        <v/>
      </c>
      <c r="V84">
        <f>HYPERLINK("https://klasma.github.io/Logging_0380/klagomål/A 52849-2021 FSC-klagomål.docx", "A 52849-2021")</f>
        <v/>
      </c>
      <c r="W84">
        <f>HYPERLINK("https://klasma.github.io/Logging_0380/klagomålsmail/A 52849-2021 FSC-klagomål mail.docx", "A 52849-2021")</f>
        <v/>
      </c>
      <c r="X84">
        <f>HYPERLINK("https://klasma.github.io/Logging_0380/tillsyn/A 52849-2021 tillsynsbegäran.docx", "A 52849-2021")</f>
        <v/>
      </c>
      <c r="Y84">
        <f>HYPERLINK("https://klasma.github.io/Logging_0380/tillsynsmail/A 52849-2021 tillsynsbegäran mail.docx", "A 52849-2021")</f>
        <v/>
      </c>
    </row>
    <row r="85" ht="15" customHeight="1">
      <c r="A85" t="inlineStr">
        <is>
          <t>A 17484-2025</t>
        </is>
      </c>
      <c r="B85" s="1" t="n">
        <v>45757.49934027778</v>
      </c>
      <c r="C85" s="1" t="n">
        <v>45999</v>
      </c>
      <c r="D85" t="inlineStr">
        <is>
          <t>UPPSALA LÄN</t>
        </is>
      </c>
      <c r="E85" t="inlineStr">
        <is>
          <t>UPPSALA</t>
        </is>
      </c>
      <c r="G85" t="n">
        <v>13.1</v>
      </c>
      <c r="H85" t="n">
        <v>1</v>
      </c>
      <c r="I85" t="n">
        <v>0</v>
      </c>
      <c r="J85" t="n">
        <v>0</v>
      </c>
      <c r="K85" t="n">
        <v>0</v>
      </c>
      <c r="L85" t="n">
        <v>0</v>
      </c>
      <c r="M85" t="n">
        <v>0</v>
      </c>
      <c r="N85" t="n">
        <v>0</v>
      </c>
      <c r="O85" t="n">
        <v>0</v>
      </c>
      <c r="P85" t="n">
        <v>0</v>
      </c>
      <c r="Q85" t="n">
        <v>1</v>
      </c>
      <c r="R85" s="2" t="inlineStr">
        <is>
          <t>Fläcknycklar</t>
        </is>
      </c>
      <c r="S85">
        <f>HYPERLINK("https://klasma.github.io/Logging_0380/artfynd/A 17484-2025 artfynd.xlsx", "A 17484-2025")</f>
        <v/>
      </c>
      <c r="T85">
        <f>HYPERLINK("https://klasma.github.io/Logging_0380/kartor/A 17484-2025 karta.png", "A 17484-2025")</f>
        <v/>
      </c>
      <c r="V85">
        <f>HYPERLINK("https://klasma.github.io/Logging_0380/klagomål/A 17484-2025 FSC-klagomål.docx", "A 17484-2025")</f>
        <v/>
      </c>
      <c r="W85">
        <f>HYPERLINK("https://klasma.github.io/Logging_0380/klagomålsmail/A 17484-2025 FSC-klagomål mail.docx", "A 17484-2025")</f>
        <v/>
      </c>
      <c r="X85">
        <f>HYPERLINK("https://klasma.github.io/Logging_0380/tillsyn/A 17484-2025 tillsynsbegäran.docx", "A 17484-2025")</f>
        <v/>
      </c>
      <c r="Y85">
        <f>HYPERLINK("https://klasma.github.io/Logging_0380/tillsynsmail/A 17484-2025 tillsynsbegäran mail.docx", "A 17484-2025")</f>
        <v/>
      </c>
    </row>
    <row r="86" ht="15" customHeight="1">
      <c r="A86" t="inlineStr">
        <is>
          <t>A 5750-2023</t>
        </is>
      </c>
      <c r="B86" s="1" t="n">
        <v>44963</v>
      </c>
      <c r="C86" s="1" t="n">
        <v>45999</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61818-2022</t>
        </is>
      </c>
      <c r="B87" s="1" t="n">
        <v>44917</v>
      </c>
      <c r="C87" s="1" t="n">
        <v>45999</v>
      </c>
      <c r="D87" t="inlineStr">
        <is>
          <t>UPPSALA LÄN</t>
        </is>
      </c>
      <c r="E87" t="inlineStr">
        <is>
          <t>UPPSALA</t>
        </is>
      </c>
      <c r="F87" t="inlineStr">
        <is>
          <t>Holmen skog AB</t>
        </is>
      </c>
      <c r="G87" t="n">
        <v>0.8</v>
      </c>
      <c r="H87" t="n">
        <v>0</v>
      </c>
      <c r="I87" t="n">
        <v>0</v>
      </c>
      <c r="J87" t="n">
        <v>1</v>
      </c>
      <c r="K87" t="n">
        <v>0</v>
      </c>
      <c r="L87" t="n">
        <v>0</v>
      </c>
      <c r="M87" t="n">
        <v>0</v>
      </c>
      <c r="N87" t="n">
        <v>0</v>
      </c>
      <c r="O87" t="n">
        <v>1</v>
      </c>
      <c r="P87" t="n">
        <v>0</v>
      </c>
      <c r="Q87" t="n">
        <v>1</v>
      </c>
      <c r="R87" s="2" t="inlineStr">
        <is>
          <t>Blekticka</t>
        </is>
      </c>
      <c r="S87">
        <f>HYPERLINK("https://klasma.github.io/Logging_0380/artfynd/A 61818-2022 artfynd.xlsx", "A 61818-2022")</f>
        <v/>
      </c>
      <c r="T87">
        <f>HYPERLINK("https://klasma.github.io/Logging_0380/kartor/A 61818-2022 karta.png", "A 61818-2022")</f>
        <v/>
      </c>
      <c r="V87">
        <f>HYPERLINK("https://klasma.github.io/Logging_0380/klagomål/A 61818-2022 FSC-klagomål.docx", "A 61818-2022")</f>
        <v/>
      </c>
      <c r="W87">
        <f>HYPERLINK("https://klasma.github.io/Logging_0380/klagomålsmail/A 61818-2022 FSC-klagomål mail.docx", "A 61818-2022")</f>
        <v/>
      </c>
      <c r="X87">
        <f>HYPERLINK("https://klasma.github.io/Logging_0380/tillsyn/A 61818-2022 tillsynsbegäran.docx", "A 61818-2022")</f>
        <v/>
      </c>
      <c r="Y87">
        <f>HYPERLINK("https://klasma.github.io/Logging_0380/tillsynsmail/A 61818-2022 tillsynsbegäran mail.docx", "A 61818-2022")</f>
        <v/>
      </c>
    </row>
    <row r="88" ht="15" customHeight="1">
      <c r="A88" t="inlineStr">
        <is>
          <t>A 25729-2024</t>
        </is>
      </c>
      <c r="B88" s="1" t="n">
        <v>45464</v>
      </c>
      <c r="C88" s="1" t="n">
        <v>45999</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49015-2022</t>
        </is>
      </c>
      <c r="B89" s="1" t="n">
        <v>44855</v>
      </c>
      <c r="C89" s="1" t="n">
        <v>45999</v>
      </c>
      <c r="D89" t="inlineStr">
        <is>
          <t>UPPSALA LÄN</t>
        </is>
      </c>
      <c r="E89" t="inlineStr">
        <is>
          <t>UPPSALA</t>
        </is>
      </c>
      <c r="F89" t="inlineStr">
        <is>
          <t>Kommuner</t>
        </is>
      </c>
      <c r="G89" t="n">
        <v>4.5</v>
      </c>
      <c r="H89" t="n">
        <v>0</v>
      </c>
      <c r="I89" t="n">
        <v>0</v>
      </c>
      <c r="J89" t="n">
        <v>1</v>
      </c>
      <c r="K89" t="n">
        <v>0</v>
      </c>
      <c r="L89" t="n">
        <v>0</v>
      </c>
      <c r="M89" t="n">
        <v>0</v>
      </c>
      <c r="N89" t="n">
        <v>0</v>
      </c>
      <c r="O89" t="n">
        <v>1</v>
      </c>
      <c r="P89" t="n">
        <v>0</v>
      </c>
      <c r="Q89" t="n">
        <v>1</v>
      </c>
      <c r="R89" s="2" t="inlineStr">
        <is>
          <t>Harticka</t>
        </is>
      </c>
      <c r="S89">
        <f>HYPERLINK("https://klasma.github.io/Logging_0380/artfynd/A 49015-2022 artfynd.xlsx", "A 49015-2022")</f>
        <v/>
      </c>
      <c r="T89">
        <f>HYPERLINK("https://klasma.github.io/Logging_0380/kartor/A 49015-2022 karta.png", "A 49015-2022")</f>
        <v/>
      </c>
      <c r="V89">
        <f>HYPERLINK("https://klasma.github.io/Logging_0380/klagomål/A 49015-2022 FSC-klagomål.docx", "A 49015-2022")</f>
        <v/>
      </c>
      <c r="W89">
        <f>HYPERLINK("https://klasma.github.io/Logging_0380/klagomålsmail/A 49015-2022 FSC-klagomål mail.docx", "A 49015-2022")</f>
        <v/>
      </c>
      <c r="X89">
        <f>HYPERLINK("https://klasma.github.io/Logging_0380/tillsyn/A 49015-2022 tillsynsbegäran.docx", "A 49015-2022")</f>
        <v/>
      </c>
      <c r="Y89">
        <f>HYPERLINK("https://klasma.github.io/Logging_0380/tillsynsmail/A 49015-2022 tillsynsbegäran mail.docx", "A 49015-2022")</f>
        <v/>
      </c>
    </row>
    <row r="90" ht="15" customHeight="1">
      <c r="A90" t="inlineStr">
        <is>
          <t>A 60055-2022</t>
        </is>
      </c>
      <c r="B90" s="1" t="n">
        <v>44909</v>
      </c>
      <c r="C90" s="1" t="n">
        <v>45999</v>
      </c>
      <c r="D90" t="inlineStr">
        <is>
          <t>UPPSALA LÄN</t>
        </is>
      </c>
      <c r="E90" t="inlineStr">
        <is>
          <t>UPPSALA</t>
        </is>
      </c>
      <c r="G90" t="n">
        <v>11.4</v>
      </c>
      <c r="H90" t="n">
        <v>1</v>
      </c>
      <c r="I90" t="n">
        <v>0</v>
      </c>
      <c r="J90" t="n">
        <v>0</v>
      </c>
      <c r="K90" t="n">
        <v>0</v>
      </c>
      <c r="L90" t="n">
        <v>0</v>
      </c>
      <c r="M90" t="n">
        <v>0</v>
      </c>
      <c r="N90" t="n">
        <v>0</v>
      </c>
      <c r="O90" t="n">
        <v>0</v>
      </c>
      <c r="P90" t="n">
        <v>0</v>
      </c>
      <c r="Q90" t="n">
        <v>1</v>
      </c>
      <c r="R90" s="2" t="inlineStr">
        <is>
          <t>Tjäder</t>
        </is>
      </c>
      <c r="S90">
        <f>HYPERLINK("https://klasma.github.io/Logging_0380/artfynd/A 60055-2022 artfynd.xlsx", "A 60055-2022")</f>
        <v/>
      </c>
      <c r="T90">
        <f>HYPERLINK("https://klasma.github.io/Logging_0380/kartor/A 60055-2022 karta.png", "A 60055-2022")</f>
        <v/>
      </c>
      <c r="V90">
        <f>HYPERLINK("https://klasma.github.io/Logging_0380/klagomål/A 60055-2022 FSC-klagomål.docx", "A 60055-2022")</f>
        <v/>
      </c>
      <c r="W90">
        <f>HYPERLINK("https://klasma.github.io/Logging_0380/klagomålsmail/A 60055-2022 FSC-klagomål mail.docx", "A 60055-2022")</f>
        <v/>
      </c>
      <c r="X90">
        <f>HYPERLINK("https://klasma.github.io/Logging_0380/tillsyn/A 60055-2022 tillsynsbegäran.docx", "A 60055-2022")</f>
        <v/>
      </c>
      <c r="Y90">
        <f>HYPERLINK("https://klasma.github.io/Logging_0380/tillsynsmail/A 60055-2022 tillsynsbegäran mail.docx", "A 60055-2022")</f>
        <v/>
      </c>
      <c r="Z90">
        <f>HYPERLINK("https://klasma.github.io/Logging_0380/fåglar/A 60055-2022 prioriterade fågelarter.docx", "A 60055-2022")</f>
        <v/>
      </c>
    </row>
    <row r="91" ht="15" customHeight="1">
      <c r="A91" t="inlineStr">
        <is>
          <t>A 29902-2023</t>
        </is>
      </c>
      <c r="B91" s="1" t="n">
        <v>45107</v>
      </c>
      <c r="C91" s="1" t="n">
        <v>45999</v>
      </c>
      <c r="D91" t="inlineStr">
        <is>
          <t>UPPSALA LÄN</t>
        </is>
      </c>
      <c r="E91" t="inlineStr">
        <is>
          <t>UPPSALA</t>
        </is>
      </c>
      <c r="F91" t="inlineStr">
        <is>
          <t>Kyrkan</t>
        </is>
      </c>
      <c r="G91" t="n">
        <v>10.6</v>
      </c>
      <c r="H91" t="n">
        <v>1</v>
      </c>
      <c r="I91" t="n">
        <v>0</v>
      </c>
      <c r="J91" t="n">
        <v>1</v>
      </c>
      <c r="K91" t="n">
        <v>0</v>
      </c>
      <c r="L91" t="n">
        <v>0</v>
      </c>
      <c r="M91" t="n">
        <v>0</v>
      </c>
      <c r="N91" t="n">
        <v>0</v>
      </c>
      <c r="O91" t="n">
        <v>1</v>
      </c>
      <c r="P91" t="n">
        <v>0</v>
      </c>
      <c r="Q91" t="n">
        <v>1</v>
      </c>
      <c r="R91" s="2" t="inlineStr">
        <is>
          <t>Järpe</t>
        </is>
      </c>
      <c r="S91">
        <f>HYPERLINK("https://klasma.github.io/Logging_0380/artfynd/A 29902-2023 artfynd.xlsx", "A 29902-2023")</f>
        <v/>
      </c>
      <c r="T91">
        <f>HYPERLINK("https://klasma.github.io/Logging_0380/kartor/A 29902-2023 karta.png", "A 29902-2023")</f>
        <v/>
      </c>
      <c r="V91">
        <f>HYPERLINK("https://klasma.github.io/Logging_0380/klagomål/A 29902-2023 FSC-klagomål.docx", "A 29902-2023")</f>
        <v/>
      </c>
      <c r="W91">
        <f>HYPERLINK("https://klasma.github.io/Logging_0380/klagomålsmail/A 29902-2023 FSC-klagomål mail.docx", "A 29902-2023")</f>
        <v/>
      </c>
      <c r="X91">
        <f>HYPERLINK("https://klasma.github.io/Logging_0380/tillsyn/A 29902-2023 tillsynsbegäran.docx", "A 29902-2023")</f>
        <v/>
      </c>
      <c r="Y91">
        <f>HYPERLINK("https://klasma.github.io/Logging_0380/tillsynsmail/A 29902-2023 tillsynsbegäran mail.docx", "A 29902-2023")</f>
        <v/>
      </c>
      <c r="Z91">
        <f>HYPERLINK("https://klasma.github.io/Logging_0380/fåglar/A 29902-2023 prioriterade fågelarter.docx", "A 29902-2023")</f>
        <v/>
      </c>
    </row>
    <row r="92" ht="15" customHeight="1">
      <c r="A92" t="inlineStr">
        <is>
          <t>A 58050-2021</t>
        </is>
      </c>
      <c r="B92" s="1" t="n">
        <v>44487</v>
      </c>
      <c r="C92" s="1" t="n">
        <v>45999</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18373-2025</t>
        </is>
      </c>
      <c r="B93" s="1" t="n">
        <v>45762.57244212963</v>
      </c>
      <c r="C93" s="1" t="n">
        <v>45999</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63172-2023</t>
        </is>
      </c>
      <c r="B94" s="1" t="n">
        <v>45273</v>
      </c>
      <c r="C94" s="1" t="n">
        <v>45999</v>
      </c>
      <c r="D94" t="inlineStr">
        <is>
          <t>UPPSALA LÄN</t>
        </is>
      </c>
      <c r="E94" t="inlineStr">
        <is>
          <t>UPPSALA</t>
        </is>
      </c>
      <c r="G94" t="n">
        <v>1.8</v>
      </c>
      <c r="H94" t="n">
        <v>0</v>
      </c>
      <c r="I94" t="n">
        <v>1</v>
      </c>
      <c r="J94" t="n">
        <v>0</v>
      </c>
      <c r="K94" t="n">
        <v>0</v>
      </c>
      <c r="L94" t="n">
        <v>0</v>
      </c>
      <c r="M94" t="n">
        <v>0</v>
      </c>
      <c r="N94" t="n">
        <v>0</v>
      </c>
      <c r="O94" t="n">
        <v>0</v>
      </c>
      <c r="P94" t="n">
        <v>0</v>
      </c>
      <c r="Q94" t="n">
        <v>1</v>
      </c>
      <c r="R94" s="2" t="inlineStr">
        <is>
          <t>Ögonpyrola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row>
    <row r="95" ht="15" customHeight="1">
      <c r="A95" t="inlineStr">
        <is>
          <t>A 844-2025</t>
        </is>
      </c>
      <c r="B95" s="1" t="n">
        <v>45665</v>
      </c>
      <c r="C95" s="1" t="n">
        <v>45999</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61830-2022</t>
        </is>
      </c>
      <c r="B96" s="1" t="n">
        <v>44917.59298611111</v>
      </c>
      <c r="C96" s="1" t="n">
        <v>45999</v>
      </c>
      <c r="D96" t="inlineStr">
        <is>
          <t>UPPSALA LÄN</t>
        </is>
      </c>
      <c r="E96" t="inlineStr">
        <is>
          <t>UPPSALA</t>
        </is>
      </c>
      <c r="F96" t="inlineStr">
        <is>
          <t>Holmen skog AB</t>
        </is>
      </c>
      <c r="G96" t="n">
        <v>1.1</v>
      </c>
      <c r="H96" t="n">
        <v>0</v>
      </c>
      <c r="I96" t="n">
        <v>0</v>
      </c>
      <c r="J96" t="n">
        <v>1</v>
      </c>
      <c r="K96" t="n">
        <v>0</v>
      </c>
      <c r="L96" t="n">
        <v>0</v>
      </c>
      <c r="M96" t="n">
        <v>0</v>
      </c>
      <c r="N96" t="n">
        <v>0</v>
      </c>
      <c r="O96" t="n">
        <v>1</v>
      </c>
      <c r="P96" t="n">
        <v>0</v>
      </c>
      <c r="Q96" t="n">
        <v>1</v>
      </c>
      <c r="R96" s="2" t="inlineStr">
        <is>
          <t>Rödbrun blekspik</t>
        </is>
      </c>
      <c r="S96">
        <f>HYPERLINK("https://klasma.github.io/Logging_0380/artfynd/A 61830-2022 artfynd.xlsx", "A 61830-2022")</f>
        <v/>
      </c>
      <c r="T96">
        <f>HYPERLINK("https://klasma.github.io/Logging_0380/kartor/A 61830-2022 karta.png", "A 61830-2022")</f>
        <v/>
      </c>
      <c r="V96">
        <f>HYPERLINK("https://klasma.github.io/Logging_0380/klagomål/A 61830-2022 FSC-klagomål.docx", "A 61830-2022")</f>
        <v/>
      </c>
      <c r="W96">
        <f>HYPERLINK("https://klasma.github.io/Logging_0380/klagomålsmail/A 61830-2022 FSC-klagomål mail.docx", "A 61830-2022")</f>
        <v/>
      </c>
      <c r="X96">
        <f>HYPERLINK("https://klasma.github.io/Logging_0380/tillsyn/A 61830-2022 tillsynsbegäran.docx", "A 61830-2022")</f>
        <v/>
      </c>
      <c r="Y96">
        <f>HYPERLINK("https://klasma.github.io/Logging_0380/tillsynsmail/A 61830-2022 tillsynsbegäran mail.docx", "A 61830-2022")</f>
        <v/>
      </c>
    </row>
    <row r="97" ht="15" customHeight="1">
      <c r="A97" t="inlineStr">
        <is>
          <t>A 5732-2025</t>
        </is>
      </c>
      <c r="B97" s="1" t="n">
        <v>45694.49650462963</v>
      </c>
      <c r="C97" s="1" t="n">
        <v>45999</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2729-2024</t>
        </is>
      </c>
      <c r="B98" s="1" t="n">
        <v>45314.55579861111</v>
      </c>
      <c r="C98" s="1" t="n">
        <v>45999</v>
      </c>
      <c r="D98" t="inlineStr">
        <is>
          <t>UPPSALA LÄN</t>
        </is>
      </c>
      <c r="E98" t="inlineStr">
        <is>
          <t>UPPSALA</t>
        </is>
      </c>
      <c r="G98" t="n">
        <v>3.3</v>
      </c>
      <c r="H98" t="n">
        <v>1</v>
      </c>
      <c r="I98" t="n">
        <v>0</v>
      </c>
      <c r="J98" t="n">
        <v>0</v>
      </c>
      <c r="K98" t="n">
        <v>0</v>
      </c>
      <c r="L98" t="n">
        <v>0</v>
      </c>
      <c r="M98" t="n">
        <v>0</v>
      </c>
      <c r="N98" t="n">
        <v>0</v>
      </c>
      <c r="O98" t="n">
        <v>0</v>
      </c>
      <c r="P98" t="n">
        <v>0</v>
      </c>
      <c r="Q98" t="n">
        <v>1</v>
      </c>
      <c r="R98" s="2" t="inlineStr">
        <is>
          <t>Revlummer</t>
        </is>
      </c>
      <c r="S98">
        <f>HYPERLINK("https://klasma.github.io/Logging_0380/artfynd/A 2729-2024 artfynd.xlsx", "A 2729-2024")</f>
        <v/>
      </c>
      <c r="T98">
        <f>HYPERLINK("https://klasma.github.io/Logging_0380/kartor/A 2729-2024 karta.png", "A 2729-2024")</f>
        <v/>
      </c>
      <c r="V98">
        <f>HYPERLINK("https://klasma.github.io/Logging_0380/klagomål/A 2729-2024 FSC-klagomål.docx", "A 2729-2024")</f>
        <v/>
      </c>
      <c r="W98">
        <f>HYPERLINK("https://klasma.github.io/Logging_0380/klagomålsmail/A 2729-2024 FSC-klagomål mail.docx", "A 2729-2024")</f>
        <v/>
      </c>
      <c r="X98">
        <f>HYPERLINK("https://klasma.github.io/Logging_0380/tillsyn/A 2729-2024 tillsynsbegäran.docx", "A 2729-2024")</f>
        <v/>
      </c>
      <c r="Y98">
        <f>HYPERLINK("https://klasma.github.io/Logging_0380/tillsynsmail/A 2729-2024 tillsynsbegäran mail.docx", "A 2729-2024")</f>
        <v/>
      </c>
    </row>
    <row r="99" ht="15" customHeight="1">
      <c r="A99" t="inlineStr">
        <is>
          <t>A 46634-2022</t>
        </is>
      </c>
      <c r="B99" s="1" t="n">
        <v>44849</v>
      </c>
      <c r="C99" s="1" t="n">
        <v>45999</v>
      </c>
      <c r="D99" t="inlineStr">
        <is>
          <t>UPPSALA LÄN</t>
        </is>
      </c>
      <c r="E99" t="inlineStr">
        <is>
          <t>UPPSALA</t>
        </is>
      </c>
      <c r="G99" t="n">
        <v>2.9</v>
      </c>
      <c r="H99" t="n">
        <v>0</v>
      </c>
      <c r="I99" t="n">
        <v>1</v>
      </c>
      <c r="J99" t="n">
        <v>0</v>
      </c>
      <c r="K99" t="n">
        <v>0</v>
      </c>
      <c r="L99" t="n">
        <v>0</v>
      </c>
      <c r="M99" t="n">
        <v>0</v>
      </c>
      <c r="N99" t="n">
        <v>0</v>
      </c>
      <c r="O99" t="n">
        <v>0</v>
      </c>
      <c r="P99" t="n">
        <v>0</v>
      </c>
      <c r="Q99" t="n">
        <v>1</v>
      </c>
      <c r="R99" s="2" t="inlineStr">
        <is>
          <t>Fjällig taggsvamp s.str.</t>
        </is>
      </c>
      <c r="S99">
        <f>HYPERLINK("https://klasma.github.io/Logging_0380/artfynd/A 46634-2022 artfynd.xlsx", "A 46634-2022")</f>
        <v/>
      </c>
      <c r="T99">
        <f>HYPERLINK("https://klasma.github.io/Logging_0380/kartor/A 46634-2022 karta.png", "A 46634-2022")</f>
        <v/>
      </c>
      <c r="V99">
        <f>HYPERLINK("https://klasma.github.io/Logging_0380/klagomål/A 46634-2022 FSC-klagomål.docx", "A 46634-2022")</f>
        <v/>
      </c>
      <c r="W99">
        <f>HYPERLINK("https://klasma.github.io/Logging_0380/klagomålsmail/A 46634-2022 FSC-klagomål mail.docx", "A 46634-2022")</f>
        <v/>
      </c>
      <c r="X99">
        <f>HYPERLINK("https://klasma.github.io/Logging_0380/tillsyn/A 46634-2022 tillsynsbegäran.docx", "A 46634-2022")</f>
        <v/>
      </c>
      <c r="Y99">
        <f>HYPERLINK("https://klasma.github.io/Logging_0380/tillsynsmail/A 46634-2022 tillsynsbegäran mail.docx", "A 46634-2022")</f>
        <v/>
      </c>
    </row>
    <row r="100" ht="15" customHeight="1">
      <c r="A100" t="inlineStr">
        <is>
          <t>A 29906-2023</t>
        </is>
      </c>
      <c r="B100" s="1" t="n">
        <v>45107</v>
      </c>
      <c r="C100" s="1" t="n">
        <v>45999</v>
      </c>
      <c r="D100" t="inlineStr">
        <is>
          <t>UPPSALA LÄN</t>
        </is>
      </c>
      <c r="E100" t="inlineStr">
        <is>
          <t>UPPSALA</t>
        </is>
      </c>
      <c r="F100" t="inlineStr">
        <is>
          <t>Kyrkan</t>
        </is>
      </c>
      <c r="G100" t="n">
        <v>0.5</v>
      </c>
      <c r="H100" t="n">
        <v>0</v>
      </c>
      <c r="I100" t="n">
        <v>1</v>
      </c>
      <c r="J100" t="n">
        <v>0</v>
      </c>
      <c r="K100" t="n">
        <v>0</v>
      </c>
      <c r="L100" t="n">
        <v>0</v>
      </c>
      <c r="M100" t="n">
        <v>0</v>
      </c>
      <c r="N100" t="n">
        <v>0</v>
      </c>
      <c r="O100" t="n">
        <v>0</v>
      </c>
      <c r="P100" t="n">
        <v>0</v>
      </c>
      <c r="Q100" t="n">
        <v>1</v>
      </c>
      <c r="R100" s="2" t="inlineStr">
        <is>
          <t>Sotriska</t>
        </is>
      </c>
      <c r="S100">
        <f>HYPERLINK("https://klasma.github.io/Logging_0380/artfynd/A 29906-2023 artfynd.xlsx", "A 29906-2023")</f>
        <v/>
      </c>
      <c r="T100">
        <f>HYPERLINK("https://klasma.github.io/Logging_0380/kartor/A 29906-2023 karta.png", "A 29906-2023")</f>
        <v/>
      </c>
      <c r="V100">
        <f>HYPERLINK("https://klasma.github.io/Logging_0380/klagomål/A 29906-2023 FSC-klagomål.docx", "A 29906-2023")</f>
        <v/>
      </c>
      <c r="W100">
        <f>HYPERLINK("https://klasma.github.io/Logging_0380/klagomålsmail/A 29906-2023 FSC-klagomål mail.docx", "A 29906-2023")</f>
        <v/>
      </c>
      <c r="X100">
        <f>HYPERLINK("https://klasma.github.io/Logging_0380/tillsyn/A 29906-2023 tillsynsbegäran.docx", "A 29906-2023")</f>
        <v/>
      </c>
      <c r="Y100">
        <f>HYPERLINK("https://klasma.github.io/Logging_0380/tillsynsmail/A 29906-2023 tillsynsbegäran mail.docx", "A 29906-2023")</f>
        <v/>
      </c>
    </row>
    <row r="101" ht="15" customHeight="1">
      <c r="A101" t="inlineStr">
        <is>
          <t>A 39741-2023</t>
        </is>
      </c>
      <c r="B101" s="1" t="n">
        <v>45167</v>
      </c>
      <c r="C101" s="1" t="n">
        <v>45999</v>
      </c>
      <c r="D101" t="inlineStr">
        <is>
          <t>UPPSALA LÄN</t>
        </is>
      </c>
      <c r="E101" t="inlineStr">
        <is>
          <t>UPPSALA</t>
        </is>
      </c>
      <c r="G101" t="n">
        <v>5.6</v>
      </c>
      <c r="H101" t="n">
        <v>1</v>
      </c>
      <c r="I101" t="n">
        <v>0</v>
      </c>
      <c r="J101" t="n">
        <v>1</v>
      </c>
      <c r="K101" t="n">
        <v>0</v>
      </c>
      <c r="L101" t="n">
        <v>0</v>
      </c>
      <c r="M101" t="n">
        <v>0</v>
      </c>
      <c r="N101" t="n">
        <v>0</v>
      </c>
      <c r="O101" t="n">
        <v>1</v>
      </c>
      <c r="P101" t="n">
        <v>0</v>
      </c>
      <c r="Q101" t="n">
        <v>1</v>
      </c>
      <c r="R101" s="2" t="inlineStr">
        <is>
          <t>Entita</t>
        </is>
      </c>
      <c r="S101">
        <f>HYPERLINK("https://klasma.github.io/Logging_0380/artfynd/A 39741-2023 artfynd.xlsx", "A 39741-2023")</f>
        <v/>
      </c>
      <c r="T101">
        <f>HYPERLINK("https://klasma.github.io/Logging_0380/kartor/A 39741-2023 karta.png", "A 39741-2023")</f>
        <v/>
      </c>
      <c r="V101">
        <f>HYPERLINK("https://klasma.github.io/Logging_0380/klagomål/A 39741-2023 FSC-klagomål.docx", "A 39741-2023")</f>
        <v/>
      </c>
      <c r="W101">
        <f>HYPERLINK("https://klasma.github.io/Logging_0380/klagomålsmail/A 39741-2023 FSC-klagomål mail.docx", "A 39741-2023")</f>
        <v/>
      </c>
      <c r="X101">
        <f>HYPERLINK("https://klasma.github.io/Logging_0380/tillsyn/A 39741-2023 tillsynsbegäran.docx", "A 39741-2023")</f>
        <v/>
      </c>
      <c r="Y101">
        <f>HYPERLINK("https://klasma.github.io/Logging_0380/tillsynsmail/A 39741-2023 tillsynsbegäran mail.docx", "A 39741-2023")</f>
        <v/>
      </c>
      <c r="Z101">
        <f>HYPERLINK("https://klasma.github.io/Logging_0380/fåglar/A 39741-2023 prioriterade fågelarter.docx", "A 39741-2023")</f>
        <v/>
      </c>
    </row>
    <row r="102" ht="15" customHeight="1">
      <c r="A102" t="inlineStr">
        <is>
          <t>A 21801-2025</t>
        </is>
      </c>
      <c r="B102" s="1" t="n">
        <v>45783</v>
      </c>
      <c r="C102" s="1" t="n">
        <v>45999</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9206-2024</t>
        </is>
      </c>
      <c r="B103" s="1" t="n">
        <v>45358</v>
      </c>
      <c r="C103" s="1" t="n">
        <v>45999</v>
      </c>
      <c r="D103" t="inlineStr">
        <is>
          <t>UPPSALA LÄN</t>
        </is>
      </c>
      <c r="E103" t="inlineStr">
        <is>
          <t>UPPSALA</t>
        </is>
      </c>
      <c r="F103" t="inlineStr">
        <is>
          <t>Allmännings- och besparingsskogar</t>
        </is>
      </c>
      <c r="G103" t="n">
        <v>22.2</v>
      </c>
      <c r="H103" t="n">
        <v>1</v>
      </c>
      <c r="I103" t="n">
        <v>0</v>
      </c>
      <c r="J103" t="n">
        <v>0</v>
      </c>
      <c r="K103" t="n">
        <v>1</v>
      </c>
      <c r="L103" t="n">
        <v>0</v>
      </c>
      <c r="M103" t="n">
        <v>0</v>
      </c>
      <c r="N103" t="n">
        <v>0</v>
      </c>
      <c r="O103" t="n">
        <v>1</v>
      </c>
      <c r="P103" t="n">
        <v>1</v>
      </c>
      <c r="Q103" t="n">
        <v>1</v>
      </c>
      <c r="R103" s="2" t="inlineStr">
        <is>
          <t>Knärot</t>
        </is>
      </c>
      <c r="S103">
        <f>HYPERLINK("https://klasma.github.io/Logging_0380/artfynd/A 9206-2024 artfynd.xlsx", "A 9206-2024")</f>
        <v/>
      </c>
      <c r="T103">
        <f>HYPERLINK("https://klasma.github.io/Logging_0380/kartor/A 9206-2024 karta.png", "A 9206-2024")</f>
        <v/>
      </c>
      <c r="U103">
        <f>HYPERLINK("https://klasma.github.io/Logging_0380/knärot/A 9206-2024 karta knärot.png", "A 9206-2024")</f>
        <v/>
      </c>
      <c r="V103">
        <f>HYPERLINK("https://klasma.github.io/Logging_0380/klagomål/A 9206-2024 FSC-klagomål.docx", "A 9206-2024")</f>
        <v/>
      </c>
      <c r="W103">
        <f>HYPERLINK("https://klasma.github.io/Logging_0380/klagomålsmail/A 9206-2024 FSC-klagomål mail.docx", "A 9206-2024")</f>
        <v/>
      </c>
      <c r="X103">
        <f>HYPERLINK("https://klasma.github.io/Logging_0380/tillsyn/A 9206-2024 tillsynsbegäran.docx", "A 9206-2024")</f>
        <v/>
      </c>
      <c r="Y103">
        <f>HYPERLINK("https://klasma.github.io/Logging_0380/tillsynsmail/A 9206-2024 tillsynsbegäran mail.docx", "A 9206-2024")</f>
        <v/>
      </c>
    </row>
    <row r="104" ht="15" customHeight="1">
      <c r="A104" t="inlineStr">
        <is>
          <t>A 13093-2024</t>
        </is>
      </c>
      <c r="B104" s="1" t="n">
        <v>45385</v>
      </c>
      <c r="C104" s="1" t="n">
        <v>45999</v>
      </c>
      <c r="D104" t="inlineStr">
        <is>
          <t>UPPSALA LÄN</t>
        </is>
      </c>
      <c r="E104" t="inlineStr">
        <is>
          <t>UPPSALA</t>
        </is>
      </c>
      <c r="G104" t="n">
        <v>1.1</v>
      </c>
      <c r="H104" t="n">
        <v>1</v>
      </c>
      <c r="I104" t="n">
        <v>1</v>
      </c>
      <c r="J104" t="n">
        <v>0</v>
      </c>
      <c r="K104" t="n">
        <v>0</v>
      </c>
      <c r="L104" t="n">
        <v>0</v>
      </c>
      <c r="M104" t="n">
        <v>0</v>
      </c>
      <c r="N104" t="n">
        <v>0</v>
      </c>
      <c r="O104" t="n">
        <v>0</v>
      </c>
      <c r="P104" t="n">
        <v>0</v>
      </c>
      <c r="Q104" t="n">
        <v>1</v>
      </c>
      <c r="R104" s="2" t="inlineStr">
        <is>
          <t>Skogsknipprot</t>
        </is>
      </c>
      <c r="S104">
        <f>HYPERLINK("https://klasma.github.io/Logging_0380/artfynd/A 13093-2024 artfynd.xlsx", "A 13093-2024")</f>
        <v/>
      </c>
      <c r="T104">
        <f>HYPERLINK("https://klasma.github.io/Logging_0380/kartor/A 13093-2024 karta.png", "A 13093-2024")</f>
        <v/>
      </c>
      <c r="V104">
        <f>HYPERLINK("https://klasma.github.io/Logging_0380/klagomål/A 13093-2024 FSC-klagomål.docx", "A 13093-2024")</f>
        <v/>
      </c>
      <c r="W104">
        <f>HYPERLINK("https://klasma.github.io/Logging_0380/klagomålsmail/A 13093-2024 FSC-klagomål mail.docx", "A 13093-2024")</f>
        <v/>
      </c>
      <c r="X104">
        <f>HYPERLINK("https://klasma.github.io/Logging_0380/tillsyn/A 13093-2024 tillsynsbegäran.docx", "A 13093-2024")</f>
        <v/>
      </c>
      <c r="Y104">
        <f>HYPERLINK("https://klasma.github.io/Logging_0380/tillsynsmail/A 13093-2024 tillsynsbegäran mail.docx", "A 13093-2024")</f>
        <v/>
      </c>
    </row>
    <row r="105" ht="15" customHeight="1">
      <c r="A105" t="inlineStr">
        <is>
          <t>A 6044-2024</t>
        </is>
      </c>
      <c r="B105" s="1" t="n">
        <v>45336</v>
      </c>
      <c r="C105" s="1" t="n">
        <v>45999</v>
      </c>
      <c r="D105" t="inlineStr">
        <is>
          <t>UPPSALA LÄN</t>
        </is>
      </c>
      <c r="E105" t="inlineStr">
        <is>
          <t>UPPSALA</t>
        </is>
      </c>
      <c r="F105" t="inlineStr">
        <is>
          <t>Holmen skog AB</t>
        </is>
      </c>
      <c r="G105" t="n">
        <v>7.4</v>
      </c>
      <c r="H105" t="n">
        <v>0</v>
      </c>
      <c r="I105" t="n">
        <v>0</v>
      </c>
      <c r="J105" t="n">
        <v>1</v>
      </c>
      <c r="K105" t="n">
        <v>0</v>
      </c>
      <c r="L105" t="n">
        <v>0</v>
      </c>
      <c r="M105" t="n">
        <v>0</v>
      </c>
      <c r="N105" t="n">
        <v>0</v>
      </c>
      <c r="O105" t="n">
        <v>1</v>
      </c>
      <c r="P105" t="n">
        <v>0</v>
      </c>
      <c r="Q105" t="n">
        <v>1</v>
      </c>
      <c r="R105" s="2" t="inlineStr">
        <is>
          <t>Gul dropplav</t>
        </is>
      </c>
      <c r="S105">
        <f>HYPERLINK("https://klasma.github.io/Logging_0380/artfynd/A 6044-2024 artfynd.xlsx", "A 6044-2024")</f>
        <v/>
      </c>
      <c r="T105">
        <f>HYPERLINK("https://klasma.github.io/Logging_0380/kartor/A 6044-2024 karta.png", "A 6044-2024")</f>
        <v/>
      </c>
      <c r="V105">
        <f>HYPERLINK("https://klasma.github.io/Logging_0380/klagomål/A 6044-2024 FSC-klagomål.docx", "A 6044-2024")</f>
        <v/>
      </c>
      <c r="W105">
        <f>HYPERLINK("https://klasma.github.io/Logging_0380/klagomålsmail/A 6044-2024 FSC-klagomål mail.docx", "A 6044-2024")</f>
        <v/>
      </c>
      <c r="X105">
        <f>HYPERLINK("https://klasma.github.io/Logging_0380/tillsyn/A 6044-2024 tillsynsbegäran.docx", "A 6044-2024")</f>
        <v/>
      </c>
      <c r="Y105">
        <f>HYPERLINK("https://klasma.github.io/Logging_0380/tillsynsmail/A 6044-2024 tillsynsbegäran mail.docx", "A 6044-2024")</f>
        <v/>
      </c>
    </row>
    <row r="106" ht="15" customHeight="1">
      <c r="A106" t="inlineStr">
        <is>
          <t>A 36842-2025</t>
        </is>
      </c>
      <c r="B106" s="1" t="n">
        <v>45874</v>
      </c>
      <c r="C106" s="1" t="n">
        <v>45999</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26135-2025</t>
        </is>
      </c>
      <c r="B107" s="1" t="n">
        <v>45805.41232638889</v>
      </c>
      <c r="C107" s="1" t="n">
        <v>45999</v>
      </c>
      <c r="D107" t="inlineStr">
        <is>
          <t>UPPSALA LÄN</t>
        </is>
      </c>
      <c r="E107" t="inlineStr">
        <is>
          <t>UPPSALA</t>
        </is>
      </c>
      <c r="F107" t="inlineStr">
        <is>
          <t>Holmen skog AB</t>
        </is>
      </c>
      <c r="G107" t="n">
        <v>3.1</v>
      </c>
      <c r="H107" t="n">
        <v>0</v>
      </c>
      <c r="I107" t="n">
        <v>0</v>
      </c>
      <c r="J107" t="n">
        <v>1</v>
      </c>
      <c r="K107" t="n">
        <v>0</v>
      </c>
      <c r="L107" t="n">
        <v>0</v>
      </c>
      <c r="M107" t="n">
        <v>0</v>
      </c>
      <c r="N107" t="n">
        <v>0</v>
      </c>
      <c r="O107" t="n">
        <v>1</v>
      </c>
      <c r="P107" t="n">
        <v>0</v>
      </c>
      <c r="Q107" t="n">
        <v>1</v>
      </c>
      <c r="R107" s="2" t="inlineStr">
        <is>
          <t>Vedtrappmossa</t>
        </is>
      </c>
      <c r="S107">
        <f>HYPERLINK("https://klasma.github.io/Logging_0380/artfynd/A 26135-2025 artfynd.xlsx", "A 26135-2025")</f>
        <v/>
      </c>
      <c r="T107">
        <f>HYPERLINK("https://klasma.github.io/Logging_0380/kartor/A 26135-2025 karta.png", "A 26135-2025")</f>
        <v/>
      </c>
      <c r="V107">
        <f>HYPERLINK("https://klasma.github.io/Logging_0380/klagomål/A 26135-2025 FSC-klagomål.docx", "A 26135-2025")</f>
        <v/>
      </c>
      <c r="W107">
        <f>HYPERLINK("https://klasma.github.io/Logging_0380/klagomålsmail/A 26135-2025 FSC-klagomål mail.docx", "A 26135-2025")</f>
        <v/>
      </c>
      <c r="X107">
        <f>HYPERLINK("https://klasma.github.io/Logging_0380/tillsyn/A 26135-2025 tillsynsbegäran.docx", "A 26135-2025")</f>
        <v/>
      </c>
      <c r="Y107">
        <f>HYPERLINK("https://klasma.github.io/Logging_0380/tillsynsmail/A 26135-2025 tillsynsbegäran mail.docx", "A 26135-2025")</f>
        <v/>
      </c>
    </row>
    <row r="108" ht="15" customHeight="1">
      <c r="A108" t="inlineStr">
        <is>
          <t>A 4657-2025</t>
        </is>
      </c>
      <c r="B108" s="1" t="n">
        <v>45687</v>
      </c>
      <c r="C108" s="1" t="n">
        <v>45999</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Grönsångare</t>
        </is>
      </c>
      <c r="S108">
        <f>HYPERLINK("https://klasma.github.io/Logging_0380/artfynd/A 4657-2025 artfynd.xlsx", "A 4657-2025")</f>
        <v/>
      </c>
      <c r="T108">
        <f>HYPERLINK("https://klasma.github.io/Logging_0380/kartor/A 4657-2025 karta.png", "A 4657-2025")</f>
        <v/>
      </c>
      <c r="V108">
        <f>HYPERLINK("https://klasma.github.io/Logging_0380/klagomål/A 4657-2025 FSC-klagomål.docx", "A 4657-2025")</f>
        <v/>
      </c>
      <c r="W108">
        <f>HYPERLINK("https://klasma.github.io/Logging_0380/klagomålsmail/A 4657-2025 FSC-klagomål mail.docx", "A 4657-2025")</f>
        <v/>
      </c>
      <c r="X108">
        <f>HYPERLINK("https://klasma.github.io/Logging_0380/tillsyn/A 4657-2025 tillsynsbegäran.docx", "A 4657-2025")</f>
        <v/>
      </c>
      <c r="Y108">
        <f>HYPERLINK("https://klasma.github.io/Logging_0380/tillsynsmail/A 4657-2025 tillsynsbegäran mail.docx", "A 4657-2025")</f>
        <v/>
      </c>
      <c r="Z108">
        <f>HYPERLINK("https://klasma.github.io/Logging_0380/fåglar/A 4657-2025 prioriterade fågelarter.docx", "A 4657-2025")</f>
        <v/>
      </c>
    </row>
    <row r="109" ht="15" customHeight="1">
      <c r="A109" t="inlineStr">
        <is>
          <t>A 16761-2022</t>
        </is>
      </c>
      <c r="B109" s="1" t="n">
        <v>44673.47858796296</v>
      </c>
      <c r="C109" s="1" t="n">
        <v>45999</v>
      </c>
      <c r="D109" t="inlineStr">
        <is>
          <t>UPPSALA LÄN</t>
        </is>
      </c>
      <c r="E109" t="inlineStr">
        <is>
          <t>UPPSALA</t>
        </is>
      </c>
      <c r="G109" t="n">
        <v>0.6</v>
      </c>
      <c r="H109" t="n">
        <v>1</v>
      </c>
      <c r="I109" t="n">
        <v>0</v>
      </c>
      <c r="J109" t="n">
        <v>0</v>
      </c>
      <c r="K109" t="n">
        <v>0</v>
      </c>
      <c r="L109" t="n">
        <v>0</v>
      </c>
      <c r="M109" t="n">
        <v>0</v>
      </c>
      <c r="N109" t="n">
        <v>0</v>
      </c>
      <c r="O109" t="n">
        <v>0</v>
      </c>
      <c r="P109" t="n">
        <v>0</v>
      </c>
      <c r="Q109" t="n">
        <v>1</v>
      </c>
      <c r="R109" s="2" t="inlineStr">
        <is>
          <t>Trädlärka</t>
        </is>
      </c>
      <c r="S109">
        <f>HYPERLINK("https://klasma.github.io/Logging_0380/artfynd/A 16761-2022 artfynd.xlsx", "A 16761-2022")</f>
        <v/>
      </c>
      <c r="T109">
        <f>HYPERLINK("https://klasma.github.io/Logging_0380/kartor/A 16761-2022 karta.png", "A 16761-2022")</f>
        <v/>
      </c>
      <c r="V109">
        <f>HYPERLINK("https://klasma.github.io/Logging_0380/klagomål/A 16761-2022 FSC-klagomål.docx", "A 16761-2022")</f>
        <v/>
      </c>
      <c r="W109">
        <f>HYPERLINK("https://klasma.github.io/Logging_0380/klagomålsmail/A 16761-2022 FSC-klagomål mail.docx", "A 16761-2022")</f>
        <v/>
      </c>
      <c r="X109">
        <f>HYPERLINK("https://klasma.github.io/Logging_0380/tillsyn/A 16761-2022 tillsynsbegäran.docx", "A 16761-2022")</f>
        <v/>
      </c>
      <c r="Y109">
        <f>HYPERLINK("https://klasma.github.io/Logging_0380/tillsynsmail/A 16761-2022 tillsynsbegäran mail.docx", "A 16761-2022")</f>
        <v/>
      </c>
      <c r="Z109">
        <f>HYPERLINK("https://klasma.github.io/Logging_0380/fåglar/A 16761-2022 prioriterade fågelarter.docx", "A 16761-2022")</f>
        <v/>
      </c>
    </row>
    <row r="110" ht="15" customHeight="1">
      <c r="A110" t="inlineStr">
        <is>
          <t>A 40568-2025</t>
        </is>
      </c>
      <c r="B110" s="1" t="n">
        <v>45896.47487268518</v>
      </c>
      <c r="C110" s="1" t="n">
        <v>45999</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41606-2025</t>
        </is>
      </c>
      <c r="B111" s="1" t="n">
        <v>45901.66702546296</v>
      </c>
      <c r="C111" s="1" t="n">
        <v>45999</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37004-2025</t>
        </is>
      </c>
      <c r="B112" s="1" t="n">
        <v>45874.69282407407</v>
      </c>
      <c r="C112" s="1" t="n">
        <v>45999</v>
      </c>
      <c r="D112" t="inlineStr">
        <is>
          <t>UPPSALA LÄN</t>
        </is>
      </c>
      <c r="E112" t="inlineStr">
        <is>
          <t>UPPSALA</t>
        </is>
      </c>
      <c r="G112" t="n">
        <v>15.8</v>
      </c>
      <c r="H112" t="n">
        <v>1</v>
      </c>
      <c r="I112" t="n">
        <v>0</v>
      </c>
      <c r="J112" t="n">
        <v>0</v>
      </c>
      <c r="K112" t="n">
        <v>0</v>
      </c>
      <c r="L112" t="n">
        <v>0</v>
      </c>
      <c r="M112" t="n">
        <v>0</v>
      </c>
      <c r="N112" t="n">
        <v>0</v>
      </c>
      <c r="O112" t="n">
        <v>0</v>
      </c>
      <c r="P112" t="n">
        <v>0</v>
      </c>
      <c r="Q112" t="n">
        <v>1</v>
      </c>
      <c r="R112" s="2" t="inlineStr">
        <is>
          <t>Vanlig padda</t>
        </is>
      </c>
      <c r="S112">
        <f>HYPERLINK("https://klasma.github.io/Logging_0380/artfynd/A 37004-2025 artfynd.xlsx", "A 37004-2025")</f>
        <v/>
      </c>
      <c r="T112">
        <f>HYPERLINK("https://klasma.github.io/Logging_0380/kartor/A 37004-2025 karta.png", "A 37004-2025")</f>
        <v/>
      </c>
      <c r="V112">
        <f>HYPERLINK("https://klasma.github.io/Logging_0380/klagomål/A 37004-2025 FSC-klagomål.docx", "A 37004-2025")</f>
        <v/>
      </c>
      <c r="W112">
        <f>HYPERLINK("https://klasma.github.io/Logging_0380/klagomålsmail/A 37004-2025 FSC-klagomål mail.docx", "A 37004-2025")</f>
        <v/>
      </c>
      <c r="X112">
        <f>HYPERLINK("https://klasma.github.io/Logging_0380/tillsyn/A 37004-2025 tillsynsbegäran.docx", "A 37004-2025")</f>
        <v/>
      </c>
      <c r="Y112">
        <f>HYPERLINK("https://klasma.github.io/Logging_0380/tillsynsmail/A 37004-2025 tillsynsbegäran mail.docx", "A 37004-2025")</f>
        <v/>
      </c>
    </row>
    <row r="113" ht="15" customHeight="1">
      <c r="A113" t="inlineStr">
        <is>
          <t>A 27848-2023</t>
        </is>
      </c>
      <c r="B113" s="1" t="n">
        <v>45098</v>
      </c>
      <c r="C113" s="1" t="n">
        <v>45999</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26923-2025</t>
        </is>
      </c>
      <c r="B114" s="1" t="n">
        <v>45811.38710648148</v>
      </c>
      <c r="C114" s="1" t="n">
        <v>45999</v>
      </c>
      <c r="D114" t="inlineStr">
        <is>
          <t>UPPSALA LÄN</t>
        </is>
      </c>
      <c r="E114" t="inlineStr">
        <is>
          <t>UPPSALA</t>
        </is>
      </c>
      <c r="F114" t="inlineStr">
        <is>
          <t>Kyrkan</t>
        </is>
      </c>
      <c r="G114" t="n">
        <v>9.800000000000001</v>
      </c>
      <c r="H114" t="n">
        <v>1</v>
      </c>
      <c r="I114" t="n">
        <v>0</v>
      </c>
      <c r="J114" t="n">
        <v>0</v>
      </c>
      <c r="K114" t="n">
        <v>0</v>
      </c>
      <c r="L114" t="n">
        <v>0</v>
      </c>
      <c r="M114" t="n">
        <v>0</v>
      </c>
      <c r="N114" t="n">
        <v>0</v>
      </c>
      <c r="O114" t="n">
        <v>0</v>
      </c>
      <c r="P114" t="n">
        <v>0</v>
      </c>
      <c r="Q114" t="n">
        <v>1</v>
      </c>
      <c r="R114" s="2" t="inlineStr">
        <is>
          <t>Fläcknycklar</t>
        </is>
      </c>
      <c r="S114">
        <f>HYPERLINK("https://klasma.github.io/Logging_0380/artfynd/A 26923-2025 artfynd.xlsx", "A 26923-2025")</f>
        <v/>
      </c>
      <c r="T114">
        <f>HYPERLINK("https://klasma.github.io/Logging_0380/kartor/A 26923-2025 karta.png", "A 26923-2025")</f>
        <v/>
      </c>
      <c r="V114">
        <f>HYPERLINK("https://klasma.github.io/Logging_0380/klagomål/A 26923-2025 FSC-klagomål.docx", "A 26923-2025")</f>
        <v/>
      </c>
      <c r="W114">
        <f>HYPERLINK("https://klasma.github.io/Logging_0380/klagomålsmail/A 26923-2025 FSC-klagomål mail.docx", "A 26923-2025")</f>
        <v/>
      </c>
      <c r="X114">
        <f>HYPERLINK("https://klasma.github.io/Logging_0380/tillsyn/A 26923-2025 tillsynsbegäran.docx", "A 26923-2025")</f>
        <v/>
      </c>
      <c r="Y114">
        <f>HYPERLINK("https://klasma.github.io/Logging_0380/tillsynsmail/A 26923-2025 tillsynsbegäran mail.docx", "A 26923-2025")</f>
        <v/>
      </c>
    </row>
    <row r="115" ht="15" customHeight="1">
      <c r="A115" t="inlineStr">
        <is>
          <t>A 3304-2025</t>
        </is>
      </c>
      <c r="B115" s="1" t="n">
        <v>45679</v>
      </c>
      <c r="C115" s="1" t="n">
        <v>45999</v>
      </c>
      <c r="D115" t="inlineStr">
        <is>
          <t>UPPSALA LÄN</t>
        </is>
      </c>
      <c r="E115" t="inlineStr">
        <is>
          <t>UPPSALA</t>
        </is>
      </c>
      <c r="F115" t="inlineStr">
        <is>
          <t>Övriga statliga verk och myndigheter</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HYPERLINK("https://klasma.github.io/Logging_0380/artfynd/A 3304-2025 artfynd.xlsx", "A 3304-2025")</f>
        <v/>
      </c>
      <c r="T115">
        <f>HYPERLINK("https://klasma.github.io/Logging_0380/kartor/A 3304-2025 karta.png", "A 3304-2025")</f>
        <v/>
      </c>
      <c r="V115">
        <f>HYPERLINK("https://klasma.github.io/Logging_0380/klagomål/A 3304-2025 FSC-klagomål.docx", "A 3304-2025")</f>
        <v/>
      </c>
      <c r="W115">
        <f>HYPERLINK("https://klasma.github.io/Logging_0380/klagomålsmail/A 3304-2025 FSC-klagomål mail.docx", "A 3304-2025")</f>
        <v/>
      </c>
      <c r="X115">
        <f>HYPERLINK("https://klasma.github.io/Logging_0380/tillsyn/A 3304-2025 tillsynsbegäran.docx", "A 3304-2025")</f>
        <v/>
      </c>
      <c r="Y115">
        <f>HYPERLINK("https://klasma.github.io/Logging_0380/tillsynsmail/A 3304-2025 tillsynsbegäran mail.docx", "A 3304-2025")</f>
        <v/>
      </c>
    </row>
    <row r="116" ht="15" customHeight="1">
      <c r="A116" t="inlineStr">
        <is>
          <t>A 28299-2025</t>
        </is>
      </c>
      <c r="B116" s="1" t="n">
        <v>45818.60254629629</v>
      </c>
      <c r="C116" s="1" t="n">
        <v>45999</v>
      </c>
      <c r="D116" t="inlineStr">
        <is>
          <t>UPPSALA LÄN</t>
        </is>
      </c>
      <c r="E116" t="inlineStr">
        <is>
          <t>UPPSALA</t>
        </is>
      </c>
      <c r="F116" t="inlineStr">
        <is>
          <t>Holmen skog AB</t>
        </is>
      </c>
      <c r="G116" t="n">
        <v>12</v>
      </c>
      <c r="H116" t="n">
        <v>0</v>
      </c>
      <c r="I116" t="n">
        <v>0</v>
      </c>
      <c r="J116" t="n">
        <v>1</v>
      </c>
      <c r="K116" t="n">
        <v>0</v>
      </c>
      <c r="L116" t="n">
        <v>0</v>
      </c>
      <c r="M116" t="n">
        <v>0</v>
      </c>
      <c r="N116" t="n">
        <v>0</v>
      </c>
      <c r="O116" t="n">
        <v>1</v>
      </c>
      <c r="P116" t="n">
        <v>0</v>
      </c>
      <c r="Q116" t="n">
        <v>1</v>
      </c>
      <c r="R116" s="2" t="inlineStr">
        <is>
          <t>Slåtterfibbla</t>
        </is>
      </c>
      <c r="S116">
        <f>HYPERLINK("https://klasma.github.io/Logging_0380/artfynd/A 28299-2025 artfynd.xlsx", "A 28299-2025")</f>
        <v/>
      </c>
      <c r="T116">
        <f>HYPERLINK("https://klasma.github.io/Logging_0380/kartor/A 28299-2025 karta.png", "A 28299-2025")</f>
        <v/>
      </c>
      <c r="V116">
        <f>HYPERLINK("https://klasma.github.io/Logging_0380/klagomål/A 28299-2025 FSC-klagomål.docx", "A 28299-2025")</f>
        <v/>
      </c>
      <c r="W116">
        <f>HYPERLINK("https://klasma.github.io/Logging_0380/klagomålsmail/A 28299-2025 FSC-klagomål mail.docx", "A 28299-2025")</f>
        <v/>
      </c>
      <c r="X116">
        <f>HYPERLINK("https://klasma.github.io/Logging_0380/tillsyn/A 28299-2025 tillsynsbegäran.docx", "A 28299-2025")</f>
        <v/>
      </c>
      <c r="Y116">
        <f>HYPERLINK("https://klasma.github.io/Logging_0380/tillsynsmail/A 28299-2025 tillsynsbegäran mail.docx", "A 28299-2025")</f>
        <v/>
      </c>
    </row>
    <row r="117" ht="15" customHeight="1">
      <c r="A117" t="inlineStr">
        <is>
          <t>A 27824-2025</t>
        </is>
      </c>
      <c r="B117" s="1" t="n">
        <v>45817.34614583333</v>
      </c>
      <c r="C117" s="1" t="n">
        <v>45999</v>
      </c>
      <c r="D117" t="inlineStr">
        <is>
          <t>UPPSALA LÄN</t>
        </is>
      </c>
      <c r="E117" t="inlineStr">
        <is>
          <t>UPPSALA</t>
        </is>
      </c>
      <c r="F117" t="inlineStr">
        <is>
          <t>Kyrkan</t>
        </is>
      </c>
      <c r="G117" t="n">
        <v>3.3</v>
      </c>
      <c r="H117" t="n">
        <v>0</v>
      </c>
      <c r="I117" t="n">
        <v>1</v>
      </c>
      <c r="J117" t="n">
        <v>0</v>
      </c>
      <c r="K117" t="n">
        <v>0</v>
      </c>
      <c r="L117" t="n">
        <v>0</v>
      </c>
      <c r="M117" t="n">
        <v>0</v>
      </c>
      <c r="N117" t="n">
        <v>0</v>
      </c>
      <c r="O117" t="n">
        <v>0</v>
      </c>
      <c r="P117" t="n">
        <v>0</v>
      </c>
      <c r="Q117" t="n">
        <v>1</v>
      </c>
      <c r="R117" s="2" t="inlineStr">
        <is>
          <t>Sårläka</t>
        </is>
      </c>
      <c r="S117">
        <f>HYPERLINK("https://klasma.github.io/Logging_0380/artfynd/A 27824-2025 artfynd.xlsx", "A 27824-2025")</f>
        <v/>
      </c>
      <c r="T117">
        <f>HYPERLINK("https://klasma.github.io/Logging_0380/kartor/A 27824-2025 karta.png", "A 27824-2025")</f>
        <v/>
      </c>
      <c r="V117">
        <f>HYPERLINK("https://klasma.github.io/Logging_0380/klagomål/A 27824-2025 FSC-klagomål.docx", "A 27824-2025")</f>
        <v/>
      </c>
      <c r="W117">
        <f>HYPERLINK("https://klasma.github.io/Logging_0380/klagomålsmail/A 27824-2025 FSC-klagomål mail.docx", "A 27824-2025")</f>
        <v/>
      </c>
      <c r="X117">
        <f>HYPERLINK("https://klasma.github.io/Logging_0380/tillsyn/A 27824-2025 tillsynsbegäran.docx", "A 27824-2025")</f>
        <v/>
      </c>
      <c r="Y117">
        <f>HYPERLINK("https://klasma.github.io/Logging_0380/tillsynsmail/A 27824-2025 tillsynsbegäran mail.docx", "A 27824-2025")</f>
        <v/>
      </c>
    </row>
    <row r="118" ht="15" customHeight="1">
      <c r="A118" t="inlineStr">
        <is>
          <t>A 28056-2025</t>
        </is>
      </c>
      <c r="B118" s="1" t="n">
        <v>45817</v>
      </c>
      <c r="C118" s="1" t="n">
        <v>45999</v>
      </c>
      <c r="D118" t="inlineStr">
        <is>
          <t>UPPSALA LÄN</t>
        </is>
      </c>
      <c r="E118" t="inlineStr">
        <is>
          <t>UPPSALA</t>
        </is>
      </c>
      <c r="G118" t="n">
        <v>19.3</v>
      </c>
      <c r="H118" t="n">
        <v>1</v>
      </c>
      <c r="I118" t="n">
        <v>0</v>
      </c>
      <c r="J118" t="n">
        <v>0</v>
      </c>
      <c r="K118" t="n">
        <v>1</v>
      </c>
      <c r="L118" t="n">
        <v>0</v>
      </c>
      <c r="M118" t="n">
        <v>0</v>
      </c>
      <c r="N118" t="n">
        <v>0</v>
      </c>
      <c r="O118" t="n">
        <v>1</v>
      </c>
      <c r="P118" t="n">
        <v>1</v>
      </c>
      <c r="Q118" t="n">
        <v>1</v>
      </c>
      <c r="R118" s="2" t="inlineStr">
        <is>
          <t>Knärot</t>
        </is>
      </c>
      <c r="S118">
        <f>HYPERLINK("https://klasma.github.io/Logging_0380/artfynd/A 28056-2025 artfynd.xlsx", "A 28056-2025")</f>
        <v/>
      </c>
      <c r="T118">
        <f>HYPERLINK("https://klasma.github.io/Logging_0380/kartor/A 28056-2025 karta.png", "A 28056-2025")</f>
        <v/>
      </c>
      <c r="U118">
        <f>HYPERLINK("https://klasma.github.io/Logging_0380/knärot/A 28056-2025 karta knärot.png", "A 28056-2025")</f>
        <v/>
      </c>
      <c r="V118">
        <f>HYPERLINK("https://klasma.github.io/Logging_0380/klagomål/A 28056-2025 FSC-klagomål.docx", "A 28056-2025")</f>
        <v/>
      </c>
      <c r="W118">
        <f>HYPERLINK("https://klasma.github.io/Logging_0380/klagomålsmail/A 28056-2025 FSC-klagomål mail.docx", "A 28056-2025")</f>
        <v/>
      </c>
      <c r="X118">
        <f>HYPERLINK("https://klasma.github.io/Logging_0380/tillsyn/A 28056-2025 tillsynsbegäran.docx", "A 28056-2025")</f>
        <v/>
      </c>
      <c r="Y118">
        <f>HYPERLINK("https://klasma.github.io/Logging_0380/tillsynsmail/A 28056-2025 tillsynsbegäran mail.docx", "A 28056-2025")</f>
        <v/>
      </c>
    </row>
    <row r="119" ht="15" customHeight="1">
      <c r="A119" t="inlineStr">
        <is>
          <t>A 13526-2025</t>
        </is>
      </c>
      <c r="B119" s="1" t="n">
        <v>45736.49902777778</v>
      </c>
      <c r="C119" s="1" t="n">
        <v>45999</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51475-2025</t>
        </is>
      </c>
      <c r="B120" s="1" t="n">
        <v>45950</v>
      </c>
      <c r="C120" s="1" t="n">
        <v>45999</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29664-2025</t>
        </is>
      </c>
      <c r="B121" s="1" t="n">
        <v>45825.49060185185</v>
      </c>
      <c r="C121" s="1" t="n">
        <v>45999</v>
      </c>
      <c r="D121" t="inlineStr">
        <is>
          <t>UPPSALA LÄN</t>
        </is>
      </c>
      <c r="E121" t="inlineStr">
        <is>
          <t>UPPSALA</t>
        </is>
      </c>
      <c r="F121" t="inlineStr">
        <is>
          <t>Holmen skog AB</t>
        </is>
      </c>
      <c r="G121" t="n">
        <v>16.8</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29664-2025 artfynd.xlsx", "A 29664-2025")</f>
        <v/>
      </c>
      <c r="T121">
        <f>HYPERLINK("https://klasma.github.io/Logging_0380/kartor/A 29664-2025 karta.png", "A 29664-2025")</f>
        <v/>
      </c>
      <c r="V121">
        <f>HYPERLINK("https://klasma.github.io/Logging_0380/klagomål/A 29664-2025 FSC-klagomål.docx", "A 29664-2025")</f>
        <v/>
      </c>
      <c r="W121">
        <f>HYPERLINK("https://klasma.github.io/Logging_0380/klagomålsmail/A 29664-2025 FSC-klagomål mail.docx", "A 29664-2025")</f>
        <v/>
      </c>
      <c r="X121">
        <f>HYPERLINK("https://klasma.github.io/Logging_0380/tillsyn/A 29664-2025 tillsynsbegäran.docx", "A 29664-2025")</f>
        <v/>
      </c>
      <c r="Y121">
        <f>HYPERLINK("https://klasma.github.io/Logging_0380/tillsynsmail/A 29664-2025 tillsynsbegäran mail.docx", "A 29664-2025")</f>
        <v/>
      </c>
    </row>
    <row r="122" ht="15" customHeight="1">
      <c r="A122" t="inlineStr">
        <is>
          <t>A 57793-2022</t>
        </is>
      </c>
      <c r="B122" s="1" t="n">
        <v>44897</v>
      </c>
      <c r="C122" s="1" t="n">
        <v>45999</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35260-2025</t>
        </is>
      </c>
      <c r="B123" s="1" t="n">
        <v>45853.76976851852</v>
      </c>
      <c r="C123" s="1" t="n">
        <v>45999</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13363-2022</t>
        </is>
      </c>
      <c r="B124" s="1" t="n">
        <v>44645</v>
      </c>
      <c r="C124" s="1" t="n">
        <v>45999</v>
      </c>
      <c r="D124" t="inlineStr">
        <is>
          <t>UPPSALA LÄN</t>
        </is>
      </c>
      <c r="E124" t="inlineStr">
        <is>
          <t>UPPSALA</t>
        </is>
      </c>
      <c r="F124" t="inlineStr">
        <is>
          <t>Övriga Aktiebolag</t>
        </is>
      </c>
      <c r="G124" t="n">
        <v>9.4</v>
      </c>
      <c r="H124" t="n">
        <v>1</v>
      </c>
      <c r="I124" t="n">
        <v>0</v>
      </c>
      <c r="J124" t="n">
        <v>0</v>
      </c>
      <c r="K124" t="n">
        <v>0</v>
      </c>
      <c r="L124" t="n">
        <v>0</v>
      </c>
      <c r="M124" t="n">
        <v>0</v>
      </c>
      <c r="N124" t="n">
        <v>0</v>
      </c>
      <c r="O124" t="n">
        <v>0</v>
      </c>
      <c r="P124" t="n">
        <v>0</v>
      </c>
      <c r="Q124" t="n">
        <v>1</v>
      </c>
      <c r="R124" s="2" t="inlineStr">
        <is>
          <t>Huggorm</t>
        </is>
      </c>
      <c r="S124">
        <f>HYPERLINK("https://klasma.github.io/Logging_0380/artfynd/A 13363-2022 artfynd.xlsx", "A 13363-2022")</f>
        <v/>
      </c>
      <c r="T124">
        <f>HYPERLINK("https://klasma.github.io/Logging_0380/kartor/A 13363-2022 karta.png", "A 13363-2022")</f>
        <v/>
      </c>
      <c r="V124">
        <f>HYPERLINK("https://klasma.github.io/Logging_0380/klagomål/A 13363-2022 FSC-klagomål.docx", "A 13363-2022")</f>
        <v/>
      </c>
      <c r="W124">
        <f>HYPERLINK("https://klasma.github.io/Logging_0380/klagomålsmail/A 13363-2022 FSC-klagomål mail.docx", "A 13363-2022")</f>
        <v/>
      </c>
      <c r="X124">
        <f>HYPERLINK("https://klasma.github.io/Logging_0380/tillsyn/A 13363-2022 tillsynsbegäran.docx", "A 13363-2022")</f>
        <v/>
      </c>
      <c r="Y124">
        <f>HYPERLINK("https://klasma.github.io/Logging_0380/tillsynsmail/A 13363-2022 tillsynsbegäran mail.docx", "A 13363-2022")</f>
        <v/>
      </c>
    </row>
    <row r="125" ht="15" customHeight="1">
      <c r="A125" t="inlineStr">
        <is>
          <t>A 5009-2023</t>
        </is>
      </c>
      <c r="B125" s="1" t="n">
        <v>44958</v>
      </c>
      <c r="C125" s="1" t="n">
        <v>45999</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21657-2024</t>
        </is>
      </c>
      <c r="B126" s="1" t="n">
        <v>45442</v>
      </c>
      <c r="C126" s="1" t="n">
        <v>45999</v>
      </c>
      <c r="D126" t="inlineStr">
        <is>
          <t>UPPSALA LÄN</t>
        </is>
      </c>
      <c r="E126" t="inlineStr">
        <is>
          <t>UPPSALA</t>
        </is>
      </c>
      <c r="G126" t="n">
        <v>5.7</v>
      </c>
      <c r="H126" t="n">
        <v>1</v>
      </c>
      <c r="I126" t="n">
        <v>0</v>
      </c>
      <c r="J126" t="n">
        <v>0</v>
      </c>
      <c r="K126" t="n">
        <v>0</v>
      </c>
      <c r="L126" t="n">
        <v>0</v>
      </c>
      <c r="M126" t="n">
        <v>0</v>
      </c>
      <c r="N126" t="n">
        <v>0</v>
      </c>
      <c r="O126" t="n">
        <v>0</v>
      </c>
      <c r="P126" t="n">
        <v>0</v>
      </c>
      <c r="Q126" t="n">
        <v>1</v>
      </c>
      <c r="R126" s="2" t="inlineStr">
        <is>
          <t>Kungsfågel</t>
        </is>
      </c>
      <c r="S126">
        <f>HYPERLINK("https://klasma.github.io/Logging_0380/artfynd/A 21657-2024 artfynd.xlsx", "A 21657-2024")</f>
        <v/>
      </c>
      <c r="T126">
        <f>HYPERLINK("https://klasma.github.io/Logging_0380/kartor/A 21657-2024 karta.png", "A 21657-2024")</f>
        <v/>
      </c>
      <c r="V126">
        <f>HYPERLINK("https://klasma.github.io/Logging_0380/klagomål/A 21657-2024 FSC-klagomål.docx", "A 21657-2024")</f>
        <v/>
      </c>
      <c r="W126">
        <f>HYPERLINK("https://klasma.github.io/Logging_0380/klagomålsmail/A 21657-2024 FSC-klagomål mail.docx", "A 21657-2024")</f>
        <v/>
      </c>
      <c r="X126">
        <f>HYPERLINK("https://klasma.github.io/Logging_0380/tillsyn/A 21657-2024 tillsynsbegäran.docx", "A 21657-2024")</f>
        <v/>
      </c>
      <c r="Y126">
        <f>HYPERLINK("https://klasma.github.io/Logging_0380/tillsynsmail/A 21657-2024 tillsynsbegäran mail.docx", "A 21657-2024")</f>
        <v/>
      </c>
      <c r="Z126">
        <f>HYPERLINK("https://klasma.github.io/Logging_0380/fåglar/A 21657-2024 prioriterade fågelarter.docx", "A 21657-2024")</f>
        <v/>
      </c>
    </row>
    <row r="127" ht="15" customHeight="1">
      <c r="A127" t="inlineStr">
        <is>
          <t>A 3260-2022</t>
        </is>
      </c>
      <c r="B127" s="1" t="n">
        <v>44583.61803240741</v>
      </c>
      <c r="C127" s="1" t="n">
        <v>45999</v>
      </c>
      <c r="D127" t="inlineStr">
        <is>
          <t>UPPSALA LÄN</t>
        </is>
      </c>
      <c r="E127" t="inlineStr">
        <is>
          <t>UPPSALA</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45999</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45999</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65811-2021</t>
        </is>
      </c>
      <c r="B130" s="1" t="n">
        <v>44517</v>
      </c>
      <c r="C130" s="1" t="n">
        <v>45999</v>
      </c>
      <c r="D130" t="inlineStr">
        <is>
          <t>UPPSALA LÄN</t>
        </is>
      </c>
      <c r="E130" t="inlineStr">
        <is>
          <t>UPPSALA</t>
        </is>
      </c>
      <c r="G130" t="n">
        <v>0.3</v>
      </c>
      <c r="H130" t="n">
        <v>0</v>
      </c>
      <c r="I130" t="n">
        <v>0</v>
      </c>
      <c r="J130" t="n">
        <v>0</v>
      </c>
      <c r="K130" t="n">
        <v>0</v>
      </c>
      <c r="L130" t="n">
        <v>0</v>
      </c>
      <c r="M130" t="n">
        <v>0</v>
      </c>
      <c r="N130" t="n">
        <v>0</v>
      </c>
      <c r="O130" t="n">
        <v>0</v>
      </c>
      <c r="P130" t="n">
        <v>0</v>
      </c>
      <c r="Q130" t="n">
        <v>0</v>
      </c>
      <c r="R130" s="2" t="inlineStr"/>
    </row>
    <row r="131" ht="15" customHeight="1">
      <c r="A131" t="inlineStr">
        <is>
          <t>A 612-2022</t>
        </is>
      </c>
      <c r="B131" s="1" t="n">
        <v>44567.81241898148</v>
      </c>
      <c r="C131" s="1" t="n">
        <v>45999</v>
      </c>
      <c r="D131" t="inlineStr">
        <is>
          <t>UPPSALA LÄN</t>
        </is>
      </c>
      <c r="E131" t="inlineStr">
        <is>
          <t>UPPSALA</t>
        </is>
      </c>
      <c r="F131" t="inlineStr">
        <is>
          <t>Holmen skog AB</t>
        </is>
      </c>
      <c r="G131" t="n">
        <v>6.6</v>
      </c>
      <c r="H131" t="n">
        <v>0</v>
      </c>
      <c r="I131" t="n">
        <v>0</v>
      </c>
      <c r="J131" t="n">
        <v>0</v>
      </c>
      <c r="K131" t="n">
        <v>0</v>
      </c>
      <c r="L131" t="n">
        <v>0</v>
      </c>
      <c r="M131" t="n">
        <v>0</v>
      </c>
      <c r="N131" t="n">
        <v>0</v>
      </c>
      <c r="O131" t="n">
        <v>0</v>
      </c>
      <c r="P131" t="n">
        <v>0</v>
      </c>
      <c r="Q131" t="n">
        <v>0</v>
      </c>
      <c r="R131" s="2" t="inlineStr"/>
    </row>
    <row r="132" ht="15" customHeight="1">
      <c r="A132" t="inlineStr">
        <is>
          <t>A 38469-2021</t>
        </is>
      </c>
      <c r="B132" s="1" t="n">
        <v>44407</v>
      </c>
      <c r="C132" s="1" t="n">
        <v>45999</v>
      </c>
      <c r="D132" t="inlineStr">
        <is>
          <t>UPPSALA LÄN</t>
        </is>
      </c>
      <c r="E132" t="inlineStr">
        <is>
          <t>UPPSALA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72225-2021</t>
        </is>
      </c>
      <c r="B133" s="1" t="n">
        <v>44544</v>
      </c>
      <c r="C133" s="1" t="n">
        <v>45999</v>
      </c>
      <c r="D133" t="inlineStr">
        <is>
          <t>UPPSALA LÄN</t>
        </is>
      </c>
      <c r="E133" t="inlineStr">
        <is>
          <t>UPPSALA</t>
        </is>
      </c>
      <c r="G133" t="n">
        <v>6.2</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45999</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58897-2021</t>
        </is>
      </c>
      <c r="B135" s="1" t="n">
        <v>44489</v>
      </c>
      <c r="C135" s="1" t="n">
        <v>45999</v>
      </c>
      <c r="D135" t="inlineStr">
        <is>
          <t>UPPSALA LÄN</t>
        </is>
      </c>
      <c r="E135" t="inlineStr">
        <is>
          <t>UPPSALA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8139-2022</t>
        </is>
      </c>
      <c r="B136" s="1" t="n">
        <v>44609.61430555556</v>
      </c>
      <c r="C136" s="1" t="n">
        <v>45999</v>
      </c>
      <c r="D136" t="inlineStr">
        <is>
          <t>UPPSALA LÄN</t>
        </is>
      </c>
      <c r="E136" t="inlineStr">
        <is>
          <t>UPPSALA</t>
        </is>
      </c>
      <c r="G136" t="n">
        <v>0.6</v>
      </c>
      <c r="H136" t="n">
        <v>0</v>
      </c>
      <c r="I136" t="n">
        <v>0</v>
      </c>
      <c r="J136" t="n">
        <v>0</v>
      </c>
      <c r="K136" t="n">
        <v>0</v>
      </c>
      <c r="L136" t="n">
        <v>0</v>
      </c>
      <c r="M136" t="n">
        <v>0</v>
      </c>
      <c r="N136" t="n">
        <v>0</v>
      </c>
      <c r="O136" t="n">
        <v>0</v>
      </c>
      <c r="P136" t="n">
        <v>0</v>
      </c>
      <c r="Q136" t="n">
        <v>0</v>
      </c>
      <c r="R136" s="2" t="inlineStr"/>
    </row>
    <row r="137" ht="15" customHeight="1">
      <c r="A137" t="inlineStr">
        <is>
          <t>A 22070-2021</t>
        </is>
      </c>
      <c r="B137" s="1" t="n">
        <v>44323.58961805556</v>
      </c>
      <c r="C137" s="1" t="n">
        <v>45999</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17536-2021</t>
        </is>
      </c>
      <c r="B138" s="1" t="n">
        <v>44299</v>
      </c>
      <c r="C138" s="1" t="n">
        <v>45999</v>
      </c>
      <c r="D138" t="inlineStr">
        <is>
          <t>UPPSALA LÄN</t>
        </is>
      </c>
      <c r="E138" t="inlineStr">
        <is>
          <t>UPPSALA</t>
        </is>
      </c>
      <c r="F138" t="inlineStr">
        <is>
          <t>Holmen skog AB</t>
        </is>
      </c>
      <c r="G138" t="n">
        <v>7.6</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45999</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59479-2021</t>
        </is>
      </c>
      <c r="B140" s="1" t="n">
        <v>44491.50769675926</v>
      </c>
      <c r="C140" s="1" t="n">
        <v>45999</v>
      </c>
      <c r="D140" t="inlineStr">
        <is>
          <t>UPPSALA LÄN</t>
        </is>
      </c>
      <c r="E140" t="inlineStr">
        <is>
          <t>UPPSALA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9712-2021</t>
        </is>
      </c>
      <c r="B141" s="1" t="n">
        <v>44252</v>
      </c>
      <c r="C141" s="1" t="n">
        <v>45999</v>
      </c>
      <c r="D141" t="inlineStr">
        <is>
          <t>UPPSALA LÄN</t>
        </is>
      </c>
      <c r="E141" t="inlineStr">
        <is>
          <t>UPPSALA</t>
        </is>
      </c>
      <c r="G141" t="n">
        <v>1.7</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45999</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45999</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45999</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15436-2022</t>
        </is>
      </c>
      <c r="B145" s="1" t="n">
        <v>44659.70381944445</v>
      </c>
      <c r="C145" s="1" t="n">
        <v>45999</v>
      </c>
      <c r="D145" t="inlineStr">
        <is>
          <t>UPPSALA LÄN</t>
        </is>
      </c>
      <c r="E145" t="inlineStr">
        <is>
          <t>UPPSALA</t>
        </is>
      </c>
      <c r="G145" t="n">
        <v>14.4</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45999</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45999</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45999</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20764-2022</t>
        </is>
      </c>
      <c r="B149" s="1" t="n">
        <v>44700</v>
      </c>
      <c r="C149" s="1" t="n">
        <v>45999</v>
      </c>
      <c r="D149" t="inlineStr">
        <is>
          <t>UPPSALA LÄN</t>
        </is>
      </c>
      <c r="E149" t="inlineStr">
        <is>
          <t>UPPSALA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44265-2022</t>
        </is>
      </c>
      <c r="B150" s="1" t="n">
        <v>44839</v>
      </c>
      <c r="C150" s="1" t="n">
        <v>45999</v>
      </c>
      <c r="D150" t="inlineStr">
        <is>
          <t>UPPSALA LÄN</t>
        </is>
      </c>
      <c r="E150" t="inlineStr">
        <is>
          <t>UPPSALA</t>
        </is>
      </c>
      <c r="G150" t="n">
        <v>2</v>
      </c>
      <c r="H150" t="n">
        <v>0</v>
      </c>
      <c r="I150" t="n">
        <v>0</v>
      </c>
      <c r="J150" t="n">
        <v>0</v>
      </c>
      <c r="K150" t="n">
        <v>0</v>
      </c>
      <c r="L150" t="n">
        <v>0</v>
      </c>
      <c r="M150" t="n">
        <v>0</v>
      </c>
      <c r="N150" t="n">
        <v>0</v>
      </c>
      <c r="O150" t="n">
        <v>0</v>
      </c>
      <c r="P150" t="n">
        <v>0</v>
      </c>
      <c r="Q150" t="n">
        <v>0</v>
      </c>
      <c r="R150" s="2" t="inlineStr"/>
    </row>
    <row r="151" ht="15" customHeight="1">
      <c r="A151" t="inlineStr">
        <is>
          <t>A 32954-2022</t>
        </is>
      </c>
      <c r="B151" s="1" t="n">
        <v>44784</v>
      </c>
      <c r="C151" s="1" t="n">
        <v>45999</v>
      </c>
      <c r="D151" t="inlineStr">
        <is>
          <t>UPPSALA LÄN</t>
        </is>
      </c>
      <c r="E151" t="inlineStr">
        <is>
          <t>UPPSALA</t>
        </is>
      </c>
      <c r="G151" t="n">
        <v>2.6</v>
      </c>
      <c r="H151" t="n">
        <v>0</v>
      </c>
      <c r="I151" t="n">
        <v>0</v>
      </c>
      <c r="J151" t="n">
        <v>0</v>
      </c>
      <c r="K151" t="n">
        <v>0</v>
      </c>
      <c r="L151" t="n">
        <v>0</v>
      </c>
      <c r="M151" t="n">
        <v>0</v>
      </c>
      <c r="N151" t="n">
        <v>0</v>
      </c>
      <c r="O151" t="n">
        <v>0</v>
      </c>
      <c r="P151" t="n">
        <v>0</v>
      </c>
      <c r="Q151" t="n">
        <v>0</v>
      </c>
      <c r="R151" s="2" t="inlineStr"/>
    </row>
    <row r="152" ht="15" customHeight="1">
      <c r="A152" t="inlineStr">
        <is>
          <t>A 31662-2021</t>
        </is>
      </c>
      <c r="B152" s="1" t="n">
        <v>44369.65428240741</v>
      </c>
      <c r="C152" s="1" t="n">
        <v>45999</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45999</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8451-2022</t>
        </is>
      </c>
      <c r="B154" s="1" t="n">
        <v>44612</v>
      </c>
      <c r="C154" s="1" t="n">
        <v>45999</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23324-2022</t>
        </is>
      </c>
      <c r="B155" s="1" t="n">
        <v>44720</v>
      </c>
      <c r="C155" s="1" t="n">
        <v>45999</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45999</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71675-2021</t>
        </is>
      </c>
      <c r="B157" s="1" t="n">
        <v>44543</v>
      </c>
      <c r="C157" s="1" t="n">
        <v>45999</v>
      </c>
      <c r="D157" t="inlineStr">
        <is>
          <t>UPPSALA LÄN</t>
        </is>
      </c>
      <c r="E157" t="inlineStr">
        <is>
          <t>UPPSALA</t>
        </is>
      </c>
      <c r="F157" t="inlineStr">
        <is>
          <t>Bergvik skog öst AB</t>
        </is>
      </c>
      <c r="G157" t="n">
        <v>1.4</v>
      </c>
      <c r="H157" t="n">
        <v>0</v>
      </c>
      <c r="I157" t="n">
        <v>0</v>
      </c>
      <c r="J157" t="n">
        <v>0</v>
      </c>
      <c r="K157" t="n">
        <v>0</v>
      </c>
      <c r="L157" t="n">
        <v>0</v>
      </c>
      <c r="M157" t="n">
        <v>0</v>
      </c>
      <c r="N157" t="n">
        <v>0</v>
      </c>
      <c r="O157" t="n">
        <v>0</v>
      </c>
      <c r="P157" t="n">
        <v>0</v>
      </c>
      <c r="Q157" t="n">
        <v>0</v>
      </c>
      <c r="R157" s="2" t="inlineStr"/>
    </row>
    <row r="158" ht="15" customHeight="1">
      <c r="A158" t="inlineStr">
        <is>
          <t>A 70032-2021</t>
        </is>
      </c>
      <c r="B158" s="1" t="n">
        <v>44533.4678587963</v>
      </c>
      <c r="C158" s="1" t="n">
        <v>45999</v>
      </c>
      <c r="D158" t="inlineStr">
        <is>
          <t>UPPSALA LÄN</t>
        </is>
      </c>
      <c r="E158" t="inlineStr">
        <is>
          <t>UPPSALA</t>
        </is>
      </c>
      <c r="G158" t="n">
        <v>0.6</v>
      </c>
      <c r="H158" t="n">
        <v>0</v>
      </c>
      <c r="I158" t="n">
        <v>0</v>
      </c>
      <c r="J158" t="n">
        <v>0</v>
      </c>
      <c r="K158" t="n">
        <v>0</v>
      </c>
      <c r="L158" t="n">
        <v>0</v>
      </c>
      <c r="M158" t="n">
        <v>0</v>
      </c>
      <c r="N158" t="n">
        <v>0</v>
      </c>
      <c r="O158" t="n">
        <v>0</v>
      </c>
      <c r="P158" t="n">
        <v>0</v>
      </c>
      <c r="Q158" t="n">
        <v>0</v>
      </c>
      <c r="R158" s="2" t="inlineStr"/>
    </row>
    <row r="159" ht="15" customHeight="1">
      <c r="A159" t="inlineStr">
        <is>
          <t>A 30783-2022</t>
        </is>
      </c>
      <c r="B159" s="1" t="n">
        <v>44764</v>
      </c>
      <c r="C159" s="1" t="n">
        <v>45999</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48918-2021</t>
        </is>
      </c>
      <c r="B160" s="1" t="n">
        <v>44453</v>
      </c>
      <c r="C160" s="1" t="n">
        <v>45999</v>
      </c>
      <c r="D160" t="inlineStr">
        <is>
          <t>UPPSALA LÄN</t>
        </is>
      </c>
      <c r="E160" t="inlineStr">
        <is>
          <t>UPPSALA</t>
        </is>
      </c>
      <c r="G160" t="n">
        <v>0.9</v>
      </c>
      <c r="H160" t="n">
        <v>0</v>
      </c>
      <c r="I160" t="n">
        <v>0</v>
      </c>
      <c r="J160" t="n">
        <v>0</v>
      </c>
      <c r="K160" t="n">
        <v>0</v>
      </c>
      <c r="L160" t="n">
        <v>0</v>
      </c>
      <c r="M160" t="n">
        <v>0</v>
      </c>
      <c r="N160" t="n">
        <v>0</v>
      </c>
      <c r="O160" t="n">
        <v>0</v>
      </c>
      <c r="P160" t="n">
        <v>0</v>
      </c>
      <c r="Q160" t="n">
        <v>0</v>
      </c>
      <c r="R160" s="2" t="inlineStr"/>
    </row>
    <row r="161" ht="15" customHeight="1">
      <c r="A161" t="inlineStr">
        <is>
          <t>A 17250-2021</t>
        </is>
      </c>
      <c r="B161" s="1" t="n">
        <v>44297</v>
      </c>
      <c r="C161" s="1" t="n">
        <v>45999</v>
      </c>
      <c r="D161" t="inlineStr">
        <is>
          <t>UPPSALA LÄN</t>
        </is>
      </c>
      <c r="E161" t="inlineStr">
        <is>
          <t>UPPSALA</t>
        </is>
      </c>
      <c r="G161" t="n">
        <v>3.6</v>
      </c>
      <c r="H161" t="n">
        <v>0</v>
      </c>
      <c r="I161" t="n">
        <v>0</v>
      </c>
      <c r="J161" t="n">
        <v>0</v>
      </c>
      <c r="K161" t="n">
        <v>0</v>
      </c>
      <c r="L161" t="n">
        <v>0</v>
      </c>
      <c r="M161" t="n">
        <v>0</v>
      </c>
      <c r="N161" t="n">
        <v>0</v>
      </c>
      <c r="O161" t="n">
        <v>0</v>
      </c>
      <c r="P161" t="n">
        <v>0</v>
      </c>
      <c r="Q161" t="n">
        <v>0</v>
      </c>
      <c r="R161" s="2" t="inlineStr"/>
    </row>
    <row r="162" ht="15" customHeight="1">
      <c r="A162" t="inlineStr">
        <is>
          <t>A 51821-2021</t>
        </is>
      </c>
      <c r="B162" s="1" t="n">
        <v>44461</v>
      </c>
      <c r="C162" s="1" t="n">
        <v>45999</v>
      </c>
      <c r="D162" t="inlineStr">
        <is>
          <t>UPPSALA LÄN</t>
        </is>
      </c>
      <c r="E162" t="inlineStr">
        <is>
          <t>UPPSALA</t>
        </is>
      </c>
      <c r="F162" t="inlineStr">
        <is>
          <t>Övriga Aktiebolag</t>
        </is>
      </c>
      <c r="G162" t="n">
        <v>5.3</v>
      </c>
      <c r="H162" t="n">
        <v>0</v>
      </c>
      <c r="I162" t="n">
        <v>0</v>
      </c>
      <c r="J162" t="n">
        <v>0</v>
      </c>
      <c r="K162" t="n">
        <v>0</v>
      </c>
      <c r="L162" t="n">
        <v>0</v>
      </c>
      <c r="M162" t="n">
        <v>0</v>
      </c>
      <c r="N162" t="n">
        <v>0</v>
      </c>
      <c r="O162" t="n">
        <v>0</v>
      </c>
      <c r="P162" t="n">
        <v>0</v>
      </c>
      <c r="Q162" t="n">
        <v>0</v>
      </c>
      <c r="R162" s="2" t="inlineStr"/>
    </row>
    <row r="163" ht="15" customHeight="1">
      <c r="A163" t="inlineStr">
        <is>
          <t>A 34838-2021</t>
        </is>
      </c>
      <c r="B163" s="1" t="n">
        <v>44383</v>
      </c>
      <c r="C163" s="1" t="n">
        <v>45999</v>
      </c>
      <c r="D163" t="inlineStr">
        <is>
          <t>UPPSALA LÄN</t>
        </is>
      </c>
      <c r="E163" t="inlineStr">
        <is>
          <t>UPPSALA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27365-2021</t>
        </is>
      </c>
      <c r="B164" s="1" t="n">
        <v>44351</v>
      </c>
      <c r="C164" s="1" t="n">
        <v>45999</v>
      </c>
      <c r="D164" t="inlineStr">
        <is>
          <t>UPPSALA LÄN</t>
        </is>
      </c>
      <c r="E164" t="inlineStr">
        <is>
          <t>UPPSALA</t>
        </is>
      </c>
      <c r="F164" t="inlineStr">
        <is>
          <t>Allmännings- och besparingsskogar</t>
        </is>
      </c>
      <c r="G164" t="n">
        <v>20.5</v>
      </c>
      <c r="H164" t="n">
        <v>0</v>
      </c>
      <c r="I164" t="n">
        <v>0</v>
      </c>
      <c r="J164" t="n">
        <v>0</v>
      </c>
      <c r="K164" t="n">
        <v>0</v>
      </c>
      <c r="L164" t="n">
        <v>0</v>
      </c>
      <c r="M164" t="n">
        <v>0</v>
      </c>
      <c r="N164" t="n">
        <v>0</v>
      </c>
      <c r="O164" t="n">
        <v>0</v>
      </c>
      <c r="P164" t="n">
        <v>0</v>
      </c>
      <c r="Q164" t="n">
        <v>0</v>
      </c>
      <c r="R164" s="2" t="inlineStr"/>
    </row>
    <row r="165" ht="15" customHeight="1">
      <c r="A165" t="inlineStr">
        <is>
          <t>A 26785-2021</t>
        </is>
      </c>
      <c r="B165" s="1" t="n">
        <v>44349.49666666667</v>
      </c>
      <c r="C165" s="1" t="n">
        <v>45999</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33920-2021</t>
        </is>
      </c>
      <c r="B166" s="1" t="n">
        <v>44378.69857638889</v>
      </c>
      <c r="C166" s="1" t="n">
        <v>45999</v>
      </c>
      <c r="D166" t="inlineStr">
        <is>
          <t>UPPSALA LÄN</t>
        </is>
      </c>
      <c r="E166" t="inlineStr">
        <is>
          <t>UPPSALA</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55040-2022</t>
        </is>
      </c>
      <c r="B167" s="1" t="n">
        <v>44886</v>
      </c>
      <c r="C167" s="1" t="n">
        <v>45999</v>
      </c>
      <c r="D167" t="inlineStr">
        <is>
          <t>UPPSALA LÄN</t>
        </is>
      </c>
      <c r="E167" t="inlineStr">
        <is>
          <t>UPPSALA</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62865-2021</t>
        </is>
      </c>
      <c r="B168" s="1" t="n">
        <v>44504.59193287037</v>
      </c>
      <c r="C168" s="1" t="n">
        <v>45999</v>
      </c>
      <c r="D168" t="inlineStr">
        <is>
          <t>UPPSALA LÄN</t>
        </is>
      </c>
      <c r="E168" t="inlineStr">
        <is>
          <t>UPPSALA</t>
        </is>
      </c>
      <c r="F168" t="inlineStr">
        <is>
          <t>Bergvik skog öst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13009-2022</t>
        </is>
      </c>
      <c r="B169" s="1" t="n">
        <v>44643.51446759259</v>
      </c>
      <c r="C169" s="1" t="n">
        <v>45999</v>
      </c>
      <c r="D169" t="inlineStr">
        <is>
          <t>UPPSALA LÄN</t>
        </is>
      </c>
      <c r="E169" t="inlineStr">
        <is>
          <t>UPPSALA</t>
        </is>
      </c>
      <c r="G169" t="n">
        <v>2.2</v>
      </c>
      <c r="H169" t="n">
        <v>0</v>
      </c>
      <c r="I169" t="n">
        <v>0</v>
      </c>
      <c r="J169" t="n">
        <v>0</v>
      </c>
      <c r="K169" t="n">
        <v>0</v>
      </c>
      <c r="L169" t="n">
        <v>0</v>
      </c>
      <c r="M169" t="n">
        <v>0</v>
      </c>
      <c r="N169" t="n">
        <v>0</v>
      </c>
      <c r="O169" t="n">
        <v>0</v>
      </c>
      <c r="P169" t="n">
        <v>0</v>
      </c>
      <c r="Q169" t="n">
        <v>0</v>
      </c>
      <c r="R169" s="2" t="inlineStr"/>
    </row>
    <row r="170" ht="15" customHeight="1">
      <c r="A170" t="inlineStr">
        <is>
          <t>A 29134-2022</t>
        </is>
      </c>
      <c r="B170" s="1" t="n">
        <v>44750.45800925926</v>
      </c>
      <c r="C170" s="1" t="n">
        <v>45999</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45999</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45999</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45999</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45849-2022</t>
        </is>
      </c>
      <c r="B174" s="1" t="n">
        <v>44846</v>
      </c>
      <c r="C174" s="1" t="n">
        <v>45999</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45999</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8475-2022</t>
        </is>
      </c>
      <c r="B176" s="1" t="n">
        <v>44610</v>
      </c>
      <c r="C176" s="1" t="n">
        <v>45999</v>
      </c>
      <c r="D176" t="inlineStr">
        <is>
          <t>UPPSALA LÄN</t>
        </is>
      </c>
      <c r="E176" t="inlineStr">
        <is>
          <t>UPPSALA</t>
        </is>
      </c>
      <c r="F176" t="inlineStr">
        <is>
          <t>Allmännings- och besparingsskogar</t>
        </is>
      </c>
      <c r="G176" t="n">
        <v>32.7</v>
      </c>
      <c r="H176" t="n">
        <v>0</v>
      </c>
      <c r="I176" t="n">
        <v>0</v>
      </c>
      <c r="J176" t="n">
        <v>0</v>
      </c>
      <c r="K176" t="n">
        <v>0</v>
      </c>
      <c r="L176" t="n">
        <v>0</v>
      </c>
      <c r="M176" t="n">
        <v>0</v>
      </c>
      <c r="N176" t="n">
        <v>0</v>
      </c>
      <c r="O176" t="n">
        <v>0</v>
      </c>
      <c r="P176" t="n">
        <v>0</v>
      </c>
      <c r="Q176" t="n">
        <v>0</v>
      </c>
      <c r="R176" s="2" t="inlineStr"/>
    </row>
    <row r="177" ht="15" customHeight="1">
      <c r="A177" t="inlineStr">
        <is>
          <t>A 5924-2022</t>
        </is>
      </c>
      <c r="B177" s="1" t="n">
        <v>44598</v>
      </c>
      <c r="C177" s="1" t="n">
        <v>45999</v>
      </c>
      <c r="D177" t="inlineStr">
        <is>
          <t>UPPSALA LÄN</t>
        </is>
      </c>
      <c r="E177" t="inlineStr">
        <is>
          <t>UPPSALA</t>
        </is>
      </c>
      <c r="G177" t="n">
        <v>6.8</v>
      </c>
      <c r="H177" t="n">
        <v>0</v>
      </c>
      <c r="I177" t="n">
        <v>0</v>
      </c>
      <c r="J177" t="n">
        <v>0</v>
      </c>
      <c r="K177" t="n">
        <v>0</v>
      </c>
      <c r="L177" t="n">
        <v>0</v>
      </c>
      <c r="M177" t="n">
        <v>0</v>
      </c>
      <c r="N177" t="n">
        <v>0</v>
      </c>
      <c r="O177" t="n">
        <v>0</v>
      </c>
      <c r="P177" t="n">
        <v>0</v>
      </c>
      <c r="Q177" t="n">
        <v>0</v>
      </c>
      <c r="R177" s="2" t="inlineStr"/>
    </row>
    <row r="178" ht="15" customHeight="1">
      <c r="A178" t="inlineStr">
        <is>
          <t>A 46916-2021</t>
        </is>
      </c>
      <c r="B178" s="1" t="n">
        <v>44446.47693287037</v>
      </c>
      <c r="C178" s="1" t="n">
        <v>45999</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23877-2021</t>
        </is>
      </c>
      <c r="B179" s="1" t="n">
        <v>44335.52201388889</v>
      </c>
      <c r="C179" s="1" t="n">
        <v>45999</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64858-2021</t>
        </is>
      </c>
      <c r="B180" s="1" t="n">
        <v>44512</v>
      </c>
      <c r="C180" s="1" t="n">
        <v>45999</v>
      </c>
      <c r="D180" t="inlineStr">
        <is>
          <t>UPPSALA LÄN</t>
        </is>
      </c>
      <c r="E180" t="inlineStr">
        <is>
          <t>UPPSALA</t>
        </is>
      </c>
      <c r="G180" t="n">
        <v>1.2</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45999</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35539-2022</t>
        </is>
      </c>
      <c r="B182" s="1" t="n">
        <v>44799.36359953704</v>
      </c>
      <c r="C182" s="1" t="n">
        <v>45999</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2017-2022</t>
        </is>
      </c>
      <c r="B183" s="1" t="n">
        <v>44575</v>
      </c>
      <c r="C183" s="1" t="n">
        <v>45999</v>
      </c>
      <c r="D183" t="inlineStr">
        <is>
          <t>UPPSALA LÄN</t>
        </is>
      </c>
      <c r="E183" t="inlineStr">
        <is>
          <t>UPPSALA</t>
        </is>
      </c>
      <c r="G183" t="n">
        <v>1.1</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45999</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20276-2021</t>
        </is>
      </c>
      <c r="B185" s="1" t="n">
        <v>44314</v>
      </c>
      <c r="C185" s="1" t="n">
        <v>45999</v>
      </c>
      <c r="D185" t="inlineStr">
        <is>
          <t>UPPSALA LÄN</t>
        </is>
      </c>
      <c r="E185" t="inlineStr">
        <is>
          <t>UPPSALA</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1936-2022</t>
        </is>
      </c>
      <c r="B186" s="1" t="n">
        <v>44575.4366087963</v>
      </c>
      <c r="C186" s="1" t="n">
        <v>45999</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45999</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59500-2021</t>
        </is>
      </c>
      <c r="B188" s="1" t="n">
        <v>44491.54116898148</v>
      </c>
      <c r="C188" s="1" t="n">
        <v>45999</v>
      </c>
      <c r="D188" t="inlineStr">
        <is>
          <t>UPPSALA LÄN</t>
        </is>
      </c>
      <c r="E188" t="inlineStr">
        <is>
          <t>UPPSALA</t>
        </is>
      </c>
      <c r="F188" t="inlineStr">
        <is>
          <t>Bergvik skog öst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45999</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16978-2022</t>
        </is>
      </c>
      <c r="B190" s="1" t="n">
        <v>44676</v>
      </c>
      <c r="C190" s="1" t="n">
        <v>45999</v>
      </c>
      <c r="D190" t="inlineStr">
        <is>
          <t>UPPSALA LÄN</t>
        </is>
      </c>
      <c r="E190" t="inlineStr">
        <is>
          <t>UPPSALA</t>
        </is>
      </c>
      <c r="G190" t="n">
        <v>0.8</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45999</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50006-2022</t>
        </is>
      </c>
      <c r="B192" s="1" t="n">
        <v>44865.43494212963</v>
      </c>
      <c r="C192" s="1" t="n">
        <v>45999</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45999</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46097-2021</t>
        </is>
      </c>
      <c r="B194" s="1" t="n">
        <v>44442.35195601852</v>
      </c>
      <c r="C194" s="1" t="n">
        <v>45999</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46099-2021</t>
        </is>
      </c>
      <c r="B195" s="1" t="n">
        <v>44442</v>
      </c>
      <c r="C195" s="1" t="n">
        <v>45999</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55823-2021</t>
        </is>
      </c>
      <c r="B196" s="1" t="n">
        <v>44476.61263888889</v>
      </c>
      <c r="C196" s="1" t="n">
        <v>45999</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46079-2022</t>
        </is>
      </c>
      <c r="B197" s="1" t="n">
        <v>44847.35622685185</v>
      </c>
      <c r="C197" s="1" t="n">
        <v>45999</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21394-2022</t>
        </is>
      </c>
      <c r="B198" s="1" t="n">
        <v>44705.84535879629</v>
      </c>
      <c r="C198" s="1" t="n">
        <v>45999</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45999</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28694-2021</t>
        </is>
      </c>
      <c r="B200" s="1" t="n">
        <v>44357</v>
      </c>
      <c r="C200" s="1" t="n">
        <v>45999</v>
      </c>
      <c r="D200" t="inlineStr">
        <is>
          <t>UPPSALA LÄN</t>
        </is>
      </c>
      <c r="E200" t="inlineStr">
        <is>
          <t>UPPSALA</t>
        </is>
      </c>
      <c r="F200" t="inlineStr">
        <is>
          <t>Holmen skog AB</t>
        </is>
      </c>
      <c r="G200" t="n">
        <v>1</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45999</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20265-2022</t>
        </is>
      </c>
      <c r="B202" s="1" t="n">
        <v>44698.67151620371</v>
      </c>
      <c r="C202" s="1" t="n">
        <v>45999</v>
      </c>
      <c r="D202" t="inlineStr">
        <is>
          <t>UPPSALA LÄN</t>
        </is>
      </c>
      <c r="E202" t="inlineStr">
        <is>
          <t>UPPSALA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17262-2021</t>
        </is>
      </c>
      <c r="B203" s="1" t="n">
        <v>44297</v>
      </c>
      <c r="C203" s="1" t="n">
        <v>45999</v>
      </c>
      <c r="D203" t="inlineStr">
        <is>
          <t>UPPSALA LÄN</t>
        </is>
      </c>
      <c r="E203" t="inlineStr">
        <is>
          <t>UPPSALA</t>
        </is>
      </c>
      <c r="F203" t="inlineStr">
        <is>
          <t>Allmännings- och besparingsskogar</t>
        </is>
      </c>
      <c r="G203" t="n">
        <v>1</v>
      </c>
      <c r="H203" t="n">
        <v>0</v>
      </c>
      <c r="I203" t="n">
        <v>0</v>
      </c>
      <c r="J203" t="n">
        <v>0</v>
      </c>
      <c r="K203" t="n">
        <v>0</v>
      </c>
      <c r="L203" t="n">
        <v>0</v>
      </c>
      <c r="M203" t="n">
        <v>0</v>
      </c>
      <c r="N203" t="n">
        <v>0</v>
      </c>
      <c r="O203" t="n">
        <v>0</v>
      </c>
      <c r="P203" t="n">
        <v>0</v>
      </c>
      <c r="Q203" t="n">
        <v>0</v>
      </c>
      <c r="R203" s="2" t="inlineStr"/>
    </row>
    <row r="204" ht="15" customHeight="1">
      <c r="A204" t="inlineStr">
        <is>
          <t>A 14022-2021</t>
        </is>
      </c>
      <c r="B204" s="1" t="n">
        <v>44277.65263888889</v>
      </c>
      <c r="C204" s="1" t="n">
        <v>45999</v>
      </c>
      <c r="D204" t="inlineStr">
        <is>
          <t>UPPSALA LÄN</t>
        </is>
      </c>
      <c r="E204" t="inlineStr">
        <is>
          <t>UPPSALA</t>
        </is>
      </c>
      <c r="G204" t="n">
        <v>11.1</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45999</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45999</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51050-2021</t>
        </is>
      </c>
      <c r="B207" s="1" t="n">
        <v>44459</v>
      </c>
      <c r="C207" s="1" t="n">
        <v>45999</v>
      </c>
      <c r="D207" t="inlineStr">
        <is>
          <t>UPPSALA LÄN</t>
        </is>
      </c>
      <c r="E207" t="inlineStr">
        <is>
          <t>UPPSALA</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27390-2022</t>
        </is>
      </c>
      <c r="B208" s="1" t="n">
        <v>44742</v>
      </c>
      <c r="C208" s="1" t="n">
        <v>45999</v>
      </c>
      <c r="D208" t="inlineStr">
        <is>
          <t>UPPSALA LÄN</t>
        </is>
      </c>
      <c r="E208" t="inlineStr">
        <is>
          <t>UPPSALA</t>
        </is>
      </c>
      <c r="G208" t="n">
        <v>3.3</v>
      </c>
      <c r="H208" t="n">
        <v>0</v>
      </c>
      <c r="I208" t="n">
        <v>0</v>
      </c>
      <c r="J208" t="n">
        <v>0</v>
      </c>
      <c r="K208" t="n">
        <v>0</v>
      </c>
      <c r="L208" t="n">
        <v>0</v>
      </c>
      <c r="M208" t="n">
        <v>0</v>
      </c>
      <c r="N208" t="n">
        <v>0</v>
      </c>
      <c r="O208" t="n">
        <v>0</v>
      </c>
      <c r="P208" t="n">
        <v>0</v>
      </c>
      <c r="Q208" t="n">
        <v>0</v>
      </c>
      <c r="R208" s="2" t="inlineStr"/>
    </row>
    <row r="209" ht="15" customHeight="1">
      <c r="A209" t="inlineStr">
        <is>
          <t>A 5996-2022</t>
        </is>
      </c>
      <c r="B209" s="1" t="n">
        <v>44599.43265046296</v>
      </c>
      <c r="C209" s="1" t="n">
        <v>45999</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21387-2022</t>
        </is>
      </c>
      <c r="B210" s="1" t="n">
        <v>44705.78475694444</v>
      </c>
      <c r="C210" s="1" t="n">
        <v>45999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21391-2022</t>
        </is>
      </c>
      <c r="B211" s="1" t="n">
        <v>44705.83326388889</v>
      </c>
      <c r="C211" s="1" t="n">
        <v>45999</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23713-2022</t>
        </is>
      </c>
      <c r="B212" s="1" t="n">
        <v>44722.30703703704</v>
      </c>
      <c r="C212" s="1" t="n">
        <v>45999</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50092-2022</t>
        </is>
      </c>
      <c r="B213" s="1" t="n">
        <v>44865</v>
      </c>
      <c r="C213" s="1" t="n">
        <v>45999</v>
      </c>
      <c r="D213" t="inlineStr">
        <is>
          <t>UPPSALA LÄN</t>
        </is>
      </c>
      <c r="E213" t="inlineStr">
        <is>
          <t>UPPSALA</t>
        </is>
      </c>
      <c r="G213" t="n">
        <v>1.1</v>
      </c>
      <c r="H213" t="n">
        <v>0</v>
      </c>
      <c r="I213" t="n">
        <v>0</v>
      </c>
      <c r="J213" t="n">
        <v>0</v>
      </c>
      <c r="K213" t="n">
        <v>0</v>
      </c>
      <c r="L213" t="n">
        <v>0</v>
      </c>
      <c r="M213" t="n">
        <v>0</v>
      </c>
      <c r="N213" t="n">
        <v>0</v>
      </c>
      <c r="O213" t="n">
        <v>0</v>
      </c>
      <c r="P213" t="n">
        <v>0</v>
      </c>
      <c r="Q213" t="n">
        <v>0</v>
      </c>
      <c r="R213" s="2" t="inlineStr"/>
    </row>
    <row r="214" ht="15" customHeight="1">
      <c r="A214" t="inlineStr">
        <is>
          <t>A 51396-2021</t>
        </is>
      </c>
      <c r="B214" s="1" t="n">
        <v>44461.73350694445</v>
      </c>
      <c r="C214" s="1" t="n">
        <v>45999</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45999</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11693-2022</t>
        </is>
      </c>
      <c r="B216" s="1" t="n">
        <v>44634</v>
      </c>
      <c r="C216" s="1" t="n">
        <v>45999</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19382-2022</t>
        </is>
      </c>
      <c r="B217" s="1" t="n">
        <v>44692.87630787037</v>
      </c>
      <c r="C217" s="1" t="n">
        <v>45999</v>
      </c>
      <c r="D217" t="inlineStr">
        <is>
          <t>UPPSALA LÄN</t>
        </is>
      </c>
      <c r="E217" t="inlineStr">
        <is>
          <t>UPPSALA</t>
        </is>
      </c>
      <c r="G217" t="n">
        <v>4.3</v>
      </c>
      <c r="H217" t="n">
        <v>0</v>
      </c>
      <c r="I217" t="n">
        <v>0</v>
      </c>
      <c r="J217" t="n">
        <v>0</v>
      </c>
      <c r="K217" t="n">
        <v>0</v>
      </c>
      <c r="L217" t="n">
        <v>0</v>
      </c>
      <c r="M217" t="n">
        <v>0</v>
      </c>
      <c r="N217" t="n">
        <v>0</v>
      </c>
      <c r="O217" t="n">
        <v>0</v>
      </c>
      <c r="P217" t="n">
        <v>0</v>
      </c>
      <c r="Q217" t="n">
        <v>0</v>
      </c>
      <c r="R217" s="2" t="inlineStr"/>
    </row>
    <row r="218" ht="15" customHeight="1">
      <c r="A218" t="inlineStr">
        <is>
          <t>A 55066-2022</t>
        </is>
      </c>
      <c r="B218" s="1" t="n">
        <v>44886.58890046296</v>
      </c>
      <c r="C218" s="1" t="n">
        <v>45999</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66927-2021</t>
        </is>
      </c>
      <c r="B219" s="1" t="n">
        <v>44522.55518518519</v>
      </c>
      <c r="C219" s="1" t="n">
        <v>45999</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10411-2022</t>
        </is>
      </c>
      <c r="B220" s="1" t="n">
        <v>44623.4572337963</v>
      </c>
      <c r="C220" s="1" t="n">
        <v>45999</v>
      </c>
      <c r="D220" t="inlineStr">
        <is>
          <t>UPPSALA LÄN</t>
        </is>
      </c>
      <c r="E220" t="inlineStr">
        <is>
          <t>UPPSALA</t>
        </is>
      </c>
      <c r="F220" t="inlineStr">
        <is>
          <t>Övriga Aktiebolag</t>
        </is>
      </c>
      <c r="G220" t="n">
        <v>4.2</v>
      </c>
      <c r="H220" t="n">
        <v>0</v>
      </c>
      <c r="I220" t="n">
        <v>0</v>
      </c>
      <c r="J220" t="n">
        <v>0</v>
      </c>
      <c r="K220" t="n">
        <v>0</v>
      </c>
      <c r="L220" t="n">
        <v>0</v>
      </c>
      <c r="M220" t="n">
        <v>0</v>
      </c>
      <c r="N220" t="n">
        <v>0</v>
      </c>
      <c r="O220" t="n">
        <v>0</v>
      </c>
      <c r="P220" t="n">
        <v>0</v>
      </c>
      <c r="Q220" t="n">
        <v>0</v>
      </c>
      <c r="R220" s="2" t="inlineStr"/>
    </row>
    <row r="221" ht="15" customHeight="1">
      <c r="A221" t="inlineStr">
        <is>
          <t>A 5081-2022</t>
        </is>
      </c>
      <c r="B221" s="1" t="n">
        <v>44593</v>
      </c>
      <c r="C221" s="1" t="n">
        <v>45999</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45999</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12152-2021</t>
        </is>
      </c>
      <c r="B223" s="1" t="n">
        <v>44266.57917824074</v>
      </c>
      <c r="C223" s="1" t="n">
        <v>45999</v>
      </c>
      <c r="D223" t="inlineStr">
        <is>
          <t>UPPSALA LÄN</t>
        </is>
      </c>
      <c r="E223" t="inlineStr">
        <is>
          <t>UPPSALA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45999</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16615-2021</t>
        </is>
      </c>
      <c r="B225" s="1" t="n">
        <v>44294.37555555555</v>
      </c>
      <c r="C225" s="1" t="n">
        <v>45999</v>
      </c>
      <c r="D225" t="inlineStr">
        <is>
          <t>UPPSALA LÄN</t>
        </is>
      </c>
      <c r="E225" t="inlineStr">
        <is>
          <t>UPPSALA</t>
        </is>
      </c>
      <c r="F225" t="inlineStr">
        <is>
          <t>Övriga Aktiebolag</t>
        </is>
      </c>
      <c r="G225" t="n">
        <v>1.5</v>
      </c>
      <c r="H225" t="n">
        <v>0</v>
      </c>
      <c r="I225" t="n">
        <v>0</v>
      </c>
      <c r="J225" t="n">
        <v>0</v>
      </c>
      <c r="K225" t="n">
        <v>0</v>
      </c>
      <c r="L225" t="n">
        <v>0</v>
      </c>
      <c r="M225" t="n">
        <v>0</v>
      </c>
      <c r="N225" t="n">
        <v>0</v>
      </c>
      <c r="O225" t="n">
        <v>0</v>
      </c>
      <c r="P225" t="n">
        <v>0</v>
      </c>
      <c r="Q225" t="n">
        <v>0</v>
      </c>
      <c r="R225" s="2" t="inlineStr"/>
    </row>
    <row r="226" ht="15" customHeight="1">
      <c r="A226" t="inlineStr">
        <is>
          <t>A 56463-2021</t>
        </is>
      </c>
      <c r="B226" s="1" t="n">
        <v>44479</v>
      </c>
      <c r="C226" s="1" t="n">
        <v>45999</v>
      </c>
      <c r="D226" t="inlineStr">
        <is>
          <t>UPPSALA LÄN</t>
        </is>
      </c>
      <c r="E226" t="inlineStr">
        <is>
          <t>UPPSALA</t>
        </is>
      </c>
      <c r="G226" t="n">
        <v>6.4</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45999</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58767-2021</t>
        </is>
      </c>
      <c r="B228" s="1" t="n">
        <v>44489</v>
      </c>
      <c r="C228" s="1" t="n">
        <v>45999</v>
      </c>
      <c r="D228" t="inlineStr">
        <is>
          <t>UPPSALA LÄN</t>
        </is>
      </c>
      <c r="E228" t="inlineStr">
        <is>
          <t>UPPSALA</t>
        </is>
      </c>
      <c r="G228" t="n">
        <v>4.8</v>
      </c>
      <c r="H228" t="n">
        <v>0</v>
      </c>
      <c r="I228" t="n">
        <v>0</v>
      </c>
      <c r="J228" t="n">
        <v>0</v>
      </c>
      <c r="K228" t="n">
        <v>0</v>
      </c>
      <c r="L228" t="n">
        <v>0</v>
      </c>
      <c r="M228" t="n">
        <v>0</v>
      </c>
      <c r="N228" t="n">
        <v>0</v>
      </c>
      <c r="O228" t="n">
        <v>0</v>
      </c>
      <c r="P228" t="n">
        <v>0</v>
      </c>
      <c r="Q228" t="n">
        <v>0</v>
      </c>
      <c r="R228" s="2" t="inlineStr"/>
    </row>
    <row r="229" ht="15" customHeight="1">
      <c r="A229" t="inlineStr">
        <is>
          <t>A 71643-2021</t>
        </is>
      </c>
      <c r="B229" s="1" t="n">
        <v>44543.34697916666</v>
      </c>
      <c r="C229" s="1" t="n">
        <v>45999</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60032-2021</t>
        </is>
      </c>
      <c r="B230" s="1" t="n">
        <v>44495</v>
      </c>
      <c r="C230" s="1" t="n">
        <v>45999</v>
      </c>
      <c r="D230" t="inlineStr">
        <is>
          <t>UPPSALA LÄN</t>
        </is>
      </c>
      <c r="E230" t="inlineStr">
        <is>
          <t>UPPSALA</t>
        </is>
      </c>
      <c r="G230" t="n">
        <v>1.8</v>
      </c>
      <c r="H230" t="n">
        <v>0</v>
      </c>
      <c r="I230" t="n">
        <v>0</v>
      </c>
      <c r="J230" t="n">
        <v>0</v>
      </c>
      <c r="K230" t="n">
        <v>0</v>
      </c>
      <c r="L230" t="n">
        <v>0</v>
      </c>
      <c r="M230" t="n">
        <v>0</v>
      </c>
      <c r="N230" t="n">
        <v>0</v>
      </c>
      <c r="O230" t="n">
        <v>0</v>
      </c>
      <c r="P230" t="n">
        <v>0</v>
      </c>
      <c r="Q230" t="n">
        <v>0</v>
      </c>
      <c r="R230" s="2" t="inlineStr"/>
    </row>
    <row r="231" ht="15" customHeight="1">
      <c r="A231" t="inlineStr">
        <is>
          <t>A 15377-2022</t>
        </is>
      </c>
      <c r="B231" s="1" t="n">
        <v>44659.57912037037</v>
      </c>
      <c r="C231" s="1" t="n">
        <v>45999</v>
      </c>
      <c r="D231" t="inlineStr">
        <is>
          <t>UPPSALA LÄN</t>
        </is>
      </c>
      <c r="E231" t="inlineStr">
        <is>
          <t>UPPSALA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34061-2022</t>
        </is>
      </c>
      <c r="B232" s="1" t="n">
        <v>44791.38336805555</v>
      </c>
      <c r="C232" s="1" t="n">
        <v>45999</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10464-2022</t>
        </is>
      </c>
      <c r="B233" s="1" t="n">
        <v>44623</v>
      </c>
      <c r="C233" s="1" t="n">
        <v>45999</v>
      </c>
      <c r="D233" t="inlineStr">
        <is>
          <t>UPPSALA LÄN</t>
        </is>
      </c>
      <c r="E233" t="inlineStr">
        <is>
          <t>UPPSALA</t>
        </is>
      </c>
      <c r="F233" t="inlineStr">
        <is>
          <t>Övriga Aktiebolag</t>
        </is>
      </c>
      <c r="G233" t="n">
        <v>0.7</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45999</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45999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19139-2023</t>
        </is>
      </c>
      <c r="B236" s="1" t="n">
        <v>45048.55349537037</v>
      </c>
      <c r="C236" s="1" t="n">
        <v>45999</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19513-2023</t>
        </is>
      </c>
      <c r="B237" s="1" t="n">
        <v>45050.49392361111</v>
      </c>
      <c r="C237" s="1" t="n">
        <v>45999</v>
      </c>
      <c r="D237" t="inlineStr">
        <is>
          <t>UPPSALA LÄN</t>
        </is>
      </c>
      <c r="E237" t="inlineStr">
        <is>
          <t>UPPSALA</t>
        </is>
      </c>
      <c r="G237" t="n">
        <v>6.6</v>
      </c>
      <c r="H237" t="n">
        <v>0</v>
      </c>
      <c r="I237" t="n">
        <v>0</v>
      </c>
      <c r="J237" t="n">
        <v>0</v>
      </c>
      <c r="K237" t="n">
        <v>0</v>
      </c>
      <c r="L237" t="n">
        <v>0</v>
      </c>
      <c r="M237" t="n">
        <v>0</v>
      </c>
      <c r="N237" t="n">
        <v>0</v>
      </c>
      <c r="O237" t="n">
        <v>0</v>
      </c>
      <c r="P237" t="n">
        <v>0</v>
      </c>
      <c r="Q237" t="n">
        <v>0</v>
      </c>
      <c r="R237" s="2" t="inlineStr"/>
    </row>
    <row r="238" ht="15" customHeight="1">
      <c r="A238" t="inlineStr">
        <is>
          <t>A 46807-2022</t>
        </is>
      </c>
      <c r="B238" s="1" t="n">
        <v>44848</v>
      </c>
      <c r="C238" s="1" t="n">
        <v>45999</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60814-2023</t>
        </is>
      </c>
      <c r="B239" s="1" t="n">
        <v>45259</v>
      </c>
      <c r="C239" s="1" t="n">
        <v>45999</v>
      </c>
      <c r="D239" t="inlineStr">
        <is>
          <t>UPPSALA LÄN</t>
        </is>
      </c>
      <c r="E239" t="inlineStr">
        <is>
          <t>UPPSALA</t>
        </is>
      </c>
      <c r="G239" t="n">
        <v>5.9</v>
      </c>
      <c r="H239" t="n">
        <v>0</v>
      </c>
      <c r="I239" t="n">
        <v>0</v>
      </c>
      <c r="J239" t="n">
        <v>0</v>
      </c>
      <c r="K239" t="n">
        <v>0</v>
      </c>
      <c r="L239" t="n">
        <v>0</v>
      </c>
      <c r="M239" t="n">
        <v>0</v>
      </c>
      <c r="N239" t="n">
        <v>0</v>
      </c>
      <c r="O239" t="n">
        <v>0</v>
      </c>
      <c r="P239" t="n">
        <v>0</v>
      </c>
      <c r="Q239" t="n">
        <v>0</v>
      </c>
      <c r="R239" s="2" t="inlineStr"/>
    </row>
    <row r="240" ht="15" customHeight="1">
      <c r="A240" t="inlineStr">
        <is>
          <t>A 43855-2023</t>
        </is>
      </c>
      <c r="B240" s="1" t="n">
        <v>45187.61136574074</v>
      </c>
      <c r="C240" s="1" t="n">
        <v>45999</v>
      </c>
      <c r="D240" t="inlineStr">
        <is>
          <t>UPPSALA LÄN</t>
        </is>
      </c>
      <c r="E240" t="inlineStr">
        <is>
          <t>UPPSALA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51935-2023</t>
        </is>
      </c>
      <c r="B241" s="1" t="n">
        <v>45223</v>
      </c>
      <c r="C241" s="1" t="n">
        <v>45999</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45999</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40507-2021</t>
        </is>
      </c>
      <c r="B243" s="1" t="n">
        <v>44420</v>
      </c>
      <c r="C243" s="1" t="n">
        <v>45999</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11103-2025</t>
        </is>
      </c>
      <c r="B244" s="1" t="n">
        <v>45723</v>
      </c>
      <c r="C244" s="1" t="n">
        <v>45999</v>
      </c>
      <c r="D244" t="inlineStr">
        <is>
          <t>UPPSALA LÄN</t>
        </is>
      </c>
      <c r="E244" t="inlineStr">
        <is>
          <t>UPPSALA</t>
        </is>
      </c>
      <c r="G244" t="n">
        <v>7.9</v>
      </c>
      <c r="H244" t="n">
        <v>0</v>
      </c>
      <c r="I244" t="n">
        <v>0</v>
      </c>
      <c r="J244" t="n">
        <v>0</v>
      </c>
      <c r="K244" t="n">
        <v>0</v>
      </c>
      <c r="L244" t="n">
        <v>0</v>
      </c>
      <c r="M244" t="n">
        <v>0</v>
      </c>
      <c r="N244" t="n">
        <v>0</v>
      </c>
      <c r="O244" t="n">
        <v>0</v>
      </c>
      <c r="P244" t="n">
        <v>0</v>
      </c>
      <c r="Q244" t="n">
        <v>0</v>
      </c>
      <c r="R244" s="2" t="inlineStr"/>
    </row>
    <row r="245" ht="15" customHeight="1">
      <c r="A245" t="inlineStr">
        <is>
          <t>A 48571-2023</t>
        </is>
      </c>
      <c r="B245" s="1" t="n">
        <v>45208.46130787037</v>
      </c>
      <c r="C245" s="1" t="n">
        <v>45999</v>
      </c>
      <c r="D245" t="inlineStr">
        <is>
          <t>UPPSALA LÄN</t>
        </is>
      </c>
      <c r="E245" t="inlineStr">
        <is>
          <t>UPPSALA</t>
        </is>
      </c>
      <c r="G245" t="n">
        <v>1.8</v>
      </c>
      <c r="H245" t="n">
        <v>0</v>
      </c>
      <c r="I245" t="n">
        <v>0</v>
      </c>
      <c r="J245" t="n">
        <v>0</v>
      </c>
      <c r="K245" t="n">
        <v>0</v>
      </c>
      <c r="L245" t="n">
        <v>0</v>
      </c>
      <c r="M245" t="n">
        <v>0</v>
      </c>
      <c r="N245" t="n">
        <v>0</v>
      </c>
      <c r="O245" t="n">
        <v>0</v>
      </c>
      <c r="P245" t="n">
        <v>0</v>
      </c>
      <c r="Q245" t="n">
        <v>0</v>
      </c>
      <c r="R245" s="2" t="inlineStr"/>
    </row>
    <row r="246" ht="15" customHeight="1">
      <c r="A246" t="inlineStr">
        <is>
          <t>A 11744-2023</t>
        </is>
      </c>
      <c r="B246" s="1" t="n">
        <v>44993</v>
      </c>
      <c r="C246" s="1" t="n">
        <v>45999</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48588-2022</t>
        </is>
      </c>
      <c r="B247" s="1" t="n">
        <v>44859.36896990741</v>
      </c>
      <c r="C247" s="1" t="n">
        <v>45999</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9235-2025</t>
        </is>
      </c>
      <c r="B248" s="1" t="n">
        <v>45714.55368055555</v>
      </c>
      <c r="C248" s="1" t="n">
        <v>45999</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22996-2021</t>
        </is>
      </c>
      <c r="B249" s="1" t="n">
        <v>44328</v>
      </c>
      <c r="C249" s="1" t="n">
        <v>45999</v>
      </c>
      <c r="D249" t="inlineStr">
        <is>
          <t>UPPSALA LÄN</t>
        </is>
      </c>
      <c r="E249" t="inlineStr">
        <is>
          <t>UPPSALA</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44750.678125</v>
      </c>
      <c r="C250" s="1" t="n">
        <v>45999</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43032-2022</t>
        </is>
      </c>
      <c r="B251" s="1" t="n">
        <v>44832</v>
      </c>
      <c r="C251" s="1" t="n">
        <v>45999</v>
      </c>
      <c r="D251" t="inlineStr">
        <is>
          <t>UPPSALA LÄN</t>
        </is>
      </c>
      <c r="E251" t="inlineStr">
        <is>
          <t>UPPSALA</t>
        </is>
      </c>
      <c r="G251" t="n">
        <v>1.5</v>
      </c>
      <c r="H251" t="n">
        <v>0</v>
      </c>
      <c r="I251" t="n">
        <v>0</v>
      </c>
      <c r="J251" t="n">
        <v>0</v>
      </c>
      <c r="K251" t="n">
        <v>0</v>
      </c>
      <c r="L251" t="n">
        <v>0</v>
      </c>
      <c r="M251" t="n">
        <v>0</v>
      </c>
      <c r="N251" t="n">
        <v>0</v>
      </c>
      <c r="O251" t="n">
        <v>0</v>
      </c>
      <c r="P251" t="n">
        <v>0</v>
      </c>
      <c r="Q251" t="n">
        <v>0</v>
      </c>
      <c r="R251" s="2" t="inlineStr"/>
    </row>
    <row r="252" ht="15" customHeight="1">
      <c r="A252" t="inlineStr">
        <is>
          <t>A 18626-2025</t>
        </is>
      </c>
      <c r="B252" s="1" t="n">
        <v>45763.52995370371</v>
      </c>
      <c r="C252" s="1" t="n">
        <v>45999</v>
      </c>
      <c r="D252" t="inlineStr">
        <is>
          <t>UPPSALA LÄN</t>
        </is>
      </c>
      <c r="E252" t="inlineStr">
        <is>
          <t>UPPSALA</t>
        </is>
      </c>
      <c r="G252" t="n">
        <v>1.8</v>
      </c>
      <c r="H252" t="n">
        <v>0</v>
      </c>
      <c r="I252" t="n">
        <v>0</v>
      </c>
      <c r="J252" t="n">
        <v>0</v>
      </c>
      <c r="K252" t="n">
        <v>0</v>
      </c>
      <c r="L252" t="n">
        <v>0</v>
      </c>
      <c r="M252" t="n">
        <v>0</v>
      </c>
      <c r="N252" t="n">
        <v>0</v>
      </c>
      <c r="O252" t="n">
        <v>0</v>
      </c>
      <c r="P252" t="n">
        <v>0</v>
      </c>
      <c r="Q252" t="n">
        <v>0</v>
      </c>
      <c r="R252" s="2" t="inlineStr"/>
    </row>
    <row r="253" ht="15" customHeight="1">
      <c r="A253" t="inlineStr">
        <is>
          <t>A 54715-2022</t>
        </is>
      </c>
      <c r="B253" s="1" t="n">
        <v>44883</v>
      </c>
      <c r="C253" s="1" t="n">
        <v>45999</v>
      </c>
      <c r="D253" t="inlineStr">
        <is>
          <t>UPPSALA LÄN</t>
        </is>
      </c>
      <c r="E253" t="inlineStr">
        <is>
          <t>UPPSALA</t>
        </is>
      </c>
      <c r="F253" t="inlineStr">
        <is>
          <t>Övriga Aktiebolag</t>
        </is>
      </c>
      <c r="G253" t="n">
        <v>9.5</v>
      </c>
      <c r="H253" t="n">
        <v>0</v>
      </c>
      <c r="I253" t="n">
        <v>0</v>
      </c>
      <c r="J253" t="n">
        <v>0</v>
      </c>
      <c r="K253" t="n">
        <v>0</v>
      </c>
      <c r="L253" t="n">
        <v>0</v>
      </c>
      <c r="M253" t="n">
        <v>0</v>
      </c>
      <c r="N253" t="n">
        <v>0</v>
      </c>
      <c r="O253" t="n">
        <v>0</v>
      </c>
      <c r="P253" t="n">
        <v>0</v>
      </c>
      <c r="Q253" t="n">
        <v>0</v>
      </c>
      <c r="R253" s="2" t="inlineStr"/>
    </row>
    <row r="254" ht="15" customHeight="1">
      <c r="A254" t="inlineStr">
        <is>
          <t>A 50954-2022</t>
        </is>
      </c>
      <c r="B254" s="1" t="n">
        <v>44866</v>
      </c>
      <c r="C254" s="1" t="n">
        <v>45999</v>
      </c>
      <c r="D254" t="inlineStr">
        <is>
          <t>UPPSALA LÄN</t>
        </is>
      </c>
      <c r="E254" t="inlineStr">
        <is>
          <t>UPPSALA</t>
        </is>
      </c>
      <c r="G254" t="n">
        <v>0.6</v>
      </c>
      <c r="H254" t="n">
        <v>0</v>
      </c>
      <c r="I254" t="n">
        <v>0</v>
      </c>
      <c r="J254" t="n">
        <v>0</v>
      </c>
      <c r="K254" t="n">
        <v>0</v>
      </c>
      <c r="L254" t="n">
        <v>0</v>
      </c>
      <c r="M254" t="n">
        <v>0</v>
      </c>
      <c r="N254" t="n">
        <v>0</v>
      </c>
      <c r="O254" t="n">
        <v>0</v>
      </c>
      <c r="P254" t="n">
        <v>0</v>
      </c>
      <c r="Q254" t="n">
        <v>0</v>
      </c>
      <c r="R254" s="2" t="inlineStr"/>
    </row>
    <row r="255" ht="15" customHeight="1">
      <c r="A255" t="inlineStr">
        <is>
          <t>A 69432-2021</t>
        </is>
      </c>
      <c r="B255" s="1" t="n">
        <v>44531</v>
      </c>
      <c r="C255" s="1" t="n">
        <v>45999</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14400-2025</t>
        </is>
      </c>
      <c r="B256" s="1" t="n">
        <v>45741.45114583334</v>
      </c>
      <c r="C256" s="1" t="n">
        <v>45999</v>
      </c>
      <c r="D256" t="inlineStr">
        <is>
          <t>UPPSALA LÄN</t>
        </is>
      </c>
      <c r="E256" t="inlineStr">
        <is>
          <t>UPPSALA</t>
        </is>
      </c>
      <c r="G256" t="n">
        <v>6.6</v>
      </c>
      <c r="H256" t="n">
        <v>0</v>
      </c>
      <c r="I256" t="n">
        <v>0</v>
      </c>
      <c r="J256" t="n">
        <v>0</v>
      </c>
      <c r="K256" t="n">
        <v>0</v>
      </c>
      <c r="L256" t="n">
        <v>0</v>
      </c>
      <c r="M256" t="n">
        <v>0</v>
      </c>
      <c r="N256" t="n">
        <v>0</v>
      </c>
      <c r="O256" t="n">
        <v>0</v>
      </c>
      <c r="P256" t="n">
        <v>0</v>
      </c>
      <c r="Q256" t="n">
        <v>0</v>
      </c>
      <c r="R256" s="2" t="inlineStr"/>
    </row>
    <row r="257" ht="15" customHeight="1">
      <c r="A257" t="inlineStr">
        <is>
          <t>A 46069-2022</t>
        </is>
      </c>
      <c r="B257" s="1" t="n">
        <v>44847</v>
      </c>
      <c r="C257" s="1" t="n">
        <v>45999</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69691-2021</t>
        </is>
      </c>
      <c r="B258" s="1" t="n">
        <v>44532</v>
      </c>
      <c r="C258" s="1" t="n">
        <v>45999</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60444-2023</t>
        </is>
      </c>
      <c r="B259" s="1" t="n">
        <v>45259.52809027778</v>
      </c>
      <c r="C259" s="1" t="n">
        <v>45999</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46920-2021</t>
        </is>
      </c>
      <c r="B260" s="1" t="n">
        <v>44446</v>
      </c>
      <c r="C260" s="1" t="n">
        <v>45999</v>
      </c>
      <c r="D260" t="inlineStr">
        <is>
          <t>UPPSALA LÄN</t>
        </is>
      </c>
      <c r="E260" t="inlineStr">
        <is>
          <t>UPPSALA</t>
        </is>
      </c>
      <c r="G260" t="n">
        <v>1.6</v>
      </c>
      <c r="H260" t="n">
        <v>0</v>
      </c>
      <c r="I260" t="n">
        <v>0</v>
      </c>
      <c r="J260" t="n">
        <v>0</v>
      </c>
      <c r="K260" t="n">
        <v>0</v>
      </c>
      <c r="L260" t="n">
        <v>0</v>
      </c>
      <c r="M260" t="n">
        <v>0</v>
      </c>
      <c r="N260" t="n">
        <v>0</v>
      </c>
      <c r="O260" t="n">
        <v>0</v>
      </c>
      <c r="P260" t="n">
        <v>0</v>
      </c>
      <c r="Q260" t="n">
        <v>0</v>
      </c>
      <c r="R260" s="2" t="inlineStr"/>
    </row>
    <row r="261" ht="15" customHeight="1">
      <c r="A261" t="inlineStr">
        <is>
          <t>A 27068-2023</t>
        </is>
      </c>
      <c r="B261" s="1" t="n">
        <v>45096</v>
      </c>
      <c r="C261" s="1" t="n">
        <v>45999</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42622-2022</t>
        </is>
      </c>
      <c r="B262" s="1" t="n">
        <v>44831</v>
      </c>
      <c r="C262" s="1" t="n">
        <v>45999</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17658-2025</t>
        </is>
      </c>
      <c r="B263" s="1" t="n">
        <v>45758</v>
      </c>
      <c r="C263" s="1" t="n">
        <v>45999</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37588-2022</t>
        </is>
      </c>
      <c r="B264" s="1" t="n">
        <v>44809.92752314815</v>
      </c>
      <c r="C264" s="1" t="n">
        <v>45999</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37670-2022</t>
        </is>
      </c>
      <c r="B265" s="1" t="n">
        <v>44810</v>
      </c>
      <c r="C265" s="1" t="n">
        <v>45999</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45999</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37162-2021</t>
        </is>
      </c>
      <c r="B267" s="1" t="n">
        <v>44395</v>
      </c>
      <c r="C267" s="1" t="n">
        <v>45999</v>
      </c>
      <c r="D267" t="inlineStr">
        <is>
          <t>UPPSALA LÄN</t>
        </is>
      </c>
      <c r="E267" t="inlineStr">
        <is>
          <t>UPPSALA</t>
        </is>
      </c>
      <c r="G267" t="n">
        <v>3.5</v>
      </c>
      <c r="H267" t="n">
        <v>0</v>
      </c>
      <c r="I267" t="n">
        <v>0</v>
      </c>
      <c r="J267" t="n">
        <v>0</v>
      </c>
      <c r="K267" t="n">
        <v>0</v>
      </c>
      <c r="L267" t="n">
        <v>0</v>
      </c>
      <c r="M267" t="n">
        <v>0</v>
      </c>
      <c r="N267" t="n">
        <v>0</v>
      </c>
      <c r="O267" t="n">
        <v>0</v>
      </c>
      <c r="P267" t="n">
        <v>0</v>
      </c>
      <c r="Q267" t="n">
        <v>0</v>
      </c>
      <c r="R267" s="2" t="inlineStr"/>
    </row>
    <row r="268" ht="15" customHeight="1">
      <c r="A268" t="inlineStr">
        <is>
          <t>A 17587-2025</t>
        </is>
      </c>
      <c r="B268" s="1" t="n">
        <v>45757.67611111111</v>
      </c>
      <c r="C268" s="1" t="n">
        <v>45999</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24012-2023</t>
        </is>
      </c>
      <c r="B269" s="1" t="n">
        <v>45078</v>
      </c>
      <c r="C269" s="1" t="n">
        <v>45999</v>
      </c>
      <c r="D269" t="inlineStr">
        <is>
          <t>UPPSALA LÄN</t>
        </is>
      </c>
      <c r="E269" t="inlineStr">
        <is>
          <t>UPPSALA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33797-2021</t>
        </is>
      </c>
      <c r="B270" s="1" t="n">
        <v>44378.56137731481</v>
      </c>
      <c r="C270" s="1" t="n">
        <v>45999</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45999</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45999</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53900-2023</t>
        </is>
      </c>
      <c r="B273" s="1" t="n">
        <v>45231.54601851852</v>
      </c>
      <c r="C273" s="1" t="n">
        <v>45999</v>
      </c>
      <c r="D273" t="inlineStr">
        <is>
          <t>UPPSALA LÄN</t>
        </is>
      </c>
      <c r="E273" t="inlineStr">
        <is>
          <t>UPPSALA</t>
        </is>
      </c>
      <c r="G273" t="n">
        <v>2.1</v>
      </c>
      <c r="H273" t="n">
        <v>0</v>
      </c>
      <c r="I273" t="n">
        <v>0</v>
      </c>
      <c r="J273" t="n">
        <v>0</v>
      </c>
      <c r="K273" t="n">
        <v>0</v>
      </c>
      <c r="L273" t="n">
        <v>0</v>
      </c>
      <c r="M273" t="n">
        <v>0</v>
      </c>
      <c r="N273" t="n">
        <v>0</v>
      </c>
      <c r="O273" t="n">
        <v>0</v>
      </c>
      <c r="P273" t="n">
        <v>0</v>
      </c>
      <c r="Q273" t="n">
        <v>0</v>
      </c>
      <c r="R273" s="2" t="inlineStr"/>
    </row>
    <row r="274" ht="15" customHeight="1">
      <c r="A274" t="inlineStr">
        <is>
          <t>A 60781-2023</t>
        </is>
      </c>
      <c r="B274" s="1" t="n">
        <v>45259</v>
      </c>
      <c r="C274" s="1" t="n">
        <v>45999</v>
      </c>
      <c r="D274" t="inlineStr">
        <is>
          <t>UPPSALA LÄN</t>
        </is>
      </c>
      <c r="E274" t="inlineStr">
        <is>
          <t>UPPSALA</t>
        </is>
      </c>
      <c r="G274" t="n">
        <v>4.1</v>
      </c>
      <c r="H274" t="n">
        <v>0</v>
      </c>
      <c r="I274" t="n">
        <v>0</v>
      </c>
      <c r="J274" t="n">
        <v>0</v>
      </c>
      <c r="K274" t="n">
        <v>0</v>
      </c>
      <c r="L274" t="n">
        <v>0</v>
      </c>
      <c r="M274" t="n">
        <v>0</v>
      </c>
      <c r="N274" t="n">
        <v>0</v>
      </c>
      <c r="O274" t="n">
        <v>0</v>
      </c>
      <c r="P274" t="n">
        <v>0</v>
      </c>
      <c r="Q274" t="n">
        <v>0</v>
      </c>
      <c r="R274" s="2" t="inlineStr"/>
    </row>
    <row r="275" ht="15" customHeight="1">
      <c r="A275" t="inlineStr">
        <is>
          <t>A 60714-2023</t>
        </is>
      </c>
      <c r="B275" s="1" t="n">
        <v>45259</v>
      </c>
      <c r="C275" s="1" t="n">
        <v>45999</v>
      </c>
      <c r="D275" t="inlineStr">
        <is>
          <t>UPPSALA LÄN</t>
        </is>
      </c>
      <c r="E275" t="inlineStr">
        <is>
          <t>UPPSALA</t>
        </is>
      </c>
      <c r="G275" t="n">
        <v>3.3</v>
      </c>
      <c r="H275" t="n">
        <v>0</v>
      </c>
      <c r="I275" t="n">
        <v>0</v>
      </c>
      <c r="J275" t="n">
        <v>0</v>
      </c>
      <c r="K275" t="n">
        <v>0</v>
      </c>
      <c r="L275" t="n">
        <v>0</v>
      </c>
      <c r="M275" t="n">
        <v>0</v>
      </c>
      <c r="N275" t="n">
        <v>0</v>
      </c>
      <c r="O275" t="n">
        <v>0</v>
      </c>
      <c r="P275" t="n">
        <v>0</v>
      </c>
      <c r="Q275" t="n">
        <v>0</v>
      </c>
      <c r="R275" s="2" t="inlineStr"/>
    </row>
    <row r="276" ht="15" customHeight="1">
      <c r="A276" t="inlineStr">
        <is>
          <t>A 47221-2023</t>
        </is>
      </c>
      <c r="B276" s="1" t="n">
        <v>45202</v>
      </c>
      <c r="C276" s="1" t="n">
        <v>45999</v>
      </c>
      <c r="D276" t="inlineStr">
        <is>
          <t>UPPSALA LÄN</t>
        </is>
      </c>
      <c r="E276" t="inlineStr">
        <is>
          <t>UPPSALA</t>
        </is>
      </c>
      <c r="G276" t="n">
        <v>8.6</v>
      </c>
      <c r="H276" t="n">
        <v>0</v>
      </c>
      <c r="I276" t="n">
        <v>0</v>
      </c>
      <c r="J276" t="n">
        <v>0</v>
      </c>
      <c r="K276" t="n">
        <v>0</v>
      </c>
      <c r="L276" t="n">
        <v>0</v>
      </c>
      <c r="M276" t="n">
        <v>0</v>
      </c>
      <c r="N276" t="n">
        <v>0</v>
      </c>
      <c r="O276" t="n">
        <v>0</v>
      </c>
      <c r="P276" t="n">
        <v>0</v>
      </c>
      <c r="Q276" t="n">
        <v>0</v>
      </c>
      <c r="R276" s="2" t="inlineStr"/>
    </row>
    <row r="277" ht="15" customHeight="1">
      <c r="A277" t="inlineStr">
        <is>
          <t>A 59358-2024</t>
        </is>
      </c>
      <c r="B277" s="1" t="n">
        <v>45638</v>
      </c>
      <c r="C277" s="1" t="n">
        <v>45999</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54813-2022</t>
        </is>
      </c>
      <c r="B278" s="1" t="n">
        <v>44883</v>
      </c>
      <c r="C278" s="1" t="n">
        <v>45999</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46635-2022</t>
        </is>
      </c>
      <c r="B279" s="1" t="n">
        <v>44849</v>
      </c>
      <c r="C279" s="1" t="n">
        <v>45999</v>
      </c>
      <c r="D279" t="inlineStr">
        <is>
          <t>UPPSALA LÄN</t>
        </is>
      </c>
      <c r="E279" t="inlineStr">
        <is>
          <t>UPPSALA</t>
        </is>
      </c>
      <c r="G279" t="n">
        <v>3.4</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45999</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45878-2024</t>
        </is>
      </c>
      <c r="B281" s="1" t="n">
        <v>45580</v>
      </c>
      <c r="C281" s="1" t="n">
        <v>45999</v>
      </c>
      <c r="D281" t="inlineStr">
        <is>
          <t>UPPSALA LÄN</t>
        </is>
      </c>
      <c r="E281" t="inlineStr">
        <is>
          <t>UPPSALA</t>
        </is>
      </c>
      <c r="G281" t="n">
        <v>2.8</v>
      </c>
      <c r="H281" t="n">
        <v>0</v>
      </c>
      <c r="I281" t="n">
        <v>0</v>
      </c>
      <c r="J281" t="n">
        <v>0</v>
      </c>
      <c r="K281" t="n">
        <v>0</v>
      </c>
      <c r="L281" t="n">
        <v>0</v>
      </c>
      <c r="M281" t="n">
        <v>0</v>
      </c>
      <c r="N281" t="n">
        <v>0</v>
      </c>
      <c r="O281" t="n">
        <v>0</v>
      </c>
      <c r="P281" t="n">
        <v>0</v>
      </c>
      <c r="Q281" t="n">
        <v>0</v>
      </c>
      <c r="R281" s="2" t="inlineStr"/>
    </row>
    <row r="282" ht="15" customHeight="1">
      <c r="A282" t="inlineStr">
        <is>
          <t>A 5374-2023</t>
        </is>
      </c>
      <c r="B282" s="1" t="n">
        <v>44944</v>
      </c>
      <c r="C282" s="1" t="n">
        <v>45999</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45999</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40503-2024</t>
        </is>
      </c>
      <c r="B284" s="1" t="n">
        <v>45555.5727662037</v>
      </c>
      <c r="C284" s="1" t="n">
        <v>45999</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341-2024</t>
        </is>
      </c>
      <c r="B285" s="1" t="n">
        <v>45295</v>
      </c>
      <c r="C285" s="1" t="n">
        <v>45999</v>
      </c>
      <c r="D285" t="inlineStr">
        <is>
          <t>UPPSALA LÄN</t>
        </is>
      </c>
      <c r="E285" t="inlineStr">
        <is>
          <t>UPPSALA</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45999</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45999</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40111-2024</t>
        </is>
      </c>
      <c r="B288" s="1" t="n">
        <v>45554</v>
      </c>
      <c r="C288" s="1" t="n">
        <v>45999</v>
      </c>
      <c r="D288" t="inlineStr">
        <is>
          <t>UPPSALA LÄN</t>
        </is>
      </c>
      <c r="E288" t="inlineStr">
        <is>
          <t>UPPSALA</t>
        </is>
      </c>
      <c r="G288" t="n">
        <v>3.7</v>
      </c>
      <c r="H288" t="n">
        <v>0</v>
      </c>
      <c r="I288" t="n">
        <v>0</v>
      </c>
      <c r="J288" t="n">
        <v>0</v>
      </c>
      <c r="K288" t="n">
        <v>0</v>
      </c>
      <c r="L288" t="n">
        <v>0</v>
      </c>
      <c r="M288" t="n">
        <v>0</v>
      </c>
      <c r="N288" t="n">
        <v>0</v>
      </c>
      <c r="O288" t="n">
        <v>0</v>
      </c>
      <c r="P288" t="n">
        <v>0</v>
      </c>
      <c r="Q288" t="n">
        <v>0</v>
      </c>
      <c r="R288" s="2" t="inlineStr"/>
    </row>
    <row r="289" ht="15" customHeight="1">
      <c r="A289" t="inlineStr">
        <is>
          <t>A 1032-2023</t>
        </is>
      </c>
      <c r="B289" s="1" t="n">
        <v>44935</v>
      </c>
      <c r="C289" s="1" t="n">
        <v>45999</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45999</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38865-2022</t>
        </is>
      </c>
      <c r="B291" s="1" t="n">
        <v>44816</v>
      </c>
      <c r="C291" s="1" t="n">
        <v>45999</v>
      </c>
      <c r="D291" t="inlineStr">
        <is>
          <t>UPPSALA LÄN</t>
        </is>
      </c>
      <c r="E291" t="inlineStr">
        <is>
          <t>UPPSALA</t>
        </is>
      </c>
      <c r="G291" t="n">
        <v>14.6</v>
      </c>
      <c r="H291" t="n">
        <v>0</v>
      </c>
      <c r="I291" t="n">
        <v>0</v>
      </c>
      <c r="J291" t="n">
        <v>0</v>
      </c>
      <c r="K291" t="n">
        <v>0</v>
      </c>
      <c r="L291" t="n">
        <v>0</v>
      </c>
      <c r="M291" t="n">
        <v>0</v>
      </c>
      <c r="N291" t="n">
        <v>0</v>
      </c>
      <c r="O291" t="n">
        <v>0</v>
      </c>
      <c r="P291" t="n">
        <v>0</v>
      </c>
      <c r="Q291" t="n">
        <v>0</v>
      </c>
      <c r="R291" s="2" t="inlineStr"/>
    </row>
    <row r="292" ht="15" customHeight="1">
      <c r="A292" t="inlineStr">
        <is>
          <t>A 18330-2022</t>
        </is>
      </c>
      <c r="B292" s="1" t="n">
        <v>44685.6212037037</v>
      </c>
      <c r="C292" s="1" t="n">
        <v>45999</v>
      </c>
      <c r="D292" t="inlineStr">
        <is>
          <t>UPPSALA LÄN</t>
        </is>
      </c>
      <c r="E292" t="inlineStr">
        <is>
          <t>UPPSALA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63011-2021</t>
        </is>
      </c>
      <c r="B293" s="1" t="n">
        <v>44504</v>
      </c>
      <c r="C293" s="1" t="n">
        <v>45999</v>
      </c>
      <c r="D293" t="inlineStr">
        <is>
          <t>UPPSALA LÄN</t>
        </is>
      </c>
      <c r="E293" t="inlineStr">
        <is>
          <t>UPPSALA</t>
        </is>
      </c>
      <c r="G293" t="n">
        <v>11.2</v>
      </c>
      <c r="H293" t="n">
        <v>0</v>
      </c>
      <c r="I293" t="n">
        <v>0</v>
      </c>
      <c r="J293" t="n">
        <v>0</v>
      </c>
      <c r="K293" t="n">
        <v>0</v>
      </c>
      <c r="L293" t="n">
        <v>0</v>
      </c>
      <c r="M293" t="n">
        <v>0</v>
      </c>
      <c r="N293" t="n">
        <v>0</v>
      </c>
      <c r="O293" t="n">
        <v>0</v>
      </c>
      <c r="P293" t="n">
        <v>0</v>
      </c>
      <c r="Q293" t="n">
        <v>0</v>
      </c>
      <c r="R293" s="2" t="inlineStr"/>
    </row>
    <row r="294" ht="15" customHeight="1">
      <c r="A294" t="inlineStr">
        <is>
          <t>A 18717-2025</t>
        </is>
      </c>
      <c r="B294" s="1" t="n">
        <v>45763.6503125</v>
      </c>
      <c r="C294" s="1" t="n">
        <v>45999</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44315-2021</t>
        </is>
      </c>
      <c r="B295" s="1" t="n">
        <v>44435.38657407407</v>
      </c>
      <c r="C295" s="1" t="n">
        <v>45999</v>
      </c>
      <c r="D295" t="inlineStr">
        <is>
          <t>UPPSALA LÄN</t>
        </is>
      </c>
      <c r="E295" t="inlineStr">
        <is>
          <t>UPPSALA</t>
        </is>
      </c>
      <c r="G295" t="n">
        <v>5.2</v>
      </c>
      <c r="H295" t="n">
        <v>0</v>
      </c>
      <c r="I295" t="n">
        <v>0</v>
      </c>
      <c r="J295" t="n">
        <v>0</v>
      </c>
      <c r="K295" t="n">
        <v>0</v>
      </c>
      <c r="L295" t="n">
        <v>0</v>
      </c>
      <c r="M295" t="n">
        <v>0</v>
      </c>
      <c r="N295" t="n">
        <v>0</v>
      </c>
      <c r="O295" t="n">
        <v>0</v>
      </c>
      <c r="P295" t="n">
        <v>0</v>
      </c>
      <c r="Q295" t="n">
        <v>0</v>
      </c>
      <c r="R295" s="2" t="inlineStr"/>
    </row>
    <row r="296" ht="15" customHeight="1">
      <c r="A296" t="inlineStr">
        <is>
          <t>A 6851-2022</t>
        </is>
      </c>
      <c r="B296" s="1" t="n">
        <v>44602</v>
      </c>
      <c r="C296" s="1" t="n">
        <v>45999</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3183-2024</t>
        </is>
      </c>
      <c r="B297" s="1" t="n">
        <v>45316</v>
      </c>
      <c r="C297" s="1" t="n">
        <v>45999</v>
      </c>
      <c r="D297" t="inlineStr">
        <is>
          <t>UPPSALA LÄN</t>
        </is>
      </c>
      <c r="E297" t="inlineStr">
        <is>
          <t>UPPSALA</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3261-2024</t>
        </is>
      </c>
      <c r="B298" s="1" t="n">
        <v>45317</v>
      </c>
      <c r="C298" s="1" t="n">
        <v>45999</v>
      </c>
      <c r="D298" t="inlineStr">
        <is>
          <t>UPPSALA LÄN</t>
        </is>
      </c>
      <c r="E298" t="inlineStr">
        <is>
          <t>UPPSALA</t>
        </is>
      </c>
      <c r="G298" t="n">
        <v>2.8</v>
      </c>
      <c r="H298" t="n">
        <v>0</v>
      </c>
      <c r="I298" t="n">
        <v>0</v>
      </c>
      <c r="J298" t="n">
        <v>0</v>
      </c>
      <c r="K298" t="n">
        <v>0</v>
      </c>
      <c r="L298" t="n">
        <v>0</v>
      </c>
      <c r="M298" t="n">
        <v>0</v>
      </c>
      <c r="N298" t="n">
        <v>0</v>
      </c>
      <c r="O298" t="n">
        <v>0</v>
      </c>
      <c r="P298" t="n">
        <v>0</v>
      </c>
      <c r="Q298" t="n">
        <v>0</v>
      </c>
      <c r="R298" s="2" t="inlineStr"/>
    </row>
    <row r="299" ht="15" customHeight="1">
      <c r="A299" t="inlineStr">
        <is>
          <t>A 9398-2023</t>
        </is>
      </c>
      <c r="B299" s="1" t="n">
        <v>44977</v>
      </c>
      <c r="C299" s="1" t="n">
        <v>45999</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1838-2024</t>
        </is>
      </c>
      <c r="B300" s="1" t="n">
        <v>45307</v>
      </c>
      <c r="C300" s="1" t="n">
        <v>45999</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59585-2023</t>
        </is>
      </c>
      <c r="B301" s="1" t="n">
        <v>45254</v>
      </c>
      <c r="C301" s="1" t="n">
        <v>45999</v>
      </c>
      <c r="D301" t="inlineStr">
        <is>
          <t>UPPSALA LÄN</t>
        </is>
      </c>
      <c r="E301" t="inlineStr">
        <is>
          <t>UPPSALA</t>
        </is>
      </c>
      <c r="G301" t="n">
        <v>4.4</v>
      </c>
      <c r="H301" t="n">
        <v>0</v>
      </c>
      <c r="I301" t="n">
        <v>0</v>
      </c>
      <c r="J301" t="n">
        <v>0</v>
      </c>
      <c r="K301" t="n">
        <v>0</v>
      </c>
      <c r="L301" t="n">
        <v>0</v>
      </c>
      <c r="M301" t="n">
        <v>0</v>
      </c>
      <c r="N301" t="n">
        <v>0</v>
      </c>
      <c r="O301" t="n">
        <v>0</v>
      </c>
      <c r="P301" t="n">
        <v>0</v>
      </c>
      <c r="Q301" t="n">
        <v>0</v>
      </c>
      <c r="R301" s="2" t="inlineStr"/>
    </row>
    <row r="302" ht="15" customHeight="1">
      <c r="A302" t="inlineStr">
        <is>
          <t>A 3813-2024</t>
        </is>
      </c>
      <c r="B302" s="1" t="n">
        <v>45321</v>
      </c>
      <c r="C302" s="1" t="n">
        <v>45999</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3260-2024</t>
        </is>
      </c>
      <c r="B303" s="1" t="n">
        <v>45317</v>
      </c>
      <c r="C303" s="1" t="n">
        <v>45999</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29019-2023</t>
        </is>
      </c>
      <c r="B304" s="1" t="n">
        <v>45104.6828125</v>
      </c>
      <c r="C304" s="1" t="n">
        <v>45999</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9611-2024</t>
        </is>
      </c>
      <c r="B305" s="1" t="n">
        <v>45361.57299768519</v>
      </c>
      <c r="C305" s="1" t="n">
        <v>45999</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59996-2024</t>
        </is>
      </c>
      <c r="B306" s="1" t="n">
        <v>45642</v>
      </c>
      <c r="C306" s="1" t="n">
        <v>45999</v>
      </c>
      <c r="D306" t="inlineStr">
        <is>
          <t>UPPSALA LÄN</t>
        </is>
      </c>
      <c r="E306" t="inlineStr">
        <is>
          <t>UPPSALA</t>
        </is>
      </c>
      <c r="F306" t="inlineStr">
        <is>
          <t>Bergvik skog väst AB</t>
        </is>
      </c>
      <c r="G306" t="n">
        <v>14.5</v>
      </c>
      <c r="H306" t="n">
        <v>0</v>
      </c>
      <c r="I306" t="n">
        <v>0</v>
      </c>
      <c r="J306" t="n">
        <v>0</v>
      </c>
      <c r="K306" t="n">
        <v>0</v>
      </c>
      <c r="L306" t="n">
        <v>0</v>
      </c>
      <c r="M306" t="n">
        <v>0</v>
      </c>
      <c r="N306" t="n">
        <v>0</v>
      </c>
      <c r="O306" t="n">
        <v>0</v>
      </c>
      <c r="P306" t="n">
        <v>0</v>
      </c>
      <c r="Q306" t="n">
        <v>0</v>
      </c>
      <c r="R306" s="2" t="inlineStr"/>
    </row>
    <row r="307" ht="15" customHeight="1">
      <c r="A307" t="inlineStr">
        <is>
          <t>A 39107-2023</t>
        </is>
      </c>
      <c r="B307" s="1" t="n">
        <v>45164.82913194445</v>
      </c>
      <c r="C307" s="1" t="n">
        <v>45999</v>
      </c>
      <c r="D307" t="inlineStr">
        <is>
          <t>UPPSALA LÄN</t>
        </is>
      </c>
      <c r="E307" t="inlineStr">
        <is>
          <t>UPPSALA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33689-2023</t>
        </is>
      </c>
      <c r="B308" s="1" t="n">
        <v>45119</v>
      </c>
      <c r="C308" s="1" t="n">
        <v>45999</v>
      </c>
      <c r="D308" t="inlineStr">
        <is>
          <t>UPPSALA LÄN</t>
        </is>
      </c>
      <c r="E308" t="inlineStr">
        <is>
          <t>UPPSALA</t>
        </is>
      </c>
      <c r="G308" t="n">
        <v>2.2</v>
      </c>
      <c r="H308" t="n">
        <v>0</v>
      </c>
      <c r="I308" t="n">
        <v>0</v>
      </c>
      <c r="J308" t="n">
        <v>0</v>
      </c>
      <c r="K308" t="n">
        <v>0</v>
      </c>
      <c r="L308" t="n">
        <v>0</v>
      </c>
      <c r="M308" t="n">
        <v>0</v>
      </c>
      <c r="N308" t="n">
        <v>0</v>
      </c>
      <c r="O308" t="n">
        <v>0</v>
      </c>
      <c r="P308" t="n">
        <v>0</v>
      </c>
      <c r="Q308" t="n">
        <v>0</v>
      </c>
      <c r="R308" s="2" t="inlineStr"/>
    </row>
    <row r="309" ht="15" customHeight="1">
      <c r="A309" t="inlineStr">
        <is>
          <t>A 8109-2024</t>
        </is>
      </c>
      <c r="B309" s="1" t="n">
        <v>45351.48662037037</v>
      </c>
      <c r="C309" s="1" t="n">
        <v>45999</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554-2023</t>
        </is>
      </c>
      <c r="B310" s="1" t="n">
        <v>44930</v>
      </c>
      <c r="C310" s="1" t="n">
        <v>45999</v>
      </c>
      <c r="D310" t="inlineStr">
        <is>
          <t>UPPSALA LÄN</t>
        </is>
      </c>
      <c r="E310" t="inlineStr">
        <is>
          <t>UPPSALA</t>
        </is>
      </c>
      <c r="G310" t="n">
        <v>2</v>
      </c>
      <c r="H310" t="n">
        <v>0</v>
      </c>
      <c r="I310" t="n">
        <v>0</v>
      </c>
      <c r="J310" t="n">
        <v>0</v>
      </c>
      <c r="K310" t="n">
        <v>0</v>
      </c>
      <c r="L310" t="n">
        <v>0</v>
      </c>
      <c r="M310" t="n">
        <v>0</v>
      </c>
      <c r="N310" t="n">
        <v>0</v>
      </c>
      <c r="O310" t="n">
        <v>0</v>
      </c>
      <c r="P310" t="n">
        <v>0</v>
      </c>
      <c r="Q310" t="n">
        <v>0</v>
      </c>
      <c r="R310" s="2" t="inlineStr"/>
    </row>
    <row r="311" ht="15" customHeight="1">
      <c r="A311" t="inlineStr">
        <is>
          <t>A 6602-2023</t>
        </is>
      </c>
      <c r="B311" s="1" t="n">
        <v>44966</v>
      </c>
      <c r="C311" s="1" t="n">
        <v>45999</v>
      </c>
      <c r="D311" t="inlineStr">
        <is>
          <t>UPPSALA LÄN</t>
        </is>
      </c>
      <c r="E311" t="inlineStr">
        <is>
          <t>UPPSALA</t>
        </is>
      </c>
      <c r="F311" t="inlineStr">
        <is>
          <t>Allmännings- och besparingsskogar</t>
        </is>
      </c>
      <c r="G311" t="n">
        <v>20.2</v>
      </c>
      <c r="H311" t="n">
        <v>0</v>
      </c>
      <c r="I311" t="n">
        <v>0</v>
      </c>
      <c r="J311" t="n">
        <v>0</v>
      </c>
      <c r="K311" t="n">
        <v>0</v>
      </c>
      <c r="L311" t="n">
        <v>0</v>
      </c>
      <c r="M311" t="n">
        <v>0</v>
      </c>
      <c r="N311" t="n">
        <v>0</v>
      </c>
      <c r="O311" t="n">
        <v>0</v>
      </c>
      <c r="P311" t="n">
        <v>0</v>
      </c>
      <c r="Q311" t="n">
        <v>0</v>
      </c>
      <c r="R311" s="2" t="inlineStr"/>
    </row>
    <row r="312" ht="15" customHeight="1">
      <c r="A312" t="inlineStr">
        <is>
          <t>A 2357-2024</t>
        </is>
      </c>
      <c r="B312" s="1" t="n">
        <v>45310</v>
      </c>
      <c r="C312" s="1" t="n">
        <v>45999</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44781-2021</t>
        </is>
      </c>
      <c r="B313" s="1" t="n">
        <v>44438</v>
      </c>
      <c r="C313" s="1" t="n">
        <v>45999</v>
      </c>
      <c r="D313" t="inlineStr">
        <is>
          <t>UPPSALA LÄN</t>
        </is>
      </c>
      <c r="E313" t="inlineStr">
        <is>
          <t>UPPSALA</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61805-2021</t>
        </is>
      </c>
      <c r="B314" s="1" t="n">
        <v>44501.71344907407</v>
      </c>
      <c r="C314" s="1" t="n">
        <v>45999</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17211-2025</t>
        </is>
      </c>
      <c r="B315" s="1" t="n">
        <v>45756.44024305556</v>
      </c>
      <c r="C315" s="1" t="n">
        <v>45999</v>
      </c>
      <c r="D315" t="inlineStr">
        <is>
          <t>UPPSALA LÄN</t>
        </is>
      </c>
      <c r="E315" t="inlineStr">
        <is>
          <t>UPPSALA</t>
        </is>
      </c>
      <c r="G315" t="n">
        <v>1.2</v>
      </c>
      <c r="H315" t="n">
        <v>0</v>
      </c>
      <c r="I315" t="n">
        <v>0</v>
      </c>
      <c r="J315" t="n">
        <v>0</v>
      </c>
      <c r="K315" t="n">
        <v>0</v>
      </c>
      <c r="L315" t="n">
        <v>0</v>
      </c>
      <c r="M315" t="n">
        <v>0</v>
      </c>
      <c r="N315" t="n">
        <v>0</v>
      </c>
      <c r="O315" t="n">
        <v>0</v>
      </c>
      <c r="P315" t="n">
        <v>0</v>
      </c>
      <c r="Q315" t="n">
        <v>0</v>
      </c>
      <c r="R315" s="2" t="inlineStr"/>
    </row>
    <row r="316" ht="15" customHeight="1">
      <c r="A316" t="inlineStr">
        <is>
          <t>A 25745-2022</t>
        </is>
      </c>
      <c r="B316" s="1" t="n">
        <v>44733.43420138889</v>
      </c>
      <c r="C316" s="1" t="n">
        <v>45999</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17250-2025</t>
        </is>
      </c>
      <c r="B317" s="1" t="n">
        <v>45756.50738425926</v>
      </c>
      <c r="C317" s="1" t="n">
        <v>45999</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22021-2022</t>
        </is>
      </c>
      <c r="B318" s="1" t="n">
        <v>44711</v>
      </c>
      <c r="C318" s="1" t="n">
        <v>45999</v>
      </c>
      <c r="D318" t="inlineStr">
        <is>
          <t>UPPSALA LÄN</t>
        </is>
      </c>
      <c r="E318" t="inlineStr">
        <is>
          <t>UPPSALA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60729-2024</t>
        </is>
      </c>
      <c r="B319" s="1" t="n">
        <v>45644</v>
      </c>
      <c r="C319" s="1" t="n">
        <v>45999</v>
      </c>
      <c r="D319" t="inlineStr">
        <is>
          <t>UPPSALA LÄN</t>
        </is>
      </c>
      <c r="E319" t="inlineStr">
        <is>
          <t>UPPSALA</t>
        </is>
      </c>
      <c r="G319" t="n">
        <v>1.9</v>
      </c>
      <c r="H319" t="n">
        <v>0</v>
      </c>
      <c r="I319" t="n">
        <v>0</v>
      </c>
      <c r="J319" t="n">
        <v>0</v>
      </c>
      <c r="K319" t="n">
        <v>0</v>
      </c>
      <c r="L319" t="n">
        <v>0</v>
      </c>
      <c r="M319" t="n">
        <v>0</v>
      </c>
      <c r="N319" t="n">
        <v>0</v>
      </c>
      <c r="O319" t="n">
        <v>0</v>
      </c>
      <c r="P319" t="n">
        <v>0</v>
      </c>
      <c r="Q319" t="n">
        <v>0</v>
      </c>
      <c r="R319" s="2" t="inlineStr"/>
    </row>
    <row r="320" ht="15" customHeight="1">
      <c r="A320" t="inlineStr">
        <is>
          <t>A 26323-2023</t>
        </is>
      </c>
      <c r="B320" s="1" t="n">
        <v>45091.69766203704</v>
      </c>
      <c r="C320" s="1" t="n">
        <v>45999</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16288-2025</t>
        </is>
      </c>
      <c r="B321" s="1" t="n">
        <v>45751.32001157408</v>
      </c>
      <c r="C321" s="1" t="n">
        <v>45999</v>
      </c>
      <c r="D321" t="inlineStr">
        <is>
          <t>UPPSALA LÄN</t>
        </is>
      </c>
      <c r="E321" t="inlineStr">
        <is>
          <t>UPPSALA</t>
        </is>
      </c>
      <c r="G321" t="n">
        <v>3.9</v>
      </c>
      <c r="H321" t="n">
        <v>0</v>
      </c>
      <c r="I321" t="n">
        <v>0</v>
      </c>
      <c r="J321" t="n">
        <v>0</v>
      </c>
      <c r="K321" t="n">
        <v>0</v>
      </c>
      <c r="L321" t="n">
        <v>0</v>
      </c>
      <c r="M321" t="n">
        <v>0</v>
      </c>
      <c r="N321" t="n">
        <v>0</v>
      </c>
      <c r="O321" t="n">
        <v>0</v>
      </c>
      <c r="P321" t="n">
        <v>0</v>
      </c>
      <c r="Q321" t="n">
        <v>0</v>
      </c>
      <c r="R321" s="2" t="inlineStr"/>
    </row>
    <row r="322" ht="15" customHeight="1">
      <c r="A322" t="inlineStr">
        <is>
          <t>A 73326-2021</t>
        </is>
      </c>
      <c r="B322" s="1" t="n">
        <v>44548</v>
      </c>
      <c r="C322" s="1" t="n">
        <v>45999</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73044-2021</t>
        </is>
      </c>
      <c r="B323" s="1" t="n">
        <v>44550.37994212963</v>
      </c>
      <c r="C323" s="1" t="n">
        <v>45999</v>
      </c>
      <c r="D323" t="inlineStr">
        <is>
          <t>UPPSALA LÄN</t>
        </is>
      </c>
      <c r="E323" t="inlineStr">
        <is>
          <t>UPPSALA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9313-2023</t>
        </is>
      </c>
      <c r="B324" s="1" t="n">
        <v>44980</v>
      </c>
      <c r="C324" s="1" t="n">
        <v>45999</v>
      </c>
      <c r="D324" t="inlineStr">
        <is>
          <t>UPPSALA LÄN</t>
        </is>
      </c>
      <c r="E324" t="inlineStr">
        <is>
          <t>UPPSALA</t>
        </is>
      </c>
      <c r="G324" t="n">
        <v>2.6</v>
      </c>
      <c r="H324" t="n">
        <v>0</v>
      </c>
      <c r="I324" t="n">
        <v>0</v>
      </c>
      <c r="J324" t="n">
        <v>0</v>
      </c>
      <c r="K324" t="n">
        <v>0</v>
      </c>
      <c r="L324" t="n">
        <v>0</v>
      </c>
      <c r="M324" t="n">
        <v>0</v>
      </c>
      <c r="N324" t="n">
        <v>0</v>
      </c>
      <c r="O324" t="n">
        <v>0</v>
      </c>
      <c r="P324" t="n">
        <v>0</v>
      </c>
      <c r="Q324" t="n">
        <v>0</v>
      </c>
      <c r="R324" s="2" t="inlineStr"/>
    </row>
    <row r="325" ht="15" customHeight="1">
      <c r="A325" t="inlineStr">
        <is>
          <t>A 5605-2025</t>
        </is>
      </c>
      <c r="B325" s="1" t="n">
        <v>45693</v>
      </c>
      <c r="C325" s="1" t="n">
        <v>45999</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59521-2023</t>
        </is>
      </c>
      <c r="B326" s="1" t="n">
        <v>45254.49552083333</v>
      </c>
      <c r="C326" s="1" t="n">
        <v>45999</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53615-2024</t>
        </is>
      </c>
      <c r="B327" s="1" t="n">
        <v>45611</v>
      </c>
      <c r="C327" s="1" t="n">
        <v>45999</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7226-2024</t>
        </is>
      </c>
      <c r="B328" s="1" t="n">
        <v>45344.64759259259</v>
      </c>
      <c r="C328" s="1" t="n">
        <v>45999</v>
      </c>
      <c r="D328" t="inlineStr">
        <is>
          <t>UPPSALA LÄN</t>
        </is>
      </c>
      <c r="E328" t="inlineStr">
        <is>
          <t>UPPSALA</t>
        </is>
      </c>
      <c r="F328" t="inlineStr">
        <is>
          <t>Kyrkan</t>
        </is>
      </c>
      <c r="G328" t="n">
        <v>1.2</v>
      </c>
      <c r="H328" t="n">
        <v>0</v>
      </c>
      <c r="I328" t="n">
        <v>0</v>
      </c>
      <c r="J328" t="n">
        <v>0</v>
      </c>
      <c r="K328" t="n">
        <v>0</v>
      </c>
      <c r="L328" t="n">
        <v>0</v>
      </c>
      <c r="M328" t="n">
        <v>0</v>
      </c>
      <c r="N328" t="n">
        <v>0</v>
      </c>
      <c r="O328" t="n">
        <v>0</v>
      </c>
      <c r="P328" t="n">
        <v>0</v>
      </c>
      <c r="Q328" t="n">
        <v>0</v>
      </c>
      <c r="R328" s="2" t="inlineStr"/>
    </row>
    <row r="329" ht="15" customHeight="1">
      <c r="A329" t="inlineStr">
        <is>
          <t>A 33332-2022</t>
        </is>
      </c>
      <c r="B329" s="1" t="n">
        <v>44788</v>
      </c>
      <c r="C329" s="1" t="n">
        <v>45999</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18054-2025</t>
        </is>
      </c>
      <c r="B330" s="1" t="n">
        <v>45761.47540509259</v>
      </c>
      <c r="C330" s="1" t="n">
        <v>45999</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18058-2025</t>
        </is>
      </c>
      <c r="B331" s="1" t="n">
        <v>45761.47748842592</v>
      </c>
      <c r="C331" s="1" t="n">
        <v>45999</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29901-2023</t>
        </is>
      </c>
      <c r="B332" s="1" t="n">
        <v>45107</v>
      </c>
      <c r="C332" s="1" t="n">
        <v>45999</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29926-2023</t>
        </is>
      </c>
      <c r="B333" s="1" t="n">
        <v>45107</v>
      </c>
      <c r="C333" s="1" t="n">
        <v>45999</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29927-2023</t>
        </is>
      </c>
      <c r="B334" s="1" t="n">
        <v>45107</v>
      </c>
      <c r="C334" s="1" t="n">
        <v>45999</v>
      </c>
      <c r="D334" t="inlineStr">
        <is>
          <t>UPPSALA LÄN</t>
        </is>
      </c>
      <c r="E334" t="inlineStr">
        <is>
          <t>UPPSALA</t>
        </is>
      </c>
      <c r="G334" t="n">
        <v>1.2</v>
      </c>
      <c r="H334" t="n">
        <v>0</v>
      </c>
      <c r="I334" t="n">
        <v>0</v>
      </c>
      <c r="J334" t="n">
        <v>0</v>
      </c>
      <c r="K334" t="n">
        <v>0</v>
      </c>
      <c r="L334" t="n">
        <v>0</v>
      </c>
      <c r="M334" t="n">
        <v>0</v>
      </c>
      <c r="N334" t="n">
        <v>0</v>
      </c>
      <c r="O334" t="n">
        <v>0</v>
      </c>
      <c r="P334" t="n">
        <v>0</v>
      </c>
      <c r="Q334" t="n">
        <v>0</v>
      </c>
      <c r="R334" s="2" t="inlineStr"/>
    </row>
    <row r="335" ht="15" customHeight="1">
      <c r="A335" t="inlineStr">
        <is>
          <t>A 7253-2024</t>
        </is>
      </c>
      <c r="B335" s="1" t="n">
        <v>45344.69567129629</v>
      </c>
      <c r="C335" s="1" t="n">
        <v>45999</v>
      </c>
      <c r="D335" t="inlineStr">
        <is>
          <t>UPPSALA LÄN</t>
        </is>
      </c>
      <c r="E335" t="inlineStr">
        <is>
          <t>UPPSALA</t>
        </is>
      </c>
      <c r="F335" t="inlineStr">
        <is>
          <t>Kyrkan</t>
        </is>
      </c>
      <c r="G335" t="n">
        <v>2.5</v>
      </c>
      <c r="H335" t="n">
        <v>0</v>
      </c>
      <c r="I335" t="n">
        <v>0</v>
      </c>
      <c r="J335" t="n">
        <v>0</v>
      </c>
      <c r="K335" t="n">
        <v>0</v>
      </c>
      <c r="L335" t="n">
        <v>0</v>
      </c>
      <c r="M335" t="n">
        <v>0</v>
      </c>
      <c r="N335" t="n">
        <v>0</v>
      </c>
      <c r="O335" t="n">
        <v>0</v>
      </c>
      <c r="P335" t="n">
        <v>0</v>
      </c>
      <c r="Q335" t="n">
        <v>0</v>
      </c>
      <c r="R335" s="2" t="inlineStr"/>
    </row>
    <row r="336" ht="15" customHeight="1">
      <c r="A336" t="inlineStr">
        <is>
          <t>A 39148-2022</t>
        </is>
      </c>
      <c r="B336" s="1" t="n">
        <v>44816</v>
      </c>
      <c r="C336" s="1" t="n">
        <v>45999</v>
      </c>
      <c r="D336" t="inlineStr">
        <is>
          <t>UPPSALA LÄN</t>
        </is>
      </c>
      <c r="E336" t="inlineStr">
        <is>
          <t>UPPSALA</t>
        </is>
      </c>
      <c r="F336" t="inlineStr">
        <is>
          <t>Övriga statliga verk och myndigheter</t>
        </is>
      </c>
      <c r="G336" t="n">
        <v>1.7</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45999</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27119-2023</t>
        </is>
      </c>
      <c r="B338" s="1" t="n">
        <v>45096</v>
      </c>
      <c r="C338" s="1" t="n">
        <v>45999</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27903-2023</t>
        </is>
      </c>
      <c r="B339" s="1" t="n">
        <v>45098.62966435185</v>
      </c>
      <c r="C339" s="1" t="n">
        <v>45999</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6973-2025</t>
        </is>
      </c>
      <c r="B340" s="1" t="n">
        <v>45693</v>
      </c>
      <c r="C340" s="1" t="n">
        <v>45999</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27763-2022</t>
        </is>
      </c>
      <c r="B341" s="1" t="n">
        <v>44743</v>
      </c>
      <c r="C341" s="1" t="n">
        <v>45999</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72224-2021</t>
        </is>
      </c>
      <c r="B342" s="1" t="n">
        <v>44544</v>
      </c>
      <c r="C342" s="1" t="n">
        <v>45999</v>
      </c>
      <c r="D342" t="inlineStr">
        <is>
          <t>UPPSALA LÄN</t>
        </is>
      </c>
      <c r="E342" t="inlineStr">
        <is>
          <t>UPPSALA</t>
        </is>
      </c>
      <c r="G342" t="n">
        <v>2.5</v>
      </c>
      <c r="H342" t="n">
        <v>0</v>
      </c>
      <c r="I342" t="n">
        <v>0</v>
      </c>
      <c r="J342" t="n">
        <v>0</v>
      </c>
      <c r="K342" t="n">
        <v>0</v>
      </c>
      <c r="L342" t="n">
        <v>0</v>
      </c>
      <c r="M342" t="n">
        <v>0</v>
      </c>
      <c r="N342" t="n">
        <v>0</v>
      </c>
      <c r="O342" t="n">
        <v>0</v>
      </c>
      <c r="P342" t="n">
        <v>0</v>
      </c>
      <c r="Q342" t="n">
        <v>0</v>
      </c>
      <c r="R342" s="2" t="inlineStr"/>
    </row>
    <row r="343" ht="15" customHeight="1">
      <c r="A343" t="inlineStr">
        <is>
          <t>A 66686-2021</t>
        </is>
      </c>
      <c r="B343" s="1" t="n">
        <v>44519</v>
      </c>
      <c r="C343" s="1" t="n">
        <v>45999</v>
      </c>
      <c r="D343" t="inlineStr">
        <is>
          <t>UPPSALA LÄN</t>
        </is>
      </c>
      <c r="E343" t="inlineStr">
        <is>
          <t>UPPSALA</t>
        </is>
      </c>
      <c r="G343" t="n">
        <v>6.4</v>
      </c>
      <c r="H343" t="n">
        <v>0</v>
      </c>
      <c r="I343" t="n">
        <v>0</v>
      </c>
      <c r="J343" t="n">
        <v>0</v>
      </c>
      <c r="K343" t="n">
        <v>0</v>
      </c>
      <c r="L343" t="n">
        <v>0</v>
      </c>
      <c r="M343" t="n">
        <v>0</v>
      </c>
      <c r="N343" t="n">
        <v>0</v>
      </c>
      <c r="O343" t="n">
        <v>0</v>
      </c>
      <c r="P343" t="n">
        <v>0</v>
      </c>
      <c r="Q343" t="n">
        <v>0</v>
      </c>
      <c r="R343" s="2" t="inlineStr"/>
    </row>
    <row r="344" ht="15" customHeight="1">
      <c r="A344" t="inlineStr">
        <is>
          <t>A 5899-2024</t>
        </is>
      </c>
      <c r="B344" s="1" t="n">
        <v>45335</v>
      </c>
      <c r="C344" s="1" t="n">
        <v>45999</v>
      </c>
      <c r="D344" t="inlineStr">
        <is>
          <t>UPPSALA LÄN</t>
        </is>
      </c>
      <c r="E344" t="inlineStr">
        <is>
          <t>UPPSALA</t>
        </is>
      </c>
      <c r="F344" t="inlineStr">
        <is>
          <t>Allmännings- och besparingsskogar</t>
        </is>
      </c>
      <c r="G344" t="n">
        <v>3.7</v>
      </c>
      <c r="H344" t="n">
        <v>0</v>
      </c>
      <c r="I344" t="n">
        <v>0</v>
      </c>
      <c r="J344" t="n">
        <v>0</v>
      </c>
      <c r="K344" t="n">
        <v>0</v>
      </c>
      <c r="L344" t="n">
        <v>0</v>
      </c>
      <c r="M344" t="n">
        <v>0</v>
      </c>
      <c r="N344" t="n">
        <v>0</v>
      </c>
      <c r="O344" t="n">
        <v>0</v>
      </c>
      <c r="P344" t="n">
        <v>0</v>
      </c>
      <c r="Q344" t="n">
        <v>0</v>
      </c>
      <c r="R344" s="2" t="inlineStr"/>
    </row>
    <row r="345" ht="15" customHeight="1">
      <c r="A345" t="inlineStr">
        <is>
          <t>A 45-2024</t>
        </is>
      </c>
      <c r="B345" s="1" t="n">
        <v>45293</v>
      </c>
      <c r="C345" s="1" t="n">
        <v>45999</v>
      </c>
      <c r="D345" t="inlineStr">
        <is>
          <t>UPPSALA LÄN</t>
        </is>
      </c>
      <c r="E345" t="inlineStr">
        <is>
          <t>UPPSALA</t>
        </is>
      </c>
      <c r="G345" t="n">
        <v>12.5</v>
      </c>
      <c r="H345" t="n">
        <v>0</v>
      </c>
      <c r="I345" t="n">
        <v>0</v>
      </c>
      <c r="J345" t="n">
        <v>0</v>
      </c>
      <c r="K345" t="n">
        <v>0</v>
      </c>
      <c r="L345" t="n">
        <v>0</v>
      </c>
      <c r="M345" t="n">
        <v>0</v>
      </c>
      <c r="N345" t="n">
        <v>0</v>
      </c>
      <c r="O345" t="n">
        <v>0</v>
      </c>
      <c r="P345" t="n">
        <v>0</v>
      </c>
      <c r="Q345" t="n">
        <v>0</v>
      </c>
      <c r="R345" s="2" t="inlineStr"/>
    </row>
    <row r="346" ht="15" customHeight="1">
      <c r="A346" t="inlineStr">
        <is>
          <t>A 39608-2022</t>
        </is>
      </c>
      <c r="B346" s="1" t="n">
        <v>44817</v>
      </c>
      <c r="C346" s="1" t="n">
        <v>45999</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38934-2023</t>
        </is>
      </c>
      <c r="B347" s="1" t="n">
        <v>45163.59913194444</v>
      </c>
      <c r="C347" s="1" t="n">
        <v>45999</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27125-2023</t>
        </is>
      </c>
      <c r="B348" s="1" t="n">
        <v>45096</v>
      </c>
      <c r="C348" s="1" t="n">
        <v>45999</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6550-2025</t>
        </is>
      </c>
      <c r="B349" s="1" t="n">
        <v>45699.71063657408</v>
      </c>
      <c r="C349" s="1" t="n">
        <v>45999</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12282-2025</t>
        </is>
      </c>
      <c r="B350" s="1" t="n">
        <v>45729</v>
      </c>
      <c r="C350" s="1" t="n">
        <v>45999</v>
      </c>
      <c r="D350" t="inlineStr">
        <is>
          <t>UPPSALA LÄN</t>
        </is>
      </c>
      <c r="E350" t="inlineStr">
        <is>
          <t>UPPSALA</t>
        </is>
      </c>
      <c r="G350" t="n">
        <v>3.3</v>
      </c>
      <c r="H350" t="n">
        <v>0</v>
      </c>
      <c r="I350" t="n">
        <v>0</v>
      </c>
      <c r="J350" t="n">
        <v>0</v>
      </c>
      <c r="K350" t="n">
        <v>0</v>
      </c>
      <c r="L350" t="n">
        <v>0</v>
      </c>
      <c r="M350" t="n">
        <v>0</v>
      </c>
      <c r="N350" t="n">
        <v>0</v>
      </c>
      <c r="O350" t="n">
        <v>0</v>
      </c>
      <c r="P350" t="n">
        <v>0</v>
      </c>
      <c r="Q350" t="n">
        <v>0</v>
      </c>
      <c r="R350" s="2" t="inlineStr"/>
    </row>
    <row r="351" ht="15" customHeight="1">
      <c r="A351" t="inlineStr">
        <is>
          <t>A 179-2024</t>
        </is>
      </c>
      <c r="B351" s="1" t="n">
        <v>45294.5666550926</v>
      </c>
      <c r="C351" s="1" t="n">
        <v>45999</v>
      </c>
      <c r="D351" t="inlineStr">
        <is>
          <t>UPPSALA LÄN</t>
        </is>
      </c>
      <c r="E351" t="inlineStr">
        <is>
          <t>UPPSALA</t>
        </is>
      </c>
      <c r="F351" t="inlineStr">
        <is>
          <t>Bergvik skog öst AB</t>
        </is>
      </c>
      <c r="G351" t="n">
        <v>12.7</v>
      </c>
      <c r="H351" t="n">
        <v>0</v>
      </c>
      <c r="I351" t="n">
        <v>0</v>
      </c>
      <c r="J351" t="n">
        <v>0</v>
      </c>
      <c r="K351" t="n">
        <v>0</v>
      </c>
      <c r="L351" t="n">
        <v>0</v>
      </c>
      <c r="M351" t="n">
        <v>0</v>
      </c>
      <c r="N351" t="n">
        <v>0</v>
      </c>
      <c r="O351" t="n">
        <v>0</v>
      </c>
      <c r="P351" t="n">
        <v>0</v>
      </c>
      <c r="Q351" t="n">
        <v>0</v>
      </c>
      <c r="R351" s="2" t="inlineStr"/>
    </row>
    <row r="352" ht="15" customHeight="1">
      <c r="A352" t="inlineStr">
        <is>
          <t>A 50267-2023</t>
        </is>
      </c>
      <c r="B352" s="1" t="n">
        <v>45216.39040509259</v>
      </c>
      <c r="C352" s="1" t="n">
        <v>45999</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14907-2025</t>
        </is>
      </c>
      <c r="B353" s="1" t="n">
        <v>45743.50744212963</v>
      </c>
      <c r="C353" s="1" t="n">
        <v>45999</v>
      </c>
      <c r="D353" t="inlineStr">
        <is>
          <t>UPPSALA LÄN</t>
        </is>
      </c>
      <c r="E353" t="inlineStr">
        <is>
          <t>UPPSALA</t>
        </is>
      </c>
      <c r="G353" t="n">
        <v>7</v>
      </c>
      <c r="H353" t="n">
        <v>0</v>
      </c>
      <c r="I353" t="n">
        <v>0</v>
      </c>
      <c r="J353" t="n">
        <v>0</v>
      </c>
      <c r="K353" t="n">
        <v>0</v>
      </c>
      <c r="L353" t="n">
        <v>0</v>
      </c>
      <c r="M353" t="n">
        <v>0</v>
      </c>
      <c r="N353" t="n">
        <v>0</v>
      </c>
      <c r="O353" t="n">
        <v>0</v>
      </c>
      <c r="P353" t="n">
        <v>0</v>
      </c>
      <c r="Q353" t="n">
        <v>0</v>
      </c>
      <c r="R353" s="2" t="inlineStr"/>
    </row>
    <row r="354" ht="15" customHeight="1">
      <c r="A354" t="inlineStr">
        <is>
          <t>A 41545-2023</t>
        </is>
      </c>
      <c r="B354" s="1" t="n">
        <v>45175.57060185185</v>
      </c>
      <c r="C354" s="1" t="n">
        <v>45999</v>
      </c>
      <c r="D354" t="inlineStr">
        <is>
          <t>UPPSALA LÄN</t>
        </is>
      </c>
      <c r="E354" t="inlineStr">
        <is>
          <t>UPPSALA</t>
        </is>
      </c>
      <c r="G354" t="n">
        <v>6.6</v>
      </c>
      <c r="H354" t="n">
        <v>0</v>
      </c>
      <c r="I354" t="n">
        <v>0</v>
      </c>
      <c r="J354" t="n">
        <v>0</v>
      </c>
      <c r="K354" t="n">
        <v>0</v>
      </c>
      <c r="L354" t="n">
        <v>0</v>
      </c>
      <c r="M354" t="n">
        <v>0</v>
      </c>
      <c r="N354" t="n">
        <v>0</v>
      </c>
      <c r="O354" t="n">
        <v>0</v>
      </c>
      <c r="P354" t="n">
        <v>0</v>
      </c>
      <c r="Q354" t="n">
        <v>0</v>
      </c>
      <c r="R354" s="2" t="inlineStr"/>
    </row>
    <row r="355" ht="15" customHeight="1">
      <c r="A355" t="inlineStr">
        <is>
          <t>A 74023-2021</t>
        </is>
      </c>
      <c r="B355" s="1" t="n">
        <v>44553</v>
      </c>
      <c r="C355" s="1" t="n">
        <v>45999</v>
      </c>
      <c r="D355" t="inlineStr">
        <is>
          <t>UPPSALA LÄN</t>
        </is>
      </c>
      <c r="E355" t="inlineStr">
        <is>
          <t>UPPSALA</t>
        </is>
      </c>
      <c r="G355" t="n">
        <v>5.4</v>
      </c>
      <c r="H355" t="n">
        <v>0</v>
      </c>
      <c r="I355" t="n">
        <v>0</v>
      </c>
      <c r="J355" t="n">
        <v>0</v>
      </c>
      <c r="K355" t="n">
        <v>0</v>
      </c>
      <c r="L355" t="n">
        <v>0</v>
      </c>
      <c r="M355" t="n">
        <v>0</v>
      </c>
      <c r="N355" t="n">
        <v>0</v>
      </c>
      <c r="O355" t="n">
        <v>0</v>
      </c>
      <c r="P355" t="n">
        <v>0</v>
      </c>
      <c r="Q355" t="n">
        <v>0</v>
      </c>
      <c r="R355" s="2" t="inlineStr"/>
    </row>
    <row r="356" ht="15" customHeight="1">
      <c r="A356" t="inlineStr">
        <is>
          <t>A 6006-2025</t>
        </is>
      </c>
      <c r="B356" s="1" t="n">
        <v>45695.59197916667</v>
      </c>
      <c r="C356" s="1" t="n">
        <v>45999</v>
      </c>
      <c r="D356" t="inlineStr">
        <is>
          <t>UPPSALA LÄN</t>
        </is>
      </c>
      <c r="E356" t="inlineStr">
        <is>
          <t>UPPSALA</t>
        </is>
      </c>
      <c r="F356" t="inlineStr">
        <is>
          <t>Övriga Aktiebolag</t>
        </is>
      </c>
      <c r="G356" t="n">
        <v>13.8</v>
      </c>
      <c r="H356" t="n">
        <v>0</v>
      </c>
      <c r="I356" t="n">
        <v>0</v>
      </c>
      <c r="J356" t="n">
        <v>0</v>
      </c>
      <c r="K356" t="n">
        <v>0</v>
      </c>
      <c r="L356" t="n">
        <v>0</v>
      </c>
      <c r="M356" t="n">
        <v>0</v>
      </c>
      <c r="N356" t="n">
        <v>0</v>
      </c>
      <c r="O356" t="n">
        <v>0</v>
      </c>
      <c r="P356" t="n">
        <v>0</v>
      </c>
      <c r="Q356" t="n">
        <v>0</v>
      </c>
      <c r="R356" s="2" t="inlineStr"/>
    </row>
    <row r="357" ht="15" customHeight="1">
      <c r="A357" t="inlineStr">
        <is>
          <t>A 28825-2024</t>
        </is>
      </c>
      <c r="B357" s="1" t="n">
        <v>45478</v>
      </c>
      <c r="C357" s="1" t="n">
        <v>45999</v>
      </c>
      <c r="D357" t="inlineStr">
        <is>
          <t>UPPSALA LÄN</t>
        </is>
      </c>
      <c r="E357" t="inlineStr">
        <is>
          <t>UPPSALA</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6989-2022</t>
        </is>
      </c>
      <c r="B358" s="1" t="n">
        <v>44603</v>
      </c>
      <c r="C358" s="1" t="n">
        <v>45999</v>
      </c>
      <c r="D358" t="inlineStr">
        <is>
          <t>UPPSALA LÄN</t>
        </is>
      </c>
      <c r="E358" t="inlineStr">
        <is>
          <t>UPPSALA</t>
        </is>
      </c>
      <c r="G358" t="n">
        <v>3.1</v>
      </c>
      <c r="H358" t="n">
        <v>0</v>
      </c>
      <c r="I358" t="n">
        <v>0</v>
      </c>
      <c r="J358" t="n">
        <v>0</v>
      </c>
      <c r="K358" t="n">
        <v>0</v>
      </c>
      <c r="L358" t="n">
        <v>0</v>
      </c>
      <c r="M358" t="n">
        <v>0</v>
      </c>
      <c r="N358" t="n">
        <v>0</v>
      </c>
      <c r="O358" t="n">
        <v>0</v>
      </c>
      <c r="P358" t="n">
        <v>0</v>
      </c>
      <c r="Q358" t="n">
        <v>0</v>
      </c>
      <c r="R358" s="2" t="inlineStr"/>
    </row>
    <row r="359" ht="15" customHeight="1">
      <c r="A359" t="inlineStr">
        <is>
          <t>A 50037-2024</t>
        </is>
      </c>
      <c r="B359" s="1" t="n">
        <v>45599</v>
      </c>
      <c r="C359" s="1" t="n">
        <v>45999</v>
      </c>
      <c r="D359" t="inlineStr">
        <is>
          <t>UPPSALA LÄN</t>
        </is>
      </c>
      <c r="E359" t="inlineStr">
        <is>
          <t>UPPSALA</t>
        </is>
      </c>
      <c r="G359" t="n">
        <v>13.7</v>
      </c>
      <c r="H359" t="n">
        <v>0</v>
      </c>
      <c r="I359" t="n">
        <v>0</v>
      </c>
      <c r="J359" t="n">
        <v>0</v>
      </c>
      <c r="K359" t="n">
        <v>0</v>
      </c>
      <c r="L359" t="n">
        <v>0</v>
      </c>
      <c r="M359" t="n">
        <v>0</v>
      </c>
      <c r="N359" t="n">
        <v>0</v>
      </c>
      <c r="O359" t="n">
        <v>0</v>
      </c>
      <c r="P359" t="n">
        <v>0</v>
      </c>
      <c r="Q359" t="n">
        <v>0</v>
      </c>
      <c r="R359" s="2" t="inlineStr"/>
    </row>
    <row r="360" ht="15" customHeight="1">
      <c r="A360" t="inlineStr">
        <is>
          <t>A 38190-2023</t>
        </is>
      </c>
      <c r="B360" s="1" t="n">
        <v>45161</v>
      </c>
      <c r="C360" s="1" t="n">
        <v>45999</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60167-2024</t>
        </is>
      </c>
      <c r="B361" s="1" t="n">
        <v>45642.63524305556</v>
      </c>
      <c r="C361" s="1" t="n">
        <v>45999</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61574-2024</t>
        </is>
      </c>
      <c r="B362" s="1" t="n">
        <v>45646.61892361111</v>
      </c>
      <c r="C362" s="1" t="n">
        <v>45999</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34147-2024</t>
        </is>
      </c>
      <c r="B363" s="1" t="n">
        <v>45524</v>
      </c>
      <c r="C363" s="1" t="n">
        <v>45999</v>
      </c>
      <c r="D363" t="inlineStr">
        <is>
          <t>UPPSALA LÄN</t>
        </is>
      </c>
      <c r="E363" t="inlineStr">
        <is>
          <t>UPPSALA</t>
        </is>
      </c>
      <c r="F363" t="inlineStr">
        <is>
          <t>Allmännings- och besparingsskogar</t>
        </is>
      </c>
      <c r="G363" t="n">
        <v>0.2</v>
      </c>
      <c r="H363" t="n">
        <v>0</v>
      </c>
      <c r="I363" t="n">
        <v>0</v>
      </c>
      <c r="J363" t="n">
        <v>0</v>
      </c>
      <c r="K363" t="n">
        <v>0</v>
      </c>
      <c r="L363" t="n">
        <v>0</v>
      </c>
      <c r="M363" t="n">
        <v>0</v>
      </c>
      <c r="N363" t="n">
        <v>0</v>
      </c>
      <c r="O363" t="n">
        <v>0</v>
      </c>
      <c r="P363" t="n">
        <v>0</v>
      </c>
      <c r="Q363" t="n">
        <v>0</v>
      </c>
      <c r="R363" s="2" t="inlineStr"/>
    </row>
    <row r="364" ht="15" customHeight="1">
      <c r="A364" t="inlineStr">
        <is>
          <t>A 11224-2022</t>
        </is>
      </c>
      <c r="B364" s="1" t="n">
        <v>44629.57741898148</v>
      </c>
      <c r="C364" s="1" t="n">
        <v>45999</v>
      </c>
      <c r="D364" t="inlineStr">
        <is>
          <t>UPPSALA LÄN</t>
        </is>
      </c>
      <c r="E364" t="inlineStr">
        <is>
          <t>UPPSALA</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26099-2024</t>
        </is>
      </c>
      <c r="B365" s="1" t="n">
        <v>45468</v>
      </c>
      <c r="C365" s="1" t="n">
        <v>45999</v>
      </c>
      <c r="D365" t="inlineStr">
        <is>
          <t>UPPSALA LÄN</t>
        </is>
      </c>
      <c r="E365" t="inlineStr">
        <is>
          <t>UPPSALA</t>
        </is>
      </c>
      <c r="G365" t="n">
        <v>0.3</v>
      </c>
      <c r="H365" t="n">
        <v>0</v>
      </c>
      <c r="I365" t="n">
        <v>0</v>
      </c>
      <c r="J365" t="n">
        <v>0</v>
      </c>
      <c r="K365" t="n">
        <v>0</v>
      </c>
      <c r="L365" t="n">
        <v>0</v>
      </c>
      <c r="M365" t="n">
        <v>0</v>
      </c>
      <c r="N365" t="n">
        <v>0</v>
      </c>
      <c r="O365" t="n">
        <v>0</v>
      </c>
      <c r="P365" t="n">
        <v>0</v>
      </c>
      <c r="Q365" t="n">
        <v>0</v>
      </c>
      <c r="R365" s="2" t="inlineStr"/>
    </row>
    <row r="366" ht="15" customHeight="1">
      <c r="A366" t="inlineStr">
        <is>
          <t>A 9820-2023</t>
        </is>
      </c>
      <c r="B366" s="1" t="n">
        <v>44984.69216435185</v>
      </c>
      <c r="C366" s="1" t="n">
        <v>45999</v>
      </c>
      <c r="D366" t="inlineStr">
        <is>
          <t>UPPSALA LÄN</t>
        </is>
      </c>
      <c r="E366" t="inlineStr">
        <is>
          <t>UPPSALA</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34243-2021</t>
        </is>
      </c>
      <c r="B367" s="1" t="n">
        <v>44379.56163194445</v>
      </c>
      <c r="C367" s="1" t="n">
        <v>45999</v>
      </c>
      <c r="D367" t="inlineStr">
        <is>
          <t>UPPSALA LÄN</t>
        </is>
      </c>
      <c r="E367" t="inlineStr">
        <is>
          <t>UPPSALA</t>
        </is>
      </c>
      <c r="G367" t="n">
        <v>1.9</v>
      </c>
      <c r="H367" t="n">
        <v>0</v>
      </c>
      <c r="I367" t="n">
        <v>0</v>
      </c>
      <c r="J367" t="n">
        <v>0</v>
      </c>
      <c r="K367" t="n">
        <v>0</v>
      </c>
      <c r="L367" t="n">
        <v>0</v>
      </c>
      <c r="M367" t="n">
        <v>0</v>
      </c>
      <c r="N367" t="n">
        <v>0</v>
      </c>
      <c r="O367" t="n">
        <v>0</v>
      </c>
      <c r="P367" t="n">
        <v>0</v>
      </c>
      <c r="Q367" t="n">
        <v>0</v>
      </c>
      <c r="R367" s="2" t="inlineStr"/>
    </row>
    <row r="368" ht="15" customHeight="1">
      <c r="A368" t="inlineStr">
        <is>
          <t>A 17788-2023</t>
        </is>
      </c>
      <c r="B368" s="1" t="n">
        <v>45037</v>
      </c>
      <c r="C368" s="1" t="n">
        <v>45999</v>
      </c>
      <c r="D368" t="inlineStr">
        <is>
          <t>UPPSALA LÄN</t>
        </is>
      </c>
      <c r="E368" t="inlineStr">
        <is>
          <t>UPPSALA</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33941-2023</t>
        </is>
      </c>
      <c r="B369" s="1" t="n">
        <v>45134.57021990741</v>
      </c>
      <c r="C369" s="1" t="n">
        <v>45999</v>
      </c>
      <c r="D369" t="inlineStr">
        <is>
          <t>UPPSALA LÄN</t>
        </is>
      </c>
      <c r="E369" t="inlineStr">
        <is>
          <t>UPPSALA</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13799-2024</t>
        </is>
      </c>
      <c r="B370" s="1" t="n">
        <v>45391.37361111111</v>
      </c>
      <c r="C370" s="1" t="n">
        <v>45999</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70031-2021</t>
        </is>
      </c>
      <c r="B371" s="1" t="n">
        <v>44533.46665509259</v>
      </c>
      <c r="C371" s="1" t="n">
        <v>45999</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33816-2024</t>
        </is>
      </c>
      <c r="B372" s="1" t="n">
        <v>45520</v>
      </c>
      <c r="C372" s="1" t="n">
        <v>45999</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2927-2022</t>
        </is>
      </c>
      <c r="B373" s="1" t="n">
        <v>44581.60254629629</v>
      </c>
      <c r="C373" s="1" t="n">
        <v>45999</v>
      </c>
      <c r="D373" t="inlineStr">
        <is>
          <t>UPPSALA LÄN</t>
        </is>
      </c>
      <c r="E373" t="inlineStr">
        <is>
          <t>UPPSALA</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60691-2024</t>
        </is>
      </c>
      <c r="B374" s="1" t="n">
        <v>45644.47723379629</v>
      </c>
      <c r="C374" s="1" t="n">
        <v>45999</v>
      </c>
      <c r="D374" t="inlineStr">
        <is>
          <t>UPPSALA LÄN</t>
        </is>
      </c>
      <c r="E374" t="inlineStr">
        <is>
          <t>UPPSALA</t>
        </is>
      </c>
      <c r="G374" t="n">
        <v>1.4</v>
      </c>
      <c r="H374" t="n">
        <v>0</v>
      </c>
      <c r="I374" t="n">
        <v>0</v>
      </c>
      <c r="J374" t="n">
        <v>0</v>
      </c>
      <c r="K374" t="n">
        <v>0</v>
      </c>
      <c r="L374" t="n">
        <v>0</v>
      </c>
      <c r="M374" t="n">
        <v>0</v>
      </c>
      <c r="N374" t="n">
        <v>0</v>
      </c>
      <c r="O374" t="n">
        <v>0</v>
      </c>
      <c r="P374" t="n">
        <v>0</v>
      </c>
      <c r="Q374" t="n">
        <v>0</v>
      </c>
      <c r="R374" s="2" t="inlineStr"/>
    </row>
    <row r="375" ht="15" customHeight="1">
      <c r="A375" t="inlineStr">
        <is>
          <t>A 733-2022</t>
        </is>
      </c>
      <c r="B375" s="1" t="n">
        <v>44568.67040509259</v>
      </c>
      <c r="C375" s="1" t="n">
        <v>45999</v>
      </c>
      <c r="D375" t="inlineStr">
        <is>
          <t>UPPSALA LÄN</t>
        </is>
      </c>
      <c r="E375" t="inlineStr">
        <is>
          <t>UPPSALA</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15629-2023</t>
        </is>
      </c>
      <c r="B376" s="1" t="n">
        <v>45021.29524305555</v>
      </c>
      <c r="C376" s="1" t="n">
        <v>45999</v>
      </c>
      <c r="D376" t="inlineStr">
        <is>
          <t>UPPSALA LÄN</t>
        </is>
      </c>
      <c r="E376" t="inlineStr">
        <is>
          <t>UPPSALA</t>
        </is>
      </c>
      <c r="F376" t="inlineStr">
        <is>
          <t>Övriga Aktiebolag</t>
        </is>
      </c>
      <c r="G376" t="n">
        <v>7</v>
      </c>
      <c r="H376" t="n">
        <v>0</v>
      </c>
      <c r="I376" t="n">
        <v>0</v>
      </c>
      <c r="J376" t="n">
        <v>0</v>
      </c>
      <c r="K376" t="n">
        <v>0</v>
      </c>
      <c r="L376" t="n">
        <v>0</v>
      </c>
      <c r="M376" t="n">
        <v>0</v>
      </c>
      <c r="N376" t="n">
        <v>0</v>
      </c>
      <c r="O376" t="n">
        <v>0</v>
      </c>
      <c r="P376" t="n">
        <v>0</v>
      </c>
      <c r="Q376" t="n">
        <v>0</v>
      </c>
      <c r="R376" s="2" t="inlineStr"/>
    </row>
    <row r="377" ht="15" customHeight="1">
      <c r="A377" t="inlineStr">
        <is>
          <t>A 46745-2024</t>
        </is>
      </c>
      <c r="B377" s="1" t="n">
        <v>45583</v>
      </c>
      <c r="C377" s="1" t="n">
        <v>45999</v>
      </c>
      <c r="D377" t="inlineStr">
        <is>
          <t>UPPSALA LÄN</t>
        </is>
      </c>
      <c r="E377" t="inlineStr">
        <is>
          <t>UPPSALA</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46748-2024</t>
        </is>
      </c>
      <c r="B378" s="1" t="n">
        <v>45583</v>
      </c>
      <c r="C378" s="1" t="n">
        <v>45999</v>
      </c>
      <c r="D378" t="inlineStr">
        <is>
          <t>UPPSALA LÄN</t>
        </is>
      </c>
      <c r="E378" t="inlineStr">
        <is>
          <t>UPPSALA</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70228-2021</t>
        </is>
      </c>
      <c r="B379" s="1" t="n">
        <v>44535</v>
      </c>
      <c r="C379" s="1" t="n">
        <v>45999</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59719-2022</t>
        </is>
      </c>
      <c r="B380" s="1" t="n">
        <v>44908.425625</v>
      </c>
      <c r="C380" s="1" t="n">
        <v>45999</v>
      </c>
      <c r="D380" t="inlineStr">
        <is>
          <t>UPPSALA LÄN</t>
        </is>
      </c>
      <c r="E380" t="inlineStr">
        <is>
          <t>UPPSALA</t>
        </is>
      </c>
      <c r="G380" t="n">
        <v>3.6</v>
      </c>
      <c r="H380" t="n">
        <v>0</v>
      </c>
      <c r="I380" t="n">
        <v>0</v>
      </c>
      <c r="J380" t="n">
        <v>0</v>
      </c>
      <c r="K380" t="n">
        <v>0</v>
      </c>
      <c r="L380" t="n">
        <v>0</v>
      </c>
      <c r="M380" t="n">
        <v>0</v>
      </c>
      <c r="N380" t="n">
        <v>0</v>
      </c>
      <c r="O380" t="n">
        <v>0</v>
      </c>
      <c r="P380" t="n">
        <v>0</v>
      </c>
      <c r="Q380" t="n">
        <v>0</v>
      </c>
      <c r="R380" s="2" t="inlineStr"/>
    </row>
    <row r="381" ht="15" customHeight="1">
      <c r="A381" t="inlineStr">
        <is>
          <t>A 12221-2022</t>
        </is>
      </c>
      <c r="B381" s="1" t="n">
        <v>44637.35744212963</v>
      </c>
      <c r="C381" s="1" t="n">
        <v>45999</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17481-2023</t>
        </is>
      </c>
      <c r="B382" s="1" t="n">
        <v>45036</v>
      </c>
      <c r="C382" s="1" t="n">
        <v>45999</v>
      </c>
      <c r="D382" t="inlineStr">
        <is>
          <t>UPPSALA LÄN</t>
        </is>
      </c>
      <c r="E382" t="inlineStr">
        <is>
          <t>UPPSALA</t>
        </is>
      </c>
      <c r="G382" t="n">
        <v>1.9</v>
      </c>
      <c r="H382" t="n">
        <v>0</v>
      </c>
      <c r="I382" t="n">
        <v>0</v>
      </c>
      <c r="J382" t="n">
        <v>0</v>
      </c>
      <c r="K382" t="n">
        <v>0</v>
      </c>
      <c r="L382" t="n">
        <v>0</v>
      </c>
      <c r="M382" t="n">
        <v>0</v>
      </c>
      <c r="N382" t="n">
        <v>0</v>
      </c>
      <c r="O382" t="n">
        <v>0</v>
      </c>
      <c r="P382" t="n">
        <v>0</v>
      </c>
      <c r="Q382" t="n">
        <v>0</v>
      </c>
      <c r="R382" s="2" t="inlineStr"/>
    </row>
    <row r="383" ht="15" customHeight="1">
      <c r="A383" t="inlineStr">
        <is>
          <t>A 56067-2024</t>
        </is>
      </c>
      <c r="B383" s="1" t="n">
        <v>45624</v>
      </c>
      <c r="C383" s="1" t="n">
        <v>45999</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29145-2021</t>
        </is>
      </c>
      <c r="B384" s="1" t="n">
        <v>44358.63490740741</v>
      </c>
      <c r="C384" s="1" t="n">
        <v>45999</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3353-2023</t>
        </is>
      </c>
      <c r="B385" s="1" t="n">
        <v>44949.4708912037</v>
      </c>
      <c r="C385" s="1" t="n">
        <v>45999</v>
      </c>
      <c r="D385" t="inlineStr">
        <is>
          <t>UPPSALA LÄN</t>
        </is>
      </c>
      <c r="E385" t="inlineStr">
        <is>
          <t>UPPSALA</t>
        </is>
      </c>
      <c r="G385" t="n">
        <v>3</v>
      </c>
      <c r="H385" t="n">
        <v>0</v>
      </c>
      <c r="I385" t="n">
        <v>0</v>
      </c>
      <c r="J385" t="n">
        <v>0</v>
      </c>
      <c r="K385" t="n">
        <v>0</v>
      </c>
      <c r="L385" t="n">
        <v>0</v>
      </c>
      <c r="M385" t="n">
        <v>0</v>
      </c>
      <c r="N385" t="n">
        <v>0</v>
      </c>
      <c r="O385" t="n">
        <v>0</v>
      </c>
      <c r="P385" t="n">
        <v>0</v>
      </c>
      <c r="Q385" t="n">
        <v>0</v>
      </c>
      <c r="R385" s="2" t="inlineStr"/>
    </row>
    <row r="386" ht="15" customHeight="1">
      <c r="A386" t="inlineStr">
        <is>
          <t>A 38493-2023</t>
        </is>
      </c>
      <c r="B386" s="1" t="n">
        <v>45162</v>
      </c>
      <c r="C386" s="1" t="n">
        <v>45999</v>
      </c>
      <c r="D386" t="inlineStr">
        <is>
          <t>UPPSALA LÄN</t>
        </is>
      </c>
      <c r="E386" t="inlineStr">
        <is>
          <t>UPPSALA</t>
        </is>
      </c>
      <c r="F386" t="inlineStr">
        <is>
          <t>Allmännings- och besparingsskogar</t>
        </is>
      </c>
      <c r="G386" t="n">
        <v>3.5</v>
      </c>
      <c r="H386" t="n">
        <v>0</v>
      </c>
      <c r="I386" t="n">
        <v>0</v>
      </c>
      <c r="J386" t="n">
        <v>0</v>
      </c>
      <c r="K386" t="n">
        <v>0</v>
      </c>
      <c r="L386" t="n">
        <v>0</v>
      </c>
      <c r="M386" t="n">
        <v>0</v>
      </c>
      <c r="N386" t="n">
        <v>0</v>
      </c>
      <c r="O386" t="n">
        <v>0</v>
      </c>
      <c r="P386" t="n">
        <v>0</v>
      </c>
      <c r="Q386" t="n">
        <v>0</v>
      </c>
      <c r="R386" s="2" t="inlineStr"/>
    </row>
    <row r="387" ht="15" customHeight="1">
      <c r="A387" t="inlineStr">
        <is>
          <t>A 37618-2023</t>
        </is>
      </c>
      <c r="B387" s="1" t="n">
        <v>45159.44694444445</v>
      </c>
      <c r="C387" s="1" t="n">
        <v>45999</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37819-2021</t>
        </is>
      </c>
      <c r="B388" s="1" t="n">
        <v>44403.29719907408</v>
      </c>
      <c r="C388" s="1" t="n">
        <v>45999</v>
      </c>
      <c r="D388" t="inlineStr">
        <is>
          <t>UPPSALA LÄN</t>
        </is>
      </c>
      <c r="E388" t="inlineStr">
        <is>
          <t>UPPSALA</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35142-2023</t>
        </is>
      </c>
      <c r="B389" s="1" t="n">
        <v>45145</v>
      </c>
      <c r="C389" s="1" t="n">
        <v>45999</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47083-2023</t>
        </is>
      </c>
      <c r="B390" s="1" t="n">
        <v>45201.62318287037</v>
      </c>
      <c r="C390" s="1" t="n">
        <v>45999</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3086-2023</t>
        </is>
      </c>
      <c r="B391" s="1" t="n">
        <v>44946.43564814814</v>
      </c>
      <c r="C391" s="1" t="n">
        <v>45999</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16811-2023</t>
        </is>
      </c>
      <c r="B392" s="1" t="n">
        <v>45033</v>
      </c>
      <c r="C392" s="1" t="n">
        <v>45999</v>
      </c>
      <c r="D392" t="inlineStr">
        <is>
          <t>UPPSALA LÄN</t>
        </is>
      </c>
      <c r="E392" t="inlineStr">
        <is>
          <t>UPPSALA</t>
        </is>
      </c>
      <c r="G392" t="n">
        <v>10.1</v>
      </c>
      <c r="H392" t="n">
        <v>0</v>
      </c>
      <c r="I392" t="n">
        <v>0</v>
      </c>
      <c r="J392" t="n">
        <v>0</v>
      </c>
      <c r="K392" t="n">
        <v>0</v>
      </c>
      <c r="L392" t="n">
        <v>0</v>
      </c>
      <c r="M392" t="n">
        <v>0</v>
      </c>
      <c r="N392" t="n">
        <v>0</v>
      </c>
      <c r="O392" t="n">
        <v>0</v>
      </c>
      <c r="P392" t="n">
        <v>0</v>
      </c>
      <c r="Q392" t="n">
        <v>0</v>
      </c>
      <c r="R392" s="2" t="inlineStr"/>
    </row>
    <row r="393" ht="15" customHeight="1">
      <c r="A393" t="inlineStr">
        <is>
          <t>A 69436-2021</t>
        </is>
      </c>
      <c r="B393" s="1" t="n">
        <v>44531</v>
      </c>
      <c r="C393" s="1" t="n">
        <v>45999</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9255-2024</t>
        </is>
      </c>
      <c r="B394" s="1" t="n">
        <v>45358</v>
      </c>
      <c r="C394" s="1" t="n">
        <v>45999</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66983-2021</t>
        </is>
      </c>
      <c r="B395" s="1" t="n">
        <v>44522</v>
      </c>
      <c r="C395" s="1" t="n">
        <v>45999</v>
      </c>
      <c r="D395" t="inlineStr">
        <is>
          <t>UPPSALA LÄN</t>
        </is>
      </c>
      <c r="E395" t="inlineStr">
        <is>
          <t>UPPSALA</t>
        </is>
      </c>
      <c r="G395" t="n">
        <v>2.5</v>
      </c>
      <c r="H395" t="n">
        <v>0</v>
      </c>
      <c r="I395" t="n">
        <v>0</v>
      </c>
      <c r="J395" t="n">
        <v>0</v>
      </c>
      <c r="K395" t="n">
        <v>0</v>
      </c>
      <c r="L395" t="n">
        <v>0</v>
      </c>
      <c r="M395" t="n">
        <v>0</v>
      </c>
      <c r="N395" t="n">
        <v>0</v>
      </c>
      <c r="O395" t="n">
        <v>0</v>
      </c>
      <c r="P395" t="n">
        <v>0</v>
      </c>
      <c r="Q395" t="n">
        <v>0</v>
      </c>
      <c r="R395" s="2" t="inlineStr"/>
    </row>
    <row r="396" ht="15" customHeight="1">
      <c r="A396" t="inlineStr">
        <is>
          <t>A 9242-2022</t>
        </is>
      </c>
      <c r="B396" s="1" t="n">
        <v>44616</v>
      </c>
      <c r="C396" s="1" t="n">
        <v>45999</v>
      </c>
      <c r="D396" t="inlineStr">
        <is>
          <t>UPPSALA LÄN</t>
        </is>
      </c>
      <c r="E396" t="inlineStr">
        <is>
          <t>UPPSALA</t>
        </is>
      </c>
      <c r="F396" t="inlineStr">
        <is>
          <t>Övriga Aktiebolag</t>
        </is>
      </c>
      <c r="G396" t="n">
        <v>5.9</v>
      </c>
      <c r="H396" t="n">
        <v>0</v>
      </c>
      <c r="I396" t="n">
        <v>0</v>
      </c>
      <c r="J396" t="n">
        <v>0</v>
      </c>
      <c r="K396" t="n">
        <v>0</v>
      </c>
      <c r="L396" t="n">
        <v>0</v>
      </c>
      <c r="M396" t="n">
        <v>0</v>
      </c>
      <c r="N396" t="n">
        <v>0</v>
      </c>
      <c r="O396" t="n">
        <v>0</v>
      </c>
      <c r="P396" t="n">
        <v>0</v>
      </c>
      <c r="Q396" t="n">
        <v>0</v>
      </c>
      <c r="R396" s="2" t="inlineStr"/>
    </row>
    <row r="397" ht="15" customHeight="1">
      <c r="A397" t="inlineStr">
        <is>
          <t>A 42528-2023</t>
        </is>
      </c>
      <c r="B397" s="1" t="n">
        <v>45181.33571759259</v>
      </c>
      <c r="C397" s="1" t="n">
        <v>45999</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1573-2021</t>
        </is>
      </c>
      <c r="B398" s="1" t="n">
        <v>44209</v>
      </c>
      <c r="C398" s="1" t="n">
        <v>45999</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65659-2021</t>
        </is>
      </c>
      <c r="B399" s="1" t="n">
        <v>44516</v>
      </c>
      <c r="C399" s="1" t="n">
        <v>45999</v>
      </c>
      <c r="D399" t="inlineStr">
        <is>
          <t>UPPSALA LÄN</t>
        </is>
      </c>
      <c r="E399" t="inlineStr">
        <is>
          <t>UPPSALA</t>
        </is>
      </c>
      <c r="G399" t="n">
        <v>2.2</v>
      </c>
      <c r="H399" t="n">
        <v>0</v>
      </c>
      <c r="I399" t="n">
        <v>0</v>
      </c>
      <c r="J399" t="n">
        <v>0</v>
      </c>
      <c r="K399" t="n">
        <v>0</v>
      </c>
      <c r="L399" t="n">
        <v>0</v>
      </c>
      <c r="M399" t="n">
        <v>0</v>
      </c>
      <c r="N399" t="n">
        <v>0</v>
      </c>
      <c r="O399" t="n">
        <v>0</v>
      </c>
      <c r="P399" t="n">
        <v>0</v>
      </c>
      <c r="Q399" t="n">
        <v>0</v>
      </c>
      <c r="R399" s="2" t="inlineStr"/>
    </row>
    <row r="400" ht="15" customHeight="1">
      <c r="A400" t="inlineStr">
        <is>
          <t>A 13420-2021</t>
        </is>
      </c>
      <c r="B400" s="1" t="n">
        <v>44273</v>
      </c>
      <c r="C400" s="1" t="n">
        <v>45999</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45999</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5028-2022</t>
        </is>
      </c>
      <c r="B402" s="1" t="n">
        <v>44593.64863425926</v>
      </c>
      <c r="C402" s="1" t="n">
        <v>45999</v>
      </c>
      <c r="D402" t="inlineStr">
        <is>
          <t>UPPSALA LÄN</t>
        </is>
      </c>
      <c r="E402" t="inlineStr">
        <is>
          <t>UPPSALA</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179-2023</t>
        </is>
      </c>
      <c r="B403" s="1" t="n">
        <v>44928</v>
      </c>
      <c r="C403" s="1" t="n">
        <v>45999</v>
      </c>
      <c r="D403" t="inlineStr">
        <is>
          <t>UPPSALA LÄN</t>
        </is>
      </c>
      <c r="E403" t="inlineStr">
        <is>
          <t>UPPSALA</t>
        </is>
      </c>
      <c r="F403" t="inlineStr">
        <is>
          <t>Kommuner</t>
        </is>
      </c>
      <c r="G403" t="n">
        <v>1.4</v>
      </c>
      <c r="H403" t="n">
        <v>0</v>
      </c>
      <c r="I403" t="n">
        <v>0</v>
      </c>
      <c r="J403" t="n">
        <v>0</v>
      </c>
      <c r="K403" t="n">
        <v>0</v>
      </c>
      <c r="L403" t="n">
        <v>0</v>
      </c>
      <c r="M403" t="n">
        <v>0</v>
      </c>
      <c r="N403" t="n">
        <v>0</v>
      </c>
      <c r="O403" t="n">
        <v>0</v>
      </c>
      <c r="P403" t="n">
        <v>0</v>
      </c>
      <c r="Q403" t="n">
        <v>0</v>
      </c>
      <c r="R403" s="2" t="inlineStr"/>
    </row>
    <row r="404" ht="15" customHeight="1">
      <c r="A404" t="inlineStr">
        <is>
          <t>A 39812-2024</t>
        </is>
      </c>
      <c r="B404" s="1" t="n">
        <v>45552</v>
      </c>
      <c r="C404" s="1" t="n">
        <v>45999</v>
      </c>
      <c r="D404" t="inlineStr">
        <is>
          <t>UPPSALA LÄN</t>
        </is>
      </c>
      <c r="E404" t="inlineStr">
        <is>
          <t>UPPSALA</t>
        </is>
      </c>
      <c r="G404" t="n">
        <v>7.9</v>
      </c>
      <c r="H404" t="n">
        <v>0</v>
      </c>
      <c r="I404" t="n">
        <v>0</v>
      </c>
      <c r="J404" t="n">
        <v>0</v>
      </c>
      <c r="K404" t="n">
        <v>0</v>
      </c>
      <c r="L404" t="n">
        <v>0</v>
      </c>
      <c r="M404" t="n">
        <v>0</v>
      </c>
      <c r="N404" t="n">
        <v>0</v>
      </c>
      <c r="O404" t="n">
        <v>0</v>
      </c>
      <c r="P404" t="n">
        <v>0</v>
      </c>
      <c r="Q404" t="n">
        <v>0</v>
      </c>
      <c r="R404" s="2" t="inlineStr"/>
    </row>
    <row r="405" ht="15" customHeight="1">
      <c r="A405" t="inlineStr">
        <is>
          <t>A 42063-2023</t>
        </is>
      </c>
      <c r="B405" s="1" t="n">
        <v>45177.56940972222</v>
      </c>
      <c r="C405" s="1" t="n">
        <v>45999</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32688-2023</t>
        </is>
      </c>
      <c r="B406" s="1" t="n">
        <v>45121</v>
      </c>
      <c r="C406" s="1" t="n">
        <v>45999</v>
      </c>
      <c r="D406" t="inlineStr">
        <is>
          <t>UPPSALA LÄN</t>
        </is>
      </c>
      <c r="E406" t="inlineStr">
        <is>
          <t>UPPSALA</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39795-2022</t>
        </is>
      </c>
      <c r="B407" s="1" t="n">
        <v>44819.50233796296</v>
      </c>
      <c r="C407" s="1" t="n">
        <v>45999</v>
      </c>
      <c r="D407" t="inlineStr">
        <is>
          <t>UPPSALA LÄN</t>
        </is>
      </c>
      <c r="E407" t="inlineStr">
        <is>
          <t>UPPSALA</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9206-2022</t>
        </is>
      </c>
      <c r="B408" s="1" t="n">
        <v>44616</v>
      </c>
      <c r="C408" s="1" t="n">
        <v>45999</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55021-2022</t>
        </is>
      </c>
      <c r="B409" s="1" t="n">
        <v>44886</v>
      </c>
      <c r="C409" s="1" t="n">
        <v>45999</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13602-2025</t>
        </is>
      </c>
      <c r="B410" s="1" t="n">
        <v>45736.60863425926</v>
      </c>
      <c r="C410" s="1" t="n">
        <v>45999</v>
      </c>
      <c r="D410" t="inlineStr">
        <is>
          <t>UPPSALA LÄN</t>
        </is>
      </c>
      <c r="E410" t="inlineStr">
        <is>
          <t>UPPSALA</t>
        </is>
      </c>
      <c r="F410" t="inlineStr">
        <is>
          <t>Allmännings- och besparingsskogar</t>
        </is>
      </c>
      <c r="G410" t="n">
        <v>9.5</v>
      </c>
      <c r="H410" t="n">
        <v>0</v>
      </c>
      <c r="I410" t="n">
        <v>0</v>
      </c>
      <c r="J410" t="n">
        <v>0</v>
      </c>
      <c r="K410" t="n">
        <v>0</v>
      </c>
      <c r="L410" t="n">
        <v>0</v>
      </c>
      <c r="M410" t="n">
        <v>0</v>
      </c>
      <c r="N410" t="n">
        <v>0</v>
      </c>
      <c r="O410" t="n">
        <v>0</v>
      </c>
      <c r="P410" t="n">
        <v>0</v>
      </c>
      <c r="Q410" t="n">
        <v>0</v>
      </c>
      <c r="R410" s="2" t="inlineStr"/>
    </row>
    <row r="411" ht="15" customHeight="1">
      <c r="A411" t="inlineStr">
        <is>
          <t>A 13526-2023</t>
        </is>
      </c>
      <c r="B411" s="1" t="n">
        <v>45006</v>
      </c>
      <c r="C411" s="1" t="n">
        <v>45999</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74495-2021</t>
        </is>
      </c>
      <c r="B412" s="1" t="n">
        <v>44560</v>
      </c>
      <c r="C412" s="1" t="n">
        <v>45999</v>
      </c>
      <c r="D412" t="inlineStr">
        <is>
          <t>UPPSALA LÄN</t>
        </is>
      </c>
      <c r="E412" t="inlineStr">
        <is>
          <t>UPPSALA</t>
        </is>
      </c>
      <c r="G412" t="n">
        <v>1.9</v>
      </c>
      <c r="H412" t="n">
        <v>0</v>
      </c>
      <c r="I412" t="n">
        <v>0</v>
      </c>
      <c r="J412" t="n">
        <v>0</v>
      </c>
      <c r="K412" t="n">
        <v>0</v>
      </c>
      <c r="L412" t="n">
        <v>0</v>
      </c>
      <c r="M412" t="n">
        <v>0</v>
      </c>
      <c r="N412" t="n">
        <v>0</v>
      </c>
      <c r="O412" t="n">
        <v>0</v>
      </c>
      <c r="P412" t="n">
        <v>0</v>
      </c>
      <c r="Q412" t="n">
        <v>0</v>
      </c>
      <c r="R412" s="2" t="inlineStr"/>
    </row>
    <row r="413" ht="15" customHeight="1">
      <c r="A413" t="inlineStr">
        <is>
          <t>A 6408-2022</t>
        </is>
      </c>
      <c r="B413" s="1" t="n">
        <v>44600</v>
      </c>
      <c r="C413" s="1" t="n">
        <v>45999</v>
      </c>
      <c r="D413" t="inlineStr">
        <is>
          <t>UPPSALA LÄN</t>
        </is>
      </c>
      <c r="E413" t="inlineStr">
        <is>
          <t>UPPSALA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10383-2022</t>
        </is>
      </c>
      <c r="B414" s="1" t="n">
        <v>44623.41775462963</v>
      </c>
      <c r="C414" s="1" t="n">
        <v>45999</v>
      </c>
      <c r="D414" t="inlineStr">
        <is>
          <t>UPPSALA LÄN</t>
        </is>
      </c>
      <c r="E414" t="inlineStr">
        <is>
          <t>UPPSALA</t>
        </is>
      </c>
      <c r="F414" t="inlineStr">
        <is>
          <t>Övriga Aktiebolag</t>
        </is>
      </c>
      <c r="G414" t="n">
        <v>2.8</v>
      </c>
      <c r="H414" t="n">
        <v>0</v>
      </c>
      <c r="I414" t="n">
        <v>0</v>
      </c>
      <c r="J414" t="n">
        <v>0</v>
      </c>
      <c r="K414" t="n">
        <v>0</v>
      </c>
      <c r="L414" t="n">
        <v>0</v>
      </c>
      <c r="M414" t="n">
        <v>0</v>
      </c>
      <c r="N414" t="n">
        <v>0</v>
      </c>
      <c r="O414" t="n">
        <v>0</v>
      </c>
      <c r="P414" t="n">
        <v>0</v>
      </c>
      <c r="Q414" t="n">
        <v>0</v>
      </c>
      <c r="R414" s="2" t="inlineStr"/>
    </row>
    <row r="415" ht="15" customHeight="1">
      <c r="A415" t="inlineStr">
        <is>
          <t>A 10456-2022</t>
        </is>
      </c>
      <c r="B415" s="1" t="n">
        <v>44623.5571875</v>
      </c>
      <c r="C415" s="1" t="n">
        <v>45999</v>
      </c>
      <c r="D415" t="inlineStr">
        <is>
          <t>UPPSALA LÄN</t>
        </is>
      </c>
      <c r="E415" t="inlineStr">
        <is>
          <t>UPPSALA</t>
        </is>
      </c>
      <c r="F415" t="inlineStr">
        <is>
          <t>Övriga Aktiebolag</t>
        </is>
      </c>
      <c r="G415" t="n">
        <v>12.6</v>
      </c>
      <c r="H415" t="n">
        <v>0</v>
      </c>
      <c r="I415" t="n">
        <v>0</v>
      </c>
      <c r="J415" t="n">
        <v>0</v>
      </c>
      <c r="K415" t="n">
        <v>0</v>
      </c>
      <c r="L415" t="n">
        <v>0</v>
      </c>
      <c r="M415" t="n">
        <v>0</v>
      </c>
      <c r="N415" t="n">
        <v>0</v>
      </c>
      <c r="O415" t="n">
        <v>0</v>
      </c>
      <c r="P415" t="n">
        <v>0</v>
      </c>
      <c r="Q415" t="n">
        <v>0</v>
      </c>
      <c r="R415" s="2" t="inlineStr"/>
    </row>
    <row r="416" ht="15" customHeight="1">
      <c r="A416" t="inlineStr">
        <is>
          <t>A 39548-2023</t>
        </is>
      </c>
      <c r="B416" s="1" t="n">
        <v>45167.3721412037</v>
      </c>
      <c r="C416" s="1" t="n">
        <v>45999</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6422-2023</t>
        </is>
      </c>
      <c r="B417" s="1" t="n">
        <v>44965</v>
      </c>
      <c r="C417" s="1" t="n">
        <v>45999</v>
      </c>
      <c r="D417" t="inlineStr">
        <is>
          <t>UPPSALA LÄN</t>
        </is>
      </c>
      <c r="E417" t="inlineStr">
        <is>
          <t>UPPSALA</t>
        </is>
      </c>
      <c r="G417" t="n">
        <v>3.1</v>
      </c>
      <c r="H417" t="n">
        <v>0</v>
      </c>
      <c r="I417" t="n">
        <v>0</v>
      </c>
      <c r="J417" t="n">
        <v>0</v>
      </c>
      <c r="K417" t="n">
        <v>0</v>
      </c>
      <c r="L417" t="n">
        <v>0</v>
      </c>
      <c r="M417" t="n">
        <v>0</v>
      </c>
      <c r="N417" t="n">
        <v>0</v>
      </c>
      <c r="O417" t="n">
        <v>0</v>
      </c>
      <c r="P417" t="n">
        <v>0</v>
      </c>
      <c r="Q417" t="n">
        <v>0</v>
      </c>
      <c r="R417" s="2" t="inlineStr"/>
    </row>
    <row r="418" ht="15" customHeight="1">
      <c r="A418" t="inlineStr">
        <is>
          <t>A 6423-2023</t>
        </is>
      </c>
      <c r="B418" s="1" t="n">
        <v>44965</v>
      </c>
      <c r="C418" s="1" t="n">
        <v>45999</v>
      </c>
      <c r="D418" t="inlineStr">
        <is>
          <t>UPPSALA LÄN</t>
        </is>
      </c>
      <c r="E418" t="inlineStr">
        <is>
          <t>UPPSALA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1994-2024</t>
        </is>
      </c>
      <c r="B419" s="1" t="n">
        <v>45308.63298611111</v>
      </c>
      <c r="C419" s="1" t="n">
        <v>45999</v>
      </c>
      <c r="D419" t="inlineStr">
        <is>
          <t>UPPSALA LÄN</t>
        </is>
      </c>
      <c r="E419" t="inlineStr">
        <is>
          <t>UPPSALA</t>
        </is>
      </c>
      <c r="G419" t="n">
        <v>1.6</v>
      </c>
      <c r="H419" t="n">
        <v>0</v>
      </c>
      <c r="I419" t="n">
        <v>0</v>
      </c>
      <c r="J419" t="n">
        <v>0</v>
      </c>
      <c r="K419" t="n">
        <v>0</v>
      </c>
      <c r="L419" t="n">
        <v>0</v>
      </c>
      <c r="M419" t="n">
        <v>0</v>
      </c>
      <c r="N419" t="n">
        <v>0</v>
      </c>
      <c r="O419" t="n">
        <v>0</v>
      </c>
      <c r="P419" t="n">
        <v>0</v>
      </c>
      <c r="Q419" t="n">
        <v>0</v>
      </c>
      <c r="R419" s="2" t="inlineStr"/>
    </row>
    <row r="420" ht="15" customHeight="1">
      <c r="A420" t="inlineStr">
        <is>
          <t>A 18781-2025</t>
        </is>
      </c>
      <c r="B420" s="1" t="n">
        <v>45763</v>
      </c>
      <c r="C420" s="1" t="n">
        <v>45999</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49682-2023</t>
        </is>
      </c>
      <c r="B421" s="1" t="n">
        <v>45212.34997685185</v>
      </c>
      <c r="C421" s="1" t="n">
        <v>45999</v>
      </c>
      <c r="D421" t="inlineStr">
        <is>
          <t>UPPSALA LÄN</t>
        </is>
      </c>
      <c r="E421" t="inlineStr">
        <is>
          <t>UPPSALA</t>
        </is>
      </c>
      <c r="G421" t="n">
        <v>2.2</v>
      </c>
      <c r="H421" t="n">
        <v>0</v>
      </c>
      <c r="I421" t="n">
        <v>0</v>
      </c>
      <c r="J421" t="n">
        <v>0</v>
      </c>
      <c r="K421" t="n">
        <v>0</v>
      </c>
      <c r="L421" t="n">
        <v>0</v>
      </c>
      <c r="M421" t="n">
        <v>0</v>
      </c>
      <c r="N421" t="n">
        <v>0</v>
      </c>
      <c r="O421" t="n">
        <v>0</v>
      </c>
      <c r="P421" t="n">
        <v>0</v>
      </c>
      <c r="Q421" t="n">
        <v>0</v>
      </c>
      <c r="R421" s="2" t="inlineStr"/>
    </row>
    <row r="422" ht="15" customHeight="1">
      <c r="A422" t="inlineStr">
        <is>
          <t>A 55073-2022</t>
        </is>
      </c>
      <c r="B422" s="1" t="n">
        <v>44886.5928125</v>
      </c>
      <c r="C422" s="1" t="n">
        <v>45999</v>
      </c>
      <c r="D422" t="inlineStr">
        <is>
          <t>UPPSALA LÄN</t>
        </is>
      </c>
      <c r="E422" t="inlineStr">
        <is>
          <t>UPPSALA</t>
        </is>
      </c>
      <c r="G422" t="n">
        <v>1</v>
      </c>
      <c r="H422" t="n">
        <v>0</v>
      </c>
      <c r="I422" t="n">
        <v>0</v>
      </c>
      <c r="J422" t="n">
        <v>0</v>
      </c>
      <c r="K422" t="n">
        <v>0</v>
      </c>
      <c r="L422" t="n">
        <v>0</v>
      </c>
      <c r="M422" t="n">
        <v>0</v>
      </c>
      <c r="N422" t="n">
        <v>0</v>
      </c>
      <c r="O422" t="n">
        <v>0</v>
      </c>
      <c r="P422" t="n">
        <v>0</v>
      </c>
      <c r="Q422" t="n">
        <v>0</v>
      </c>
      <c r="R422" s="2" t="inlineStr"/>
    </row>
    <row r="423" ht="15" customHeight="1">
      <c r="A423" t="inlineStr">
        <is>
          <t>A 43-2024</t>
        </is>
      </c>
      <c r="B423" s="1" t="n">
        <v>45293</v>
      </c>
      <c r="C423" s="1" t="n">
        <v>45999</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10674-2022</t>
        </is>
      </c>
      <c r="B424" s="1" t="n">
        <v>44624.64538194444</v>
      </c>
      <c r="C424" s="1" t="n">
        <v>45999</v>
      </c>
      <c r="D424" t="inlineStr">
        <is>
          <t>UPPSALA LÄN</t>
        </is>
      </c>
      <c r="E424" t="inlineStr">
        <is>
          <t>UPPSALA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60735-2024</t>
        </is>
      </c>
      <c r="B425" s="1" t="n">
        <v>45644</v>
      </c>
      <c r="C425" s="1" t="n">
        <v>45999</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42681-2023</t>
        </is>
      </c>
      <c r="B426" s="1" t="n">
        <v>45181.58055555556</v>
      </c>
      <c r="C426" s="1" t="n">
        <v>45999</v>
      </c>
      <c r="D426" t="inlineStr">
        <is>
          <t>UPPSALA LÄN</t>
        </is>
      </c>
      <c r="E426" t="inlineStr">
        <is>
          <t>UPPSALA</t>
        </is>
      </c>
      <c r="F426" t="inlineStr">
        <is>
          <t>Bergvik skog öst AB</t>
        </is>
      </c>
      <c r="G426" t="n">
        <v>3.1</v>
      </c>
      <c r="H426" t="n">
        <v>0</v>
      </c>
      <c r="I426" t="n">
        <v>0</v>
      </c>
      <c r="J426" t="n">
        <v>0</v>
      </c>
      <c r="K426" t="n">
        <v>0</v>
      </c>
      <c r="L426" t="n">
        <v>0</v>
      </c>
      <c r="M426" t="n">
        <v>0</v>
      </c>
      <c r="N426" t="n">
        <v>0</v>
      </c>
      <c r="O426" t="n">
        <v>0</v>
      </c>
      <c r="P426" t="n">
        <v>0</v>
      </c>
      <c r="Q426" t="n">
        <v>0</v>
      </c>
      <c r="R426" s="2" t="inlineStr"/>
    </row>
    <row r="427" ht="15" customHeight="1">
      <c r="A427" t="inlineStr">
        <is>
          <t>A 1592-2025</t>
        </is>
      </c>
      <c r="B427" s="1" t="n">
        <v>45670</v>
      </c>
      <c r="C427" s="1" t="n">
        <v>45999</v>
      </c>
      <c r="D427" t="inlineStr">
        <is>
          <t>UPPSALA LÄN</t>
        </is>
      </c>
      <c r="E427" t="inlineStr">
        <is>
          <t>UPPSALA</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37626-2023</t>
        </is>
      </c>
      <c r="B428" s="1" t="n">
        <v>45159.45748842593</v>
      </c>
      <c r="C428" s="1" t="n">
        <v>45999</v>
      </c>
      <c r="D428" t="inlineStr">
        <is>
          <t>UPPSALA LÄN</t>
        </is>
      </c>
      <c r="E428" t="inlineStr">
        <is>
          <t>UPPSALA</t>
        </is>
      </c>
      <c r="G428" t="n">
        <v>0.6</v>
      </c>
      <c r="H428" t="n">
        <v>0</v>
      </c>
      <c r="I428" t="n">
        <v>0</v>
      </c>
      <c r="J428" t="n">
        <v>0</v>
      </c>
      <c r="K428" t="n">
        <v>0</v>
      </c>
      <c r="L428" t="n">
        <v>0</v>
      </c>
      <c r="M428" t="n">
        <v>0</v>
      </c>
      <c r="N428" t="n">
        <v>0</v>
      </c>
      <c r="O428" t="n">
        <v>0</v>
      </c>
      <c r="P428" t="n">
        <v>0</v>
      </c>
      <c r="Q428" t="n">
        <v>0</v>
      </c>
      <c r="R428" s="2" t="inlineStr"/>
    </row>
    <row r="429" ht="15" customHeight="1">
      <c r="A429" t="inlineStr">
        <is>
          <t>A 60445-2024</t>
        </is>
      </c>
      <c r="B429" s="1" t="n">
        <v>45643</v>
      </c>
      <c r="C429" s="1" t="n">
        <v>45999</v>
      </c>
      <c r="D429" t="inlineStr">
        <is>
          <t>UPPSALA LÄN</t>
        </is>
      </c>
      <c r="E429" t="inlineStr">
        <is>
          <t>UPPSALA</t>
        </is>
      </c>
      <c r="G429" t="n">
        <v>1</v>
      </c>
      <c r="H429" t="n">
        <v>0</v>
      </c>
      <c r="I429" t="n">
        <v>0</v>
      </c>
      <c r="J429" t="n">
        <v>0</v>
      </c>
      <c r="K429" t="n">
        <v>0</v>
      </c>
      <c r="L429" t="n">
        <v>0</v>
      </c>
      <c r="M429" t="n">
        <v>0</v>
      </c>
      <c r="N429" t="n">
        <v>0</v>
      </c>
      <c r="O429" t="n">
        <v>0</v>
      </c>
      <c r="P429" t="n">
        <v>0</v>
      </c>
      <c r="Q429" t="n">
        <v>0</v>
      </c>
      <c r="R429" s="2" t="inlineStr"/>
    </row>
    <row r="430" ht="15" customHeight="1">
      <c r="A430" t="inlineStr">
        <is>
          <t>A 17232-2022</t>
        </is>
      </c>
      <c r="B430" s="1" t="n">
        <v>44678.3315625</v>
      </c>
      <c r="C430" s="1" t="n">
        <v>45999</v>
      </c>
      <c r="D430" t="inlineStr">
        <is>
          <t>UPPSALA LÄN</t>
        </is>
      </c>
      <c r="E430" t="inlineStr">
        <is>
          <t>UPPSALA</t>
        </is>
      </c>
      <c r="F430" t="inlineStr">
        <is>
          <t>Övriga Aktiebolag</t>
        </is>
      </c>
      <c r="G430" t="n">
        <v>7.4</v>
      </c>
      <c r="H430" t="n">
        <v>0</v>
      </c>
      <c r="I430" t="n">
        <v>0</v>
      </c>
      <c r="J430" t="n">
        <v>0</v>
      </c>
      <c r="K430" t="n">
        <v>0</v>
      </c>
      <c r="L430" t="n">
        <v>0</v>
      </c>
      <c r="M430" t="n">
        <v>0</v>
      </c>
      <c r="N430" t="n">
        <v>0</v>
      </c>
      <c r="O430" t="n">
        <v>0</v>
      </c>
      <c r="P430" t="n">
        <v>0</v>
      </c>
      <c r="Q430" t="n">
        <v>0</v>
      </c>
      <c r="R430" s="2" t="inlineStr"/>
    </row>
    <row r="431" ht="15" customHeight="1">
      <c r="A431" t="inlineStr">
        <is>
          <t>A 8404-2022</t>
        </is>
      </c>
      <c r="B431" s="1" t="n">
        <v>44610</v>
      </c>
      <c r="C431" s="1" t="n">
        <v>45999</v>
      </c>
      <c r="D431" t="inlineStr">
        <is>
          <t>UPPSALA LÄN</t>
        </is>
      </c>
      <c r="E431" t="inlineStr">
        <is>
          <t>UPPSALA</t>
        </is>
      </c>
      <c r="F431" t="inlineStr">
        <is>
          <t>Allmännings- och besparingsskogar</t>
        </is>
      </c>
      <c r="G431" t="n">
        <v>5.4</v>
      </c>
      <c r="H431" t="n">
        <v>0</v>
      </c>
      <c r="I431" t="n">
        <v>0</v>
      </c>
      <c r="J431" t="n">
        <v>0</v>
      </c>
      <c r="K431" t="n">
        <v>0</v>
      </c>
      <c r="L431" t="n">
        <v>0</v>
      </c>
      <c r="M431" t="n">
        <v>0</v>
      </c>
      <c r="N431" t="n">
        <v>0</v>
      </c>
      <c r="O431" t="n">
        <v>0</v>
      </c>
      <c r="P431" t="n">
        <v>0</v>
      </c>
      <c r="Q431" t="n">
        <v>0</v>
      </c>
      <c r="R431" s="2" t="inlineStr"/>
    </row>
    <row r="432" ht="15" customHeight="1">
      <c r="A432" t="inlineStr">
        <is>
          <t>A 53921-2024</t>
        </is>
      </c>
      <c r="B432" s="1" t="n">
        <v>45615</v>
      </c>
      <c r="C432" s="1" t="n">
        <v>45999</v>
      </c>
      <c r="D432" t="inlineStr">
        <is>
          <t>UPPSALA LÄN</t>
        </is>
      </c>
      <c r="E432" t="inlineStr">
        <is>
          <t>UPPSALA</t>
        </is>
      </c>
      <c r="G432" t="n">
        <v>8.1</v>
      </c>
      <c r="H432" t="n">
        <v>0</v>
      </c>
      <c r="I432" t="n">
        <v>0</v>
      </c>
      <c r="J432" t="n">
        <v>0</v>
      </c>
      <c r="K432" t="n">
        <v>0</v>
      </c>
      <c r="L432" t="n">
        <v>0</v>
      </c>
      <c r="M432" t="n">
        <v>0</v>
      </c>
      <c r="N432" t="n">
        <v>0</v>
      </c>
      <c r="O432" t="n">
        <v>0</v>
      </c>
      <c r="P432" t="n">
        <v>0</v>
      </c>
      <c r="Q432" t="n">
        <v>0</v>
      </c>
      <c r="R432" s="2" t="inlineStr"/>
    </row>
    <row r="433" ht="15" customHeight="1">
      <c r="A433" t="inlineStr">
        <is>
          <t>A 59562-2024</t>
        </is>
      </c>
      <c r="B433" s="1" t="n">
        <v>45638</v>
      </c>
      <c r="C433" s="1" t="n">
        <v>45999</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27543-2022</t>
        </is>
      </c>
      <c r="B434" s="1" t="n">
        <v>44742</v>
      </c>
      <c r="C434" s="1" t="n">
        <v>45999</v>
      </c>
      <c r="D434" t="inlineStr">
        <is>
          <t>UPPSALA LÄN</t>
        </is>
      </c>
      <c r="E434" t="inlineStr">
        <is>
          <t>UPPSALA</t>
        </is>
      </c>
      <c r="F434" t="inlineStr">
        <is>
          <t>Kyrkan</t>
        </is>
      </c>
      <c r="G434" t="n">
        <v>2.6</v>
      </c>
      <c r="H434" t="n">
        <v>0</v>
      </c>
      <c r="I434" t="n">
        <v>0</v>
      </c>
      <c r="J434" t="n">
        <v>0</v>
      </c>
      <c r="K434" t="n">
        <v>0</v>
      </c>
      <c r="L434" t="n">
        <v>0</v>
      </c>
      <c r="M434" t="n">
        <v>0</v>
      </c>
      <c r="N434" t="n">
        <v>0</v>
      </c>
      <c r="O434" t="n">
        <v>0</v>
      </c>
      <c r="P434" t="n">
        <v>0</v>
      </c>
      <c r="Q434" t="n">
        <v>0</v>
      </c>
      <c r="R434" s="2" t="inlineStr"/>
    </row>
    <row r="435" ht="15" customHeight="1">
      <c r="A435" t="inlineStr">
        <is>
          <t>A 60698-2024</t>
        </is>
      </c>
      <c r="B435" s="1" t="n">
        <v>45644</v>
      </c>
      <c r="C435" s="1" t="n">
        <v>45999</v>
      </c>
      <c r="D435" t="inlineStr">
        <is>
          <t>UPPSALA LÄN</t>
        </is>
      </c>
      <c r="E435" t="inlineStr">
        <is>
          <t>UPPSALA</t>
        </is>
      </c>
      <c r="G435" t="n">
        <v>2</v>
      </c>
      <c r="H435" t="n">
        <v>0</v>
      </c>
      <c r="I435" t="n">
        <v>0</v>
      </c>
      <c r="J435" t="n">
        <v>0</v>
      </c>
      <c r="K435" t="n">
        <v>0</v>
      </c>
      <c r="L435" t="n">
        <v>0</v>
      </c>
      <c r="M435" t="n">
        <v>0</v>
      </c>
      <c r="N435" t="n">
        <v>0</v>
      </c>
      <c r="O435" t="n">
        <v>0</v>
      </c>
      <c r="P435" t="n">
        <v>0</v>
      </c>
      <c r="Q435" t="n">
        <v>0</v>
      </c>
      <c r="R435" s="2" t="inlineStr"/>
    </row>
    <row r="436" ht="15" customHeight="1">
      <c r="A436" t="inlineStr">
        <is>
          <t>A 44115-2023</t>
        </is>
      </c>
      <c r="B436" s="1" t="n">
        <v>45188</v>
      </c>
      <c r="C436" s="1" t="n">
        <v>45999</v>
      </c>
      <c r="D436" t="inlineStr">
        <is>
          <t>UPPSALA LÄN</t>
        </is>
      </c>
      <c r="E436" t="inlineStr">
        <is>
          <t>UPPSALA</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53893-2023</t>
        </is>
      </c>
      <c r="B437" s="1" t="n">
        <v>45231</v>
      </c>
      <c r="C437" s="1" t="n">
        <v>45999</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6679-2024</t>
        </is>
      </c>
      <c r="B438" s="1" t="n">
        <v>45341</v>
      </c>
      <c r="C438" s="1" t="n">
        <v>45999</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49050-2024</t>
        </is>
      </c>
      <c r="B439" s="1" t="n">
        <v>45594</v>
      </c>
      <c r="C439" s="1" t="n">
        <v>45999</v>
      </c>
      <c r="D439" t="inlineStr">
        <is>
          <t>UPPSALA LÄN</t>
        </is>
      </c>
      <c r="E439" t="inlineStr">
        <is>
          <t>UPPSALA</t>
        </is>
      </c>
      <c r="F439" t="inlineStr">
        <is>
          <t>Övriga statliga verk och myndigheter</t>
        </is>
      </c>
      <c r="G439" t="n">
        <v>3.9</v>
      </c>
      <c r="H439" t="n">
        <v>0</v>
      </c>
      <c r="I439" t="n">
        <v>0</v>
      </c>
      <c r="J439" t="n">
        <v>0</v>
      </c>
      <c r="K439" t="n">
        <v>0</v>
      </c>
      <c r="L439" t="n">
        <v>0</v>
      </c>
      <c r="M439" t="n">
        <v>0</v>
      </c>
      <c r="N439" t="n">
        <v>0</v>
      </c>
      <c r="O439" t="n">
        <v>0</v>
      </c>
      <c r="P439" t="n">
        <v>0</v>
      </c>
      <c r="Q439" t="n">
        <v>0</v>
      </c>
      <c r="R439" s="2" t="inlineStr"/>
    </row>
    <row r="440" ht="15" customHeight="1">
      <c r="A440" t="inlineStr">
        <is>
          <t>A 1825-2024</t>
        </is>
      </c>
      <c r="B440" s="1" t="n">
        <v>45307</v>
      </c>
      <c r="C440" s="1" t="n">
        <v>45999</v>
      </c>
      <c r="D440" t="inlineStr">
        <is>
          <t>UPPSALA LÄN</t>
        </is>
      </c>
      <c r="E440" t="inlineStr">
        <is>
          <t>UPPSALA</t>
        </is>
      </c>
      <c r="G440" t="n">
        <v>4.2</v>
      </c>
      <c r="H440" t="n">
        <v>0</v>
      </c>
      <c r="I440" t="n">
        <v>0</v>
      </c>
      <c r="J440" t="n">
        <v>0</v>
      </c>
      <c r="K440" t="n">
        <v>0</v>
      </c>
      <c r="L440" t="n">
        <v>0</v>
      </c>
      <c r="M440" t="n">
        <v>0</v>
      </c>
      <c r="N440" t="n">
        <v>0</v>
      </c>
      <c r="O440" t="n">
        <v>0</v>
      </c>
      <c r="P440" t="n">
        <v>0</v>
      </c>
      <c r="Q440" t="n">
        <v>0</v>
      </c>
      <c r="R440" s="2" t="inlineStr"/>
    </row>
    <row r="441" ht="15" customHeight="1">
      <c r="A441" t="inlineStr">
        <is>
          <t>A 42772-2022</t>
        </is>
      </c>
      <c r="B441" s="1" t="n">
        <v>44832.49594907407</v>
      </c>
      <c r="C441" s="1" t="n">
        <v>45999</v>
      </c>
      <c r="D441" t="inlineStr">
        <is>
          <t>UPPSALA LÄN</t>
        </is>
      </c>
      <c r="E441" t="inlineStr">
        <is>
          <t>UPPSALA</t>
        </is>
      </c>
      <c r="G441" t="n">
        <v>17.7</v>
      </c>
      <c r="H441" t="n">
        <v>0</v>
      </c>
      <c r="I441" t="n">
        <v>0</v>
      </c>
      <c r="J441" t="n">
        <v>0</v>
      </c>
      <c r="K441" t="n">
        <v>0</v>
      </c>
      <c r="L441" t="n">
        <v>0</v>
      </c>
      <c r="M441" t="n">
        <v>0</v>
      </c>
      <c r="N441" t="n">
        <v>0</v>
      </c>
      <c r="O441" t="n">
        <v>0</v>
      </c>
      <c r="P441" t="n">
        <v>0</v>
      </c>
      <c r="Q441" t="n">
        <v>0</v>
      </c>
      <c r="R441" s="2" t="inlineStr"/>
    </row>
    <row r="442" ht="15" customHeight="1">
      <c r="A442" t="inlineStr">
        <is>
          <t>A 53266-2024</t>
        </is>
      </c>
      <c r="B442" s="1" t="n">
        <v>45614</v>
      </c>
      <c r="C442" s="1" t="n">
        <v>45999</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4412-2024</t>
        </is>
      </c>
      <c r="B443" s="1" t="n">
        <v>45327</v>
      </c>
      <c r="C443" s="1" t="n">
        <v>45999</v>
      </c>
      <c r="D443" t="inlineStr">
        <is>
          <t>UPPSALA LÄN</t>
        </is>
      </c>
      <c r="E443" t="inlineStr">
        <is>
          <t>UPPSALA</t>
        </is>
      </c>
      <c r="G443" t="n">
        <v>5.4</v>
      </c>
      <c r="H443" t="n">
        <v>0</v>
      </c>
      <c r="I443" t="n">
        <v>0</v>
      </c>
      <c r="J443" t="n">
        <v>0</v>
      </c>
      <c r="K443" t="n">
        <v>0</v>
      </c>
      <c r="L443" t="n">
        <v>0</v>
      </c>
      <c r="M443" t="n">
        <v>0</v>
      </c>
      <c r="N443" t="n">
        <v>0</v>
      </c>
      <c r="O443" t="n">
        <v>0</v>
      </c>
      <c r="P443" t="n">
        <v>0</v>
      </c>
      <c r="Q443" t="n">
        <v>0</v>
      </c>
      <c r="R443" s="2" t="inlineStr"/>
    </row>
    <row r="444" ht="15" customHeight="1">
      <c r="A444" t="inlineStr">
        <is>
          <t>A 781-2024</t>
        </is>
      </c>
      <c r="B444" s="1" t="n">
        <v>45300.55028935185</v>
      </c>
      <c r="C444" s="1" t="n">
        <v>45999</v>
      </c>
      <c r="D444" t="inlineStr">
        <is>
          <t>UPPSALA LÄN</t>
        </is>
      </c>
      <c r="E444" t="inlineStr">
        <is>
          <t>UPPSALA</t>
        </is>
      </c>
      <c r="G444" t="n">
        <v>6.3</v>
      </c>
      <c r="H444" t="n">
        <v>0</v>
      </c>
      <c r="I444" t="n">
        <v>0</v>
      </c>
      <c r="J444" t="n">
        <v>0</v>
      </c>
      <c r="K444" t="n">
        <v>0</v>
      </c>
      <c r="L444" t="n">
        <v>0</v>
      </c>
      <c r="M444" t="n">
        <v>0</v>
      </c>
      <c r="N444" t="n">
        <v>0</v>
      </c>
      <c r="O444" t="n">
        <v>0</v>
      </c>
      <c r="P444" t="n">
        <v>0</v>
      </c>
      <c r="Q444" t="n">
        <v>0</v>
      </c>
      <c r="R444" s="2" t="inlineStr"/>
    </row>
    <row r="445" ht="15" customHeight="1">
      <c r="A445" t="inlineStr">
        <is>
          <t>A 787-2024</t>
        </is>
      </c>
      <c r="B445" s="1" t="n">
        <v>45300</v>
      </c>
      <c r="C445" s="1" t="n">
        <v>45999</v>
      </c>
      <c r="D445" t="inlineStr">
        <is>
          <t>UPPSALA LÄN</t>
        </is>
      </c>
      <c r="E445" t="inlineStr">
        <is>
          <t>UPPSALA</t>
        </is>
      </c>
      <c r="G445" t="n">
        <v>3</v>
      </c>
      <c r="H445" t="n">
        <v>0</v>
      </c>
      <c r="I445" t="n">
        <v>0</v>
      </c>
      <c r="J445" t="n">
        <v>0</v>
      </c>
      <c r="K445" t="n">
        <v>0</v>
      </c>
      <c r="L445" t="n">
        <v>0</v>
      </c>
      <c r="M445" t="n">
        <v>0</v>
      </c>
      <c r="N445" t="n">
        <v>0</v>
      </c>
      <c r="O445" t="n">
        <v>0</v>
      </c>
      <c r="P445" t="n">
        <v>0</v>
      </c>
      <c r="Q445" t="n">
        <v>0</v>
      </c>
      <c r="R445" s="2" t="inlineStr"/>
    </row>
    <row r="446" ht="15" customHeight="1">
      <c r="A446" t="inlineStr">
        <is>
          <t>A 1588-2025</t>
        </is>
      </c>
      <c r="B446" s="1" t="n">
        <v>45670</v>
      </c>
      <c r="C446" s="1" t="n">
        <v>45999</v>
      </c>
      <c r="D446" t="inlineStr">
        <is>
          <t>UPPSALA LÄN</t>
        </is>
      </c>
      <c r="E446" t="inlineStr">
        <is>
          <t>UPPSALA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27599-2023</t>
        </is>
      </c>
      <c r="B447" s="1" t="n">
        <v>45097</v>
      </c>
      <c r="C447" s="1" t="n">
        <v>45999</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6363-2024</t>
        </is>
      </c>
      <c r="B448" s="1" t="n">
        <v>45338.49412037037</v>
      </c>
      <c r="C448" s="1" t="n">
        <v>45999</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20703-2025</t>
        </is>
      </c>
      <c r="B449" s="1" t="n">
        <v>45776.48275462963</v>
      </c>
      <c r="C449" s="1" t="n">
        <v>45999</v>
      </c>
      <c r="D449" t="inlineStr">
        <is>
          <t>UPPSALA LÄN</t>
        </is>
      </c>
      <c r="E449" t="inlineStr">
        <is>
          <t>UPPSALA</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7058-2023</t>
        </is>
      </c>
      <c r="B450" s="1" t="n">
        <v>44969</v>
      </c>
      <c r="C450" s="1" t="n">
        <v>45999</v>
      </c>
      <c r="D450" t="inlineStr">
        <is>
          <t>UPPSALA LÄN</t>
        </is>
      </c>
      <c r="E450" t="inlineStr">
        <is>
          <t>UPPSALA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20712-2025</t>
        </is>
      </c>
      <c r="B451" s="1" t="n">
        <v>45776</v>
      </c>
      <c r="C451" s="1" t="n">
        <v>45999</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10490-2025</t>
        </is>
      </c>
      <c r="B452" s="1" t="n">
        <v>45721.35173611111</v>
      </c>
      <c r="C452" s="1" t="n">
        <v>45999</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3214-2023</t>
        </is>
      </c>
      <c r="B453" s="1" t="n">
        <v>44944</v>
      </c>
      <c r="C453" s="1" t="n">
        <v>45999</v>
      </c>
      <c r="D453" t="inlineStr">
        <is>
          <t>UPPSALA LÄN</t>
        </is>
      </c>
      <c r="E453" t="inlineStr">
        <is>
          <t>UPPSALA</t>
        </is>
      </c>
      <c r="G453" t="n">
        <v>4.1</v>
      </c>
      <c r="H453" t="n">
        <v>0</v>
      </c>
      <c r="I453" t="n">
        <v>0</v>
      </c>
      <c r="J453" t="n">
        <v>0</v>
      </c>
      <c r="K453" t="n">
        <v>0</v>
      </c>
      <c r="L453" t="n">
        <v>0</v>
      </c>
      <c r="M453" t="n">
        <v>0</v>
      </c>
      <c r="N453" t="n">
        <v>0</v>
      </c>
      <c r="O453" t="n">
        <v>0</v>
      </c>
      <c r="P453" t="n">
        <v>0</v>
      </c>
      <c r="Q453" t="n">
        <v>0</v>
      </c>
      <c r="R453" s="2" t="inlineStr"/>
    </row>
    <row r="454" ht="15" customHeight="1">
      <c r="A454" t="inlineStr">
        <is>
          <t>A 54924-2024</t>
        </is>
      </c>
      <c r="B454" s="1" t="n">
        <v>45618.71140046296</v>
      </c>
      <c r="C454" s="1" t="n">
        <v>45999</v>
      </c>
      <c r="D454" t="inlineStr">
        <is>
          <t>UPPSALA LÄN</t>
        </is>
      </c>
      <c r="E454" t="inlineStr">
        <is>
          <t>UPPSALA</t>
        </is>
      </c>
      <c r="G454" t="n">
        <v>2.4</v>
      </c>
      <c r="H454" t="n">
        <v>0</v>
      </c>
      <c r="I454" t="n">
        <v>0</v>
      </c>
      <c r="J454" t="n">
        <v>0</v>
      </c>
      <c r="K454" t="n">
        <v>0</v>
      </c>
      <c r="L454" t="n">
        <v>0</v>
      </c>
      <c r="M454" t="n">
        <v>0</v>
      </c>
      <c r="N454" t="n">
        <v>0</v>
      </c>
      <c r="O454" t="n">
        <v>0</v>
      </c>
      <c r="P454" t="n">
        <v>0</v>
      </c>
      <c r="Q454" t="n">
        <v>0</v>
      </c>
      <c r="R454" s="2" t="inlineStr"/>
    </row>
    <row r="455" ht="15" customHeight="1">
      <c r="A455" t="inlineStr">
        <is>
          <t>A 20686-2025</t>
        </is>
      </c>
      <c r="B455" s="1" t="n">
        <v>45776.45263888889</v>
      </c>
      <c r="C455" s="1" t="n">
        <v>45999</v>
      </c>
      <c r="D455" t="inlineStr">
        <is>
          <t>UPPSALA LÄN</t>
        </is>
      </c>
      <c r="E455" t="inlineStr">
        <is>
          <t>UPPSALA</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29815-2023</t>
        </is>
      </c>
      <c r="B456" s="1" t="n">
        <v>45107.55574074074</v>
      </c>
      <c r="C456" s="1" t="n">
        <v>45999</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50669-2024</t>
        </is>
      </c>
      <c r="B457" s="1" t="n">
        <v>45601</v>
      </c>
      <c r="C457" s="1" t="n">
        <v>45999</v>
      </c>
      <c r="D457" t="inlineStr">
        <is>
          <t>UPPSALA LÄN</t>
        </is>
      </c>
      <c r="E457" t="inlineStr">
        <is>
          <t>UPPSALA</t>
        </is>
      </c>
      <c r="G457" t="n">
        <v>1.2</v>
      </c>
      <c r="H457" t="n">
        <v>0</v>
      </c>
      <c r="I457" t="n">
        <v>0</v>
      </c>
      <c r="J457" t="n">
        <v>0</v>
      </c>
      <c r="K457" t="n">
        <v>0</v>
      </c>
      <c r="L457" t="n">
        <v>0</v>
      </c>
      <c r="M457" t="n">
        <v>0</v>
      </c>
      <c r="N457" t="n">
        <v>0</v>
      </c>
      <c r="O457" t="n">
        <v>0</v>
      </c>
      <c r="P457" t="n">
        <v>0</v>
      </c>
      <c r="Q457" t="n">
        <v>0</v>
      </c>
      <c r="R457" s="2" t="inlineStr"/>
    </row>
    <row r="458" ht="15" customHeight="1">
      <c r="A458" t="inlineStr">
        <is>
          <t>A 12293-2022</t>
        </is>
      </c>
      <c r="B458" s="1" t="n">
        <v>44637.56178240741</v>
      </c>
      <c r="C458" s="1" t="n">
        <v>45999</v>
      </c>
      <c r="D458" t="inlineStr">
        <is>
          <t>UPPSALA LÄN</t>
        </is>
      </c>
      <c r="E458" t="inlineStr">
        <is>
          <t>UPPSALA</t>
        </is>
      </c>
      <c r="F458" t="inlineStr">
        <is>
          <t>Kommuner</t>
        </is>
      </c>
      <c r="G458" t="n">
        <v>0.8</v>
      </c>
      <c r="H458" t="n">
        <v>0</v>
      </c>
      <c r="I458" t="n">
        <v>0</v>
      </c>
      <c r="J458" t="n">
        <v>0</v>
      </c>
      <c r="K458" t="n">
        <v>0</v>
      </c>
      <c r="L458" t="n">
        <v>0</v>
      </c>
      <c r="M458" t="n">
        <v>0</v>
      </c>
      <c r="N458" t="n">
        <v>0</v>
      </c>
      <c r="O458" t="n">
        <v>0</v>
      </c>
      <c r="P458" t="n">
        <v>0</v>
      </c>
      <c r="Q458" t="n">
        <v>0</v>
      </c>
      <c r="R458" s="2" t="inlineStr"/>
    </row>
    <row r="459" ht="15" customHeight="1">
      <c r="A459" t="inlineStr">
        <is>
          <t>A 20797-2025</t>
        </is>
      </c>
      <c r="B459" s="1" t="n">
        <v>45776.6415162037</v>
      </c>
      <c r="C459" s="1" t="n">
        <v>45999</v>
      </c>
      <c r="D459" t="inlineStr">
        <is>
          <t>UPPSALA LÄN</t>
        </is>
      </c>
      <c r="E459" t="inlineStr">
        <is>
          <t>UPPSALA</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36782-2023</t>
        </is>
      </c>
      <c r="B460" s="1" t="n">
        <v>45154.35092592592</v>
      </c>
      <c r="C460" s="1" t="n">
        <v>45999</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14337-2022</t>
        </is>
      </c>
      <c r="B461" s="1" t="n">
        <v>44652</v>
      </c>
      <c r="C461" s="1" t="n">
        <v>45999</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2980-2025</t>
        </is>
      </c>
      <c r="B462" s="1" t="n">
        <v>45678</v>
      </c>
      <c r="C462" s="1" t="n">
        <v>45999</v>
      </c>
      <c r="D462" t="inlineStr">
        <is>
          <t>UPPSALA LÄN</t>
        </is>
      </c>
      <c r="E462" t="inlineStr">
        <is>
          <t>UPPSALA</t>
        </is>
      </c>
      <c r="G462" t="n">
        <v>5</v>
      </c>
      <c r="H462" t="n">
        <v>0</v>
      </c>
      <c r="I462" t="n">
        <v>0</v>
      </c>
      <c r="J462" t="n">
        <v>0</v>
      </c>
      <c r="K462" t="n">
        <v>0</v>
      </c>
      <c r="L462" t="n">
        <v>0</v>
      </c>
      <c r="M462" t="n">
        <v>0</v>
      </c>
      <c r="N462" t="n">
        <v>0</v>
      </c>
      <c r="O462" t="n">
        <v>0</v>
      </c>
      <c r="P462" t="n">
        <v>0</v>
      </c>
      <c r="Q462" t="n">
        <v>0</v>
      </c>
      <c r="R462" s="2" t="inlineStr"/>
    </row>
    <row r="463" ht="15" customHeight="1">
      <c r="A463" t="inlineStr">
        <is>
          <t>A 17448-2022</t>
        </is>
      </c>
      <c r="B463" s="1" t="n">
        <v>44679</v>
      </c>
      <c r="C463" s="1" t="n">
        <v>45999</v>
      </c>
      <c r="D463" t="inlineStr">
        <is>
          <t>UPPSALA LÄN</t>
        </is>
      </c>
      <c r="E463" t="inlineStr">
        <is>
          <t>UPPSALA</t>
        </is>
      </c>
      <c r="G463" t="n">
        <v>2.7</v>
      </c>
      <c r="H463" t="n">
        <v>0</v>
      </c>
      <c r="I463" t="n">
        <v>0</v>
      </c>
      <c r="J463" t="n">
        <v>0</v>
      </c>
      <c r="K463" t="n">
        <v>0</v>
      </c>
      <c r="L463" t="n">
        <v>0</v>
      </c>
      <c r="M463" t="n">
        <v>0</v>
      </c>
      <c r="N463" t="n">
        <v>0</v>
      </c>
      <c r="O463" t="n">
        <v>0</v>
      </c>
      <c r="P463" t="n">
        <v>0</v>
      </c>
      <c r="Q463" t="n">
        <v>0</v>
      </c>
      <c r="R463" s="2" t="inlineStr"/>
    </row>
    <row r="464" ht="15" customHeight="1">
      <c r="A464" t="inlineStr">
        <is>
          <t>A 35906-2023</t>
        </is>
      </c>
      <c r="B464" s="1" t="n">
        <v>45148</v>
      </c>
      <c r="C464" s="1" t="n">
        <v>45999</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35914-2023</t>
        </is>
      </c>
      <c r="B465" s="1" t="n">
        <v>45148</v>
      </c>
      <c r="C465" s="1" t="n">
        <v>45999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35916-2023</t>
        </is>
      </c>
      <c r="B466" s="1" t="n">
        <v>45148</v>
      </c>
      <c r="C466" s="1" t="n">
        <v>45999</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4312-2022</t>
        </is>
      </c>
      <c r="B467" s="1" t="n">
        <v>44588</v>
      </c>
      <c r="C467" s="1" t="n">
        <v>45999</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20888-2025</t>
        </is>
      </c>
      <c r="B468" s="1" t="n">
        <v>45777.37119212963</v>
      </c>
      <c r="C468" s="1" t="n">
        <v>45999</v>
      </c>
      <c r="D468" t="inlineStr">
        <is>
          <t>UPPSALA LÄN</t>
        </is>
      </c>
      <c r="E468" t="inlineStr">
        <is>
          <t>UPPSALA</t>
        </is>
      </c>
      <c r="F468" t="inlineStr">
        <is>
          <t>Övriga statliga verk och myndigheter</t>
        </is>
      </c>
      <c r="G468" t="n">
        <v>5.1</v>
      </c>
      <c r="H468" t="n">
        <v>0</v>
      </c>
      <c r="I468" t="n">
        <v>0</v>
      </c>
      <c r="J468" t="n">
        <v>0</v>
      </c>
      <c r="K468" t="n">
        <v>0</v>
      </c>
      <c r="L468" t="n">
        <v>0</v>
      </c>
      <c r="M468" t="n">
        <v>0</v>
      </c>
      <c r="N468" t="n">
        <v>0</v>
      </c>
      <c r="O468" t="n">
        <v>0</v>
      </c>
      <c r="P468" t="n">
        <v>0</v>
      </c>
      <c r="Q468" t="n">
        <v>0</v>
      </c>
      <c r="R468" s="2" t="inlineStr"/>
    </row>
    <row r="469" ht="15" customHeight="1">
      <c r="A469" t="inlineStr">
        <is>
          <t>A 20874-2025</t>
        </is>
      </c>
      <c r="B469" s="1" t="n">
        <v>45777.34894675926</v>
      </c>
      <c r="C469" s="1" t="n">
        <v>45999</v>
      </c>
      <c r="D469" t="inlineStr">
        <is>
          <t>UPPSALA LÄN</t>
        </is>
      </c>
      <c r="E469" t="inlineStr">
        <is>
          <t>UPPSALA</t>
        </is>
      </c>
      <c r="F469" t="inlineStr">
        <is>
          <t>Övriga Aktiebolag</t>
        </is>
      </c>
      <c r="G469" t="n">
        <v>3.9</v>
      </c>
      <c r="H469" t="n">
        <v>0</v>
      </c>
      <c r="I469" t="n">
        <v>0</v>
      </c>
      <c r="J469" t="n">
        <v>0</v>
      </c>
      <c r="K469" t="n">
        <v>0</v>
      </c>
      <c r="L469" t="n">
        <v>0</v>
      </c>
      <c r="M469" t="n">
        <v>0</v>
      </c>
      <c r="N469" t="n">
        <v>0</v>
      </c>
      <c r="O469" t="n">
        <v>0</v>
      </c>
      <c r="P469" t="n">
        <v>0</v>
      </c>
      <c r="Q469" t="n">
        <v>0</v>
      </c>
      <c r="R469" s="2" t="inlineStr"/>
    </row>
    <row r="470" ht="15" customHeight="1">
      <c r="A470" t="inlineStr">
        <is>
          <t>A 20858-2025</t>
        </is>
      </c>
      <c r="B470" s="1" t="n">
        <v>45777.32731481481</v>
      </c>
      <c r="C470" s="1" t="n">
        <v>45999</v>
      </c>
      <c r="D470" t="inlineStr">
        <is>
          <t>UPPSALA LÄN</t>
        </is>
      </c>
      <c r="E470" t="inlineStr">
        <is>
          <t>UPPSALA</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4065-2024</t>
        </is>
      </c>
      <c r="B471" s="1" t="n">
        <v>45323.55914351852</v>
      </c>
      <c r="C471" s="1" t="n">
        <v>45999</v>
      </c>
      <c r="D471" t="inlineStr">
        <is>
          <t>UPPSALA LÄN</t>
        </is>
      </c>
      <c r="E471" t="inlineStr">
        <is>
          <t>UPPSALA</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23291-2024</t>
        </is>
      </c>
      <c r="B472" s="1" t="n">
        <v>45453</v>
      </c>
      <c r="C472" s="1" t="n">
        <v>45999</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21033-2025</t>
        </is>
      </c>
      <c r="B473" s="1" t="n">
        <v>45777.52655092593</v>
      </c>
      <c r="C473" s="1" t="n">
        <v>45999</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20928-2025</t>
        </is>
      </c>
      <c r="B474" s="1" t="n">
        <v>45777</v>
      </c>
      <c r="C474" s="1" t="n">
        <v>45999</v>
      </c>
      <c r="D474" t="inlineStr">
        <is>
          <t>UPPSALA LÄN</t>
        </is>
      </c>
      <c r="E474" t="inlineStr">
        <is>
          <t>UPPSALA</t>
        </is>
      </c>
      <c r="G474" t="n">
        <v>11.9</v>
      </c>
      <c r="H474" t="n">
        <v>0</v>
      </c>
      <c r="I474" t="n">
        <v>0</v>
      </c>
      <c r="J474" t="n">
        <v>0</v>
      </c>
      <c r="K474" t="n">
        <v>0</v>
      </c>
      <c r="L474" t="n">
        <v>0</v>
      </c>
      <c r="M474" t="n">
        <v>0</v>
      </c>
      <c r="N474" t="n">
        <v>0</v>
      </c>
      <c r="O474" t="n">
        <v>0</v>
      </c>
      <c r="P474" t="n">
        <v>0</v>
      </c>
      <c r="Q474" t="n">
        <v>0</v>
      </c>
      <c r="R474" s="2" t="inlineStr"/>
    </row>
    <row r="475" ht="15" customHeight="1">
      <c r="A475" t="inlineStr">
        <is>
          <t>A 45662-2023</t>
        </is>
      </c>
      <c r="B475" s="1" t="n">
        <v>45194</v>
      </c>
      <c r="C475" s="1" t="n">
        <v>45999</v>
      </c>
      <c r="D475" t="inlineStr">
        <is>
          <t>UPPSALA LÄN</t>
        </is>
      </c>
      <c r="E475" t="inlineStr">
        <is>
          <t>UPPSALA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33667-2024</t>
        </is>
      </c>
      <c r="B476" s="1" t="n">
        <v>45520</v>
      </c>
      <c r="C476" s="1" t="n">
        <v>45999</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45999</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62054-2024</t>
        </is>
      </c>
      <c r="B478" s="1" t="n">
        <v>45656</v>
      </c>
      <c r="C478" s="1" t="n">
        <v>45999</v>
      </c>
      <c r="D478" t="inlineStr">
        <is>
          <t>UPPSALA LÄN</t>
        </is>
      </c>
      <c r="E478" t="inlineStr">
        <is>
          <t>UPPSALA</t>
        </is>
      </c>
      <c r="F478" t="inlineStr">
        <is>
          <t>Övriga statliga verk och myndigheter</t>
        </is>
      </c>
      <c r="G478" t="n">
        <v>29.3</v>
      </c>
      <c r="H478" t="n">
        <v>0</v>
      </c>
      <c r="I478" t="n">
        <v>0</v>
      </c>
      <c r="J478" t="n">
        <v>0</v>
      </c>
      <c r="K478" t="n">
        <v>0</v>
      </c>
      <c r="L478" t="n">
        <v>0</v>
      </c>
      <c r="M478" t="n">
        <v>0</v>
      </c>
      <c r="N478" t="n">
        <v>0</v>
      </c>
      <c r="O478" t="n">
        <v>0</v>
      </c>
      <c r="P478" t="n">
        <v>0</v>
      </c>
      <c r="Q478" t="n">
        <v>0</v>
      </c>
      <c r="R478" s="2" t="inlineStr"/>
    </row>
    <row r="479" ht="15" customHeight="1">
      <c r="A479" t="inlineStr">
        <is>
          <t>A 21281-2025</t>
        </is>
      </c>
      <c r="B479" s="1" t="n">
        <v>45779.6665162037</v>
      </c>
      <c r="C479" s="1" t="n">
        <v>45999</v>
      </c>
      <c r="D479" t="inlineStr">
        <is>
          <t>UPPSALA LÄN</t>
        </is>
      </c>
      <c r="E479" t="inlineStr">
        <is>
          <t>UPPSALA</t>
        </is>
      </c>
      <c r="F479" t="inlineStr">
        <is>
          <t>Övriga Aktiebolag</t>
        </is>
      </c>
      <c r="G479" t="n">
        <v>5.9</v>
      </c>
      <c r="H479" t="n">
        <v>0</v>
      </c>
      <c r="I479" t="n">
        <v>0</v>
      </c>
      <c r="J479" t="n">
        <v>0</v>
      </c>
      <c r="K479" t="n">
        <v>0</v>
      </c>
      <c r="L479" t="n">
        <v>0</v>
      </c>
      <c r="M479" t="n">
        <v>0</v>
      </c>
      <c r="N479" t="n">
        <v>0</v>
      </c>
      <c r="O479" t="n">
        <v>0</v>
      </c>
      <c r="P479" t="n">
        <v>0</v>
      </c>
      <c r="Q479" t="n">
        <v>0</v>
      </c>
      <c r="R479" s="2" t="inlineStr"/>
    </row>
    <row r="480" ht="15" customHeight="1">
      <c r="A480" t="inlineStr">
        <is>
          <t>A 34114-2024</t>
        </is>
      </c>
      <c r="B480" s="1" t="n">
        <v>45524</v>
      </c>
      <c r="C480" s="1" t="n">
        <v>45999</v>
      </c>
      <c r="D480" t="inlineStr">
        <is>
          <t>UPPSALA LÄN</t>
        </is>
      </c>
      <c r="E480" t="inlineStr">
        <is>
          <t>UPPSALA</t>
        </is>
      </c>
      <c r="F480" t="inlineStr">
        <is>
          <t>Allmännings- och besparingsskogar</t>
        </is>
      </c>
      <c r="G480" t="n">
        <v>1.3</v>
      </c>
      <c r="H480" t="n">
        <v>0</v>
      </c>
      <c r="I480" t="n">
        <v>0</v>
      </c>
      <c r="J480" t="n">
        <v>0</v>
      </c>
      <c r="K480" t="n">
        <v>0</v>
      </c>
      <c r="L480" t="n">
        <v>0</v>
      </c>
      <c r="M480" t="n">
        <v>0</v>
      </c>
      <c r="N480" t="n">
        <v>0</v>
      </c>
      <c r="O480" t="n">
        <v>0</v>
      </c>
      <c r="P480" t="n">
        <v>0</v>
      </c>
      <c r="Q480" t="n">
        <v>0</v>
      </c>
      <c r="R480" s="2" t="inlineStr"/>
    </row>
    <row r="481" ht="15" customHeight="1">
      <c r="A481" t="inlineStr">
        <is>
          <t>A 21279-2025</t>
        </is>
      </c>
      <c r="B481" s="1" t="n">
        <v>45779.65787037037</v>
      </c>
      <c r="C481" s="1" t="n">
        <v>45999</v>
      </c>
      <c r="D481" t="inlineStr">
        <is>
          <t>UPPSALA LÄN</t>
        </is>
      </c>
      <c r="E481" t="inlineStr">
        <is>
          <t>UPPSALA</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5722-2025</t>
        </is>
      </c>
      <c r="B482" s="1" t="n">
        <v>45694</v>
      </c>
      <c r="C482" s="1" t="n">
        <v>45999</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37316-2022</t>
        </is>
      </c>
      <c r="B483" s="1" t="n">
        <v>44806</v>
      </c>
      <c r="C483" s="1" t="n">
        <v>45999</v>
      </c>
      <c r="D483" t="inlineStr">
        <is>
          <t>UPPSALA LÄN</t>
        </is>
      </c>
      <c r="E483" t="inlineStr">
        <is>
          <t>UPPSALA</t>
        </is>
      </c>
      <c r="G483" t="n">
        <v>10.6</v>
      </c>
      <c r="H483" t="n">
        <v>0</v>
      </c>
      <c r="I483" t="n">
        <v>0</v>
      </c>
      <c r="J483" t="n">
        <v>0</v>
      </c>
      <c r="K483" t="n">
        <v>0</v>
      </c>
      <c r="L483" t="n">
        <v>0</v>
      </c>
      <c r="M483" t="n">
        <v>0</v>
      </c>
      <c r="N483" t="n">
        <v>0</v>
      </c>
      <c r="O483" t="n">
        <v>0</v>
      </c>
      <c r="P483" t="n">
        <v>0</v>
      </c>
      <c r="Q483" t="n">
        <v>0</v>
      </c>
      <c r="R483" s="2" t="inlineStr"/>
    </row>
    <row r="484" ht="15" customHeight="1">
      <c r="A484" t="inlineStr">
        <is>
          <t>A 50463-2024</t>
        </is>
      </c>
      <c r="B484" s="1" t="n">
        <v>45601</v>
      </c>
      <c r="C484" s="1" t="n">
        <v>45999</v>
      </c>
      <c r="D484" t="inlineStr">
        <is>
          <t>UPPSALA LÄN</t>
        </is>
      </c>
      <c r="E484" t="inlineStr">
        <is>
          <t>UPPSALA</t>
        </is>
      </c>
      <c r="F484" t="inlineStr">
        <is>
          <t>Allmännings- och besparingsskogar</t>
        </is>
      </c>
      <c r="G484" t="n">
        <v>12.6</v>
      </c>
      <c r="H484" t="n">
        <v>0</v>
      </c>
      <c r="I484" t="n">
        <v>0</v>
      </c>
      <c r="J484" t="n">
        <v>0</v>
      </c>
      <c r="K484" t="n">
        <v>0</v>
      </c>
      <c r="L484" t="n">
        <v>0</v>
      </c>
      <c r="M484" t="n">
        <v>0</v>
      </c>
      <c r="N484" t="n">
        <v>0</v>
      </c>
      <c r="O484" t="n">
        <v>0</v>
      </c>
      <c r="P484" t="n">
        <v>0</v>
      </c>
      <c r="Q484" t="n">
        <v>0</v>
      </c>
      <c r="R484" s="2" t="inlineStr"/>
    </row>
    <row r="485" ht="15" customHeight="1">
      <c r="A485" t="inlineStr">
        <is>
          <t>A 7611-2023</t>
        </is>
      </c>
      <c r="B485" s="1" t="n">
        <v>44967</v>
      </c>
      <c r="C485" s="1" t="n">
        <v>45999</v>
      </c>
      <c r="D485" t="inlineStr">
        <is>
          <t>UPPSALA LÄN</t>
        </is>
      </c>
      <c r="E485" t="inlineStr">
        <is>
          <t>UPPSALA</t>
        </is>
      </c>
      <c r="G485" t="n">
        <v>3.5</v>
      </c>
      <c r="H485" t="n">
        <v>0</v>
      </c>
      <c r="I485" t="n">
        <v>0</v>
      </c>
      <c r="J485" t="n">
        <v>0</v>
      </c>
      <c r="K485" t="n">
        <v>0</v>
      </c>
      <c r="L485" t="n">
        <v>0</v>
      </c>
      <c r="M485" t="n">
        <v>0</v>
      </c>
      <c r="N485" t="n">
        <v>0</v>
      </c>
      <c r="O485" t="n">
        <v>0</v>
      </c>
      <c r="P485" t="n">
        <v>0</v>
      </c>
      <c r="Q485" t="n">
        <v>0</v>
      </c>
      <c r="R485" s="2" t="inlineStr"/>
    </row>
    <row r="486" ht="15" customHeight="1">
      <c r="A486" t="inlineStr">
        <is>
          <t>A 19380-2023</t>
        </is>
      </c>
      <c r="B486" s="1" t="n">
        <v>45049.66025462963</v>
      </c>
      <c r="C486" s="1" t="n">
        <v>45999</v>
      </c>
      <c r="D486" t="inlineStr">
        <is>
          <t>UPPSALA LÄN</t>
        </is>
      </c>
      <c r="E486" t="inlineStr">
        <is>
          <t>UPPSALA</t>
        </is>
      </c>
      <c r="G486" t="n">
        <v>1</v>
      </c>
      <c r="H486" t="n">
        <v>0</v>
      </c>
      <c r="I486" t="n">
        <v>0</v>
      </c>
      <c r="J486" t="n">
        <v>0</v>
      </c>
      <c r="K486" t="n">
        <v>0</v>
      </c>
      <c r="L486" t="n">
        <v>0</v>
      </c>
      <c r="M486" t="n">
        <v>0</v>
      </c>
      <c r="N486" t="n">
        <v>0</v>
      </c>
      <c r="O486" t="n">
        <v>0</v>
      </c>
      <c r="P486" t="n">
        <v>0</v>
      </c>
      <c r="Q486" t="n">
        <v>0</v>
      </c>
      <c r="R486" s="2" t="inlineStr"/>
    </row>
    <row r="487" ht="15" customHeight="1">
      <c r="A487" t="inlineStr">
        <is>
          <t>A 21217-2025</t>
        </is>
      </c>
      <c r="B487" s="1" t="n">
        <v>45779.49085648148</v>
      </c>
      <c r="C487" s="1" t="n">
        <v>45999</v>
      </c>
      <c r="D487" t="inlineStr">
        <is>
          <t>UPPSALA LÄN</t>
        </is>
      </c>
      <c r="E487" t="inlineStr">
        <is>
          <t>UPPSALA</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60056-2022</t>
        </is>
      </c>
      <c r="B488" s="1" t="n">
        <v>44909</v>
      </c>
      <c r="C488" s="1" t="n">
        <v>45999</v>
      </c>
      <c r="D488" t="inlineStr">
        <is>
          <t>UPPSALA LÄN</t>
        </is>
      </c>
      <c r="E488" t="inlineStr">
        <is>
          <t>UPPSALA</t>
        </is>
      </c>
      <c r="G488" t="n">
        <v>1.2</v>
      </c>
      <c r="H488" t="n">
        <v>0</v>
      </c>
      <c r="I488" t="n">
        <v>0</v>
      </c>
      <c r="J488" t="n">
        <v>0</v>
      </c>
      <c r="K488" t="n">
        <v>0</v>
      </c>
      <c r="L488" t="n">
        <v>0</v>
      </c>
      <c r="M488" t="n">
        <v>0</v>
      </c>
      <c r="N488" t="n">
        <v>0</v>
      </c>
      <c r="O488" t="n">
        <v>0</v>
      </c>
      <c r="P488" t="n">
        <v>0</v>
      </c>
      <c r="Q488" t="n">
        <v>0</v>
      </c>
      <c r="R488" s="2" t="inlineStr"/>
    </row>
    <row r="489" ht="15" customHeight="1">
      <c r="A489" t="inlineStr">
        <is>
          <t>A 5989-2022</t>
        </is>
      </c>
      <c r="B489" s="1" t="n">
        <v>44599.42277777778</v>
      </c>
      <c r="C489" s="1" t="n">
        <v>45999</v>
      </c>
      <c r="D489" t="inlineStr">
        <is>
          <t>UPPSALA LÄN</t>
        </is>
      </c>
      <c r="E489" t="inlineStr">
        <is>
          <t>UPPSALA</t>
        </is>
      </c>
      <c r="G489" t="n">
        <v>2.8</v>
      </c>
      <c r="H489" t="n">
        <v>0</v>
      </c>
      <c r="I489" t="n">
        <v>0</v>
      </c>
      <c r="J489" t="n">
        <v>0</v>
      </c>
      <c r="K489" t="n">
        <v>0</v>
      </c>
      <c r="L489" t="n">
        <v>0</v>
      </c>
      <c r="M489" t="n">
        <v>0</v>
      </c>
      <c r="N489" t="n">
        <v>0</v>
      </c>
      <c r="O489" t="n">
        <v>0</v>
      </c>
      <c r="P489" t="n">
        <v>0</v>
      </c>
      <c r="Q489" t="n">
        <v>0</v>
      </c>
      <c r="R489" s="2" t="inlineStr"/>
    </row>
    <row r="490" ht="15" customHeight="1">
      <c r="A490" t="inlineStr">
        <is>
          <t>A 5189-2022</t>
        </is>
      </c>
      <c r="B490" s="1" t="n">
        <v>44594</v>
      </c>
      <c r="C490" s="1" t="n">
        <v>45999</v>
      </c>
      <c r="D490" t="inlineStr">
        <is>
          <t>UPPSALA LÄN</t>
        </is>
      </c>
      <c r="E490" t="inlineStr">
        <is>
          <t>UPPSALA</t>
        </is>
      </c>
      <c r="G490" t="n">
        <v>5.9</v>
      </c>
      <c r="H490" t="n">
        <v>0</v>
      </c>
      <c r="I490" t="n">
        <v>0</v>
      </c>
      <c r="J490" t="n">
        <v>0</v>
      </c>
      <c r="K490" t="n">
        <v>0</v>
      </c>
      <c r="L490" t="n">
        <v>0</v>
      </c>
      <c r="M490" t="n">
        <v>0</v>
      </c>
      <c r="N490" t="n">
        <v>0</v>
      </c>
      <c r="O490" t="n">
        <v>0</v>
      </c>
      <c r="P490" t="n">
        <v>0</v>
      </c>
      <c r="Q490" t="n">
        <v>0</v>
      </c>
      <c r="R490" s="2" t="inlineStr"/>
    </row>
    <row r="491" ht="15" customHeight="1">
      <c r="A491" t="inlineStr">
        <is>
          <t>A 59547-2024</t>
        </is>
      </c>
      <c r="B491" s="1" t="n">
        <v>45638</v>
      </c>
      <c r="C491" s="1" t="n">
        <v>45999</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5006-2022</t>
        </is>
      </c>
      <c r="B492" s="1" t="n">
        <v>44593</v>
      </c>
      <c r="C492" s="1" t="n">
        <v>45999</v>
      </c>
      <c r="D492" t="inlineStr">
        <is>
          <t>UPPSALA LÄN</t>
        </is>
      </c>
      <c r="E492" t="inlineStr">
        <is>
          <t>UPPSALA</t>
        </is>
      </c>
      <c r="F492" t="inlineStr">
        <is>
          <t>BillerudKorsnäs AB</t>
        </is>
      </c>
      <c r="G492" t="n">
        <v>1.4</v>
      </c>
      <c r="H492" t="n">
        <v>0</v>
      </c>
      <c r="I492" t="n">
        <v>0</v>
      </c>
      <c r="J492" t="n">
        <v>0</v>
      </c>
      <c r="K492" t="n">
        <v>0</v>
      </c>
      <c r="L492" t="n">
        <v>0</v>
      </c>
      <c r="M492" t="n">
        <v>0</v>
      </c>
      <c r="N492" t="n">
        <v>0</v>
      </c>
      <c r="O492" t="n">
        <v>0</v>
      </c>
      <c r="P492" t="n">
        <v>0</v>
      </c>
      <c r="Q492" t="n">
        <v>0</v>
      </c>
      <c r="R492" s="2" t="inlineStr"/>
    </row>
    <row r="493" ht="15" customHeight="1">
      <c r="A493" t="inlineStr">
        <is>
          <t>A 5007-2022</t>
        </is>
      </c>
      <c r="B493" s="1" t="n">
        <v>44593.61355324074</v>
      </c>
      <c r="C493" s="1" t="n">
        <v>45999</v>
      </c>
      <c r="D493" t="inlineStr">
        <is>
          <t>UPPSALA LÄN</t>
        </is>
      </c>
      <c r="E493" t="inlineStr">
        <is>
          <t>UPPSALA</t>
        </is>
      </c>
      <c r="F493" t="inlineStr">
        <is>
          <t>BillerudKorsnäs AB</t>
        </is>
      </c>
      <c r="G493" t="n">
        <v>3.6</v>
      </c>
      <c r="H493" t="n">
        <v>0</v>
      </c>
      <c r="I493" t="n">
        <v>0</v>
      </c>
      <c r="J493" t="n">
        <v>0</v>
      </c>
      <c r="K493" t="n">
        <v>0</v>
      </c>
      <c r="L493" t="n">
        <v>0</v>
      </c>
      <c r="M493" t="n">
        <v>0</v>
      </c>
      <c r="N493" t="n">
        <v>0</v>
      </c>
      <c r="O493" t="n">
        <v>0</v>
      </c>
      <c r="P493" t="n">
        <v>0</v>
      </c>
      <c r="Q493" t="n">
        <v>0</v>
      </c>
      <c r="R493" s="2" t="inlineStr"/>
    </row>
    <row r="494" ht="15" customHeight="1">
      <c r="A494" t="inlineStr">
        <is>
          <t>A 11201-2024</t>
        </is>
      </c>
      <c r="B494" s="1" t="n">
        <v>45371</v>
      </c>
      <c r="C494" s="1" t="n">
        <v>45999</v>
      </c>
      <c r="D494" t="inlineStr">
        <is>
          <t>UPPSALA LÄN</t>
        </is>
      </c>
      <c r="E494" t="inlineStr">
        <is>
          <t>UPPSALA</t>
        </is>
      </c>
      <c r="F494" t="inlineStr">
        <is>
          <t>Kommuner</t>
        </is>
      </c>
      <c r="G494" t="n">
        <v>0.5</v>
      </c>
      <c r="H494" t="n">
        <v>0</v>
      </c>
      <c r="I494" t="n">
        <v>0</v>
      </c>
      <c r="J494" t="n">
        <v>0</v>
      </c>
      <c r="K494" t="n">
        <v>0</v>
      </c>
      <c r="L494" t="n">
        <v>0</v>
      </c>
      <c r="M494" t="n">
        <v>0</v>
      </c>
      <c r="N494" t="n">
        <v>0</v>
      </c>
      <c r="O494" t="n">
        <v>0</v>
      </c>
      <c r="P494" t="n">
        <v>0</v>
      </c>
      <c r="Q494" t="n">
        <v>0</v>
      </c>
      <c r="R494" s="2" t="inlineStr"/>
    </row>
    <row r="495" ht="15" customHeight="1">
      <c r="A495" t="inlineStr">
        <is>
          <t>A 2790-2025</t>
        </is>
      </c>
      <c r="B495" s="1" t="n">
        <v>45677</v>
      </c>
      <c r="C495" s="1" t="n">
        <v>45999</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21748-2025</t>
        </is>
      </c>
      <c r="B496" s="1" t="n">
        <v>45783.61053240741</v>
      </c>
      <c r="C496" s="1" t="n">
        <v>45999</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44815-2023</t>
        </is>
      </c>
      <c r="B497" s="1" t="n">
        <v>45190</v>
      </c>
      <c r="C497" s="1" t="n">
        <v>45999</v>
      </c>
      <c r="D497" t="inlineStr">
        <is>
          <t>UPPSALA LÄN</t>
        </is>
      </c>
      <c r="E497" t="inlineStr">
        <is>
          <t>UPPSALA</t>
        </is>
      </c>
      <c r="G497" t="n">
        <v>2.3</v>
      </c>
      <c r="H497" t="n">
        <v>0</v>
      </c>
      <c r="I497" t="n">
        <v>0</v>
      </c>
      <c r="J497" t="n">
        <v>0</v>
      </c>
      <c r="K497" t="n">
        <v>0</v>
      </c>
      <c r="L497" t="n">
        <v>0</v>
      </c>
      <c r="M497" t="n">
        <v>0</v>
      </c>
      <c r="N497" t="n">
        <v>0</v>
      </c>
      <c r="O497" t="n">
        <v>0</v>
      </c>
      <c r="P497" t="n">
        <v>0</v>
      </c>
      <c r="Q497" t="n">
        <v>0</v>
      </c>
      <c r="R497" s="2" t="inlineStr"/>
    </row>
    <row r="498" ht="15" customHeight="1">
      <c r="A498" t="inlineStr">
        <is>
          <t>A 7276-2024</t>
        </is>
      </c>
      <c r="B498" s="1" t="n">
        <v>45344</v>
      </c>
      <c r="C498" s="1" t="n">
        <v>45999</v>
      </c>
      <c r="D498" t="inlineStr">
        <is>
          <t>UPPSALA LÄN</t>
        </is>
      </c>
      <c r="E498" t="inlineStr">
        <is>
          <t>UPPSALA</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11162-2022</t>
        </is>
      </c>
      <c r="B499" s="1" t="n">
        <v>44629.42423611111</v>
      </c>
      <c r="C499" s="1" t="n">
        <v>45999</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1731-2022</t>
        </is>
      </c>
      <c r="B500" s="1" t="n">
        <v>44574</v>
      </c>
      <c r="C500" s="1" t="n">
        <v>45999</v>
      </c>
      <c r="D500" t="inlineStr">
        <is>
          <t>UPPSALA LÄN</t>
        </is>
      </c>
      <c r="E500" t="inlineStr">
        <is>
          <t>UPPSALA</t>
        </is>
      </c>
      <c r="G500" t="n">
        <v>10.1</v>
      </c>
      <c r="H500" t="n">
        <v>0</v>
      </c>
      <c r="I500" t="n">
        <v>0</v>
      </c>
      <c r="J500" t="n">
        <v>0</v>
      </c>
      <c r="K500" t="n">
        <v>0</v>
      </c>
      <c r="L500" t="n">
        <v>0</v>
      </c>
      <c r="M500" t="n">
        <v>0</v>
      </c>
      <c r="N500" t="n">
        <v>0</v>
      </c>
      <c r="O500" t="n">
        <v>0</v>
      </c>
      <c r="P500" t="n">
        <v>0</v>
      </c>
      <c r="Q500" t="n">
        <v>0</v>
      </c>
      <c r="R500" s="2" t="inlineStr"/>
    </row>
    <row r="501" ht="15" customHeight="1">
      <c r="A501" t="inlineStr">
        <is>
          <t>A 13343-2022</t>
        </is>
      </c>
      <c r="B501" s="1" t="n">
        <v>44645.39157407408</v>
      </c>
      <c r="C501" s="1" t="n">
        <v>45999</v>
      </c>
      <c r="D501" t="inlineStr">
        <is>
          <t>UPPSALA LÄN</t>
        </is>
      </c>
      <c r="E501" t="inlineStr">
        <is>
          <t>UPPSALA</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60925-2021</t>
        </is>
      </c>
      <c r="B502" s="1" t="n">
        <v>44497.4666087963</v>
      </c>
      <c r="C502" s="1" t="n">
        <v>45999</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3040-2023</t>
        </is>
      </c>
      <c r="B503" s="1" t="n">
        <v>44946</v>
      </c>
      <c r="C503" s="1" t="n">
        <v>45999</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18607-2024</t>
        </is>
      </c>
      <c r="B504" s="1" t="n">
        <v>45425.94947916667</v>
      </c>
      <c r="C504" s="1" t="n">
        <v>45999</v>
      </c>
      <c r="D504" t="inlineStr">
        <is>
          <t>UPPSALA LÄN</t>
        </is>
      </c>
      <c r="E504" t="inlineStr">
        <is>
          <t>UPPSALA</t>
        </is>
      </c>
      <c r="G504" t="n">
        <v>4.3</v>
      </c>
      <c r="H504" t="n">
        <v>0</v>
      </c>
      <c r="I504" t="n">
        <v>0</v>
      </c>
      <c r="J504" t="n">
        <v>0</v>
      </c>
      <c r="K504" t="n">
        <v>0</v>
      </c>
      <c r="L504" t="n">
        <v>0</v>
      </c>
      <c r="M504" t="n">
        <v>0</v>
      </c>
      <c r="N504" t="n">
        <v>0</v>
      </c>
      <c r="O504" t="n">
        <v>0</v>
      </c>
      <c r="P504" t="n">
        <v>0</v>
      </c>
      <c r="Q504" t="n">
        <v>0</v>
      </c>
      <c r="R504" s="2" t="inlineStr"/>
    </row>
    <row r="505" ht="15" customHeight="1">
      <c r="A505" t="inlineStr">
        <is>
          <t>A 668-2025</t>
        </is>
      </c>
      <c r="B505" s="1" t="n">
        <v>45664</v>
      </c>
      <c r="C505" s="1" t="n">
        <v>45999</v>
      </c>
      <c r="D505" t="inlineStr">
        <is>
          <t>UPPSALA LÄN</t>
        </is>
      </c>
      <c r="E505" t="inlineStr">
        <is>
          <t>UPPSALA</t>
        </is>
      </c>
      <c r="F505" t="inlineStr">
        <is>
          <t>Bergvik skog öst AB</t>
        </is>
      </c>
      <c r="G505" t="n">
        <v>4.7</v>
      </c>
      <c r="H505" t="n">
        <v>0</v>
      </c>
      <c r="I505" t="n">
        <v>0</v>
      </c>
      <c r="J505" t="n">
        <v>0</v>
      </c>
      <c r="K505" t="n">
        <v>0</v>
      </c>
      <c r="L505" t="n">
        <v>0</v>
      </c>
      <c r="M505" t="n">
        <v>0</v>
      </c>
      <c r="N505" t="n">
        <v>0</v>
      </c>
      <c r="O505" t="n">
        <v>0</v>
      </c>
      <c r="P505" t="n">
        <v>0</v>
      </c>
      <c r="Q505" t="n">
        <v>0</v>
      </c>
      <c r="R505" s="2" t="inlineStr"/>
    </row>
    <row r="506" ht="15" customHeight="1">
      <c r="A506" t="inlineStr">
        <is>
          <t>A 45592-2023</t>
        </is>
      </c>
      <c r="B506" s="1" t="n">
        <v>45194.63479166666</v>
      </c>
      <c r="C506" s="1" t="n">
        <v>45999</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36392-2023</t>
        </is>
      </c>
      <c r="B507" s="1" t="n">
        <v>45152</v>
      </c>
      <c r="C507" s="1" t="n">
        <v>45999</v>
      </c>
      <c r="D507" t="inlineStr">
        <is>
          <t>UPPSALA LÄN</t>
        </is>
      </c>
      <c r="E507" t="inlineStr">
        <is>
          <t>UPPSALA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8132-2024</t>
        </is>
      </c>
      <c r="B508" s="1" t="n">
        <v>45351.54596064815</v>
      </c>
      <c r="C508" s="1" t="n">
        <v>45999</v>
      </c>
      <c r="D508" t="inlineStr">
        <is>
          <t>UPPSALA LÄN</t>
        </is>
      </c>
      <c r="E508" t="inlineStr">
        <is>
          <t>UPPSALA</t>
        </is>
      </c>
      <c r="F508" t="inlineStr">
        <is>
          <t>Övriga Aktiebolag</t>
        </is>
      </c>
      <c r="G508" t="n">
        <v>0.7</v>
      </c>
      <c r="H508" t="n">
        <v>0</v>
      </c>
      <c r="I508" t="n">
        <v>0</v>
      </c>
      <c r="J508" t="n">
        <v>0</v>
      </c>
      <c r="K508" t="n">
        <v>0</v>
      </c>
      <c r="L508" t="n">
        <v>0</v>
      </c>
      <c r="M508" t="n">
        <v>0</v>
      </c>
      <c r="N508" t="n">
        <v>0</v>
      </c>
      <c r="O508" t="n">
        <v>0</v>
      </c>
      <c r="P508" t="n">
        <v>0</v>
      </c>
      <c r="Q508" t="n">
        <v>0</v>
      </c>
      <c r="R508" s="2" t="inlineStr"/>
    </row>
    <row r="509" ht="15" customHeight="1">
      <c r="A509" t="inlineStr">
        <is>
          <t>A 6155-2023</t>
        </is>
      </c>
      <c r="B509" s="1" t="n">
        <v>44964.65261574074</v>
      </c>
      <c r="C509" s="1" t="n">
        <v>45999</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6009-2022</t>
        </is>
      </c>
      <c r="B510" s="1" t="n">
        <v>44599.44832175926</v>
      </c>
      <c r="C510" s="1" t="n">
        <v>45999</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59549-2024</t>
        </is>
      </c>
      <c r="B511" s="1" t="n">
        <v>45638</v>
      </c>
      <c r="C511" s="1" t="n">
        <v>45999</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12606-2023</t>
        </is>
      </c>
      <c r="B512" s="1" t="n">
        <v>45000.44666666666</v>
      </c>
      <c r="C512" s="1" t="n">
        <v>45999</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20087-2023</t>
        </is>
      </c>
      <c r="B513" s="1" t="n">
        <v>45054.9271875</v>
      </c>
      <c r="C513" s="1" t="n">
        <v>45999</v>
      </c>
      <c r="D513" t="inlineStr">
        <is>
          <t>UPPSALA LÄN</t>
        </is>
      </c>
      <c r="E513" t="inlineStr">
        <is>
          <t>UPPSALA</t>
        </is>
      </c>
      <c r="G513" t="n">
        <v>1</v>
      </c>
      <c r="H513" t="n">
        <v>0</v>
      </c>
      <c r="I513" t="n">
        <v>0</v>
      </c>
      <c r="J513" t="n">
        <v>0</v>
      </c>
      <c r="K513" t="n">
        <v>0</v>
      </c>
      <c r="L513" t="n">
        <v>0</v>
      </c>
      <c r="M513" t="n">
        <v>0</v>
      </c>
      <c r="N513" t="n">
        <v>0</v>
      </c>
      <c r="O513" t="n">
        <v>0</v>
      </c>
      <c r="P513" t="n">
        <v>0</v>
      </c>
      <c r="Q513" t="n">
        <v>0</v>
      </c>
      <c r="R513" s="2" t="inlineStr"/>
    </row>
    <row r="514" ht="15" customHeight="1">
      <c r="A514" t="inlineStr">
        <is>
          <t>A 18410-2025</t>
        </is>
      </c>
      <c r="B514" s="1" t="n">
        <v>45762.61341435185</v>
      </c>
      <c r="C514" s="1" t="n">
        <v>45999</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8931-2025</t>
        </is>
      </c>
      <c r="B515" s="1" t="n">
        <v>45713.44519675926</v>
      </c>
      <c r="C515" s="1" t="n">
        <v>45999</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61463-2024</t>
        </is>
      </c>
      <c r="B516" s="1" t="n">
        <v>45646.50211805556</v>
      </c>
      <c r="C516" s="1" t="n">
        <v>45999</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4503-2024</t>
        </is>
      </c>
      <c r="B517" s="1" t="n">
        <v>45327.61831018519</v>
      </c>
      <c r="C517" s="1" t="n">
        <v>45999</v>
      </c>
      <c r="D517" t="inlineStr">
        <is>
          <t>UPPSALA LÄN</t>
        </is>
      </c>
      <c r="E517" t="inlineStr">
        <is>
          <t>UPPSALA</t>
        </is>
      </c>
      <c r="G517" t="n">
        <v>1.9</v>
      </c>
      <c r="H517" t="n">
        <v>0</v>
      </c>
      <c r="I517" t="n">
        <v>0</v>
      </c>
      <c r="J517" t="n">
        <v>0</v>
      </c>
      <c r="K517" t="n">
        <v>0</v>
      </c>
      <c r="L517" t="n">
        <v>0</v>
      </c>
      <c r="M517" t="n">
        <v>0</v>
      </c>
      <c r="N517" t="n">
        <v>0</v>
      </c>
      <c r="O517" t="n">
        <v>0</v>
      </c>
      <c r="P517" t="n">
        <v>0</v>
      </c>
      <c r="Q517" t="n">
        <v>0</v>
      </c>
      <c r="R517" s="2" t="inlineStr"/>
    </row>
    <row r="518" ht="15" customHeight="1">
      <c r="A518" t="inlineStr">
        <is>
          <t>A 40872-2023</t>
        </is>
      </c>
      <c r="B518" s="1" t="n">
        <v>45173</v>
      </c>
      <c r="C518" s="1" t="n">
        <v>45999</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5309-2022</t>
        </is>
      </c>
      <c r="B519" s="1" t="n">
        <v>44594</v>
      </c>
      <c r="C519" s="1" t="n">
        <v>45999</v>
      </c>
      <c r="D519" t="inlineStr">
        <is>
          <t>UPPSALA LÄN</t>
        </is>
      </c>
      <c r="E519" t="inlineStr">
        <is>
          <t>UPPSALA</t>
        </is>
      </c>
      <c r="G519" t="n">
        <v>4.8</v>
      </c>
      <c r="H519" t="n">
        <v>0</v>
      </c>
      <c r="I519" t="n">
        <v>0</v>
      </c>
      <c r="J519" t="n">
        <v>0</v>
      </c>
      <c r="K519" t="n">
        <v>0</v>
      </c>
      <c r="L519" t="n">
        <v>0</v>
      </c>
      <c r="M519" t="n">
        <v>0</v>
      </c>
      <c r="N519" t="n">
        <v>0</v>
      </c>
      <c r="O519" t="n">
        <v>0</v>
      </c>
      <c r="P519" t="n">
        <v>0</v>
      </c>
      <c r="Q519" t="n">
        <v>0</v>
      </c>
      <c r="R519" s="2" t="inlineStr"/>
    </row>
    <row r="520" ht="15" customHeight="1">
      <c r="A520" t="inlineStr">
        <is>
          <t>A 45575-2023</t>
        </is>
      </c>
      <c r="B520" s="1" t="n">
        <v>45194.60876157408</v>
      </c>
      <c r="C520" s="1" t="n">
        <v>45999</v>
      </c>
      <c r="D520" t="inlineStr">
        <is>
          <t>UPPSALA LÄN</t>
        </is>
      </c>
      <c r="E520" t="inlineStr">
        <is>
          <t>UPPSALA</t>
        </is>
      </c>
      <c r="F520" t="inlineStr">
        <is>
          <t>Bergvik skog öst AB</t>
        </is>
      </c>
      <c r="G520" t="n">
        <v>2.2</v>
      </c>
      <c r="H520" t="n">
        <v>0</v>
      </c>
      <c r="I520" t="n">
        <v>0</v>
      </c>
      <c r="J520" t="n">
        <v>0</v>
      </c>
      <c r="K520" t="n">
        <v>0</v>
      </c>
      <c r="L520" t="n">
        <v>0</v>
      </c>
      <c r="M520" t="n">
        <v>0</v>
      </c>
      <c r="N520" t="n">
        <v>0</v>
      </c>
      <c r="O520" t="n">
        <v>0</v>
      </c>
      <c r="P520" t="n">
        <v>0</v>
      </c>
      <c r="Q520" t="n">
        <v>0</v>
      </c>
      <c r="R520" s="2" t="inlineStr"/>
    </row>
    <row r="521" ht="15" customHeight="1">
      <c r="A521" t="inlineStr">
        <is>
          <t>A 39865-2022</t>
        </is>
      </c>
      <c r="B521" s="1" t="n">
        <v>44819.62</v>
      </c>
      <c r="C521" s="1" t="n">
        <v>45999</v>
      </c>
      <c r="D521" t="inlineStr">
        <is>
          <t>UPPSALA LÄN</t>
        </is>
      </c>
      <c r="E521" t="inlineStr">
        <is>
          <t>UPPSALA</t>
        </is>
      </c>
      <c r="G521" t="n">
        <v>2.5</v>
      </c>
      <c r="H521" t="n">
        <v>0</v>
      </c>
      <c r="I521" t="n">
        <v>0</v>
      </c>
      <c r="J521" t="n">
        <v>0</v>
      </c>
      <c r="K521" t="n">
        <v>0</v>
      </c>
      <c r="L521" t="n">
        <v>0</v>
      </c>
      <c r="M521" t="n">
        <v>0</v>
      </c>
      <c r="N521" t="n">
        <v>0</v>
      </c>
      <c r="O521" t="n">
        <v>0</v>
      </c>
      <c r="P521" t="n">
        <v>0</v>
      </c>
      <c r="Q521" t="n">
        <v>0</v>
      </c>
      <c r="R521" s="2" t="inlineStr"/>
    </row>
    <row r="522" ht="15" customHeight="1">
      <c r="A522" t="inlineStr">
        <is>
          <t>A 8672-2024</t>
        </is>
      </c>
      <c r="B522" s="1" t="n">
        <v>45352</v>
      </c>
      <c r="C522" s="1" t="n">
        <v>45999</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20206-2023</t>
        </is>
      </c>
      <c r="B523" s="1" t="n">
        <v>45055</v>
      </c>
      <c r="C523" s="1" t="n">
        <v>45999</v>
      </c>
      <c r="D523" t="inlineStr">
        <is>
          <t>UPPSALA LÄN</t>
        </is>
      </c>
      <c r="E523" t="inlineStr">
        <is>
          <t>UPPSALA</t>
        </is>
      </c>
      <c r="G523" t="n">
        <v>5.7</v>
      </c>
      <c r="H523" t="n">
        <v>0</v>
      </c>
      <c r="I523" t="n">
        <v>0</v>
      </c>
      <c r="J523" t="n">
        <v>0</v>
      </c>
      <c r="K523" t="n">
        <v>0</v>
      </c>
      <c r="L523" t="n">
        <v>0</v>
      </c>
      <c r="M523" t="n">
        <v>0</v>
      </c>
      <c r="N523" t="n">
        <v>0</v>
      </c>
      <c r="O523" t="n">
        <v>0</v>
      </c>
      <c r="P523" t="n">
        <v>0</v>
      </c>
      <c r="Q523" t="n">
        <v>0</v>
      </c>
      <c r="R523" s="2" t="inlineStr"/>
    </row>
    <row r="524" ht="15" customHeight="1">
      <c r="A524" t="inlineStr">
        <is>
          <t>A 43029-2023</t>
        </is>
      </c>
      <c r="B524" s="1" t="n">
        <v>45182</v>
      </c>
      <c r="C524" s="1" t="n">
        <v>45999</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43031-2023</t>
        </is>
      </c>
      <c r="B525" s="1" t="n">
        <v>45182</v>
      </c>
      <c r="C525" s="1" t="n">
        <v>45999</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5362-2023</t>
        </is>
      </c>
      <c r="B526" s="1" t="n">
        <v>44944</v>
      </c>
      <c r="C526" s="1" t="n">
        <v>45999</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26762-2023</t>
        </is>
      </c>
      <c r="B527" s="1" t="n">
        <v>45093.46706018518</v>
      </c>
      <c r="C527" s="1" t="n">
        <v>45999</v>
      </c>
      <c r="D527" t="inlineStr">
        <is>
          <t>UPPSALA LÄN</t>
        </is>
      </c>
      <c r="E527" t="inlineStr">
        <is>
          <t>UPPSALA</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61947-2023</t>
        </is>
      </c>
      <c r="B528" s="1" t="n">
        <v>45266</v>
      </c>
      <c r="C528" s="1" t="n">
        <v>45999</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51661-2022</t>
        </is>
      </c>
      <c r="B529" s="1" t="n">
        <v>44872</v>
      </c>
      <c r="C529" s="1" t="n">
        <v>45999</v>
      </c>
      <c r="D529" t="inlineStr">
        <is>
          <t>UPPSALA LÄN</t>
        </is>
      </c>
      <c r="E529" t="inlineStr">
        <is>
          <t>UPPSALA</t>
        </is>
      </c>
      <c r="G529" t="n">
        <v>8.9</v>
      </c>
      <c r="H529" t="n">
        <v>0</v>
      </c>
      <c r="I529" t="n">
        <v>0</v>
      </c>
      <c r="J529" t="n">
        <v>0</v>
      </c>
      <c r="K529" t="n">
        <v>0</v>
      </c>
      <c r="L529" t="n">
        <v>0</v>
      </c>
      <c r="M529" t="n">
        <v>0</v>
      </c>
      <c r="N529" t="n">
        <v>0</v>
      </c>
      <c r="O529" t="n">
        <v>0</v>
      </c>
      <c r="P529" t="n">
        <v>0</v>
      </c>
      <c r="Q529" t="n">
        <v>0</v>
      </c>
      <c r="R529" s="2" t="inlineStr"/>
    </row>
    <row r="530" ht="15" customHeight="1">
      <c r="A530" t="inlineStr">
        <is>
          <t>A 16434-2024</t>
        </is>
      </c>
      <c r="B530" s="1" t="n">
        <v>45407.69575231482</v>
      </c>
      <c r="C530" s="1" t="n">
        <v>45999</v>
      </c>
      <c r="D530" t="inlineStr">
        <is>
          <t>UPPSALA LÄN</t>
        </is>
      </c>
      <c r="E530" t="inlineStr">
        <is>
          <t>UPPSALA</t>
        </is>
      </c>
      <c r="G530" t="n">
        <v>1.7</v>
      </c>
      <c r="H530" t="n">
        <v>0</v>
      </c>
      <c r="I530" t="n">
        <v>0</v>
      </c>
      <c r="J530" t="n">
        <v>0</v>
      </c>
      <c r="K530" t="n">
        <v>0</v>
      </c>
      <c r="L530" t="n">
        <v>0</v>
      </c>
      <c r="M530" t="n">
        <v>0</v>
      </c>
      <c r="N530" t="n">
        <v>0</v>
      </c>
      <c r="O530" t="n">
        <v>0</v>
      </c>
      <c r="P530" t="n">
        <v>0</v>
      </c>
      <c r="Q530" t="n">
        <v>0</v>
      </c>
      <c r="R530" s="2" t="inlineStr"/>
    </row>
    <row r="531" ht="15" customHeight="1">
      <c r="A531" t="inlineStr">
        <is>
          <t>A 44080-2023</t>
        </is>
      </c>
      <c r="B531" s="1" t="n">
        <v>45188.42052083334</v>
      </c>
      <c r="C531" s="1" t="n">
        <v>45999</v>
      </c>
      <c r="D531" t="inlineStr">
        <is>
          <t>UPPSALA LÄN</t>
        </is>
      </c>
      <c r="E531" t="inlineStr">
        <is>
          <t>UPPSALA</t>
        </is>
      </c>
      <c r="G531" t="n">
        <v>13.3</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45999</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2897-2025</t>
        </is>
      </c>
      <c r="B533" s="1" t="n">
        <v>45677</v>
      </c>
      <c r="C533" s="1" t="n">
        <v>45999</v>
      </c>
      <c r="D533" t="inlineStr">
        <is>
          <t>UPPSALA LÄN</t>
        </is>
      </c>
      <c r="E533" t="inlineStr">
        <is>
          <t>UPPSALA</t>
        </is>
      </c>
      <c r="G533" t="n">
        <v>2.7</v>
      </c>
      <c r="H533" t="n">
        <v>0</v>
      </c>
      <c r="I533" t="n">
        <v>0</v>
      </c>
      <c r="J533" t="n">
        <v>0</v>
      </c>
      <c r="K533" t="n">
        <v>0</v>
      </c>
      <c r="L533" t="n">
        <v>0</v>
      </c>
      <c r="M533" t="n">
        <v>0</v>
      </c>
      <c r="N533" t="n">
        <v>0</v>
      </c>
      <c r="O533" t="n">
        <v>0</v>
      </c>
      <c r="P533" t="n">
        <v>0</v>
      </c>
      <c r="Q533" t="n">
        <v>0</v>
      </c>
      <c r="R533" s="2" t="inlineStr"/>
    </row>
    <row r="534" ht="15" customHeight="1">
      <c r="A534" t="inlineStr">
        <is>
          <t>A 6059-2025</t>
        </is>
      </c>
      <c r="B534" s="1" t="n">
        <v>45695.8391550926</v>
      </c>
      <c r="C534" s="1" t="n">
        <v>45999</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6060-2025</t>
        </is>
      </c>
      <c r="B535" s="1" t="n">
        <v>45695.84078703704</v>
      </c>
      <c r="C535" s="1" t="n">
        <v>45999</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45999</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21936-2025</t>
        </is>
      </c>
      <c r="B537" s="1" t="n">
        <v>45784.57266203704</v>
      </c>
      <c r="C537" s="1" t="n">
        <v>45999</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32553-2024</t>
        </is>
      </c>
      <c r="B538" s="1" t="n">
        <v>45513.51815972223</v>
      </c>
      <c r="C538" s="1" t="n">
        <v>45999</v>
      </c>
      <c r="D538" t="inlineStr">
        <is>
          <t>UPPSALA LÄN</t>
        </is>
      </c>
      <c r="E538" t="inlineStr">
        <is>
          <t>UPPSALA</t>
        </is>
      </c>
      <c r="F538" t="inlineStr">
        <is>
          <t>Bergvik skog öst AB</t>
        </is>
      </c>
      <c r="G538" t="n">
        <v>4.1</v>
      </c>
      <c r="H538" t="n">
        <v>0</v>
      </c>
      <c r="I538" t="n">
        <v>0</v>
      </c>
      <c r="J538" t="n">
        <v>0</v>
      </c>
      <c r="K538" t="n">
        <v>0</v>
      </c>
      <c r="L538" t="n">
        <v>0</v>
      </c>
      <c r="M538" t="n">
        <v>0</v>
      </c>
      <c r="N538" t="n">
        <v>0</v>
      </c>
      <c r="O538" t="n">
        <v>0</v>
      </c>
      <c r="P538" t="n">
        <v>0</v>
      </c>
      <c r="Q538" t="n">
        <v>0</v>
      </c>
      <c r="R538" s="2" t="inlineStr"/>
    </row>
    <row r="539" ht="15" customHeight="1">
      <c r="A539" t="inlineStr">
        <is>
          <t>A 54512-2024</t>
        </is>
      </c>
      <c r="B539" s="1" t="n">
        <v>45617.59006944444</v>
      </c>
      <c r="C539" s="1" t="n">
        <v>45999</v>
      </c>
      <c r="D539" t="inlineStr">
        <is>
          <t>UPPSALA LÄN</t>
        </is>
      </c>
      <c r="E539" t="inlineStr">
        <is>
          <t>UPPSALA</t>
        </is>
      </c>
      <c r="G539" t="n">
        <v>3.2</v>
      </c>
      <c r="H539" t="n">
        <v>0</v>
      </c>
      <c r="I539" t="n">
        <v>0</v>
      </c>
      <c r="J539" t="n">
        <v>0</v>
      </c>
      <c r="K539" t="n">
        <v>0</v>
      </c>
      <c r="L539" t="n">
        <v>0</v>
      </c>
      <c r="M539" t="n">
        <v>0</v>
      </c>
      <c r="N539" t="n">
        <v>0</v>
      </c>
      <c r="O539" t="n">
        <v>0</v>
      </c>
      <c r="P539" t="n">
        <v>0</v>
      </c>
      <c r="Q539" t="n">
        <v>0</v>
      </c>
      <c r="R539" s="2" t="inlineStr"/>
    </row>
    <row r="540" ht="15" customHeight="1">
      <c r="A540" t="inlineStr">
        <is>
          <t>A 19276-2023</t>
        </is>
      </c>
      <c r="B540" s="1" t="n">
        <v>45049</v>
      </c>
      <c r="C540" s="1" t="n">
        <v>45999</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74493-2021</t>
        </is>
      </c>
      <c r="B541" s="1" t="n">
        <v>44560</v>
      </c>
      <c r="C541" s="1" t="n">
        <v>45999</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5974-2024</t>
        </is>
      </c>
      <c r="B542" s="1" t="n">
        <v>45336.53908564815</v>
      </c>
      <c r="C542" s="1" t="n">
        <v>45999</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53589-2024</t>
        </is>
      </c>
      <c r="B543" s="1" t="n">
        <v>45614.67020833334</v>
      </c>
      <c r="C543" s="1" t="n">
        <v>45999</v>
      </c>
      <c r="D543" t="inlineStr">
        <is>
          <t>UPPSALA LÄN</t>
        </is>
      </c>
      <c r="E543" t="inlineStr">
        <is>
          <t>UPPSALA</t>
        </is>
      </c>
      <c r="G543" t="n">
        <v>4</v>
      </c>
      <c r="H543" t="n">
        <v>0</v>
      </c>
      <c r="I543" t="n">
        <v>0</v>
      </c>
      <c r="J543" t="n">
        <v>0</v>
      </c>
      <c r="K543" t="n">
        <v>0</v>
      </c>
      <c r="L543" t="n">
        <v>0</v>
      </c>
      <c r="M543" t="n">
        <v>0</v>
      </c>
      <c r="N543" t="n">
        <v>0</v>
      </c>
      <c r="O543" t="n">
        <v>0</v>
      </c>
      <c r="P543" t="n">
        <v>0</v>
      </c>
      <c r="Q543" t="n">
        <v>0</v>
      </c>
      <c r="R543" s="2" t="inlineStr"/>
    </row>
    <row r="544" ht="15" customHeight="1">
      <c r="A544" t="inlineStr">
        <is>
          <t>A 19613-2025</t>
        </is>
      </c>
      <c r="B544" s="1" t="n">
        <v>45770.61341435185</v>
      </c>
      <c r="C544" s="1" t="n">
        <v>45999</v>
      </c>
      <c r="D544" t="inlineStr">
        <is>
          <t>UPPSALA LÄN</t>
        </is>
      </c>
      <c r="E544" t="inlineStr">
        <is>
          <t>UPPSALA</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2695-2025</t>
        </is>
      </c>
      <c r="B545" s="1" t="n">
        <v>45677.39440972222</v>
      </c>
      <c r="C545" s="1" t="n">
        <v>45999</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50395-2023</t>
        </is>
      </c>
      <c r="B546" s="1" t="n">
        <v>45216</v>
      </c>
      <c r="C546" s="1" t="n">
        <v>45999</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50473-2023</t>
        </is>
      </c>
      <c r="B547" s="1" t="n">
        <v>45216</v>
      </c>
      <c r="C547" s="1" t="n">
        <v>45999</v>
      </c>
      <c r="D547" t="inlineStr">
        <is>
          <t>UPPSALA LÄN</t>
        </is>
      </c>
      <c r="E547" t="inlineStr">
        <is>
          <t>UPPSALA</t>
        </is>
      </c>
      <c r="F547" t="inlineStr">
        <is>
          <t>Allmännings- och besparingsskogar</t>
        </is>
      </c>
      <c r="G547" t="n">
        <v>7.6</v>
      </c>
      <c r="H547" t="n">
        <v>0</v>
      </c>
      <c r="I547" t="n">
        <v>0</v>
      </c>
      <c r="J547" t="n">
        <v>0</v>
      </c>
      <c r="K547" t="n">
        <v>0</v>
      </c>
      <c r="L547" t="n">
        <v>0</v>
      </c>
      <c r="M547" t="n">
        <v>0</v>
      </c>
      <c r="N547" t="n">
        <v>0</v>
      </c>
      <c r="O547" t="n">
        <v>0</v>
      </c>
      <c r="P547" t="n">
        <v>0</v>
      </c>
      <c r="Q547" t="n">
        <v>0</v>
      </c>
      <c r="R547" s="2" t="inlineStr"/>
    </row>
    <row r="548" ht="15" customHeight="1">
      <c r="A548" t="inlineStr">
        <is>
          <t>A 41002-2023</t>
        </is>
      </c>
      <c r="B548" s="1" t="n">
        <v>45173</v>
      </c>
      <c r="C548" s="1" t="n">
        <v>45999</v>
      </c>
      <c r="D548" t="inlineStr">
        <is>
          <t>UPPSALA LÄN</t>
        </is>
      </c>
      <c r="E548" t="inlineStr">
        <is>
          <t>UPPSALA</t>
        </is>
      </c>
      <c r="G548" t="n">
        <v>6.2</v>
      </c>
      <c r="H548" t="n">
        <v>0</v>
      </c>
      <c r="I548" t="n">
        <v>0</v>
      </c>
      <c r="J548" t="n">
        <v>0</v>
      </c>
      <c r="K548" t="n">
        <v>0</v>
      </c>
      <c r="L548" t="n">
        <v>0</v>
      </c>
      <c r="M548" t="n">
        <v>0</v>
      </c>
      <c r="N548" t="n">
        <v>0</v>
      </c>
      <c r="O548" t="n">
        <v>0</v>
      </c>
      <c r="P548" t="n">
        <v>0</v>
      </c>
      <c r="Q548" t="n">
        <v>0</v>
      </c>
      <c r="R548" s="2" t="inlineStr"/>
    </row>
    <row r="549" ht="15" customHeight="1">
      <c r="A549" t="inlineStr">
        <is>
          <t>A 5725-2025</t>
        </is>
      </c>
      <c r="B549" s="1" t="n">
        <v>45694</v>
      </c>
      <c r="C549" s="1" t="n">
        <v>45999</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40325-2023</t>
        </is>
      </c>
      <c r="B550" s="1" t="n">
        <v>45169</v>
      </c>
      <c r="C550" s="1" t="n">
        <v>45999</v>
      </c>
      <c r="D550" t="inlineStr">
        <is>
          <t>UPPSALA LÄN</t>
        </is>
      </c>
      <c r="E550" t="inlineStr">
        <is>
          <t>UPPSALA</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56872-2023</t>
        </is>
      </c>
      <c r="B551" s="1" t="n">
        <v>45244.52202546296</v>
      </c>
      <c r="C551" s="1" t="n">
        <v>45999</v>
      </c>
      <c r="D551" t="inlineStr">
        <is>
          <t>UPPSALA LÄN</t>
        </is>
      </c>
      <c r="E551" t="inlineStr">
        <is>
          <t>UPPSALA</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4059-2022</t>
        </is>
      </c>
      <c r="B552" s="1" t="n">
        <v>44588</v>
      </c>
      <c r="C552" s="1" t="n">
        <v>45999</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12209-2025</t>
        </is>
      </c>
      <c r="B553" s="1" t="n">
        <v>45729</v>
      </c>
      <c r="C553" s="1" t="n">
        <v>45999</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20301-2024</t>
        </is>
      </c>
      <c r="B554" s="1" t="n">
        <v>45435.34778935185</v>
      </c>
      <c r="C554" s="1" t="n">
        <v>45999</v>
      </c>
      <c r="D554" t="inlineStr">
        <is>
          <t>UPPSALA LÄN</t>
        </is>
      </c>
      <c r="E554" t="inlineStr">
        <is>
          <t>UPPSALA</t>
        </is>
      </c>
      <c r="F554" t="inlineStr">
        <is>
          <t>Kyrkan</t>
        </is>
      </c>
      <c r="G554" t="n">
        <v>2.8</v>
      </c>
      <c r="H554" t="n">
        <v>0</v>
      </c>
      <c r="I554" t="n">
        <v>0</v>
      </c>
      <c r="J554" t="n">
        <v>0</v>
      </c>
      <c r="K554" t="n">
        <v>0</v>
      </c>
      <c r="L554" t="n">
        <v>0</v>
      </c>
      <c r="M554" t="n">
        <v>0</v>
      </c>
      <c r="N554" t="n">
        <v>0</v>
      </c>
      <c r="O554" t="n">
        <v>0</v>
      </c>
      <c r="P554" t="n">
        <v>0</v>
      </c>
      <c r="Q554" t="n">
        <v>0</v>
      </c>
      <c r="R554" s="2" t="inlineStr"/>
    </row>
    <row r="555" ht="15" customHeight="1">
      <c r="A555" t="inlineStr">
        <is>
          <t>A 48564-2023</t>
        </is>
      </c>
      <c r="B555" s="1" t="n">
        <v>45208.4350462963</v>
      </c>
      <c r="C555" s="1" t="n">
        <v>45999</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18805-2025</t>
        </is>
      </c>
      <c r="B556" s="1" t="n">
        <v>45763</v>
      </c>
      <c r="C556" s="1" t="n">
        <v>45999</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7501-2025</t>
        </is>
      </c>
      <c r="B557" s="1" t="n">
        <v>45705</v>
      </c>
      <c r="C557" s="1" t="n">
        <v>45999</v>
      </c>
      <c r="D557" t="inlineStr">
        <is>
          <t>UPPSALA LÄN</t>
        </is>
      </c>
      <c r="E557" t="inlineStr">
        <is>
          <t>UPPSALA</t>
        </is>
      </c>
      <c r="G557" t="n">
        <v>4.2</v>
      </c>
      <c r="H557" t="n">
        <v>0</v>
      </c>
      <c r="I557" t="n">
        <v>0</v>
      </c>
      <c r="J557" t="n">
        <v>0</v>
      </c>
      <c r="K557" t="n">
        <v>0</v>
      </c>
      <c r="L557" t="n">
        <v>0</v>
      </c>
      <c r="M557" t="n">
        <v>0</v>
      </c>
      <c r="N557" t="n">
        <v>0</v>
      </c>
      <c r="O557" t="n">
        <v>0</v>
      </c>
      <c r="P557" t="n">
        <v>0</v>
      </c>
      <c r="Q557" t="n">
        <v>0</v>
      </c>
      <c r="R557" s="2" t="inlineStr"/>
    </row>
    <row r="558" ht="15" customHeight="1">
      <c r="A558" t="inlineStr">
        <is>
          <t>A 39007-2024</t>
        </is>
      </c>
      <c r="B558" s="1" t="n">
        <v>45548.42854166667</v>
      </c>
      <c r="C558" s="1" t="n">
        <v>45999</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42273-2023</t>
        </is>
      </c>
      <c r="B559" s="1" t="n">
        <v>45180.40255787037</v>
      </c>
      <c r="C559" s="1" t="n">
        <v>45999</v>
      </c>
      <c r="D559" t="inlineStr">
        <is>
          <t>UPPSALA LÄN</t>
        </is>
      </c>
      <c r="E559" t="inlineStr">
        <is>
          <t>UPPSALA</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8877-2022</t>
        </is>
      </c>
      <c r="B560" s="1" t="n">
        <v>44614.59027777778</v>
      </c>
      <c r="C560" s="1" t="n">
        <v>45999</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17562-2022</t>
        </is>
      </c>
      <c r="B561" s="1" t="n">
        <v>44679.68706018518</v>
      </c>
      <c r="C561" s="1" t="n">
        <v>45999</v>
      </c>
      <c r="D561" t="inlineStr">
        <is>
          <t>UPPSALA LÄN</t>
        </is>
      </c>
      <c r="E561" t="inlineStr">
        <is>
          <t>UPPSALA</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36123-2023</t>
        </is>
      </c>
      <c r="B562" s="1" t="n">
        <v>45149.56928240741</v>
      </c>
      <c r="C562" s="1" t="n">
        <v>45999</v>
      </c>
      <c r="D562" t="inlineStr">
        <is>
          <t>UPPSALA LÄN</t>
        </is>
      </c>
      <c r="E562" t="inlineStr">
        <is>
          <t>UPPSALA</t>
        </is>
      </c>
      <c r="F562" t="inlineStr">
        <is>
          <t>Allmännings- och besparingsskogar</t>
        </is>
      </c>
      <c r="G562" t="n">
        <v>4.2</v>
      </c>
      <c r="H562" t="n">
        <v>0</v>
      </c>
      <c r="I562" t="n">
        <v>0</v>
      </c>
      <c r="J562" t="n">
        <v>0</v>
      </c>
      <c r="K562" t="n">
        <v>0</v>
      </c>
      <c r="L562" t="n">
        <v>0</v>
      </c>
      <c r="M562" t="n">
        <v>0</v>
      </c>
      <c r="N562" t="n">
        <v>0</v>
      </c>
      <c r="O562" t="n">
        <v>0</v>
      </c>
      <c r="P562" t="n">
        <v>0</v>
      </c>
      <c r="Q562" t="n">
        <v>0</v>
      </c>
      <c r="R562" s="2" t="inlineStr"/>
    </row>
    <row r="563" ht="15" customHeight="1">
      <c r="A563" t="inlineStr">
        <is>
          <t>A 69595-2021</t>
        </is>
      </c>
      <c r="B563" s="1" t="n">
        <v>44532</v>
      </c>
      <c r="C563" s="1" t="n">
        <v>45999</v>
      </c>
      <c r="D563" t="inlineStr">
        <is>
          <t>UPPSALA LÄN</t>
        </is>
      </c>
      <c r="E563" t="inlineStr">
        <is>
          <t>UPPSALA</t>
        </is>
      </c>
      <c r="G563" t="n">
        <v>3.9</v>
      </c>
      <c r="H563" t="n">
        <v>0</v>
      </c>
      <c r="I563" t="n">
        <v>0</v>
      </c>
      <c r="J563" t="n">
        <v>0</v>
      </c>
      <c r="K563" t="n">
        <v>0</v>
      </c>
      <c r="L563" t="n">
        <v>0</v>
      </c>
      <c r="M563" t="n">
        <v>0</v>
      </c>
      <c r="N563" t="n">
        <v>0</v>
      </c>
      <c r="O563" t="n">
        <v>0</v>
      </c>
      <c r="P563" t="n">
        <v>0</v>
      </c>
      <c r="Q563" t="n">
        <v>0</v>
      </c>
      <c r="R563" s="2" t="inlineStr"/>
    </row>
    <row r="564" ht="15" customHeight="1">
      <c r="A564" t="inlineStr">
        <is>
          <t>A 44830-2023</t>
        </is>
      </c>
      <c r="B564" s="1" t="n">
        <v>45190</v>
      </c>
      <c r="C564" s="1" t="n">
        <v>45999</v>
      </c>
      <c r="D564" t="inlineStr">
        <is>
          <t>UPPSALA LÄN</t>
        </is>
      </c>
      <c r="E564" t="inlineStr">
        <is>
          <t>UPPSALA</t>
        </is>
      </c>
      <c r="G564" t="n">
        <v>1.9</v>
      </c>
      <c r="H564" t="n">
        <v>0</v>
      </c>
      <c r="I564" t="n">
        <v>0</v>
      </c>
      <c r="J564" t="n">
        <v>0</v>
      </c>
      <c r="K564" t="n">
        <v>0</v>
      </c>
      <c r="L564" t="n">
        <v>0</v>
      </c>
      <c r="M564" t="n">
        <v>0</v>
      </c>
      <c r="N564" t="n">
        <v>0</v>
      </c>
      <c r="O564" t="n">
        <v>0</v>
      </c>
      <c r="P564" t="n">
        <v>0</v>
      </c>
      <c r="Q564" t="n">
        <v>0</v>
      </c>
      <c r="R564" s="2" t="inlineStr"/>
    </row>
    <row r="565" ht="15" customHeight="1">
      <c r="A565" t="inlineStr">
        <is>
          <t>A 42543-2023</t>
        </is>
      </c>
      <c r="B565" s="1" t="n">
        <v>45181.36815972222</v>
      </c>
      <c r="C565" s="1" t="n">
        <v>45999</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9426-2023</t>
        </is>
      </c>
      <c r="B566" s="1" t="n">
        <v>44977</v>
      </c>
      <c r="C566" s="1" t="n">
        <v>45999</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17558-2022</t>
        </is>
      </c>
      <c r="B567" s="1" t="n">
        <v>44679.66694444444</v>
      </c>
      <c r="C567" s="1" t="n">
        <v>45999</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42124-2021</t>
        </is>
      </c>
      <c r="B568" s="1" t="n">
        <v>44426</v>
      </c>
      <c r="C568" s="1" t="n">
        <v>45999</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4875-2021</t>
        </is>
      </c>
      <c r="B569" s="1" t="n">
        <v>44223</v>
      </c>
      <c r="C569" s="1" t="n">
        <v>45999</v>
      </c>
      <c r="D569" t="inlineStr">
        <is>
          <t>UPPSALA LÄN</t>
        </is>
      </c>
      <c r="E569" t="inlineStr">
        <is>
          <t>UPPSALA</t>
        </is>
      </c>
      <c r="G569" t="n">
        <v>0.4</v>
      </c>
      <c r="H569" t="n">
        <v>0</v>
      </c>
      <c r="I569" t="n">
        <v>0</v>
      </c>
      <c r="J569" t="n">
        <v>0</v>
      </c>
      <c r="K569" t="n">
        <v>0</v>
      </c>
      <c r="L569" t="n">
        <v>0</v>
      </c>
      <c r="M569" t="n">
        <v>0</v>
      </c>
      <c r="N569" t="n">
        <v>0</v>
      </c>
      <c r="O569" t="n">
        <v>0</v>
      </c>
      <c r="P569" t="n">
        <v>0</v>
      </c>
      <c r="Q569" t="n">
        <v>0</v>
      </c>
      <c r="R569" s="2" t="inlineStr"/>
    </row>
    <row r="570" ht="15" customHeight="1">
      <c r="A570" t="inlineStr">
        <is>
          <t>A 5975-2024</t>
        </is>
      </c>
      <c r="B570" s="1" t="n">
        <v>45336.54270833333</v>
      </c>
      <c r="C570" s="1" t="n">
        <v>45999</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750-2022</t>
        </is>
      </c>
      <c r="B571" s="1" t="n">
        <v>44569.49344907407</v>
      </c>
      <c r="C571" s="1" t="n">
        <v>45999</v>
      </c>
      <c r="D571" t="inlineStr">
        <is>
          <t>UPPSALA LÄN</t>
        </is>
      </c>
      <c r="E571" t="inlineStr">
        <is>
          <t>UPPSALA</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16324-2024</t>
        </is>
      </c>
      <c r="B572" s="1" t="n">
        <v>45407.49721064815</v>
      </c>
      <c r="C572" s="1" t="n">
        <v>45999</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22018-2025</t>
        </is>
      </c>
      <c r="B573" s="1" t="n">
        <v>45784.80497685185</v>
      </c>
      <c r="C573" s="1" t="n">
        <v>45999</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4980-2024</t>
        </is>
      </c>
      <c r="B574" s="1" t="n">
        <v>45329</v>
      </c>
      <c r="C574" s="1" t="n">
        <v>45999</v>
      </c>
      <c r="D574" t="inlineStr">
        <is>
          <t>UPPSALA LÄN</t>
        </is>
      </c>
      <c r="E574" t="inlineStr">
        <is>
          <t>UPPSALA</t>
        </is>
      </c>
      <c r="G574" t="n">
        <v>10.8</v>
      </c>
      <c r="H574" t="n">
        <v>0</v>
      </c>
      <c r="I574" t="n">
        <v>0</v>
      </c>
      <c r="J574" t="n">
        <v>0</v>
      </c>
      <c r="K574" t="n">
        <v>0</v>
      </c>
      <c r="L574" t="n">
        <v>0</v>
      </c>
      <c r="M574" t="n">
        <v>0</v>
      </c>
      <c r="N574" t="n">
        <v>0</v>
      </c>
      <c r="O574" t="n">
        <v>0</v>
      </c>
      <c r="P574" t="n">
        <v>0</v>
      </c>
      <c r="Q574" t="n">
        <v>0</v>
      </c>
      <c r="R574" s="2" t="inlineStr"/>
    </row>
    <row r="575" ht="15" customHeight="1">
      <c r="A575" t="inlineStr">
        <is>
          <t>A 42131-2023</t>
        </is>
      </c>
      <c r="B575" s="1" t="n">
        <v>45177.79766203704</v>
      </c>
      <c r="C575" s="1" t="n">
        <v>45999</v>
      </c>
      <c r="D575" t="inlineStr">
        <is>
          <t>UPPSALA LÄN</t>
        </is>
      </c>
      <c r="E575" t="inlineStr">
        <is>
          <t>UPPSALA</t>
        </is>
      </c>
      <c r="F575" t="inlineStr">
        <is>
          <t>Allmännings- och besparingsskogar</t>
        </is>
      </c>
      <c r="G575" t="n">
        <v>6.3</v>
      </c>
      <c r="H575" t="n">
        <v>0</v>
      </c>
      <c r="I575" t="n">
        <v>0</v>
      </c>
      <c r="J575" t="n">
        <v>0</v>
      </c>
      <c r="K575" t="n">
        <v>0</v>
      </c>
      <c r="L575" t="n">
        <v>0</v>
      </c>
      <c r="M575" t="n">
        <v>0</v>
      </c>
      <c r="N575" t="n">
        <v>0</v>
      </c>
      <c r="O575" t="n">
        <v>0</v>
      </c>
      <c r="P575" t="n">
        <v>0</v>
      </c>
      <c r="Q575" t="n">
        <v>0</v>
      </c>
      <c r="R575" s="2" t="inlineStr"/>
    </row>
    <row r="576" ht="15" customHeight="1">
      <c r="A576" t="inlineStr">
        <is>
          <t>A 43818-2023</t>
        </is>
      </c>
      <c r="B576" s="1" t="n">
        <v>45182</v>
      </c>
      <c r="C576" s="1" t="n">
        <v>45999</v>
      </c>
      <c r="D576" t="inlineStr">
        <is>
          <t>UPPSALA LÄN</t>
        </is>
      </c>
      <c r="E576" t="inlineStr">
        <is>
          <t>UPPSALA</t>
        </is>
      </c>
      <c r="G576" t="n">
        <v>10.8</v>
      </c>
      <c r="H576" t="n">
        <v>0</v>
      </c>
      <c r="I576" t="n">
        <v>0</v>
      </c>
      <c r="J576" t="n">
        <v>0</v>
      </c>
      <c r="K576" t="n">
        <v>0</v>
      </c>
      <c r="L576" t="n">
        <v>0</v>
      </c>
      <c r="M576" t="n">
        <v>0</v>
      </c>
      <c r="N576" t="n">
        <v>0</v>
      </c>
      <c r="O576" t="n">
        <v>0</v>
      </c>
      <c r="P576" t="n">
        <v>0</v>
      </c>
      <c r="Q576" t="n">
        <v>0</v>
      </c>
      <c r="R576" s="2" t="inlineStr"/>
    </row>
    <row r="577" ht="15" customHeight="1">
      <c r="A577" t="inlineStr">
        <is>
          <t>A 40701-2024</t>
        </is>
      </c>
      <c r="B577" s="1" t="n">
        <v>45558.42498842593</v>
      </c>
      <c r="C577" s="1" t="n">
        <v>45999</v>
      </c>
      <c r="D577" t="inlineStr">
        <is>
          <t>UPPSALA LÄN</t>
        </is>
      </c>
      <c r="E577" t="inlineStr">
        <is>
          <t>UPPSALA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42276-2024</t>
        </is>
      </c>
      <c r="B578" s="1" t="n">
        <v>45562</v>
      </c>
      <c r="C578" s="1" t="n">
        <v>45999</v>
      </c>
      <c r="D578" t="inlineStr">
        <is>
          <t>UPPSALA LÄN</t>
        </is>
      </c>
      <c r="E578" t="inlineStr">
        <is>
          <t>UPPSALA</t>
        </is>
      </c>
      <c r="G578" t="n">
        <v>2.2</v>
      </c>
      <c r="H578" t="n">
        <v>0</v>
      </c>
      <c r="I578" t="n">
        <v>0</v>
      </c>
      <c r="J578" t="n">
        <v>0</v>
      </c>
      <c r="K578" t="n">
        <v>0</v>
      </c>
      <c r="L578" t="n">
        <v>0</v>
      </c>
      <c r="M578" t="n">
        <v>0</v>
      </c>
      <c r="N578" t="n">
        <v>0</v>
      </c>
      <c r="O578" t="n">
        <v>0</v>
      </c>
      <c r="P578" t="n">
        <v>0</v>
      </c>
      <c r="Q578" t="n">
        <v>0</v>
      </c>
      <c r="R578" s="2" t="inlineStr"/>
    </row>
    <row r="579" ht="15" customHeight="1">
      <c r="A579" t="inlineStr">
        <is>
          <t>A 41422-2023</t>
        </is>
      </c>
      <c r="B579" s="1" t="n">
        <v>45175</v>
      </c>
      <c r="C579" s="1" t="n">
        <v>45999</v>
      </c>
      <c r="D579" t="inlineStr">
        <is>
          <t>UPPSALA LÄN</t>
        </is>
      </c>
      <c r="E579" t="inlineStr">
        <is>
          <t>UPPSALA</t>
        </is>
      </c>
      <c r="F579" t="inlineStr">
        <is>
          <t>Kyrkan</t>
        </is>
      </c>
      <c r="G579" t="n">
        <v>5.2</v>
      </c>
      <c r="H579" t="n">
        <v>0</v>
      </c>
      <c r="I579" t="n">
        <v>0</v>
      </c>
      <c r="J579" t="n">
        <v>0</v>
      </c>
      <c r="K579" t="n">
        <v>0</v>
      </c>
      <c r="L579" t="n">
        <v>0</v>
      </c>
      <c r="M579" t="n">
        <v>0</v>
      </c>
      <c r="N579" t="n">
        <v>0</v>
      </c>
      <c r="O579" t="n">
        <v>0</v>
      </c>
      <c r="P579" t="n">
        <v>0</v>
      </c>
      <c r="Q579" t="n">
        <v>0</v>
      </c>
      <c r="R579" s="2" t="inlineStr"/>
    </row>
    <row r="580" ht="15" customHeight="1">
      <c r="A580" t="inlineStr">
        <is>
          <t>A 32428-2023</t>
        </is>
      </c>
      <c r="B580" s="1" t="n">
        <v>45110</v>
      </c>
      <c r="C580" s="1" t="n">
        <v>45999</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45489-2023</t>
        </is>
      </c>
      <c r="B581" s="1" t="n">
        <v>45194</v>
      </c>
      <c r="C581" s="1" t="n">
        <v>45999</v>
      </c>
      <c r="D581" t="inlineStr">
        <is>
          <t>UPPSALA LÄN</t>
        </is>
      </c>
      <c r="E581" t="inlineStr">
        <is>
          <t>UPPSALA</t>
        </is>
      </c>
      <c r="F581" t="inlineStr">
        <is>
          <t>Allmännings- och besparingsskogar</t>
        </is>
      </c>
      <c r="G581" t="n">
        <v>15.8</v>
      </c>
      <c r="H581" t="n">
        <v>0</v>
      </c>
      <c r="I581" t="n">
        <v>0</v>
      </c>
      <c r="J581" t="n">
        <v>0</v>
      </c>
      <c r="K581" t="n">
        <v>0</v>
      </c>
      <c r="L581" t="n">
        <v>0</v>
      </c>
      <c r="M581" t="n">
        <v>0</v>
      </c>
      <c r="N581" t="n">
        <v>0</v>
      </c>
      <c r="O581" t="n">
        <v>0</v>
      </c>
      <c r="P581" t="n">
        <v>0</v>
      </c>
      <c r="Q581" t="n">
        <v>0</v>
      </c>
      <c r="R581" s="2" t="inlineStr"/>
    </row>
    <row r="582" ht="15" customHeight="1">
      <c r="A582" t="inlineStr">
        <is>
          <t>A 10650-2024</t>
        </is>
      </c>
      <c r="B582" s="1" t="n">
        <v>45368.64787037037</v>
      </c>
      <c r="C582" s="1" t="n">
        <v>45999</v>
      </c>
      <c r="D582" t="inlineStr">
        <is>
          <t>UPPSALA LÄN</t>
        </is>
      </c>
      <c r="E582" t="inlineStr">
        <is>
          <t>UPPSALA</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758-2022</t>
        </is>
      </c>
      <c r="B583" s="1" t="n">
        <v>44569.69358796296</v>
      </c>
      <c r="C583" s="1" t="n">
        <v>45999</v>
      </c>
      <c r="D583" t="inlineStr">
        <is>
          <t>UPPSALA LÄN</t>
        </is>
      </c>
      <c r="E583" t="inlineStr">
        <is>
          <t>UPPSALA</t>
        </is>
      </c>
      <c r="F583" t="inlineStr">
        <is>
          <t>Holmen skog AB</t>
        </is>
      </c>
      <c r="G583" t="n">
        <v>5.2</v>
      </c>
      <c r="H583" t="n">
        <v>0</v>
      </c>
      <c r="I583" t="n">
        <v>0</v>
      </c>
      <c r="J583" t="n">
        <v>0</v>
      </c>
      <c r="K583" t="n">
        <v>0</v>
      </c>
      <c r="L583" t="n">
        <v>0</v>
      </c>
      <c r="M583" t="n">
        <v>0</v>
      </c>
      <c r="N583" t="n">
        <v>0</v>
      </c>
      <c r="O583" t="n">
        <v>0</v>
      </c>
      <c r="P583" t="n">
        <v>0</v>
      </c>
      <c r="Q583" t="n">
        <v>0</v>
      </c>
      <c r="R583" s="2" t="inlineStr"/>
    </row>
    <row r="584" ht="15" customHeight="1">
      <c r="A584" t="inlineStr">
        <is>
          <t>A 6541-2025</t>
        </is>
      </c>
      <c r="B584" s="1" t="n">
        <v>45699</v>
      </c>
      <c r="C584" s="1" t="n">
        <v>45999</v>
      </c>
      <c r="D584" t="inlineStr">
        <is>
          <t>UPPSALA LÄN</t>
        </is>
      </c>
      <c r="E584" t="inlineStr">
        <is>
          <t>UPPSALA</t>
        </is>
      </c>
      <c r="G584" t="n">
        <v>1.5</v>
      </c>
      <c r="H584" t="n">
        <v>0</v>
      </c>
      <c r="I584" t="n">
        <v>0</v>
      </c>
      <c r="J584" t="n">
        <v>0</v>
      </c>
      <c r="K584" t="n">
        <v>0</v>
      </c>
      <c r="L584" t="n">
        <v>0</v>
      </c>
      <c r="M584" t="n">
        <v>0</v>
      </c>
      <c r="N584" t="n">
        <v>0</v>
      </c>
      <c r="O584" t="n">
        <v>0</v>
      </c>
      <c r="P584" t="n">
        <v>0</v>
      </c>
      <c r="Q584" t="n">
        <v>0</v>
      </c>
      <c r="R584" s="2" t="inlineStr"/>
    </row>
    <row r="585" ht="15" customHeight="1">
      <c r="A585" t="inlineStr">
        <is>
          <t>A 27473-2024</t>
        </is>
      </c>
      <c r="B585" s="1" t="n">
        <v>45474</v>
      </c>
      <c r="C585" s="1" t="n">
        <v>45999</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36479-2023</t>
        </is>
      </c>
      <c r="B586" s="1" t="n">
        <v>45152</v>
      </c>
      <c r="C586" s="1" t="n">
        <v>45999</v>
      </c>
      <c r="D586" t="inlineStr">
        <is>
          <t>UPPSALA LÄN</t>
        </is>
      </c>
      <c r="E586" t="inlineStr">
        <is>
          <t>UPPSALA</t>
        </is>
      </c>
      <c r="F586" t="inlineStr">
        <is>
          <t>Allmännings- och besparingsskogar</t>
        </is>
      </c>
      <c r="G586" t="n">
        <v>3.4</v>
      </c>
      <c r="H586" t="n">
        <v>0</v>
      </c>
      <c r="I586" t="n">
        <v>0</v>
      </c>
      <c r="J586" t="n">
        <v>0</v>
      </c>
      <c r="K586" t="n">
        <v>0</v>
      </c>
      <c r="L586" t="n">
        <v>0</v>
      </c>
      <c r="M586" t="n">
        <v>0</v>
      </c>
      <c r="N586" t="n">
        <v>0</v>
      </c>
      <c r="O586" t="n">
        <v>0</v>
      </c>
      <c r="P586" t="n">
        <v>0</v>
      </c>
      <c r="Q586" t="n">
        <v>0</v>
      </c>
      <c r="R586" s="2" t="inlineStr"/>
    </row>
    <row r="587" ht="15" customHeight="1">
      <c r="A587" t="inlineStr">
        <is>
          <t>A 5729-2025</t>
        </is>
      </c>
      <c r="B587" s="1" t="n">
        <v>45694.49037037037</v>
      </c>
      <c r="C587" s="1" t="n">
        <v>45999</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53614-2024</t>
        </is>
      </c>
      <c r="B588" s="1" t="n">
        <v>45611</v>
      </c>
      <c r="C588" s="1" t="n">
        <v>45999</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20497-2022</t>
        </is>
      </c>
      <c r="B589" s="1" t="n">
        <v>44699</v>
      </c>
      <c r="C589" s="1" t="n">
        <v>45999</v>
      </c>
      <c r="D589" t="inlineStr">
        <is>
          <t>UPPSALA LÄN</t>
        </is>
      </c>
      <c r="E589" t="inlineStr">
        <is>
          <t>UPPSALA</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784-2024</t>
        </is>
      </c>
      <c r="B590" s="1" t="n">
        <v>45300.55680555556</v>
      </c>
      <c r="C590" s="1" t="n">
        <v>45999</v>
      </c>
      <c r="D590" t="inlineStr">
        <is>
          <t>UPPSALA LÄN</t>
        </is>
      </c>
      <c r="E590" t="inlineStr">
        <is>
          <t>UPPSALA</t>
        </is>
      </c>
      <c r="G590" t="n">
        <v>6.6</v>
      </c>
      <c r="H590" t="n">
        <v>0</v>
      </c>
      <c r="I590" t="n">
        <v>0</v>
      </c>
      <c r="J590" t="n">
        <v>0</v>
      </c>
      <c r="K590" t="n">
        <v>0</v>
      </c>
      <c r="L590" t="n">
        <v>0</v>
      </c>
      <c r="M590" t="n">
        <v>0</v>
      </c>
      <c r="N590" t="n">
        <v>0</v>
      </c>
      <c r="O590" t="n">
        <v>0</v>
      </c>
      <c r="P590" t="n">
        <v>0</v>
      </c>
      <c r="Q590" t="n">
        <v>0</v>
      </c>
      <c r="R590" s="2" t="inlineStr"/>
    </row>
    <row r="591" ht="15" customHeight="1">
      <c r="A591" t="inlineStr">
        <is>
          <t>A 48153-2024</t>
        </is>
      </c>
      <c r="B591" s="1" t="n">
        <v>45589</v>
      </c>
      <c r="C591" s="1" t="n">
        <v>45999</v>
      </c>
      <c r="D591" t="inlineStr">
        <is>
          <t>UPPSALA LÄN</t>
        </is>
      </c>
      <c r="E591" t="inlineStr">
        <is>
          <t>UPPSALA</t>
        </is>
      </c>
      <c r="G591" t="n">
        <v>3.4</v>
      </c>
      <c r="H591" t="n">
        <v>0</v>
      </c>
      <c r="I591" t="n">
        <v>0</v>
      </c>
      <c r="J591" t="n">
        <v>0</v>
      </c>
      <c r="K591" t="n">
        <v>0</v>
      </c>
      <c r="L591" t="n">
        <v>0</v>
      </c>
      <c r="M591" t="n">
        <v>0</v>
      </c>
      <c r="N591" t="n">
        <v>0</v>
      </c>
      <c r="O591" t="n">
        <v>0</v>
      </c>
      <c r="P591" t="n">
        <v>0</v>
      </c>
      <c r="Q591" t="n">
        <v>0</v>
      </c>
      <c r="R591" s="2" t="inlineStr"/>
    </row>
    <row r="592" ht="15" customHeight="1">
      <c r="A592" t="inlineStr">
        <is>
          <t>A 48154-2024</t>
        </is>
      </c>
      <c r="B592" s="1" t="n">
        <v>45589</v>
      </c>
      <c r="C592" s="1" t="n">
        <v>45999</v>
      </c>
      <c r="D592" t="inlineStr">
        <is>
          <t>UPPSALA LÄN</t>
        </is>
      </c>
      <c r="E592" t="inlineStr">
        <is>
          <t>UPPSALA</t>
        </is>
      </c>
      <c r="G592" t="n">
        <v>5.1</v>
      </c>
      <c r="H592" t="n">
        <v>0</v>
      </c>
      <c r="I592" t="n">
        <v>0</v>
      </c>
      <c r="J592" t="n">
        <v>0</v>
      </c>
      <c r="K592" t="n">
        <v>0</v>
      </c>
      <c r="L592" t="n">
        <v>0</v>
      </c>
      <c r="M592" t="n">
        <v>0</v>
      </c>
      <c r="N592" t="n">
        <v>0</v>
      </c>
      <c r="O592" t="n">
        <v>0</v>
      </c>
      <c r="P592" t="n">
        <v>0</v>
      </c>
      <c r="Q592" t="n">
        <v>0</v>
      </c>
      <c r="R592" s="2" t="inlineStr"/>
    </row>
    <row r="593" ht="15" customHeight="1">
      <c r="A593" t="inlineStr">
        <is>
          <t>A 8132-2022</t>
        </is>
      </c>
      <c r="B593" s="1" t="n">
        <v>44609.60171296296</v>
      </c>
      <c r="C593" s="1" t="n">
        <v>45999</v>
      </c>
      <c r="D593" t="inlineStr">
        <is>
          <t>UPPSALA LÄN</t>
        </is>
      </c>
      <c r="E593" t="inlineStr">
        <is>
          <t>UPPSALA</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3955-2021</t>
        </is>
      </c>
      <c r="B594" s="1" t="n">
        <v>44222</v>
      </c>
      <c r="C594" s="1" t="n">
        <v>45999</v>
      </c>
      <c r="D594" t="inlineStr">
        <is>
          <t>UPPSALA LÄN</t>
        </is>
      </c>
      <c r="E594" t="inlineStr">
        <is>
          <t>UPPSALA</t>
        </is>
      </c>
      <c r="G594" t="n">
        <v>2.3</v>
      </c>
      <c r="H594" t="n">
        <v>0</v>
      </c>
      <c r="I594" t="n">
        <v>0</v>
      </c>
      <c r="J594" t="n">
        <v>0</v>
      </c>
      <c r="K594" t="n">
        <v>0</v>
      </c>
      <c r="L594" t="n">
        <v>0</v>
      </c>
      <c r="M594" t="n">
        <v>0</v>
      </c>
      <c r="N594" t="n">
        <v>0</v>
      </c>
      <c r="O594" t="n">
        <v>0</v>
      </c>
      <c r="P594" t="n">
        <v>0</v>
      </c>
      <c r="Q594" t="n">
        <v>0</v>
      </c>
      <c r="R594" s="2" t="inlineStr"/>
    </row>
    <row r="595" ht="15" customHeight="1">
      <c r="A595" t="inlineStr">
        <is>
          <t>A 52503-2023</t>
        </is>
      </c>
      <c r="B595" s="1" t="n">
        <v>45225.46480324074</v>
      </c>
      <c r="C595" s="1" t="n">
        <v>45999</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62471-2021</t>
        </is>
      </c>
      <c r="B596" s="1" t="n">
        <v>44503</v>
      </c>
      <c r="C596" s="1" t="n">
        <v>45999</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33562-2023</t>
        </is>
      </c>
      <c r="B597" s="1" t="n">
        <v>45131</v>
      </c>
      <c r="C597" s="1" t="n">
        <v>45999</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10565-2022</t>
        </is>
      </c>
      <c r="B598" s="1" t="n">
        <v>44624.35083333333</v>
      </c>
      <c r="C598" s="1" t="n">
        <v>45999</v>
      </c>
      <c r="D598" t="inlineStr">
        <is>
          <t>UPPSALA LÄN</t>
        </is>
      </c>
      <c r="E598" t="inlineStr">
        <is>
          <t>UPPSALA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24091-2024</t>
        </is>
      </c>
      <c r="B599" s="1" t="n">
        <v>45456.58491898148</v>
      </c>
      <c r="C599" s="1" t="n">
        <v>45999</v>
      </c>
      <c r="D599" t="inlineStr">
        <is>
          <t>UPPSALA LÄN</t>
        </is>
      </c>
      <c r="E599" t="inlineStr">
        <is>
          <t>UPPSALA</t>
        </is>
      </c>
      <c r="G599" t="n">
        <v>1.8</v>
      </c>
      <c r="H599" t="n">
        <v>0</v>
      </c>
      <c r="I599" t="n">
        <v>0</v>
      </c>
      <c r="J599" t="n">
        <v>0</v>
      </c>
      <c r="K599" t="n">
        <v>0</v>
      </c>
      <c r="L599" t="n">
        <v>0</v>
      </c>
      <c r="M599" t="n">
        <v>0</v>
      </c>
      <c r="N599" t="n">
        <v>0</v>
      </c>
      <c r="O599" t="n">
        <v>0</v>
      </c>
      <c r="P599" t="n">
        <v>0</v>
      </c>
      <c r="Q599" t="n">
        <v>0</v>
      </c>
      <c r="R599" s="2" t="inlineStr"/>
    </row>
    <row r="600" ht="15" customHeight="1">
      <c r="A600" t="inlineStr">
        <is>
          <t>A 57714-2022</t>
        </is>
      </c>
      <c r="B600" s="1" t="n">
        <v>44897</v>
      </c>
      <c r="C600" s="1" t="n">
        <v>45999</v>
      </c>
      <c r="D600" t="inlineStr">
        <is>
          <t>UPPSALA LÄN</t>
        </is>
      </c>
      <c r="E600" t="inlineStr">
        <is>
          <t>UPPSALA</t>
        </is>
      </c>
      <c r="G600" t="n">
        <v>8.9</v>
      </c>
      <c r="H600" t="n">
        <v>0</v>
      </c>
      <c r="I600" t="n">
        <v>0</v>
      </c>
      <c r="J600" t="n">
        <v>0</v>
      </c>
      <c r="K600" t="n">
        <v>0</v>
      </c>
      <c r="L600" t="n">
        <v>0</v>
      </c>
      <c r="M600" t="n">
        <v>0</v>
      </c>
      <c r="N600" t="n">
        <v>0</v>
      </c>
      <c r="O600" t="n">
        <v>0</v>
      </c>
      <c r="P600" t="n">
        <v>0</v>
      </c>
      <c r="Q600" t="n">
        <v>0</v>
      </c>
      <c r="R600" s="2" t="inlineStr"/>
    </row>
    <row r="601" ht="15" customHeight="1">
      <c r="A601" t="inlineStr">
        <is>
          <t>A 7899-2022</t>
        </is>
      </c>
      <c r="B601" s="1" t="n">
        <v>44608</v>
      </c>
      <c r="C601" s="1" t="n">
        <v>45999</v>
      </c>
      <c r="D601" t="inlineStr">
        <is>
          <t>UPPSALA LÄN</t>
        </is>
      </c>
      <c r="E601" t="inlineStr">
        <is>
          <t>UPPSALA</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60447-2023</t>
        </is>
      </c>
      <c r="B602" s="1" t="n">
        <v>45259</v>
      </c>
      <c r="C602" s="1" t="n">
        <v>45999</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12284-2025</t>
        </is>
      </c>
      <c r="B603" s="1" t="n">
        <v>45729</v>
      </c>
      <c r="C603" s="1" t="n">
        <v>45999</v>
      </c>
      <c r="D603" t="inlineStr">
        <is>
          <t>UPPSALA LÄN</t>
        </is>
      </c>
      <c r="E603" t="inlineStr">
        <is>
          <t>UPPSALA</t>
        </is>
      </c>
      <c r="G603" t="n">
        <v>6.7</v>
      </c>
      <c r="H603" t="n">
        <v>0</v>
      </c>
      <c r="I603" t="n">
        <v>0</v>
      </c>
      <c r="J603" t="n">
        <v>0</v>
      </c>
      <c r="K603" t="n">
        <v>0</v>
      </c>
      <c r="L603" t="n">
        <v>0</v>
      </c>
      <c r="M603" t="n">
        <v>0</v>
      </c>
      <c r="N603" t="n">
        <v>0</v>
      </c>
      <c r="O603" t="n">
        <v>0</v>
      </c>
      <c r="P603" t="n">
        <v>0</v>
      </c>
      <c r="Q603" t="n">
        <v>0</v>
      </c>
      <c r="R603" s="2" t="inlineStr"/>
    </row>
    <row r="604" ht="15" customHeight="1">
      <c r="A604" t="inlineStr">
        <is>
          <t>A 12287-2025</t>
        </is>
      </c>
      <c r="B604" s="1" t="n">
        <v>45729</v>
      </c>
      <c r="C604" s="1" t="n">
        <v>45999</v>
      </c>
      <c r="D604" t="inlineStr">
        <is>
          <t>UPPSALA LÄN</t>
        </is>
      </c>
      <c r="E604" t="inlineStr">
        <is>
          <t>UPPSALA</t>
        </is>
      </c>
      <c r="G604" t="n">
        <v>4.6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45999</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4461-2024</t>
        </is>
      </c>
      <c r="B606" s="1" t="n">
        <v>45327</v>
      </c>
      <c r="C606" s="1" t="n">
        <v>45999</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14784-2023</t>
        </is>
      </c>
      <c r="B607" s="1" t="n">
        <v>45014</v>
      </c>
      <c r="C607" s="1" t="n">
        <v>45999</v>
      </c>
      <c r="D607" t="inlineStr">
        <is>
          <t>UPPSALA LÄN</t>
        </is>
      </c>
      <c r="E607" t="inlineStr">
        <is>
          <t>UPPSALA</t>
        </is>
      </c>
      <c r="G607" t="n">
        <v>4.7</v>
      </c>
      <c r="H607" t="n">
        <v>0</v>
      </c>
      <c r="I607" t="n">
        <v>0</v>
      </c>
      <c r="J607" t="n">
        <v>0</v>
      </c>
      <c r="K607" t="n">
        <v>0</v>
      </c>
      <c r="L607" t="n">
        <v>0</v>
      </c>
      <c r="M607" t="n">
        <v>0</v>
      </c>
      <c r="N607" t="n">
        <v>0</v>
      </c>
      <c r="O607" t="n">
        <v>0</v>
      </c>
      <c r="P607" t="n">
        <v>0</v>
      </c>
      <c r="Q607" t="n">
        <v>0</v>
      </c>
      <c r="R607" s="2" t="inlineStr"/>
    </row>
    <row r="608" ht="15" customHeight="1">
      <c r="A608" t="inlineStr">
        <is>
          <t>A 51576-2023</t>
        </is>
      </c>
      <c r="B608" s="1" t="n">
        <v>45222</v>
      </c>
      <c r="C608" s="1" t="n">
        <v>45999</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4929-2022</t>
        </is>
      </c>
      <c r="B609" s="1" t="n">
        <v>44593</v>
      </c>
      <c r="C609" s="1" t="n">
        <v>45999</v>
      </c>
      <c r="D609" t="inlineStr">
        <is>
          <t>UPPSALA LÄN</t>
        </is>
      </c>
      <c r="E609" t="inlineStr">
        <is>
          <t>UPPSALA</t>
        </is>
      </c>
      <c r="G609" t="n">
        <v>2.4</v>
      </c>
      <c r="H609" t="n">
        <v>0</v>
      </c>
      <c r="I609" t="n">
        <v>0</v>
      </c>
      <c r="J609" t="n">
        <v>0</v>
      </c>
      <c r="K609" t="n">
        <v>0</v>
      </c>
      <c r="L609" t="n">
        <v>0</v>
      </c>
      <c r="M609" t="n">
        <v>0</v>
      </c>
      <c r="N609" t="n">
        <v>0</v>
      </c>
      <c r="O609" t="n">
        <v>0</v>
      </c>
      <c r="P609" t="n">
        <v>0</v>
      </c>
      <c r="Q609" t="n">
        <v>0</v>
      </c>
      <c r="R609" s="2" t="inlineStr"/>
    </row>
    <row r="610" ht="15" customHeight="1">
      <c r="A610" t="inlineStr">
        <is>
          <t>A 4240-2025</t>
        </is>
      </c>
      <c r="B610" s="1" t="n">
        <v>45685.5778125</v>
      </c>
      <c r="C610" s="1" t="n">
        <v>45999</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6012-2025</t>
        </is>
      </c>
      <c r="B611" s="1" t="n">
        <v>45695.59805555556</v>
      </c>
      <c r="C611" s="1" t="n">
        <v>45999</v>
      </c>
      <c r="D611" t="inlineStr">
        <is>
          <t>UPPSALA LÄN</t>
        </is>
      </c>
      <c r="E611" t="inlineStr">
        <is>
          <t>UPPSALA</t>
        </is>
      </c>
      <c r="F611" t="inlineStr">
        <is>
          <t>Övriga Aktiebolag</t>
        </is>
      </c>
      <c r="G611" t="n">
        <v>14.3</v>
      </c>
      <c r="H611" t="n">
        <v>0</v>
      </c>
      <c r="I611" t="n">
        <v>0</v>
      </c>
      <c r="J611" t="n">
        <v>0</v>
      </c>
      <c r="K611" t="n">
        <v>0</v>
      </c>
      <c r="L611" t="n">
        <v>0</v>
      </c>
      <c r="M611" t="n">
        <v>0</v>
      </c>
      <c r="N611" t="n">
        <v>0</v>
      </c>
      <c r="O611" t="n">
        <v>0</v>
      </c>
      <c r="P611" t="n">
        <v>0</v>
      </c>
      <c r="Q611" t="n">
        <v>0</v>
      </c>
      <c r="R611" s="2" t="inlineStr"/>
    </row>
    <row r="612" ht="15" customHeight="1">
      <c r="A612" t="inlineStr">
        <is>
          <t>A 24787-2024</t>
        </is>
      </c>
      <c r="B612" s="1" t="n">
        <v>45460</v>
      </c>
      <c r="C612" s="1" t="n">
        <v>45999</v>
      </c>
      <c r="D612" t="inlineStr">
        <is>
          <t>UPPSALA LÄN</t>
        </is>
      </c>
      <c r="E612" t="inlineStr">
        <is>
          <t>UPPSALA</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7388-2024</t>
        </is>
      </c>
      <c r="B613" s="1" t="n">
        <v>45345.56</v>
      </c>
      <c r="C613" s="1" t="n">
        <v>45999</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45999</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45999</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60984-2022</t>
        </is>
      </c>
      <c r="B616" s="1" t="n">
        <v>44914.67600694444</v>
      </c>
      <c r="C616" s="1" t="n">
        <v>45999</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21052-2023</t>
        </is>
      </c>
      <c r="B617" s="1" t="n">
        <v>45061</v>
      </c>
      <c r="C617" s="1" t="n">
        <v>45999</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1855-2021</t>
        </is>
      </c>
      <c r="B618" s="1" t="n">
        <v>44210</v>
      </c>
      <c r="C618" s="1" t="n">
        <v>45999</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54808-2023</t>
        </is>
      </c>
      <c r="B619" s="1" t="n">
        <v>45236</v>
      </c>
      <c r="C619" s="1" t="n">
        <v>45999</v>
      </c>
      <c r="D619" t="inlineStr">
        <is>
          <t>UPPSALA LÄN</t>
        </is>
      </c>
      <c r="E619" t="inlineStr">
        <is>
          <t>UPPSALA</t>
        </is>
      </c>
      <c r="G619" t="n">
        <v>4.1</v>
      </c>
      <c r="H619" t="n">
        <v>0</v>
      </c>
      <c r="I619" t="n">
        <v>0</v>
      </c>
      <c r="J619" t="n">
        <v>0</v>
      </c>
      <c r="K619" t="n">
        <v>0</v>
      </c>
      <c r="L619" t="n">
        <v>0</v>
      </c>
      <c r="M619" t="n">
        <v>0</v>
      </c>
      <c r="N619" t="n">
        <v>0</v>
      </c>
      <c r="O619" t="n">
        <v>0</v>
      </c>
      <c r="P619" t="n">
        <v>0</v>
      </c>
      <c r="Q619" t="n">
        <v>0</v>
      </c>
      <c r="R619" s="2" t="inlineStr"/>
    </row>
    <row r="620" ht="15" customHeight="1">
      <c r="A620" t="inlineStr">
        <is>
          <t>A 46743-2024</t>
        </is>
      </c>
      <c r="B620" s="1" t="n">
        <v>45583.47836805556</v>
      </c>
      <c r="C620" s="1" t="n">
        <v>45999</v>
      </c>
      <c r="D620" t="inlineStr">
        <is>
          <t>UPPSALA LÄN</t>
        </is>
      </c>
      <c r="E620" t="inlineStr">
        <is>
          <t>UPPSALA</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60701-2022</t>
        </is>
      </c>
      <c r="B621" s="1" t="n">
        <v>44912</v>
      </c>
      <c r="C621" s="1" t="n">
        <v>45999</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6997-2023</t>
        </is>
      </c>
      <c r="B622" s="1" t="n">
        <v>44967.78984953704</v>
      </c>
      <c r="C622" s="1" t="n">
        <v>45999</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23157-2023</t>
        </is>
      </c>
      <c r="B623" s="1" t="n">
        <v>45075.51982638889</v>
      </c>
      <c r="C623" s="1" t="n">
        <v>45999</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6549-2025</t>
        </is>
      </c>
      <c r="B624" s="1" t="n">
        <v>45699</v>
      </c>
      <c r="C624" s="1" t="n">
        <v>45999</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12830-2025</t>
        </is>
      </c>
      <c r="B625" s="1" t="n">
        <v>45733.63099537037</v>
      </c>
      <c r="C625" s="1" t="n">
        <v>45999</v>
      </c>
      <c r="D625" t="inlineStr">
        <is>
          <t>UPPSALA LÄN</t>
        </is>
      </c>
      <c r="E625" t="inlineStr">
        <is>
          <t>UPPSALA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18808-2024</t>
        </is>
      </c>
      <c r="B626" s="1" t="n">
        <v>45426.61569444444</v>
      </c>
      <c r="C626" s="1" t="n">
        <v>45999</v>
      </c>
      <c r="D626" t="inlineStr">
        <is>
          <t>UPPSALA LÄN</t>
        </is>
      </c>
      <c r="E626" t="inlineStr">
        <is>
          <t>UPPSALA</t>
        </is>
      </c>
      <c r="G626" t="n">
        <v>11.5</v>
      </c>
      <c r="H626" t="n">
        <v>0</v>
      </c>
      <c r="I626" t="n">
        <v>0</v>
      </c>
      <c r="J626" t="n">
        <v>0</v>
      </c>
      <c r="K626" t="n">
        <v>0</v>
      </c>
      <c r="L626" t="n">
        <v>0</v>
      </c>
      <c r="M626" t="n">
        <v>0</v>
      </c>
      <c r="N626" t="n">
        <v>0</v>
      </c>
      <c r="O626" t="n">
        <v>0</v>
      </c>
      <c r="P626" t="n">
        <v>0</v>
      </c>
      <c r="Q626" t="n">
        <v>0</v>
      </c>
      <c r="R626" s="2" t="inlineStr"/>
    </row>
    <row r="627" ht="15" customHeight="1">
      <c r="A627" t="inlineStr">
        <is>
          <t>A 28782-2024</t>
        </is>
      </c>
      <c r="B627" s="1" t="n">
        <v>45478.60802083334</v>
      </c>
      <c r="C627" s="1" t="n">
        <v>45999</v>
      </c>
      <c r="D627" t="inlineStr">
        <is>
          <t>UPPSALA LÄN</t>
        </is>
      </c>
      <c r="E627" t="inlineStr">
        <is>
          <t>UPPSALA</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9981-2025</t>
        </is>
      </c>
      <c r="B628" s="1" t="n">
        <v>45719.40723379629</v>
      </c>
      <c r="C628" s="1" t="n">
        <v>45999</v>
      </c>
      <c r="D628" t="inlineStr">
        <is>
          <t>UPPSALA LÄN</t>
        </is>
      </c>
      <c r="E628" t="inlineStr">
        <is>
          <t>UPPSALA</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9984-2025</t>
        </is>
      </c>
      <c r="B629" s="1" t="n">
        <v>45719.42197916667</v>
      </c>
      <c r="C629" s="1" t="n">
        <v>45999</v>
      </c>
      <c r="D629" t="inlineStr">
        <is>
          <t>UPPSALA LÄN</t>
        </is>
      </c>
      <c r="E629" t="inlineStr">
        <is>
          <t>UPPSALA</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9991-2025</t>
        </is>
      </c>
      <c r="B630" s="1" t="n">
        <v>45719.43646990741</v>
      </c>
      <c r="C630" s="1" t="n">
        <v>45999</v>
      </c>
      <c r="D630" t="inlineStr">
        <is>
          <t>UPPSALA LÄN</t>
        </is>
      </c>
      <c r="E630" t="inlineStr">
        <is>
          <t>UPPSALA</t>
        </is>
      </c>
      <c r="F630" t="inlineStr">
        <is>
          <t>Kyrkan</t>
        </is>
      </c>
      <c r="G630" t="n">
        <v>6.1</v>
      </c>
      <c r="H630" t="n">
        <v>0</v>
      </c>
      <c r="I630" t="n">
        <v>0</v>
      </c>
      <c r="J630" t="n">
        <v>0</v>
      </c>
      <c r="K630" t="n">
        <v>0</v>
      </c>
      <c r="L630" t="n">
        <v>0</v>
      </c>
      <c r="M630" t="n">
        <v>0</v>
      </c>
      <c r="N630" t="n">
        <v>0</v>
      </c>
      <c r="O630" t="n">
        <v>0</v>
      </c>
      <c r="P630" t="n">
        <v>0</v>
      </c>
      <c r="Q630" t="n">
        <v>0</v>
      </c>
      <c r="R630" s="2" t="inlineStr"/>
    </row>
    <row r="631" ht="15" customHeight="1">
      <c r="A631" t="inlineStr">
        <is>
          <t>A 36781-2023</t>
        </is>
      </c>
      <c r="B631" s="1" t="n">
        <v>45154.34931712963</v>
      </c>
      <c r="C631" s="1" t="n">
        <v>45999</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3973-2025</t>
        </is>
      </c>
      <c r="B632" s="1" t="n">
        <v>45684</v>
      </c>
      <c r="C632" s="1" t="n">
        <v>45999</v>
      </c>
      <c r="D632" t="inlineStr">
        <is>
          <t>UPPSALA LÄN</t>
        </is>
      </c>
      <c r="E632" t="inlineStr">
        <is>
          <t>UPPSALA</t>
        </is>
      </c>
      <c r="G632" t="n">
        <v>8</v>
      </c>
      <c r="H632" t="n">
        <v>0</v>
      </c>
      <c r="I632" t="n">
        <v>0</v>
      </c>
      <c r="J632" t="n">
        <v>0</v>
      </c>
      <c r="K632" t="n">
        <v>0</v>
      </c>
      <c r="L632" t="n">
        <v>0</v>
      </c>
      <c r="M632" t="n">
        <v>0</v>
      </c>
      <c r="N632" t="n">
        <v>0</v>
      </c>
      <c r="O632" t="n">
        <v>0</v>
      </c>
      <c r="P632" t="n">
        <v>0</v>
      </c>
      <c r="Q632" t="n">
        <v>0</v>
      </c>
      <c r="R632" s="2" t="inlineStr"/>
    </row>
    <row r="633" ht="15" customHeight="1">
      <c r="A633" t="inlineStr">
        <is>
          <t>A 32475-2025</t>
        </is>
      </c>
      <c r="B633" s="1" t="n">
        <v>45838</v>
      </c>
      <c r="C633" s="1" t="n">
        <v>45999</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32484-2025</t>
        </is>
      </c>
      <c r="B634" s="1" t="n">
        <v>45838</v>
      </c>
      <c r="C634" s="1" t="n">
        <v>45999</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35542-2022</t>
        </is>
      </c>
      <c r="B635" s="1" t="n">
        <v>44799.36695601852</v>
      </c>
      <c r="C635" s="1" t="n">
        <v>45999</v>
      </c>
      <c r="D635" t="inlineStr">
        <is>
          <t>UPPSALA LÄN</t>
        </is>
      </c>
      <c r="E635" t="inlineStr">
        <is>
          <t>UPPSALA</t>
        </is>
      </c>
      <c r="G635" t="n">
        <v>3.2</v>
      </c>
      <c r="H635" t="n">
        <v>0</v>
      </c>
      <c r="I635" t="n">
        <v>0</v>
      </c>
      <c r="J635" t="n">
        <v>0</v>
      </c>
      <c r="K635" t="n">
        <v>0</v>
      </c>
      <c r="L635" t="n">
        <v>0</v>
      </c>
      <c r="M635" t="n">
        <v>0</v>
      </c>
      <c r="N635" t="n">
        <v>0</v>
      </c>
      <c r="O635" t="n">
        <v>0</v>
      </c>
      <c r="P635" t="n">
        <v>0</v>
      </c>
      <c r="Q635" t="n">
        <v>0</v>
      </c>
      <c r="R635" s="2" t="inlineStr"/>
    </row>
    <row r="636" ht="15" customHeight="1">
      <c r="A636" t="inlineStr">
        <is>
          <t>A 7727-2024</t>
        </is>
      </c>
      <c r="B636" s="1" t="n">
        <v>45349</v>
      </c>
      <c r="C636" s="1" t="n">
        <v>45999</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35978-2025</t>
        </is>
      </c>
      <c r="B637" s="1" t="n">
        <v>45863.44648148148</v>
      </c>
      <c r="C637" s="1" t="n">
        <v>45999</v>
      </c>
      <c r="D637" t="inlineStr">
        <is>
          <t>UPPSALA LÄN</t>
        </is>
      </c>
      <c r="E637" t="inlineStr">
        <is>
          <t>UPPSALA</t>
        </is>
      </c>
      <c r="G637" t="n">
        <v>1.6</v>
      </c>
      <c r="H637" t="n">
        <v>0</v>
      </c>
      <c r="I637" t="n">
        <v>0</v>
      </c>
      <c r="J637" t="n">
        <v>0</v>
      </c>
      <c r="K637" t="n">
        <v>0</v>
      </c>
      <c r="L637" t="n">
        <v>0</v>
      </c>
      <c r="M637" t="n">
        <v>0</v>
      </c>
      <c r="N637" t="n">
        <v>0</v>
      </c>
      <c r="O637" t="n">
        <v>0</v>
      </c>
      <c r="P637" t="n">
        <v>0</v>
      </c>
      <c r="Q637" t="n">
        <v>0</v>
      </c>
      <c r="R637" s="2" t="inlineStr"/>
    </row>
    <row r="638" ht="15" customHeight="1">
      <c r="A638" t="inlineStr">
        <is>
          <t>A 35984-2025</t>
        </is>
      </c>
      <c r="B638" s="1" t="n">
        <v>45863.45355324074</v>
      </c>
      <c r="C638" s="1" t="n">
        <v>45999</v>
      </c>
      <c r="D638" t="inlineStr">
        <is>
          <t>UPPSALA LÄN</t>
        </is>
      </c>
      <c r="E638" t="inlineStr">
        <is>
          <t>UPPSALA</t>
        </is>
      </c>
      <c r="G638" t="n">
        <v>6.1</v>
      </c>
      <c r="H638" t="n">
        <v>0</v>
      </c>
      <c r="I638" t="n">
        <v>0</v>
      </c>
      <c r="J638" t="n">
        <v>0</v>
      </c>
      <c r="K638" t="n">
        <v>0</v>
      </c>
      <c r="L638" t="n">
        <v>0</v>
      </c>
      <c r="M638" t="n">
        <v>0</v>
      </c>
      <c r="N638" t="n">
        <v>0</v>
      </c>
      <c r="O638" t="n">
        <v>0</v>
      </c>
      <c r="P638" t="n">
        <v>0</v>
      </c>
      <c r="Q638" t="n">
        <v>0</v>
      </c>
      <c r="R638" s="2" t="inlineStr"/>
    </row>
    <row r="639" ht="15" customHeight="1">
      <c r="A639" t="inlineStr">
        <is>
          <t>A 36253-2025</t>
        </is>
      </c>
      <c r="B639" s="1" t="n">
        <v>45867.58056712963</v>
      </c>
      <c r="C639" s="1" t="n">
        <v>45999</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30616-2025</t>
        </is>
      </c>
      <c r="B640" s="1" t="n">
        <v>45831.46731481481</v>
      </c>
      <c r="C640" s="1" t="n">
        <v>45999</v>
      </c>
      <c r="D640" t="inlineStr">
        <is>
          <t>UPPSALA LÄN</t>
        </is>
      </c>
      <c r="E640" t="inlineStr">
        <is>
          <t>UPPSALA</t>
        </is>
      </c>
      <c r="G640" t="n">
        <v>2.1</v>
      </c>
      <c r="H640" t="n">
        <v>0</v>
      </c>
      <c r="I640" t="n">
        <v>0</v>
      </c>
      <c r="J640" t="n">
        <v>0</v>
      </c>
      <c r="K640" t="n">
        <v>0</v>
      </c>
      <c r="L640" t="n">
        <v>0</v>
      </c>
      <c r="M640" t="n">
        <v>0</v>
      </c>
      <c r="N640" t="n">
        <v>0</v>
      </c>
      <c r="O640" t="n">
        <v>0</v>
      </c>
      <c r="P640" t="n">
        <v>0</v>
      </c>
      <c r="Q640" t="n">
        <v>0</v>
      </c>
      <c r="R640" s="2" t="inlineStr"/>
    </row>
    <row r="641" ht="15" customHeight="1">
      <c r="A641" t="inlineStr">
        <is>
          <t>A 47316-2023</t>
        </is>
      </c>
      <c r="B641" s="1" t="n">
        <v>45202.4997337963</v>
      </c>
      <c r="C641" s="1" t="n">
        <v>45999</v>
      </c>
      <c r="D641" t="inlineStr">
        <is>
          <t>UPPSALA LÄN</t>
        </is>
      </c>
      <c r="E641" t="inlineStr">
        <is>
          <t>UPPSALA</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59570-2023</t>
        </is>
      </c>
      <c r="B642" s="1" t="n">
        <v>45254</v>
      </c>
      <c r="C642" s="1" t="n">
        <v>45999</v>
      </c>
      <c r="D642" t="inlineStr">
        <is>
          <t>UPPSALA LÄN</t>
        </is>
      </c>
      <c r="E642" t="inlineStr">
        <is>
          <t>UPPSALA</t>
        </is>
      </c>
      <c r="G642" t="n">
        <v>6.7</v>
      </c>
      <c r="H642" t="n">
        <v>0</v>
      </c>
      <c r="I642" t="n">
        <v>0</v>
      </c>
      <c r="J642" t="n">
        <v>0</v>
      </c>
      <c r="K642" t="n">
        <v>0</v>
      </c>
      <c r="L642" t="n">
        <v>0</v>
      </c>
      <c r="M642" t="n">
        <v>0</v>
      </c>
      <c r="N642" t="n">
        <v>0</v>
      </c>
      <c r="O642" t="n">
        <v>0</v>
      </c>
      <c r="P642" t="n">
        <v>0</v>
      </c>
      <c r="Q642" t="n">
        <v>0</v>
      </c>
      <c r="R642" s="2" t="inlineStr"/>
    </row>
    <row r="643" ht="15" customHeight="1">
      <c r="A643" t="inlineStr">
        <is>
          <t>A 38469-2025</t>
        </is>
      </c>
      <c r="B643" s="1" t="n">
        <v>45884</v>
      </c>
      <c r="C643" s="1" t="n">
        <v>45999</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1573-2021</t>
        </is>
      </c>
      <c r="B644" s="1" t="n">
        <v>44209</v>
      </c>
      <c r="C644" s="1" t="n">
        <v>45999</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36913-2025</t>
        </is>
      </c>
      <c r="B645" s="1" t="n">
        <v>45874</v>
      </c>
      <c r="C645" s="1" t="n">
        <v>45999</v>
      </c>
      <c r="D645" t="inlineStr">
        <is>
          <t>UPPSALA LÄN</t>
        </is>
      </c>
      <c r="E645" t="inlineStr">
        <is>
          <t>UPPSALA</t>
        </is>
      </c>
      <c r="G645" t="n">
        <v>1.7</v>
      </c>
      <c r="H645" t="n">
        <v>0</v>
      </c>
      <c r="I645" t="n">
        <v>0</v>
      </c>
      <c r="J645" t="n">
        <v>0</v>
      </c>
      <c r="K645" t="n">
        <v>0</v>
      </c>
      <c r="L645" t="n">
        <v>0</v>
      </c>
      <c r="M645" t="n">
        <v>0</v>
      </c>
      <c r="N645" t="n">
        <v>0</v>
      </c>
      <c r="O645" t="n">
        <v>0</v>
      </c>
      <c r="P645" t="n">
        <v>0</v>
      </c>
      <c r="Q645" t="n">
        <v>0</v>
      </c>
      <c r="R645" s="2" t="inlineStr"/>
    </row>
    <row r="646" ht="15" customHeight="1">
      <c r="A646" t="inlineStr">
        <is>
          <t>A 39818-2024</t>
        </is>
      </c>
      <c r="B646" s="1" t="n">
        <v>45552</v>
      </c>
      <c r="C646" s="1" t="n">
        <v>45999</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37010-2025</t>
        </is>
      </c>
      <c r="B647" s="1" t="n">
        <v>45874.705</v>
      </c>
      <c r="C647" s="1" t="n">
        <v>45999</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11339-2025</t>
        </is>
      </c>
      <c r="B648" s="1" t="n">
        <v>45726</v>
      </c>
      <c r="C648" s="1" t="n">
        <v>45999</v>
      </c>
      <c r="D648" t="inlineStr">
        <is>
          <t>UPPSALA LÄN</t>
        </is>
      </c>
      <c r="E648" t="inlineStr">
        <is>
          <t>UPPSALA</t>
        </is>
      </c>
      <c r="G648" t="n">
        <v>13.4</v>
      </c>
      <c r="H648" t="n">
        <v>0</v>
      </c>
      <c r="I648" t="n">
        <v>0</v>
      </c>
      <c r="J648" t="n">
        <v>0</v>
      </c>
      <c r="K648" t="n">
        <v>0</v>
      </c>
      <c r="L648" t="n">
        <v>0</v>
      </c>
      <c r="M648" t="n">
        <v>0</v>
      </c>
      <c r="N648" t="n">
        <v>0</v>
      </c>
      <c r="O648" t="n">
        <v>0</v>
      </c>
      <c r="P648" t="n">
        <v>0</v>
      </c>
      <c r="Q648" t="n">
        <v>0</v>
      </c>
      <c r="R648" s="2" t="inlineStr"/>
    </row>
    <row r="649" ht="15" customHeight="1">
      <c r="A649" t="inlineStr">
        <is>
          <t>A 11260-2024</t>
        </is>
      </c>
      <c r="B649" s="1" t="n">
        <v>45371.67368055556</v>
      </c>
      <c r="C649" s="1" t="n">
        <v>45999</v>
      </c>
      <c r="D649" t="inlineStr">
        <is>
          <t>UPPSALA LÄN</t>
        </is>
      </c>
      <c r="E649" t="inlineStr">
        <is>
          <t>UPPSALA</t>
        </is>
      </c>
      <c r="G649" t="n">
        <v>1.9</v>
      </c>
      <c r="H649" t="n">
        <v>0</v>
      </c>
      <c r="I649" t="n">
        <v>0</v>
      </c>
      <c r="J649" t="n">
        <v>0</v>
      </c>
      <c r="K649" t="n">
        <v>0</v>
      </c>
      <c r="L649" t="n">
        <v>0</v>
      </c>
      <c r="M649" t="n">
        <v>0</v>
      </c>
      <c r="N649" t="n">
        <v>0</v>
      </c>
      <c r="O649" t="n">
        <v>0</v>
      </c>
      <c r="P649" t="n">
        <v>0</v>
      </c>
      <c r="Q649" t="n">
        <v>0</v>
      </c>
      <c r="R649" s="2" t="inlineStr"/>
    </row>
    <row r="650" ht="15" customHeight="1">
      <c r="A650" t="inlineStr">
        <is>
          <t>A 37352-2025</t>
        </is>
      </c>
      <c r="B650" s="1" t="n">
        <v>45876</v>
      </c>
      <c r="C650" s="1" t="n">
        <v>45999</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45999</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45999</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45999</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45999</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5663-2023</t>
        </is>
      </c>
      <c r="B655" s="1" t="n">
        <v>44960</v>
      </c>
      <c r="C655" s="1" t="n">
        <v>45999</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5675-2023</t>
        </is>
      </c>
      <c r="B656" s="1" t="n">
        <v>44960.66233796296</v>
      </c>
      <c r="C656" s="1" t="n">
        <v>45999</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37351-2025</t>
        </is>
      </c>
      <c r="B657" s="1" t="n">
        <v>45876</v>
      </c>
      <c r="C657" s="1" t="n">
        <v>45999</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46925-2024</t>
        </is>
      </c>
      <c r="B658" s="1" t="n">
        <v>45584.60038194444</v>
      </c>
      <c r="C658" s="1" t="n">
        <v>45999</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56564-2024</t>
        </is>
      </c>
      <c r="B659" s="1" t="n">
        <v>45625.58501157408</v>
      </c>
      <c r="C659" s="1" t="n">
        <v>45999</v>
      </c>
      <c r="D659" t="inlineStr">
        <is>
          <t>UPPSALA LÄN</t>
        </is>
      </c>
      <c r="E659" t="inlineStr">
        <is>
          <t>UPPSALA</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11409-2025</t>
        </is>
      </c>
      <c r="B660" s="1" t="n">
        <v>45726</v>
      </c>
      <c r="C660" s="1" t="n">
        <v>45999</v>
      </c>
      <c r="D660" t="inlineStr">
        <is>
          <t>UPPSALA LÄN</t>
        </is>
      </c>
      <c r="E660" t="inlineStr">
        <is>
          <t>UPPSALA</t>
        </is>
      </c>
      <c r="G660" t="n">
        <v>0.3</v>
      </c>
      <c r="H660" t="n">
        <v>0</v>
      </c>
      <c r="I660" t="n">
        <v>0</v>
      </c>
      <c r="J660" t="n">
        <v>0</v>
      </c>
      <c r="K660" t="n">
        <v>0</v>
      </c>
      <c r="L660" t="n">
        <v>0</v>
      </c>
      <c r="M660" t="n">
        <v>0</v>
      </c>
      <c r="N660" t="n">
        <v>0</v>
      </c>
      <c r="O660" t="n">
        <v>0</v>
      </c>
      <c r="P660" t="n">
        <v>0</v>
      </c>
      <c r="Q660" t="n">
        <v>0</v>
      </c>
      <c r="R660" s="2" t="inlineStr"/>
    </row>
    <row r="661" ht="15" customHeight="1">
      <c r="A661" t="inlineStr">
        <is>
          <t>A 37468-2025</t>
        </is>
      </c>
      <c r="B661" s="1" t="n">
        <v>45877.57847222222</v>
      </c>
      <c r="C661" s="1" t="n">
        <v>45999</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37557-2025</t>
        </is>
      </c>
      <c r="B662" s="1" t="n">
        <v>45880.32907407408</v>
      </c>
      <c r="C662" s="1" t="n">
        <v>45999</v>
      </c>
      <c r="D662" t="inlineStr">
        <is>
          <t>UPPSALA LÄN</t>
        </is>
      </c>
      <c r="E662" t="inlineStr">
        <is>
          <t>UPPSALA</t>
        </is>
      </c>
      <c r="G662" t="n">
        <v>1.6</v>
      </c>
      <c r="H662" t="n">
        <v>0</v>
      </c>
      <c r="I662" t="n">
        <v>0</v>
      </c>
      <c r="J662" t="n">
        <v>0</v>
      </c>
      <c r="K662" t="n">
        <v>0</v>
      </c>
      <c r="L662" t="n">
        <v>0</v>
      </c>
      <c r="M662" t="n">
        <v>0</v>
      </c>
      <c r="N662" t="n">
        <v>0</v>
      </c>
      <c r="O662" t="n">
        <v>0</v>
      </c>
      <c r="P662" t="n">
        <v>0</v>
      </c>
      <c r="Q662" t="n">
        <v>0</v>
      </c>
      <c r="R662" s="2" t="inlineStr"/>
    </row>
    <row r="663" ht="15" customHeight="1">
      <c r="A663" t="inlineStr">
        <is>
          <t>A 35016-2025</t>
        </is>
      </c>
      <c r="B663" s="1" t="n">
        <v>45851.62179398148</v>
      </c>
      <c r="C663" s="1" t="n">
        <v>45999</v>
      </c>
      <c r="D663" t="inlineStr">
        <is>
          <t>UPPSALA LÄN</t>
        </is>
      </c>
      <c r="E663" t="inlineStr">
        <is>
          <t>UPPSALA</t>
        </is>
      </c>
      <c r="F663" t="inlineStr">
        <is>
          <t>Bergvik skog öst AB</t>
        </is>
      </c>
      <c r="G663" t="n">
        <v>7</v>
      </c>
      <c r="H663" t="n">
        <v>0</v>
      </c>
      <c r="I663" t="n">
        <v>0</v>
      </c>
      <c r="J663" t="n">
        <v>0</v>
      </c>
      <c r="K663" t="n">
        <v>0</v>
      </c>
      <c r="L663" t="n">
        <v>0</v>
      </c>
      <c r="M663" t="n">
        <v>0</v>
      </c>
      <c r="N663" t="n">
        <v>0</v>
      </c>
      <c r="O663" t="n">
        <v>0</v>
      </c>
      <c r="P663" t="n">
        <v>0</v>
      </c>
      <c r="Q663" t="n">
        <v>0</v>
      </c>
      <c r="R663" s="2" t="inlineStr"/>
    </row>
    <row r="664" ht="15" customHeight="1">
      <c r="A664" t="inlineStr">
        <is>
          <t>A 37561-2025</t>
        </is>
      </c>
      <c r="B664" s="1" t="n">
        <v>45880.34064814815</v>
      </c>
      <c r="C664" s="1" t="n">
        <v>45999</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37611-2025</t>
        </is>
      </c>
      <c r="B665" s="1" t="n">
        <v>45880</v>
      </c>
      <c r="C665" s="1" t="n">
        <v>45999</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37486-2025</t>
        </is>
      </c>
      <c r="B666" s="1" t="n">
        <v>45877.62969907407</v>
      </c>
      <c r="C666" s="1" t="n">
        <v>45999</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5006-2022</t>
        </is>
      </c>
      <c r="B667" s="1" t="n">
        <v>44593</v>
      </c>
      <c r="C667" s="1" t="n">
        <v>45999</v>
      </c>
      <c r="D667" t="inlineStr">
        <is>
          <t>UPPSALA LÄN</t>
        </is>
      </c>
      <c r="E667" t="inlineStr">
        <is>
          <t>UPPSALA</t>
        </is>
      </c>
      <c r="F667" t="inlineStr">
        <is>
          <t>BillerudKorsnäs AB</t>
        </is>
      </c>
      <c r="G667" t="n">
        <v>1.4</v>
      </c>
      <c r="H667" t="n">
        <v>0</v>
      </c>
      <c r="I667" t="n">
        <v>0</v>
      </c>
      <c r="J667" t="n">
        <v>0</v>
      </c>
      <c r="K667" t="n">
        <v>0</v>
      </c>
      <c r="L667" t="n">
        <v>0</v>
      </c>
      <c r="M667" t="n">
        <v>0</v>
      </c>
      <c r="N667" t="n">
        <v>0</v>
      </c>
      <c r="O667" t="n">
        <v>0</v>
      </c>
      <c r="P667" t="n">
        <v>0</v>
      </c>
      <c r="Q667" t="n">
        <v>0</v>
      </c>
      <c r="R667" s="2" t="inlineStr"/>
    </row>
    <row r="668" ht="15" customHeight="1">
      <c r="A668" t="inlineStr">
        <is>
          <t>A 56084-2024</t>
        </is>
      </c>
      <c r="B668" s="1" t="n">
        <v>45624</v>
      </c>
      <c r="C668" s="1" t="n">
        <v>45999</v>
      </c>
      <c r="D668" t="inlineStr">
        <is>
          <t>UPPSALA LÄN</t>
        </is>
      </c>
      <c r="E668" t="inlineStr">
        <is>
          <t>UPPSALA</t>
        </is>
      </c>
      <c r="G668" t="n">
        <v>3.8</v>
      </c>
      <c r="H668" t="n">
        <v>0</v>
      </c>
      <c r="I668" t="n">
        <v>0</v>
      </c>
      <c r="J668" t="n">
        <v>0</v>
      </c>
      <c r="K668" t="n">
        <v>0</v>
      </c>
      <c r="L668" t="n">
        <v>0</v>
      </c>
      <c r="M668" t="n">
        <v>0</v>
      </c>
      <c r="N668" t="n">
        <v>0</v>
      </c>
      <c r="O668" t="n">
        <v>0</v>
      </c>
      <c r="P668" t="n">
        <v>0</v>
      </c>
      <c r="Q668" t="n">
        <v>0</v>
      </c>
      <c r="R668" s="2" t="inlineStr"/>
    </row>
    <row r="669" ht="15" customHeight="1">
      <c r="A669" t="inlineStr">
        <is>
          <t>A 37759-2025</t>
        </is>
      </c>
      <c r="B669" s="1" t="n">
        <v>45880.68200231482</v>
      </c>
      <c r="C669" s="1" t="n">
        <v>45999</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4993-2025</t>
        </is>
      </c>
      <c r="B670" s="1" t="n">
        <v>45691</v>
      </c>
      <c r="C670" s="1" t="n">
        <v>45999</v>
      </c>
      <c r="D670" t="inlineStr">
        <is>
          <t>UPPSALA LÄN</t>
        </is>
      </c>
      <c r="E670" t="inlineStr">
        <is>
          <t>UPPSALA</t>
        </is>
      </c>
      <c r="F670" t="inlineStr">
        <is>
          <t>Kyrkan</t>
        </is>
      </c>
      <c r="G670" t="n">
        <v>6.7</v>
      </c>
      <c r="H670" t="n">
        <v>0</v>
      </c>
      <c r="I670" t="n">
        <v>0</v>
      </c>
      <c r="J670" t="n">
        <v>0</v>
      </c>
      <c r="K670" t="n">
        <v>0</v>
      </c>
      <c r="L670" t="n">
        <v>0</v>
      </c>
      <c r="M670" t="n">
        <v>0</v>
      </c>
      <c r="N670" t="n">
        <v>0</v>
      </c>
      <c r="O670" t="n">
        <v>0</v>
      </c>
      <c r="P670" t="n">
        <v>0</v>
      </c>
      <c r="Q670" t="n">
        <v>0</v>
      </c>
      <c r="R670" s="2" t="inlineStr"/>
    </row>
    <row r="671" ht="15" customHeight="1">
      <c r="A671" t="inlineStr">
        <is>
          <t>A 37856-2025</t>
        </is>
      </c>
      <c r="B671" s="1" t="n">
        <v>45881.45898148148</v>
      </c>
      <c r="C671" s="1" t="n">
        <v>45999</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3287-2025</t>
        </is>
      </c>
      <c r="B672" s="1" t="n">
        <v>45679</v>
      </c>
      <c r="C672" s="1" t="n">
        <v>45999</v>
      </c>
      <c r="D672" t="inlineStr">
        <is>
          <t>UPPSALA LÄN</t>
        </is>
      </c>
      <c r="E672" t="inlineStr">
        <is>
          <t>UPPSALA</t>
        </is>
      </c>
      <c r="F672" t="inlineStr">
        <is>
          <t>Kyrkan</t>
        </is>
      </c>
      <c r="G672" t="n">
        <v>6.7</v>
      </c>
      <c r="H672" t="n">
        <v>0</v>
      </c>
      <c r="I672" t="n">
        <v>0</v>
      </c>
      <c r="J672" t="n">
        <v>0</v>
      </c>
      <c r="K672" t="n">
        <v>0</v>
      </c>
      <c r="L672" t="n">
        <v>0</v>
      </c>
      <c r="M672" t="n">
        <v>0</v>
      </c>
      <c r="N672" t="n">
        <v>0</v>
      </c>
      <c r="O672" t="n">
        <v>0</v>
      </c>
      <c r="P672" t="n">
        <v>0</v>
      </c>
      <c r="Q672" t="n">
        <v>0</v>
      </c>
      <c r="R672" s="2" t="inlineStr"/>
    </row>
    <row r="673" ht="15" customHeight="1">
      <c r="A673" t="inlineStr">
        <is>
          <t>A 38113-2025</t>
        </is>
      </c>
      <c r="B673" s="1" t="n">
        <v>45882.52290509259</v>
      </c>
      <c r="C673" s="1" t="n">
        <v>45999</v>
      </c>
      <c r="D673" t="inlineStr">
        <is>
          <t>UPPSALA LÄN</t>
        </is>
      </c>
      <c r="E673" t="inlineStr">
        <is>
          <t>UPPSALA</t>
        </is>
      </c>
      <c r="G673" t="n">
        <v>5.8</v>
      </c>
      <c r="H673" t="n">
        <v>0</v>
      </c>
      <c r="I673" t="n">
        <v>0</v>
      </c>
      <c r="J673" t="n">
        <v>0</v>
      </c>
      <c r="K673" t="n">
        <v>0</v>
      </c>
      <c r="L673" t="n">
        <v>0</v>
      </c>
      <c r="M673" t="n">
        <v>0</v>
      </c>
      <c r="N673" t="n">
        <v>0</v>
      </c>
      <c r="O673" t="n">
        <v>0</v>
      </c>
      <c r="P673" t="n">
        <v>0</v>
      </c>
      <c r="Q673" t="n">
        <v>0</v>
      </c>
      <c r="R673" s="2" t="inlineStr"/>
    </row>
    <row r="674" ht="15" customHeight="1">
      <c r="A674" t="inlineStr">
        <is>
          <t>A 38034-2025</t>
        </is>
      </c>
      <c r="B674" s="1" t="n">
        <v>45882.37202546297</v>
      </c>
      <c r="C674" s="1" t="n">
        <v>45999</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37851-2025</t>
        </is>
      </c>
      <c r="B675" s="1" t="n">
        <v>45881.44938657407</v>
      </c>
      <c r="C675" s="1" t="n">
        <v>45999</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17595-2025</t>
        </is>
      </c>
      <c r="B676" s="1" t="n">
        <v>45757</v>
      </c>
      <c r="C676" s="1" t="n">
        <v>45999</v>
      </c>
      <c r="D676" t="inlineStr">
        <is>
          <t>UPPSALA LÄN</t>
        </is>
      </c>
      <c r="E676" t="inlineStr">
        <is>
          <t>UPPSALA</t>
        </is>
      </c>
      <c r="G676" t="n">
        <v>2.7</v>
      </c>
      <c r="H676" t="n">
        <v>0</v>
      </c>
      <c r="I676" t="n">
        <v>0</v>
      </c>
      <c r="J676" t="n">
        <v>0</v>
      </c>
      <c r="K676" t="n">
        <v>0</v>
      </c>
      <c r="L676" t="n">
        <v>0</v>
      </c>
      <c r="M676" t="n">
        <v>0</v>
      </c>
      <c r="N676" t="n">
        <v>0</v>
      </c>
      <c r="O676" t="n">
        <v>0</v>
      </c>
      <c r="P676" t="n">
        <v>0</v>
      </c>
      <c r="Q676" t="n">
        <v>0</v>
      </c>
      <c r="R676" s="2" t="inlineStr"/>
    </row>
    <row r="677" ht="15" customHeight="1">
      <c r="A677" t="inlineStr">
        <is>
          <t>A 32928-2025</t>
        </is>
      </c>
      <c r="B677" s="1" t="n">
        <v>45839</v>
      </c>
      <c r="C677" s="1" t="n">
        <v>45999</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39529-2025</t>
        </is>
      </c>
      <c r="B678" s="1" t="n">
        <v>45890</v>
      </c>
      <c r="C678" s="1" t="n">
        <v>45999</v>
      </c>
      <c r="D678" t="inlineStr">
        <is>
          <t>UPPSALA LÄN</t>
        </is>
      </c>
      <c r="E678" t="inlineStr">
        <is>
          <t>UPPSALA</t>
        </is>
      </c>
      <c r="F678" t="inlineStr">
        <is>
          <t>Allmännings- och besparingsskogar</t>
        </is>
      </c>
      <c r="G678" t="n">
        <v>3.9</v>
      </c>
      <c r="H678" t="n">
        <v>0</v>
      </c>
      <c r="I678" t="n">
        <v>0</v>
      </c>
      <c r="J678" t="n">
        <v>0</v>
      </c>
      <c r="K678" t="n">
        <v>0</v>
      </c>
      <c r="L678" t="n">
        <v>0</v>
      </c>
      <c r="M678" t="n">
        <v>0</v>
      </c>
      <c r="N678" t="n">
        <v>0</v>
      </c>
      <c r="O678" t="n">
        <v>0</v>
      </c>
      <c r="P678" t="n">
        <v>0</v>
      </c>
      <c r="Q678" t="n">
        <v>0</v>
      </c>
      <c r="R678" s="2" t="inlineStr"/>
    </row>
    <row r="679" ht="15" customHeight="1">
      <c r="A679" t="inlineStr">
        <is>
          <t>A 47316-2025</t>
        </is>
      </c>
      <c r="B679" s="1" t="n">
        <v>45930.55024305556</v>
      </c>
      <c r="C679" s="1" t="n">
        <v>45999</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46983-2025</t>
        </is>
      </c>
      <c r="B680" s="1" t="n">
        <v>45929.53203703704</v>
      </c>
      <c r="C680" s="1" t="n">
        <v>45999</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55357-2025</t>
        </is>
      </c>
      <c r="B681" s="1" t="n">
        <v>45971.37480324074</v>
      </c>
      <c r="C681" s="1" t="n">
        <v>45999</v>
      </c>
      <c r="D681" t="inlineStr">
        <is>
          <t>UPPSALA LÄN</t>
        </is>
      </c>
      <c r="E681" t="inlineStr">
        <is>
          <t>UPPSALA</t>
        </is>
      </c>
      <c r="G681" t="n">
        <v>6</v>
      </c>
      <c r="H681" t="n">
        <v>0</v>
      </c>
      <c r="I681" t="n">
        <v>0</v>
      </c>
      <c r="J681" t="n">
        <v>0</v>
      </c>
      <c r="K681" t="n">
        <v>0</v>
      </c>
      <c r="L681" t="n">
        <v>0</v>
      </c>
      <c r="M681" t="n">
        <v>0</v>
      </c>
      <c r="N681" t="n">
        <v>0</v>
      </c>
      <c r="O681" t="n">
        <v>0</v>
      </c>
      <c r="P681" t="n">
        <v>0</v>
      </c>
      <c r="Q681" t="n">
        <v>0</v>
      </c>
      <c r="R681" s="2" t="inlineStr"/>
    </row>
    <row r="682" ht="15" customHeight="1">
      <c r="A682" t="inlineStr">
        <is>
          <t>A 55732-2025</t>
        </is>
      </c>
      <c r="B682" s="1" t="n">
        <v>45972</v>
      </c>
      <c r="C682" s="1" t="n">
        <v>45999</v>
      </c>
      <c r="D682" t="inlineStr">
        <is>
          <t>UPPSALA LÄN</t>
        </is>
      </c>
      <c r="E682" t="inlineStr">
        <is>
          <t>UPPSALA</t>
        </is>
      </c>
      <c r="G682" t="n">
        <v>10.9</v>
      </c>
      <c r="H682" t="n">
        <v>0</v>
      </c>
      <c r="I682" t="n">
        <v>0</v>
      </c>
      <c r="J682" t="n">
        <v>0</v>
      </c>
      <c r="K682" t="n">
        <v>0</v>
      </c>
      <c r="L682" t="n">
        <v>0</v>
      </c>
      <c r="M682" t="n">
        <v>0</v>
      </c>
      <c r="N682" t="n">
        <v>0</v>
      </c>
      <c r="O682" t="n">
        <v>0</v>
      </c>
      <c r="P682" t="n">
        <v>0</v>
      </c>
      <c r="Q682" t="n">
        <v>0</v>
      </c>
      <c r="R682" s="2" t="inlineStr"/>
    </row>
    <row r="683" ht="15" customHeight="1">
      <c r="A683" t="inlineStr">
        <is>
          <t>A 39792-2025</t>
        </is>
      </c>
      <c r="B683" s="1" t="n">
        <v>45891.4865625</v>
      </c>
      <c r="C683" s="1" t="n">
        <v>45999</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39721-2025</t>
        </is>
      </c>
      <c r="B684" s="1" t="n">
        <v>45891.33204861111</v>
      </c>
      <c r="C684" s="1" t="n">
        <v>45999</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39777-2025</t>
        </is>
      </c>
      <c r="B685" s="1" t="n">
        <v>45891.46827546296</v>
      </c>
      <c r="C685" s="1" t="n">
        <v>45999</v>
      </c>
      <c r="D685" t="inlineStr">
        <is>
          <t>UPPSALA LÄN</t>
        </is>
      </c>
      <c r="E685" t="inlineStr">
        <is>
          <t>UPPSALA</t>
        </is>
      </c>
      <c r="G685" t="n">
        <v>6.5</v>
      </c>
      <c r="H685" t="n">
        <v>0</v>
      </c>
      <c r="I685" t="n">
        <v>0</v>
      </c>
      <c r="J685" t="n">
        <v>0</v>
      </c>
      <c r="K685" t="n">
        <v>0</v>
      </c>
      <c r="L685" t="n">
        <v>0</v>
      </c>
      <c r="M685" t="n">
        <v>0</v>
      </c>
      <c r="N685" t="n">
        <v>0</v>
      </c>
      <c r="O685" t="n">
        <v>0</v>
      </c>
      <c r="P685" t="n">
        <v>0</v>
      </c>
      <c r="Q685" t="n">
        <v>0</v>
      </c>
      <c r="R685" s="2" t="inlineStr"/>
    </row>
    <row r="686" ht="15" customHeight="1">
      <c r="A686" t="inlineStr">
        <is>
          <t>A 55594-2025</t>
        </is>
      </c>
      <c r="B686" s="1" t="n">
        <v>45971.70613425926</v>
      </c>
      <c r="C686" s="1" t="n">
        <v>45999</v>
      </c>
      <c r="D686" t="inlineStr">
        <is>
          <t>UPPSALA LÄN</t>
        </is>
      </c>
      <c r="E686" t="inlineStr">
        <is>
          <t>UPPSALA</t>
        </is>
      </c>
      <c r="F686" t="inlineStr">
        <is>
          <t>Allmännings- och besparingsskogar</t>
        </is>
      </c>
      <c r="G686" t="n">
        <v>3.2</v>
      </c>
      <c r="H686" t="n">
        <v>0</v>
      </c>
      <c r="I686" t="n">
        <v>0</v>
      </c>
      <c r="J686" t="n">
        <v>0</v>
      </c>
      <c r="K686" t="n">
        <v>0</v>
      </c>
      <c r="L686" t="n">
        <v>0</v>
      </c>
      <c r="M686" t="n">
        <v>0</v>
      </c>
      <c r="N686" t="n">
        <v>0</v>
      </c>
      <c r="O686" t="n">
        <v>0</v>
      </c>
      <c r="P686" t="n">
        <v>0</v>
      </c>
      <c r="Q686" t="n">
        <v>0</v>
      </c>
      <c r="R686" s="2" t="inlineStr"/>
    </row>
    <row r="687" ht="15" customHeight="1">
      <c r="A687" t="inlineStr">
        <is>
          <t>A 47131-2025</t>
        </is>
      </c>
      <c r="B687" s="1" t="n">
        <v>45929.69553240741</v>
      </c>
      <c r="C687" s="1" t="n">
        <v>45999</v>
      </c>
      <c r="D687" t="inlineStr">
        <is>
          <t>UPPSALA LÄN</t>
        </is>
      </c>
      <c r="E687" t="inlineStr">
        <is>
          <t>UPPSALA</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47132-2025</t>
        </is>
      </c>
      <c r="B688" s="1" t="n">
        <v>45929.6965162037</v>
      </c>
      <c r="C688" s="1" t="n">
        <v>45999</v>
      </c>
      <c r="D688" t="inlineStr">
        <is>
          <t>UPPSALA LÄN</t>
        </is>
      </c>
      <c r="E688" t="inlineStr">
        <is>
          <t>UPPSALA</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43795-2023</t>
        </is>
      </c>
      <c r="B689" s="1" t="n">
        <v>45182</v>
      </c>
      <c r="C689" s="1" t="n">
        <v>45999</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40639-2025</t>
        </is>
      </c>
      <c r="B690" s="1" t="n">
        <v>45896.61050925926</v>
      </c>
      <c r="C690" s="1" t="n">
        <v>45999</v>
      </c>
      <c r="D690" t="inlineStr">
        <is>
          <t>UPPSALA LÄN</t>
        </is>
      </c>
      <c r="E690" t="inlineStr">
        <is>
          <t>UPPSALA</t>
        </is>
      </c>
      <c r="G690" t="n">
        <v>6.9</v>
      </c>
      <c r="H690" t="n">
        <v>0</v>
      </c>
      <c r="I690" t="n">
        <v>0</v>
      </c>
      <c r="J690" t="n">
        <v>0</v>
      </c>
      <c r="K690" t="n">
        <v>0</v>
      </c>
      <c r="L690" t="n">
        <v>0</v>
      </c>
      <c r="M690" t="n">
        <v>0</v>
      </c>
      <c r="N690" t="n">
        <v>0</v>
      </c>
      <c r="O690" t="n">
        <v>0</v>
      </c>
      <c r="P690" t="n">
        <v>0</v>
      </c>
      <c r="Q690" t="n">
        <v>0</v>
      </c>
      <c r="R690" s="2" t="inlineStr"/>
    </row>
    <row r="691" ht="15" customHeight="1">
      <c r="A691" t="inlineStr">
        <is>
          <t>A 40501-2025</t>
        </is>
      </c>
      <c r="B691" s="1" t="n">
        <v>45896</v>
      </c>
      <c r="C691" s="1" t="n">
        <v>45999</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47688-2025</t>
        </is>
      </c>
      <c r="B692" s="1" t="n">
        <v>45931.59091435185</v>
      </c>
      <c r="C692" s="1" t="n">
        <v>45999</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47649-2025</t>
        </is>
      </c>
      <c r="B693" s="1" t="n">
        <v>45931.52792824074</v>
      </c>
      <c r="C693" s="1" t="n">
        <v>45999</v>
      </c>
      <c r="D693" t="inlineStr">
        <is>
          <t>UPPSALA LÄN</t>
        </is>
      </c>
      <c r="E693" t="inlineStr">
        <is>
          <t>UPPSALA</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40504-2025</t>
        </is>
      </c>
      <c r="B694" s="1" t="n">
        <v>45896</v>
      </c>
      <c r="C694" s="1" t="n">
        <v>45999</v>
      </c>
      <c r="D694" t="inlineStr">
        <is>
          <t>UPPSALA LÄN</t>
        </is>
      </c>
      <c r="E694" t="inlineStr">
        <is>
          <t>UPPSALA</t>
        </is>
      </c>
      <c r="G694" t="n">
        <v>4.4</v>
      </c>
      <c r="H694" t="n">
        <v>0</v>
      </c>
      <c r="I694" t="n">
        <v>0</v>
      </c>
      <c r="J694" t="n">
        <v>0</v>
      </c>
      <c r="K694" t="n">
        <v>0</v>
      </c>
      <c r="L694" t="n">
        <v>0</v>
      </c>
      <c r="M694" t="n">
        <v>0</v>
      </c>
      <c r="N694" t="n">
        <v>0</v>
      </c>
      <c r="O694" t="n">
        <v>0</v>
      </c>
      <c r="P694" t="n">
        <v>0</v>
      </c>
      <c r="Q694" t="n">
        <v>0</v>
      </c>
      <c r="R694" s="2" t="inlineStr"/>
    </row>
    <row r="695" ht="15" customHeight="1">
      <c r="A695" t="inlineStr">
        <is>
          <t>A 40606-2025</t>
        </is>
      </c>
      <c r="B695" s="1" t="n">
        <v>45896.57171296296</v>
      </c>
      <c r="C695" s="1" t="n">
        <v>45999</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47840-2025</t>
        </is>
      </c>
      <c r="B696" s="1" t="n">
        <v>45932.37375</v>
      </c>
      <c r="C696" s="1" t="n">
        <v>45999</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47557-2025</t>
        </is>
      </c>
      <c r="B697" s="1" t="n">
        <v>45931.37734953704</v>
      </c>
      <c r="C697" s="1" t="n">
        <v>45999</v>
      </c>
      <c r="D697" t="inlineStr">
        <is>
          <t>UPPSALA LÄN</t>
        </is>
      </c>
      <c r="E697" t="inlineStr">
        <is>
          <t>UPPSALA</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47961-2025</t>
        </is>
      </c>
      <c r="B698" s="1" t="n">
        <v>45932.59373842592</v>
      </c>
      <c r="C698" s="1" t="n">
        <v>45999</v>
      </c>
      <c r="D698" t="inlineStr">
        <is>
          <t>UPPSALA LÄN</t>
        </is>
      </c>
      <c r="E698" t="inlineStr">
        <is>
          <t>UPPSALA</t>
        </is>
      </c>
      <c r="F698" t="inlineStr">
        <is>
          <t>Allmännings- och besparingsskogar</t>
        </is>
      </c>
      <c r="G698" t="n">
        <v>1.5</v>
      </c>
      <c r="H698" t="n">
        <v>0</v>
      </c>
      <c r="I698" t="n">
        <v>0</v>
      </c>
      <c r="J698" t="n">
        <v>0</v>
      </c>
      <c r="K698" t="n">
        <v>0</v>
      </c>
      <c r="L698" t="n">
        <v>0</v>
      </c>
      <c r="M698" t="n">
        <v>0</v>
      </c>
      <c r="N698" t="n">
        <v>0</v>
      </c>
      <c r="O698" t="n">
        <v>0</v>
      </c>
      <c r="P698" t="n">
        <v>0</v>
      </c>
      <c r="Q698" t="n">
        <v>0</v>
      </c>
      <c r="R698" s="2" t="inlineStr"/>
    </row>
    <row r="699" ht="15" customHeight="1">
      <c r="A699" t="inlineStr">
        <is>
          <t>A 47978-2025</t>
        </is>
      </c>
      <c r="B699" s="1" t="n">
        <v>45932.61177083333</v>
      </c>
      <c r="C699" s="1" t="n">
        <v>45999</v>
      </c>
      <c r="D699" t="inlineStr">
        <is>
          <t>UPPSALA LÄN</t>
        </is>
      </c>
      <c r="E699" t="inlineStr">
        <is>
          <t>UPPSALA</t>
        </is>
      </c>
      <c r="F699" t="inlineStr">
        <is>
          <t>Allmännings- och besparingsskogar</t>
        </is>
      </c>
      <c r="G699" t="n">
        <v>1.8</v>
      </c>
      <c r="H699" t="n">
        <v>0</v>
      </c>
      <c r="I699" t="n">
        <v>0</v>
      </c>
      <c r="J699" t="n">
        <v>0</v>
      </c>
      <c r="K699" t="n">
        <v>0</v>
      </c>
      <c r="L699" t="n">
        <v>0</v>
      </c>
      <c r="M699" t="n">
        <v>0</v>
      </c>
      <c r="N699" t="n">
        <v>0</v>
      </c>
      <c r="O699" t="n">
        <v>0</v>
      </c>
      <c r="P699" t="n">
        <v>0</v>
      </c>
      <c r="Q699" t="n">
        <v>0</v>
      </c>
      <c r="R699" s="2" t="inlineStr"/>
    </row>
    <row r="700" ht="15" customHeight="1">
      <c r="A700" t="inlineStr">
        <is>
          <t>A 40610-2025</t>
        </is>
      </c>
      <c r="B700" s="1" t="n">
        <v>45896.57368055556</v>
      </c>
      <c r="C700" s="1" t="n">
        <v>45999</v>
      </c>
      <c r="D700" t="inlineStr">
        <is>
          <t>UPPSALA LÄN</t>
        </is>
      </c>
      <c r="E700" t="inlineStr">
        <is>
          <t>UPPSALA</t>
        </is>
      </c>
      <c r="G700" t="n">
        <v>2.3</v>
      </c>
      <c r="H700" t="n">
        <v>0</v>
      </c>
      <c r="I700" t="n">
        <v>0</v>
      </c>
      <c r="J700" t="n">
        <v>0</v>
      </c>
      <c r="K700" t="n">
        <v>0</v>
      </c>
      <c r="L700" t="n">
        <v>0</v>
      </c>
      <c r="M700" t="n">
        <v>0</v>
      </c>
      <c r="N700" t="n">
        <v>0</v>
      </c>
      <c r="O700" t="n">
        <v>0</v>
      </c>
      <c r="P700" t="n">
        <v>0</v>
      </c>
      <c r="Q700" t="n">
        <v>0</v>
      </c>
      <c r="R700" s="2" t="inlineStr"/>
    </row>
    <row r="701" ht="15" customHeight="1">
      <c r="A701" t="inlineStr">
        <is>
          <t>A 56363-2025</t>
        </is>
      </c>
      <c r="B701" s="1" t="n">
        <v>45974.6671412037</v>
      </c>
      <c r="C701" s="1" t="n">
        <v>45999</v>
      </c>
      <c r="D701" t="inlineStr">
        <is>
          <t>UPPSALA LÄN</t>
        </is>
      </c>
      <c r="E701" t="inlineStr">
        <is>
          <t>UPPSALA</t>
        </is>
      </c>
      <c r="G701" t="n">
        <v>3.1</v>
      </c>
      <c r="H701" t="n">
        <v>0</v>
      </c>
      <c r="I701" t="n">
        <v>0</v>
      </c>
      <c r="J701" t="n">
        <v>0</v>
      </c>
      <c r="K701" t="n">
        <v>0</v>
      </c>
      <c r="L701" t="n">
        <v>0</v>
      </c>
      <c r="M701" t="n">
        <v>0</v>
      </c>
      <c r="N701" t="n">
        <v>0</v>
      </c>
      <c r="O701" t="n">
        <v>0</v>
      </c>
      <c r="P701" t="n">
        <v>0</v>
      </c>
      <c r="Q701" t="n">
        <v>0</v>
      </c>
      <c r="R701" s="2" t="inlineStr"/>
    </row>
    <row r="702" ht="15" customHeight="1">
      <c r="A702" t="inlineStr">
        <is>
          <t>A 47558-2025</t>
        </is>
      </c>
      <c r="B702" s="1" t="n">
        <v>45931.37796296296</v>
      </c>
      <c r="C702" s="1" t="n">
        <v>45999</v>
      </c>
      <c r="D702" t="inlineStr">
        <is>
          <t>UPPSALA LÄN</t>
        </is>
      </c>
      <c r="E702" t="inlineStr">
        <is>
          <t>UPPSALA</t>
        </is>
      </c>
      <c r="F702" t="inlineStr">
        <is>
          <t>Kyrkan</t>
        </is>
      </c>
      <c r="G702" t="n">
        <v>1.9</v>
      </c>
      <c r="H702" t="n">
        <v>0</v>
      </c>
      <c r="I702" t="n">
        <v>0</v>
      </c>
      <c r="J702" t="n">
        <v>0</v>
      </c>
      <c r="K702" t="n">
        <v>0</v>
      </c>
      <c r="L702" t="n">
        <v>0</v>
      </c>
      <c r="M702" t="n">
        <v>0</v>
      </c>
      <c r="N702" t="n">
        <v>0</v>
      </c>
      <c r="O702" t="n">
        <v>0</v>
      </c>
      <c r="P702" t="n">
        <v>0</v>
      </c>
      <c r="Q702" t="n">
        <v>0</v>
      </c>
      <c r="R702" s="2" t="inlineStr"/>
    </row>
    <row r="703" ht="15" customHeight="1">
      <c r="A703" t="inlineStr">
        <is>
          <t>A 47999-2025</t>
        </is>
      </c>
      <c r="B703" s="1" t="n">
        <v>45932.62907407407</v>
      </c>
      <c r="C703" s="1" t="n">
        <v>45999</v>
      </c>
      <c r="D703" t="inlineStr">
        <is>
          <t>UPPSALA LÄN</t>
        </is>
      </c>
      <c r="E703" t="inlineStr">
        <is>
          <t>UPPSALA</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40855-2025</t>
        </is>
      </c>
      <c r="B704" s="1" t="n">
        <v>45897</v>
      </c>
      <c r="C704" s="1" t="n">
        <v>45999</v>
      </c>
      <c r="D704" t="inlineStr">
        <is>
          <t>UPPSALA LÄN</t>
        </is>
      </c>
      <c r="E704" t="inlineStr">
        <is>
          <t>UPPSALA</t>
        </is>
      </c>
      <c r="G704" t="n">
        <v>2.9</v>
      </c>
      <c r="H704" t="n">
        <v>0</v>
      </c>
      <c r="I704" t="n">
        <v>0</v>
      </c>
      <c r="J704" t="n">
        <v>0</v>
      </c>
      <c r="K704" t="n">
        <v>0</v>
      </c>
      <c r="L704" t="n">
        <v>0</v>
      </c>
      <c r="M704" t="n">
        <v>0</v>
      </c>
      <c r="N704" t="n">
        <v>0</v>
      </c>
      <c r="O704" t="n">
        <v>0</v>
      </c>
      <c r="P704" t="n">
        <v>0</v>
      </c>
      <c r="Q704" t="n">
        <v>0</v>
      </c>
      <c r="R704" s="2" t="inlineStr"/>
    </row>
    <row r="705" ht="15" customHeight="1">
      <c r="A705" t="inlineStr">
        <is>
          <t>A 32479-2025</t>
        </is>
      </c>
      <c r="B705" s="1" t="n">
        <v>45838</v>
      </c>
      <c r="C705" s="1" t="n">
        <v>45999</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47690-2025</t>
        </is>
      </c>
      <c r="B706" s="1" t="n">
        <v>45931.59373842592</v>
      </c>
      <c r="C706" s="1" t="n">
        <v>45999</v>
      </c>
      <c r="D706" t="inlineStr">
        <is>
          <t>UPPSALA LÄN</t>
        </is>
      </c>
      <c r="E706" t="inlineStr">
        <is>
          <t>UPPSALA</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41444-2025</t>
        </is>
      </c>
      <c r="B707" s="1" t="n">
        <v>45901.41756944444</v>
      </c>
      <c r="C707" s="1" t="n">
        <v>45999</v>
      </c>
      <c r="D707" t="inlineStr">
        <is>
          <t>UPPSALA LÄN</t>
        </is>
      </c>
      <c r="E707" t="inlineStr">
        <is>
          <t>UPPSALA</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41707-2025</t>
        </is>
      </c>
      <c r="B708" s="1" t="n">
        <v>45902.42243055555</v>
      </c>
      <c r="C708" s="1" t="n">
        <v>45999</v>
      </c>
      <c r="D708" t="inlineStr">
        <is>
          <t>UPPSALA LÄN</t>
        </is>
      </c>
      <c r="E708" t="inlineStr">
        <is>
          <t>UPPSALA</t>
        </is>
      </c>
      <c r="F708" t="inlineStr">
        <is>
          <t>Allmännings- och besparingsskogar</t>
        </is>
      </c>
      <c r="G708" t="n">
        <v>3.3</v>
      </c>
      <c r="H708" t="n">
        <v>0</v>
      </c>
      <c r="I708" t="n">
        <v>0</v>
      </c>
      <c r="J708" t="n">
        <v>0</v>
      </c>
      <c r="K708" t="n">
        <v>0</v>
      </c>
      <c r="L708" t="n">
        <v>0</v>
      </c>
      <c r="M708" t="n">
        <v>0</v>
      </c>
      <c r="N708" t="n">
        <v>0</v>
      </c>
      <c r="O708" t="n">
        <v>0</v>
      </c>
      <c r="P708" t="n">
        <v>0</v>
      </c>
      <c r="Q708" t="n">
        <v>0</v>
      </c>
      <c r="R708" s="2" t="inlineStr"/>
    </row>
    <row r="709" ht="15" customHeight="1">
      <c r="A709" t="inlineStr">
        <is>
          <t>A 41445-2025</t>
        </is>
      </c>
      <c r="B709" s="1" t="n">
        <v>45901.41853009259</v>
      </c>
      <c r="C709" s="1" t="n">
        <v>45999</v>
      </c>
      <c r="D709" t="inlineStr">
        <is>
          <t>UPPSALA LÄN</t>
        </is>
      </c>
      <c r="E709" t="inlineStr">
        <is>
          <t>UPPSALA</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42084-2025</t>
        </is>
      </c>
      <c r="B710" s="1" t="n">
        <v>45903.69096064815</v>
      </c>
      <c r="C710" s="1" t="n">
        <v>45999</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42085-2025</t>
        </is>
      </c>
      <c r="B711" s="1" t="n">
        <v>45903.69358796296</v>
      </c>
      <c r="C711" s="1" t="n">
        <v>45999</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12211-2025</t>
        </is>
      </c>
      <c r="B712" s="1" t="n">
        <v>45729</v>
      </c>
      <c r="C712" s="1" t="n">
        <v>45999</v>
      </c>
      <c r="D712" t="inlineStr">
        <is>
          <t>UPPSALA LÄN</t>
        </is>
      </c>
      <c r="E712" t="inlineStr">
        <is>
          <t>UPPSALA</t>
        </is>
      </c>
      <c r="G712" t="n">
        <v>3.6</v>
      </c>
      <c r="H712" t="n">
        <v>0</v>
      </c>
      <c r="I712" t="n">
        <v>0</v>
      </c>
      <c r="J712" t="n">
        <v>0</v>
      </c>
      <c r="K712" t="n">
        <v>0</v>
      </c>
      <c r="L712" t="n">
        <v>0</v>
      </c>
      <c r="M712" t="n">
        <v>0</v>
      </c>
      <c r="N712" t="n">
        <v>0</v>
      </c>
      <c r="O712" t="n">
        <v>0</v>
      </c>
      <c r="P712" t="n">
        <v>0</v>
      </c>
      <c r="Q712" t="n">
        <v>0</v>
      </c>
      <c r="R712" s="2" t="inlineStr"/>
    </row>
    <row r="713" ht="15" customHeight="1">
      <c r="A713" t="inlineStr">
        <is>
          <t>A 26738-2025</t>
        </is>
      </c>
      <c r="B713" s="1" t="n">
        <v>45809</v>
      </c>
      <c r="C713" s="1" t="n">
        <v>45999</v>
      </c>
      <c r="D713" t="inlineStr">
        <is>
          <t>UPPSALA LÄN</t>
        </is>
      </c>
      <c r="E713" t="inlineStr">
        <is>
          <t>UPPSALA</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26739-2025</t>
        </is>
      </c>
      <c r="B714" s="1" t="n">
        <v>45809</v>
      </c>
      <c r="C714" s="1" t="n">
        <v>45999</v>
      </c>
      <c r="D714" t="inlineStr">
        <is>
          <t>UPPSALA LÄN</t>
        </is>
      </c>
      <c r="E714" t="inlineStr">
        <is>
          <t>UPPSALA</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54393-2025</t>
        </is>
      </c>
      <c r="B715" s="1" t="n">
        <v>45965</v>
      </c>
      <c r="C715" s="1" t="n">
        <v>45999</v>
      </c>
      <c r="D715" t="inlineStr">
        <is>
          <t>UPPSALA LÄN</t>
        </is>
      </c>
      <c r="E715" t="inlineStr">
        <is>
          <t>UPPSALA</t>
        </is>
      </c>
      <c r="F715" t="inlineStr">
        <is>
          <t>Kyrkan</t>
        </is>
      </c>
      <c r="G715" t="n">
        <v>1</v>
      </c>
      <c r="H715" t="n">
        <v>0</v>
      </c>
      <c r="I715" t="n">
        <v>0</v>
      </c>
      <c r="J715" t="n">
        <v>0</v>
      </c>
      <c r="K715" t="n">
        <v>0</v>
      </c>
      <c r="L715" t="n">
        <v>0</v>
      </c>
      <c r="M715" t="n">
        <v>0</v>
      </c>
      <c r="N715" t="n">
        <v>0</v>
      </c>
      <c r="O715" t="n">
        <v>0</v>
      </c>
      <c r="P715" t="n">
        <v>0</v>
      </c>
      <c r="Q715" t="n">
        <v>0</v>
      </c>
      <c r="R715" s="2" t="inlineStr"/>
    </row>
    <row r="716" ht="15" customHeight="1">
      <c r="A716" t="inlineStr">
        <is>
          <t>A 24909-2025</t>
        </is>
      </c>
      <c r="B716" s="1" t="n">
        <v>45799.53348379629</v>
      </c>
      <c r="C716" s="1" t="n">
        <v>45999</v>
      </c>
      <c r="D716" t="inlineStr">
        <is>
          <t>UPPSALA LÄN</t>
        </is>
      </c>
      <c r="E716" t="inlineStr">
        <is>
          <t>UPPSALA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42134-2025</t>
        </is>
      </c>
      <c r="B717" s="1" t="n">
        <v>45904</v>
      </c>
      <c r="C717" s="1" t="n">
        <v>45999</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41954-2025</t>
        </is>
      </c>
      <c r="B718" s="1" t="n">
        <v>45903</v>
      </c>
      <c r="C718" s="1" t="n">
        <v>45999</v>
      </c>
      <c r="D718" t="inlineStr">
        <is>
          <t>UPPSALA LÄN</t>
        </is>
      </c>
      <c r="E718" t="inlineStr">
        <is>
          <t>UPPSALA</t>
        </is>
      </c>
      <c r="G718" t="n">
        <v>7.5</v>
      </c>
      <c r="H718" t="n">
        <v>0</v>
      </c>
      <c r="I718" t="n">
        <v>0</v>
      </c>
      <c r="J718" t="n">
        <v>0</v>
      </c>
      <c r="K718" t="n">
        <v>0</v>
      </c>
      <c r="L718" t="n">
        <v>0</v>
      </c>
      <c r="M718" t="n">
        <v>0</v>
      </c>
      <c r="N718" t="n">
        <v>0</v>
      </c>
      <c r="O718" t="n">
        <v>0</v>
      </c>
      <c r="P718" t="n">
        <v>0</v>
      </c>
      <c r="Q718" t="n">
        <v>0</v>
      </c>
      <c r="R718" s="2" t="inlineStr"/>
    </row>
    <row r="719" ht="15" customHeight="1">
      <c r="A719" t="inlineStr">
        <is>
          <t>A 48757-2025</t>
        </is>
      </c>
      <c r="B719" s="1" t="n">
        <v>45936.73660879629</v>
      </c>
      <c r="C719" s="1" t="n">
        <v>45999</v>
      </c>
      <c r="D719" t="inlineStr">
        <is>
          <t>UPPSALA LÄN</t>
        </is>
      </c>
      <c r="E719" t="inlineStr">
        <is>
          <t>UPPSALA</t>
        </is>
      </c>
      <c r="G719" t="n">
        <v>4.2</v>
      </c>
      <c r="H719" t="n">
        <v>0</v>
      </c>
      <c r="I719" t="n">
        <v>0</v>
      </c>
      <c r="J719" t="n">
        <v>0</v>
      </c>
      <c r="K719" t="n">
        <v>0</v>
      </c>
      <c r="L719" t="n">
        <v>0</v>
      </c>
      <c r="M719" t="n">
        <v>0</v>
      </c>
      <c r="N719" t="n">
        <v>0</v>
      </c>
      <c r="O719" t="n">
        <v>0</v>
      </c>
      <c r="P719" t="n">
        <v>0</v>
      </c>
      <c r="Q719" t="n">
        <v>0</v>
      </c>
      <c r="R719" s="2" t="inlineStr"/>
    </row>
    <row r="720" ht="15" customHeight="1">
      <c r="A720" t="inlineStr">
        <is>
          <t>A 42347-2025</t>
        </is>
      </c>
      <c r="B720" s="1" t="n">
        <v>45904.77746527778</v>
      </c>
      <c r="C720" s="1" t="n">
        <v>45999</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56493-2025</t>
        </is>
      </c>
      <c r="B721" s="1" t="n">
        <v>45975.424375</v>
      </c>
      <c r="C721" s="1" t="n">
        <v>45999</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56466-2025</t>
        </is>
      </c>
      <c r="B722" s="1" t="n">
        <v>45975.37621527778</v>
      </c>
      <c r="C722" s="1" t="n">
        <v>45999</v>
      </c>
      <c r="D722" t="inlineStr">
        <is>
          <t>UPPSALA LÄN</t>
        </is>
      </c>
      <c r="E722" t="inlineStr">
        <is>
          <t>UPPSALA</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42593-2025</t>
        </is>
      </c>
      <c r="B723" s="1" t="n">
        <v>45905.64862268518</v>
      </c>
      <c r="C723" s="1" t="n">
        <v>45999</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74019-2021</t>
        </is>
      </c>
      <c r="B724" s="1" t="n">
        <v>44553</v>
      </c>
      <c r="C724" s="1" t="n">
        <v>45999</v>
      </c>
      <c r="D724" t="inlineStr">
        <is>
          <t>UPPSALA LÄN</t>
        </is>
      </c>
      <c r="E724" t="inlineStr">
        <is>
          <t>UPPSALA</t>
        </is>
      </c>
      <c r="G724" t="n">
        <v>3</v>
      </c>
      <c r="H724" t="n">
        <v>0</v>
      </c>
      <c r="I724" t="n">
        <v>0</v>
      </c>
      <c r="J724" t="n">
        <v>0</v>
      </c>
      <c r="K724" t="n">
        <v>0</v>
      </c>
      <c r="L724" t="n">
        <v>0</v>
      </c>
      <c r="M724" t="n">
        <v>0</v>
      </c>
      <c r="N724" t="n">
        <v>0</v>
      </c>
      <c r="O724" t="n">
        <v>0</v>
      </c>
      <c r="P724" t="n">
        <v>0</v>
      </c>
      <c r="Q724" t="n">
        <v>0</v>
      </c>
      <c r="R724" s="2" t="inlineStr"/>
    </row>
    <row r="725" ht="15" customHeight="1">
      <c r="A725" t="inlineStr">
        <is>
          <t>A 42541-2025</t>
        </is>
      </c>
      <c r="B725" s="1" t="n">
        <v>45905.5756712963</v>
      </c>
      <c r="C725" s="1" t="n">
        <v>45999</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56656-2025</t>
        </is>
      </c>
      <c r="B726" s="1" t="n">
        <v>45975.65054398148</v>
      </c>
      <c r="C726" s="1" t="n">
        <v>45999</v>
      </c>
      <c r="D726" t="inlineStr">
        <is>
          <t>UPPSALA LÄN</t>
        </is>
      </c>
      <c r="E726" t="inlineStr">
        <is>
          <t>UPPSALA</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34520-2024</t>
        </is>
      </c>
      <c r="B727" s="1" t="n">
        <v>45525</v>
      </c>
      <c r="C727" s="1" t="n">
        <v>45999</v>
      </c>
      <c r="D727" t="inlineStr">
        <is>
          <t>UPPSALA LÄN</t>
        </is>
      </c>
      <c r="E727" t="inlineStr">
        <is>
          <t>UPPSALA</t>
        </is>
      </c>
      <c r="G727" t="n">
        <v>2.5</v>
      </c>
      <c r="H727" t="n">
        <v>0</v>
      </c>
      <c r="I727" t="n">
        <v>0</v>
      </c>
      <c r="J727" t="n">
        <v>0</v>
      </c>
      <c r="K727" t="n">
        <v>0</v>
      </c>
      <c r="L727" t="n">
        <v>0</v>
      </c>
      <c r="M727" t="n">
        <v>0</v>
      </c>
      <c r="N727" t="n">
        <v>0</v>
      </c>
      <c r="O727" t="n">
        <v>0</v>
      </c>
      <c r="P727" t="n">
        <v>0</v>
      </c>
      <c r="Q727" t="n">
        <v>0</v>
      </c>
      <c r="R727" s="2" t="inlineStr"/>
    </row>
    <row r="728" ht="15" customHeight="1">
      <c r="A728" t="inlineStr">
        <is>
          <t>A 5876-2024</t>
        </is>
      </c>
      <c r="B728" s="1" t="n">
        <v>45335.66331018518</v>
      </c>
      <c r="C728" s="1" t="n">
        <v>45999</v>
      </c>
      <c r="D728" t="inlineStr">
        <is>
          <t>UPPSALA LÄN</t>
        </is>
      </c>
      <c r="E728" t="inlineStr">
        <is>
          <t>UPPSALA</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45885-2023</t>
        </is>
      </c>
      <c r="B729" s="1" t="n">
        <v>45195.64807870371</v>
      </c>
      <c r="C729" s="1" t="n">
        <v>45999</v>
      </c>
      <c r="D729" t="inlineStr">
        <is>
          <t>UPPSALA LÄN</t>
        </is>
      </c>
      <c r="E729" t="inlineStr">
        <is>
          <t>UPPSALA</t>
        </is>
      </c>
      <c r="G729" t="n">
        <v>6.5</v>
      </c>
      <c r="H729" t="n">
        <v>0</v>
      </c>
      <c r="I729" t="n">
        <v>0</v>
      </c>
      <c r="J729" t="n">
        <v>0</v>
      </c>
      <c r="K729" t="n">
        <v>0</v>
      </c>
      <c r="L729" t="n">
        <v>0</v>
      </c>
      <c r="M729" t="n">
        <v>0</v>
      </c>
      <c r="N729" t="n">
        <v>0</v>
      </c>
      <c r="O729" t="n">
        <v>0</v>
      </c>
      <c r="P729" t="n">
        <v>0</v>
      </c>
      <c r="Q729" t="n">
        <v>0</v>
      </c>
      <c r="R729" s="2" t="inlineStr"/>
    </row>
    <row r="730" ht="15" customHeight="1">
      <c r="A730" t="inlineStr">
        <is>
          <t>A 59098-2024</t>
        </is>
      </c>
      <c r="B730" s="1" t="n">
        <v>45636</v>
      </c>
      <c r="C730" s="1" t="n">
        <v>45999</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14026-2021</t>
        </is>
      </c>
      <c r="B731" s="1" t="n">
        <v>44277.65650462963</v>
      </c>
      <c r="C731" s="1" t="n">
        <v>45999</v>
      </c>
      <c r="D731" t="inlineStr">
        <is>
          <t>UPPSALA LÄN</t>
        </is>
      </c>
      <c r="E731" t="inlineStr">
        <is>
          <t>UPPSALA</t>
        </is>
      </c>
      <c r="G731" t="n">
        <v>3.5</v>
      </c>
      <c r="H731" t="n">
        <v>0</v>
      </c>
      <c r="I731" t="n">
        <v>0</v>
      </c>
      <c r="J731" t="n">
        <v>0</v>
      </c>
      <c r="K731" t="n">
        <v>0</v>
      </c>
      <c r="L731" t="n">
        <v>0</v>
      </c>
      <c r="M731" t="n">
        <v>0</v>
      </c>
      <c r="N731" t="n">
        <v>0</v>
      </c>
      <c r="O731" t="n">
        <v>0</v>
      </c>
      <c r="P731" t="n">
        <v>0</v>
      </c>
      <c r="Q731" t="n">
        <v>0</v>
      </c>
      <c r="R731" s="2" t="inlineStr"/>
    </row>
    <row r="732" ht="15" customHeight="1">
      <c r="A732" t="inlineStr">
        <is>
          <t>A 56577-2025</t>
        </is>
      </c>
      <c r="B732" s="1" t="n">
        <v>45975.5341550926</v>
      </c>
      <c r="C732" s="1" t="n">
        <v>45999</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53906-2023</t>
        </is>
      </c>
      <c r="B733" s="1" t="n">
        <v>45231</v>
      </c>
      <c r="C733" s="1" t="n">
        <v>45999</v>
      </c>
      <c r="D733" t="inlineStr">
        <is>
          <t>UPPSALA LÄN</t>
        </is>
      </c>
      <c r="E733" t="inlineStr">
        <is>
          <t>UPPSALA</t>
        </is>
      </c>
      <c r="G733" t="n">
        <v>13.2</v>
      </c>
      <c r="H733" t="n">
        <v>0</v>
      </c>
      <c r="I733" t="n">
        <v>0</v>
      </c>
      <c r="J733" t="n">
        <v>0</v>
      </c>
      <c r="K733" t="n">
        <v>0</v>
      </c>
      <c r="L733" t="n">
        <v>0</v>
      </c>
      <c r="M733" t="n">
        <v>0</v>
      </c>
      <c r="N733" t="n">
        <v>0</v>
      </c>
      <c r="O733" t="n">
        <v>0</v>
      </c>
      <c r="P733" t="n">
        <v>0</v>
      </c>
      <c r="Q733" t="n">
        <v>0</v>
      </c>
      <c r="R733" s="2" t="inlineStr"/>
    </row>
    <row r="734" ht="15" customHeight="1">
      <c r="A734" t="inlineStr">
        <is>
          <t>A 1975-2022</t>
        </is>
      </c>
      <c r="B734" s="1" t="n">
        <v>44575</v>
      </c>
      <c r="C734" s="1" t="n">
        <v>45999</v>
      </c>
      <c r="D734" t="inlineStr">
        <is>
          <t>UPPSALA LÄN</t>
        </is>
      </c>
      <c r="E734" t="inlineStr">
        <is>
          <t>UPPSALA</t>
        </is>
      </c>
      <c r="G734" t="n">
        <v>3.9</v>
      </c>
      <c r="H734" t="n">
        <v>0</v>
      </c>
      <c r="I734" t="n">
        <v>0</v>
      </c>
      <c r="J734" t="n">
        <v>0</v>
      </c>
      <c r="K734" t="n">
        <v>0</v>
      </c>
      <c r="L734" t="n">
        <v>0</v>
      </c>
      <c r="M734" t="n">
        <v>0</v>
      </c>
      <c r="N734" t="n">
        <v>0</v>
      </c>
      <c r="O734" t="n">
        <v>0</v>
      </c>
      <c r="P734" t="n">
        <v>0</v>
      </c>
      <c r="Q734" t="n">
        <v>0</v>
      </c>
      <c r="R734" s="2" t="inlineStr"/>
    </row>
    <row r="735" ht="15" customHeight="1">
      <c r="A735" t="inlineStr">
        <is>
          <t>A 56620-2025</t>
        </is>
      </c>
      <c r="B735" s="1" t="n">
        <v>45975.59520833333</v>
      </c>
      <c r="C735" s="1" t="n">
        <v>45999</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48418-2025</t>
        </is>
      </c>
      <c r="B736" s="1" t="n">
        <v>45934.55967592593</v>
      </c>
      <c r="C736" s="1" t="n">
        <v>45999</v>
      </c>
      <c r="D736" t="inlineStr">
        <is>
          <t>UPPSALA LÄN</t>
        </is>
      </c>
      <c r="E736" t="inlineStr">
        <is>
          <t>UPPSALA</t>
        </is>
      </c>
      <c r="F736" t="inlineStr">
        <is>
          <t>Bergvik skog öst AB</t>
        </is>
      </c>
      <c r="G736" t="n">
        <v>5.2</v>
      </c>
      <c r="H736" t="n">
        <v>0</v>
      </c>
      <c r="I736" t="n">
        <v>0</v>
      </c>
      <c r="J736" t="n">
        <v>0</v>
      </c>
      <c r="K736" t="n">
        <v>0</v>
      </c>
      <c r="L736" t="n">
        <v>0</v>
      </c>
      <c r="M736" t="n">
        <v>0</v>
      </c>
      <c r="N736" t="n">
        <v>0</v>
      </c>
      <c r="O736" t="n">
        <v>0</v>
      </c>
      <c r="P736" t="n">
        <v>0</v>
      </c>
      <c r="Q736" t="n">
        <v>0</v>
      </c>
      <c r="R736" s="2" t="inlineStr"/>
    </row>
    <row r="737" ht="15" customHeight="1">
      <c r="A737" t="inlineStr">
        <is>
          <t>A 27622-2023</t>
        </is>
      </c>
      <c r="B737" s="1" t="n">
        <v>45097</v>
      </c>
      <c r="C737" s="1" t="n">
        <v>45999</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43056-2025</t>
        </is>
      </c>
      <c r="B738" s="1" t="n">
        <v>45909.57565972222</v>
      </c>
      <c r="C738" s="1" t="n">
        <v>45999</v>
      </c>
      <c r="D738" t="inlineStr">
        <is>
          <t>UPPSALA LÄN</t>
        </is>
      </c>
      <c r="E738" t="inlineStr">
        <is>
          <t>UPPSALA</t>
        </is>
      </c>
      <c r="F738" t="inlineStr">
        <is>
          <t>Allmännings- och besparingsskogar</t>
        </is>
      </c>
      <c r="G738" t="n">
        <v>11.8</v>
      </c>
      <c r="H738" t="n">
        <v>0</v>
      </c>
      <c r="I738" t="n">
        <v>0</v>
      </c>
      <c r="J738" t="n">
        <v>0</v>
      </c>
      <c r="K738" t="n">
        <v>0</v>
      </c>
      <c r="L738" t="n">
        <v>0</v>
      </c>
      <c r="M738" t="n">
        <v>0</v>
      </c>
      <c r="N738" t="n">
        <v>0</v>
      </c>
      <c r="O738" t="n">
        <v>0</v>
      </c>
      <c r="P738" t="n">
        <v>0</v>
      </c>
      <c r="Q738" t="n">
        <v>0</v>
      </c>
      <c r="R738" s="2" t="inlineStr"/>
    </row>
    <row r="739" ht="15" customHeight="1">
      <c r="A739" t="inlineStr">
        <is>
          <t>A 30319-2024</t>
        </is>
      </c>
      <c r="B739" s="1" t="n">
        <v>45490</v>
      </c>
      <c r="C739" s="1" t="n">
        <v>45999</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10394-2025</t>
        </is>
      </c>
      <c r="B740" s="1" t="n">
        <v>45720.60410879629</v>
      </c>
      <c r="C740" s="1" t="n">
        <v>45999</v>
      </c>
      <c r="D740" t="inlineStr">
        <is>
          <t>UPPSALA LÄN</t>
        </is>
      </c>
      <c r="E740" t="inlineStr">
        <is>
          <t>UPPSALA</t>
        </is>
      </c>
      <c r="G740" t="n">
        <v>3.4</v>
      </c>
      <c r="H740" t="n">
        <v>0</v>
      </c>
      <c r="I740" t="n">
        <v>0</v>
      </c>
      <c r="J740" t="n">
        <v>0</v>
      </c>
      <c r="K740" t="n">
        <v>0</v>
      </c>
      <c r="L740" t="n">
        <v>0</v>
      </c>
      <c r="M740" t="n">
        <v>0</v>
      </c>
      <c r="N740" t="n">
        <v>0</v>
      </c>
      <c r="O740" t="n">
        <v>0</v>
      </c>
      <c r="P740" t="n">
        <v>0</v>
      </c>
      <c r="Q740" t="n">
        <v>0</v>
      </c>
      <c r="R740" s="2" t="inlineStr"/>
    </row>
    <row r="741" ht="15" customHeight="1">
      <c r="A741" t="inlineStr">
        <is>
          <t>A 20903-2024</t>
        </is>
      </c>
      <c r="B741" s="1" t="n">
        <v>45439</v>
      </c>
      <c r="C741" s="1" t="n">
        <v>45999</v>
      </c>
      <c r="D741" t="inlineStr">
        <is>
          <t>UPPSALA LÄN</t>
        </is>
      </c>
      <c r="E741" t="inlineStr">
        <is>
          <t>UPPSALA</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43893-2025</t>
        </is>
      </c>
      <c r="B742" s="1" t="n">
        <v>45912.7097337963</v>
      </c>
      <c r="C742" s="1" t="n">
        <v>45999</v>
      </c>
      <c r="D742" t="inlineStr">
        <is>
          <t>UPPSALA LÄN</t>
        </is>
      </c>
      <c r="E742" t="inlineStr">
        <is>
          <t>UPPSALA</t>
        </is>
      </c>
      <c r="F742" t="inlineStr">
        <is>
          <t>Kyrkan</t>
        </is>
      </c>
      <c r="G742" t="n">
        <v>5.7</v>
      </c>
      <c r="H742" t="n">
        <v>0</v>
      </c>
      <c r="I742" t="n">
        <v>0</v>
      </c>
      <c r="J742" t="n">
        <v>0</v>
      </c>
      <c r="K742" t="n">
        <v>0</v>
      </c>
      <c r="L742" t="n">
        <v>0</v>
      </c>
      <c r="M742" t="n">
        <v>0</v>
      </c>
      <c r="N742" t="n">
        <v>0</v>
      </c>
      <c r="O742" t="n">
        <v>0</v>
      </c>
      <c r="P742" t="n">
        <v>0</v>
      </c>
      <c r="Q742" t="n">
        <v>0</v>
      </c>
      <c r="R742" s="2" t="inlineStr"/>
    </row>
    <row r="743" ht="15" customHeight="1">
      <c r="A743" t="inlineStr">
        <is>
          <t>A 19539-2024</t>
        </is>
      </c>
      <c r="B743" s="1" t="n">
        <v>45429</v>
      </c>
      <c r="C743" s="1" t="n">
        <v>45999</v>
      </c>
      <c r="D743" t="inlineStr">
        <is>
          <t>UPPSALA LÄN</t>
        </is>
      </c>
      <c r="E743" t="inlineStr">
        <is>
          <t>UPPSALA</t>
        </is>
      </c>
      <c r="G743" t="n">
        <v>1.9</v>
      </c>
      <c r="H743" t="n">
        <v>0</v>
      </c>
      <c r="I743" t="n">
        <v>0</v>
      </c>
      <c r="J743" t="n">
        <v>0</v>
      </c>
      <c r="K743" t="n">
        <v>0</v>
      </c>
      <c r="L743" t="n">
        <v>0</v>
      </c>
      <c r="M743" t="n">
        <v>0</v>
      </c>
      <c r="N743" t="n">
        <v>0</v>
      </c>
      <c r="O743" t="n">
        <v>0</v>
      </c>
      <c r="P743" t="n">
        <v>0</v>
      </c>
      <c r="Q743" t="n">
        <v>0</v>
      </c>
      <c r="R743" s="2" t="inlineStr"/>
    </row>
    <row r="744" ht="15" customHeight="1">
      <c r="A744" t="inlineStr">
        <is>
          <t>A 265-2021</t>
        </is>
      </c>
      <c r="B744" s="1" t="n">
        <v>44200</v>
      </c>
      <c r="C744" s="1" t="n">
        <v>45999</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24284-2025</t>
        </is>
      </c>
      <c r="B745" s="1" t="n">
        <v>45797.45900462963</v>
      </c>
      <c r="C745" s="1" t="n">
        <v>45999</v>
      </c>
      <c r="D745" t="inlineStr">
        <is>
          <t>UPPSALA LÄN</t>
        </is>
      </c>
      <c r="E745" t="inlineStr">
        <is>
          <t>UPPSALA</t>
        </is>
      </c>
      <c r="F745" t="inlineStr">
        <is>
          <t>Holmen skog AB</t>
        </is>
      </c>
      <c r="G745" t="n">
        <v>12.7</v>
      </c>
      <c r="H745" t="n">
        <v>0</v>
      </c>
      <c r="I745" t="n">
        <v>0</v>
      </c>
      <c r="J745" t="n">
        <v>0</v>
      </c>
      <c r="K745" t="n">
        <v>0</v>
      </c>
      <c r="L745" t="n">
        <v>0</v>
      </c>
      <c r="M745" t="n">
        <v>0</v>
      </c>
      <c r="N745" t="n">
        <v>0</v>
      </c>
      <c r="O745" t="n">
        <v>0</v>
      </c>
      <c r="P745" t="n">
        <v>0</v>
      </c>
      <c r="Q745" t="n">
        <v>0</v>
      </c>
      <c r="R745" s="2" t="inlineStr"/>
    </row>
    <row r="746" ht="15" customHeight="1">
      <c r="A746" t="inlineStr">
        <is>
          <t>A 56679-2022</t>
        </is>
      </c>
      <c r="B746" s="1" t="n">
        <v>44893</v>
      </c>
      <c r="C746" s="1" t="n">
        <v>45999</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24525-2025</t>
        </is>
      </c>
      <c r="B747" s="1" t="n">
        <v>45798.42252314815</v>
      </c>
      <c r="C747" s="1" t="n">
        <v>45999</v>
      </c>
      <c r="D747" t="inlineStr">
        <is>
          <t>UPPSALA LÄN</t>
        </is>
      </c>
      <c r="E747" t="inlineStr">
        <is>
          <t>UPPSALA</t>
        </is>
      </c>
      <c r="G747" t="n">
        <v>3.2</v>
      </c>
      <c r="H747" t="n">
        <v>0</v>
      </c>
      <c r="I747" t="n">
        <v>0</v>
      </c>
      <c r="J747" t="n">
        <v>0</v>
      </c>
      <c r="K747" t="n">
        <v>0</v>
      </c>
      <c r="L747" t="n">
        <v>0</v>
      </c>
      <c r="M747" t="n">
        <v>0</v>
      </c>
      <c r="N747" t="n">
        <v>0</v>
      </c>
      <c r="O747" t="n">
        <v>0</v>
      </c>
      <c r="P747" t="n">
        <v>0</v>
      </c>
      <c r="Q747" t="n">
        <v>0</v>
      </c>
      <c r="R747" s="2" t="inlineStr"/>
    </row>
    <row r="748" ht="15" customHeight="1">
      <c r="A748" t="inlineStr">
        <is>
          <t>A 57410-2025</t>
        </is>
      </c>
      <c r="B748" s="1" t="n">
        <v>45980.4484837963</v>
      </c>
      <c r="C748" s="1" t="n">
        <v>45999</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24268-2025</t>
        </is>
      </c>
      <c r="B749" s="1" t="n">
        <v>45797.42777777778</v>
      </c>
      <c r="C749" s="1" t="n">
        <v>45999</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10827-2024</t>
        </is>
      </c>
      <c r="B750" s="1" t="n">
        <v>45369</v>
      </c>
      <c r="C750" s="1" t="n">
        <v>45999</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49164-2025</t>
        </is>
      </c>
      <c r="B751" s="1" t="n">
        <v>45938.3615625</v>
      </c>
      <c r="C751" s="1" t="n">
        <v>45999</v>
      </c>
      <c r="D751" t="inlineStr">
        <is>
          <t>UPPSALA LÄN</t>
        </is>
      </c>
      <c r="E751" t="inlineStr">
        <is>
          <t>UPPSALA</t>
        </is>
      </c>
      <c r="F751" t="inlineStr">
        <is>
          <t>Kyrkan</t>
        </is>
      </c>
      <c r="G751" t="n">
        <v>1</v>
      </c>
      <c r="H751" t="n">
        <v>0</v>
      </c>
      <c r="I751" t="n">
        <v>0</v>
      </c>
      <c r="J751" t="n">
        <v>0</v>
      </c>
      <c r="K751" t="n">
        <v>0</v>
      </c>
      <c r="L751" t="n">
        <v>0</v>
      </c>
      <c r="M751" t="n">
        <v>0</v>
      </c>
      <c r="N751" t="n">
        <v>0</v>
      </c>
      <c r="O751" t="n">
        <v>0</v>
      </c>
      <c r="P751" t="n">
        <v>0</v>
      </c>
      <c r="Q751" t="n">
        <v>0</v>
      </c>
      <c r="R751" s="2" t="inlineStr"/>
    </row>
    <row r="752" ht="15" customHeight="1">
      <c r="A752" t="inlineStr">
        <is>
          <t>A 44226-2025</t>
        </is>
      </c>
      <c r="B752" s="1" t="n">
        <v>45915.64064814815</v>
      </c>
      <c r="C752" s="1" t="n">
        <v>45999</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6988-2025</t>
        </is>
      </c>
      <c r="B753" s="1" t="n">
        <v>45693</v>
      </c>
      <c r="C753" s="1" t="n">
        <v>45999</v>
      </c>
      <c r="D753" t="inlineStr">
        <is>
          <t>UPPSALA LÄN</t>
        </is>
      </c>
      <c r="E753" t="inlineStr">
        <is>
          <t>UPPSALA</t>
        </is>
      </c>
      <c r="G753" t="n">
        <v>1.7</v>
      </c>
      <c r="H753" t="n">
        <v>0</v>
      </c>
      <c r="I753" t="n">
        <v>0</v>
      </c>
      <c r="J753" t="n">
        <v>0</v>
      </c>
      <c r="K753" t="n">
        <v>0</v>
      </c>
      <c r="L753" t="n">
        <v>0</v>
      </c>
      <c r="M753" t="n">
        <v>0</v>
      </c>
      <c r="N753" t="n">
        <v>0</v>
      </c>
      <c r="O753" t="n">
        <v>0</v>
      </c>
      <c r="P753" t="n">
        <v>0</v>
      </c>
      <c r="Q753" t="n">
        <v>0</v>
      </c>
      <c r="R753" s="2" t="inlineStr"/>
    </row>
    <row r="754" ht="15" customHeight="1">
      <c r="A754" t="inlineStr">
        <is>
          <t>A 49094-2025</t>
        </is>
      </c>
      <c r="B754" s="1" t="n">
        <v>45937.68865740741</v>
      </c>
      <c r="C754" s="1" t="n">
        <v>45999</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24912-2025</t>
        </is>
      </c>
      <c r="B755" s="1" t="n">
        <v>45799.53803240741</v>
      </c>
      <c r="C755" s="1" t="n">
        <v>45999</v>
      </c>
      <c r="D755" t="inlineStr">
        <is>
          <t>UPPSALA LÄN</t>
        </is>
      </c>
      <c r="E755" t="inlineStr">
        <is>
          <t>UPPSALA</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24916-2025</t>
        </is>
      </c>
      <c r="B756" s="1" t="n">
        <v>45799.5421875</v>
      </c>
      <c r="C756" s="1" t="n">
        <v>45999</v>
      </c>
      <c r="D756" t="inlineStr">
        <is>
          <t>UPPSALA LÄN</t>
        </is>
      </c>
      <c r="E756" t="inlineStr">
        <is>
          <t>UPPSALA</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24961-2025</t>
        </is>
      </c>
      <c r="B757" s="1" t="n">
        <v>45799.57714120371</v>
      </c>
      <c r="C757" s="1" t="n">
        <v>45999</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53161-2025</t>
        </is>
      </c>
      <c r="B758" s="1" t="n">
        <v>45958.49162037037</v>
      </c>
      <c r="C758" s="1" t="n">
        <v>45999</v>
      </c>
      <c r="D758" t="inlineStr">
        <is>
          <t>UPPSALA LÄN</t>
        </is>
      </c>
      <c r="E758" t="inlineStr">
        <is>
          <t>UPPSALA</t>
        </is>
      </c>
      <c r="F758" t="inlineStr">
        <is>
          <t>Bergvik skog väst AB</t>
        </is>
      </c>
      <c r="G758" t="n">
        <v>14.5</v>
      </c>
      <c r="H758" t="n">
        <v>0</v>
      </c>
      <c r="I758" t="n">
        <v>0</v>
      </c>
      <c r="J758" t="n">
        <v>0</v>
      </c>
      <c r="K758" t="n">
        <v>0</v>
      </c>
      <c r="L758" t="n">
        <v>0</v>
      </c>
      <c r="M758" t="n">
        <v>0</v>
      </c>
      <c r="N758" t="n">
        <v>0</v>
      </c>
      <c r="O758" t="n">
        <v>0</v>
      </c>
      <c r="P758" t="n">
        <v>0</v>
      </c>
      <c r="Q758" t="n">
        <v>0</v>
      </c>
      <c r="R758" s="2" t="inlineStr"/>
    </row>
    <row r="759" ht="15" customHeight="1">
      <c r="A759" t="inlineStr">
        <is>
          <t>A 52963-2025</t>
        </is>
      </c>
      <c r="B759" s="1" t="n">
        <v>45957.66506944445</v>
      </c>
      <c r="C759" s="1" t="n">
        <v>45999</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25025-2025</t>
        </is>
      </c>
      <c r="B760" s="1" t="n">
        <v>45799.64877314815</v>
      </c>
      <c r="C760" s="1" t="n">
        <v>45999</v>
      </c>
      <c r="D760" t="inlineStr">
        <is>
          <t>UPPSALA LÄN</t>
        </is>
      </c>
      <c r="E760" t="inlineStr">
        <is>
          <t>UPPSALA</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59133-2022</t>
        </is>
      </c>
      <c r="B761" s="1" t="n">
        <v>44904</v>
      </c>
      <c r="C761" s="1" t="n">
        <v>45999</v>
      </c>
      <c r="D761" t="inlineStr">
        <is>
          <t>UPPSALA LÄN</t>
        </is>
      </c>
      <c r="E761" t="inlineStr">
        <is>
          <t>UPPSALA</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49080-2025</t>
        </is>
      </c>
      <c r="B762" s="1" t="n">
        <v>45937</v>
      </c>
      <c r="C762" s="1" t="n">
        <v>45999</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49098-2025</t>
        </is>
      </c>
      <c r="B763" s="1" t="n">
        <v>45937</v>
      </c>
      <c r="C763" s="1" t="n">
        <v>45999</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12828-2025</t>
        </is>
      </c>
      <c r="B764" s="1" t="n">
        <v>45733.62903935185</v>
      </c>
      <c r="C764" s="1" t="n">
        <v>45999</v>
      </c>
      <c r="D764" t="inlineStr">
        <is>
          <t>UPPSALA LÄN</t>
        </is>
      </c>
      <c r="E764" t="inlineStr">
        <is>
          <t>UPPSALA</t>
        </is>
      </c>
      <c r="G764" t="n">
        <v>5.3</v>
      </c>
      <c r="H764" t="n">
        <v>0</v>
      </c>
      <c r="I764" t="n">
        <v>0</v>
      </c>
      <c r="J764" t="n">
        <v>0</v>
      </c>
      <c r="K764" t="n">
        <v>0</v>
      </c>
      <c r="L764" t="n">
        <v>0</v>
      </c>
      <c r="M764" t="n">
        <v>0</v>
      </c>
      <c r="N764" t="n">
        <v>0</v>
      </c>
      <c r="O764" t="n">
        <v>0</v>
      </c>
      <c r="P764" t="n">
        <v>0</v>
      </c>
      <c r="Q764" t="n">
        <v>0</v>
      </c>
      <c r="R764" s="2" t="inlineStr"/>
    </row>
    <row r="765" ht="15" customHeight="1">
      <c r="A765" t="inlineStr">
        <is>
          <t>A 24913-2025</t>
        </is>
      </c>
      <c r="B765" s="1" t="n">
        <v>45799.53947916667</v>
      </c>
      <c r="C765" s="1" t="n">
        <v>45999</v>
      </c>
      <c r="D765" t="inlineStr">
        <is>
          <t>UPPSALA LÄN</t>
        </is>
      </c>
      <c r="E765" t="inlineStr">
        <is>
          <t>UPPSALA</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24915-2025</t>
        </is>
      </c>
      <c r="B766" s="1" t="n">
        <v>45799.54104166666</v>
      </c>
      <c r="C766" s="1" t="n">
        <v>45999</v>
      </c>
      <c r="D766" t="inlineStr">
        <is>
          <t>UPPSALA LÄN</t>
        </is>
      </c>
      <c r="E766" t="inlineStr">
        <is>
          <t>UPPSALA</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15310-2022</t>
        </is>
      </c>
      <c r="B767" s="1" t="n">
        <v>44659</v>
      </c>
      <c r="C767" s="1" t="n">
        <v>45999</v>
      </c>
      <c r="D767" t="inlineStr">
        <is>
          <t>UPPSALA LÄN</t>
        </is>
      </c>
      <c r="E767" t="inlineStr">
        <is>
          <t>UPPSALA</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13742-2025</t>
        </is>
      </c>
      <c r="B768" s="1" t="n">
        <v>45737.40503472222</v>
      </c>
      <c r="C768" s="1" t="n">
        <v>45999</v>
      </c>
      <c r="D768" t="inlineStr">
        <is>
          <t>UPPSALA LÄN</t>
        </is>
      </c>
      <c r="E768" t="inlineStr">
        <is>
          <t>UPPSALA</t>
        </is>
      </c>
      <c r="G768" t="n">
        <v>5.1</v>
      </c>
      <c r="H768" t="n">
        <v>0</v>
      </c>
      <c r="I768" t="n">
        <v>0</v>
      </c>
      <c r="J768" t="n">
        <v>0</v>
      </c>
      <c r="K768" t="n">
        <v>0</v>
      </c>
      <c r="L768" t="n">
        <v>0</v>
      </c>
      <c r="M768" t="n">
        <v>0</v>
      </c>
      <c r="N768" t="n">
        <v>0</v>
      </c>
      <c r="O768" t="n">
        <v>0</v>
      </c>
      <c r="P768" t="n">
        <v>0</v>
      </c>
      <c r="Q768" t="n">
        <v>0</v>
      </c>
      <c r="R768" s="2" t="inlineStr"/>
    </row>
    <row r="769" ht="15" customHeight="1">
      <c r="A769" t="inlineStr">
        <is>
          <t>A 25026-2025</t>
        </is>
      </c>
      <c r="B769" s="1" t="n">
        <v>45799.65021990741</v>
      </c>
      <c r="C769" s="1" t="n">
        <v>45999</v>
      </c>
      <c r="D769" t="inlineStr">
        <is>
          <t>UPPSALA LÄN</t>
        </is>
      </c>
      <c r="E769" t="inlineStr">
        <is>
          <t>UPPSALA</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25030-2025</t>
        </is>
      </c>
      <c r="B770" s="1" t="n">
        <v>45799.6527199074</v>
      </c>
      <c r="C770" s="1" t="n">
        <v>45999</v>
      </c>
      <c r="D770" t="inlineStr">
        <is>
          <t>UPPSALA LÄN</t>
        </is>
      </c>
      <c r="E770" t="inlineStr">
        <is>
          <t>UPPSALA</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24794-2025</t>
        </is>
      </c>
      <c r="B771" s="1" t="n">
        <v>45799.43496527777</v>
      </c>
      <c r="C771" s="1" t="n">
        <v>45999</v>
      </c>
      <c r="D771" t="inlineStr">
        <is>
          <t>UPPSALA LÄN</t>
        </is>
      </c>
      <c r="E771" t="inlineStr">
        <is>
          <t>UPPSALA</t>
        </is>
      </c>
      <c r="F771" t="inlineStr">
        <is>
          <t>BillerudKorsnäs AB</t>
        </is>
      </c>
      <c r="G771" t="n">
        <v>1.4</v>
      </c>
      <c r="H771" t="n">
        <v>0</v>
      </c>
      <c r="I771" t="n">
        <v>0</v>
      </c>
      <c r="J771" t="n">
        <v>0</v>
      </c>
      <c r="K771" t="n">
        <v>0</v>
      </c>
      <c r="L771" t="n">
        <v>0</v>
      </c>
      <c r="M771" t="n">
        <v>0</v>
      </c>
      <c r="N771" t="n">
        <v>0</v>
      </c>
      <c r="O771" t="n">
        <v>0</v>
      </c>
      <c r="P771" t="n">
        <v>0</v>
      </c>
      <c r="Q771" t="n">
        <v>0</v>
      </c>
      <c r="R771" s="2" t="inlineStr"/>
    </row>
    <row r="772" ht="15" customHeight="1">
      <c r="A772" t="inlineStr">
        <is>
          <t>A 25280-2023</t>
        </is>
      </c>
      <c r="B772" s="1" t="n">
        <v>45086.7037037037</v>
      </c>
      <c r="C772" s="1" t="n">
        <v>45999</v>
      </c>
      <c r="D772" t="inlineStr">
        <is>
          <t>UPPSALA LÄN</t>
        </is>
      </c>
      <c r="E772" t="inlineStr">
        <is>
          <t>UPPSALA</t>
        </is>
      </c>
      <c r="F772" t="inlineStr">
        <is>
          <t>Holmen skog AB</t>
        </is>
      </c>
      <c r="G772" t="n">
        <v>3.2</v>
      </c>
      <c r="H772" t="n">
        <v>0</v>
      </c>
      <c r="I772" t="n">
        <v>0</v>
      </c>
      <c r="J772" t="n">
        <v>0</v>
      </c>
      <c r="K772" t="n">
        <v>0</v>
      </c>
      <c r="L772" t="n">
        <v>0</v>
      </c>
      <c r="M772" t="n">
        <v>0</v>
      </c>
      <c r="N772" t="n">
        <v>0</v>
      </c>
      <c r="O772" t="n">
        <v>0</v>
      </c>
      <c r="P772" t="n">
        <v>0</v>
      </c>
      <c r="Q772" t="n">
        <v>0</v>
      </c>
      <c r="R772" s="2" t="inlineStr"/>
    </row>
    <row r="773" ht="15" customHeight="1">
      <c r="A773" t="inlineStr">
        <is>
          <t>A 53244-2025</t>
        </is>
      </c>
      <c r="B773" s="1" t="n">
        <v>45957</v>
      </c>
      <c r="C773" s="1" t="n">
        <v>45999</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53248-2025</t>
        </is>
      </c>
      <c r="B774" s="1" t="n">
        <v>45958.6516087963</v>
      </c>
      <c r="C774" s="1" t="n">
        <v>45999</v>
      </c>
      <c r="D774" t="inlineStr">
        <is>
          <t>UPPSALA LÄN</t>
        </is>
      </c>
      <c r="E774" t="inlineStr">
        <is>
          <t>UPPSALA</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53228-2025</t>
        </is>
      </c>
      <c r="B775" s="1" t="n">
        <v>45958.61577546296</v>
      </c>
      <c r="C775" s="1" t="n">
        <v>45999</v>
      </c>
      <c r="D775" t="inlineStr">
        <is>
          <t>UPPSALA LÄN</t>
        </is>
      </c>
      <c r="E775" t="inlineStr">
        <is>
          <t>UPPSALA</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15264-2025</t>
        </is>
      </c>
      <c r="B776" s="1" t="n">
        <v>45744</v>
      </c>
      <c r="C776" s="1" t="n">
        <v>45999</v>
      </c>
      <c r="D776" t="inlineStr">
        <is>
          <t>UPPSALA LÄN</t>
        </is>
      </c>
      <c r="E776" t="inlineStr">
        <is>
          <t>UPPSALA</t>
        </is>
      </c>
      <c r="G776" t="n">
        <v>3.5</v>
      </c>
      <c r="H776" t="n">
        <v>0</v>
      </c>
      <c r="I776" t="n">
        <v>0</v>
      </c>
      <c r="J776" t="n">
        <v>0</v>
      </c>
      <c r="K776" t="n">
        <v>0</v>
      </c>
      <c r="L776" t="n">
        <v>0</v>
      </c>
      <c r="M776" t="n">
        <v>0</v>
      </c>
      <c r="N776" t="n">
        <v>0</v>
      </c>
      <c r="O776" t="n">
        <v>0</v>
      </c>
      <c r="P776" t="n">
        <v>0</v>
      </c>
      <c r="Q776" t="n">
        <v>0</v>
      </c>
      <c r="R776" s="2" t="inlineStr"/>
    </row>
    <row r="777" ht="15" customHeight="1">
      <c r="A777" t="inlineStr">
        <is>
          <t>A 43903-2025</t>
        </is>
      </c>
      <c r="B777" s="1" t="n">
        <v>45913.39467592593</v>
      </c>
      <c r="C777" s="1" t="n">
        <v>45999</v>
      </c>
      <c r="D777" t="inlineStr">
        <is>
          <t>UPPSALA LÄN</t>
        </is>
      </c>
      <c r="E777" t="inlineStr">
        <is>
          <t>UPPSALA</t>
        </is>
      </c>
      <c r="F777" t="inlineStr">
        <is>
          <t>Bergvik skog öst AB</t>
        </is>
      </c>
      <c r="G777" t="n">
        <v>3.5</v>
      </c>
      <c r="H777" t="n">
        <v>0</v>
      </c>
      <c r="I777" t="n">
        <v>0</v>
      </c>
      <c r="J777" t="n">
        <v>0</v>
      </c>
      <c r="K777" t="n">
        <v>0</v>
      </c>
      <c r="L777" t="n">
        <v>0</v>
      </c>
      <c r="M777" t="n">
        <v>0</v>
      </c>
      <c r="N777" t="n">
        <v>0</v>
      </c>
      <c r="O777" t="n">
        <v>0</v>
      </c>
      <c r="P777" t="n">
        <v>0</v>
      </c>
      <c r="Q777" t="n">
        <v>0</v>
      </c>
      <c r="R777" s="2" t="inlineStr"/>
    </row>
    <row r="778" ht="15" customHeight="1">
      <c r="A778" t="inlineStr">
        <is>
          <t>A 44385-2025</t>
        </is>
      </c>
      <c r="B778" s="1" t="n">
        <v>45916.48704861111</v>
      </c>
      <c r="C778" s="1" t="n">
        <v>45999</v>
      </c>
      <c r="D778" t="inlineStr">
        <is>
          <t>UPPSALA LÄN</t>
        </is>
      </c>
      <c r="E778" t="inlineStr">
        <is>
          <t>UPPSALA</t>
        </is>
      </c>
      <c r="F778" t="inlineStr">
        <is>
          <t>Bergvik skog öst AB</t>
        </is>
      </c>
      <c r="G778" t="n">
        <v>6.8</v>
      </c>
      <c r="H778" t="n">
        <v>0</v>
      </c>
      <c r="I778" t="n">
        <v>0</v>
      </c>
      <c r="J778" t="n">
        <v>0</v>
      </c>
      <c r="K778" t="n">
        <v>0</v>
      </c>
      <c r="L778" t="n">
        <v>0</v>
      </c>
      <c r="M778" t="n">
        <v>0</v>
      </c>
      <c r="N778" t="n">
        <v>0</v>
      </c>
      <c r="O778" t="n">
        <v>0</v>
      </c>
      <c r="P778" t="n">
        <v>0</v>
      </c>
      <c r="Q778" t="n">
        <v>0</v>
      </c>
      <c r="R778" s="2" t="inlineStr"/>
    </row>
    <row r="779" ht="15" customHeight="1">
      <c r="A779" t="inlineStr">
        <is>
          <t>A 6628-2024</t>
        </is>
      </c>
      <c r="B779" s="1" t="n">
        <v>45341</v>
      </c>
      <c r="C779" s="1" t="n">
        <v>45999</v>
      </c>
      <c r="D779" t="inlineStr">
        <is>
          <t>UPPSALA LÄN</t>
        </is>
      </c>
      <c r="E779" t="inlineStr">
        <is>
          <t>UPPSALA</t>
        </is>
      </c>
      <c r="G779" t="n">
        <v>4.3</v>
      </c>
      <c r="H779" t="n">
        <v>0</v>
      </c>
      <c r="I779" t="n">
        <v>0</v>
      </c>
      <c r="J779" t="n">
        <v>0</v>
      </c>
      <c r="K779" t="n">
        <v>0</v>
      </c>
      <c r="L779" t="n">
        <v>0</v>
      </c>
      <c r="M779" t="n">
        <v>0</v>
      </c>
      <c r="N779" t="n">
        <v>0</v>
      </c>
      <c r="O779" t="n">
        <v>0</v>
      </c>
      <c r="P779" t="n">
        <v>0</v>
      </c>
      <c r="Q779" t="n">
        <v>0</v>
      </c>
      <c r="R779" s="2" t="inlineStr"/>
    </row>
    <row r="780" ht="15" customHeight="1">
      <c r="A780" t="inlineStr">
        <is>
          <t>A 52197-2024</t>
        </is>
      </c>
      <c r="B780" s="1" t="n">
        <v>45608</v>
      </c>
      <c r="C780" s="1" t="n">
        <v>45999</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53235-2025</t>
        </is>
      </c>
      <c r="B781" s="1" t="n">
        <v>45958.62983796297</v>
      </c>
      <c r="C781" s="1" t="n">
        <v>45999</v>
      </c>
      <c r="D781" t="inlineStr">
        <is>
          <t>UPPSALA LÄN</t>
        </is>
      </c>
      <c r="E781" t="inlineStr">
        <is>
          <t>UPPSALA</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53234-2025</t>
        </is>
      </c>
      <c r="B782" s="1" t="n">
        <v>45958.62765046296</v>
      </c>
      <c r="C782" s="1" t="n">
        <v>45999</v>
      </c>
      <c r="D782" t="inlineStr">
        <is>
          <t>UPPSALA LÄN</t>
        </is>
      </c>
      <c r="E782" t="inlineStr">
        <is>
          <t>UPPSALA</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53242-2025</t>
        </is>
      </c>
      <c r="B783" s="1" t="n">
        <v>45958.64146990741</v>
      </c>
      <c r="C783" s="1" t="n">
        <v>45999</v>
      </c>
      <c r="D783" t="inlineStr">
        <is>
          <t>UPPSALA LÄN</t>
        </is>
      </c>
      <c r="E783" t="inlineStr">
        <is>
          <t>UPPSALA</t>
        </is>
      </c>
      <c r="F783" t="inlineStr">
        <is>
          <t>Bergvik skog väst AB</t>
        </is>
      </c>
      <c r="G783" t="n">
        <v>1.3</v>
      </c>
      <c r="H783" t="n">
        <v>0</v>
      </c>
      <c r="I783" t="n">
        <v>0</v>
      </c>
      <c r="J783" t="n">
        <v>0</v>
      </c>
      <c r="K783" t="n">
        <v>0</v>
      </c>
      <c r="L783" t="n">
        <v>0</v>
      </c>
      <c r="M783" t="n">
        <v>0</v>
      </c>
      <c r="N783" t="n">
        <v>0</v>
      </c>
      <c r="O783" t="n">
        <v>0</v>
      </c>
      <c r="P783" t="n">
        <v>0</v>
      </c>
      <c r="Q783" t="n">
        <v>0</v>
      </c>
      <c r="R783" s="2" t="inlineStr"/>
    </row>
    <row r="784" ht="15" customHeight="1">
      <c r="A784" t="inlineStr">
        <is>
          <t>A 53224-2025</t>
        </is>
      </c>
      <c r="B784" s="1" t="n">
        <v>45958.60826388889</v>
      </c>
      <c r="C784" s="1" t="n">
        <v>45999</v>
      </c>
      <c r="D784" t="inlineStr">
        <is>
          <t>UPPSALA LÄN</t>
        </is>
      </c>
      <c r="E784" t="inlineStr">
        <is>
          <t>UPPSALA</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25513-2025</t>
        </is>
      </c>
      <c r="B785" s="1" t="n">
        <v>45803.36384259259</v>
      </c>
      <c r="C785" s="1" t="n">
        <v>45999</v>
      </c>
      <c r="D785" t="inlineStr">
        <is>
          <t>UPPSALA LÄN</t>
        </is>
      </c>
      <c r="E785" t="inlineStr">
        <is>
          <t>UPPSALA</t>
        </is>
      </c>
      <c r="F785" t="inlineStr">
        <is>
          <t>Bergvik skog öst AB</t>
        </is>
      </c>
      <c r="G785" t="n">
        <v>8.9</v>
      </c>
      <c r="H785" t="n">
        <v>0</v>
      </c>
      <c r="I785" t="n">
        <v>0</v>
      </c>
      <c r="J785" t="n">
        <v>0</v>
      </c>
      <c r="K785" t="n">
        <v>0</v>
      </c>
      <c r="L785" t="n">
        <v>0</v>
      </c>
      <c r="M785" t="n">
        <v>0</v>
      </c>
      <c r="N785" t="n">
        <v>0</v>
      </c>
      <c r="O785" t="n">
        <v>0</v>
      </c>
      <c r="P785" t="n">
        <v>0</v>
      </c>
      <c r="Q785" t="n">
        <v>0</v>
      </c>
      <c r="R785" s="2" t="inlineStr"/>
    </row>
    <row r="786" ht="15" customHeight="1">
      <c r="A786" t="inlineStr">
        <is>
          <t>A 49160-2025</t>
        </is>
      </c>
      <c r="B786" s="1" t="n">
        <v>45938.35063657408</v>
      </c>
      <c r="C786" s="1" t="n">
        <v>45999</v>
      </c>
      <c r="D786" t="inlineStr">
        <is>
          <t>UPPSALA LÄN</t>
        </is>
      </c>
      <c r="E786" t="inlineStr">
        <is>
          <t>UPPSALA</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53021-2025</t>
        </is>
      </c>
      <c r="B787" s="1" t="n">
        <v>45957.95233796296</v>
      </c>
      <c r="C787" s="1" t="n">
        <v>45999</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53062-2025</t>
        </is>
      </c>
      <c r="B788" s="1" t="n">
        <v>45958.37273148148</v>
      </c>
      <c r="C788" s="1" t="n">
        <v>45999</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53230-2025</t>
        </is>
      </c>
      <c r="B789" s="1" t="n">
        <v>45958.62303240741</v>
      </c>
      <c r="C789" s="1" t="n">
        <v>45999</v>
      </c>
      <c r="D789" t="inlineStr">
        <is>
          <t>UPPSALA LÄN</t>
        </is>
      </c>
      <c r="E789" t="inlineStr">
        <is>
          <t>UPPSALA</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53206-2025</t>
        </is>
      </c>
      <c r="B790" s="1" t="n">
        <v>45958.58711805556</v>
      </c>
      <c r="C790" s="1" t="n">
        <v>45999</v>
      </c>
      <c r="D790" t="inlineStr">
        <is>
          <t>UPPSALA LÄN</t>
        </is>
      </c>
      <c r="E790" t="inlineStr">
        <is>
          <t>UPPSALA</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53238-2025</t>
        </is>
      </c>
      <c r="B791" s="1" t="n">
        <v>45958.63368055555</v>
      </c>
      <c r="C791" s="1" t="n">
        <v>45999</v>
      </c>
      <c r="D791" t="inlineStr">
        <is>
          <t>UPPSALA LÄN</t>
        </is>
      </c>
      <c r="E791" t="inlineStr">
        <is>
          <t>UPPSALA</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25674-2025</t>
        </is>
      </c>
      <c r="B792" s="1" t="n">
        <v>45803.63395833333</v>
      </c>
      <c r="C792" s="1" t="n">
        <v>45999</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57789-2025</t>
        </is>
      </c>
      <c r="B793" s="1" t="n">
        <v>45981.57793981482</v>
      </c>
      <c r="C793" s="1" t="n">
        <v>45999</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44470-2025</t>
        </is>
      </c>
      <c r="B794" s="1" t="n">
        <v>45916</v>
      </c>
      <c r="C794" s="1" t="n">
        <v>45999</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49829-2025</t>
        </is>
      </c>
      <c r="B795" s="1" t="n">
        <v>45940.45038194444</v>
      </c>
      <c r="C795" s="1" t="n">
        <v>45999</v>
      </c>
      <c r="D795" t="inlineStr">
        <is>
          <t>UPPSALA LÄN</t>
        </is>
      </c>
      <c r="E795" t="inlineStr">
        <is>
          <t>UPPSALA</t>
        </is>
      </c>
      <c r="F795" t="inlineStr">
        <is>
          <t>Bergvik skog öst AB</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26130-2025</t>
        </is>
      </c>
      <c r="B796" s="1" t="n">
        <v>45805.4094675926</v>
      </c>
      <c r="C796" s="1" t="n">
        <v>45999</v>
      </c>
      <c r="D796" t="inlineStr">
        <is>
          <t>UPPSALA LÄN</t>
        </is>
      </c>
      <c r="E796" t="inlineStr">
        <is>
          <t>UPPSALA</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26131-2025</t>
        </is>
      </c>
      <c r="B797" s="1" t="n">
        <v>45805.41010416667</v>
      </c>
      <c r="C797" s="1" t="n">
        <v>45999</v>
      </c>
      <c r="D797" t="inlineStr">
        <is>
          <t>UPPSALA LÄN</t>
        </is>
      </c>
      <c r="E797" t="inlineStr">
        <is>
          <t>UPPSALA</t>
        </is>
      </c>
      <c r="F797" t="inlineStr">
        <is>
          <t>Bergvik skog öst AB</t>
        </is>
      </c>
      <c r="G797" t="n">
        <v>3.8</v>
      </c>
      <c r="H797" t="n">
        <v>0</v>
      </c>
      <c r="I797" t="n">
        <v>0</v>
      </c>
      <c r="J797" t="n">
        <v>0</v>
      </c>
      <c r="K797" t="n">
        <v>0</v>
      </c>
      <c r="L797" t="n">
        <v>0</v>
      </c>
      <c r="M797" t="n">
        <v>0</v>
      </c>
      <c r="N797" t="n">
        <v>0</v>
      </c>
      <c r="O797" t="n">
        <v>0</v>
      </c>
      <c r="P797" t="n">
        <v>0</v>
      </c>
      <c r="Q797" t="n">
        <v>0</v>
      </c>
      <c r="R797" s="2" t="inlineStr"/>
    </row>
    <row r="798" ht="15" customHeight="1">
      <c r="A798" t="inlineStr">
        <is>
          <t>A 30583-2025</t>
        </is>
      </c>
      <c r="B798" s="1" t="n">
        <v>45831.42365740741</v>
      </c>
      <c r="C798" s="1" t="n">
        <v>45999</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49463-2025</t>
        </is>
      </c>
      <c r="B799" s="1" t="n">
        <v>45939.32621527778</v>
      </c>
      <c r="C799" s="1" t="n">
        <v>45999</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57827-2025</t>
        </is>
      </c>
      <c r="B800" s="1" t="n">
        <v>45981.60923611111</v>
      </c>
      <c r="C800" s="1" t="n">
        <v>45999</v>
      </c>
      <c r="D800" t="inlineStr">
        <is>
          <t>UPPSALA LÄN</t>
        </is>
      </c>
      <c r="E800" t="inlineStr">
        <is>
          <t>UPPSALA</t>
        </is>
      </c>
      <c r="F800" t="inlineStr">
        <is>
          <t>Kyrkan</t>
        </is>
      </c>
      <c r="G800" t="n">
        <v>2.9</v>
      </c>
      <c r="H800" t="n">
        <v>0</v>
      </c>
      <c r="I800" t="n">
        <v>0</v>
      </c>
      <c r="J800" t="n">
        <v>0</v>
      </c>
      <c r="K800" t="n">
        <v>0</v>
      </c>
      <c r="L800" t="n">
        <v>0</v>
      </c>
      <c r="M800" t="n">
        <v>0</v>
      </c>
      <c r="N800" t="n">
        <v>0</v>
      </c>
      <c r="O800" t="n">
        <v>0</v>
      </c>
      <c r="P800" t="n">
        <v>0</v>
      </c>
      <c r="Q800" t="n">
        <v>0</v>
      </c>
      <c r="R800" s="2" t="inlineStr"/>
    </row>
    <row r="801" ht="15" customHeight="1">
      <c r="A801" t="inlineStr">
        <is>
          <t>A 26139-2025</t>
        </is>
      </c>
      <c r="B801" s="1" t="n">
        <v>45805.41813657407</v>
      </c>
      <c r="C801" s="1" t="n">
        <v>45999</v>
      </c>
      <c r="D801" t="inlineStr">
        <is>
          <t>UPPSALA LÄN</t>
        </is>
      </c>
      <c r="E801" t="inlineStr">
        <is>
          <t>UPPSALA</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26155-2025</t>
        </is>
      </c>
      <c r="B802" s="1" t="n">
        <v>45805.43402777778</v>
      </c>
      <c r="C802" s="1" t="n">
        <v>45999</v>
      </c>
      <c r="D802" t="inlineStr">
        <is>
          <t>UPPSALA LÄN</t>
        </is>
      </c>
      <c r="E802" t="inlineStr">
        <is>
          <t>UPPSALA</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53582-2025</t>
        </is>
      </c>
      <c r="B803" s="1" t="n">
        <v>45960.43065972222</v>
      </c>
      <c r="C803" s="1" t="n">
        <v>45999</v>
      </c>
      <c r="D803" t="inlineStr">
        <is>
          <t>UPPSALA LÄN</t>
        </is>
      </c>
      <c r="E803" t="inlineStr">
        <is>
          <t>UPPSALA</t>
        </is>
      </c>
      <c r="G803" t="n">
        <v>12.2</v>
      </c>
      <c r="H803" t="n">
        <v>0</v>
      </c>
      <c r="I803" t="n">
        <v>0</v>
      </c>
      <c r="J803" t="n">
        <v>0</v>
      </c>
      <c r="K803" t="n">
        <v>0</v>
      </c>
      <c r="L803" t="n">
        <v>0</v>
      </c>
      <c r="M803" t="n">
        <v>0</v>
      </c>
      <c r="N803" t="n">
        <v>0</v>
      </c>
      <c r="O803" t="n">
        <v>0</v>
      </c>
      <c r="P803" t="n">
        <v>0</v>
      </c>
      <c r="Q803" t="n">
        <v>0</v>
      </c>
      <c r="R803" s="2" t="inlineStr"/>
    </row>
    <row r="804" ht="15" customHeight="1">
      <c r="A804" t="inlineStr">
        <is>
          <t>A 26141-2025</t>
        </is>
      </c>
      <c r="B804" s="1" t="n">
        <v>45805.4255787037</v>
      </c>
      <c r="C804" s="1" t="n">
        <v>45999</v>
      </c>
      <c r="D804" t="inlineStr">
        <is>
          <t>UPPSALA LÄN</t>
        </is>
      </c>
      <c r="E804" t="inlineStr">
        <is>
          <t>UPPSALA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32127-2024</t>
        </is>
      </c>
      <c r="B805" s="1" t="n">
        <v>45511</v>
      </c>
      <c r="C805" s="1" t="n">
        <v>45999</v>
      </c>
      <c r="D805" t="inlineStr">
        <is>
          <t>UPPSALA LÄN</t>
        </is>
      </c>
      <c r="E805" t="inlineStr">
        <is>
          <t>UPPSALA</t>
        </is>
      </c>
      <c r="G805" t="n">
        <v>3.7</v>
      </c>
      <c r="H805" t="n">
        <v>0</v>
      </c>
      <c r="I805" t="n">
        <v>0</v>
      </c>
      <c r="J805" t="n">
        <v>0</v>
      </c>
      <c r="K805" t="n">
        <v>0</v>
      </c>
      <c r="L805" t="n">
        <v>0</v>
      </c>
      <c r="M805" t="n">
        <v>0</v>
      </c>
      <c r="N805" t="n">
        <v>0</v>
      </c>
      <c r="O805" t="n">
        <v>0</v>
      </c>
      <c r="P805" t="n">
        <v>0</v>
      </c>
      <c r="Q805" t="n">
        <v>0</v>
      </c>
      <c r="R805" s="2" t="inlineStr"/>
    </row>
    <row r="806" ht="15" customHeight="1">
      <c r="A806" t="inlineStr">
        <is>
          <t>A 49937-2025</t>
        </is>
      </c>
      <c r="B806" s="1" t="n">
        <v>45940.67084490741</v>
      </c>
      <c r="C806" s="1" t="n">
        <v>45999</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49940-2025</t>
        </is>
      </c>
      <c r="B807" s="1" t="n">
        <v>45940.67305555556</v>
      </c>
      <c r="C807" s="1" t="n">
        <v>45999</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49938-2025</t>
        </is>
      </c>
      <c r="B808" s="1" t="n">
        <v>45940</v>
      </c>
      <c r="C808" s="1" t="n">
        <v>45999</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44813-2025</t>
        </is>
      </c>
      <c r="B809" s="1" t="n">
        <v>45918.37322916667</v>
      </c>
      <c r="C809" s="1" t="n">
        <v>45999</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57736-2025</t>
        </is>
      </c>
      <c r="B810" s="1" t="n">
        <v>45981</v>
      </c>
      <c r="C810" s="1" t="n">
        <v>45999</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57796-2025</t>
        </is>
      </c>
      <c r="B811" s="1" t="n">
        <v>45981.58204861111</v>
      </c>
      <c r="C811" s="1" t="n">
        <v>45999</v>
      </c>
      <c r="D811" t="inlineStr">
        <is>
          <t>UPPSALA LÄN</t>
        </is>
      </c>
      <c r="E811" t="inlineStr">
        <is>
          <t>UPPSALA</t>
        </is>
      </c>
      <c r="G811" t="n">
        <v>2.6</v>
      </c>
      <c r="H811" t="n">
        <v>0</v>
      </c>
      <c r="I811" t="n">
        <v>0</v>
      </c>
      <c r="J811" t="n">
        <v>0</v>
      </c>
      <c r="K811" t="n">
        <v>0</v>
      </c>
      <c r="L811" t="n">
        <v>0</v>
      </c>
      <c r="M811" t="n">
        <v>0</v>
      </c>
      <c r="N811" t="n">
        <v>0</v>
      </c>
      <c r="O811" t="n">
        <v>0</v>
      </c>
      <c r="P811" t="n">
        <v>0</v>
      </c>
      <c r="Q811" t="n">
        <v>0</v>
      </c>
      <c r="R811" s="2" t="inlineStr"/>
    </row>
    <row r="812" ht="15" customHeight="1">
      <c r="A812" t="inlineStr">
        <is>
          <t>A 57709-2025</t>
        </is>
      </c>
      <c r="B812" s="1" t="n">
        <v>45981</v>
      </c>
      <c r="C812" s="1" t="n">
        <v>45999</v>
      </c>
      <c r="D812" t="inlineStr">
        <is>
          <t>UPPSALA LÄN</t>
        </is>
      </c>
      <c r="E812" t="inlineStr">
        <is>
          <t>UPPSALA</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26697-2025</t>
        </is>
      </c>
      <c r="B813" s="1" t="n">
        <v>45810.44339120371</v>
      </c>
      <c r="C813" s="1" t="n">
        <v>45999</v>
      </c>
      <c r="D813" t="inlineStr">
        <is>
          <t>UPPSALA LÄN</t>
        </is>
      </c>
      <c r="E813" t="inlineStr">
        <is>
          <t>UPPSALA</t>
        </is>
      </c>
      <c r="F813" t="inlineStr">
        <is>
          <t>Bergvik skog öst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57836-2025</t>
        </is>
      </c>
      <c r="B814" s="1" t="n">
        <v>45981.61822916667</v>
      </c>
      <c r="C814" s="1" t="n">
        <v>45999</v>
      </c>
      <c r="D814" t="inlineStr">
        <is>
          <t>UPPSALA LÄN</t>
        </is>
      </c>
      <c r="E814" t="inlineStr">
        <is>
          <t>UPPSALA</t>
        </is>
      </c>
      <c r="F814" t="inlineStr">
        <is>
          <t>Kyrkan</t>
        </is>
      </c>
      <c r="G814" t="n">
        <v>0.8</v>
      </c>
      <c r="H814" t="n">
        <v>0</v>
      </c>
      <c r="I814" t="n">
        <v>0</v>
      </c>
      <c r="J814" t="n">
        <v>0</v>
      </c>
      <c r="K814" t="n">
        <v>0</v>
      </c>
      <c r="L814" t="n">
        <v>0</v>
      </c>
      <c r="M814" t="n">
        <v>0</v>
      </c>
      <c r="N814" t="n">
        <v>0</v>
      </c>
      <c r="O814" t="n">
        <v>0</v>
      </c>
      <c r="P814" t="n">
        <v>0</v>
      </c>
      <c r="Q814" t="n">
        <v>0</v>
      </c>
      <c r="R814" s="2" t="inlineStr"/>
    </row>
    <row r="815" ht="15" customHeight="1">
      <c r="A815" t="inlineStr">
        <is>
          <t>A 58104-2025</t>
        </is>
      </c>
      <c r="B815" s="1" t="n">
        <v>45982</v>
      </c>
      <c r="C815" s="1" t="n">
        <v>45999</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49996-2023</t>
        </is>
      </c>
      <c r="B816" s="1" t="n">
        <v>45215.44233796297</v>
      </c>
      <c r="C816" s="1" t="n">
        <v>45999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53322-2025</t>
        </is>
      </c>
      <c r="B817" s="1" t="n">
        <v>45959.35965277778</v>
      </c>
      <c r="C817" s="1" t="n">
        <v>45999</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53324-2025</t>
        </is>
      </c>
      <c r="B818" s="1" t="n">
        <v>45959.36146990741</v>
      </c>
      <c r="C818" s="1" t="n">
        <v>45999</v>
      </c>
      <c r="D818" t="inlineStr">
        <is>
          <t>UPPSALA LÄN</t>
        </is>
      </c>
      <c r="E818" t="inlineStr">
        <is>
          <t>UPPSALA</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53423-2025</t>
        </is>
      </c>
      <c r="B819" s="1" t="n">
        <v>45959.60851851852</v>
      </c>
      <c r="C819" s="1" t="n">
        <v>45999</v>
      </c>
      <c r="D819" t="inlineStr">
        <is>
          <t>UPPSALA LÄN</t>
        </is>
      </c>
      <c r="E819" t="inlineStr">
        <is>
          <t>UPPSALA</t>
        </is>
      </c>
      <c r="F819" t="inlineStr">
        <is>
          <t>Övriga Aktiebolag</t>
        </is>
      </c>
      <c r="G819" t="n">
        <v>23.6</v>
      </c>
      <c r="H819" t="n">
        <v>0</v>
      </c>
      <c r="I819" t="n">
        <v>0</v>
      </c>
      <c r="J819" t="n">
        <v>0</v>
      </c>
      <c r="K819" t="n">
        <v>0</v>
      </c>
      <c r="L819" t="n">
        <v>0</v>
      </c>
      <c r="M819" t="n">
        <v>0</v>
      </c>
      <c r="N819" t="n">
        <v>0</v>
      </c>
      <c r="O819" t="n">
        <v>0</v>
      </c>
      <c r="P819" t="n">
        <v>0</v>
      </c>
      <c r="Q819" t="n">
        <v>0</v>
      </c>
      <c r="R819" s="2" t="inlineStr"/>
    </row>
    <row r="820" ht="15" customHeight="1">
      <c r="A820" t="inlineStr">
        <is>
          <t>A 58545-2025</t>
        </is>
      </c>
      <c r="B820" s="1" t="n">
        <v>45985.99135416667</v>
      </c>
      <c r="C820" s="1" t="n">
        <v>45999</v>
      </c>
      <c r="D820" t="inlineStr">
        <is>
          <t>UPPSALA LÄN</t>
        </is>
      </c>
      <c r="E820" t="inlineStr">
        <is>
          <t>UPPSALA</t>
        </is>
      </c>
      <c r="G820" t="n">
        <v>2.5</v>
      </c>
      <c r="H820" t="n">
        <v>0</v>
      </c>
      <c r="I820" t="n">
        <v>0</v>
      </c>
      <c r="J820" t="n">
        <v>0</v>
      </c>
      <c r="K820" t="n">
        <v>0</v>
      </c>
      <c r="L820" t="n">
        <v>0</v>
      </c>
      <c r="M820" t="n">
        <v>0</v>
      </c>
      <c r="N820" t="n">
        <v>0</v>
      </c>
      <c r="O820" t="n">
        <v>0</v>
      </c>
      <c r="P820" t="n">
        <v>0</v>
      </c>
      <c r="Q820" t="n">
        <v>0</v>
      </c>
      <c r="R820" s="2" t="inlineStr"/>
    </row>
    <row r="821" ht="15" customHeight="1">
      <c r="A821" t="inlineStr">
        <is>
          <t>A 49990-2025</t>
        </is>
      </c>
      <c r="B821" s="1" t="n">
        <v>45942.84414351852</v>
      </c>
      <c r="C821" s="1" t="n">
        <v>45999</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58546-2025</t>
        </is>
      </c>
      <c r="B822" s="1" t="n">
        <v>45985.99173611111</v>
      </c>
      <c r="C822" s="1" t="n">
        <v>45999</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58547-2025</t>
        </is>
      </c>
      <c r="B823" s="1" t="n">
        <v>45985.99530092593</v>
      </c>
      <c r="C823" s="1" t="n">
        <v>45999</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26740-2025</t>
        </is>
      </c>
      <c r="B824" s="1" t="n">
        <v>45809</v>
      </c>
      <c r="C824" s="1" t="n">
        <v>45999</v>
      </c>
      <c r="D824" t="inlineStr">
        <is>
          <t>UPPSALA LÄN</t>
        </is>
      </c>
      <c r="E824" t="inlineStr">
        <is>
          <t>UPPSALA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23494-2024</t>
        </is>
      </c>
      <c r="B825" s="1" t="n">
        <v>45453.69339120371</v>
      </c>
      <c r="C825" s="1" t="n">
        <v>45999</v>
      </c>
      <c r="D825" t="inlineStr">
        <is>
          <t>UPPSALA LÄN</t>
        </is>
      </c>
      <c r="E825" t="inlineStr">
        <is>
          <t>UPPSALA</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49987-2025</t>
        </is>
      </c>
      <c r="B826" s="1" t="n">
        <v>45942.80185185185</v>
      </c>
      <c r="C826" s="1" t="n">
        <v>45999</v>
      </c>
      <c r="D826" t="inlineStr">
        <is>
          <t>UPPSALA LÄN</t>
        </is>
      </c>
      <c r="E826" t="inlineStr">
        <is>
          <t>UPPSALA</t>
        </is>
      </c>
      <c r="F826" t="inlineStr">
        <is>
          <t>Bergvik skog öst AB</t>
        </is>
      </c>
      <c r="G826" t="n">
        <v>3.4</v>
      </c>
      <c r="H826" t="n">
        <v>0</v>
      </c>
      <c r="I826" t="n">
        <v>0</v>
      </c>
      <c r="J826" t="n">
        <v>0</v>
      </c>
      <c r="K826" t="n">
        <v>0</v>
      </c>
      <c r="L826" t="n">
        <v>0</v>
      </c>
      <c r="M826" t="n">
        <v>0</v>
      </c>
      <c r="N826" t="n">
        <v>0</v>
      </c>
      <c r="O826" t="n">
        <v>0</v>
      </c>
      <c r="P826" t="n">
        <v>0</v>
      </c>
      <c r="Q826" t="n">
        <v>0</v>
      </c>
      <c r="R826" s="2" t="inlineStr"/>
    </row>
    <row r="827" ht="15" customHeight="1">
      <c r="A827" t="inlineStr">
        <is>
          <t>A 49988-2025</t>
        </is>
      </c>
      <c r="B827" s="1" t="n">
        <v>45942.80318287037</v>
      </c>
      <c r="C827" s="1" t="n">
        <v>45999</v>
      </c>
      <c r="D827" t="inlineStr">
        <is>
          <t>UPPSALA LÄN</t>
        </is>
      </c>
      <c r="E827" t="inlineStr">
        <is>
          <t>UPPSALA</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26696-2025</t>
        </is>
      </c>
      <c r="B828" s="1" t="n">
        <v>45810.44299768518</v>
      </c>
      <c r="C828" s="1" t="n">
        <v>45999</v>
      </c>
      <c r="D828" t="inlineStr">
        <is>
          <t>UPPSALA LÄN</t>
        </is>
      </c>
      <c r="E828" t="inlineStr">
        <is>
          <t>UPPSALA</t>
        </is>
      </c>
      <c r="F828" t="inlineStr">
        <is>
          <t>Bergvik skog öst AB</t>
        </is>
      </c>
      <c r="G828" t="n">
        <v>7.1</v>
      </c>
      <c r="H828" t="n">
        <v>0</v>
      </c>
      <c r="I828" t="n">
        <v>0</v>
      </c>
      <c r="J828" t="n">
        <v>0</v>
      </c>
      <c r="K828" t="n">
        <v>0</v>
      </c>
      <c r="L828" t="n">
        <v>0</v>
      </c>
      <c r="M828" t="n">
        <v>0</v>
      </c>
      <c r="N828" t="n">
        <v>0</v>
      </c>
      <c r="O828" t="n">
        <v>0</v>
      </c>
      <c r="P828" t="n">
        <v>0</v>
      </c>
      <c r="Q828" t="n">
        <v>0</v>
      </c>
      <c r="R828" s="2" t="inlineStr"/>
    </row>
    <row r="829" ht="15" customHeight="1">
      <c r="A829" t="inlineStr">
        <is>
          <t>A 26713-2025</t>
        </is>
      </c>
      <c r="B829" s="1" t="n">
        <v>45809</v>
      </c>
      <c r="C829" s="1" t="n">
        <v>45999</v>
      </c>
      <c r="D829" t="inlineStr">
        <is>
          <t>UPPSALA LÄN</t>
        </is>
      </c>
      <c r="E829" t="inlineStr">
        <is>
          <t>UPPSALA</t>
        </is>
      </c>
      <c r="G829" t="n">
        <v>3.8</v>
      </c>
      <c r="H829" t="n">
        <v>0</v>
      </c>
      <c r="I829" t="n">
        <v>0</v>
      </c>
      <c r="J829" t="n">
        <v>0</v>
      </c>
      <c r="K829" t="n">
        <v>0</v>
      </c>
      <c r="L829" t="n">
        <v>0</v>
      </c>
      <c r="M829" t="n">
        <v>0</v>
      </c>
      <c r="N829" t="n">
        <v>0</v>
      </c>
      <c r="O829" t="n">
        <v>0</v>
      </c>
      <c r="P829" t="n">
        <v>0</v>
      </c>
      <c r="Q829" t="n">
        <v>0</v>
      </c>
      <c r="R829" s="2" t="inlineStr"/>
    </row>
    <row r="830" ht="15" customHeight="1">
      <c r="A830" t="inlineStr">
        <is>
          <t>A 45405-2025</t>
        </is>
      </c>
      <c r="B830" s="1" t="n">
        <v>45922.42865740741</v>
      </c>
      <c r="C830" s="1" t="n">
        <v>45999</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53886-2025</t>
        </is>
      </c>
      <c r="B831" s="1" t="n">
        <v>45961.40716435185</v>
      </c>
      <c r="C831" s="1" t="n">
        <v>45999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53891-2025</t>
        </is>
      </c>
      <c r="B832" s="1" t="n">
        <v>45961.41853009259</v>
      </c>
      <c r="C832" s="1" t="n">
        <v>45999</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50103-2025</t>
        </is>
      </c>
      <c r="B833" s="1" t="n">
        <v>45943.53451388889</v>
      </c>
      <c r="C833" s="1" t="n">
        <v>45999</v>
      </c>
      <c r="D833" t="inlineStr">
        <is>
          <t>UPPSALA LÄN</t>
        </is>
      </c>
      <c r="E833" t="inlineStr">
        <is>
          <t>UPPSALA</t>
        </is>
      </c>
      <c r="F833" t="inlineStr">
        <is>
          <t>Bergvik skog öst AB</t>
        </is>
      </c>
      <c r="G833" t="n">
        <v>3.5</v>
      </c>
      <c r="H833" t="n">
        <v>0</v>
      </c>
      <c r="I833" t="n">
        <v>0</v>
      </c>
      <c r="J833" t="n">
        <v>0</v>
      </c>
      <c r="K833" t="n">
        <v>0</v>
      </c>
      <c r="L833" t="n">
        <v>0</v>
      </c>
      <c r="M833" t="n">
        <v>0</v>
      </c>
      <c r="N833" t="n">
        <v>0</v>
      </c>
      <c r="O833" t="n">
        <v>0</v>
      </c>
      <c r="P833" t="n">
        <v>0</v>
      </c>
      <c r="Q833" t="n">
        <v>0</v>
      </c>
      <c r="R833" s="2" t="inlineStr"/>
    </row>
    <row r="834" ht="15" customHeight="1">
      <c r="A834" t="inlineStr">
        <is>
          <t>A 50104-2025</t>
        </is>
      </c>
      <c r="B834" s="1" t="n">
        <v>45943.5354050926</v>
      </c>
      <c r="C834" s="1" t="n">
        <v>45999</v>
      </c>
      <c r="D834" t="inlineStr">
        <is>
          <t>UPPSALA LÄN</t>
        </is>
      </c>
      <c r="E834" t="inlineStr">
        <is>
          <t>UPPSALA</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27265-2025</t>
        </is>
      </c>
      <c r="B835" s="1" t="n">
        <v>45812.48032407407</v>
      </c>
      <c r="C835" s="1" t="n">
        <v>45999</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50591-2025</t>
        </is>
      </c>
      <c r="B836" s="1" t="n">
        <v>45944</v>
      </c>
      <c r="C836" s="1" t="n">
        <v>45999</v>
      </c>
      <c r="D836" t="inlineStr">
        <is>
          <t>UPPSALA LÄN</t>
        </is>
      </c>
      <c r="E836" t="inlineStr">
        <is>
          <t>UPPSALA</t>
        </is>
      </c>
      <c r="G836" t="n">
        <v>4.2</v>
      </c>
      <c r="H836" t="n">
        <v>0</v>
      </c>
      <c r="I836" t="n">
        <v>0</v>
      </c>
      <c r="J836" t="n">
        <v>0</v>
      </c>
      <c r="K836" t="n">
        <v>0</v>
      </c>
      <c r="L836" t="n">
        <v>0</v>
      </c>
      <c r="M836" t="n">
        <v>0</v>
      </c>
      <c r="N836" t="n">
        <v>0</v>
      </c>
      <c r="O836" t="n">
        <v>0</v>
      </c>
      <c r="P836" t="n">
        <v>0</v>
      </c>
      <c r="Q836" t="n">
        <v>0</v>
      </c>
      <c r="R836" s="2" t="inlineStr"/>
    </row>
    <row r="837" ht="15" customHeight="1">
      <c r="A837" t="inlineStr">
        <is>
          <t>A 53851-2025</t>
        </is>
      </c>
      <c r="B837" s="1" t="n">
        <v>45961.37217592593</v>
      </c>
      <c r="C837" s="1" t="n">
        <v>45999</v>
      </c>
      <c r="D837" t="inlineStr">
        <is>
          <t>UPPSALA LÄN</t>
        </is>
      </c>
      <c r="E837" t="inlineStr">
        <is>
          <t>UPPSALA</t>
        </is>
      </c>
      <c r="G837" t="n">
        <v>2.6</v>
      </c>
      <c r="H837" t="n">
        <v>0</v>
      </c>
      <c r="I837" t="n">
        <v>0</v>
      </c>
      <c r="J837" t="n">
        <v>0</v>
      </c>
      <c r="K837" t="n">
        <v>0</v>
      </c>
      <c r="L837" t="n">
        <v>0</v>
      </c>
      <c r="M837" t="n">
        <v>0</v>
      </c>
      <c r="N837" t="n">
        <v>0</v>
      </c>
      <c r="O837" t="n">
        <v>0</v>
      </c>
      <c r="P837" t="n">
        <v>0</v>
      </c>
      <c r="Q837" t="n">
        <v>0</v>
      </c>
      <c r="R837" s="2" t="inlineStr"/>
    </row>
    <row r="838" ht="15" customHeight="1">
      <c r="A838" t="inlineStr">
        <is>
          <t>A 54284-2025</t>
        </is>
      </c>
      <c r="B838" s="1" t="n">
        <v>45964.76486111111</v>
      </c>
      <c r="C838" s="1" t="n">
        <v>45999</v>
      </c>
      <c r="D838" t="inlineStr">
        <is>
          <t>UPPSALA LÄN</t>
        </is>
      </c>
      <c r="E838" t="inlineStr">
        <is>
          <t>UPPSALA</t>
        </is>
      </c>
      <c r="G838" t="n">
        <v>3.9</v>
      </c>
      <c r="H838" t="n">
        <v>0</v>
      </c>
      <c r="I838" t="n">
        <v>0</v>
      </c>
      <c r="J838" t="n">
        <v>0</v>
      </c>
      <c r="K838" t="n">
        <v>0</v>
      </c>
      <c r="L838" t="n">
        <v>0</v>
      </c>
      <c r="M838" t="n">
        <v>0</v>
      </c>
      <c r="N838" t="n">
        <v>0</v>
      </c>
      <c r="O838" t="n">
        <v>0</v>
      </c>
      <c r="P838" t="n">
        <v>0</v>
      </c>
      <c r="Q838" t="n">
        <v>0</v>
      </c>
      <c r="R838" s="2" t="inlineStr"/>
    </row>
    <row r="839" ht="15" customHeight="1">
      <c r="A839" t="inlineStr">
        <is>
          <t>A 49986-2025</t>
        </is>
      </c>
      <c r="B839" s="1" t="n">
        <v>45942.79476851852</v>
      </c>
      <c r="C839" s="1" t="n">
        <v>45999</v>
      </c>
      <c r="D839" t="inlineStr">
        <is>
          <t>UPPSALA LÄN</t>
        </is>
      </c>
      <c r="E839" t="inlineStr">
        <is>
          <t>UPPSALA</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45447-2025</t>
        </is>
      </c>
      <c r="B840" s="1" t="n">
        <v>45922.48148148148</v>
      </c>
      <c r="C840" s="1" t="n">
        <v>45999</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c r="U840">
        <f>HYPERLINK("https://klasma.github.io/Logging_0380/knärot/A 45447-2025 karta knärot.png", "A 45447-2025")</f>
        <v/>
      </c>
      <c r="V840">
        <f>HYPERLINK("https://klasma.github.io/Logging_0380/klagomål/A 45447-2025 FSC-klagomål.docx", "A 45447-2025")</f>
        <v/>
      </c>
      <c r="W840">
        <f>HYPERLINK("https://klasma.github.io/Logging_0380/klagomålsmail/A 45447-2025 FSC-klagomål mail.docx", "A 45447-2025")</f>
        <v/>
      </c>
      <c r="X840">
        <f>HYPERLINK("https://klasma.github.io/Logging_0380/tillsyn/A 45447-2025 tillsynsbegäran.docx", "A 45447-2025")</f>
        <v/>
      </c>
      <c r="Y840">
        <f>HYPERLINK("https://klasma.github.io/Logging_0380/tillsynsmail/A 45447-2025 tillsynsbegäran mail.docx", "A 45447-2025")</f>
        <v/>
      </c>
    </row>
    <row r="841" ht="15" customHeight="1">
      <c r="A841" t="inlineStr">
        <is>
          <t>A 50102-2025</t>
        </is>
      </c>
      <c r="B841" s="1" t="n">
        <v>45943.53341435185</v>
      </c>
      <c r="C841" s="1" t="n">
        <v>45999</v>
      </c>
      <c r="D841" t="inlineStr">
        <is>
          <t>UPPSALA LÄN</t>
        </is>
      </c>
      <c r="E841" t="inlineStr">
        <is>
          <t>UPPSALA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45436-2025</t>
        </is>
      </c>
      <c r="B842" s="1" t="n">
        <v>45922.46763888889</v>
      </c>
      <c r="C842" s="1" t="n">
        <v>45999</v>
      </c>
      <c r="D842" t="inlineStr">
        <is>
          <t>UPPSALA LÄN</t>
        </is>
      </c>
      <c r="E842" t="inlineStr">
        <is>
          <t>UPPSALA</t>
        </is>
      </c>
      <c r="G842" t="n">
        <v>3.5</v>
      </c>
      <c r="H842" t="n">
        <v>0</v>
      </c>
      <c r="I842" t="n">
        <v>0</v>
      </c>
      <c r="J842" t="n">
        <v>0</v>
      </c>
      <c r="K842" t="n">
        <v>0</v>
      </c>
      <c r="L842" t="n">
        <v>0</v>
      </c>
      <c r="M842" t="n">
        <v>0</v>
      </c>
      <c r="N842" t="n">
        <v>0</v>
      </c>
      <c r="O842" t="n">
        <v>0</v>
      </c>
      <c r="P842" t="n">
        <v>0</v>
      </c>
      <c r="Q842" t="n">
        <v>0</v>
      </c>
      <c r="R842" s="2" t="inlineStr"/>
    </row>
    <row r="843" ht="15" customHeight="1">
      <c r="A843" t="inlineStr">
        <is>
          <t>A 50106-2025</t>
        </is>
      </c>
      <c r="B843" s="1" t="n">
        <v>45943.53659722222</v>
      </c>
      <c r="C843" s="1" t="n">
        <v>45999</v>
      </c>
      <c r="D843" t="inlineStr">
        <is>
          <t>UPPSALA LÄN</t>
        </is>
      </c>
      <c r="E843" t="inlineStr">
        <is>
          <t>UPPSALA</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45519-2025</t>
        </is>
      </c>
      <c r="B844" s="1" t="n">
        <v>45922</v>
      </c>
      <c r="C844" s="1" t="n">
        <v>45999</v>
      </c>
      <c r="D844" t="inlineStr">
        <is>
          <t>UPPSALA LÄN</t>
        </is>
      </c>
      <c r="E844" t="inlineStr">
        <is>
          <t>UPPSALA</t>
        </is>
      </c>
      <c r="G844" t="n">
        <v>0.3</v>
      </c>
      <c r="H844" t="n">
        <v>0</v>
      </c>
      <c r="I844" t="n">
        <v>0</v>
      </c>
      <c r="J844" t="n">
        <v>0</v>
      </c>
      <c r="K844" t="n">
        <v>0</v>
      </c>
      <c r="L844" t="n">
        <v>0</v>
      </c>
      <c r="M844" t="n">
        <v>0</v>
      </c>
      <c r="N844" t="n">
        <v>0</v>
      </c>
      <c r="O844" t="n">
        <v>0</v>
      </c>
      <c r="P844" t="n">
        <v>0</v>
      </c>
      <c r="Q844" t="n">
        <v>0</v>
      </c>
      <c r="R844" s="2" t="inlineStr"/>
    </row>
    <row r="845" ht="15" customHeight="1">
      <c r="A845" t="inlineStr">
        <is>
          <t>A 50232-2025</t>
        </is>
      </c>
      <c r="B845" s="1" t="n">
        <v>45943.70756944444</v>
      </c>
      <c r="C845" s="1" t="n">
        <v>45999</v>
      </c>
      <c r="D845" t="inlineStr">
        <is>
          <t>UPPSALA LÄN</t>
        </is>
      </c>
      <c r="E845" t="inlineStr">
        <is>
          <t>UPPSALA</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53870-2025</t>
        </is>
      </c>
      <c r="B846" s="1" t="n">
        <v>45961.38690972222</v>
      </c>
      <c r="C846" s="1" t="n">
        <v>45999</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49989-2025</t>
        </is>
      </c>
      <c r="B847" s="1" t="n">
        <v>45942.8396412037</v>
      </c>
      <c r="C847" s="1" t="n">
        <v>45999</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58193-2025</t>
        </is>
      </c>
      <c r="B848" s="1" t="n">
        <v>45983.85069444445</v>
      </c>
      <c r="C848" s="1" t="n">
        <v>45999</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10489-2025</t>
        </is>
      </c>
      <c r="B849" s="1" t="n">
        <v>45721.34715277778</v>
      </c>
      <c r="C849" s="1" t="n">
        <v>45999</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27917-2025</t>
        </is>
      </c>
      <c r="B850" s="1" t="n">
        <v>45814</v>
      </c>
      <c r="C850" s="1" t="n">
        <v>45999</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27538-2025</t>
        </is>
      </c>
      <c r="B851" s="1" t="n">
        <v>45813.46034722222</v>
      </c>
      <c r="C851" s="1" t="n">
        <v>45999</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45588-2025</t>
        </is>
      </c>
      <c r="B852" s="1" t="n">
        <v>45922</v>
      </c>
      <c r="C852" s="1" t="n">
        <v>45999</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28275-2025</t>
        </is>
      </c>
      <c r="B853" s="1" t="n">
        <v>45818.57910879629</v>
      </c>
      <c r="C853" s="1" t="n">
        <v>45999</v>
      </c>
      <c r="D853" t="inlineStr">
        <is>
          <t>UPPSALA LÄN</t>
        </is>
      </c>
      <c r="E853" t="inlineStr">
        <is>
          <t>UPPSALA</t>
        </is>
      </c>
      <c r="F853" t="inlineStr">
        <is>
          <t>Holmen skog AB</t>
        </is>
      </c>
      <c r="G853" t="n">
        <v>6.5</v>
      </c>
      <c r="H853" t="n">
        <v>0</v>
      </c>
      <c r="I853" t="n">
        <v>0</v>
      </c>
      <c r="J853" t="n">
        <v>0</v>
      </c>
      <c r="K853" t="n">
        <v>0</v>
      </c>
      <c r="L853" t="n">
        <v>0</v>
      </c>
      <c r="M853" t="n">
        <v>0</v>
      </c>
      <c r="N853" t="n">
        <v>0</v>
      </c>
      <c r="O853" t="n">
        <v>0</v>
      </c>
      <c r="P853" t="n">
        <v>0</v>
      </c>
      <c r="Q853" t="n">
        <v>0</v>
      </c>
      <c r="R853" s="2" t="inlineStr"/>
    </row>
    <row r="854" ht="15" customHeight="1">
      <c r="A854" t="inlineStr">
        <is>
          <t>A 45904-2025</t>
        </is>
      </c>
      <c r="B854" s="1" t="n">
        <v>45923.70230324074</v>
      </c>
      <c r="C854" s="1" t="n">
        <v>45999</v>
      </c>
      <c r="D854" t="inlineStr">
        <is>
          <t>UPPSALA LÄN</t>
        </is>
      </c>
      <c r="E854" t="inlineStr">
        <is>
          <t>UPPSALA</t>
        </is>
      </c>
      <c r="F854" t="inlineStr">
        <is>
          <t>Kyrkan</t>
        </is>
      </c>
      <c r="G854" t="n">
        <v>1.4</v>
      </c>
      <c r="H854" t="n">
        <v>0</v>
      </c>
      <c r="I854" t="n">
        <v>0</v>
      </c>
      <c r="J854" t="n">
        <v>0</v>
      </c>
      <c r="K854" t="n">
        <v>0</v>
      </c>
      <c r="L854" t="n">
        <v>0</v>
      </c>
      <c r="M854" t="n">
        <v>0</v>
      </c>
      <c r="N854" t="n">
        <v>0</v>
      </c>
      <c r="O854" t="n">
        <v>0</v>
      </c>
      <c r="P854" t="n">
        <v>0</v>
      </c>
      <c r="Q854" t="n">
        <v>0</v>
      </c>
      <c r="R854" s="2" t="inlineStr"/>
    </row>
    <row r="855" ht="15" customHeight="1">
      <c r="A855" t="inlineStr">
        <is>
          <t>A 50897-2025</t>
        </is>
      </c>
      <c r="B855" s="1" t="n">
        <v>45946.64121527778</v>
      </c>
      <c r="C855" s="1" t="n">
        <v>45999</v>
      </c>
      <c r="D855" t="inlineStr">
        <is>
          <t>UPPSALA LÄN</t>
        </is>
      </c>
      <c r="E855" t="inlineStr">
        <is>
          <t>UPPSALA</t>
        </is>
      </c>
      <c r="F855" t="inlineStr">
        <is>
          <t>Bergvik skog öst AB</t>
        </is>
      </c>
      <c r="G855" t="n">
        <v>3</v>
      </c>
      <c r="H855" t="n">
        <v>0</v>
      </c>
      <c r="I855" t="n">
        <v>0</v>
      </c>
      <c r="J855" t="n">
        <v>0</v>
      </c>
      <c r="K855" t="n">
        <v>0</v>
      </c>
      <c r="L855" t="n">
        <v>0</v>
      </c>
      <c r="M855" t="n">
        <v>0</v>
      </c>
      <c r="N855" t="n">
        <v>0</v>
      </c>
      <c r="O855" t="n">
        <v>0</v>
      </c>
      <c r="P855" t="n">
        <v>0</v>
      </c>
      <c r="Q855" t="n">
        <v>0</v>
      </c>
      <c r="R855" s="2" t="inlineStr"/>
    </row>
    <row r="856" ht="15" customHeight="1">
      <c r="A856" t="inlineStr">
        <is>
          <t>A 28121-2025</t>
        </is>
      </c>
      <c r="B856" s="1" t="n">
        <v>45817</v>
      </c>
      <c r="C856" s="1" t="n">
        <v>45999</v>
      </c>
      <c r="D856" t="inlineStr">
        <is>
          <t>UPPSALA LÄN</t>
        </is>
      </c>
      <c r="E856" t="inlineStr">
        <is>
          <t>UPPSALA</t>
        </is>
      </c>
      <c r="G856" t="n">
        <v>5.6</v>
      </c>
      <c r="H856" t="n">
        <v>0</v>
      </c>
      <c r="I856" t="n">
        <v>0</v>
      </c>
      <c r="J856" t="n">
        <v>0</v>
      </c>
      <c r="K856" t="n">
        <v>0</v>
      </c>
      <c r="L856" t="n">
        <v>0</v>
      </c>
      <c r="M856" t="n">
        <v>0</v>
      </c>
      <c r="N856" t="n">
        <v>0</v>
      </c>
      <c r="O856" t="n">
        <v>0</v>
      </c>
      <c r="P856" t="n">
        <v>0</v>
      </c>
      <c r="Q856" t="n">
        <v>0</v>
      </c>
      <c r="R856" s="2" t="inlineStr"/>
    </row>
    <row r="857" ht="15" customHeight="1">
      <c r="A857" t="inlineStr">
        <is>
          <t>A 28871-2025</t>
        </is>
      </c>
      <c r="B857" s="1" t="n">
        <v>45820</v>
      </c>
      <c r="C857" s="1" t="n">
        <v>45999</v>
      </c>
      <c r="D857" t="inlineStr">
        <is>
          <t>UPPSALA LÄN</t>
        </is>
      </c>
      <c r="E857" t="inlineStr">
        <is>
          <t>UPPSALA</t>
        </is>
      </c>
      <c r="G857" t="n">
        <v>6.5</v>
      </c>
      <c r="H857" t="n">
        <v>0</v>
      </c>
      <c r="I857" t="n">
        <v>0</v>
      </c>
      <c r="J857" t="n">
        <v>0</v>
      </c>
      <c r="K857" t="n">
        <v>0</v>
      </c>
      <c r="L857" t="n">
        <v>0</v>
      </c>
      <c r="M857" t="n">
        <v>0</v>
      </c>
      <c r="N857" t="n">
        <v>0</v>
      </c>
      <c r="O857" t="n">
        <v>0</v>
      </c>
      <c r="P857" t="n">
        <v>0</v>
      </c>
      <c r="Q857" t="n">
        <v>0</v>
      </c>
      <c r="R857" s="2" t="inlineStr"/>
    </row>
    <row r="858" ht="15" customHeight="1">
      <c r="A858" t="inlineStr">
        <is>
          <t>A 28878-2025</t>
        </is>
      </c>
      <c r="B858" s="1" t="n">
        <v>45820</v>
      </c>
      <c r="C858" s="1" t="n">
        <v>45999</v>
      </c>
      <c r="D858" t="inlineStr">
        <is>
          <t>UPPSALA LÄN</t>
        </is>
      </c>
      <c r="E858" t="inlineStr">
        <is>
          <t>UPPSALA</t>
        </is>
      </c>
      <c r="G858" t="n">
        <v>5.5</v>
      </c>
      <c r="H858" t="n">
        <v>0</v>
      </c>
      <c r="I858" t="n">
        <v>0</v>
      </c>
      <c r="J858" t="n">
        <v>0</v>
      </c>
      <c r="K858" t="n">
        <v>0</v>
      </c>
      <c r="L858" t="n">
        <v>0</v>
      </c>
      <c r="M858" t="n">
        <v>0</v>
      </c>
      <c r="N858" t="n">
        <v>0</v>
      </c>
      <c r="O858" t="n">
        <v>0</v>
      </c>
      <c r="P858" t="n">
        <v>0</v>
      </c>
      <c r="Q858" t="n">
        <v>0</v>
      </c>
      <c r="R858" s="2" t="inlineStr"/>
    </row>
    <row r="859" ht="15" customHeight="1">
      <c r="A859" t="inlineStr">
        <is>
          <t>A 58965-2025</t>
        </is>
      </c>
      <c r="B859" s="1" t="n">
        <v>45987</v>
      </c>
      <c r="C859" s="1" t="n">
        <v>45999</v>
      </c>
      <c r="D859" t="inlineStr">
        <is>
          <t>UPPSALA LÄN</t>
        </is>
      </c>
      <c r="E859" t="inlineStr">
        <is>
          <t>UPPSALA</t>
        </is>
      </c>
      <c r="G859" t="n">
        <v>7.7</v>
      </c>
      <c r="H859" t="n">
        <v>0</v>
      </c>
      <c r="I859" t="n">
        <v>0</v>
      </c>
      <c r="J859" t="n">
        <v>0</v>
      </c>
      <c r="K859" t="n">
        <v>0</v>
      </c>
      <c r="L859" t="n">
        <v>0</v>
      </c>
      <c r="M859" t="n">
        <v>0</v>
      </c>
      <c r="N859" t="n">
        <v>0</v>
      </c>
      <c r="O859" t="n">
        <v>0</v>
      </c>
      <c r="P859" t="n">
        <v>0</v>
      </c>
      <c r="Q859" t="n">
        <v>0</v>
      </c>
      <c r="R859" s="2" t="inlineStr"/>
    </row>
    <row r="860" ht="15" customHeight="1">
      <c r="A860" t="inlineStr">
        <is>
          <t>A 45903-2025</t>
        </is>
      </c>
      <c r="B860" s="1" t="n">
        <v>45923.70146990741</v>
      </c>
      <c r="C860" s="1" t="n">
        <v>45999</v>
      </c>
      <c r="D860" t="inlineStr">
        <is>
          <t>UPPSALA LÄN</t>
        </is>
      </c>
      <c r="E860" t="inlineStr">
        <is>
          <t>UPPSALA</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27922-2025</t>
        </is>
      </c>
      <c r="B861" s="1" t="n">
        <v>45817</v>
      </c>
      <c r="C861" s="1" t="n">
        <v>45999</v>
      </c>
      <c r="D861" t="inlineStr">
        <is>
          <t>UPPSALA LÄN</t>
        </is>
      </c>
      <c r="E861" t="inlineStr">
        <is>
          <t>UPPSALA</t>
        </is>
      </c>
      <c r="F861" t="inlineStr">
        <is>
          <t>Övriga Aktiebolag</t>
        </is>
      </c>
      <c r="G861" t="n">
        <v>0.1</v>
      </c>
      <c r="H861" t="n">
        <v>0</v>
      </c>
      <c r="I861" t="n">
        <v>0</v>
      </c>
      <c r="J861" t="n">
        <v>0</v>
      </c>
      <c r="K861" t="n">
        <v>0</v>
      </c>
      <c r="L861" t="n">
        <v>0</v>
      </c>
      <c r="M861" t="n">
        <v>0</v>
      </c>
      <c r="N861" t="n">
        <v>0</v>
      </c>
      <c r="O861" t="n">
        <v>0</v>
      </c>
      <c r="P861" t="n">
        <v>0</v>
      </c>
      <c r="Q861" t="n">
        <v>0</v>
      </c>
      <c r="R861" s="2" t="inlineStr"/>
    </row>
    <row r="862" ht="15" customHeight="1">
      <c r="A862" t="inlineStr">
        <is>
          <t>A 41112-2025</t>
        </is>
      </c>
      <c r="B862" s="1" t="n">
        <v>45898.46040509259</v>
      </c>
      <c r="C862" s="1" t="n">
        <v>45999</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54723-2025</t>
        </is>
      </c>
      <c r="B863" s="1" t="n">
        <v>45966.53721064814</v>
      </c>
      <c r="C863" s="1" t="n">
        <v>45999</v>
      </c>
      <c r="D863" t="inlineStr">
        <is>
          <t>UPPSALA LÄN</t>
        </is>
      </c>
      <c r="E863" t="inlineStr">
        <is>
          <t>UPPSALA</t>
        </is>
      </c>
      <c r="F863" t="inlineStr">
        <is>
          <t>Bergvik skog öst AB</t>
        </is>
      </c>
      <c r="G863" t="n">
        <v>4.7</v>
      </c>
      <c r="H863" t="n">
        <v>0</v>
      </c>
      <c r="I863" t="n">
        <v>0</v>
      </c>
      <c r="J863" t="n">
        <v>0</v>
      </c>
      <c r="K863" t="n">
        <v>0</v>
      </c>
      <c r="L863" t="n">
        <v>0</v>
      </c>
      <c r="M863" t="n">
        <v>0</v>
      </c>
      <c r="N863" t="n">
        <v>0</v>
      </c>
      <c r="O863" t="n">
        <v>0</v>
      </c>
      <c r="P863" t="n">
        <v>0</v>
      </c>
      <c r="Q863" t="n">
        <v>0</v>
      </c>
      <c r="R863" s="2" t="inlineStr"/>
    </row>
    <row r="864" ht="15" customHeight="1">
      <c r="A864" t="inlineStr">
        <is>
          <t>A 54724-2025</t>
        </is>
      </c>
      <c r="B864" s="1" t="n">
        <v>45966.53849537037</v>
      </c>
      <c r="C864" s="1" t="n">
        <v>45999</v>
      </c>
      <c r="D864" t="inlineStr">
        <is>
          <t>UPPSALA LÄN</t>
        </is>
      </c>
      <c r="E864" t="inlineStr">
        <is>
          <t>UPPSALA</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28876-2025</t>
        </is>
      </c>
      <c r="B865" s="1" t="n">
        <v>45820</v>
      </c>
      <c r="C865" s="1" t="n">
        <v>45999</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54507-2025</t>
        </is>
      </c>
      <c r="B866" s="1" t="n">
        <v>45965.61792824074</v>
      </c>
      <c r="C866" s="1" t="n">
        <v>45999</v>
      </c>
      <c r="D866" t="inlineStr">
        <is>
          <t>UPPSALA LÄN</t>
        </is>
      </c>
      <c r="E866" t="inlineStr">
        <is>
          <t>UPPSALA</t>
        </is>
      </c>
      <c r="G866" t="n">
        <v>7.7</v>
      </c>
      <c r="H866" t="n">
        <v>0</v>
      </c>
      <c r="I866" t="n">
        <v>0</v>
      </c>
      <c r="J866" t="n">
        <v>0</v>
      </c>
      <c r="K866" t="n">
        <v>0</v>
      </c>
      <c r="L866" t="n">
        <v>0</v>
      </c>
      <c r="M866" t="n">
        <v>0</v>
      </c>
      <c r="N866" t="n">
        <v>0</v>
      </c>
      <c r="O866" t="n">
        <v>0</v>
      </c>
      <c r="P866" t="n">
        <v>0</v>
      </c>
      <c r="Q866" t="n">
        <v>0</v>
      </c>
      <c r="R866" s="2" t="inlineStr"/>
    </row>
    <row r="867" ht="15" customHeight="1">
      <c r="A867" t="inlineStr">
        <is>
          <t>A 54601-2025</t>
        </is>
      </c>
      <c r="B867" s="1" t="n">
        <v>45965.82398148148</v>
      </c>
      <c r="C867" s="1" t="n">
        <v>45999</v>
      </c>
      <c r="D867" t="inlineStr">
        <is>
          <t>UPPSALA LÄN</t>
        </is>
      </c>
      <c r="E867" t="inlineStr">
        <is>
          <t>UPPSALA</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50706-2025</t>
        </is>
      </c>
      <c r="B868" s="1" t="n">
        <v>45946.30063657407</v>
      </c>
      <c r="C868" s="1" t="n">
        <v>45999</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50708-2025</t>
        </is>
      </c>
      <c r="B869" s="1" t="n">
        <v>45946.31299768519</v>
      </c>
      <c r="C869" s="1" t="n">
        <v>45999</v>
      </c>
      <c r="D869" t="inlineStr">
        <is>
          <t>UPPSALA LÄN</t>
        </is>
      </c>
      <c r="E869" t="inlineStr">
        <is>
          <t>UPPSALA</t>
        </is>
      </c>
      <c r="G869" t="n">
        <v>6.7</v>
      </c>
      <c r="H869" t="n">
        <v>0</v>
      </c>
      <c r="I869" t="n">
        <v>0</v>
      </c>
      <c r="J869" t="n">
        <v>0</v>
      </c>
      <c r="K869" t="n">
        <v>0</v>
      </c>
      <c r="L869" t="n">
        <v>0</v>
      </c>
      <c r="M869" t="n">
        <v>0</v>
      </c>
      <c r="N869" t="n">
        <v>0</v>
      </c>
      <c r="O869" t="n">
        <v>0</v>
      </c>
      <c r="P869" t="n">
        <v>0</v>
      </c>
      <c r="Q869" t="n">
        <v>0</v>
      </c>
      <c r="R869" s="2" t="inlineStr"/>
    </row>
    <row r="870" ht="15" customHeight="1">
      <c r="A870" t="inlineStr">
        <is>
          <t>A 51433-2025</t>
        </is>
      </c>
      <c r="B870" s="1" t="n">
        <v>45950.55603009259</v>
      </c>
      <c r="C870" s="1" t="n">
        <v>45999</v>
      </c>
      <c r="D870" t="inlineStr">
        <is>
          <t>UPPSALA LÄN</t>
        </is>
      </c>
      <c r="E870" t="inlineStr">
        <is>
          <t>UPPSALA</t>
        </is>
      </c>
      <c r="F870" t="inlineStr">
        <is>
          <t>Bergvik skog öst AB</t>
        </is>
      </c>
      <c r="G870" t="n">
        <v>14.7</v>
      </c>
      <c r="H870" t="n">
        <v>0</v>
      </c>
      <c r="I870" t="n">
        <v>0</v>
      </c>
      <c r="J870" t="n">
        <v>0</v>
      </c>
      <c r="K870" t="n">
        <v>0</v>
      </c>
      <c r="L870" t="n">
        <v>0</v>
      </c>
      <c r="M870" t="n">
        <v>0</v>
      </c>
      <c r="N870" t="n">
        <v>0</v>
      </c>
      <c r="O870" t="n">
        <v>0</v>
      </c>
      <c r="P870" t="n">
        <v>0</v>
      </c>
      <c r="Q870" t="n">
        <v>0</v>
      </c>
      <c r="R870" s="2" t="inlineStr"/>
    </row>
    <row r="871" ht="15" customHeight="1">
      <c r="A871" t="inlineStr">
        <is>
          <t>A 54600-2025</t>
        </is>
      </c>
      <c r="B871" s="1" t="n">
        <v>45965.81543981482</v>
      </c>
      <c r="C871" s="1" t="n">
        <v>45999</v>
      </c>
      <c r="D871" t="inlineStr">
        <is>
          <t>UPPSALA LÄN</t>
        </is>
      </c>
      <c r="E871" t="inlineStr">
        <is>
          <t>UPPSALA</t>
        </is>
      </c>
      <c r="F871" t="inlineStr">
        <is>
          <t>Bergvik skog öst AB</t>
        </is>
      </c>
      <c r="G871" t="n">
        <v>4.7</v>
      </c>
      <c r="H871" t="n">
        <v>0</v>
      </c>
      <c r="I871" t="n">
        <v>0</v>
      </c>
      <c r="J871" t="n">
        <v>0</v>
      </c>
      <c r="K871" t="n">
        <v>0</v>
      </c>
      <c r="L871" t="n">
        <v>0</v>
      </c>
      <c r="M871" t="n">
        <v>0</v>
      </c>
      <c r="N871" t="n">
        <v>0</v>
      </c>
      <c r="O871" t="n">
        <v>0</v>
      </c>
      <c r="P871" t="n">
        <v>0</v>
      </c>
      <c r="Q871" t="n">
        <v>0</v>
      </c>
      <c r="R871" s="2" t="inlineStr"/>
    </row>
    <row r="872" ht="15" customHeight="1">
      <c r="A872" t="inlineStr">
        <is>
          <t>A 29047-2025</t>
        </is>
      </c>
      <c r="B872" s="1" t="n">
        <v>45821.45905092593</v>
      </c>
      <c r="C872" s="1" t="n">
        <v>45999</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29287-2025</t>
        </is>
      </c>
      <c r="B873" s="1" t="n">
        <v>45824.43798611111</v>
      </c>
      <c r="C873" s="1" t="n">
        <v>45999</v>
      </c>
      <c r="D873" t="inlineStr">
        <is>
          <t>UPPSALA LÄN</t>
        </is>
      </c>
      <c r="E873" t="inlineStr">
        <is>
          <t>UPPSALA</t>
        </is>
      </c>
      <c r="F873" t="inlineStr">
        <is>
          <t>Kyrkan</t>
        </is>
      </c>
      <c r="G873" t="n">
        <v>5.2</v>
      </c>
      <c r="H873" t="n">
        <v>0</v>
      </c>
      <c r="I873" t="n">
        <v>0</v>
      </c>
      <c r="J873" t="n">
        <v>0</v>
      </c>
      <c r="K873" t="n">
        <v>0</v>
      </c>
      <c r="L873" t="n">
        <v>0</v>
      </c>
      <c r="M873" t="n">
        <v>0</v>
      </c>
      <c r="N873" t="n">
        <v>0</v>
      </c>
      <c r="O873" t="n">
        <v>0</v>
      </c>
      <c r="P873" t="n">
        <v>0</v>
      </c>
      <c r="Q873" t="n">
        <v>0</v>
      </c>
      <c r="R873" s="2" t="inlineStr"/>
    </row>
    <row r="874" ht="15" customHeight="1">
      <c r="A874" t="inlineStr">
        <is>
          <t>A 55275-2025</t>
        </is>
      </c>
      <c r="B874" s="1" t="n">
        <v>45968.76021990741</v>
      </c>
      <c r="C874" s="1" t="n">
        <v>45999</v>
      </c>
      <c r="D874" t="inlineStr">
        <is>
          <t>UPPSALA LÄN</t>
        </is>
      </c>
      <c r="E874" t="inlineStr">
        <is>
          <t>UPPSALA</t>
        </is>
      </c>
      <c r="F874" t="inlineStr">
        <is>
          <t>Allmännings- och besparingsskogar</t>
        </is>
      </c>
      <c r="G874" t="n">
        <v>13.2</v>
      </c>
      <c r="H874" t="n">
        <v>0</v>
      </c>
      <c r="I874" t="n">
        <v>0</v>
      </c>
      <c r="J874" t="n">
        <v>0</v>
      </c>
      <c r="K874" t="n">
        <v>0</v>
      </c>
      <c r="L874" t="n">
        <v>0</v>
      </c>
      <c r="M874" t="n">
        <v>0</v>
      </c>
      <c r="N874" t="n">
        <v>0</v>
      </c>
      <c r="O874" t="n">
        <v>0</v>
      </c>
      <c r="P874" t="n">
        <v>0</v>
      </c>
      <c r="Q874" t="n">
        <v>0</v>
      </c>
      <c r="R874" s="2" t="inlineStr"/>
    </row>
    <row r="875" ht="15" customHeight="1">
      <c r="A875" t="inlineStr">
        <is>
          <t>A 46773-2025</t>
        </is>
      </c>
      <c r="B875" s="1" t="n">
        <v>45926.63290509259</v>
      </c>
      <c r="C875" s="1" t="n">
        <v>45999</v>
      </c>
      <c r="D875" t="inlineStr">
        <is>
          <t>UPPSALA LÄN</t>
        </is>
      </c>
      <c r="E875" t="inlineStr">
        <is>
          <t>UPPSALA</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59207-2025</t>
        </is>
      </c>
      <c r="B876" s="1" t="n">
        <v>45988.61304398148</v>
      </c>
      <c r="C876" s="1" t="n">
        <v>45999</v>
      </c>
      <c r="D876" t="inlineStr">
        <is>
          <t>UPPSALA LÄN</t>
        </is>
      </c>
      <c r="E876" t="inlineStr">
        <is>
          <t>UPPSALA</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29030-2025</t>
        </is>
      </c>
      <c r="B877" s="1" t="n">
        <v>45821.44101851852</v>
      </c>
      <c r="C877" s="1" t="n">
        <v>45999</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46632-2025</t>
        </is>
      </c>
      <c r="B878" s="1" t="n">
        <v>45926.45846064815</v>
      </c>
      <c r="C878" s="1" t="n">
        <v>45999</v>
      </c>
      <c r="D878" t="inlineStr">
        <is>
          <t>UPPSALA LÄN</t>
        </is>
      </c>
      <c r="E878" t="inlineStr">
        <is>
          <t>UPPSALA</t>
        </is>
      </c>
      <c r="F878" t="inlineStr">
        <is>
          <t>Bergvik skog öst AB</t>
        </is>
      </c>
      <c r="G878" t="n">
        <v>2.9</v>
      </c>
      <c r="H878" t="n">
        <v>0</v>
      </c>
      <c r="I878" t="n">
        <v>0</v>
      </c>
      <c r="J878" t="n">
        <v>0</v>
      </c>
      <c r="K878" t="n">
        <v>0</v>
      </c>
      <c r="L878" t="n">
        <v>0</v>
      </c>
      <c r="M878" t="n">
        <v>0</v>
      </c>
      <c r="N878" t="n">
        <v>0</v>
      </c>
      <c r="O878" t="n">
        <v>0</v>
      </c>
      <c r="P878" t="n">
        <v>0</v>
      </c>
      <c r="Q878" t="n">
        <v>0</v>
      </c>
      <c r="R878" s="2" t="inlineStr"/>
    </row>
    <row r="879" ht="15" customHeight="1">
      <c r="A879" t="inlineStr">
        <is>
          <t>A 51090-2025</t>
        </is>
      </c>
      <c r="B879" s="1" t="n">
        <v>45947.4724537037</v>
      </c>
      <c r="C879" s="1" t="n">
        <v>45999</v>
      </c>
      <c r="D879" t="inlineStr">
        <is>
          <t>UPPSALA LÄN</t>
        </is>
      </c>
      <c r="E879" t="inlineStr">
        <is>
          <t>UPPSALA</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59538-2025</t>
        </is>
      </c>
      <c r="B880" s="1" t="n">
        <v>45989.96568287037</v>
      </c>
      <c r="C880" s="1" t="n">
        <v>45999</v>
      </c>
      <c r="D880" t="inlineStr">
        <is>
          <t>UPPSALA LÄN</t>
        </is>
      </c>
      <c r="E880" t="inlineStr">
        <is>
          <t>UPPSALA</t>
        </is>
      </c>
      <c r="G880" t="n">
        <v>4.3</v>
      </c>
      <c r="H880" t="n">
        <v>0</v>
      </c>
      <c r="I880" t="n">
        <v>0</v>
      </c>
      <c r="J880" t="n">
        <v>0</v>
      </c>
      <c r="K880" t="n">
        <v>0</v>
      </c>
      <c r="L880" t="n">
        <v>0</v>
      </c>
      <c r="M880" t="n">
        <v>0</v>
      </c>
      <c r="N880" t="n">
        <v>0</v>
      </c>
      <c r="O880" t="n">
        <v>0</v>
      </c>
      <c r="P880" t="n">
        <v>0</v>
      </c>
      <c r="Q880" t="n">
        <v>0</v>
      </c>
      <c r="R880" s="2" t="inlineStr"/>
      <c r="U880">
        <f>HYPERLINK("https://klasma.github.io/Logging_0380/knärot/A 59538-2025 karta knärot.png", "A 59538-2025")</f>
        <v/>
      </c>
      <c r="V880">
        <f>HYPERLINK("https://klasma.github.io/Logging_0380/klagomål/A 59538-2025 FSC-klagomål.docx", "A 59538-2025")</f>
        <v/>
      </c>
      <c r="W880">
        <f>HYPERLINK("https://klasma.github.io/Logging_0380/klagomålsmail/A 59538-2025 FSC-klagomål mail.docx", "A 59538-2025")</f>
        <v/>
      </c>
      <c r="X880">
        <f>HYPERLINK("https://klasma.github.io/Logging_0380/tillsyn/A 59538-2025 tillsynsbegäran.docx", "A 59538-2025")</f>
        <v/>
      </c>
      <c r="Y880">
        <f>HYPERLINK("https://klasma.github.io/Logging_0380/tillsynsmail/A 59538-2025 tillsynsbegäran mail.docx", "A 59538-2025")</f>
        <v/>
      </c>
    </row>
    <row r="881" ht="15" customHeight="1">
      <c r="A881" t="inlineStr">
        <is>
          <t>A 46571-2025</t>
        </is>
      </c>
      <c r="B881" s="1" t="n">
        <v>45926.366875</v>
      </c>
      <c r="C881" s="1" t="n">
        <v>45999</v>
      </c>
      <c r="D881" t="inlineStr">
        <is>
          <t>UPPSALA LÄN</t>
        </is>
      </c>
      <c r="E881" t="inlineStr">
        <is>
          <t>UPPSALA</t>
        </is>
      </c>
      <c r="F881" t="inlineStr">
        <is>
          <t>Bergvik skog öst AB</t>
        </is>
      </c>
      <c r="G881" t="n">
        <v>11.1</v>
      </c>
      <c r="H881" t="n">
        <v>0</v>
      </c>
      <c r="I881" t="n">
        <v>0</v>
      </c>
      <c r="J881" t="n">
        <v>0</v>
      </c>
      <c r="K881" t="n">
        <v>0</v>
      </c>
      <c r="L881" t="n">
        <v>0</v>
      </c>
      <c r="M881" t="n">
        <v>0</v>
      </c>
      <c r="N881" t="n">
        <v>0</v>
      </c>
      <c r="O881" t="n">
        <v>0</v>
      </c>
      <c r="P881" t="n">
        <v>0</v>
      </c>
      <c r="Q881" t="n">
        <v>0</v>
      </c>
      <c r="R881" s="2" t="inlineStr"/>
    </row>
    <row r="882" ht="15" customHeight="1">
      <c r="A882" t="inlineStr">
        <is>
          <t>A 59779-2025</t>
        </is>
      </c>
      <c r="B882" s="1" t="n">
        <v>45992.60832175926</v>
      </c>
      <c r="C882" s="1" t="n">
        <v>45999</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46564-2025</t>
        </is>
      </c>
      <c r="B883" s="1" t="n">
        <v>45926.35917824074</v>
      </c>
      <c r="C883" s="1" t="n">
        <v>45999</v>
      </c>
      <c r="D883" t="inlineStr">
        <is>
          <t>UPPSALA LÄN</t>
        </is>
      </c>
      <c r="E883" t="inlineStr">
        <is>
          <t>UPPSALA</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46565-2025</t>
        </is>
      </c>
      <c r="B884" s="1" t="n">
        <v>45926.35998842592</v>
      </c>
      <c r="C884" s="1" t="n">
        <v>45999</v>
      </c>
      <c r="D884" t="inlineStr">
        <is>
          <t>UPPSALA LÄN</t>
        </is>
      </c>
      <c r="E884" t="inlineStr">
        <is>
          <t>UPPSALA</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53384-2024</t>
        </is>
      </c>
      <c r="B885" s="1" t="n">
        <v>45614</v>
      </c>
      <c r="C885" s="1" t="n">
        <v>45999</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50949-2025</t>
        </is>
      </c>
      <c r="B886" s="1" t="n">
        <v>45946.75140046296</v>
      </c>
      <c r="C886" s="1" t="n">
        <v>45999</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50951-2025</t>
        </is>
      </c>
      <c r="B887" s="1" t="n">
        <v>45946.76038194444</v>
      </c>
      <c r="C887" s="1" t="n">
        <v>45999</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29627-2025</t>
        </is>
      </c>
      <c r="B888" s="1" t="n">
        <v>45825.44482638889</v>
      </c>
      <c r="C888" s="1" t="n">
        <v>45999</v>
      </c>
      <c r="D888" t="inlineStr">
        <is>
          <t>UPPSALA LÄN</t>
        </is>
      </c>
      <c r="E888" t="inlineStr">
        <is>
          <t>UPPSALA</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46775-2025</t>
        </is>
      </c>
      <c r="B889" s="1" t="n">
        <v>45926.63366898148</v>
      </c>
      <c r="C889" s="1" t="n">
        <v>45999</v>
      </c>
      <c r="D889" t="inlineStr">
        <is>
          <t>UPPSALA LÄN</t>
        </is>
      </c>
      <c r="E889" t="inlineStr">
        <is>
          <t>UPPSALA</t>
        </is>
      </c>
      <c r="F889" t="inlineStr">
        <is>
          <t>Kyrkan</t>
        </is>
      </c>
      <c r="G889" t="n">
        <v>0.9</v>
      </c>
      <c r="H889" t="n">
        <v>0</v>
      </c>
      <c r="I889" t="n">
        <v>0</v>
      </c>
      <c r="J889" t="n">
        <v>0</v>
      </c>
      <c r="K889" t="n">
        <v>0</v>
      </c>
      <c r="L889" t="n">
        <v>0</v>
      </c>
      <c r="M889" t="n">
        <v>0</v>
      </c>
      <c r="N889" t="n">
        <v>0</v>
      </c>
      <c r="O889" t="n">
        <v>0</v>
      </c>
      <c r="P889" t="n">
        <v>0</v>
      </c>
      <c r="Q889" t="n">
        <v>0</v>
      </c>
      <c r="R889" s="2" t="inlineStr"/>
    </row>
    <row r="890" ht="15" customHeight="1">
      <c r="A890" t="inlineStr">
        <is>
          <t>A 51505-2025</t>
        </is>
      </c>
      <c r="B890" s="1" t="n">
        <v>45950</v>
      </c>
      <c r="C890" s="1" t="n">
        <v>45999</v>
      </c>
      <c r="D890" t="inlineStr">
        <is>
          <t>UPPSALA LÄN</t>
        </is>
      </c>
      <c r="E890" t="inlineStr">
        <is>
          <t>UPPSALA</t>
        </is>
      </c>
      <c r="G890" t="n">
        <v>6.7</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45999</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30429-2025</t>
        </is>
      </c>
      <c r="B892" s="1" t="n">
        <v>45827.62096064815</v>
      </c>
      <c r="C892" s="1" t="n">
        <v>45999</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59688-2025</t>
        </is>
      </c>
      <c r="B893" s="1" t="n">
        <v>45992.47825231482</v>
      </c>
      <c r="C893" s="1" t="n">
        <v>45999</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51275-2025</t>
        </is>
      </c>
      <c r="B894" s="1" t="n">
        <v>45949</v>
      </c>
      <c r="C894" s="1" t="n">
        <v>45999</v>
      </c>
      <c r="D894" t="inlineStr">
        <is>
          <t>UPPSALA LÄN</t>
        </is>
      </c>
      <c r="E894" t="inlineStr">
        <is>
          <t>UPPSALA</t>
        </is>
      </c>
      <c r="G894" t="n">
        <v>0.3</v>
      </c>
      <c r="H894" t="n">
        <v>0</v>
      </c>
      <c r="I894" t="n">
        <v>0</v>
      </c>
      <c r="J894" t="n">
        <v>0</v>
      </c>
      <c r="K894" t="n">
        <v>0</v>
      </c>
      <c r="L894" t="n">
        <v>0</v>
      </c>
      <c r="M894" t="n">
        <v>0</v>
      </c>
      <c r="N894" t="n">
        <v>0</v>
      </c>
      <c r="O894" t="n">
        <v>0</v>
      </c>
      <c r="P894" t="n">
        <v>0</v>
      </c>
      <c r="Q894" t="n">
        <v>0</v>
      </c>
      <c r="R894" s="2" t="inlineStr"/>
    </row>
    <row r="895" ht="15" customHeight="1">
      <c r="A895" t="inlineStr">
        <is>
          <t>A 51158-2025</t>
        </is>
      </c>
      <c r="B895" s="1" t="n">
        <v>45947.58105324074</v>
      </c>
      <c r="C895" s="1" t="n">
        <v>45999</v>
      </c>
      <c r="D895" t="inlineStr">
        <is>
          <t>UPPSALA LÄN</t>
        </is>
      </c>
      <c r="E895" t="inlineStr">
        <is>
          <t>UPPSALA</t>
        </is>
      </c>
      <c r="F895" t="inlineStr">
        <is>
          <t>Övriga Aktiebolag</t>
        </is>
      </c>
      <c r="G895" t="n">
        <v>12.1</v>
      </c>
      <c r="H895" t="n">
        <v>0</v>
      </c>
      <c r="I895" t="n">
        <v>0</v>
      </c>
      <c r="J895" t="n">
        <v>0</v>
      </c>
      <c r="K895" t="n">
        <v>0</v>
      </c>
      <c r="L895" t="n">
        <v>0</v>
      </c>
      <c r="M895" t="n">
        <v>0</v>
      </c>
      <c r="N895" t="n">
        <v>0</v>
      </c>
      <c r="O895" t="n">
        <v>0</v>
      </c>
      <c r="P895" t="n">
        <v>0</v>
      </c>
      <c r="Q895" t="n">
        <v>0</v>
      </c>
      <c r="R895" s="2" t="inlineStr"/>
    </row>
    <row r="896" ht="15" customHeight="1">
      <c r="A896" t="inlineStr">
        <is>
          <t>A 30437-2025</t>
        </is>
      </c>
      <c r="B896" s="1" t="n">
        <v>45827.64092592592</v>
      </c>
      <c r="C896" s="1" t="n">
        <v>45999</v>
      </c>
      <c r="D896" t="inlineStr">
        <is>
          <t>UPPSALA LÄN</t>
        </is>
      </c>
      <c r="E896" t="inlineStr">
        <is>
          <t>UPPSALA</t>
        </is>
      </c>
      <c r="G896" t="n">
        <v>3.6</v>
      </c>
      <c r="H896" t="n">
        <v>0</v>
      </c>
      <c r="I896" t="n">
        <v>0</v>
      </c>
      <c r="J896" t="n">
        <v>0</v>
      </c>
      <c r="K896" t="n">
        <v>0</v>
      </c>
      <c r="L896" t="n">
        <v>0</v>
      </c>
      <c r="M896" t="n">
        <v>0</v>
      </c>
      <c r="N896" t="n">
        <v>0</v>
      </c>
      <c r="O896" t="n">
        <v>0</v>
      </c>
      <c r="P896" t="n">
        <v>0</v>
      </c>
      <c r="Q896" t="n">
        <v>0</v>
      </c>
      <c r="R896" s="2" t="inlineStr"/>
    </row>
    <row r="897" ht="15" customHeight="1">
      <c r="A897" t="inlineStr">
        <is>
          <t>A 51493-2025</t>
        </is>
      </c>
      <c r="B897" s="1" t="n">
        <v>45950</v>
      </c>
      <c r="C897" s="1" t="n">
        <v>45999</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30282-2025</t>
        </is>
      </c>
      <c r="B898" s="1" t="n">
        <v>45827.46288194445</v>
      </c>
      <c r="C898" s="1" t="n">
        <v>45999</v>
      </c>
      <c r="D898" t="inlineStr">
        <is>
          <t>UPPSALA LÄN</t>
        </is>
      </c>
      <c r="E898" t="inlineStr">
        <is>
          <t>UPPSALA</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60269-2025</t>
        </is>
      </c>
      <c r="B899" s="1" t="n">
        <v>45994.62346064814</v>
      </c>
      <c r="C899" s="1" t="n">
        <v>45999</v>
      </c>
      <c r="D899" t="inlineStr">
        <is>
          <t>UPPSALA LÄN</t>
        </is>
      </c>
      <c r="E899" t="inlineStr">
        <is>
          <t>UPPSALA</t>
        </is>
      </c>
      <c r="F899" t="inlineStr">
        <is>
          <t>Allmännings- och besparingsskogar</t>
        </is>
      </c>
      <c r="G899" t="n">
        <v>3.8</v>
      </c>
      <c r="H899" t="n">
        <v>0</v>
      </c>
      <c r="I899" t="n">
        <v>0</v>
      </c>
      <c r="J899" t="n">
        <v>0</v>
      </c>
      <c r="K899" t="n">
        <v>0</v>
      </c>
      <c r="L899" t="n">
        <v>0</v>
      </c>
      <c r="M899" t="n">
        <v>0</v>
      </c>
      <c r="N899" t="n">
        <v>0</v>
      </c>
      <c r="O899" t="n">
        <v>0</v>
      </c>
      <c r="P899" t="n">
        <v>0</v>
      </c>
      <c r="Q899" t="n">
        <v>0</v>
      </c>
      <c r="R899" s="2" t="inlineStr"/>
    </row>
    <row r="900" ht="15" customHeight="1">
      <c r="A900" t="inlineStr">
        <is>
          <t>A 30585-2025</t>
        </is>
      </c>
      <c r="B900" s="1" t="n">
        <v>45831.42616898148</v>
      </c>
      <c r="C900" s="1" t="n">
        <v>45999</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30839-2025</t>
        </is>
      </c>
      <c r="B901" s="1" t="n">
        <v>45831.73</v>
      </c>
      <c r="C901" s="1" t="n">
        <v>45999</v>
      </c>
      <c r="D901" t="inlineStr">
        <is>
          <t>UPPSALA LÄN</t>
        </is>
      </c>
      <c r="E901" t="inlineStr">
        <is>
          <t>UPPSALA</t>
        </is>
      </c>
      <c r="F901" t="inlineStr">
        <is>
          <t>Kyrkan</t>
        </is>
      </c>
      <c r="G901" t="n">
        <v>2.2</v>
      </c>
      <c r="H901" t="n">
        <v>0</v>
      </c>
      <c r="I901" t="n">
        <v>0</v>
      </c>
      <c r="J901" t="n">
        <v>0</v>
      </c>
      <c r="K901" t="n">
        <v>0</v>
      </c>
      <c r="L901" t="n">
        <v>0</v>
      </c>
      <c r="M901" t="n">
        <v>0</v>
      </c>
      <c r="N901" t="n">
        <v>0</v>
      </c>
      <c r="O901" t="n">
        <v>0</v>
      </c>
      <c r="P901" t="n">
        <v>0</v>
      </c>
      <c r="Q901" t="n">
        <v>0</v>
      </c>
      <c r="R901" s="2" t="inlineStr"/>
    </row>
    <row r="902" ht="15" customHeight="1">
      <c r="A902" t="inlineStr">
        <is>
          <t>A 30898-2025</t>
        </is>
      </c>
      <c r="B902" s="1" t="n">
        <v>45832.35590277778</v>
      </c>
      <c r="C902" s="1" t="n">
        <v>45999</v>
      </c>
      <c r="D902" t="inlineStr">
        <is>
          <t>UPPSALA LÄN</t>
        </is>
      </c>
      <c r="E902" t="inlineStr">
        <is>
          <t>UPPSALA</t>
        </is>
      </c>
      <c r="F902" t="inlineStr">
        <is>
          <t>Kyrkan</t>
        </is>
      </c>
      <c r="G902" t="n">
        <v>2.8</v>
      </c>
      <c r="H902" t="n">
        <v>0</v>
      </c>
      <c r="I902" t="n">
        <v>0</v>
      </c>
      <c r="J902" t="n">
        <v>0</v>
      </c>
      <c r="K902" t="n">
        <v>0</v>
      </c>
      <c r="L902" t="n">
        <v>0</v>
      </c>
      <c r="M902" t="n">
        <v>0</v>
      </c>
      <c r="N902" t="n">
        <v>0</v>
      </c>
      <c r="O902" t="n">
        <v>0</v>
      </c>
      <c r="P902" t="n">
        <v>0</v>
      </c>
      <c r="Q902" t="n">
        <v>0</v>
      </c>
      <c r="R902" s="2" t="inlineStr"/>
    </row>
    <row r="903" ht="15" customHeight="1">
      <c r="A903" t="inlineStr">
        <is>
          <t>A 30567-2025</t>
        </is>
      </c>
      <c r="B903" s="1" t="n">
        <v>45831.40671296296</v>
      </c>
      <c r="C903" s="1" t="n">
        <v>45999</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30897-2025</t>
        </is>
      </c>
      <c r="B904" s="1" t="n">
        <v>45832.35545138889</v>
      </c>
      <c r="C904" s="1" t="n">
        <v>45999</v>
      </c>
      <c r="D904" t="inlineStr">
        <is>
          <t>UPPSALA LÄN</t>
        </is>
      </c>
      <c r="E904" t="inlineStr">
        <is>
          <t>UPPSALA</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30838-2025</t>
        </is>
      </c>
      <c r="B905" s="1" t="n">
        <v>45831.72686342592</v>
      </c>
      <c r="C905" s="1" t="n">
        <v>45999</v>
      </c>
      <c r="D905" t="inlineStr">
        <is>
          <t>UPPSALA LÄN</t>
        </is>
      </c>
      <c r="E905" t="inlineStr">
        <is>
          <t>UPPSALA</t>
        </is>
      </c>
      <c r="F905" t="inlineStr">
        <is>
          <t>Kyrkan</t>
        </is>
      </c>
      <c r="G905" t="n">
        <v>2.2</v>
      </c>
      <c r="H905" t="n">
        <v>0</v>
      </c>
      <c r="I905" t="n">
        <v>0</v>
      </c>
      <c r="J905" t="n">
        <v>0</v>
      </c>
      <c r="K905" t="n">
        <v>0</v>
      </c>
      <c r="L905" t="n">
        <v>0</v>
      </c>
      <c r="M905" t="n">
        <v>0</v>
      </c>
      <c r="N905" t="n">
        <v>0</v>
      </c>
      <c r="O905" t="n">
        <v>0</v>
      </c>
      <c r="P905" t="n">
        <v>0</v>
      </c>
      <c r="Q905" t="n">
        <v>0</v>
      </c>
      <c r="R905" s="2" t="inlineStr"/>
    </row>
    <row r="906" ht="15" customHeight="1">
      <c r="A906" t="inlineStr">
        <is>
          <t>A 52267-2025</t>
        </is>
      </c>
      <c r="B906" s="1" t="n">
        <v>45953.53460648148</v>
      </c>
      <c r="C906" s="1" t="n">
        <v>45999</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32252-2025</t>
        </is>
      </c>
      <c r="B907" s="1" t="n">
        <v>45835.62752314815</v>
      </c>
      <c r="C907" s="1" t="n">
        <v>45999</v>
      </c>
      <c r="D907" t="inlineStr">
        <is>
          <t>UPPSALA LÄN</t>
        </is>
      </c>
      <c r="E907" t="inlineStr">
        <is>
          <t>UPPSALA</t>
        </is>
      </c>
      <c r="F907" t="inlineStr">
        <is>
          <t>Kyrkan</t>
        </is>
      </c>
      <c r="G907" t="n">
        <v>3.8</v>
      </c>
      <c r="H907" t="n">
        <v>0</v>
      </c>
      <c r="I907" t="n">
        <v>0</v>
      </c>
      <c r="J907" t="n">
        <v>0</v>
      </c>
      <c r="K907" t="n">
        <v>0</v>
      </c>
      <c r="L907" t="n">
        <v>0</v>
      </c>
      <c r="M907" t="n">
        <v>0</v>
      </c>
      <c r="N907" t="n">
        <v>0</v>
      </c>
      <c r="O907" t="n">
        <v>0</v>
      </c>
      <c r="P907" t="n">
        <v>0</v>
      </c>
      <c r="Q907" t="n">
        <v>0</v>
      </c>
      <c r="R907" s="2" t="inlineStr"/>
    </row>
    <row r="908" ht="15" customHeight="1">
      <c r="A908" t="inlineStr">
        <is>
          <t>A 60356-2025</t>
        </is>
      </c>
      <c r="B908" s="1" t="n">
        <v>45995.31737268518</v>
      </c>
      <c r="C908" s="1" t="n">
        <v>45999</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row r="909" ht="15" customHeight="1">
      <c r="A909" t="inlineStr">
        <is>
          <t>A 52269-2025</t>
        </is>
      </c>
      <c r="B909" s="1" t="n">
        <v>45953.53765046296</v>
      </c>
      <c r="C909" s="1" t="n">
        <v>45999</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52517-2025</t>
        </is>
      </c>
      <c r="B910" s="1" t="n">
        <v>45954.51438657408</v>
      </c>
      <c r="C910" s="1" t="n">
        <v>45999</v>
      </c>
      <c r="D910" t="inlineStr">
        <is>
          <t>UPPSALA LÄN</t>
        </is>
      </c>
      <c r="E910" t="inlineStr">
        <is>
          <t>UPPSALA</t>
        </is>
      </c>
      <c r="G910" t="n">
        <v>10.3</v>
      </c>
      <c r="H910" t="n">
        <v>0</v>
      </c>
      <c r="I910" t="n">
        <v>0</v>
      </c>
      <c r="J910" t="n">
        <v>0</v>
      </c>
      <c r="K910" t="n">
        <v>0</v>
      </c>
      <c r="L910" t="n">
        <v>0</v>
      </c>
      <c r="M910" t="n">
        <v>0</v>
      </c>
      <c r="N910" t="n">
        <v>0</v>
      </c>
      <c r="O910" t="n">
        <v>0</v>
      </c>
      <c r="P910" t="n">
        <v>0</v>
      </c>
      <c r="Q910" t="n">
        <v>0</v>
      </c>
      <c r="R910" s="2" t="inlineStr"/>
    </row>
    <row r="911" ht="15" customHeight="1">
      <c r="A911" t="inlineStr">
        <is>
          <t>A 52523-2025</t>
        </is>
      </c>
      <c r="B911" s="1" t="n">
        <v>45954.528125</v>
      </c>
      <c r="C911" s="1" t="n">
        <v>45999</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52429-2025</t>
        </is>
      </c>
      <c r="B912" s="1" t="n">
        <v>45954.38475694445</v>
      </c>
      <c r="C912" s="1" t="n">
        <v>45999</v>
      </c>
      <c r="D912" t="inlineStr">
        <is>
          <t>UPPSALA LÄN</t>
        </is>
      </c>
      <c r="E912" t="inlineStr">
        <is>
          <t>UPPSALA</t>
        </is>
      </c>
      <c r="G912" t="n">
        <v>16.6</v>
      </c>
      <c r="H912" t="n">
        <v>0</v>
      </c>
      <c r="I912" t="n">
        <v>0</v>
      </c>
      <c r="J912" t="n">
        <v>0</v>
      </c>
      <c r="K912" t="n">
        <v>0</v>
      </c>
      <c r="L912" t="n">
        <v>0</v>
      </c>
      <c r="M912" t="n">
        <v>0</v>
      </c>
      <c r="N912" t="n">
        <v>0</v>
      </c>
      <c r="O912" t="n">
        <v>0</v>
      </c>
      <c r="P912" t="n">
        <v>0</v>
      </c>
      <c r="Q912" t="n">
        <v>0</v>
      </c>
      <c r="R912" s="2" t="inlineStr"/>
    </row>
    <row r="913" ht="15" customHeight="1">
      <c r="A913" t="inlineStr">
        <is>
          <t>A 60512-2025</t>
        </is>
      </c>
      <c r="B913" s="1" t="n">
        <v>45995.63483796296</v>
      </c>
      <c r="C913" s="1" t="n">
        <v>45999</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60357-2025</t>
        </is>
      </c>
      <c r="B914" s="1" t="n">
        <v>45995.31793981481</v>
      </c>
      <c r="C914" s="1" t="n">
        <v>45999</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32711-2025</t>
        </is>
      </c>
      <c r="B915" s="1" t="n">
        <v>45839</v>
      </c>
      <c r="C915" s="1" t="n">
        <v>45999</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c r="U915">
        <f>HYPERLINK("https://klasma.github.io/Logging_0380/knärot/A 32711-2025 karta knärot.png", "A 32711-2025")</f>
        <v/>
      </c>
      <c r="V915">
        <f>HYPERLINK("https://klasma.github.io/Logging_0380/klagomål/A 32711-2025 FSC-klagomål.docx", "A 32711-2025")</f>
        <v/>
      </c>
      <c r="W915">
        <f>HYPERLINK("https://klasma.github.io/Logging_0380/klagomålsmail/A 32711-2025 FSC-klagomål mail.docx", "A 32711-2025")</f>
        <v/>
      </c>
      <c r="X915">
        <f>HYPERLINK("https://klasma.github.io/Logging_0380/tillsyn/A 32711-2025 tillsynsbegäran.docx", "A 32711-2025")</f>
        <v/>
      </c>
      <c r="Y915">
        <f>HYPERLINK("https://klasma.github.io/Logging_0380/tillsynsmail/A 32711-2025 tillsynsbegäran mail.docx", "A 32711-2025")</f>
        <v/>
      </c>
    </row>
    <row r="916" ht="15" customHeight="1">
      <c r="A916" t="inlineStr">
        <is>
          <t>A 9201-2024</t>
        </is>
      </c>
      <c r="B916" s="1" t="n">
        <v>45358</v>
      </c>
      <c r="C916" s="1" t="n">
        <v>45999</v>
      </c>
      <c r="D916" t="inlineStr">
        <is>
          <t>UPPSALA LÄN</t>
        </is>
      </c>
      <c r="E916" t="inlineStr">
        <is>
          <t>UPPSALA</t>
        </is>
      </c>
      <c r="F916" t="inlineStr">
        <is>
          <t>Allmännings- och besparingsskogar</t>
        </is>
      </c>
      <c r="G916" t="n">
        <v>6.5</v>
      </c>
      <c r="H916" t="n">
        <v>0</v>
      </c>
      <c r="I916" t="n">
        <v>0</v>
      </c>
      <c r="J916" t="n">
        <v>0</v>
      </c>
      <c r="K916" t="n">
        <v>0</v>
      </c>
      <c r="L916" t="n">
        <v>0</v>
      </c>
      <c r="M916" t="n">
        <v>0</v>
      </c>
      <c r="N916" t="n">
        <v>0</v>
      </c>
      <c r="O916" t="n">
        <v>0</v>
      </c>
      <c r="P916" t="n">
        <v>0</v>
      </c>
      <c r="Q916" t="n">
        <v>0</v>
      </c>
      <c r="R916" s="2" t="inlineStr"/>
    </row>
    <row r="917" ht="15" customHeight="1">
      <c r="A917" t="inlineStr">
        <is>
          <t>A 32923-2025</t>
        </is>
      </c>
      <c r="B917" s="1" t="n">
        <v>45839</v>
      </c>
      <c r="C917" s="1" t="n">
        <v>45999</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28958-2025</t>
        </is>
      </c>
      <c r="B918" s="1" t="n">
        <v>45821.31292824074</v>
      </c>
      <c r="C918" s="1" t="n">
        <v>45999</v>
      </c>
      <c r="D918" t="inlineStr">
        <is>
          <t>UPPSALA LÄN</t>
        </is>
      </c>
      <c r="E918" t="inlineStr">
        <is>
          <t>UPPSALA</t>
        </is>
      </c>
      <c r="G918" t="n">
        <v>4.6</v>
      </c>
      <c r="H918" t="n">
        <v>0</v>
      </c>
      <c r="I918" t="n">
        <v>0</v>
      </c>
      <c r="J918" t="n">
        <v>0</v>
      </c>
      <c r="K918" t="n">
        <v>0</v>
      </c>
      <c r="L918" t="n">
        <v>0</v>
      </c>
      <c r="M918" t="n">
        <v>0</v>
      </c>
      <c r="N918" t="n">
        <v>0</v>
      </c>
      <c r="O918" t="n">
        <v>0</v>
      </c>
      <c r="P918" t="n">
        <v>0</v>
      </c>
      <c r="Q918" t="n">
        <v>0</v>
      </c>
      <c r="R918" s="2" t="inlineStr"/>
    </row>
    <row r="919" ht="15" customHeight="1">
      <c r="A919" t="inlineStr">
        <is>
          <t>A 33272-2025</t>
        </is>
      </c>
      <c r="B919" s="1" t="n">
        <v>45840.68518518518</v>
      </c>
      <c r="C919" s="1" t="n">
        <v>45999</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33261-2025</t>
        </is>
      </c>
      <c r="B920" s="1" t="n">
        <v>45840</v>
      </c>
      <c r="C920" s="1" t="n">
        <v>45999</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12507-2024</t>
        </is>
      </c>
      <c r="B921" s="1" t="n">
        <v>45379</v>
      </c>
      <c r="C921" s="1" t="n">
        <v>45999</v>
      </c>
      <c r="D921" t="inlineStr">
        <is>
          <t>UPPSALA LÄN</t>
        </is>
      </c>
      <c r="E921" t="inlineStr">
        <is>
          <t>UPPSALA</t>
        </is>
      </c>
      <c r="G921" t="n">
        <v>4.6</v>
      </c>
      <c r="H921" t="n">
        <v>0</v>
      </c>
      <c r="I921" t="n">
        <v>0</v>
      </c>
      <c r="J921" t="n">
        <v>0</v>
      </c>
      <c r="K921" t="n">
        <v>0</v>
      </c>
      <c r="L921" t="n">
        <v>0</v>
      </c>
      <c r="M921" t="n">
        <v>0</v>
      </c>
      <c r="N921" t="n">
        <v>0</v>
      </c>
      <c r="O921" t="n">
        <v>0</v>
      </c>
      <c r="P921" t="n">
        <v>0</v>
      </c>
      <c r="Q921" t="n">
        <v>0</v>
      </c>
      <c r="R921" s="2" t="inlineStr"/>
    </row>
    <row r="922" ht="15" customHeight="1">
      <c r="A922" t="inlineStr">
        <is>
          <t>A 60702-2022</t>
        </is>
      </c>
      <c r="B922" s="1" t="n">
        <v>44912.29869212963</v>
      </c>
      <c r="C922" s="1" t="n">
        <v>45999</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8933-2022</t>
        </is>
      </c>
      <c r="B923" s="1" t="n">
        <v>44614.69730324074</v>
      </c>
      <c r="C923" s="1" t="n">
        <v>45999</v>
      </c>
      <c r="D923" t="inlineStr">
        <is>
          <t>UPPSALA LÄN</t>
        </is>
      </c>
      <c r="E923" t="inlineStr">
        <is>
          <t>UPPSALA</t>
        </is>
      </c>
      <c r="F923" t="inlineStr">
        <is>
          <t>Holmen skog AB</t>
        </is>
      </c>
      <c r="G923" t="n">
        <v>3.6</v>
      </c>
      <c r="H923" t="n">
        <v>0</v>
      </c>
      <c r="I923" t="n">
        <v>0</v>
      </c>
      <c r="J923" t="n">
        <v>0</v>
      </c>
      <c r="K923" t="n">
        <v>0</v>
      </c>
      <c r="L923" t="n">
        <v>0</v>
      </c>
      <c r="M923" t="n">
        <v>0</v>
      </c>
      <c r="N923" t="n">
        <v>0</v>
      </c>
      <c r="O923" t="n">
        <v>0</v>
      </c>
      <c r="P923" t="n">
        <v>0</v>
      </c>
      <c r="Q923" t="n">
        <v>0</v>
      </c>
      <c r="R923" s="2" t="inlineStr"/>
    </row>
    <row r="924" ht="15" customHeight="1">
      <c r="A924" t="inlineStr">
        <is>
          <t>A 33571-2025</t>
        </is>
      </c>
      <c r="B924" s="1" t="n">
        <v>45841.5847337963</v>
      </c>
      <c r="C924" s="1" t="n">
        <v>45999</v>
      </c>
      <c r="D924" t="inlineStr">
        <is>
          <t>UPPSALA LÄN</t>
        </is>
      </c>
      <c r="E924" t="inlineStr">
        <is>
          <t>UPPSALA</t>
        </is>
      </c>
      <c r="G924" t="n">
        <v>1.6</v>
      </c>
      <c r="H924" t="n">
        <v>0</v>
      </c>
      <c r="I924" t="n">
        <v>0</v>
      </c>
      <c r="J924" t="n">
        <v>0</v>
      </c>
      <c r="K924" t="n">
        <v>0</v>
      </c>
      <c r="L924" t="n">
        <v>0</v>
      </c>
      <c r="M924" t="n">
        <v>0</v>
      </c>
      <c r="N924" t="n">
        <v>0</v>
      </c>
      <c r="O924" t="n">
        <v>0</v>
      </c>
      <c r="P924" t="n">
        <v>0</v>
      </c>
      <c r="Q924" t="n">
        <v>0</v>
      </c>
      <c r="R924" s="2" t="inlineStr"/>
    </row>
    <row r="925" ht="15" customHeight="1">
      <c r="A925" t="inlineStr">
        <is>
          <t>A 21859-2024</t>
        </is>
      </c>
      <c r="B925" s="1" t="n">
        <v>45443</v>
      </c>
      <c r="C925" s="1" t="n">
        <v>45999</v>
      </c>
      <c r="D925" t="inlineStr">
        <is>
          <t>UPPSALA LÄN</t>
        </is>
      </c>
      <c r="E925" t="inlineStr">
        <is>
          <t>UPPSALA</t>
        </is>
      </c>
      <c r="F925" t="inlineStr">
        <is>
          <t>Kyrkan</t>
        </is>
      </c>
      <c r="G925" t="n">
        <v>1.4</v>
      </c>
      <c r="H925" t="n">
        <v>0</v>
      </c>
      <c r="I925" t="n">
        <v>0</v>
      </c>
      <c r="J925" t="n">
        <v>0</v>
      </c>
      <c r="K925" t="n">
        <v>0</v>
      </c>
      <c r="L925" t="n">
        <v>0</v>
      </c>
      <c r="M925" t="n">
        <v>0</v>
      </c>
      <c r="N925" t="n">
        <v>0</v>
      </c>
      <c r="O925" t="n">
        <v>0</v>
      </c>
      <c r="P925" t="n">
        <v>0</v>
      </c>
      <c r="Q925" t="n">
        <v>0</v>
      </c>
      <c r="R925" s="2" t="inlineStr"/>
    </row>
    <row r="926" ht="15" customHeight="1">
      <c r="A926" t="inlineStr">
        <is>
          <t>A 6930-2023</t>
        </is>
      </c>
      <c r="B926" s="1" t="n">
        <v>44967.55960648148</v>
      </c>
      <c r="C926" s="1" t="n">
        <v>45999</v>
      </c>
      <c r="D926" t="inlineStr">
        <is>
          <t>UPPSALA LÄN</t>
        </is>
      </c>
      <c r="E926" t="inlineStr">
        <is>
          <t>UPPSALA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33939-2024</t>
        </is>
      </c>
      <c r="B927" s="1" t="n">
        <v>45523</v>
      </c>
      <c r="C927" s="1" t="n">
        <v>45999</v>
      </c>
      <c r="D927" t="inlineStr">
        <is>
          <t>UPPSALA LÄN</t>
        </is>
      </c>
      <c r="E927" t="inlineStr">
        <is>
          <t>UPPSALA</t>
        </is>
      </c>
      <c r="G927" t="n">
        <v>1.2</v>
      </c>
      <c r="H927" t="n">
        <v>0</v>
      </c>
      <c r="I927" t="n">
        <v>0</v>
      </c>
      <c r="J927" t="n">
        <v>0</v>
      </c>
      <c r="K927" t="n">
        <v>0</v>
      </c>
      <c r="L927" t="n">
        <v>0</v>
      </c>
      <c r="M927" t="n">
        <v>0</v>
      </c>
      <c r="N927" t="n">
        <v>0</v>
      </c>
      <c r="O927" t="n">
        <v>0</v>
      </c>
      <c r="P927" t="n">
        <v>0</v>
      </c>
      <c r="Q927" t="n">
        <v>0</v>
      </c>
      <c r="R927" s="2" t="inlineStr"/>
    </row>
    <row r="928" ht="15" customHeight="1">
      <c r="A928" t="inlineStr">
        <is>
          <t>A 33964-2025</t>
        </is>
      </c>
      <c r="B928" s="1" t="n">
        <v>45842.74049768518</v>
      </c>
      <c r="C928" s="1" t="n">
        <v>45999</v>
      </c>
      <c r="D928" t="inlineStr">
        <is>
          <t>UPPSALA LÄN</t>
        </is>
      </c>
      <c r="E928" t="inlineStr">
        <is>
          <t>UPPSALA</t>
        </is>
      </c>
      <c r="G928" t="n">
        <v>2.7</v>
      </c>
      <c r="H928" t="n">
        <v>0</v>
      </c>
      <c r="I928" t="n">
        <v>0</v>
      </c>
      <c r="J928" t="n">
        <v>0</v>
      </c>
      <c r="K928" t="n">
        <v>0</v>
      </c>
      <c r="L928" t="n">
        <v>0</v>
      </c>
      <c r="M928" t="n">
        <v>0</v>
      </c>
      <c r="N928" t="n">
        <v>0</v>
      </c>
      <c r="O928" t="n">
        <v>0</v>
      </c>
      <c r="P928" t="n">
        <v>0</v>
      </c>
      <c r="Q928" t="n">
        <v>0</v>
      </c>
      <c r="R928" s="2" t="inlineStr"/>
    </row>
    <row r="929" ht="15" customHeight="1">
      <c r="A929" t="inlineStr">
        <is>
          <t>A 10612-2025</t>
        </is>
      </c>
      <c r="B929" s="1" t="n">
        <v>45721.60894675926</v>
      </c>
      <c r="C929" s="1" t="n">
        <v>45999</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59489-2023</t>
        </is>
      </c>
      <c r="B930" s="1" t="n">
        <v>45254</v>
      </c>
      <c r="C930" s="1" t="n">
        <v>45999</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3314-2025</t>
        </is>
      </c>
      <c r="B931" s="1" t="n">
        <v>45679</v>
      </c>
      <c r="C931" s="1" t="n">
        <v>45999</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47287-2023</t>
        </is>
      </c>
      <c r="B932" s="1" t="n">
        <v>45202</v>
      </c>
      <c r="C932" s="1" t="n">
        <v>45999</v>
      </c>
      <c r="D932" t="inlineStr">
        <is>
          <t>UPPSALA LÄN</t>
        </is>
      </c>
      <c r="E932" t="inlineStr">
        <is>
          <t>UPPSALA</t>
        </is>
      </c>
      <c r="F932" t="inlineStr">
        <is>
          <t>Holmen skog AB</t>
        </is>
      </c>
      <c r="G932" t="n">
        <v>0.4</v>
      </c>
      <c r="H932" t="n">
        <v>0</v>
      </c>
      <c r="I932" t="n">
        <v>0</v>
      </c>
      <c r="J932" t="n">
        <v>0</v>
      </c>
      <c r="K932" t="n">
        <v>0</v>
      </c>
      <c r="L932" t="n">
        <v>0</v>
      </c>
      <c r="M932" t="n">
        <v>0</v>
      </c>
      <c r="N932" t="n">
        <v>0</v>
      </c>
      <c r="O932" t="n">
        <v>0</v>
      </c>
      <c r="P932" t="n">
        <v>0</v>
      </c>
      <c r="Q932" t="n">
        <v>0</v>
      </c>
      <c r="R932" s="2" t="inlineStr"/>
    </row>
    <row r="933" ht="15" customHeight="1">
      <c r="A933" t="inlineStr">
        <is>
          <t>A 18625-2025</t>
        </is>
      </c>
      <c r="B933" s="1" t="n">
        <v>45763.52744212963</v>
      </c>
      <c r="C933" s="1" t="n">
        <v>45999</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36478-2023</t>
        </is>
      </c>
      <c r="B934" s="1" t="n">
        <v>45152</v>
      </c>
      <c r="C934" s="1" t="n">
        <v>45999</v>
      </c>
      <c r="D934" t="inlineStr">
        <is>
          <t>UPPSALA LÄN</t>
        </is>
      </c>
      <c r="E934" t="inlineStr">
        <is>
          <t>UPPSALA</t>
        </is>
      </c>
      <c r="F934" t="inlineStr">
        <is>
          <t>Allmännings- och besparingsskogar</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34132-2025</t>
        </is>
      </c>
      <c r="B935" s="1" t="n">
        <v>45845.53202546296</v>
      </c>
      <c r="C935" s="1" t="n">
        <v>45999</v>
      </c>
      <c r="D935" t="inlineStr">
        <is>
          <t>UPPSALA LÄN</t>
        </is>
      </c>
      <c r="E935" t="inlineStr">
        <is>
          <t>UPPSALA</t>
        </is>
      </c>
      <c r="G935" t="n">
        <v>0.9</v>
      </c>
      <c r="H935" t="n">
        <v>0</v>
      </c>
      <c r="I935" t="n">
        <v>0</v>
      </c>
      <c r="J935" t="n">
        <v>0</v>
      </c>
      <c r="K935" t="n">
        <v>0</v>
      </c>
      <c r="L935" t="n">
        <v>0</v>
      </c>
      <c r="M935" t="n">
        <v>0</v>
      </c>
      <c r="N935" t="n">
        <v>0</v>
      </c>
      <c r="O935" t="n">
        <v>0</v>
      </c>
      <c r="P935" t="n">
        <v>0</v>
      </c>
      <c r="Q935" t="n">
        <v>0</v>
      </c>
      <c r="R935" s="2" t="inlineStr"/>
    </row>
    <row r="936" ht="15" customHeight="1">
      <c r="A936" t="inlineStr">
        <is>
          <t>A 64855-2021</t>
        </is>
      </c>
      <c r="B936" s="1" t="n">
        <v>44512</v>
      </c>
      <c r="C936" s="1" t="n">
        <v>45999</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35014-2025</t>
        </is>
      </c>
      <c r="B937" s="1" t="n">
        <v>45851.60097222222</v>
      </c>
      <c r="C937" s="1" t="n">
        <v>45999</v>
      </c>
      <c r="D937" t="inlineStr">
        <is>
          <t>UPPSALA LÄN</t>
        </is>
      </c>
      <c r="E937" t="inlineStr">
        <is>
          <t>UPPSALA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13644-2024</t>
        </is>
      </c>
      <c r="B938" s="1" t="n">
        <v>45390</v>
      </c>
      <c r="C938" s="1" t="n">
        <v>45999</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9592-2022</t>
        </is>
      </c>
      <c r="B939" s="1" t="n">
        <v>44617.48311342593</v>
      </c>
      <c r="C939" s="1" t="n">
        <v>45999</v>
      </c>
      <c r="D939" t="inlineStr">
        <is>
          <t>UPPSALA LÄN</t>
        </is>
      </c>
      <c r="E939" t="inlineStr">
        <is>
          <t>UPPSALA</t>
        </is>
      </c>
      <c r="G939" t="n">
        <v>7.5</v>
      </c>
      <c r="H939" t="n">
        <v>0</v>
      </c>
      <c r="I939" t="n">
        <v>0</v>
      </c>
      <c r="J939" t="n">
        <v>0</v>
      </c>
      <c r="K939" t="n">
        <v>0</v>
      </c>
      <c r="L939" t="n">
        <v>0</v>
      </c>
      <c r="M939" t="n">
        <v>0</v>
      </c>
      <c r="N939" t="n">
        <v>0</v>
      </c>
      <c r="O939" t="n">
        <v>0</v>
      </c>
      <c r="P939" t="n">
        <v>0</v>
      </c>
      <c r="Q939" t="n">
        <v>0</v>
      </c>
      <c r="R939" s="2" t="inlineStr"/>
    </row>
    <row r="940" ht="15" customHeight="1">
      <c r="A940" t="inlineStr">
        <is>
          <t>A 35015-2025</t>
        </is>
      </c>
      <c r="B940" s="1" t="n">
        <v>45851.62018518519</v>
      </c>
      <c r="C940" s="1" t="n">
        <v>45999</v>
      </c>
      <c r="D940" t="inlineStr">
        <is>
          <t>UPPSALA LÄN</t>
        </is>
      </c>
      <c r="E940" t="inlineStr">
        <is>
          <t>UPPSALA</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60820-2024</t>
        </is>
      </c>
      <c r="B941" s="1" t="n">
        <v>45644.62677083333</v>
      </c>
      <c r="C941" s="1" t="n">
        <v>45999</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45999</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18675-2024</t>
        </is>
      </c>
      <c r="B943" s="1" t="n">
        <v>45426</v>
      </c>
      <c r="C943" s="1" t="n">
        <v>45999</v>
      </c>
      <c r="D943" t="inlineStr">
        <is>
          <t>UPPSALA LÄN</t>
        </is>
      </c>
      <c r="E943" t="inlineStr">
        <is>
          <t>UPPSALA</t>
        </is>
      </c>
      <c r="G943" t="n">
        <v>8.1</v>
      </c>
      <c r="H943" t="n">
        <v>0</v>
      </c>
      <c r="I943" t="n">
        <v>0</v>
      </c>
      <c r="J943" t="n">
        <v>0</v>
      </c>
      <c r="K943" t="n">
        <v>0</v>
      </c>
      <c r="L943" t="n">
        <v>0</v>
      </c>
      <c r="M943" t="n">
        <v>0</v>
      </c>
      <c r="N943" t="n">
        <v>0</v>
      </c>
      <c r="O943" t="n">
        <v>0</v>
      </c>
      <c r="P943" t="n">
        <v>0</v>
      </c>
      <c r="Q943" t="n">
        <v>0</v>
      </c>
      <c r="R943" s="2" t="inlineStr"/>
    </row>
    <row r="944" ht="15" customHeight="1">
      <c r="A944" t="inlineStr">
        <is>
          <t>A 34893-2025</t>
        </is>
      </c>
      <c r="B944" s="1" t="n">
        <v>45849.49259259259</v>
      </c>
      <c r="C944" s="1" t="n">
        <v>45999</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35148-2025</t>
        </is>
      </c>
      <c r="B945" s="1" t="n">
        <v>45852.67366898148</v>
      </c>
      <c r="C945" s="1" t="n">
        <v>45999</v>
      </c>
      <c r="D945" t="inlineStr">
        <is>
          <t>UPPSALA LÄN</t>
        </is>
      </c>
      <c r="E945" t="inlineStr">
        <is>
          <t>UPPSALA</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35056-2025</t>
        </is>
      </c>
      <c r="B946" s="1" t="n">
        <v>45852.39642361111</v>
      </c>
      <c r="C946" s="1" t="n">
        <v>45999</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35053-2025</t>
        </is>
      </c>
      <c r="B947" s="1" t="n">
        <v>45852.36871527778</v>
      </c>
      <c r="C947" s="1" t="n">
        <v>45999</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35155-2025</t>
        </is>
      </c>
      <c r="B948" s="1" t="n">
        <v>45852.68978009259</v>
      </c>
      <c r="C948" s="1" t="n">
        <v>45999</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8473-2023</t>
        </is>
      </c>
      <c r="B949" s="1" t="n">
        <v>44977</v>
      </c>
      <c r="C949" s="1" t="n">
        <v>45999</v>
      </c>
      <c r="D949" t="inlineStr">
        <is>
          <t>UPPSALA LÄN</t>
        </is>
      </c>
      <c r="E949" t="inlineStr">
        <is>
          <t>UPPSALA</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35150-2025</t>
        </is>
      </c>
      <c r="B950" s="1" t="n">
        <v>45852</v>
      </c>
      <c r="C950" s="1" t="n">
        <v>45999</v>
      </c>
      <c r="D950" t="inlineStr">
        <is>
          <t>UPPSALA LÄN</t>
        </is>
      </c>
      <c r="E950" t="inlineStr">
        <is>
          <t>UPPSALA</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35167-2025</t>
        </is>
      </c>
      <c r="B951" s="1" t="n">
        <v>45852.72965277778</v>
      </c>
      <c r="C951" s="1" t="n">
        <v>45999</v>
      </c>
      <c r="D951" t="inlineStr">
        <is>
          <t>UPPSALA LÄN</t>
        </is>
      </c>
      <c r="E951" t="inlineStr">
        <is>
          <t>UPPSALA</t>
        </is>
      </c>
      <c r="F951" t="inlineStr">
        <is>
          <t>Holmen skog AB</t>
        </is>
      </c>
      <c r="G951" t="n">
        <v>10</v>
      </c>
      <c r="H951" t="n">
        <v>0</v>
      </c>
      <c r="I951" t="n">
        <v>0</v>
      </c>
      <c r="J951" t="n">
        <v>0</v>
      </c>
      <c r="K951" t="n">
        <v>0</v>
      </c>
      <c r="L951" t="n">
        <v>0</v>
      </c>
      <c r="M951" t="n">
        <v>0</v>
      </c>
      <c r="N951" t="n">
        <v>0</v>
      </c>
      <c r="O951" t="n">
        <v>0</v>
      </c>
      <c r="P951" t="n">
        <v>0</v>
      </c>
      <c r="Q951" t="n">
        <v>0</v>
      </c>
      <c r="R951" s="2" t="inlineStr"/>
    </row>
    <row r="952" ht="15" customHeight="1">
      <c r="A952" t="inlineStr">
        <is>
          <t>A 22431-2024</t>
        </is>
      </c>
      <c r="B952" s="1" t="n">
        <v>45446.78256944445</v>
      </c>
      <c r="C952" s="1" t="n">
        <v>45999</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35305-2025</t>
        </is>
      </c>
      <c r="B953" s="1" t="n">
        <v>45854.44017361111</v>
      </c>
      <c r="C953" s="1" t="n">
        <v>45999</v>
      </c>
      <c r="D953" t="inlineStr">
        <is>
          <t>UPPSALA LÄN</t>
        </is>
      </c>
      <c r="E953" t="inlineStr">
        <is>
          <t>UPPSALA</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19345-2025</t>
        </is>
      </c>
      <c r="B954" s="1" t="n">
        <v>45769.6009375</v>
      </c>
      <c r="C954" s="1" t="n">
        <v>45999</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6970-2025</t>
        </is>
      </c>
      <c r="B955" s="1" t="n">
        <v>45693</v>
      </c>
      <c r="C955" s="1" t="n">
        <v>45999</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35509-2025</t>
        </is>
      </c>
      <c r="B956" s="1" t="n">
        <v>45856.34959490741</v>
      </c>
      <c r="C956" s="1" t="n">
        <v>45999</v>
      </c>
      <c r="D956" t="inlineStr">
        <is>
          <t>UPPSALA LÄN</t>
        </is>
      </c>
      <c r="E956" t="inlineStr">
        <is>
          <t>UPPSALA</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35510-2025</t>
        </is>
      </c>
      <c r="B957" s="1" t="n">
        <v>45856</v>
      </c>
      <c r="C957" s="1" t="n">
        <v>45999</v>
      </c>
      <c r="D957" t="inlineStr">
        <is>
          <t>UPPSALA LÄN</t>
        </is>
      </c>
      <c r="E957" t="inlineStr">
        <is>
          <t>UPPSALA</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18677-2024</t>
        </is>
      </c>
      <c r="B958" s="1" t="n">
        <v>45426</v>
      </c>
      <c r="C958" s="1" t="n">
        <v>45999</v>
      </c>
      <c r="D958" t="inlineStr">
        <is>
          <t>UPPSALA LÄN</t>
        </is>
      </c>
      <c r="E958" t="inlineStr">
        <is>
          <t>UPPSALA</t>
        </is>
      </c>
      <c r="G958" t="n">
        <v>2.8</v>
      </c>
      <c r="H958" t="n">
        <v>0</v>
      </c>
      <c r="I958" t="n">
        <v>0</v>
      </c>
      <c r="J958" t="n">
        <v>0</v>
      </c>
      <c r="K958" t="n">
        <v>0</v>
      </c>
      <c r="L958" t="n">
        <v>0</v>
      </c>
      <c r="M958" t="n">
        <v>0</v>
      </c>
      <c r="N958" t="n">
        <v>0</v>
      </c>
      <c r="O958" t="n">
        <v>0</v>
      </c>
      <c r="P958" t="n">
        <v>0</v>
      </c>
      <c r="Q958" t="n">
        <v>0</v>
      </c>
      <c r="R958" s="2" t="inlineStr"/>
    </row>
    <row r="959" ht="15" customHeight="1">
      <c r="A959" t="inlineStr">
        <is>
          <t>A 35504-2025</t>
        </is>
      </c>
      <c r="B959" s="1" t="n">
        <v>45856.34034722222</v>
      </c>
      <c r="C959" s="1" t="n">
        <v>45999</v>
      </c>
      <c r="D959" t="inlineStr">
        <is>
          <t>UPPSALA LÄN</t>
        </is>
      </c>
      <c r="E959" t="inlineStr">
        <is>
          <t>UPPSALA</t>
        </is>
      </c>
      <c r="F959" t="inlineStr">
        <is>
          <t>Bergvik skog öst AB</t>
        </is>
      </c>
      <c r="G959" t="n">
        <v>6.7</v>
      </c>
      <c r="H959" t="n">
        <v>0</v>
      </c>
      <c r="I959" t="n">
        <v>0</v>
      </c>
      <c r="J959" t="n">
        <v>0</v>
      </c>
      <c r="K959" t="n">
        <v>0</v>
      </c>
      <c r="L959" t="n">
        <v>0</v>
      </c>
      <c r="M959" t="n">
        <v>0</v>
      </c>
      <c r="N959" t="n">
        <v>0</v>
      </c>
      <c r="O959" t="n">
        <v>0</v>
      </c>
      <c r="P959" t="n">
        <v>0</v>
      </c>
      <c r="Q959" t="n">
        <v>0</v>
      </c>
      <c r="R959" s="2" t="inlineStr"/>
    </row>
    <row r="960" ht="15" customHeight="1">
      <c r="A960" t="inlineStr">
        <is>
          <t>A 35505-2025</t>
        </is>
      </c>
      <c r="B960" s="1" t="n">
        <v>45856.34231481481</v>
      </c>
      <c r="C960" s="1" t="n">
        <v>45999</v>
      </c>
      <c r="D960" t="inlineStr">
        <is>
          <t>UPPSALA LÄN</t>
        </is>
      </c>
      <c r="E960" t="inlineStr">
        <is>
          <t>UPPSALA</t>
        </is>
      </c>
      <c r="F960" t="inlineStr">
        <is>
          <t>Bergvik skog öst AB</t>
        </is>
      </c>
      <c r="G960" t="n">
        <v>7.9</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45999</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25776-2022</t>
        </is>
      </c>
      <c r="B962" s="1" t="n">
        <v>44733</v>
      </c>
      <c r="C962" s="1" t="n">
        <v>45999</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45999</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16126-2022</t>
        </is>
      </c>
      <c r="B964" s="1" t="n">
        <v>44665</v>
      </c>
      <c r="C964" s="1" t="n">
        <v>45999</v>
      </c>
      <c r="D964" t="inlineStr">
        <is>
          <t>UPPSALA LÄN</t>
        </is>
      </c>
      <c r="E964" t="inlineStr">
        <is>
          <t>UPPSALA</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21935-2023</t>
        </is>
      </c>
      <c r="B965" s="1" t="n">
        <v>45068.58563657408</v>
      </c>
      <c r="C965" s="1" t="n">
        <v>45999</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18668-2024</t>
        </is>
      </c>
      <c r="B966" s="1" t="n">
        <v>45426.34148148148</v>
      </c>
      <c r="C966" s="1" t="n">
        <v>45999</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9914-2024</t>
        </is>
      </c>
      <c r="B967" s="1" t="n">
        <v>45363.54878472222</v>
      </c>
      <c r="C967" s="1" t="n">
        <v>45999</v>
      </c>
      <c r="D967" t="inlineStr">
        <is>
          <t>UPPSALA LÄN</t>
        </is>
      </c>
      <c r="E967" t="inlineStr">
        <is>
          <t>UPPSALA</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6999-2023</t>
        </is>
      </c>
      <c r="B968" s="1" t="n">
        <v>44967.80034722222</v>
      </c>
      <c r="C968" s="1" t="n">
        <v>45999</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7002-2023</t>
        </is>
      </c>
      <c r="B969" s="1" t="n">
        <v>44967</v>
      </c>
      <c r="C969" s="1" t="n">
        <v>45999</v>
      </c>
      <c r="D969" t="inlineStr">
        <is>
          <t>UPPSALA LÄN</t>
        </is>
      </c>
      <c r="E969" t="inlineStr">
        <is>
          <t>UPPSALA</t>
        </is>
      </c>
      <c r="G969" t="n">
        <v>5</v>
      </c>
      <c r="H969" t="n">
        <v>0</v>
      </c>
      <c r="I969" t="n">
        <v>0</v>
      </c>
      <c r="J969" t="n">
        <v>0</v>
      </c>
      <c r="K969" t="n">
        <v>0</v>
      </c>
      <c r="L969" t="n">
        <v>0</v>
      </c>
      <c r="M969" t="n">
        <v>0</v>
      </c>
      <c r="N969" t="n">
        <v>0</v>
      </c>
      <c r="O969" t="n">
        <v>0</v>
      </c>
      <c r="P969" t="n">
        <v>0</v>
      </c>
      <c r="Q969" t="n">
        <v>0</v>
      </c>
      <c r="R969" s="2" t="inlineStr"/>
    </row>
    <row r="970" ht="15" customHeight="1">
      <c r="A970" t="inlineStr">
        <is>
          <t>A 367-2023</t>
        </is>
      </c>
      <c r="B970" s="1" t="n">
        <v>44929</v>
      </c>
      <c r="C970" s="1" t="n">
        <v>45999</v>
      </c>
      <c r="D970" t="inlineStr">
        <is>
          <t>UPPSALA LÄN</t>
        </is>
      </c>
      <c r="E970" t="inlineStr">
        <is>
          <t>UPPSALA</t>
        </is>
      </c>
      <c r="G970" t="n">
        <v>2.4</v>
      </c>
      <c r="H970" t="n">
        <v>0</v>
      </c>
      <c r="I970" t="n">
        <v>0</v>
      </c>
      <c r="J970" t="n">
        <v>0</v>
      </c>
      <c r="K970" t="n">
        <v>0</v>
      </c>
      <c r="L970" t="n">
        <v>0</v>
      </c>
      <c r="M970" t="n">
        <v>0</v>
      </c>
      <c r="N970" t="n">
        <v>0</v>
      </c>
      <c r="O970" t="n">
        <v>0</v>
      </c>
      <c r="P970" t="n">
        <v>0</v>
      </c>
      <c r="Q970" t="n">
        <v>0</v>
      </c>
      <c r="R970" s="2" t="inlineStr"/>
    </row>
    <row r="971" ht="15" customHeight="1">
      <c r="A971" t="inlineStr">
        <is>
          <t>A 12414-2025</t>
        </is>
      </c>
      <c r="B971" s="1" t="n">
        <v>45730.43966435185</v>
      </c>
      <c r="C971" s="1" t="n">
        <v>45999</v>
      </c>
      <c r="D971" t="inlineStr">
        <is>
          <t>UPPSALA LÄN</t>
        </is>
      </c>
      <c r="E971" t="inlineStr">
        <is>
          <t>UPPSALA</t>
        </is>
      </c>
      <c r="F971" t="inlineStr">
        <is>
          <t>Övriga statliga verk och myndigheter</t>
        </is>
      </c>
      <c r="G971" t="n">
        <v>6.8</v>
      </c>
      <c r="H971" t="n">
        <v>0</v>
      </c>
      <c r="I971" t="n">
        <v>0</v>
      </c>
      <c r="J971" t="n">
        <v>0</v>
      </c>
      <c r="K971" t="n">
        <v>0</v>
      </c>
      <c r="L971" t="n">
        <v>0</v>
      </c>
      <c r="M971" t="n">
        <v>0</v>
      </c>
      <c r="N971" t="n">
        <v>0</v>
      </c>
      <c r="O971" t="n">
        <v>0</v>
      </c>
      <c r="P971" t="n">
        <v>0</v>
      </c>
      <c r="Q971" t="n">
        <v>0</v>
      </c>
      <c r="R971" s="2" t="inlineStr"/>
    </row>
    <row r="972" ht="15" customHeight="1">
      <c r="A972" t="inlineStr">
        <is>
          <t>A 53365-2024</t>
        </is>
      </c>
      <c r="B972" s="1" t="n">
        <v>45614</v>
      </c>
      <c r="C972" s="1" t="n">
        <v>45999</v>
      </c>
      <c r="D972" t="inlineStr">
        <is>
          <t>UPPSALA LÄN</t>
        </is>
      </c>
      <c r="E972" t="inlineStr">
        <is>
          <t>UPPSALA</t>
        </is>
      </c>
      <c r="F972" t="inlineStr">
        <is>
          <t>Allmännings- och besparingsskogar</t>
        </is>
      </c>
      <c r="G972" t="n">
        <v>6.6</v>
      </c>
      <c r="H972" t="n">
        <v>0</v>
      </c>
      <c r="I972" t="n">
        <v>0</v>
      </c>
      <c r="J972" t="n">
        <v>0</v>
      </c>
      <c r="K972" t="n">
        <v>0</v>
      </c>
      <c r="L972" t="n">
        <v>0</v>
      </c>
      <c r="M972" t="n">
        <v>0</v>
      </c>
      <c r="N972" t="n">
        <v>0</v>
      </c>
      <c r="O972" t="n">
        <v>0</v>
      </c>
      <c r="P972" t="n">
        <v>0</v>
      </c>
      <c r="Q972" t="n">
        <v>0</v>
      </c>
      <c r="R972" s="2" t="inlineStr"/>
    </row>
    <row r="973" ht="15" customHeight="1">
      <c r="A973" t="inlineStr">
        <is>
          <t>A 46796-2024</t>
        </is>
      </c>
      <c r="B973" s="1" t="n">
        <v>45583</v>
      </c>
      <c r="C973" s="1" t="n">
        <v>45999</v>
      </c>
      <c r="D973" t="inlineStr">
        <is>
          <t>UPPSALA LÄN</t>
        </is>
      </c>
      <c r="E973" t="inlineStr">
        <is>
          <t>UPPSALA</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18443-2023</t>
        </is>
      </c>
      <c r="B974" s="1" t="n">
        <v>45042</v>
      </c>
      <c r="C974" s="1" t="n">
        <v>45999</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8090-2022</t>
        </is>
      </c>
      <c r="B975" s="1" t="n">
        <v>44608</v>
      </c>
      <c r="C975" s="1" t="n">
        <v>45999</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60047-2022</t>
        </is>
      </c>
      <c r="B976" s="1" t="n">
        <v>44909.51885416666</v>
      </c>
      <c r="C976" s="1" t="n">
        <v>45999</v>
      </c>
      <c r="D976" t="inlineStr">
        <is>
          <t>UPPSALA LÄN</t>
        </is>
      </c>
      <c r="E976" t="inlineStr">
        <is>
          <t>UPPSALA</t>
        </is>
      </c>
      <c r="F976" t="inlineStr">
        <is>
          <t>Kyrkan</t>
        </is>
      </c>
      <c r="G976" t="n">
        <v>0.7</v>
      </c>
      <c r="H976" t="n">
        <v>0</v>
      </c>
      <c r="I976" t="n">
        <v>0</v>
      </c>
      <c r="J976" t="n">
        <v>0</v>
      </c>
      <c r="K976" t="n">
        <v>0</v>
      </c>
      <c r="L976" t="n">
        <v>0</v>
      </c>
      <c r="M976" t="n">
        <v>0</v>
      </c>
      <c r="N976" t="n">
        <v>0</v>
      </c>
      <c r="O976" t="n">
        <v>0</v>
      </c>
      <c r="P976" t="n">
        <v>0</v>
      </c>
      <c r="Q976" t="n">
        <v>0</v>
      </c>
      <c r="R976" s="2" t="inlineStr"/>
    </row>
    <row r="977" ht="15" customHeight="1">
      <c r="A977" t="inlineStr">
        <is>
          <t>A 50535-2024</t>
        </is>
      </c>
      <c r="B977" s="1" t="n">
        <v>45600</v>
      </c>
      <c r="C977" s="1" t="n">
        <v>45999</v>
      </c>
      <c r="D977" t="inlineStr">
        <is>
          <t>UPPSALA LÄN</t>
        </is>
      </c>
      <c r="E977" t="inlineStr">
        <is>
          <t>UPPSALA</t>
        </is>
      </c>
      <c r="F977" t="inlineStr">
        <is>
          <t>Övriga statliga verk och myndigheter</t>
        </is>
      </c>
      <c r="G977" t="n">
        <v>3.2</v>
      </c>
      <c r="H977" t="n">
        <v>0</v>
      </c>
      <c r="I977" t="n">
        <v>0</v>
      </c>
      <c r="J977" t="n">
        <v>0</v>
      </c>
      <c r="K977" t="n">
        <v>0</v>
      </c>
      <c r="L977" t="n">
        <v>0</v>
      </c>
      <c r="M977" t="n">
        <v>0</v>
      </c>
      <c r="N977" t="n">
        <v>0</v>
      </c>
      <c r="O977" t="n">
        <v>0</v>
      </c>
      <c r="P977" t="n">
        <v>0</v>
      </c>
      <c r="Q977" t="n">
        <v>0</v>
      </c>
      <c r="R977" s="2" t="inlineStr"/>
    </row>
    <row r="978" ht="15" customHeight="1">
      <c r="A978" t="inlineStr">
        <is>
          <t>A 29799-2023</t>
        </is>
      </c>
      <c r="B978" s="1" t="n">
        <v>45107.53688657407</v>
      </c>
      <c r="C978" s="1" t="n">
        <v>45999</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24098-2024</t>
        </is>
      </c>
      <c r="B979" s="1" t="n">
        <v>45456.59535879629</v>
      </c>
      <c r="C979" s="1" t="n">
        <v>45999</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25462-2023</t>
        </is>
      </c>
      <c r="B980" s="1" t="n">
        <v>45089</v>
      </c>
      <c r="C980" s="1" t="n">
        <v>45999</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33622-2024</t>
        </is>
      </c>
      <c r="B981" s="1" t="n">
        <v>45520</v>
      </c>
      <c r="C981" s="1" t="n">
        <v>45999</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27442-2024</t>
        </is>
      </c>
      <c r="B982" s="1" t="n">
        <v>45474.41729166666</v>
      </c>
      <c r="C982" s="1" t="n">
        <v>45999</v>
      </c>
      <c r="D982" t="inlineStr">
        <is>
          <t>UPPSALA LÄN</t>
        </is>
      </c>
      <c r="E982" t="inlineStr">
        <is>
          <t>UPPSALA</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60003-2024</t>
        </is>
      </c>
      <c r="B983" s="1" t="n">
        <v>45642</v>
      </c>
      <c r="C983" s="1" t="n">
        <v>45999</v>
      </c>
      <c r="D983" t="inlineStr">
        <is>
          <t>UPPSALA LÄN</t>
        </is>
      </c>
      <c r="E983" t="inlineStr">
        <is>
          <t>UPPSALA</t>
        </is>
      </c>
      <c r="F983" t="inlineStr">
        <is>
          <t>Bergvik skog väst AB</t>
        </is>
      </c>
      <c r="G983" t="n">
        <v>14.5</v>
      </c>
      <c r="H983" t="n">
        <v>0</v>
      </c>
      <c r="I983" t="n">
        <v>0</v>
      </c>
      <c r="J983" t="n">
        <v>0</v>
      </c>
      <c r="K983" t="n">
        <v>0</v>
      </c>
      <c r="L983" t="n">
        <v>0</v>
      </c>
      <c r="M983" t="n">
        <v>0</v>
      </c>
      <c r="N983" t="n">
        <v>0</v>
      </c>
      <c r="O983" t="n">
        <v>0</v>
      </c>
      <c r="P983" t="n">
        <v>0</v>
      </c>
      <c r="Q983" t="n">
        <v>0</v>
      </c>
      <c r="R983" s="2" t="inlineStr"/>
    </row>
    <row r="984" ht="15" customHeight="1">
      <c r="A984" t="inlineStr">
        <is>
          <t>A 6058-2025</t>
        </is>
      </c>
      <c r="B984" s="1" t="n">
        <v>45695.83655092592</v>
      </c>
      <c r="C984" s="1" t="n">
        <v>45999</v>
      </c>
      <c r="D984" t="inlineStr">
        <is>
          <t>UPPSALA LÄN</t>
        </is>
      </c>
      <c r="E984" t="inlineStr">
        <is>
          <t>UPPSALA</t>
        </is>
      </c>
      <c r="F984" t="inlineStr">
        <is>
          <t>Bergvik skog öst AB</t>
        </is>
      </c>
      <c r="G984" t="n">
        <v>1.3</v>
      </c>
      <c r="H984" t="n">
        <v>0</v>
      </c>
      <c r="I984" t="n">
        <v>0</v>
      </c>
      <c r="J984" t="n">
        <v>0</v>
      </c>
      <c r="K984" t="n">
        <v>0</v>
      </c>
      <c r="L984" t="n">
        <v>0</v>
      </c>
      <c r="M984" t="n">
        <v>0</v>
      </c>
      <c r="N984" t="n">
        <v>0</v>
      </c>
      <c r="O984" t="n">
        <v>0</v>
      </c>
      <c r="P984" t="n">
        <v>0</v>
      </c>
      <c r="Q984" t="n">
        <v>0</v>
      </c>
      <c r="R984" s="2" t="inlineStr"/>
    </row>
    <row r="985" ht="15" customHeight="1">
      <c r="A985" t="inlineStr">
        <is>
          <t>A 8164-2025</t>
        </is>
      </c>
      <c r="B985" s="1" t="n">
        <v>45707</v>
      </c>
      <c r="C985" s="1" t="n">
        <v>45999</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60954-2024</t>
        </is>
      </c>
      <c r="B986" s="1" t="n">
        <v>45645</v>
      </c>
      <c r="C986" s="1" t="n">
        <v>45999</v>
      </c>
      <c r="D986" t="inlineStr">
        <is>
          <t>UPPSALA LÄN</t>
        </is>
      </c>
      <c r="E986" t="inlineStr">
        <is>
          <t>UPPSALA</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31157-2023</t>
        </is>
      </c>
      <c r="B987" s="1" t="n">
        <v>45113</v>
      </c>
      <c r="C987" s="1" t="n">
        <v>45999</v>
      </c>
      <c r="D987" t="inlineStr">
        <is>
          <t>UPPSALA LÄN</t>
        </is>
      </c>
      <c r="E987" t="inlineStr">
        <is>
          <t>UPPSALA</t>
        </is>
      </c>
      <c r="G987" t="n">
        <v>1.6</v>
      </c>
      <c r="H987" t="n">
        <v>0</v>
      </c>
      <c r="I987" t="n">
        <v>0</v>
      </c>
      <c r="J987" t="n">
        <v>0</v>
      </c>
      <c r="K987" t="n">
        <v>0</v>
      </c>
      <c r="L987" t="n">
        <v>0</v>
      </c>
      <c r="M987" t="n">
        <v>0</v>
      </c>
      <c r="N987" t="n">
        <v>0</v>
      </c>
      <c r="O987" t="n">
        <v>0</v>
      </c>
      <c r="P987" t="n">
        <v>0</v>
      </c>
      <c r="Q987" t="n">
        <v>0</v>
      </c>
      <c r="R987" s="2" t="inlineStr"/>
    </row>
    <row r="988" ht="15" customHeight="1">
      <c r="A988" t="inlineStr">
        <is>
          <t>A 31161-2023</t>
        </is>
      </c>
      <c r="B988" s="1" t="n">
        <v>45113.80170138889</v>
      </c>
      <c r="C988" s="1" t="n">
        <v>45999</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17593-2025</t>
        </is>
      </c>
      <c r="B989" s="1" t="n">
        <v>45757.6997337963</v>
      </c>
      <c r="C989" s="1" t="n">
        <v>45999</v>
      </c>
      <c r="D989" t="inlineStr">
        <is>
          <t>UPPSALA LÄN</t>
        </is>
      </c>
      <c r="E989" t="inlineStr">
        <is>
          <t>UPPSALA</t>
        </is>
      </c>
      <c r="G989" t="n">
        <v>3.6</v>
      </c>
      <c r="H989" t="n">
        <v>0</v>
      </c>
      <c r="I989" t="n">
        <v>0</v>
      </c>
      <c r="J989" t="n">
        <v>0</v>
      </c>
      <c r="K989" t="n">
        <v>0</v>
      </c>
      <c r="L989" t="n">
        <v>0</v>
      </c>
      <c r="M989" t="n">
        <v>0</v>
      </c>
      <c r="N989" t="n">
        <v>0</v>
      </c>
      <c r="O989" t="n">
        <v>0</v>
      </c>
      <c r="P989" t="n">
        <v>0</v>
      </c>
      <c r="Q989" t="n">
        <v>0</v>
      </c>
      <c r="R989" s="2" t="inlineStr"/>
    </row>
    <row r="990" ht="15" customHeight="1">
      <c r="A990" t="inlineStr">
        <is>
          <t>A 17596-2025</t>
        </is>
      </c>
      <c r="B990" s="1" t="n">
        <v>45757</v>
      </c>
      <c r="C990" s="1" t="n">
        <v>45999</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57871-2024</t>
        </is>
      </c>
      <c r="B991" s="1" t="n">
        <v>45631.44464120371</v>
      </c>
      <c r="C991" s="1" t="n">
        <v>45999</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6971-2025</t>
        </is>
      </c>
      <c r="B992" s="1" t="n">
        <v>45693</v>
      </c>
      <c r="C992" s="1" t="n">
        <v>45999</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9982-2025</t>
        </is>
      </c>
      <c r="B993" s="1" t="n">
        <v>45719.4094212963</v>
      </c>
      <c r="C993" s="1" t="n">
        <v>45999</v>
      </c>
      <c r="D993" t="inlineStr">
        <is>
          <t>UPPSALA LÄN</t>
        </is>
      </c>
      <c r="E993" t="inlineStr">
        <is>
          <t>UPPSALA</t>
        </is>
      </c>
      <c r="F993" t="inlineStr">
        <is>
          <t>Kyrkan</t>
        </is>
      </c>
      <c r="G993" t="n">
        <v>2.9</v>
      </c>
      <c r="H993" t="n">
        <v>0</v>
      </c>
      <c r="I993" t="n">
        <v>0</v>
      </c>
      <c r="J993" t="n">
        <v>0</v>
      </c>
      <c r="K993" t="n">
        <v>0</v>
      </c>
      <c r="L993" t="n">
        <v>0</v>
      </c>
      <c r="M993" t="n">
        <v>0</v>
      </c>
      <c r="N993" t="n">
        <v>0</v>
      </c>
      <c r="O993" t="n">
        <v>0</v>
      </c>
      <c r="P993" t="n">
        <v>0</v>
      </c>
      <c r="Q993" t="n">
        <v>0</v>
      </c>
      <c r="R993" s="2" t="inlineStr"/>
    </row>
    <row r="994" ht="15" customHeight="1">
      <c r="A994" t="inlineStr">
        <is>
          <t>A 9995-2025</t>
        </is>
      </c>
      <c r="B994" s="1" t="n">
        <v>45719.43872685185</v>
      </c>
      <c r="C994" s="1" t="n">
        <v>45999</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13128-2022</t>
        </is>
      </c>
      <c r="B995" s="1" t="n">
        <v>44644.37548611111</v>
      </c>
      <c r="C995" s="1" t="n">
        <v>45999</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37763-2021</t>
        </is>
      </c>
      <c r="B996" s="1" t="n">
        <v>44400.6750925926</v>
      </c>
      <c r="C996" s="1" t="n">
        <v>45999</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37820-2021</t>
        </is>
      </c>
      <c r="B997" s="1" t="n">
        <v>44403.3119212963</v>
      </c>
      <c r="C997" s="1" t="n">
        <v>45999</v>
      </c>
      <c r="D997" t="inlineStr">
        <is>
          <t>UPPSALA LÄN</t>
        </is>
      </c>
      <c r="E997" t="inlineStr">
        <is>
          <t>UPPSALA</t>
        </is>
      </c>
      <c r="F997" t="inlineStr">
        <is>
          <t>Bergvik skog öst AB</t>
        </is>
      </c>
      <c r="G997" t="n">
        <v>0.6</v>
      </c>
      <c r="H997" t="n">
        <v>0</v>
      </c>
      <c r="I997" t="n">
        <v>0</v>
      </c>
      <c r="J997" t="n">
        <v>0</v>
      </c>
      <c r="K997" t="n">
        <v>0</v>
      </c>
      <c r="L997" t="n">
        <v>0</v>
      </c>
      <c r="M997" t="n">
        <v>0</v>
      </c>
      <c r="N997" t="n">
        <v>0</v>
      </c>
      <c r="O997" t="n">
        <v>0</v>
      </c>
      <c r="P997" t="n">
        <v>0</v>
      </c>
      <c r="Q997" t="n">
        <v>0</v>
      </c>
      <c r="R997" s="2" t="inlineStr"/>
    </row>
    <row r="998" ht="15" customHeight="1">
      <c r="A998" t="inlineStr">
        <is>
          <t>A 9295-2023</t>
        </is>
      </c>
      <c r="B998" s="1" t="n">
        <v>44980</v>
      </c>
      <c r="C998" s="1" t="n">
        <v>45999</v>
      </c>
      <c r="D998" t="inlineStr">
        <is>
          <t>UPPSALA LÄN</t>
        </is>
      </c>
      <c r="E998" t="inlineStr">
        <is>
          <t>UPPSALA</t>
        </is>
      </c>
      <c r="G998" t="n">
        <v>2.1</v>
      </c>
      <c r="H998" t="n">
        <v>0</v>
      </c>
      <c r="I998" t="n">
        <v>0</v>
      </c>
      <c r="J998" t="n">
        <v>0</v>
      </c>
      <c r="K998" t="n">
        <v>0</v>
      </c>
      <c r="L998" t="n">
        <v>0</v>
      </c>
      <c r="M998" t="n">
        <v>0</v>
      </c>
      <c r="N998" t="n">
        <v>0</v>
      </c>
      <c r="O998" t="n">
        <v>0</v>
      </c>
      <c r="P998" t="n">
        <v>0</v>
      </c>
      <c r="Q998" t="n">
        <v>0</v>
      </c>
      <c r="R998" s="2" t="inlineStr"/>
    </row>
    <row r="999" ht="15" customHeight="1">
      <c r="A999" t="inlineStr">
        <is>
          <t>A 63307-2021</t>
        </is>
      </c>
      <c r="B999" s="1" t="n">
        <v>44508.44033564815</v>
      </c>
      <c r="C999" s="1" t="n">
        <v>45999</v>
      </c>
      <c r="D999" t="inlineStr">
        <is>
          <t>UPPSALA LÄN</t>
        </is>
      </c>
      <c r="E999" t="inlineStr">
        <is>
          <t>UPPSALA</t>
        </is>
      </c>
      <c r="F999" t="inlineStr">
        <is>
          <t>Bergvik skog öst AB</t>
        </is>
      </c>
      <c r="G999" t="n">
        <v>2.8</v>
      </c>
      <c r="H999" t="n">
        <v>0</v>
      </c>
      <c r="I999" t="n">
        <v>0</v>
      </c>
      <c r="J999" t="n">
        <v>0</v>
      </c>
      <c r="K999" t="n">
        <v>0</v>
      </c>
      <c r="L999" t="n">
        <v>0</v>
      </c>
      <c r="M999" t="n">
        <v>0</v>
      </c>
      <c r="N999" t="n">
        <v>0</v>
      </c>
      <c r="O999" t="n">
        <v>0</v>
      </c>
      <c r="P999" t="n">
        <v>0</v>
      </c>
      <c r="Q999" t="n">
        <v>0</v>
      </c>
      <c r="R999" s="2" t="inlineStr"/>
    </row>
    <row r="1000" ht="15" customHeight="1">
      <c r="A1000" t="inlineStr">
        <is>
          <t>A 66690-2021</t>
        </is>
      </c>
      <c r="B1000" s="1" t="n">
        <v>44519.64902777778</v>
      </c>
      <c r="C1000" s="1" t="n">
        <v>45999</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62044-2024</t>
        </is>
      </c>
      <c r="B1001" s="1" t="n">
        <v>45656</v>
      </c>
      <c r="C1001" s="1" t="n">
        <v>45999</v>
      </c>
      <c r="D1001" t="inlineStr">
        <is>
          <t>UPPSALA LÄN</t>
        </is>
      </c>
      <c r="E1001" t="inlineStr">
        <is>
          <t>UPPSALA</t>
        </is>
      </c>
      <c r="F1001" t="inlineStr">
        <is>
          <t>Övriga statliga verk och myndigheter</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27912-2023</t>
        </is>
      </c>
      <c r="B1002" s="1" t="n">
        <v>45098.63572916666</v>
      </c>
      <c r="C1002" s="1" t="n">
        <v>45999</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5764-2025</t>
        </is>
      </c>
      <c r="B1003" s="1" t="n">
        <v>45694</v>
      </c>
      <c r="C1003" s="1" t="n">
        <v>45999</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45999</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21727-2023</t>
        </is>
      </c>
      <c r="B1005" s="1" t="n">
        <v>45065.43013888889</v>
      </c>
      <c r="C1005" s="1" t="n">
        <v>45999</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59116-2024</t>
        </is>
      </c>
      <c r="B1006" s="1" t="n">
        <v>45637</v>
      </c>
      <c r="C1006" s="1" t="n">
        <v>45999</v>
      </c>
      <c r="D1006" t="inlineStr">
        <is>
          <t>UPPSALA LÄN</t>
        </is>
      </c>
      <c r="E1006" t="inlineStr">
        <is>
          <t>UPPSALA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69698-2021</t>
        </is>
      </c>
      <c r="B1007" s="1" t="n">
        <v>44532</v>
      </c>
      <c r="C1007" s="1" t="n">
        <v>45999</v>
      </c>
      <c r="D1007" t="inlineStr">
        <is>
          <t>UPPSALA LÄN</t>
        </is>
      </c>
      <c r="E1007" t="inlineStr">
        <is>
          <t>UPPSALA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5068-2025</t>
        </is>
      </c>
      <c r="B1008" s="1" t="n">
        <v>45691</v>
      </c>
      <c r="C1008" s="1" t="n">
        <v>45999</v>
      </c>
      <c r="D1008" t="inlineStr">
        <is>
          <t>UPPSALA LÄN</t>
        </is>
      </c>
      <c r="E1008" t="inlineStr">
        <is>
          <t>UPPSALA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5204-2025</t>
        </is>
      </c>
      <c r="B1009" s="1" t="n">
        <v>45691</v>
      </c>
      <c r="C1009" s="1" t="n">
        <v>45999</v>
      </c>
      <c r="D1009" t="inlineStr">
        <is>
          <t>UPPSALA LÄN</t>
        </is>
      </c>
      <c r="E1009" t="inlineStr">
        <is>
          <t>UPPSALA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9993-2025</t>
        </is>
      </c>
      <c r="B1010" s="1" t="n">
        <v>45719.43755787037</v>
      </c>
      <c r="C1010" s="1" t="n">
        <v>45999</v>
      </c>
      <c r="D1010" t="inlineStr">
        <is>
          <t>UPPSALA LÄN</t>
        </is>
      </c>
      <c r="E1010" t="inlineStr">
        <is>
          <t>UPPSALA</t>
        </is>
      </c>
      <c r="F1010" t="inlineStr">
        <is>
          <t>Kyrkan</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20102-2023</t>
        </is>
      </c>
      <c r="B1011" s="1" t="n">
        <v>45054.95675925926</v>
      </c>
      <c r="C1011" s="1" t="n">
        <v>45999</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19017-2023</t>
        </is>
      </c>
      <c r="B1012" s="1" t="n">
        <v>45047.31793981481</v>
      </c>
      <c r="C1012" s="1" t="n">
        <v>45999</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55862-2022</t>
        </is>
      </c>
      <c r="B1013" s="1" t="n">
        <v>44888</v>
      </c>
      <c r="C1013" s="1" t="n">
        <v>45999</v>
      </c>
      <c r="D1013" t="inlineStr">
        <is>
          <t>UPPSALA LÄN</t>
        </is>
      </c>
      <c r="E1013" t="inlineStr">
        <is>
          <t>UPPSALA</t>
        </is>
      </c>
      <c r="F1013" t="inlineStr">
        <is>
          <t>Bergvik skog öst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1020-2021</t>
        </is>
      </c>
      <c r="B1014" s="1" t="n">
        <v>44207</v>
      </c>
      <c r="C1014" s="1" t="n">
        <v>45999</v>
      </c>
      <c r="D1014" t="inlineStr">
        <is>
          <t>UPPSALA LÄN</t>
        </is>
      </c>
      <c r="E1014" t="inlineStr">
        <is>
          <t>UPPSALA</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33191-2023</t>
        </is>
      </c>
      <c r="B1015" s="1" t="n">
        <v>45127</v>
      </c>
      <c r="C1015" s="1" t="n">
        <v>45999</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c r="A1016" t="inlineStr">
        <is>
          <t>A 34265-2021</t>
        </is>
      </c>
      <c r="B1016" s="1" t="n">
        <v>44379.5745949074</v>
      </c>
      <c r="C1016" s="1" t="n">
        <v>45999</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2025-12-08T10:31:13Z</dcterms:created>
  <dcterms:modified xmlns:dcterms="http://purl.org/dc/terms/" xmlns:xsi="http://www.w3.org/2001/XMLSchema-instance" xsi:type="dcterms:W3CDTF">2025-12-08T10:31:14Z</dcterms:modified>
</cp:coreProperties>
</file>