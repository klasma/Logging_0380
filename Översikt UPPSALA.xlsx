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45809</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45809</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45809</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45809</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45809</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45809</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45809</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45809</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45809</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45809</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45809</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45809</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45809</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45809</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45809</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45809</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45809</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45809</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45809</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45809</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45809</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45809</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45809</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45809</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45809</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45809</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45809</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45809</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45809</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45809</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45809</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45809</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45809</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45809</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45809</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45809</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45809</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45809</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45809</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45809</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45809</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45809</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45809</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45809</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45809</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45809</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45809</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45809</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45809</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45809</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45809</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45809</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45809</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45809</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45809</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45809</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45809</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45809</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45809</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45809</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45809</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45809</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45809</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45809</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45809</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45809</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45809</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45809</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45809</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45809</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45809</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45809</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45809</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45809</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45809</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45809</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45809</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45809</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45809</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45809</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45809</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45809</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45809</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45809</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45809</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45809</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45809</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45809</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45809</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45809</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45809</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45809</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45809</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45809</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45809</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45809</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45809</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45809</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45809</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45809</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45809</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45809</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45809</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45809</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45809</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45809</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45809</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45809</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45809</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45809</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45809</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45809</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45809</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45809</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45809</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45809</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45809</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45809</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45809</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45809</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45809</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45809</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45809</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45809</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45809</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45809</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45809</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45809</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45809</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45809</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45809</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45809</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45809</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45809</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45809</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45809</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45809</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45809</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45809</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45809</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45809</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45809</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45809</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45809</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45809</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45809</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45809</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45809</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45809</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45809</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45809</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45809</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45809</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45809</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45809</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45809</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45809</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45809</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45809</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45809</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45809</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45809</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45809</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45809</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45809</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45809</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45809</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45809</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45809</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45809</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45809</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45809</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45809</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45809</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45809</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45809</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45809</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45809</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45809</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45809</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45809</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45809</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45809</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45809</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45809</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45809</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45809</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45809</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45809</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45809</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45809</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45809</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45809</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45809</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45809</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45809</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25660-2025</t>
        </is>
      </c>
      <c r="B215" s="1" t="n">
        <v>45803</v>
      </c>
      <c r="C215" s="1" t="n">
        <v>45809</v>
      </c>
      <c r="D215" t="inlineStr">
        <is>
          <t>UPPSALA LÄN</t>
        </is>
      </c>
      <c r="E215" t="inlineStr">
        <is>
          <t>UPPSALA</t>
        </is>
      </c>
      <c r="F215" t="inlineStr">
        <is>
          <t>Holmen skog AB</t>
        </is>
      </c>
      <c r="G215" t="n">
        <v>4.8</v>
      </c>
      <c r="H215" t="n">
        <v>0</v>
      </c>
      <c r="I215" t="n">
        <v>1</v>
      </c>
      <c r="J215" t="n">
        <v>0</v>
      </c>
      <c r="K215" t="n">
        <v>0</v>
      </c>
      <c r="L215" t="n">
        <v>0</v>
      </c>
      <c r="M215" t="n">
        <v>0</v>
      </c>
      <c r="N215" t="n">
        <v>0</v>
      </c>
      <c r="O215" t="n">
        <v>0</v>
      </c>
      <c r="P215" t="n">
        <v>0</v>
      </c>
      <c r="Q215" t="n">
        <v>1</v>
      </c>
      <c r="R215" s="2" t="inlineStr">
        <is>
          <t>Skogshakmossa</t>
        </is>
      </c>
      <c r="S215">
        <f>HYPERLINK("https://klasma.github.io/Logging_030380/artfynd/A 25660-2025 artfynd.xlsx", "A 25660-2025")</f>
        <v/>
      </c>
      <c r="T215">
        <f>HYPERLINK("https://klasma.github.io/Logging_030380/kartor/A 25660-2025 karta.png", "A 25660-2025")</f>
        <v/>
      </c>
      <c r="V215">
        <f>HYPERLINK("https://klasma.github.io/Logging_030380/klagomål/A 25660-2025 FSC-klagomål.docx", "A 25660-2025")</f>
        <v/>
      </c>
      <c r="W215">
        <f>HYPERLINK("https://klasma.github.io/Logging_030380/klagomålsmail/A 25660-2025 FSC-klagomål mail.docx", "A 25660-2025")</f>
        <v/>
      </c>
      <c r="X215">
        <f>HYPERLINK("https://klasma.github.io/Logging_030380/tillsyn/A 25660-2025 tillsynsbegäran.docx", "A 25660-2025")</f>
        <v/>
      </c>
      <c r="Y215">
        <f>HYPERLINK("https://klasma.github.io/Logging_030380/tillsynsmail/A 25660-2025 tillsynsbegäran mail.docx", "A 25660-2025")</f>
        <v/>
      </c>
    </row>
    <row r="216" ht="15" customHeight="1">
      <c r="A216" t="inlineStr">
        <is>
          <t>A 25608-2025</t>
        </is>
      </c>
      <c r="B216" s="1" t="n">
        <v>45803</v>
      </c>
      <c r="C216" s="1" t="n">
        <v>45809</v>
      </c>
      <c r="D216" t="inlineStr">
        <is>
          <t>UPPSALA LÄN</t>
        </is>
      </c>
      <c r="E216" t="inlineStr">
        <is>
          <t>UPPSALA</t>
        </is>
      </c>
      <c r="F216" t="inlineStr">
        <is>
          <t>Holmen skog AB</t>
        </is>
      </c>
      <c r="G216" t="n">
        <v>3</v>
      </c>
      <c r="H216" t="n">
        <v>0</v>
      </c>
      <c r="I216" t="n">
        <v>1</v>
      </c>
      <c r="J216" t="n">
        <v>0</v>
      </c>
      <c r="K216" t="n">
        <v>0</v>
      </c>
      <c r="L216" t="n">
        <v>0</v>
      </c>
      <c r="M216" t="n">
        <v>0</v>
      </c>
      <c r="N216" t="n">
        <v>0</v>
      </c>
      <c r="O216" t="n">
        <v>0</v>
      </c>
      <c r="P216" t="n">
        <v>0</v>
      </c>
      <c r="Q216" t="n">
        <v>1</v>
      </c>
      <c r="R216" s="2" t="inlineStr">
        <is>
          <t>Stuplav</t>
        </is>
      </c>
      <c r="S216">
        <f>HYPERLINK("https://klasma.github.io/Logging_030380/artfynd/A 25608-2025 artfynd.xlsx", "A 25608-2025")</f>
        <v/>
      </c>
      <c r="T216">
        <f>HYPERLINK("https://klasma.github.io/Logging_030380/kartor/A 25608-2025 karta.png", "A 25608-2025")</f>
        <v/>
      </c>
      <c r="V216">
        <f>HYPERLINK("https://klasma.github.io/Logging_030380/klagomål/A 25608-2025 FSC-klagomål.docx", "A 25608-2025")</f>
        <v/>
      </c>
      <c r="W216">
        <f>HYPERLINK("https://klasma.github.io/Logging_030380/klagomålsmail/A 25608-2025 FSC-klagomål mail.docx", "A 25608-2025")</f>
        <v/>
      </c>
      <c r="X216">
        <f>HYPERLINK("https://klasma.github.io/Logging_030380/tillsyn/A 25608-2025 tillsynsbegäran.docx", "A 25608-2025")</f>
        <v/>
      </c>
      <c r="Y216">
        <f>HYPERLINK("https://klasma.github.io/Logging_030380/tillsynsmail/A 25608-2025 tillsynsbegäran mail.docx", "A 25608-2025")</f>
        <v/>
      </c>
    </row>
    <row r="217" ht="15" customHeight="1">
      <c r="A217" t="inlineStr">
        <is>
          <t>A 25609-2025</t>
        </is>
      </c>
      <c r="B217" s="1" t="n">
        <v>45803</v>
      </c>
      <c r="C217" s="1" t="n">
        <v>45809</v>
      </c>
      <c r="D217" t="inlineStr">
        <is>
          <t>UPPSALA LÄN</t>
        </is>
      </c>
      <c r="E217" t="inlineStr">
        <is>
          <t>UPPSALA</t>
        </is>
      </c>
      <c r="F217" t="inlineStr">
        <is>
          <t>Holmen skog AB</t>
        </is>
      </c>
      <c r="G217" t="n">
        <v>4.5</v>
      </c>
      <c r="H217" t="n">
        <v>1</v>
      </c>
      <c r="I217" t="n">
        <v>0</v>
      </c>
      <c r="J217" t="n">
        <v>0</v>
      </c>
      <c r="K217" t="n">
        <v>0</v>
      </c>
      <c r="L217" t="n">
        <v>0</v>
      </c>
      <c r="M217" t="n">
        <v>0</v>
      </c>
      <c r="N217" t="n">
        <v>0</v>
      </c>
      <c r="O217" t="n">
        <v>0</v>
      </c>
      <c r="P217" t="n">
        <v>0</v>
      </c>
      <c r="Q217" t="n">
        <v>1</v>
      </c>
      <c r="R217" s="2" t="inlineStr">
        <is>
          <t>Blåsippa</t>
        </is>
      </c>
      <c r="S217">
        <f>HYPERLINK("https://klasma.github.io/Logging_030380/artfynd/A 25609-2025 artfynd.xlsx", "A 25609-2025")</f>
        <v/>
      </c>
      <c r="T217">
        <f>HYPERLINK("https://klasma.github.io/Logging_030380/kartor/A 25609-2025 karta.png", "A 25609-2025")</f>
        <v/>
      </c>
      <c r="U217">
        <f>HYPERLINK("https://klasma.github.io/Logging_030380/knärot/A 25609-2025 karta knärot.png", "A 25609-2025")</f>
        <v/>
      </c>
      <c r="V217">
        <f>HYPERLINK("https://klasma.github.io/Logging_030380/klagomål/A 25609-2025 FSC-klagomål.docx", "A 25609-2025")</f>
        <v/>
      </c>
      <c r="W217">
        <f>HYPERLINK("https://klasma.github.io/Logging_030380/klagomålsmail/A 25609-2025 FSC-klagomål mail.docx", "A 25609-2025")</f>
        <v/>
      </c>
      <c r="X217">
        <f>HYPERLINK("https://klasma.github.io/Logging_030380/tillsyn/A 25609-2025 tillsynsbegäran.docx", "A 25609-2025")</f>
        <v/>
      </c>
      <c r="Y217">
        <f>HYPERLINK("https://klasma.github.io/Logging_030380/tillsynsmail/A 25609-2025 tillsynsbegäran mail.docx", "A 25609-2025")</f>
        <v/>
      </c>
    </row>
    <row r="218" ht="15" customHeight="1">
      <c r="A218" t="inlineStr">
        <is>
          <t>A 26135-2025</t>
        </is>
      </c>
      <c r="B218" s="1" t="n">
        <v>45805</v>
      </c>
      <c r="C218" s="1" t="n">
        <v>45809</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45809</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45809</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45809</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45809</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45809</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45809</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45809</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45809</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45809</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45809</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45809</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45809</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45809</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45809</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45809</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45809</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45809</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45809</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45809</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45809</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45809</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45809</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45809</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45809</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45809</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45809</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45809</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45809</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45809</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45809</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45809</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45809</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45809</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45809</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45809</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45809</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45809</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45809</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45809</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45809</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45809</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45809</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45809</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45809</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45809</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45809</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45809</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45809</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45809</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45809</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45809</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45809</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45809</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45809</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45809</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45809</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45809</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45809</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45809</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45809</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45809</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45809</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45809</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45809</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45809</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45809</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45809</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45809</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45809</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45809</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45809</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45809</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45809</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45809</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45809</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45809</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45809</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45809</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45809</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45809</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45809</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45809</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45809</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45809</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45809</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45809</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45809</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45809</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45809</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45809</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45809</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45809</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45809</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45809</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45809</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45809</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45809</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45809</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45809</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45809</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45809</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45809</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45809</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45809</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45809</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45809</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45809</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45809</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45809</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45809</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45809</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45809</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45809</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45809</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45809</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45809</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45809</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45809</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45809</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45809</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45809</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45809</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45809</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45809</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45809</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45809</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45809</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45809</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45809</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45809</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45809</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45809</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45809</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45809</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45809</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45809</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45809</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45809</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45809</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45809</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45809</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45809</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45809</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45809</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45809</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45809</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45809</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45809</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45809</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45809</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45809</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45809</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45809</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45809</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45809</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45809</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45809</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45809</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45809</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45809</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45809</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45809</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45809</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45809</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45809</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45809</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45809</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45809</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45809</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45809</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45809</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45809</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45809</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45809</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45809</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45809</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45809</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45809</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45809</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45809</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45809</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45809</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45809</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45809</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45809</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45809</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45809</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45809</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45809</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45809</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45809</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45809</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45809</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45809</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45809</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45809</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45809</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45809</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45809</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45809</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45809</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45809</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45809</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45809</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45809</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45809</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45809</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45809</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45809</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45809</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45809</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45809</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45809</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45809</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45809</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45809</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45809</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45809</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45809</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45809</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45809</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45809</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45809</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45809</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45809</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45809</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45809</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45809</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45809</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45809</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45809</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45809</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45809</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45809</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45809</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45809</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45809</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45809</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45809</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45809</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45809</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45809</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45809</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45809</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45809</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45809</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45809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45809</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45809</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45809</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45809</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45809</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45809</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45809</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45809</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45809</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45809</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45809</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45809</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45809</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45809</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45809</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45809</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45809</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45809</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45809</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45809</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45809</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45809</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45809</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45809</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45809</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45809</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45809</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45809</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45809</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45809</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45809</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45809</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45809</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45809</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45809</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45809</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45809</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45809</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45809</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45809</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45809</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45809</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45809</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45809</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45809</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45809</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45809</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45809</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45809</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45809</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45809</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45809</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45809</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45809</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45809</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45809</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45809</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45809</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45809</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45809</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45809</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45809</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45809</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45809</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45809</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45809</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45809</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45809</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45809</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45809</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45809</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45809</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45809</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45809</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45809</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45809</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45809</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45809</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45809</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45809</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45809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45809</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45809</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45809</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45809</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45809</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45809</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45809</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45809</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45809</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45809</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45809</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45809</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45809</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45809</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45809</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45809</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45809</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45809</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45809</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45809</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45809</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45809</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45809</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45809</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45809</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45809</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45809</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45809</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45809</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45809</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45809</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45809</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45809</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45809</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45809</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45809</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45809</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45809</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45809</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45809</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45809</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45809</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45809</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45809</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45809</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45809</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45809</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45809</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45809</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45809</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45809</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45809</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45809</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45809</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45809</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45809</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45809</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45809</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45809</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45809</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45809</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45809</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45809</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45809</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45809</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45809</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45809</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45809</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45809</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45809</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45809</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45809</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45809</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45809</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45809</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45809</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45809</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45809</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45809</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45809</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45809</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45809</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45809</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45809</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45809</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45809</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45809</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45809</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45809</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45809</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45809</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45809</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45809</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45809</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45809</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45809</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45809</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45809</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45809</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45809</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45809</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45809</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45809</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45809</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45809</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45809</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45809</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45809</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45809</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45809</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45809</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45809</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45809</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45809</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45809</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45809</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45809</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45809</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45809</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45809</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45809</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45809</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45809</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45809</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45809</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45809</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45809</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45809</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45809</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45809</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45809</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45809</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45809</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45809</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45809</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45809</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45809</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45809</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45809</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45809</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45809</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45809</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45809</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45809</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45809</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45809</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45809</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45809</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45809</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45809</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45809</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45809</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45809</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45809</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45809</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45809</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45809</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45809</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45809</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45809</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45809</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45809</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45809</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45809</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45809</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45809</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45809</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45809</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45809</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45809</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45809</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45809</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45809</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45809</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45809</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45809</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45809</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45809</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45809</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45809</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45809</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45809</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45809</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45809</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45809</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45809</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45809</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45809</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45809</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45809</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45809</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45809</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45809</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45809</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45809</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45809</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45809</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45809</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45809</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45809</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45809</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45809</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45809</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45809</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45809</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45809</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45809</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45809</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45809</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45809</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45809</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45809</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45809</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45809</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45809</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45809</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45809</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45809</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45809</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45809</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45809</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45809</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45809</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45809</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45809</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45809</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45809</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45809</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45809</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45809</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45809</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45809</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45809</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45809</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45809</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45809</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45809</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45809</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45809</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45809</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45809</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45809</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45809</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45809</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45809</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45809</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45809</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45809</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45809</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45809</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45809</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45809</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45809</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45809</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45809</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45809</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45809</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45809</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45809</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45809</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45809</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45809</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45809</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45809</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45809</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45809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45809</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45809</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45809</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45809</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45809</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45809</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45809</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45809</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45809</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45809</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45809</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45809</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45809</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45809</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45809</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45809</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45809</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45809</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45809</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45809</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45809</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45809</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45809</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45809</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45809</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45809</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45809</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45809</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45809</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45809</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45809</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45809</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45809</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45809</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45809</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45809</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45809</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45809</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45809</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45809</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45809</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45809</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45809</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45809</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45809</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45809</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45809</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45809</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45809</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45809</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45809</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45809</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45809</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45809</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45809</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45809</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45809</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45809</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45809</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45809</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45809</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45809</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45809</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45809</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45809</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45809</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45809</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45809</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45809</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45809</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45809</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45809</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45809</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45809</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45809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45809</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45809</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45809</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45809</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45809</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45809</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45809</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45809</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45809</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45809</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45809</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45809</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45809</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45809</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45809</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45809</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45809</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45809</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45809</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45809</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45809</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45809</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45809</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45809</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45809</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45809</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45809</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45809</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45809</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45809</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45809</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45809</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45809</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45809</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45809</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45809</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45809</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45809</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45809</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45809</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45809</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45809</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45809</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45809</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45809</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45809</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45809</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45809</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45809</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45809</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45809</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45809</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45809</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45809</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45809</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45809</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45809</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45809</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45809</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45809</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45809</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45809</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45809</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45809</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45809</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45809</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45809</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45809</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45809</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45809</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45809</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45809</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45809</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45809</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45809</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45809</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45809</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45809</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45809</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45809</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45809</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45809</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45809</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45809</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45809</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45809</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45809</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45809</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45809</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45809</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45809</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45809</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45809</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45809</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45809</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45809</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45809</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45809</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45809</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45809</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45809</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45809</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45809</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45809</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45809</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45809</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45809</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45809</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45809</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45809</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45809</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45809</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45809</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45809</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45809</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45809</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45809</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45809</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45809</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45809</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45809</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45809</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45809</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45809</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45809</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45809</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45809</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45809</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45809</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45809</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45809</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45809</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45809</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45809</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45809</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45809</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45809</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45809</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45809</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45809</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45809</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45809</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45809</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45809</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45809</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45809</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45809</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45809</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45809</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45809</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45809</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45809</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45809</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45809</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45809</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45809</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45809</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45809</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45809</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45809</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45809</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45809</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45809</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45809</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45809</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45809</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45809</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45809</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45809</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45809</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45809</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45809</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45809</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45809</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45809</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45809</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45809</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45809</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45809</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45809</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45809</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45809</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45809</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45809</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45809</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45809</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45809</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45809</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45809</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45809</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45809</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45809</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45809</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45809</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45809</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45809</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45809</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45809</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45809</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45809</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45809</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45809</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45809</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45809</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45809</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45809</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45809</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45809</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45809</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45809</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45809</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45809</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45809</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45809</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45809</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45809</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45809</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45809</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45809</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45809</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45809</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45809</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45809</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45809</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45809</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45809</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45809</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45809</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45809</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45809</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45809</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45809</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45809</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45809</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45809</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45809</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45809</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45809</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45809</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45809</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45809</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45809</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45809</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45809</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45809</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45809</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45809</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45809</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45809</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45809</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45809</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45809</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45809</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45809</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45809</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45809</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45809</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45809</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45809</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45809</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45809</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45809</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45809</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45809</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45809</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45809</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45809</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45809</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45809</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45809</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45809</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45809</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45809</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45809</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45809</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45809</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45809</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45809</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45809</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45809</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45809</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45809</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45809</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45809</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45809</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45809</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45809</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45809</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45809</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45809</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45809</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45809</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45809</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45809</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45809</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45809</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45809</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45809</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45809</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45809</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45809</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45809</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45809</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45809</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45809</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45809</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45809</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45809</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45809</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45809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45809</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45809</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45809</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45809</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45809</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45809</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45809</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45809</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45809</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45809</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45809</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45809</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45809</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45809</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45809</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45809</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45809</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45809</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45809</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45809</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45809</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45809</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45809</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45809</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45809</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45809</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45809</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45809</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45809</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45809</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45809</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45809</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45809</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45809</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45809</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45809</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45809</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45809</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45809</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45809</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45809</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45809</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45809</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45809</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45809</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45809</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45809</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45809</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45809</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45809</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45809</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45809</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45809</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45809</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45809</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45809</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45809</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45809</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45809</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45809</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45809</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45809</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45809</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45809</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45809</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45809</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45809</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45809</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45809</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45809</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45809</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45809</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45809</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45809</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45809</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45809</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45809</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45809</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45809</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45809</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45809</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45809</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45809</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45809</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45809</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45809</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45809</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45809</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45809</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45809</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45809</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45809</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45809</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45809</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45809</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45809</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45809</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45809</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45809</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45809</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45809</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45809</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45809</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45809</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45809</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45809</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45809</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45809</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45809</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45809</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45809</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45809</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45809</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45809</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45809</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45809</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45809</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45809</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45809</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45809</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45809</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45809</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45809</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45809</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45809</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45809</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45809</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45809</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45809</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45809</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45809</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45809</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45809</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45809</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45809</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45809</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45809</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45809</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45809</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45809</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45809</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45809</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45809</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45809</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45809</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45809</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45809</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45809</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45809</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45809</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45809</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45809</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45809</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45809</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45809</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45809</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45809</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45809</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45809</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45809</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45809</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45809</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45809</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45809</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45809</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45809</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45809</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45809</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45809</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45809</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45809</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45809</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45809</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45809</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45809</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45809</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45809</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45809</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45809</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45809</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45809</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45809</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45809</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45809</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45809</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45809</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45809</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45809</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45809</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45809</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45809</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45809</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45809</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45809</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45809</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45809</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45809</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45809</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45809</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45809</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45809</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45809</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45809</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45809</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45809</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45809</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45809</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45809</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45809</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45809</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45809</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45809</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45809</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45809</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45809</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45809</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45809</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45809</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45809</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45809</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45809</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45809</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45809</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45809</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45809</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45809</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45809</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45809</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45809</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45809</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45809</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45809</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45809</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45809</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45809</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45809</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45809</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45809</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45809</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45809</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45809</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45809</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45809</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45809</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45809</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45809</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45809</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45809</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45809</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45809</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45809</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45809</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45809</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45809</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45809</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45809</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45809</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45809</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45809</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45809</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45809</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45809</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45809</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45809</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45809</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45809</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45809</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45809</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45809</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45809</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45809</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45809</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45809</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45809</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45809</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45809</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45809</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45809</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45809</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45809</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45809</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45809</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45809</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45809</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45809</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45809</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45809</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45809</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45809</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45809</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45809</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45809</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45809</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45809</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45809</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45809</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45809</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45809</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45809</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45809</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45809</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45809</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45809</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45809</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45809</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45809</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45809</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45809</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45809</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45809</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45809</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45809</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45809</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45809</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45809</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45809</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45809</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45809</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45809</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45809</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45809</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45809</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45809</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45809</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45809</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45809</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45809</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45809</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45809</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45809</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45809</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45809</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45809</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45809</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45809</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45809</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45809</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45809</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45809</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45809</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45809</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45809</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45809</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45809</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45809</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45809</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45809</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45809</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45809</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45809</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45809</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45809</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45809</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45809</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45809</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45809</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45809</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45809</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45809</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45809</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45809</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45809</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45809</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45809</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45809</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45809</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45809</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45809</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45809</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45809</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45809</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45809</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45809</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45809</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45809</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45809</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45809</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45809</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45809</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45809</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45809</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45809</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45809</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45809</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45809</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45809</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45809</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45809</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45809</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45809</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45809</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45809</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45809</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45809</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45809</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45809</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45809</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45809</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45809</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45809</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45809</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45809</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45809</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45809</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45809</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45809</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45809</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45809</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45809</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45809</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45809</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45809</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45809</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45809</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45809</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45809</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45809</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45809</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45809</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45809</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45809</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45809</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45809</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45809</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45809</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45809</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45809</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45809</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45809</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45809</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45809</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45809</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45809</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45809</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45809</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45809</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45809</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45809</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45809</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45809</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45809</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45809</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45809</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45809</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45809</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45809</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45809</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45809</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45809</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45809</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45809</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45809</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45809</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45809</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45809</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45809</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45809</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45809</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45809</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45809</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45809</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45809</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45809</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45809</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45809</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45809</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45809</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45809</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45809</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45809</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45809</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45809</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45809</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45809</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45809</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45809</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45809</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45809</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45809</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45809</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45809</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45809</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45809</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45809</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45809</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45809</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45809</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45809</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45809</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45809</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45809</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45809</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45809</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45809</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45809</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45809</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45809</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45809</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45809</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45809</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45809</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45809</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45809</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45809</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45809</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45809</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45809</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45809</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45809</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45809</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45809</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45809</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45809</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45809</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45809</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45809</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45809</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45809</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45809</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45809</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45809</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45809</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45809</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45809</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45809</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45809</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45809</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45809</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45809</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45809</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45809</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45809</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45809</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45809</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45809</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45809</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45809</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45809</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45809</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45809</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45809</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45809</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45809</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45809</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45809</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45809</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45809</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45809</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45809</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45809</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45809</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45809</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45809</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45809</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45809</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45809</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45809</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45809</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45809</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45809</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45809</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45809</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45809</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45809</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45809</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45809</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45809</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45809</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45809</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45809</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45809</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45809</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45809</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45809</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45809</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45809</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45809</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45809</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45809</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45809</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45809</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45809</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45809</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45809</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45809</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45809</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45809</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45809</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45809</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45809</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45809</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45809</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45809</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45809</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45809</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45809</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45809</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45809</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45809</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45809</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45809</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45809</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45809</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45809</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45809</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45809</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45809</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45809</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21281-2025</t>
        </is>
      </c>
      <c r="B1806" s="1" t="n">
        <v>45779</v>
      </c>
      <c r="C1806" s="1" t="n">
        <v>45809</v>
      </c>
      <c r="D1806" t="inlineStr">
        <is>
          <t>UPPSALA LÄN</t>
        </is>
      </c>
      <c r="E1806" t="inlineStr">
        <is>
          <t>UPPSALA</t>
        </is>
      </c>
      <c r="F1806" t="inlineStr">
        <is>
          <t>Övriga Aktiebolag</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45809</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21217-2025</t>
        </is>
      </c>
      <c r="B1808" s="1" t="n">
        <v>45779</v>
      </c>
      <c r="C1808" s="1" t="n">
        <v>45809</v>
      </c>
      <c r="D1808" t="inlineStr">
        <is>
          <t>UPPSALA LÄN</t>
        </is>
      </c>
      <c r="E1808" t="inlineStr">
        <is>
          <t>UPPSALA</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45809</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45809</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45809</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22951-2025</t>
        </is>
      </c>
      <c r="B1812" s="1" t="n">
        <v>45790</v>
      </c>
      <c r="C1812" s="1" t="n">
        <v>45809</v>
      </c>
      <c r="D1812" t="inlineStr">
        <is>
          <t>UPPSALA LÄN</t>
        </is>
      </c>
      <c r="E1812" t="inlineStr">
        <is>
          <t>UPPSALA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22930-2025</t>
        </is>
      </c>
      <c r="B1813" s="1" t="n">
        <v>45790</v>
      </c>
      <c r="C1813" s="1" t="n">
        <v>45809</v>
      </c>
      <c r="D1813" t="inlineStr">
        <is>
          <t>UPPSALA LÄN</t>
        </is>
      </c>
      <c r="E1813" t="inlineStr">
        <is>
          <t>UPPSALA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45809</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24284-2025</t>
        </is>
      </c>
      <c r="B1815" s="1" t="n">
        <v>45797</v>
      </c>
      <c r="C1815" s="1" t="n">
        <v>45809</v>
      </c>
      <c r="D1815" t="inlineStr">
        <is>
          <t>UPPSALA LÄN</t>
        </is>
      </c>
      <c r="E1815" t="inlineStr">
        <is>
          <t>UPPSALA</t>
        </is>
      </c>
      <c r="F1815" t="inlineStr">
        <is>
          <t>Holmen skog AB</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24268-2025</t>
        </is>
      </c>
      <c r="B1816" s="1" t="n">
        <v>45797</v>
      </c>
      <c r="C1816" s="1" t="n">
        <v>45809</v>
      </c>
      <c r="D1816" t="inlineStr">
        <is>
          <t>UPPSALA LÄN</t>
        </is>
      </c>
      <c r="E1816" t="inlineStr">
        <is>
          <t>UPPSALA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24525-2025</t>
        </is>
      </c>
      <c r="B1817" s="1" t="n">
        <v>45798</v>
      </c>
      <c r="C1817" s="1" t="n">
        <v>45809</v>
      </c>
      <c r="D1817" t="inlineStr">
        <is>
          <t>UPPSALA LÄN</t>
        </is>
      </c>
      <c r="E1817" t="inlineStr">
        <is>
          <t>UPPSALA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24521-2025</t>
        </is>
      </c>
      <c r="B1818" s="1" t="n">
        <v>45798</v>
      </c>
      <c r="C1818" s="1" t="n">
        <v>45809</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24913-2025</t>
        </is>
      </c>
      <c r="B1819" s="1" t="n">
        <v>45799</v>
      </c>
      <c r="C1819" s="1" t="n">
        <v>45809</v>
      </c>
      <c r="D1819" t="inlineStr">
        <is>
          <t>UPPSALA LÄN</t>
        </is>
      </c>
      <c r="E1819" t="inlineStr">
        <is>
          <t>UPPSALA</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24909-2025</t>
        </is>
      </c>
      <c r="B1820" s="1" t="n">
        <v>45799</v>
      </c>
      <c r="C1820" s="1" t="n">
        <v>45809</v>
      </c>
      <c r="D1820" t="inlineStr">
        <is>
          <t>UPPSALA LÄN</t>
        </is>
      </c>
      <c r="E1820" t="inlineStr">
        <is>
          <t>UPPSALA</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24916-2025</t>
        </is>
      </c>
      <c r="B1821" s="1" t="n">
        <v>45799</v>
      </c>
      <c r="C1821" s="1" t="n">
        <v>45809</v>
      </c>
      <c r="D1821" t="inlineStr">
        <is>
          <t>UPPSALA LÄN</t>
        </is>
      </c>
      <c r="E1821" t="inlineStr">
        <is>
          <t>UPPSALA</t>
        </is>
      </c>
      <c r="F1821" t="inlineStr">
        <is>
          <t>Sveaskog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24961-2025</t>
        </is>
      </c>
      <c r="B1822" s="1" t="n">
        <v>45799</v>
      </c>
      <c r="C1822" s="1" t="n">
        <v>45809</v>
      </c>
      <c r="D1822" t="inlineStr">
        <is>
          <t>UPPSALA LÄN</t>
        </is>
      </c>
      <c r="E1822" t="inlineStr">
        <is>
          <t>UPPSALA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25056-2025</t>
        </is>
      </c>
      <c r="B1823" s="1" t="n">
        <v>45799</v>
      </c>
      <c r="C1823" s="1" t="n">
        <v>45809</v>
      </c>
      <c r="D1823" t="inlineStr">
        <is>
          <t>UPPSALA LÄN</t>
        </is>
      </c>
      <c r="E1823" t="inlineStr">
        <is>
          <t>UPPSALA</t>
        </is>
      </c>
      <c r="F1823" t="inlineStr">
        <is>
          <t>Bergvik skog öst AB</t>
        </is>
      </c>
      <c r="G1823" t="n">
        <v>20.9</v>
      </c>
      <c r="H1823" t="n">
        <v>0</v>
      </c>
      <c r="I1823" t="n">
        <v>0</v>
      </c>
      <c r="J1823" t="n">
        <v>0</v>
      </c>
      <c r="K1823" t="n">
        <v>0</v>
      </c>
      <c r="L1823" t="n">
        <v>0</v>
      </c>
      <c r="M1823" t="n">
        <v>0</v>
      </c>
      <c r="N1823" t="n">
        <v>0</v>
      </c>
      <c r="O1823" t="n">
        <v>0</v>
      </c>
      <c r="P1823" t="n">
        <v>0</v>
      </c>
      <c r="Q1823" t="n">
        <v>0</v>
      </c>
      <c r="R1823" s="2" t="inlineStr"/>
    </row>
    <row r="1824" ht="15" customHeight="1">
      <c r="A1824" t="inlineStr">
        <is>
          <t>A 25055-2025</t>
        </is>
      </c>
      <c r="B1824" s="1" t="n">
        <v>45799</v>
      </c>
      <c r="C1824" s="1" t="n">
        <v>45809</v>
      </c>
      <c r="D1824" t="inlineStr">
        <is>
          <t>UPPSALA LÄN</t>
        </is>
      </c>
      <c r="E1824" t="inlineStr">
        <is>
          <t>UPPSALA</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24912-2025</t>
        </is>
      </c>
      <c r="B1825" s="1" t="n">
        <v>45799</v>
      </c>
      <c r="C1825" s="1" t="n">
        <v>45809</v>
      </c>
      <c r="D1825" t="inlineStr">
        <is>
          <t>UPPSALA LÄN</t>
        </is>
      </c>
      <c r="E1825" t="inlineStr">
        <is>
          <t>UPPSALA</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24915-2025</t>
        </is>
      </c>
      <c r="B1826" s="1" t="n">
        <v>45799</v>
      </c>
      <c r="C1826" s="1" t="n">
        <v>45809</v>
      </c>
      <c r="D1826" t="inlineStr">
        <is>
          <t>UPPSALA LÄN</t>
        </is>
      </c>
      <c r="E1826" t="inlineStr">
        <is>
          <t>UPPSALA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25026-2025</t>
        </is>
      </c>
      <c r="B1827" s="1" t="n">
        <v>45799</v>
      </c>
      <c r="C1827" s="1" t="n">
        <v>45809</v>
      </c>
      <c r="D1827" t="inlineStr">
        <is>
          <t>UPPSALA LÄN</t>
        </is>
      </c>
      <c r="E1827" t="inlineStr">
        <is>
          <t>UPPSALA</t>
        </is>
      </c>
      <c r="F1827" t="inlineStr">
        <is>
          <t>Sveaskog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24794-2025</t>
        </is>
      </c>
      <c r="B1828" s="1" t="n">
        <v>45799</v>
      </c>
      <c r="C1828" s="1" t="n">
        <v>45809</v>
      </c>
      <c r="D1828" t="inlineStr">
        <is>
          <t>UPPSALA LÄN</t>
        </is>
      </c>
      <c r="E1828" t="inlineStr">
        <is>
          <t>UPPSALA</t>
        </is>
      </c>
      <c r="F1828" t="inlineStr">
        <is>
          <t>BillerudKorsnäs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25025-2025</t>
        </is>
      </c>
      <c r="B1829" s="1" t="n">
        <v>45799</v>
      </c>
      <c r="C1829" s="1" t="n">
        <v>45809</v>
      </c>
      <c r="D1829" t="inlineStr">
        <is>
          <t>UPPSALA LÄN</t>
        </is>
      </c>
      <c r="E1829" t="inlineStr">
        <is>
          <t>UPPSALA</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25030-2025</t>
        </is>
      </c>
      <c r="B1830" s="1" t="n">
        <v>45799</v>
      </c>
      <c r="C1830" s="1" t="n">
        <v>45809</v>
      </c>
      <c r="D1830" t="inlineStr">
        <is>
          <t>UPPSALA LÄN</t>
        </is>
      </c>
      <c r="E1830" t="inlineStr">
        <is>
          <t>UPPSALA</t>
        </is>
      </c>
      <c r="F1830" t="inlineStr">
        <is>
          <t>Sveaskog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25052-2025</t>
        </is>
      </c>
      <c r="B1831" s="1" t="n">
        <v>45799</v>
      </c>
      <c r="C1831" s="1" t="n">
        <v>45809</v>
      </c>
      <c r="D1831" t="inlineStr">
        <is>
          <t>UPPSALA LÄN</t>
        </is>
      </c>
      <c r="E1831" t="inlineStr">
        <is>
          <t>UPPSALA</t>
        </is>
      </c>
      <c r="F1831" t="inlineStr">
        <is>
          <t>Bergvik skog öst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45809</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45809</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26155-2025</t>
        </is>
      </c>
      <c r="B1834" s="1" t="n">
        <v>45805</v>
      </c>
      <c r="C1834" s="1" t="n">
        <v>45809</v>
      </c>
      <c r="D1834" t="inlineStr">
        <is>
          <t>UPPSALA LÄN</t>
        </is>
      </c>
      <c r="E1834" t="inlineStr">
        <is>
          <t>UPPSALA</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26139-2025</t>
        </is>
      </c>
      <c r="B1835" s="1" t="n">
        <v>45805</v>
      </c>
      <c r="C1835" s="1" t="n">
        <v>45809</v>
      </c>
      <c r="D1835" t="inlineStr">
        <is>
          <t>UPPSALA LÄN</t>
        </is>
      </c>
      <c r="E1835" t="inlineStr">
        <is>
          <t>UPPSALA</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26131-2025</t>
        </is>
      </c>
      <c r="B1836" s="1" t="n">
        <v>45805</v>
      </c>
      <c r="C1836" s="1" t="n">
        <v>45809</v>
      </c>
      <c r="D1836" t="inlineStr">
        <is>
          <t>UPPSALA LÄN</t>
        </is>
      </c>
      <c r="E1836" t="inlineStr">
        <is>
          <t>UPPSALA</t>
        </is>
      </c>
      <c r="F1836" t="inlineStr">
        <is>
          <t>Bergvik skog öst AB</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26141-2025</t>
        </is>
      </c>
      <c r="B1837" s="1" t="n">
        <v>45805</v>
      </c>
      <c r="C1837" s="1" t="n">
        <v>45809</v>
      </c>
      <c r="D1837" t="inlineStr">
        <is>
          <t>UPPSALA LÄN</t>
        </is>
      </c>
      <c r="E1837" t="inlineStr">
        <is>
          <t>UPPSALA</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c r="A1838" t="inlineStr">
        <is>
          <t>A 26130-2025</t>
        </is>
      </c>
      <c r="B1838" s="1" t="n">
        <v>45805</v>
      </c>
      <c r="C1838" s="1" t="n">
        <v>45809</v>
      </c>
      <c r="D1838" t="inlineStr">
        <is>
          <t>UPPSALA LÄN</t>
        </is>
      </c>
      <c r="E1838" t="inlineStr">
        <is>
          <t>UPPSALA</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2025-06-01T11:53:52Z</dcterms:created>
  <dcterms:modified xmlns:dcterms="http://purl.org/dc/terms/" xmlns:xsi="http://www.w3.org/2001/XMLSchema-instance" xsi:type="dcterms:W3CDTF">2025-06-01T11:53:54Z</dcterms:modified>
</cp:coreProperties>
</file>