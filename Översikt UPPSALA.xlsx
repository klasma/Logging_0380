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45762</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45762</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45762</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45762</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45762</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45762</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45762</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45762</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45762</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45762</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45762</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45762</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45762</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45762</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45762</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45762</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45762</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45762</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45762</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45762</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45762</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45762</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45762</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45762</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45762</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45762</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45762</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45762</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45762</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45762</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45762</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45762</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45762</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45762</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45762</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45762</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45762</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45762</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45762</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45762</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45762</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45762</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45762</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45762</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45762</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45762</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45762</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45762</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45762</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45762</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45762</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45762</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45762</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45762</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45762</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45762</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45762</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45762</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45762</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45762</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45762</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45762</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45762</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45762</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45762</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45762</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45762</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45762</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45762</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45762</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45762</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45762</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45762</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45762</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45762</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45762</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45762</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45762</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45762</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45762</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45762</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45762</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45762</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45762</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45762</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45762</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45762</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45762</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45762</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45762</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45762</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45762</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45762</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45762</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45762</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45762</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45762</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45762</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45762</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45762</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45762</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45762</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21862-2019</t>
        </is>
      </c>
      <c r="B125" s="1" t="n">
        <v>43583</v>
      </c>
      <c r="C125" s="1" t="n">
        <v>45762</v>
      </c>
      <c r="D125" t="inlineStr">
        <is>
          <t>UPPSALA LÄN</t>
        </is>
      </c>
      <c r="E125" t="inlineStr">
        <is>
          <t>UPPSALA</t>
        </is>
      </c>
      <c r="G125" t="n">
        <v>9.5</v>
      </c>
      <c r="H125" t="n">
        <v>1</v>
      </c>
      <c r="I125" t="n">
        <v>0</v>
      </c>
      <c r="J125" t="n">
        <v>0</v>
      </c>
      <c r="K125" t="n">
        <v>1</v>
      </c>
      <c r="L125" t="n">
        <v>0</v>
      </c>
      <c r="M125" t="n">
        <v>0</v>
      </c>
      <c r="N125" t="n">
        <v>0</v>
      </c>
      <c r="O125" t="n">
        <v>1</v>
      </c>
      <c r="P125" t="n">
        <v>1</v>
      </c>
      <c r="Q125" t="n">
        <v>1</v>
      </c>
      <c r="R125" s="2" t="inlineStr">
        <is>
          <t>Stare</t>
        </is>
      </c>
      <c r="S125">
        <f>HYPERLINK("https://klasma.github.io/Logging_0380/artfynd/A 21862-2019 artfynd.xlsx", "A 21862-2019")</f>
        <v/>
      </c>
      <c r="T125">
        <f>HYPERLINK("https://klasma.github.io/Logging_0380/kartor/A 21862-2019 karta.png", "A 21862-2019")</f>
        <v/>
      </c>
      <c r="V125">
        <f>HYPERLINK("https://klasma.github.io/Logging_0380/klagomål/A 21862-2019 FSC-klagomål.docx", "A 21862-2019")</f>
        <v/>
      </c>
      <c r="W125">
        <f>HYPERLINK("https://klasma.github.io/Logging_0380/klagomålsmail/A 21862-2019 FSC-klagomål mail.docx", "A 21862-2019")</f>
        <v/>
      </c>
      <c r="X125">
        <f>HYPERLINK("https://klasma.github.io/Logging_0380/tillsyn/A 21862-2019 tillsynsbegäran.docx", "A 21862-2019")</f>
        <v/>
      </c>
      <c r="Y125">
        <f>HYPERLINK("https://klasma.github.io/Logging_0380/tillsynsmail/A 21862-2019 tillsynsbegäran mail.docx", "A 21862-2019")</f>
        <v/>
      </c>
    </row>
    <row r="126" ht="15" customHeight="1">
      <c r="A126" t="inlineStr">
        <is>
          <t>A 40104-2019</t>
        </is>
      </c>
      <c r="B126" s="1" t="n">
        <v>43693</v>
      </c>
      <c r="C126" s="1" t="n">
        <v>45762</v>
      </c>
      <c r="D126" t="inlineStr">
        <is>
          <t>UPPSALA LÄN</t>
        </is>
      </c>
      <c r="E126" t="inlineStr">
        <is>
          <t>UPPSALA</t>
        </is>
      </c>
      <c r="G126" t="n">
        <v>1.8</v>
      </c>
      <c r="H126" t="n">
        <v>1</v>
      </c>
      <c r="I126" t="n">
        <v>0</v>
      </c>
      <c r="J126" t="n">
        <v>0</v>
      </c>
      <c r="K126" t="n">
        <v>0</v>
      </c>
      <c r="L126" t="n">
        <v>0</v>
      </c>
      <c r="M126" t="n">
        <v>0</v>
      </c>
      <c r="N126" t="n">
        <v>0</v>
      </c>
      <c r="O126" t="n">
        <v>0</v>
      </c>
      <c r="P126" t="n">
        <v>0</v>
      </c>
      <c r="Q126" t="n">
        <v>1</v>
      </c>
      <c r="R126" s="2" t="inlineStr">
        <is>
          <t>Huggorm</t>
        </is>
      </c>
      <c r="S126">
        <f>HYPERLINK("https://klasma.github.io/Logging_0380/artfynd/A 40104-2019 artfynd.xlsx", "A 40104-2019")</f>
        <v/>
      </c>
      <c r="T126">
        <f>HYPERLINK("https://klasma.github.io/Logging_0380/kartor/A 40104-2019 karta.png", "A 40104-2019")</f>
        <v/>
      </c>
      <c r="V126">
        <f>HYPERLINK("https://klasma.github.io/Logging_0380/klagomål/A 40104-2019 FSC-klagomål.docx", "A 40104-2019")</f>
        <v/>
      </c>
      <c r="W126">
        <f>HYPERLINK("https://klasma.github.io/Logging_0380/klagomålsmail/A 40104-2019 FSC-klagomål mail.docx", "A 40104-2019")</f>
        <v/>
      </c>
      <c r="X126">
        <f>HYPERLINK("https://klasma.github.io/Logging_0380/tillsyn/A 40104-2019 tillsynsbegäran.docx", "A 40104-2019")</f>
        <v/>
      </c>
      <c r="Y126">
        <f>HYPERLINK("https://klasma.github.io/Logging_0380/tillsynsmail/A 40104-2019 tillsynsbegäran mail.docx", "A 40104-2019")</f>
        <v/>
      </c>
    </row>
    <row r="127" ht="15" customHeight="1">
      <c r="A127" t="inlineStr">
        <is>
          <t>A 40111-2019</t>
        </is>
      </c>
      <c r="B127" s="1" t="n">
        <v>43693</v>
      </c>
      <c r="C127" s="1" t="n">
        <v>45762</v>
      </c>
      <c r="D127" t="inlineStr">
        <is>
          <t>UPPSALA LÄN</t>
        </is>
      </c>
      <c r="E127" t="inlineStr">
        <is>
          <t>UPPSALA</t>
        </is>
      </c>
      <c r="G127" t="n">
        <v>1.9</v>
      </c>
      <c r="H127" t="n">
        <v>1</v>
      </c>
      <c r="I127" t="n">
        <v>0</v>
      </c>
      <c r="J127" t="n">
        <v>0</v>
      </c>
      <c r="K127" t="n">
        <v>0</v>
      </c>
      <c r="L127" t="n">
        <v>0</v>
      </c>
      <c r="M127" t="n">
        <v>0</v>
      </c>
      <c r="N127" t="n">
        <v>0</v>
      </c>
      <c r="O127" t="n">
        <v>0</v>
      </c>
      <c r="P127" t="n">
        <v>0</v>
      </c>
      <c r="Q127" t="n">
        <v>1</v>
      </c>
      <c r="R127" s="2" t="inlineStr">
        <is>
          <t>Blåsippa</t>
        </is>
      </c>
      <c r="S127">
        <f>HYPERLINK("https://klasma.github.io/Logging_0380/artfynd/A 40111-2019 artfynd.xlsx", "A 40111-2019")</f>
        <v/>
      </c>
      <c r="T127">
        <f>HYPERLINK("https://klasma.github.io/Logging_0380/kartor/A 40111-2019 karta.png", "A 40111-2019")</f>
        <v/>
      </c>
      <c r="V127">
        <f>HYPERLINK("https://klasma.github.io/Logging_0380/klagomål/A 40111-2019 FSC-klagomål.docx", "A 40111-2019")</f>
        <v/>
      </c>
      <c r="W127">
        <f>HYPERLINK("https://klasma.github.io/Logging_0380/klagomålsmail/A 40111-2019 FSC-klagomål mail.docx", "A 40111-2019")</f>
        <v/>
      </c>
      <c r="X127">
        <f>HYPERLINK("https://klasma.github.io/Logging_0380/tillsyn/A 40111-2019 tillsynsbegäran.docx", "A 40111-2019")</f>
        <v/>
      </c>
      <c r="Y127">
        <f>HYPERLINK("https://klasma.github.io/Logging_0380/tillsynsmail/A 40111-2019 tillsynsbegäran mail.docx", "A 40111-2019")</f>
        <v/>
      </c>
    </row>
    <row r="128" ht="15" customHeight="1">
      <c r="A128" t="inlineStr">
        <is>
          <t>A 49081-2019</t>
        </is>
      </c>
      <c r="B128" s="1" t="n">
        <v>43731</v>
      </c>
      <c r="C128" s="1" t="n">
        <v>45762</v>
      </c>
      <c r="D128" t="inlineStr">
        <is>
          <t>UPPSALA LÄN</t>
        </is>
      </c>
      <c r="E128" t="inlineStr">
        <is>
          <t>UPPSALA</t>
        </is>
      </c>
      <c r="G128" t="n">
        <v>14.4</v>
      </c>
      <c r="H128" t="n">
        <v>1</v>
      </c>
      <c r="I128" t="n">
        <v>0</v>
      </c>
      <c r="J128" t="n">
        <v>0</v>
      </c>
      <c r="K128" t="n">
        <v>0</v>
      </c>
      <c r="L128" t="n">
        <v>0</v>
      </c>
      <c r="M128" t="n">
        <v>0</v>
      </c>
      <c r="N128" t="n">
        <v>0</v>
      </c>
      <c r="O128" t="n">
        <v>0</v>
      </c>
      <c r="P128" t="n">
        <v>0</v>
      </c>
      <c r="Q128" t="n">
        <v>1</v>
      </c>
      <c r="R128" s="2" t="inlineStr">
        <is>
          <t>Vanlig padda</t>
        </is>
      </c>
      <c r="S128">
        <f>HYPERLINK("https://klasma.github.io/Logging_0380/artfynd/A 49081-2019 artfynd.xlsx", "A 49081-2019")</f>
        <v/>
      </c>
      <c r="T128">
        <f>HYPERLINK("https://klasma.github.io/Logging_0380/kartor/A 49081-2019 karta.png", "A 49081-2019")</f>
        <v/>
      </c>
      <c r="V128">
        <f>HYPERLINK("https://klasma.github.io/Logging_0380/klagomål/A 49081-2019 FSC-klagomål.docx", "A 49081-2019")</f>
        <v/>
      </c>
      <c r="W128">
        <f>HYPERLINK("https://klasma.github.io/Logging_0380/klagomålsmail/A 49081-2019 FSC-klagomål mail.docx", "A 49081-2019")</f>
        <v/>
      </c>
      <c r="X128">
        <f>HYPERLINK("https://klasma.github.io/Logging_0380/tillsyn/A 49081-2019 tillsynsbegäran.docx", "A 49081-2019")</f>
        <v/>
      </c>
      <c r="Y128">
        <f>HYPERLINK("https://klasma.github.io/Logging_0380/tillsynsmail/A 49081-2019 tillsynsbegäran mail.docx", "A 49081-2019")</f>
        <v/>
      </c>
    </row>
    <row r="129" ht="15" customHeight="1">
      <c r="A129" t="inlineStr">
        <is>
          <t>A 54859-2019</t>
        </is>
      </c>
      <c r="B129" s="1" t="n">
        <v>43755</v>
      </c>
      <c r="C129" s="1" t="n">
        <v>45762</v>
      </c>
      <c r="D129" t="inlineStr">
        <is>
          <t>UPPSALA LÄN</t>
        </is>
      </c>
      <c r="E129" t="inlineStr">
        <is>
          <t>UPPSALA</t>
        </is>
      </c>
      <c r="G129" t="n">
        <v>2.4</v>
      </c>
      <c r="H129" t="n">
        <v>1</v>
      </c>
      <c r="I129" t="n">
        <v>0</v>
      </c>
      <c r="J129" t="n">
        <v>1</v>
      </c>
      <c r="K129" t="n">
        <v>0</v>
      </c>
      <c r="L129" t="n">
        <v>0</v>
      </c>
      <c r="M129" t="n">
        <v>0</v>
      </c>
      <c r="N129" t="n">
        <v>0</v>
      </c>
      <c r="O129" t="n">
        <v>1</v>
      </c>
      <c r="P129" t="n">
        <v>0</v>
      </c>
      <c r="Q129" t="n">
        <v>1</v>
      </c>
      <c r="R129" s="2" t="inlineStr">
        <is>
          <t>Slaguggla</t>
        </is>
      </c>
      <c r="S129">
        <f>HYPERLINK("https://klasma.github.io/Logging_0380/artfynd/A 54859-2019 artfynd.xlsx", "A 54859-2019")</f>
        <v/>
      </c>
      <c r="T129">
        <f>HYPERLINK("https://klasma.github.io/Logging_0380/kartor/A 54859-2019 karta.png", "A 54859-2019")</f>
        <v/>
      </c>
      <c r="V129">
        <f>HYPERLINK("https://klasma.github.io/Logging_0380/klagomål/A 54859-2019 FSC-klagomål.docx", "A 54859-2019")</f>
        <v/>
      </c>
      <c r="W129">
        <f>HYPERLINK("https://klasma.github.io/Logging_0380/klagomålsmail/A 54859-2019 FSC-klagomål mail.docx", "A 54859-2019")</f>
        <v/>
      </c>
      <c r="X129">
        <f>HYPERLINK("https://klasma.github.io/Logging_0380/tillsyn/A 54859-2019 tillsynsbegäran.docx", "A 54859-2019")</f>
        <v/>
      </c>
      <c r="Y129">
        <f>HYPERLINK("https://klasma.github.io/Logging_0380/tillsynsmail/A 54859-2019 tillsynsbegäran mail.docx", "A 54859-2019")</f>
        <v/>
      </c>
      <c r="Z129">
        <f>HYPERLINK("https://klasma.github.io/Logging_0380/fåglar/A 54859-2019 prioriterade fågelarter.docx", "A 54859-2019")</f>
        <v/>
      </c>
    </row>
    <row r="130" ht="15" customHeight="1">
      <c r="A130" t="inlineStr">
        <is>
          <t>A 6659-2020</t>
        </is>
      </c>
      <c r="B130" s="1" t="n">
        <v>43867</v>
      </c>
      <c r="C130" s="1" t="n">
        <v>45762</v>
      </c>
      <c r="D130" t="inlineStr">
        <is>
          <t>UPPSALA LÄN</t>
        </is>
      </c>
      <c r="E130" t="inlineStr">
        <is>
          <t>UPPSALA</t>
        </is>
      </c>
      <c r="G130" t="n">
        <v>3.4</v>
      </c>
      <c r="H130" t="n">
        <v>1</v>
      </c>
      <c r="I130" t="n">
        <v>0</v>
      </c>
      <c r="J130" t="n">
        <v>0</v>
      </c>
      <c r="K130" t="n">
        <v>0</v>
      </c>
      <c r="L130" t="n">
        <v>0</v>
      </c>
      <c r="M130" t="n">
        <v>0</v>
      </c>
      <c r="N130" t="n">
        <v>0</v>
      </c>
      <c r="O130" t="n">
        <v>0</v>
      </c>
      <c r="P130" t="n">
        <v>0</v>
      </c>
      <c r="Q130" t="n">
        <v>1</v>
      </c>
      <c r="R130" s="2" t="inlineStr">
        <is>
          <t>Mindre vattensalamander</t>
        </is>
      </c>
      <c r="S130">
        <f>HYPERLINK("https://klasma.github.io/Logging_0380/artfynd/A 6659-2020 artfynd.xlsx", "A 6659-2020")</f>
        <v/>
      </c>
      <c r="T130">
        <f>HYPERLINK("https://klasma.github.io/Logging_0380/kartor/A 6659-2020 karta.png", "A 6659-2020")</f>
        <v/>
      </c>
      <c r="V130">
        <f>HYPERLINK("https://klasma.github.io/Logging_0380/klagomål/A 6659-2020 FSC-klagomål.docx", "A 6659-2020")</f>
        <v/>
      </c>
      <c r="W130">
        <f>HYPERLINK("https://klasma.github.io/Logging_0380/klagomålsmail/A 6659-2020 FSC-klagomål mail.docx", "A 6659-2020")</f>
        <v/>
      </c>
      <c r="X130">
        <f>HYPERLINK("https://klasma.github.io/Logging_0380/tillsyn/A 6659-2020 tillsynsbegäran.docx", "A 6659-2020")</f>
        <v/>
      </c>
      <c r="Y130">
        <f>HYPERLINK("https://klasma.github.io/Logging_0380/tillsynsmail/A 6659-2020 tillsynsbegäran mail.docx", "A 6659-2020")</f>
        <v/>
      </c>
    </row>
    <row r="131" ht="15" customHeight="1">
      <c r="A131" t="inlineStr">
        <is>
          <t>A 12786-2020</t>
        </is>
      </c>
      <c r="B131" s="1" t="n">
        <v>43893</v>
      </c>
      <c r="C131" s="1" t="n">
        <v>45762</v>
      </c>
      <c r="D131" t="inlineStr">
        <is>
          <t>UPPSALA LÄN</t>
        </is>
      </c>
      <c r="E131" t="inlineStr">
        <is>
          <t>UPPSALA</t>
        </is>
      </c>
      <c r="G131" t="n">
        <v>1</v>
      </c>
      <c r="H131" t="n">
        <v>1</v>
      </c>
      <c r="I131" t="n">
        <v>0</v>
      </c>
      <c r="J131" t="n">
        <v>0</v>
      </c>
      <c r="K131" t="n">
        <v>0</v>
      </c>
      <c r="L131" t="n">
        <v>0</v>
      </c>
      <c r="M131" t="n">
        <v>0</v>
      </c>
      <c r="N131" t="n">
        <v>0</v>
      </c>
      <c r="O131" t="n">
        <v>0</v>
      </c>
      <c r="P131" t="n">
        <v>0</v>
      </c>
      <c r="Q131" t="n">
        <v>1</v>
      </c>
      <c r="R131" s="2" t="inlineStr">
        <is>
          <t>Blåsippa</t>
        </is>
      </c>
      <c r="S131">
        <f>HYPERLINK("https://klasma.github.io/Logging_0380/artfynd/A 12786-2020 artfynd.xlsx", "A 12786-2020")</f>
        <v/>
      </c>
      <c r="T131">
        <f>HYPERLINK("https://klasma.github.io/Logging_0380/kartor/A 12786-2020 karta.png", "A 12786-2020")</f>
        <v/>
      </c>
      <c r="V131">
        <f>HYPERLINK("https://klasma.github.io/Logging_0380/klagomål/A 12786-2020 FSC-klagomål.docx", "A 12786-2020")</f>
        <v/>
      </c>
      <c r="W131">
        <f>HYPERLINK("https://klasma.github.io/Logging_0380/klagomålsmail/A 12786-2020 FSC-klagomål mail.docx", "A 12786-2020")</f>
        <v/>
      </c>
      <c r="X131">
        <f>HYPERLINK("https://klasma.github.io/Logging_0380/tillsyn/A 12786-2020 tillsynsbegäran.docx", "A 12786-2020")</f>
        <v/>
      </c>
      <c r="Y131">
        <f>HYPERLINK("https://klasma.github.io/Logging_0380/tillsynsmail/A 12786-2020 tillsynsbegäran mail.docx", "A 12786-2020")</f>
        <v/>
      </c>
    </row>
    <row r="132" ht="15" customHeight="1">
      <c r="A132" t="inlineStr">
        <is>
          <t>A 25299-2020</t>
        </is>
      </c>
      <c r="B132" s="1" t="n">
        <v>43980</v>
      </c>
      <c r="C132" s="1" t="n">
        <v>45762</v>
      </c>
      <c r="D132" t="inlineStr">
        <is>
          <t>UPPSALA LÄN</t>
        </is>
      </c>
      <c r="E132" t="inlineStr">
        <is>
          <t>UPPSALA</t>
        </is>
      </c>
      <c r="F132" t="inlineStr">
        <is>
          <t>Bergvik skog öst AB</t>
        </is>
      </c>
      <c r="G132" t="n">
        <v>2.5</v>
      </c>
      <c r="H132" t="n">
        <v>0</v>
      </c>
      <c r="I132" t="n">
        <v>1</v>
      </c>
      <c r="J132" t="n">
        <v>0</v>
      </c>
      <c r="K132" t="n">
        <v>0</v>
      </c>
      <c r="L132" t="n">
        <v>0</v>
      </c>
      <c r="M132" t="n">
        <v>0</v>
      </c>
      <c r="N132" t="n">
        <v>0</v>
      </c>
      <c r="O132" t="n">
        <v>0</v>
      </c>
      <c r="P132" t="n">
        <v>0</v>
      </c>
      <c r="Q132" t="n">
        <v>1</v>
      </c>
      <c r="R132" s="2" t="inlineStr">
        <is>
          <t>Scharlakansskål</t>
        </is>
      </c>
      <c r="S132">
        <f>HYPERLINK("https://klasma.github.io/Logging_0380/artfynd/A 25299-2020 artfynd.xlsx", "A 25299-2020")</f>
        <v/>
      </c>
      <c r="T132">
        <f>HYPERLINK("https://klasma.github.io/Logging_0380/kartor/A 25299-2020 karta.png", "A 25299-2020")</f>
        <v/>
      </c>
      <c r="V132">
        <f>HYPERLINK("https://klasma.github.io/Logging_0380/klagomål/A 25299-2020 FSC-klagomål.docx", "A 25299-2020")</f>
        <v/>
      </c>
      <c r="W132">
        <f>HYPERLINK("https://klasma.github.io/Logging_0380/klagomålsmail/A 25299-2020 FSC-klagomål mail.docx", "A 25299-2020")</f>
        <v/>
      </c>
      <c r="X132">
        <f>HYPERLINK("https://klasma.github.io/Logging_0380/tillsyn/A 25299-2020 tillsynsbegäran.docx", "A 25299-2020")</f>
        <v/>
      </c>
      <c r="Y132">
        <f>HYPERLINK("https://klasma.github.io/Logging_0380/tillsynsmail/A 25299-2020 tillsynsbegäran mail.docx", "A 25299-2020")</f>
        <v/>
      </c>
    </row>
    <row r="133" ht="15" customHeight="1">
      <c r="A133" t="inlineStr">
        <is>
          <t>A 35478-2020</t>
        </is>
      </c>
      <c r="B133" s="1" t="n">
        <v>44042</v>
      </c>
      <c r="C133" s="1" t="n">
        <v>45762</v>
      </c>
      <c r="D133" t="inlineStr">
        <is>
          <t>UPPSALA LÄN</t>
        </is>
      </c>
      <c r="E133" t="inlineStr">
        <is>
          <t>UPPSALA</t>
        </is>
      </c>
      <c r="G133" t="n">
        <v>2.5</v>
      </c>
      <c r="H133" t="n">
        <v>0</v>
      </c>
      <c r="I133" t="n">
        <v>1</v>
      </c>
      <c r="J133" t="n">
        <v>0</v>
      </c>
      <c r="K133" t="n">
        <v>0</v>
      </c>
      <c r="L133" t="n">
        <v>0</v>
      </c>
      <c r="M133" t="n">
        <v>0</v>
      </c>
      <c r="N133" t="n">
        <v>0</v>
      </c>
      <c r="O133" t="n">
        <v>0</v>
      </c>
      <c r="P133" t="n">
        <v>0</v>
      </c>
      <c r="Q133" t="n">
        <v>1</v>
      </c>
      <c r="R133" s="2" t="inlineStr">
        <is>
          <t>Stor aspticka</t>
        </is>
      </c>
      <c r="S133">
        <f>HYPERLINK("https://klasma.github.io/Logging_0380/artfynd/A 35478-2020 artfynd.xlsx", "A 35478-2020")</f>
        <v/>
      </c>
      <c r="T133">
        <f>HYPERLINK("https://klasma.github.io/Logging_0380/kartor/A 35478-2020 karta.png", "A 35478-2020")</f>
        <v/>
      </c>
      <c r="V133">
        <f>HYPERLINK("https://klasma.github.io/Logging_0380/klagomål/A 35478-2020 FSC-klagomål.docx", "A 35478-2020")</f>
        <v/>
      </c>
      <c r="W133">
        <f>HYPERLINK("https://klasma.github.io/Logging_0380/klagomålsmail/A 35478-2020 FSC-klagomål mail.docx", "A 35478-2020")</f>
        <v/>
      </c>
      <c r="X133">
        <f>HYPERLINK("https://klasma.github.io/Logging_0380/tillsyn/A 35478-2020 tillsynsbegäran.docx", "A 35478-2020")</f>
        <v/>
      </c>
      <c r="Y133">
        <f>HYPERLINK("https://klasma.github.io/Logging_0380/tillsynsmail/A 35478-2020 tillsynsbegäran mail.docx", "A 35478-2020")</f>
        <v/>
      </c>
    </row>
    <row r="134" ht="15" customHeight="1">
      <c r="A134" t="inlineStr">
        <is>
          <t>A 43192-2020</t>
        </is>
      </c>
      <c r="B134" s="1" t="n">
        <v>44081</v>
      </c>
      <c r="C134" s="1" t="n">
        <v>45762</v>
      </c>
      <c r="D134" t="inlineStr">
        <is>
          <t>UPPSALA LÄN</t>
        </is>
      </c>
      <c r="E134" t="inlineStr">
        <is>
          <t>UPPSALA</t>
        </is>
      </c>
      <c r="G134" t="n">
        <v>16.5</v>
      </c>
      <c r="H134" t="n">
        <v>0</v>
      </c>
      <c r="I134" t="n">
        <v>0</v>
      </c>
      <c r="J134" t="n">
        <v>1</v>
      </c>
      <c r="K134" t="n">
        <v>0</v>
      </c>
      <c r="L134" t="n">
        <v>0</v>
      </c>
      <c r="M134" t="n">
        <v>0</v>
      </c>
      <c r="N134" t="n">
        <v>0</v>
      </c>
      <c r="O134" t="n">
        <v>1</v>
      </c>
      <c r="P134" t="n">
        <v>0</v>
      </c>
      <c r="Q134" t="n">
        <v>1</v>
      </c>
      <c r="R134" s="2" t="inlineStr">
        <is>
          <t>Lunglav</t>
        </is>
      </c>
      <c r="S134">
        <f>HYPERLINK("https://klasma.github.io/Logging_0380/artfynd/A 43192-2020 artfynd.xlsx", "A 43192-2020")</f>
        <v/>
      </c>
      <c r="T134">
        <f>HYPERLINK("https://klasma.github.io/Logging_0380/kartor/A 43192-2020 karta.png", "A 43192-2020")</f>
        <v/>
      </c>
      <c r="V134">
        <f>HYPERLINK("https://klasma.github.io/Logging_0380/klagomål/A 43192-2020 FSC-klagomål.docx", "A 43192-2020")</f>
        <v/>
      </c>
      <c r="W134">
        <f>HYPERLINK("https://klasma.github.io/Logging_0380/klagomålsmail/A 43192-2020 FSC-klagomål mail.docx", "A 43192-2020")</f>
        <v/>
      </c>
      <c r="X134">
        <f>HYPERLINK("https://klasma.github.io/Logging_0380/tillsyn/A 43192-2020 tillsynsbegäran.docx", "A 43192-2020")</f>
        <v/>
      </c>
      <c r="Y134">
        <f>HYPERLINK("https://klasma.github.io/Logging_0380/tillsynsmail/A 43192-2020 tillsynsbegäran mail.docx", "A 43192-2020")</f>
        <v/>
      </c>
    </row>
    <row r="135" ht="15" customHeight="1">
      <c r="A135" t="inlineStr">
        <is>
          <t>A 12255-2021</t>
        </is>
      </c>
      <c r="B135" s="1" t="n">
        <v>44266</v>
      </c>
      <c r="C135" s="1" t="n">
        <v>45762</v>
      </c>
      <c r="D135" t="inlineStr">
        <is>
          <t>UPPSALA LÄN</t>
        </is>
      </c>
      <c r="E135" t="inlineStr">
        <is>
          <t>UPPSALA</t>
        </is>
      </c>
      <c r="F135" t="inlineStr">
        <is>
          <t>Bergvik skog öst AB</t>
        </is>
      </c>
      <c r="G135" t="n">
        <v>19.1</v>
      </c>
      <c r="H135" t="n">
        <v>0</v>
      </c>
      <c r="I135" t="n">
        <v>0</v>
      </c>
      <c r="J135" t="n">
        <v>1</v>
      </c>
      <c r="K135" t="n">
        <v>0</v>
      </c>
      <c r="L135" t="n">
        <v>0</v>
      </c>
      <c r="M135" t="n">
        <v>0</v>
      </c>
      <c r="N135" t="n">
        <v>0</v>
      </c>
      <c r="O135" t="n">
        <v>1</v>
      </c>
      <c r="P135" t="n">
        <v>0</v>
      </c>
      <c r="Q135" t="n">
        <v>1</v>
      </c>
      <c r="R135" s="2" t="inlineStr">
        <is>
          <t>Sexfläckig bastardsvärmare</t>
        </is>
      </c>
      <c r="S135">
        <f>HYPERLINK("https://klasma.github.io/Logging_0380/artfynd/A 12255-2021 artfynd.xlsx", "A 12255-2021")</f>
        <v/>
      </c>
      <c r="T135">
        <f>HYPERLINK("https://klasma.github.io/Logging_0380/kartor/A 12255-2021 karta.png", "A 12255-2021")</f>
        <v/>
      </c>
      <c r="V135">
        <f>HYPERLINK("https://klasma.github.io/Logging_0380/klagomål/A 12255-2021 FSC-klagomål.docx", "A 12255-2021")</f>
        <v/>
      </c>
      <c r="W135">
        <f>HYPERLINK("https://klasma.github.io/Logging_0380/klagomålsmail/A 12255-2021 FSC-klagomål mail.docx", "A 12255-2021")</f>
        <v/>
      </c>
      <c r="X135">
        <f>HYPERLINK("https://klasma.github.io/Logging_0380/tillsyn/A 12255-2021 tillsynsbegäran.docx", "A 12255-2021")</f>
        <v/>
      </c>
      <c r="Y135">
        <f>HYPERLINK("https://klasma.github.io/Logging_0380/tillsynsmail/A 12255-2021 tillsynsbegäran mail.docx", "A 12255-2021")</f>
        <v/>
      </c>
    </row>
    <row r="136" ht="15" customHeight="1">
      <c r="A136" t="inlineStr">
        <is>
          <t>A 34020-2021</t>
        </is>
      </c>
      <c r="B136" s="1" t="n">
        <v>44379</v>
      </c>
      <c r="C136" s="1" t="n">
        <v>45762</v>
      </c>
      <c r="D136" t="inlineStr">
        <is>
          <t>UPPSALA LÄN</t>
        </is>
      </c>
      <c r="E136" t="inlineStr">
        <is>
          <t>UPPSALA</t>
        </is>
      </c>
      <c r="G136" t="n">
        <v>1.9</v>
      </c>
      <c r="H136" t="n">
        <v>0</v>
      </c>
      <c r="I136" t="n">
        <v>0</v>
      </c>
      <c r="J136" t="n">
        <v>1</v>
      </c>
      <c r="K136" t="n">
        <v>0</v>
      </c>
      <c r="L136" t="n">
        <v>0</v>
      </c>
      <c r="M136" t="n">
        <v>0</v>
      </c>
      <c r="N136" t="n">
        <v>0</v>
      </c>
      <c r="O136" t="n">
        <v>1</v>
      </c>
      <c r="P136" t="n">
        <v>0</v>
      </c>
      <c r="Q136" t="n">
        <v>1</v>
      </c>
      <c r="R136" s="2" t="inlineStr">
        <is>
          <t>Tallticka</t>
        </is>
      </c>
      <c r="S136">
        <f>HYPERLINK("https://klasma.github.io/Logging_0380/artfynd/A 34020-2021 artfynd.xlsx", "A 34020-2021")</f>
        <v/>
      </c>
      <c r="T136">
        <f>HYPERLINK("https://klasma.github.io/Logging_0380/kartor/A 34020-2021 karta.png", "A 34020-2021")</f>
        <v/>
      </c>
      <c r="V136">
        <f>HYPERLINK("https://klasma.github.io/Logging_0380/klagomål/A 34020-2021 FSC-klagomål.docx", "A 34020-2021")</f>
        <v/>
      </c>
      <c r="W136">
        <f>HYPERLINK("https://klasma.github.io/Logging_0380/klagomålsmail/A 34020-2021 FSC-klagomål mail.docx", "A 34020-2021")</f>
        <v/>
      </c>
      <c r="X136">
        <f>HYPERLINK("https://klasma.github.io/Logging_0380/tillsyn/A 34020-2021 tillsynsbegäran.docx", "A 34020-2021")</f>
        <v/>
      </c>
      <c r="Y136">
        <f>HYPERLINK("https://klasma.github.io/Logging_0380/tillsynsmail/A 34020-2021 tillsynsbegäran mail.docx", "A 34020-2021")</f>
        <v/>
      </c>
    </row>
    <row r="137" ht="15" customHeight="1">
      <c r="A137" t="inlineStr">
        <is>
          <t>A 52849-2021</t>
        </is>
      </c>
      <c r="B137" s="1" t="n">
        <v>44467</v>
      </c>
      <c r="C137" s="1" t="n">
        <v>45762</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58050-2021</t>
        </is>
      </c>
      <c r="B138" s="1" t="n">
        <v>44487</v>
      </c>
      <c r="C138" s="1" t="n">
        <v>45762</v>
      </c>
      <c r="D138" t="inlineStr">
        <is>
          <t>UPPSALA LÄN</t>
        </is>
      </c>
      <c r="E138" t="inlineStr">
        <is>
          <t>UPPSALA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HYPERLINK("https://klasma.github.io/Logging_0380/artfynd/A 58050-2021 artfynd.xlsx", "A 58050-2021")</f>
        <v/>
      </c>
      <c r="T138">
        <f>HYPERLINK("https://klasma.github.io/Logging_0380/kartor/A 58050-2021 karta.png", "A 58050-2021")</f>
        <v/>
      </c>
      <c r="V138">
        <f>HYPERLINK("https://klasma.github.io/Logging_0380/klagomål/A 58050-2021 FSC-klagomål.docx", "A 58050-2021")</f>
        <v/>
      </c>
      <c r="W138">
        <f>HYPERLINK("https://klasma.github.io/Logging_0380/klagomålsmail/A 58050-2021 FSC-klagomål mail.docx", "A 58050-2021")</f>
        <v/>
      </c>
      <c r="X138">
        <f>HYPERLINK("https://klasma.github.io/Logging_0380/tillsyn/A 58050-2021 tillsynsbegäran.docx", "A 58050-2021")</f>
        <v/>
      </c>
      <c r="Y138">
        <f>HYPERLINK("https://klasma.github.io/Logging_0380/tillsynsmail/A 58050-2021 tillsynsbegäran mail.docx", "A 58050-2021")</f>
        <v/>
      </c>
    </row>
    <row r="139" ht="15" customHeight="1">
      <c r="A139" t="inlineStr">
        <is>
          <t>A 69711-2021</t>
        </is>
      </c>
      <c r="B139" s="1" t="n">
        <v>44532</v>
      </c>
      <c r="C139" s="1" t="n">
        <v>45762</v>
      </c>
      <c r="D139" t="inlineStr">
        <is>
          <t>UPPSALA LÄN</t>
        </is>
      </c>
      <c r="E139" t="inlineStr">
        <is>
          <t>UPPSALA</t>
        </is>
      </c>
      <c r="G139" t="n">
        <v>10.2</v>
      </c>
      <c r="H139" t="n">
        <v>1</v>
      </c>
      <c r="I139" t="n">
        <v>0</v>
      </c>
      <c r="J139" t="n">
        <v>0</v>
      </c>
      <c r="K139" t="n">
        <v>0</v>
      </c>
      <c r="L139" t="n">
        <v>0</v>
      </c>
      <c r="M139" t="n">
        <v>0</v>
      </c>
      <c r="N139" t="n">
        <v>0</v>
      </c>
      <c r="O139" t="n">
        <v>0</v>
      </c>
      <c r="P139" t="n">
        <v>0</v>
      </c>
      <c r="Q139" t="n">
        <v>1</v>
      </c>
      <c r="R139" s="2" t="inlineStr">
        <is>
          <t>Tjäder</t>
        </is>
      </c>
      <c r="S139">
        <f>HYPERLINK("https://klasma.github.io/Logging_0380/artfynd/A 69711-2021 artfynd.xlsx", "A 69711-2021")</f>
        <v/>
      </c>
      <c r="T139">
        <f>HYPERLINK("https://klasma.github.io/Logging_0380/kartor/A 69711-2021 karta.png", "A 69711-2021")</f>
        <v/>
      </c>
      <c r="V139">
        <f>HYPERLINK("https://klasma.github.io/Logging_0380/klagomål/A 69711-2021 FSC-klagomål.docx", "A 69711-2021")</f>
        <v/>
      </c>
      <c r="W139">
        <f>HYPERLINK("https://klasma.github.io/Logging_0380/klagomålsmail/A 69711-2021 FSC-klagomål mail.docx", "A 69711-2021")</f>
        <v/>
      </c>
      <c r="X139">
        <f>HYPERLINK("https://klasma.github.io/Logging_0380/tillsyn/A 69711-2021 tillsynsbegäran.docx", "A 69711-2021")</f>
        <v/>
      </c>
      <c r="Y139">
        <f>HYPERLINK("https://klasma.github.io/Logging_0380/tillsynsmail/A 69711-2021 tillsynsbegäran mail.docx", "A 69711-2021")</f>
        <v/>
      </c>
      <c r="Z139">
        <f>HYPERLINK("https://klasma.github.io/Logging_0380/fåglar/A 69711-2021 prioriterade fågelarter.docx", "A 69711-2021")</f>
        <v/>
      </c>
    </row>
    <row r="140" ht="15" customHeight="1">
      <c r="A140" t="inlineStr">
        <is>
          <t>A 3257-2022</t>
        </is>
      </c>
      <c r="B140" s="1" t="n">
        <v>44583</v>
      </c>
      <c r="C140" s="1" t="n">
        <v>45762</v>
      </c>
      <c r="D140" t="inlineStr">
        <is>
          <t>UPPSALA LÄN</t>
        </is>
      </c>
      <c r="E140" t="inlineStr">
        <is>
          <t>UPPSALA</t>
        </is>
      </c>
      <c r="F140" t="inlineStr">
        <is>
          <t>Holmen skog AB</t>
        </is>
      </c>
      <c r="G140" t="n">
        <v>1.9</v>
      </c>
      <c r="H140" t="n">
        <v>0</v>
      </c>
      <c r="I140" t="n">
        <v>1</v>
      </c>
      <c r="J140" t="n">
        <v>0</v>
      </c>
      <c r="K140" t="n">
        <v>0</v>
      </c>
      <c r="L140" t="n">
        <v>0</v>
      </c>
      <c r="M140" t="n">
        <v>0</v>
      </c>
      <c r="N140" t="n">
        <v>0</v>
      </c>
      <c r="O140" t="n">
        <v>0</v>
      </c>
      <c r="P140" t="n">
        <v>0</v>
      </c>
      <c r="Q140" t="n">
        <v>1</v>
      </c>
      <c r="R140" s="2" t="inlineStr">
        <is>
          <t>Gulpudrad spiklav</t>
        </is>
      </c>
      <c r="S140">
        <f>HYPERLINK("https://klasma.github.io/Logging_0380/artfynd/A 3257-2022 artfynd.xlsx", "A 3257-2022")</f>
        <v/>
      </c>
      <c r="T140">
        <f>HYPERLINK("https://klasma.github.io/Logging_0380/kartor/A 3257-2022 karta.png", "A 3257-2022")</f>
        <v/>
      </c>
      <c r="V140">
        <f>HYPERLINK("https://klasma.github.io/Logging_0380/klagomål/A 3257-2022 FSC-klagomål.docx", "A 3257-2022")</f>
        <v/>
      </c>
      <c r="W140">
        <f>HYPERLINK("https://klasma.github.io/Logging_0380/klagomålsmail/A 3257-2022 FSC-klagomål mail.docx", "A 3257-2022")</f>
        <v/>
      </c>
      <c r="X140">
        <f>HYPERLINK("https://klasma.github.io/Logging_0380/tillsyn/A 3257-2022 tillsynsbegäran.docx", "A 3257-2022")</f>
        <v/>
      </c>
      <c r="Y140">
        <f>HYPERLINK("https://klasma.github.io/Logging_0380/tillsynsmail/A 3257-2022 tillsynsbegäran mail.docx", "A 3257-2022")</f>
        <v/>
      </c>
    </row>
    <row r="141" ht="15" customHeight="1">
      <c r="A141" t="inlineStr">
        <is>
          <t>A 4449-2022</t>
        </is>
      </c>
      <c r="B141" s="1" t="n">
        <v>44589</v>
      </c>
      <c r="C141" s="1" t="n">
        <v>45762</v>
      </c>
      <c r="D141" t="inlineStr">
        <is>
          <t>UPPSALA LÄN</t>
        </is>
      </c>
      <c r="E141" t="inlineStr">
        <is>
          <t>UPPSALA</t>
        </is>
      </c>
      <c r="G141" t="n">
        <v>8.9</v>
      </c>
      <c r="H141" t="n">
        <v>0</v>
      </c>
      <c r="I141" t="n">
        <v>0</v>
      </c>
      <c r="J141" t="n">
        <v>1</v>
      </c>
      <c r="K141" t="n">
        <v>0</v>
      </c>
      <c r="L141" t="n">
        <v>0</v>
      </c>
      <c r="M141" t="n">
        <v>0</v>
      </c>
      <c r="N141" t="n">
        <v>0</v>
      </c>
      <c r="O141" t="n">
        <v>1</v>
      </c>
      <c r="P141" t="n">
        <v>0</v>
      </c>
      <c r="Q141" t="n">
        <v>1</v>
      </c>
      <c r="R141" s="2" t="inlineStr">
        <is>
          <t>Gul taggsvamp</t>
        </is>
      </c>
      <c r="S141">
        <f>HYPERLINK("https://klasma.github.io/Logging_0380/artfynd/A 4449-2022 artfynd.xlsx", "A 4449-2022")</f>
        <v/>
      </c>
      <c r="T141">
        <f>HYPERLINK("https://klasma.github.io/Logging_0380/kartor/A 4449-2022 karta.png", "A 4449-2022")</f>
        <v/>
      </c>
      <c r="V141">
        <f>HYPERLINK("https://klasma.github.io/Logging_0380/klagomål/A 4449-2022 FSC-klagomål.docx", "A 4449-2022")</f>
        <v/>
      </c>
      <c r="W141">
        <f>HYPERLINK("https://klasma.github.io/Logging_0380/klagomålsmail/A 4449-2022 FSC-klagomål mail.docx", "A 4449-2022")</f>
        <v/>
      </c>
      <c r="X141">
        <f>HYPERLINK("https://klasma.github.io/Logging_0380/tillsyn/A 4449-2022 tillsynsbegäran.docx", "A 4449-2022")</f>
        <v/>
      </c>
      <c r="Y141">
        <f>HYPERLINK("https://klasma.github.io/Logging_0380/tillsynsmail/A 4449-2022 tillsynsbegäran mail.docx", "A 4449-2022")</f>
        <v/>
      </c>
    </row>
    <row r="142" ht="15" customHeight="1">
      <c r="A142" t="inlineStr">
        <is>
          <t>A 8865-2022</t>
        </is>
      </c>
      <c r="B142" s="1" t="n">
        <v>44614</v>
      </c>
      <c r="C142" s="1" t="n">
        <v>45762</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Narrtagging</t>
        </is>
      </c>
      <c r="S142">
        <f>HYPERLINK("https://klasma.github.io/Logging_0380/artfynd/A 8865-2022 artfynd.xlsx", "A 8865-2022")</f>
        <v/>
      </c>
      <c r="T142">
        <f>HYPERLINK("https://klasma.github.io/Logging_0380/kartor/A 8865-2022 karta.png", "A 8865-2022")</f>
        <v/>
      </c>
      <c r="V142">
        <f>HYPERLINK("https://klasma.github.io/Logging_0380/klagomål/A 8865-2022 FSC-klagomål.docx", "A 8865-2022")</f>
        <v/>
      </c>
      <c r="W142">
        <f>HYPERLINK("https://klasma.github.io/Logging_0380/klagomålsmail/A 8865-2022 FSC-klagomål mail.docx", "A 8865-2022")</f>
        <v/>
      </c>
      <c r="X142">
        <f>HYPERLINK("https://klasma.github.io/Logging_0380/tillsyn/A 8865-2022 tillsynsbegäran.docx", "A 8865-2022")</f>
        <v/>
      </c>
      <c r="Y142">
        <f>HYPERLINK("https://klasma.github.io/Logging_0380/tillsynsmail/A 8865-2022 tillsynsbegäran mail.docx", "A 8865-2022")</f>
        <v/>
      </c>
    </row>
    <row r="143" ht="15" customHeight="1">
      <c r="A143" t="inlineStr">
        <is>
          <t>A 13363-2022</t>
        </is>
      </c>
      <c r="B143" s="1" t="n">
        <v>44645</v>
      </c>
      <c r="C143" s="1" t="n">
        <v>45762</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16761-2022</t>
        </is>
      </c>
      <c r="B144" s="1" t="n">
        <v>44673</v>
      </c>
      <c r="C144" s="1" t="n">
        <v>45762</v>
      </c>
      <c r="D144" t="inlineStr">
        <is>
          <t>UPPSALA LÄN</t>
        </is>
      </c>
      <c r="E144" t="inlineStr">
        <is>
          <t>UPPSALA</t>
        </is>
      </c>
      <c r="G144" t="n">
        <v>0.6</v>
      </c>
      <c r="H144" t="n">
        <v>1</v>
      </c>
      <c r="I144" t="n">
        <v>0</v>
      </c>
      <c r="J144" t="n">
        <v>0</v>
      </c>
      <c r="K144" t="n">
        <v>0</v>
      </c>
      <c r="L144" t="n">
        <v>0</v>
      </c>
      <c r="M144" t="n">
        <v>0</v>
      </c>
      <c r="N144" t="n">
        <v>0</v>
      </c>
      <c r="O144" t="n">
        <v>0</v>
      </c>
      <c r="P144" t="n">
        <v>0</v>
      </c>
      <c r="Q144" t="n">
        <v>1</v>
      </c>
      <c r="R144" s="2" t="inlineStr">
        <is>
          <t>Trädlärka</t>
        </is>
      </c>
      <c r="S144">
        <f>HYPERLINK("https://klasma.github.io/Logging_0380/artfynd/A 16761-2022 artfynd.xlsx", "A 16761-2022")</f>
        <v/>
      </c>
      <c r="T144">
        <f>HYPERLINK("https://klasma.github.io/Logging_0380/kartor/A 16761-2022 karta.png", "A 16761-2022")</f>
        <v/>
      </c>
      <c r="V144">
        <f>HYPERLINK("https://klasma.github.io/Logging_0380/klagomål/A 16761-2022 FSC-klagomål.docx", "A 16761-2022")</f>
        <v/>
      </c>
      <c r="W144">
        <f>HYPERLINK("https://klasma.github.io/Logging_0380/klagomålsmail/A 16761-2022 FSC-klagomål mail.docx", "A 16761-2022")</f>
        <v/>
      </c>
      <c r="X144">
        <f>HYPERLINK("https://klasma.github.io/Logging_0380/tillsyn/A 16761-2022 tillsynsbegäran.docx", "A 16761-2022")</f>
        <v/>
      </c>
      <c r="Y144">
        <f>HYPERLINK("https://klasma.github.io/Logging_0380/tillsynsmail/A 16761-2022 tillsynsbegäran mail.docx", "A 16761-2022")</f>
        <v/>
      </c>
      <c r="Z144">
        <f>HYPERLINK("https://klasma.github.io/Logging_0380/fåglar/A 16761-2022 prioriterade fågelarter.docx", "A 16761-2022")</f>
        <v/>
      </c>
    </row>
    <row r="145" ht="15" customHeight="1">
      <c r="A145" t="inlineStr">
        <is>
          <t>A 19376-2022</t>
        </is>
      </c>
      <c r="B145" s="1" t="n">
        <v>44692</v>
      </c>
      <c r="C145" s="1" t="n">
        <v>45762</v>
      </c>
      <c r="D145" t="inlineStr">
        <is>
          <t>UPPSALA LÄN</t>
        </is>
      </c>
      <c r="E145" t="inlineStr">
        <is>
          <t>UPPSALA</t>
        </is>
      </c>
      <c r="F145" t="inlineStr">
        <is>
          <t>Bergvik skog öst AB</t>
        </is>
      </c>
      <c r="G145" t="n">
        <v>6.8</v>
      </c>
      <c r="H145" t="n">
        <v>0</v>
      </c>
      <c r="I145" t="n">
        <v>1</v>
      </c>
      <c r="J145" t="n">
        <v>0</v>
      </c>
      <c r="K145" t="n">
        <v>0</v>
      </c>
      <c r="L145" t="n">
        <v>0</v>
      </c>
      <c r="M145" t="n">
        <v>0</v>
      </c>
      <c r="N145" t="n">
        <v>0</v>
      </c>
      <c r="O145" t="n">
        <v>0</v>
      </c>
      <c r="P145" t="n">
        <v>0</v>
      </c>
      <c r="Q145" t="n">
        <v>1</v>
      </c>
      <c r="R145" s="2" t="inlineStr">
        <is>
          <t>Vårärt</t>
        </is>
      </c>
      <c r="S145">
        <f>HYPERLINK("https://klasma.github.io/Logging_0380/artfynd/A 19376-2022 artfynd.xlsx", "A 19376-2022")</f>
        <v/>
      </c>
      <c r="T145">
        <f>HYPERLINK("https://klasma.github.io/Logging_0380/kartor/A 19376-2022 karta.png", "A 19376-2022")</f>
        <v/>
      </c>
      <c r="V145">
        <f>HYPERLINK("https://klasma.github.io/Logging_0380/klagomål/A 19376-2022 FSC-klagomål.docx", "A 19376-2022")</f>
        <v/>
      </c>
      <c r="W145">
        <f>HYPERLINK("https://klasma.github.io/Logging_0380/klagomålsmail/A 19376-2022 FSC-klagomål mail.docx", "A 19376-2022")</f>
        <v/>
      </c>
      <c r="X145">
        <f>HYPERLINK("https://klasma.github.io/Logging_0380/tillsyn/A 19376-2022 tillsynsbegäran.docx", "A 19376-2022")</f>
        <v/>
      </c>
      <c r="Y145">
        <f>HYPERLINK("https://klasma.github.io/Logging_0380/tillsynsmail/A 19376-2022 tillsynsbegäran mail.docx", "A 19376-2022")</f>
        <v/>
      </c>
    </row>
    <row r="146" ht="15" customHeight="1">
      <c r="A146" t="inlineStr">
        <is>
          <t>A 23141-2022</t>
        </is>
      </c>
      <c r="B146" s="1" t="n">
        <v>44719</v>
      </c>
      <c r="C146" s="1" t="n">
        <v>45762</v>
      </c>
      <c r="D146" t="inlineStr">
        <is>
          <t>UPPSALA LÄN</t>
        </is>
      </c>
      <c r="E146" t="inlineStr">
        <is>
          <t>UPPSALA</t>
        </is>
      </c>
      <c r="G146" t="n">
        <v>3.1</v>
      </c>
      <c r="H146" t="n">
        <v>1</v>
      </c>
      <c r="I146" t="n">
        <v>0</v>
      </c>
      <c r="J146" t="n">
        <v>0</v>
      </c>
      <c r="K146" t="n">
        <v>0</v>
      </c>
      <c r="L146" t="n">
        <v>0</v>
      </c>
      <c r="M146" t="n">
        <v>0</v>
      </c>
      <c r="N146" t="n">
        <v>0</v>
      </c>
      <c r="O146" t="n">
        <v>0</v>
      </c>
      <c r="P146" t="n">
        <v>0</v>
      </c>
      <c r="Q146" t="n">
        <v>1</v>
      </c>
      <c r="R146" s="2" t="inlineStr">
        <is>
          <t>Enkelbeckasin</t>
        </is>
      </c>
      <c r="S146">
        <f>HYPERLINK("https://klasma.github.io/Logging_0380/artfynd/A 23141-2022 artfynd.xlsx", "A 23141-2022")</f>
        <v/>
      </c>
      <c r="T146">
        <f>HYPERLINK("https://klasma.github.io/Logging_0380/kartor/A 23141-2022 karta.png", "A 23141-2022")</f>
        <v/>
      </c>
      <c r="V146">
        <f>HYPERLINK("https://klasma.github.io/Logging_0380/klagomål/A 23141-2022 FSC-klagomål.docx", "A 23141-2022")</f>
        <v/>
      </c>
      <c r="W146">
        <f>HYPERLINK("https://klasma.github.io/Logging_0380/klagomålsmail/A 23141-2022 FSC-klagomål mail.docx", "A 23141-2022")</f>
        <v/>
      </c>
      <c r="X146">
        <f>HYPERLINK("https://klasma.github.io/Logging_0380/tillsyn/A 23141-2022 tillsynsbegäran.docx", "A 23141-2022")</f>
        <v/>
      </c>
      <c r="Y146">
        <f>HYPERLINK("https://klasma.github.io/Logging_0380/tillsynsmail/A 23141-2022 tillsynsbegäran mail.docx", "A 23141-2022")</f>
        <v/>
      </c>
      <c r="Z146">
        <f>HYPERLINK("https://klasma.github.io/Logging_0380/fåglar/A 23141-2022 prioriterade fågelarter.docx", "A 23141-2022")</f>
        <v/>
      </c>
    </row>
    <row r="147" ht="15" customHeight="1">
      <c r="A147" t="inlineStr">
        <is>
          <t>A 25119-2022</t>
        </is>
      </c>
      <c r="B147" s="1" t="n">
        <v>44729</v>
      </c>
      <c r="C147" s="1" t="n">
        <v>45762</v>
      </c>
      <c r="D147" t="inlineStr">
        <is>
          <t>UPPSALA LÄN</t>
        </is>
      </c>
      <c r="E147" t="inlineStr">
        <is>
          <t>UPPSALA</t>
        </is>
      </c>
      <c r="F147" t="inlineStr">
        <is>
          <t>Kommuner</t>
        </is>
      </c>
      <c r="G147" t="n">
        <v>0.9</v>
      </c>
      <c r="H147" t="n">
        <v>0</v>
      </c>
      <c r="I147" t="n">
        <v>1</v>
      </c>
      <c r="J147" t="n">
        <v>0</v>
      </c>
      <c r="K147" t="n">
        <v>0</v>
      </c>
      <c r="L147" t="n">
        <v>0</v>
      </c>
      <c r="M147" t="n">
        <v>0</v>
      </c>
      <c r="N147" t="n">
        <v>0</v>
      </c>
      <c r="O147" t="n">
        <v>0</v>
      </c>
      <c r="P147" t="n">
        <v>0</v>
      </c>
      <c r="Q147" t="n">
        <v>1</v>
      </c>
      <c r="R147" s="2" t="inlineStr">
        <is>
          <t>Stor aspticka</t>
        </is>
      </c>
      <c r="S147">
        <f>HYPERLINK("https://klasma.github.io/Logging_0380/artfynd/A 25119-2022 artfynd.xlsx", "A 25119-2022")</f>
        <v/>
      </c>
      <c r="T147">
        <f>HYPERLINK("https://klasma.github.io/Logging_0380/kartor/A 25119-2022 karta.png", "A 25119-2022")</f>
        <v/>
      </c>
      <c r="V147">
        <f>HYPERLINK("https://klasma.github.io/Logging_0380/klagomål/A 25119-2022 FSC-klagomål.docx", "A 25119-2022")</f>
        <v/>
      </c>
      <c r="W147">
        <f>HYPERLINK("https://klasma.github.io/Logging_0380/klagomålsmail/A 25119-2022 FSC-klagomål mail.docx", "A 25119-2022")</f>
        <v/>
      </c>
      <c r="X147">
        <f>HYPERLINK("https://klasma.github.io/Logging_0380/tillsyn/A 25119-2022 tillsynsbegäran.docx", "A 25119-2022")</f>
        <v/>
      </c>
      <c r="Y147">
        <f>HYPERLINK("https://klasma.github.io/Logging_0380/tillsynsmail/A 25119-2022 tillsynsbegäran mail.docx", "A 25119-2022")</f>
        <v/>
      </c>
    </row>
    <row r="148" ht="15" customHeight="1">
      <c r="A148" t="inlineStr">
        <is>
          <t>A 46634-2022</t>
        </is>
      </c>
      <c r="B148" s="1" t="n">
        <v>44849</v>
      </c>
      <c r="C148" s="1" t="n">
        <v>45762</v>
      </c>
      <c r="D148" t="inlineStr">
        <is>
          <t>UPPSALA LÄN</t>
        </is>
      </c>
      <c r="E148" t="inlineStr">
        <is>
          <t>UPPSALA</t>
        </is>
      </c>
      <c r="G148" t="n">
        <v>2.9</v>
      </c>
      <c r="H148" t="n">
        <v>0</v>
      </c>
      <c r="I148" t="n">
        <v>1</v>
      </c>
      <c r="J148" t="n">
        <v>0</v>
      </c>
      <c r="K148" t="n">
        <v>0</v>
      </c>
      <c r="L148" t="n">
        <v>0</v>
      </c>
      <c r="M148" t="n">
        <v>0</v>
      </c>
      <c r="N148" t="n">
        <v>0</v>
      </c>
      <c r="O148" t="n">
        <v>0</v>
      </c>
      <c r="P148" t="n">
        <v>0</v>
      </c>
      <c r="Q148" t="n">
        <v>1</v>
      </c>
      <c r="R148" s="2" t="inlineStr">
        <is>
          <t>Fjällig taggsvamp s.str.</t>
        </is>
      </c>
      <c r="S148">
        <f>HYPERLINK("https://klasma.github.io/Logging_0380/artfynd/A 46634-2022 artfynd.xlsx", "A 46634-2022")</f>
        <v/>
      </c>
      <c r="T148">
        <f>HYPERLINK("https://klasma.github.io/Logging_0380/kartor/A 46634-2022 karta.png", "A 46634-2022")</f>
        <v/>
      </c>
      <c r="V148">
        <f>HYPERLINK("https://klasma.github.io/Logging_0380/klagomål/A 46634-2022 FSC-klagomål.docx", "A 46634-2022")</f>
        <v/>
      </c>
      <c r="W148">
        <f>HYPERLINK("https://klasma.github.io/Logging_0380/klagomålsmail/A 46634-2022 FSC-klagomål mail.docx", "A 46634-2022")</f>
        <v/>
      </c>
      <c r="X148">
        <f>HYPERLINK("https://klasma.github.io/Logging_0380/tillsyn/A 46634-2022 tillsynsbegäran.docx", "A 46634-2022")</f>
        <v/>
      </c>
      <c r="Y148">
        <f>HYPERLINK("https://klasma.github.io/Logging_0380/tillsynsmail/A 46634-2022 tillsynsbegäran mail.docx", "A 46634-2022")</f>
        <v/>
      </c>
    </row>
    <row r="149" ht="15" customHeight="1">
      <c r="A149" t="inlineStr">
        <is>
          <t>A 49015-2022</t>
        </is>
      </c>
      <c r="B149" s="1" t="n">
        <v>44855</v>
      </c>
      <c r="C149" s="1" t="n">
        <v>45762</v>
      </c>
      <c r="D149" t="inlineStr">
        <is>
          <t>UPPSALA LÄN</t>
        </is>
      </c>
      <c r="E149" t="inlineStr">
        <is>
          <t>UPPSALA</t>
        </is>
      </c>
      <c r="F149" t="inlineStr">
        <is>
          <t>Kommuner</t>
        </is>
      </c>
      <c r="G149" t="n">
        <v>4.5</v>
      </c>
      <c r="H149" t="n">
        <v>0</v>
      </c>
      <c r="I149" t="n">
        <v>0</v>
      </c>
      <c r="J149" t="n">
        <v>1</v>
      </c>
      <c r="K149" t="n">
        <v>0</v>
      </c>
      <c r="L149" t="n">
        <v>0</v>
      </c>
      <c r="M149" t="n">
        <v>0</v>
      </c>
      <c r="N149" t="n">
        <v>0</v>
      </c>
      <c r="O149" t="n">
        <v>1</v>
      </c>
      <c r="P149" t="n">
        <v>0</v>
      </c>
      <c r="Q149" t="n">
        <v>1</v>
      </c>
      <c r="R149" s="2" t="inlineStr">
        <is>
          <t>Harticka</t>
        </is>
      </c>
      <c r="S149">
        <f>HYPERLINK("https://klasma.github.io/Logging_0380/artfynd/A 49015-2022 artfynd.xlsx", "A 49015-2022")</f>
        <v/>
      </c>
      <c r="T149">
        <f>HYPERLINK("https://klasma.github.io/Logging_0380/kartor/A 49015-2022 karta.png", "A 49015-2022")</f>
        <v/>
      </c>
      <c r="V149">
        <f>HYPERLINK("https://klasma.github.io/Logging_0380/klagomål/A 49015-2022 FSC-klagomål.docx", "A 49015-2022")</f>
        <v/>
      </c>
      <c r="W149">
        <f>HYPERLINK("https://klasma.github.io/Logging_0380/klagomålsmail/A 49015-2022 FSC-klagomål mail.docx", "A 49015-2022")</f>
        <v/>
      </c>
      <c r="X149">
        <f>HYPERLINK("https://klasma.github.io/Logging_0380/tillsyn/A 49015-2022 tillsynsbegäran.docx", "A 49015-2022")</f>
        <v/>
      </c>
      <c r="Y149">
        <f>HYPERLINK("https://klasma.github.io/Logging_0380/tillsynsmail/A 49015-2022 tillsynsbegäran mail.docx", "A 49015-2022")</f>
        <v/>
      </c>
    </row>
    <row r="150" ht="15" customHeight="1">
      <c r="A150" t="inlineStr">
        <is>
          <t>A 57793-2022</t>
        </is>
      </c>
      <c r="B150" s="1" t="n">
        <v>44897</v>
      </c>
      <c r="C150" s="1" t="n">
        <v>45762</v>
      </c>
      <c r="D150" t="inlineStr">
        <is>
          <t>UPPSALA LÄN</t>
        </is>
      </c>
      <c r="E150" t="inlineStr">
        <is>
          <t>UPPSALA</t>
        </is>
      </c>
      <c r="G150" t="n">
        <v>2.9</v>
      </c>
      <c r="H150" t="n">
        <v>1</v>
      </c>
      <c r="I150" t="n">
        <v>0</v>
      </c>
      <c r="J150" t="n">
        <v>1</v>
      </c>
      <c r="K150" t="n">
        <v>0</v>
      </c>
      <c r="L150" t="n">
        <v>0</v>
      </c>
      <c r="M150" t="n">
        <v>0</v>
      </c>
      <c r="N150" t="n">
        <v>0</v>
      </c>
      <c r="O150" t="n">
        <v>1</v>
      </c>
      <c r="P150" t="n">
        <v>0</v>
      </c>
      <c r="Q150" t="n">
        <v>1</v>
      </c>
      <c r="R150" s="2" t="inlineStr">
        <is>
          <t>Talltita</t>
        </is>
      </c>
      <c r="S150">
        <f>HYPERLINK("https://klasma.github.io/Logging_0380/artfynd/A 57793-2022 artfynd.xlsx", "A 57793-2022")</f>
        <v/>
      </c>
      <c r="T150">
        <f>HYPERLINK("https://klasma.github.io/Logging_0380/kartor/A 57793-2022 karta.png", "A 57793-2022")</f>
        <v/>
      </c>
      <c r="V150">
        <f>HYPERLINK("https://klasma.github.io/Logging_0380/klagomål/A 57793-2022 FSC-klagomål.docx", "A 57793-2022")</f>
        <v/>
      </c>
      <c r="W150">
        <f>HYPERLINK("https://klasma.github.io/Logging_0380/klagomålsmail/A 57793-2022 FSC-klagomål mail.docx", "A 57793-2022")</f>
        <v/>
      </c>
      <c r="X150">
        <f>HYPERLINK("https://klasma.github.io/Logging_0380/tillsyn/A 57793-2022 tillsynsbegäran.docx", "A 57793-2022")</f>
        <v/>
      </c>
      <c r="Y150">
        <f>HYPERLINK("https://klasma.github.io/Logging_0380/tillsynsmail/A 57793-2022 tillsynsbegäran mail.docx", "A 57793-2022")</f>
        <v/>
      </c>
      <c r="Z150">
        <f>HYPERLINK("https://klasma.github.io/Logging_0380/fåglar/A 57793-2022 prioriterade fågelarter.docx", "A 57793-2022")</f>
        <v/>
      </c>
    </row>
    <row r="151" ht="15" customHeight="1">
      <c r="A151" t="inlineStr">
        <is>
          <t>A 60055-2022</t>
        </is>
      </c>
      <c r="B151" s="1" t="n">
        <v>44909</v>
      </c>
      <c r="C151" s="1" t="n">
        <v>45762</v>
      </c>
      <c r="D151" t="inlineStr">
        <is>
          <t>UPPSALA LÄN</t>
        </is>
      </c>
      <c r="E151" t="inlineStr">
        <is>
          <t>UPPSALA</t>
        </is>
      </c>
      <c r="G151" t="n">
        <v>11.4</v>
      </c>
      <c r="H151" t="n">
        <v>1</v>
      </c>
      <c r="I151" t="n">
        <v>0</v>
      </c>
      <c r="J151" t="n">
        <v>0</v>
      </c>
      <c r="K151" t="n">
        <v>0</v>
      </c>
      <c r="L151" t="n">
        <v>0</v>
      </c>
      <c r="M151" t="n">
        <v>0</v>
      </c>
      <c r="N151" t="n">
        <v>0</v>
      </c>
      <c r="O151" t="n">
        <v>0</v>
      </c>
      <c r="P151" t="n">
        <v>0</v>
      </c>
      <c r="Q151" t="n">
        <v>1</v>
      </c>
      <c r="R151" s="2" t="inlineStr">
        <is>
          <t>Tjäder</t>
        </is>
      </c>
      <c r="S151">
        <f>HYPERLINK("https://klasma.github.io/Logging_0380/artfynd/A 60055-2022 artfynd.xlsx", "A 60055-2022")</f>
        <v/>
      </c>
      <c r="T151">
        <f>HYPERLINK("https://klasma.github.io/Logging_0380/kartor/A 60055-2022 karta.png", "A 60055-2022")</f>
        <v/>
      </c>
      <c r="V151">
        <f>HYPERLINK("https://klasma.github.io/Logging_0380/klagomål/A 60055-2022 FSC-klagomål.docx", "A 60055-2022")</f>
        <v/>
      </c>
      <c r="W151">
        <f>HYPERLINK("https://klasma.github.io/Logging_0380/klagomålsmail/A 60055-2022 FSC-klagomål mail.docx", "A 60055-2022")</f>
        <v/>
      </c>
      <c r="X151">
        <f>HYPERLINK("https://klasma.github.io/Logging_0380/tillsyn/A 60055-2022 tillsynsbegäran.docx", "A 60055-2022")</f>
        <v/>
      </c>
      <c r="Y151">
        <f>HYPERLINK("https://klasma.github.io/Logging_0380/tillsynsmail/A 60055-2022 tillsynsbegäran mail.docx", "A 60055-2022")</f>
        <v/>
      </c>
      <c r="Z151">
        <f>HYPERLINK("https://klasma.github.io/Logging_0380/fåglar/A 60055-2022 prioriterade fågelarter.docx", "A 60055-2022")</f>
        <v/>
      </c>
    </row>
    <row r="152" ht="15" customHeight="1">
      <c r="A152" t="inlineStr">
        <is>
          <t>A 61818-2022</t>
        </is>
      </c>
      <c r="B152" s="1" t="n">
        <v>44917</v>
      </c>
      <c r="C152" s="1" t="n">
        <v>45762</v>
      </c>
      <c r="D152" t="inlineStr">
        <is>
          <t>UPPSALA LÄN</t>
        </is>
      </c>
      <c r="E152" t="inlineStr">
        <is>
          <t>UPPSALA</t>
        </is>
      </c>
      <c r="F152" t="inlineStr">
        <is>
          <t>Holmen skog AB</t>
        </is>
      </c>
      <c r="G152" t="n">
        <v>0.8</v>
      </c>
      <c r="H152" t="n">
        <v>0</v>
      </c>
      <c r="I152" t="n">
        <v>0</v>
      </c>
      <c r="J152" t="n">
        <v>1</v>
      </c>
      <c r="K152" t="n">
        <v>0</v>
      </c>
      <c r="L152" t="n">
        <v>0</v>
      </c>
      <c r="M152" t="n">
        <v>0</v>
      </c>
      <c r="N152" t="n">
        <v>0</v>
      </c>
      <c r="O152" t="n">
        <v>1</v>
      </c>
      <c r="P152" t="n">
        <v>0</v>
      </c>
      <c r="Q152" t="n">
        <v>1</v>
      </c>
      <c r="R152" s="2" t="inlineStr">
        <is>
          <t>Blekticka</t>
        </is>
      </c>
      <c r="S152">
        <f>HYPERLINK("https://klasma.github.io/Logging_0380/artfynd/A 61818-2022 artfynd.xlsx", "A 61818-2022")</f>
        <v/>
      </c>
      <c r="T152">
        <f>HYPERLINK("https://klasma.github.io/Logging_0380/kartor/A 61818-2022 karta.png", "A 61818-2022")</f>
        <v/>
      </c>
      <c r="V152">
        <f>HYPERLINK("https://klasma.github.io/Logging_0380/klagomål/A 61818-2022 FSC-klagomål.docx", "A 61818-2022")</f>
        <v/>
      </c>
      <c r="W152">
        <f>HYPERLINK("https://klasma.github.io/Logging_0380/klagomålsmail/A 61818-2022 FSC-klagomål mail.docx", "A 61818-2022")</f>
        <v/>
      </c>
      <c r="X152">
        <f>HYPERLINK("https://klasma.github.io/Logging_0380/tillsyn/A 61818-2022 tillsynsbegäran.docx", "A 61818-2022")</f>
        <v/>
      </c>
      <c r="Y152">
        <f>HYPERLINK("https://klasma.github.io/Logging_0380/tillsynsmail/A 61818-2022 tillsynsbegäran mail.docx", "A 61818-2022")</f>
        <v/>
      </c>
    </row>
    <row r="153" ht="15" customHeight="1">
      <c r="A153" t="inlineStr">
        <is>
          <t>A 61830-2022</t>
        </is>
      </c>
      <c r="B153" s="1" t="n">
        <v>44917</v>
      </c>
      <c r="C153" s="1" t="n">
        <v>45762</v>
      </c>
      <c r="D153" t="inlineStr">
        <is>
          <t>UPPSALA LÄN</t>
        </is>
      </c>
      <c r="E153" t="inlineStr">
        <is>
          <t>UPPSALA</t>
        </is>
      </c>
      <c r="F153" t="inlineStr">
        <is>
          <t>Holmen skog AB</t>
        </is>
      </c>
      <c r="G153" t="n">
        <v>1.1</v>
      </c>
      <c r="H153" t="n">
        <v>0</v>
      </c>
      <c r="I153" t="n">
        <v>0</v>
      </c>
      <c r="J153" t="n">
        <v>1</v>
      </c>
      <c r="K153" t="n">
        <v>0</v>
      </c>
      <c r="L153" t="n">
        <v>0</v>
      </c>
      <c r="M153" t="n">
        <v>0</v>
      </c>
      <c r="N153" t="n">
        <v>0</v>
      </c>
      <c r="O153" t="n">
        <v>1</v>
      </c>
      <c r="P153" t="n">
        <v>0</v>
      </c>
      <c r="Q153" t="n">
        <v>1</v>
      </c>
      <c r="R153" s="2" t="inlineStr">
        <is>
          <t>Rödbrun blekspik</t>
        </is>
      </c>
      <c r="S153">
        <f>HYPERLINK("https://klasma.github.io/Logging_0380/artfynd/A 61830-2022 artfynd.xlsx", "A 61830-2022")</f>
        <v/>
      </c>
      <c r="T153">
        <f>HYPERLINK("https://klasma.github.io/Logging_0380/kartor/A 61830-2022 karta.png", "A 61830-2022")</f>
        <v/>
      </c>
      <c r="V153">
        <f>HYPERLINK("https://klasma.github.io/Logging_0380/klagomål/A 61830-2022 FSC-klagomål.docx", "A 61830-2022")</f>
        <v/>
      </c>
      <c r="W153">
        <f>HYPERLINK("https://klasma.github.io/Logging_0380/klagomålsmail/A 61830-2022 FSC-klagomål mail.docx", "A 61830-2022")</f>
        <v/>
      </c>
      <c r="X153">
        <f>HYPERLINK("https://klasma.github.io/Logging_0380/tillsyn/A 61830-2022 tillsynsbegäran.docx", "A 61830-2022")</f>
        <v/>
      </c>
      <c r="Y153">
        <f>HYPERLINK("https://klasma.github.io/Logging_0380/tillsynsmail/A 61830-2022 tillsynsbegäran mail.docx", "A 61830-2022")</f>
        <v/>
      </c>
    </row>
    <row r="154" ht="15" customHeight="1">
      <c r="A154" t="inlineStr">
        <is>
          <t>A 5009-2023</t>
        </is>
      </c>
      <c r="B154" s="1" t="n">
        <v>44958</v>
      </c>
      <c r="C154" s="1" t="n">
        <v>45762</v>
      </c>
      <c r="D154" t="inlineStr">
        <is>
          <t>UPPSALA LÄN</t>
        </is>
      </c>
      <c r="E154" t="inlineStr">
        <is>
          <t>UPPSALA</t>
        </is>
      </c>
      <c r="G154" t="n">
        <v>4.7</v>
      </c>
      <c r="H154" t="n">
        <v>1</v>
      </c>
      <c r="I154" t="n">
        <v>0</v>
      </c>
      <c r="J154" t="n">
        <v>0</v>
      </c>
      <c r="K154" t="n">
        <v>0</v>
      </c>
      <c r="L154" t="n">
        <v>0</v>
      </c>
      <c r="M154" t="n">
        <v>0</v>
      </c>
      <c r="N154" t="n">
        <v>0</v>
      </c>
      <c r="O154" t="n">
        <v>0</v>
      </c>
      <c r="P154" t="n">
        <v>0</v>
      </c>
      <c r="Q154" t="n">
        <v>1</v>
      </c>
      <c r="R154" s="2" t="inlineStr">
        <is>
          <t>Blåsippa</t>
        </is>
      </c>
      <c r="S154">
        <f>HYPERLINK("https://klasma.github.io/Logging_0380/artfynd/A 5009-2023 artfynd.xlsx", "A 5009-2023")</f>
        <v/>
      </c>
      <c r="T154">
        <f>HYPERLINK("https://klasma.github.io/Logging_0380/kartor/A 5009-2023 karta.png", "A 5009-2023")</f>
        <v/>
      </c>
      <c r="V154">
        <f>HYPERLINK("https://klasma.github.io/Logging_0380/klagomål/A 5009-2023 FSC-klagomål.docx", "A 5009-2023")</f>
        <v/>
      </c>
      <c r="W154">
        <f>HYPERLINK("https://klasma.github.io/Logging_0380/klagomålsmail/A 5009-2023 FSC-klagomål mail.docx", "A 5009-2023")</f>
        <v/>
      </c>
      <c r="X154">
        <f>HYPERLINK("https://klasma.github.io/Logging_0380/tillsyn/A 5009-2023 tillsynsbegäran.docx", "A 5009-2023")</f>
        <v/>
      </c>
      <c r="Y154">
        <f>HYPERLINK("https://klasma.github.io/Logging_0380/tillsynsmail/A 5009-2023 tillsynsbegäran mail.docx", "A 5009-2023")</f>
        <v/>
      </c>
    </row>
    <row r="155" ht="15" customHeight="1">
      <c r="A155" t="inlineStr">
        <is>
          <t>A 5750-2023</t>
        </is>
      </c>
      <c r="B155" s="1" t="n">
        <v>44963</v>
      </c>
      <c r="C155" s="1" t="n">
        <v>45762</v>
      </c>
      <c r="D155" t="inlineStr">
        <is>
          <t>UPPSALA LÄN</t>
        </is>
      </c>
      <c r="E155" t="inlineStr">
        <is>
          <t>UPPSALA</t>
        </is>
      </c>
      <c r="G155" t="n">
        <v>13.8</v>
      </c>
      <c r="H155" t="n">
        <v>0</v>
      </c>
      <c r="I155" t="n">
        <v>0</v>
      </c>
      <c r="J155" t="n">
        <v>0</v>
      </c>
      <c r="K155" t="n">
        <v>1</v>
      </c>
      <c r="L155" t="n">
        <v>0</v>
      </c>
      <c r="M155" t="n">
        <v>0</v>
      </c>
      <c r="N155" t="n">
        <v>0</v>
      </c>
      <c r="O155" t="n">
        <v>1</v>
      </c>
      <c r="P155" t="n">
        <v>1</v>
      </c>
      <c r="Q155" t="n">
        <v>1</v>
      </c>
      <c r="R155" s="2" t="inlineStr">
        <is>
          <t>Raggbock</t>
        </is>
      </c>
      <c r="S155">
        <f>HYPERLINK("https://klasma.github.io/Logging_0380/artfynd/A 5750-2023 artfynd.xlsx", "A 5750-2023")</f>
        <v/>
      </c>
      <c r="T155">
        <f>HYPERLINK("https://klasma.github.io/Logging_0380/kartor/A 5750-2023 karta.png", "A 5750-2023")</f>
        <v/>
      </c>
      <c r="V155">
        <f>HYPERLINK("https://klasma.github.io/Logging_0380/klagomål/A 5750-2023 FSC-klagomål.docx", "A 5750-2023")</f>
        <v/>
      </c>
      <c r="W155">
        <f>HYPERLINK("https://klasma.github.io/Logging_0380/klagomålsmail/A 5750-2023 FSC-klagomål mail.docx", "A 5750-2023")</f>
        <v/>
      </c>
      <c r="X155">
        <f>HYPERLINK("https://klasma.github.io/Logging_0380/tillsyn/A 5750-2023 tillsynsbegäran.docx", "A 5750-2023")</f>
        <v/>
      </c>
      <c r="Y155">
        <f>HYPERLINK("https://klasma.github.io/Logging_0380/tillsynsmail/A 5750-2023 tillsynsbegäran mail.docx", "A 5750-2023")</f>
        <v/>
      </c>
    </row>
    <row r="156" ht="15" customHeight="1">
      <c r="A156" t="inlineStr">
        <is>
          <t>A 13154-2023</t>
        </is>
      </c>
      <c r="B156" s="1" t="n">
        <v>45002</v>
      </c>
      <c r="C156" s="1" t="n">
        <v>45762</v>
      </c>
      <c r="D156" t="inlineStr">
        <is>
          <t>UPPSALA LÄN</t>
        </is>
      </c>
      <c r="E156" t="inlineStr">
        <is>
          <t>UPPSALA</t>
        </is>
      </c>
      <c r="F156" t="inlineStr">
        <is>
          <t>Holmen skog AB</t>
        </is>
      </c>
      <c r="G156" t="n">
        <v>2.6</v>
      </c>
      <c r="H156" t="n">
        <v>0</v>
      </c>
      <c r="I156" t="n">
        <v>1</v>
      </c>
      <c r="J156" t="n">
        <v>0</v>
      </c>
      <c r="K156" t="n">
        <v>0</v>
      </c>
      <c r="L156" t="n">
        <v>0</v>
      </c>
      <c r="M156" t="n">
        <v>0</v>
      </c>
      <c r="N156" t="n">
        <v>0</v>
      </c>
      <c r="O156" t="n">
        <v>0</v>
      </c>
      <c r="P156" t="n">
        <v>0</v>
      </c>
      <c r="Q156" t="n">
        <v>1</v>
      </c>
      <c r="R156" s="2" t="inlineStr">
        <is>
          <t>Korallblylav</t>
        </is>
      </c>
      <c r="S156">
        <f>HYPERLINK("https://klasma.github.io/Logging_0380/artfynd/A 13154-2023 artfynd.xlsx", "A 13154-2023")</f>
        <v/>
      </c>
      <c r="T156">
        <f>HYPERLINK("https://klasma.github.io/Logging_0380/kartor/A 13154-2023 karta.png", "A 13154-2023")</f>
        <v/>
      </c>
      <c r="V156">
        <f>HYPERLINK("https://klasma.github.io/Logging_0380/klagomål/A 13154-2023 FSC-klagomål.docx", "A 13154-2023")</f>
        <v/>
      </c>
      <c r="W156">
        <f>HYPERLINK("https://klasma.github.io/Logging_0380/klagomålsmail/A 13154-2023 FSC-klagomål mail.docx", "A 13154-2023")</f>
        <v/>
      </c>
      <c r="X156">
        <f>HYPERLINK("https://klasma.github.io/Logging_0380/tillsyn/A 13154-2023 tillsynsbegäran.docx", "A 13154-2023")</f>
        <v/>
      </c>
      <c r="Y156">
        <f>HYPERLINK("https://klasma.github.io/Logging_0380/tillsynsmail/A 13154-2023 tillsynsbegäran mail.docx", "A 13154-2023")</f>
        <v/>
      </c>
    </row>
    <row r="157" ht="15" customHeight="1">
      <c r="A157" t="inlineStr">
        <is>
          <t>A 15722-2023</t>
        </is>
      </c>
      <c r="B157" s="1" t="n">
        <v>45021</v>
      </c>
      <c r="C157" s="1" t="n">
        <v>45762</v>
      </c>
      <c r="D157" t="inlineStr">
        <is>
          <t>UPPSALA LÄN</t>
        </is>
      </c>
      <c r="E157" t="inlineStr">
        <is>
          <t>UPPSALA</t>
        </is>
      </c>
      <c r="G157" t="n">
        <v>15.2</v>
      </c>
      <c r="H157" t="n">
        <v>0</v>
      </c>
      <c r="I157" t="n">
        <v>1</v>
      </c>
      <c r="J157" t="n">
        <v>0</v>
      </c>
      <c r="K157" t="n">
        <v>0</v>
      </c>
      <c r="L157" t="n">
        <v>0</v>
      </c>
      <c r="M157" t="n">
        <v>0</v>
      </c>
      <c r="N157" t="n">
        <v>0</v>
      </c>
      <c r="O157" t="n">
        <v>0</v>
      </c>
      <c r="P157" t="n">
        <v>0</v>
      </c>
      <c r="Q157" t="n">
        <v>1</v>
      </c>
      <c r="R157" s="2" t="inlineStr">
        <is>
          <t>Tibast</t>
        </is>
      </c>
      <c r="S157">
        <f>HYPERLINK("https://klasma.github.io/Logging_0380/artfynd/A 15722-2023 artfynd.xlsx", "A 15722-2023")</f>
        <v/>
      </c>
      <c r="T157">
        <f>HYPERLINK("https://klasma.github.io/Logging_0380/kartor/A 15722-2023 karta.png", "A 15722-2023")</f>
        <v/>
      </c>
      <c r="V157">
        <f>HYPERLINK("https://klasma.github.io/Logging_0380/klagomål/A 15722-2023 FSC-klagomål.docx", "A 15722-2023")</f>
        <v/>
      </c>
      <c r="W157">
        <f>HYPERLINK("https://klasma.github.io/Logging_0380/klagomålsmail/A 15722-2023 FSC-klagomål mail.docx", "A 15722-2023")</f>
        <v/>
      </c>
      <c r="X157">
        <f>HYPERLINK("https://klasma.github.io/Logging_0380/tillsyn/A 15722-2023 tillsynsbegäran.docx", "A 15722-2023")</f>
        <v/>
      </c>
      <c r="Y157">
        <f>HYPERLINK("https://klasma.github.io/Logging_0380/tillsynsmail/A 15722-2023 tillsynsbegäran mail.docx", "A 15722-2023")</f>
        <v/>
      </c>
    </row>
    <row r="158" ht="15" customHeight="1">
      <c r="A158" t="inlineStr">
        <is>
          <t>A 15919-2023</t>
        </is>
      </c>
      <c r="B158" s="1" t="n">
        <v>45022</v>
      </c>
      <c r="C158" s="1" t="n">
        <v>45762</v>
      </c>
      <c r="D158" t="inlineStr">
        <is>
          <t>UPPSALA LÄN</t>
        </is>
      </c>
      <c r="E158" t="inlineStr">
        <is>
          <t>UPPSALA</t>
        </is>
      </c>
      <c r="F158" t="inlineStr">
        <is>
          <t>Holmen skog AB</t>
        </is>
      </c>
      <c r="G158" t="n">
        <v>10</v>
      </c>
      <c r="H158" t="n">
        <v>1</v>
      </c>
      <c r="I158" t="n">
        <v>0</v>
      </c>
      <c r="J158" t="n">
        <v>0</v>
      </c>
      <c r="K158" t="n">
        <v>0</v>
      </c>
      <c r="L158" t="n">
        <v>0</v>
      </c>
      <c r="M158" t="n">
        <v>0</v>
      </c>
      <c r="N158" t="n">
        <v>0</v>
      </c>
      <c r="O158" t="n">
        <v>0</v>
      </c>
      <c r="P158" t="n">
        <v>0</v>
      </c>
      <c r="Q158" t="n">
        <v>1</v>
      </c>
      <c r="R158" s="2" t="inlineStr">
        <is>
          <t>Blåsippa</t>
        </is>
      </c>
      <c r="S158">
        <f>HYPERLINK("https://klasma.github.io/Logging_0380/artfynd/A 15919-2023 artfynd.xlsx", "A 15919-2023")</f>
        <v/>
      </c>
      <c r="T158">
        <f>HYPERLINK("https://klasma.github.io/Logging_0380/kartor/A 15919-2023 karta.png", "A 15919-2023")</f>
        <v/>
      </c>
      <c r="V158">
        <f>HYPERLINK("https://klasma.github.io/Logging_0380/klagomål/A 15919-2023 FSC-klagomål.docx", "A 15919-2023")</f>
        <v/>
      </c>
      <c r="W158">
        <f>HYPERLINK("https://klasma.github.io/Logging_0380/klagomålsmail/A 15919-2023 FSC-klagomål mail.docx", "A 15919-2023")</f>
        <v/>
      </c>
      <c r="X158">
        <f>HYPERLINK("https://klasma.github.io/Logging_0380/tillsyn/A 15919-2023 tillsynsbegäran.docx", "A 15919-2023")</f>
        <v/>
      </c>
      <c r="Y158">
        <f>HYPERLINK("https://klasma.github.io/Logging_0380/tillsynsmail/A 15919-2023 tillsynsbegäran mail.docx", "A 15919-2023")</f>
        <v/>
      </c>
    </row>
    <row r="159" ht="15" customHeight="1">
      <c r="A159" t="inlineStr">
        <is>
          <t>A 15918-2023</t>
        </is>
      </c>
      <c r="B159" s="1" t="n">
        <v>45022</v>
      </c>
      <c r="C159" s="1" t="n">
        <v>45762</v>
      </c>
      <c r="D159" t="inlineStr">
        <is>
          <t>UPPSALA LÄN</t>
        </is>
      </c>
      <c r="E159" t="inlineStr">
        <is>
          <t>UPPSALA</t>
        </is>
      </c>
      <c r="F159" t="inlineStr">
        <is>
          <t>Holmen skog AB</t>
        </is>
      </c>
      <c r="G159" t="n">
        <v>3.2</v>
      </c>
      <c r="H159" t="n">
        <v>1</v>
      </c>
      <c r="I159" t="n">
        <v>0</v>
      </c>
      <c r="J159" t="n">
        <v>0</v>
      </c>
      <c r="K159" t="n">
        <v>0</v>
      </c>
      <c r="L159" t="n">
        <v>0</v>
      </c>
      <c r="M159" t="n">
        <v>0</v>
      </c>
      <c r="N159" t="n">
        <v>0</v>
      </c>
      <c r="O159" t="n">
        <v>0</v>
      </c>
      <c r="P159" t="n">
        <v>0</v>
      </c>
      <c r="Q159" t="n">
        <v>1</v>
      </c>
      <c r="R159" s="2" t="inlineStr">
        <is>
          <t>Blåsippa</t>
        </is>
      </c>
      <c r="S159">
        <f>HYPERLINK("https://klasma.github.io/Logging_0380/artfynd/A 15918-2023 artfynd.xlsx", "A 15918-2023")</f>
        <v/>
      </c>
      <c r="T159">
        <f>HYPERLINK("https://klasma.github.io/Logging_0380/kartor/A 15918-2023 karta.png", "A 15918-2023")</f>
        <v/>
      </c>
      <c r="V159">
        <f>HYPERLINK("https://klasma.github.io/Logging_0380/klagomål/A 15918-2023 FSC-klagomål.docx", "A 15918-2023")</f>
        <v/>
      </c>
      <c r="W159">
        <f>HYPERLINK("https://klasma.github.io/Logging_0380/klagomålsmail/A 15918-2023 FSC-klagomål mail.docx", "A 15918-2023")</f>
        <v/>
      </c>
      <c r="X159">
        <f>HYPERLINK("https://klasma.github.io/Logging_0380/tillsyn/A 15918-2023 tillsynsbegäran.docx", "A 15918-2023")</f>
        <v/>
      </c>
      <c r="Y159">
        <f>HYPERLINK("https://klasma.github.io/Logging_0380/tillsynsmail/A 15918-2023 tillsynsbegäran mail.docx", "A 15918-2023")</f>
        <v/>
      </c>
    </row>
    <row r="160" ht="15" customHeight="1">
      <c r="A160" t="inlineStr">
        <is>
          <t>A 20172-2023</t>
        </is>
      </c>
      <c r="B160" s="1" t="n">
        <v>45055</v>
      </c>
      <c r="C160" s="1" t="n">
        <v>45762</v>
      </c>
      <c r="D160" t="inlineStr">
        <is>
          <t>UPPSALA LÄN</t>
        </is>
      </c>
      <c r="E160" t="inlineStr">
        <is>
          <t>UPPSALA</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HYPERLINK("https://klasma.github.io/Logging_0380/artfynd/A 20172-2023 artfynd.xlsx", "A 20172-2023")</f>
        <v/>
      </c>
      <c r="T160">
        <f>HYPERLINK("https://klasma.github.io/Logging_0380/kartor/A 20172-2023 karta.png", "A 20172-2023")</f>
        <v/>
      </c>
      <c r="V160">
        <f>HYPERLINK("https://klasma.github.io/Logging_0380/klagomål/A 20172-2023 FSC-klagomål.docx", "A 20172-2023")</f>
        <v/>
      </c>
      <c r="W160">
        <f>HYPERLINK("https://klasma.github.io/Logging_0380/klagomålsmail/A 20172-2023 FSC-klagomål mail.docx", "A 20172-2023")</f>
        <v/>
      </c>
      <c r="X160">
        <f>HYPERLINK("https://klasma.github.io/Logging_0380/tillsyn/A 20172-2023 tillsynsbegäran.docx", "A 20172-2023")</f>
        <v/>
      </c>
      <c r="Y160">
        <f>HYPERLINK("https://klasma.github.io/Logging_0380/tillsynsmail/A 20172-2023 tillsynsbegäran mail.docx", "A 20172-2023")</f>
        <v/>
      </c>
    </row>
    <row r="161" ht="15" customHeight="1">
      <c r="A161" t="inlineStr">
        <is>
          <t>A 20930-2023</t>
        </is>
      </c>
      <c r="B161" s="1" t="n">
        <v>45061</v>
      </c>
      <c r="C161" s="1" t="n">
        <v>45762</v>
      </c>
      <c r="D161" t="inlineStr">
        <is>
          <t>UPPSALA LÄN</t>
        </is>
      </c>
      <c r="E161" t="inlineStr">
        <is>
          <t>UPPSALA</t>
        </is>
      </c>
      <c r="G161" t="n">
        <v>5.1</v>
      </c>
      <c r="H161" t="n">
        <v>0</v>
      </c>
      <c r="I161" t="n">
        <v>1</v>
      </c>
      <c r="J161" t="n">
        <v>0</v>
      </c>
      <c r="K161" t="n">
        <v>0</v>
      </c>
      <c r="L161" t="n">
        <v>0</v>
      </c>
      <c r="M161" t="n">
        <v>0</v>
      </c>
      <c r="N161" t="n">
        <v>0</v>
      </c>
      <c r="O161" t="n">
        <v>0</v>
      </c>
      <c r="P161" t="n">
        <v>0</v>
      </c>
      <c r="Q161" t="n">
        <v>1</v>
      </c>
      <c r="R161" s="2" t="inlineStr">
        <is>
          <t>Grönpyrola</t>
        </is>
      </c>
      <c r="S161">
        <f>HYPERLINK("https://klasma.github.io/Logging_0380/artfynd/A 20930-2023 artfynd.xlsx", "A 20930-2023")</f>
        <v/>
      </c>
      <c r="T161">
        <f>HYPERLINK("https://klasma.github.io/Logging_0380/kartor/A 20930-2023 karta.png", "A 20930-2023")</f>
        <v/>
      </c>
      <c r="V161">
        <f>HYPERLINK("https://klasma.github.io/Logging_0380/klagomål/A 20930-2023 FSC-klagomål.docx", "A 20930-2023")</f>
        <v/>
      </c>
      <c r="W161">
        <f>HYPERLINK("https://klasma.github.io/Logging_0380/klagomålsmail/A 20930-2023 FSC-klagomål mail.docx", "A 20930-2023")</f>
        <v/>
      </c>
      <c r="X161">
        <f>HYPERLINK("https://klasma.github.io/Logging_0380/tillsyn/A 20930-2023 tillsynsbegäran.docx", "A 20930-2023")</f>
        <v/>
      </c>
      <c r="Y161">
        <f>HYPERLINK("https://klasma.github.io/Logging_0380/tillsynsmail/A 20930-2023 tillsynsbegäran mail.docx", "A 20930-2023")</f>
        <v/>
      </c>
    </row>
    <row r="162" ht="15" customHeight="1">
      <c r="A162" t="inlineStr">
        <is>
          <t>A 20923-2023</t>
        </is>
      </c>
      <c r="B162" s="1" t="n">
        <v>45061</v>
      </c>
      <c r="C162" s="1" t="n">
        <v>45762</v>
      </c>
      <c r="D162" t="inlineStr">
        <is>
          <t>UPPSALA LÄN</t>
        </is>
      </c>
      <c r="E162" t="inlineStr">
        <is>
          <t>UPPSALA</t>
        </is>
      </c>
      <c r="G162" t="n">
        <v>1.1</v>
      </c>
      <c r="H162" t="n">
        <v>0</v>
      </c>
      <c r="I162" t="n">
        <v>1</v>
      </c>
      <c r="J162" t="n">
        <v>0</v>
      </c>
      <c r="K162" t="n">
        <v>0</v>
      </c>
      <c r="L162" t="n">
        <v>0</v>
      </c>
      <c r="M162" t="n">
        <v>0</v>
      </c>
      <c r="N162" t="n">
        <v>0</v>
      </c>
      <c r="O162" t="n">
        <v>0</v>
      </c>
      <c r="P162" t="n">
        <v>0</v>
      </c>
      <c r="Q162" t="n">
        <v>1</v>
      </c>
      <c r="R162" s="2" t="inlineStr">
        <is>
          <t>Dvärghäxört</t>
        </is>
      </c>
      <c r="S162">
        <f>HYPERLINK("https://klasma.github.io/Logging_0380/artfynd/A 20923-2023 artfynd.xlsx", "A 20923-2023")</f>
        <v/>
      </c>
      <c r="T162">
        <f>HYPERLINK("https://klasma.github.io/Logging_0380/kartor/A 20923-2023 karta.png", "A 20923-2023")</f>
        <v/>
      </c>
      <c r="V162">
        <f>HYPERLINK("https://klasma.github.io/Logging_0380/klagomål/A 20923-2023 FSC-klagomål.docx", "A 20923-2023")</f>
        <v/>
      </c>
      <c r="W162">
        <f>HYPERLINK("https://klasma.github.io/Logging_0380/klagomålsmail/A 20923-2023 FSC-klagomål mail.docx", "A 20923-2023")</f>
        <v/>
      </c>
      <c r="X162">
        <f>HYPERLINK("https://klasma.github.io/Logging_0380/tillsyn/A 20923-2023 tillsynsbegäran.docx", "A 20923-2023")</f>
        <v/>
      </c>
      <c r="Y162">
        <f>HYPERLINK("https://klasma.github.io/Logging_0380/tillsynsmail/A 20923-2023 tillsynsbegäran mail.docx", "A 20923-2023")</f>
        <v/>
      </c>
    </row>
    <row r="163" ht="15" customHeight="1">
      <c r="A163" t="inlineStr">
        <is>
          <t>A 22958-2023</t>
        </is>
      </c>
      <c r="B163" s="1" t="n">
        <v>45072</v>
      </c>
      <c r="C163" s="1" t="n">
        <v>45762</v>
      </c>
      <c r="D163" t="inlineStr">
        <is>
          <t>UPPSALA LÄN</t>
        </is>
      </c>
      <c r="E163" t="inlineStr">
        <is>
          <t>UPPSALA</t>
        </is>
      </c>
      <c r="F163" t="inlineStr">
        <is>
          <t>Holmen skog AB</t>
        </is>
      </c>
      <c r="G163" t="n">
        <v>6.4</v>
      </c>
      <c r="H163" t="n">
        <v>0</v>
      </c>
      <c r="I163" t="n">
        <v>0</v>
      </c>
      <c r="J163" t="n">
        <v>1</v>
      </c>
      <c r="K163" t="n">
        <v>0</v>
      </c>
      <c r="L163" t="n">
        <v>0</v>
      </c>
      <c r="M163" t="n">
        <v>0</v>
      </c>
      <c r="N163" t="n">
        <v>0</v>
      </c>
      <c r="O163" t="n">
        <v>1</v>
      </c>
      <c r="P163" t="n">
        <v>0</v>
      </c>
      <c r="Q163" t="n">
        <v>1</v>
      </c>
      <c r="R163" s="2" t="inlineStr">
        <is>
          <t>Krusfrö</t>
        </is>
      </c>
      <c r="S163">
        <f>HYPERLINK("https://klasma.github.io/Logging_0380/artfynd/A 22958-2023 artfynd.xlsx", "A 22958-2023")</f>
        <v/>
      </c>
      <c r="T163">
        <f>HYPERLINK("https://klasma.github.io/Logging_0380/kartor/A 22958-2023 karta.png", "A 22958-2023")</f>
        <v/>
      </c>
      <c r="V163">
        <f>HYPERLINK("https://klasma.github.io/Logging_0380/klagomål/A 22958-2023 FSC-klagomål.docx", "A 22958-2023")</f>
        <v/>
      </c>
      <c r="W163">
        <f>HYPERLINK("https://klasma.github.io/Logging_0380/klagomålsmail/A 22958-2023 FSC-klagomål mail.docx", "A 22958-2023")</f>
        <v/>
      </c>
      <c r="X163">
        <f>HYPERLINK("https://klasma.github.io/Logging_0380/tillsyn/A 22958-2023 tillsynsbegäran.docx", "A 22958-2023")</f>
        <v/>
      </c>
      <c r="Y163">
        <f>HYPERLINK("https://klasma.github.io/Logging_0380/tillsynsmail/A 22958-2023 tillsynsbegäran mail.docx", "A 22958-2023")</f>
        <v/>
      </c>
    </row>
    <row r="164" ht="15" customHeight="1">
      <c r="A164" t="inlineStr">
        <is>
          <t>A 27848-2023</t>
        </is>
      </c>
      <c r="B164" s="1" t="n">
        <v>45098</v>
      </c>
      <c r="C164" s="1" t="n">
        <v>45762</v>
      </c>
      <c r="D164" t="inlineStr">
        <is>
          <t>UPPSALA LÄN</t>
        </is>
      </c>
      <c r="E164" t="inlineStr">
        <is>
          <t>UPPSALA</t>
        </is>
      </c>
      <c r="G164" t="n">
        <v>14.3</v>
      </c>
      <c r="H164" t="n">
        <v>0</v>
      </c>
      <c r="I164" t="n">
        <v>1</v>
      </c>
      <c r="J164" t="n">
        <v>0</v>
      </c>
      <c r="K164" t="n">
        <v>0</v>
      </c>
      <c r="L164" t="n">
        <v>0</v>
      </c>
      <c r="M164" t="n">
        <v>0</v>
      </c>
      <c r="N164" t="n">
        <v>0</v>
      </c>
      <c r="O164" t="n">
        <v>0</v>
      </c>
      <c r="P164" t="n">
        <v>0</v>
      </c>
      <c r="Q164" t="n">
        <v>1</v>
      </c>
      <c r="R164" s="2" t="inlineStr">
        <is>
          <t>Blåmossa</t>
        </is>
      </c>
      <c r="S164">
        <f>HYPERLINK("https://klasma.github.io/Logging_0380/artfynd/A 27848-2023 artfynd.xlsx", "A 27848-2023")</f>
        <v/>
      </c>
      <c r="T164">
        <f>HYPERLINK("https://klasma.github.io/Logging_0380/kartor/A 27848-2023 karta.png", "A 27848-2023")</f>
        <v/>
      </c>
      <c r="V164">
        <f>HYPERLINK("https://klasma.github.io/Logging_0380/klagomål/A 27848-2023 FSC-klagomål.docx", "A 27848-2023")</f>
        <v/>
      </c>
      <c r="W164">
        <f>HYPERLINK("https://klasma.github.io/Logging_0380/klagomålsmail/A 27848-2023 FSC-klagomål mail.docx", "A 27848-2023")</f>
        <v/>
      </c>
      <c r="X164">
        <f>HYPERLINK("https://klasma.github.io/Logging_0380/tillsyn/A 27848-2023 tillsynsbegäran.docx", "A 27848-2023")</f>
        <v/>
      </c>
      <c r="Y164">
        <f>HYPERLINK("https://klasma.github.io/Logging_0380/tillsynsmail/A 27848-2023 tillsynsbegäran mail.docx", "A 27848-2023")</f>
        <v/>
      </c>
    </row>
    <row r="165" ht="15" customHeight="1">
      <c r="A165" t="inlineStr">
        <is>
          <t>A 28951-2023</t>
        </is>
      </c>
      <c r="B165" s="1" t="n">
        <v>45104</v>
      </c>
      <c r="C165" s="1" t="n">
        <v>45762</v>
      </c>
      <c r="D165" t="inlineStr">
        <is>
          <t>UPPSALA LÄN</t>
        </is>
      </c>
      <c r="E165" t="inlineStr">
        <is>
          <t>UPPSALA</t>
        </is>
      </c>
      <c r="G165" t="n">
        <v>3.7</v>
      </c>
      <c r="H165" t="n">
        <v>0</v>
      </c>
      <c r="I165" t="n">
        <v>1</v>
      </c>
      <c r="J165" t="n">
        <v>0</v>
      </c>
      <c r="K165" t="n">
        <v>0</v>
      </c>
      <c r="L165" t="n">
        <v>0</v>
      </c>
      <c r="M165" t="n">
        <v>0</v>
      </c>
      <c r="N165" t="n">
        <v>0</v>
      </c>
      <c r="O165" t="n">
        <v>0</v>
      </c>
      <c r="P165" t="n">
        <v>0</v>
      </c>
      <c r="Q165" t="n">
        <v>1</v>
      </c>
      <c r="R165" s="2" t="inlineStr">
        <is>
          <t>Grönpyrola</t>
        </is>
      </c>
      <c r="S165">
        <f>HYPERLINK("https://klasma.github.io/Logging_0380/artfynd/A 28951-2023 artfynd.xlsx", "A 28951-2023")</f>
        <v/>
      </c>
      <c r="T165">
        <f>HYPERLINK("https://klasma.github.io/Logging_0380/kartor/A 28951-2023 karta.png", "A 28951-2023")</f>
        <v/>
      </c>
      <c r="V165">
        <f>HYPERLINK("https://klasma.github.io/Logging_0380/klagomål/A 28951-2023 FSC-klagomål.docx", "A 28951-2023")</f>
        <v/>
      </c>
      <c r="W165">
        <f>HYPERLINK("https://klasma.github.io/Logging_0380/klagomålsmail/A 28951-2023 FSC-klagomål mail.docx", "A 28951-2023")</f>
        <v/>
      </c>
      <c r="X165">
        <f>HYPERLINK("https://klasma.github.io/Logging_0380/tillsyn/A 28951-2023 tillsynsbegäran.docx", "A 28951-2023")</f>
        <v/>
      </c>
      <c r="Y165">
        <f>HYPERLINK("https://klasma.github.io/Logging_0380/tillsynsmail/A 28951-2023 tillsynsbegäran mail.docx", "A 28951-2023")</f>
        <v/>
      </c>
    </row>
    <row r="166" ht="15" customHeight="1">
      <c r="A166" t="inlineStr">
        <is>
          <t>A 29902-2023</t>
        </is>
      </c>
      <c r="B166" s="1" t="n">
        <v>45107</v>
      </c>
      <c r="C166" s="1" t="n">
        <v>45762</v>
      </c>
      <c r="D166" t="inlineStr">
        <is>
          <t>UPPSALA LÄN</t>
        </is>
      </c>
      <c r="E166" t="inlineStr">
        <is>
          <t>UPPSALA</t>
        </is>
      </c>
      <c r="F166" t="inlineStr">
        <is>
          <t>Kyrkan</t>
        </is>
      </c>
      <c r="G166" t="n">
        <v>10.6</v>
      </c>
      <c r="H166" t="n">
        <v>1</v>
      </c>
      <c r="I166" t="n">
        <v>0</v>
      </c>
      <c r="J166" t="n">
        <v>1</v>
      </c>
      <c r="K166" t="n">
        <v>0</v>
      </c>
      <c r="L166" t="n">
        <v>0</v>
      </c>
      <c r="M166" t="n">
        <v>0</v>
      </c>
      <c r="N166" t="n">
        <v>0</v>
      </c>
      <c r="O166" t="n">
        <v>1</v>
      </c>
      <c r="P166" t="n">
        <v>0</v>
      </c>
      <c r="Q166" t="n">
        <v>1</v>
      </c>
      <c r="R166" s="2" t="inlineStr">
        <is>
          <t>Järpe</t>
        </is>
      </c>
      <c r="S166">
        <f>HYPERLINK("https://klasma.github.io/Logging_0380/artfynd/A 29902-2023 artfynd.xlsx", "A 29902-2023")</f>
        <v/>
      </c>
      <c r="T166">
        <f>HYPERLINK("https://klasma.github.io/Logging_0380/kartor/A 29902-2023 karta.png", "A 29902-2023")</f>
        <v/>
      </c>
      <c r="V166">
        <f>HYPERLINK("https://klasma.github.io/Logging_0380/klagomål/A 29902-2023 FSC-klagomål.docx", "A 29902-2023")</f>
        <v/>
      </c>
      <c r="W166">
        <f>HYPERLINK("https://klasma.github.io/Logging_0380/klagomålsmail/A 29902-2023 FSC-klagomål mail.docx", "A 29902-2023")</f>
        <v/>
      </c>
      <c r="X166">
        <f>HYPERLINK("https://klasma.github.io/Logging_0380/tillsyn/A 29902-2023 tillsynsbegäran.docx", "A 29902-2023")</f>
        <v/>
      </c>
      <c r="Y166">
        <f>HYPERLINK("https://klasma.github.io/Logging_0380/tillsynsmail/A 29902-2023 tillsynsbegäran mail.docx", "A 29902-2023")</f>
        <v/>
      </c>
      <c r="Z166">
        <f>HYPERLINK("https://klasma.github.io/Logging_0380/fåglar/A 29902-2023 prioriterade fågelarter.docx", "A 29902-2023")</f>
        <v/>
      </c>
    </row>
    <row r="167" ht="15" customHeight="1">
      <c r="A167" t="inlineStr">
        <is>
          <t>A 29906-2023</t>
        </is>
      </c>
      <c r="B167" s="1" t="n">
        <v>45107</v>
      </c>
      <c r="C167" s="1" t="n">
        <v>45762</v>
      </c>
      <c r="D167" t="inlineStr">
        <is>
          <t>UPPSALA LÄN</t>
        </is>
      </c>
      <c r="E167" t="inlineStr">
        <is>
          <t>UPPSALA</t>
        </is>
      </c>
      <c r="F167" t="inlineStr">
        <is>
          <t>Kyrkan</t>
        </is>
      </c>
      <c r="G167" t="n">
        <v>0.5</v>
      </c>
      <c r="H167" t="n">
        <v>0</v>
      </c>
      <c r="I167" t="n">
        <v>1</v>
      </c>
      <c r="J167" t="n">
        <v>0</v>
      </c>
      <c r="K167" t="n">
        <v>0</v>
      </c>
      <c r="L167" t="n">
        <v>0</v>
      </c>
      <c r="M167" t="n">
        <v>0</v>
      </c>
      <c r="N167" t="n">
        <v>0</v>
      </c>
      <c r="O167" t="n">
        <v>0</v>
      </c>
      <c r="P167" t="n">
        <v>0</v>
      </c>
      <c r="Q167" t="n">
        <v>1</v>
      </c>
      <c r="R167" s="2" t="inlineStr">
        <is>
          <t>Sotriska</t>
        </is>
      </c>
      <c r="S167">
        <f>HYPERLINK("https://klasma.github.io/Logging_0380/artfynd/A 29906-2023 artfynd.xlsx", "A 29906-2023")</f>
        <v/>
      </c>
      <c r="T167">
        <f>HYPERLINK("https://klasma.github.io/Logging_0380/kartor/A 29906-2023 karta.png", "A 29906-2023")</f>
        <v/>
      </c>
      <c r="V167">
        <f>HYPERLINK("https://klasma.github.io/Logging_0380/klagomål/A 29906-2023 FSC-klagomål.docx", "A 29906-2023")</f>
        <v/>
      </c>
      <c r="W167">
        <f>HYPERLINK("https://klasma.github.io/Logging_0380/klagomålsmail/A 29906-2023 FSC-klagomål mail.docx", "A 29906-2023")</f>
        <v/>
      </c>
      <c r="X167">
        <f>HYPERLINK("https://klasma.github.io/Logging_0380/tillsyn/A 29906-2023 tillsynsbegäran.docx", "A 29906-2023")</f>
        <v/>
      </c>
      <c r="Y167">
        <f>HYPERLINK("https://klasma.github.io/Logging_0380/tillsynsmail/A 29906-2023 tillsynsbegäran mail.docx", "A 29906-2023")</f>
        <v/>
      </c>
    </row>
    <row r="168" ht="15" customHeight="1">
      <c r="A168" t="inlineStr">
        <is>
          <t>A 32668-2023</t>
        </is>
      </c>
      <c r="B168" s="1" t="n">
        <v>45121</v>
      </c>
      <c r="C168" s="1" t="n">
        <v>45762</v>
      </c>
      <c r="D168" t="inlineStr">
        <is>
          <t>UPPSALA LÄN</t>
        </is>
      </c>
      <c r="E168" t="inlineStr">
        <is>
          <t>UPPSALA</t>
        </is>
      </c>
      <c r="F168" t="inlineStr">
        <is>
          <t>Holmen skog AB</t>
        </is>
      </c>
      <c r="G168" t="n">
        <v>6.3</v>
      </c>
      <c r="H168" t="n">
        <v>1</v>
      </c>
      <c r="I168" t="n">
        <v>0</v>
      </c>
      <c r="J168" t="n">
        <v>0</v>
      </c>
      <c r="K168" t="n">
        <v>0</v>
      </c>
      <c r="L168" t="n">
        <v>0</v>
      </c>
      <c r="M168" t="n">
        <v>0</v>
      </c>
      <c r="N168" t="n">
        <v>0</v>
      </c>
      <c r="O168" t="n">
        <v>0</v>
      </c>
      <c r="P168" t="n">
        <v>0</v>
      </c>
      <c r="Q168" t="n">
        <v>1</v>
      </c>
      <c r="R168" s="2" t="inlineStr">
        <is>
          <t>Blåsippa</t>
        </is>
      </c>
      <c r="S168">
        <f>HYPERLINK("https://klasma.github.io/Logging_0380/artfynd/A 32668-2023 artfynd.xlsx", "A 32668-2023")</f>
        <v/>
      </c>
      <c r="T168">
        <f>HYPERLINK("https://klasma.github.io/Logging_0380/kartor/A 32668-2023 karta.png", "A 32668-2023")</f>
        <v/>
      </c>
      <c r="V168">
        <f>HYPERLINK("https://klasma.github.io/Logging_0380/klagomål/A 32668-2023 FSC-klagomål.docx", "A 32668-2023")</f>
        <v/>
      </c>
      <c r="W168">
        <f>HYPERLINK("https://klasma.github.io/Logging_0380/klagomålsmail/A 32668-2023 FSC-klagomål mail.docx", "A 32668-2023")</f>
        <v/>
      </c>
      <c r="X168">
        <f>HYPERLINK("https://klasma.github.io/Logging_0380/tillsyn/A 32668-2023 tillsynsbegäran.docx", "A 32668-2023")</f>
        <v/>
      </c>
      <c r="Y168">
        <f>HYPERLINK("https://klasma.github.io/Logging_0380/tillsynsmail/A 32668-2023 tillsynsbegäran mail.docx", "A 32668-2023")</f>
        <v/>
      </c>
    </row>
    <row r="169" ht="15" customHeight="1">
      <c r="A169" t="inlineStr">
        <is>
          <t>A 32755-2023</t>
        </is>
      </c>
      <c r="B169" s="1" t="n">
        <v>45123</v>
      </c>
      <c r="C169" s="1" t="n">
        <v>45762</v>
      </c>
      <c r="D169" t="inlineStr">
        <is>
          <t>UPPSALA LÄN</t>
        </is>
      </c>
      <c r="E169" t="inlineStr">
        <is>
          <t>UPPSALA</t>
        </is>
      </c>
      <c r="G169" t="n">
        <v>5.7</v>
      </c>
      <c r="H169" t="n">
        <v>1</v>
      </c>
      <c r="I169" t="n">
        <v>0</v>
      </c>
      <c r="J169" t="n">
        <v>1</v>
      </c>
      <c r="K169" t="n">
        <v>0</v>
      </c>
      <c r="L169" t="n">
        <v>0</v>
      </c>
      <c r="M169" t="n">
        <v>0</v>
      </c>
      <c r="N169" t="n">
        <v>0</v>
      </c>
      <c r="O169" t="n">
        <v>1</v>
      </c>
      <c r="P169" t="n">
        <v>0</v>
      </c>
      <c r="Q169" t="n">
        <v>1</v>
      </c>
      <c r="R169" s="2" t="inlineStr">
        <is>
          <t>Spillkråka</t>
        </is>
      </c>
      <c r="S169">
        <f>HYPERLINK("https://klasma.github.io/Logging_0380/artfynd/A 32755-2023 artfynd.xlsx", "A 32755-2023")</f>
        <v/>
      </c>
      <c r="T169">
        <f>HYPERLINK("https://klasma.github.io/Logging_0380/kartor/A 32755-2023 karta.png", "A 32755-2023")</f>
        <v/>
      </c>
      <c r="V169">
        <f>HYPERLINK("https://klasma.github.io/Logging_0380/klagomål/A 32755-2023 FSC-klagomål.docx", "A 32755-2023")</f>
        <v/>
      </c>
      <c r="W169">
        <f>HYPERLINK("https://klasma.github.io/Logging_0380/klagomålsmail/A 32755-2023 FSC-klagomål mail.docx", "A 32755-2023")</f>
        <v/>
      </c>
      <c r="X169">
        <f>HYPERLINK("https://klasma.github.io/Logging_0380/tillsyn/A 32755-2023 tillsynsbegäran.docx", "A 32755-2023")</f>
        <v/>
      </c>
      <c r="Y169">
        <f>HYPERLINK("https://klasma.github.io/Logging_0380/tillsynsmail/A 32755-2023 tillsynsbegäran mail.docx", "A 32755-2023")</f>
        <v/>
      </c>
      <c r="Z169">
        <f>HYPERLINK("https://klasma.github.io/Logging_0380/fåglar/A 32755-2023 prioriterade fågelarter.docx", "A 32755-2023")</f>
        <v/>
      </c>
    </row>
    <row r="170" ht="15" customHeight="1">
      <c r="A170" t="inlineStr">
        <is>
          <t>A 34732-2023</t>
        </is>
      </c>
      <c r="B170" s="1" t="n">
        <v>45139</v>
      </c>
      <c r="C170" s="1" t="n">
        <v>45762</v>
      </c>
      <c r="D170" t="inlineStr">
        <is>
          <t>UPPSALA LÄN</t>
        </is>
      </c>
      <c r="E170" t="inlineStr">
        <is>
          <t>UPPSALA</t>
        </is>
      </c>
      <c r="G170" t="n">
        <v>8.1</v>
      </c>
      <c r="H170" t="n">
        <v>1</v>
      </c>
      <c r="I170" t="n">
        <v>1</v>
      </c>
      <c r="J170" t="n">
        <v>0</v>
      </c>
      <c r="K170" t="n">
        <v>0</v>
      </c>
      <c r="L170" t="n">
        <v>0</v>
      </c>
      <c r="M170" t="n">
        <v>0</v>
      </c>
      <c r="N170" t="n">
        <v>0</v>
      </c>
      <c r="O170" t="n">
        <v>0</v>
      </c>
      <c r="P170" t="n">
        <v>0</v>
      </c>
      <c r="Q170" t="n">
        <v>1</v>
      </c>
      <c r="R170" s="2" t="inlineStr">
        <is>
          <t>Grön sköldmossa</t>
        </is>
      </c>
      <c r="S170">
        <f>HYPERLINK("https://klasma.github.io/Logging_0380/artfynd/A 34732-2023 artfynd.xlsx", "A 34732-2023")</f>
        <v/>
      </c>
      <c r="T170">
        <f>HYPERLINK("https://klasma.github.io/Logging_0380/kartor/A 34732-2023 karta.png", "A 34732-2023")</f>
        <v/>
      </c>
      <c r="V170">
        <f>HYPERLINK("https://klasma.github.io/Logging_0380/klagomål/A 34732-2023 FSC-klagomål.docx", "A 34732-2023")</f>
        <v/>
      </c>
      <c r="W170">
        <f>HYPERLINK("https://klasma.github.io/Logging_0380/klagomålsmail/A 34732-2023 FSC-klagomål mail.docx", "A 34732-2023")</f>
        <v/>
      </c>
      <c r="X170">
        <f>HYPERLINK("https://klasma.github.io/Logging_0380/tillsyn/A 34732-2023 tillsynsbegäran.docx", "A 34732-2023")</f>
        <v/>
      </c>
      <c r="Y170">
        <f>HYPERLINK("https://klasma.github.io/Logging_0380/tillsynsmail/A 34732-2023 tillsynsbegäran mail.docx", "A 34732-2023")</f>
        <v/>
      </c>
    </row>
    <row r="171" ht="15" customHeight="1">
      <c r="A171" t="inlineStr">
        <is>
          <t>A 39741-2023</t>
        </is>
      </c>
      <c r="B171" s="1" t="n">
        <v>45167</v>
      </c>
      <c r="C171" s="1" t="n">
        <v>45762</v>
      </c>
      <c r="D171" t="inlineStr">
        <is>
          <t>UPPSALA LÄN</t>
        </is>
      </c>
      <c r="E171" t="inlineStr">
        <is>
          <t>UPPSALA</t>
        </is>
      </c>
      <c r="G171" t="n">
        <v>5.6</v>
      </c>
      <c r="H171" t="n">
        <v>1</v>
      </c>
      <c r="I171" t="n">
        <v>0</v>
      </c>
      <c r="J171" t="n">
        <v>1</v>
      </c>
      <c r="K171" t="n">
        <v>0</v>
      </c>
      <c r="L171" t="n">
        <v>0</v>
      </c>
      <c r="M171" t="n">
        <v>0</v>
      </c>
      <c r="N171" t="n">
        <v>0</v>
      </c>
      <c r="O171" t="n">
        <v>1</v>
      </c>
      <c r="P171" t="n">
        <v>0</v>
      </c>
      <c r="Q171" t="n">
        <v>1</v>
      </c>
      <c r="R171" s="2" t="inlineStr">
        <is>
          <t>Entita</t>
        </is>
      </c>
      <c r="S171">
        <f>HYPERLINK("https://klasma.github.io/Logging_0380/artfynd/A 39741-2023 artfynd.xlsx", "A 39741-2023")</f>
        <v/>
      </c>
      <c r="T171">
        <f>HYPERLINK("https://klasma.github.io/Logging_0380/kartor/A 39741-2023 karta.png", "A 39741-2023")</f>
        <v/>
      </c>
      <c r="V171">
        <f>HYPERLINK("https://klasma.github.io/Logging_0380/klagomål/A 39741-2023 FSC-klagomål.docx", "A 39741-2023")</f>
        <v/>
      </c>
      <c r="W171">
        <f>HYPERLINK("https://klasma.github.io/Logging_0380/klagomålsmail/A 39741-2023 FSC-klagomål mail.docx", "A 39741-2023")</f>
        <v/>
      </c>
      <c r="X171">
        <f>HYPERLINK("https://klasma.github.io/Logging_0380/tillsyn/A 39741-2023 tillsynsbegäran.docx", "A 39741-2023")</f>
        <v/>
      </c>
      <c r="Y171">
        <f>HYPERLINK("https://klasma.github.io/Logging_0380/tillsynsmail/A 39741-2023 tillsynsbegäran mail.docx", "A 39741-2023")</f>
        <v/>
      </c>
      <c r="Z171">
        <f>HYPERLINK("https://klasma.github.io/Logging_0380/fåglar/A 39741-2023 prioriterade fågelarter.docx", "A 39741-2023")</f>
        <v/>
      </c>
    </row>
    <row r="172" ht="15" customHeight="1">
      <c r="A172" t="inlineStr">
        <is>
          <t>A 51540-2023</t>
        </is>
      </c>
      <c r="B172" s="1" t="n">
        <v>45222</v>
      </c>
      <c r="C172" s="1" t="n">
        <v>45762</v>
      </c>
      <c r="D172" t="inlineStr">
        <is>
          <t>UPPSALA LÄN</t>
        </is>
      </c>
      <c r="E172" t="inlineStr">
        <is>
          <t>UPPSALA</t>
        </is>
      </c>
      <c r="G172" t="n">
        <v>6.4</v>
      </c>
      <c r="H172" t="n">
        <v>0</v>
      </c>
      <c r="I172" t="n">
        <v>0</v>
      </c>
      <c r="J172" t="n">
        <v>1</v>
      </c>
      <c r="K172" t="n">
        <v>0</v>
      </c>
      <c r="L172" t="n">
        <v>0</v>
      </c>
      <c r="M172" t="n">
        <v>0</v>
      </c>
      <c r="N172" t="n">
        <v>0</v>
      </c>
      <c r="O172" t="n">
        <v>1</v>
      </c>
      <c r="P172" t="n">
        <v>0</v>
      </c>
      <c r="Q172" t="n">
        <v>1</v>
      </c>
      <c r="R172" s="2" t="inlineStr">
        <is>
          <t>Svedjenäva</t>
        </is>
      </c>
      <c r="S172">
        <f>HYPERLINK("https://klasma.github.io/Logging_0380/artfynd/A 51540-2023 artfynd.xlsx", "A 51540-2023")</f>
        <v/>
      </c>
      <c r="T172">
        <f>HYPERLINK("https://klasma.github.io/Logging_0380/kartor/A 51540-2023 karta.png", "A 51540-2023")</f>
        <v/>
      </c>
      <c r="V172">
        <f>HYPERLINK("https://klasma.github.io/Logging_0380/klagomål/A 51540-2023 FSC-klagomål.docx", "A 51540-2023")</f>
        <v/>
      </c>
      <c r="W172">
        <f>HYPERLINK("https://klasma.github.io/Logging_0380/klagomålsmail/A 51540-2023 FSC-klagomål mail.docx", "A 51540-2023")</f>
        <v/>
      </c>
      <c r="X172">
        <f>HYPERLINK("https://klasma.github.io/Logging_0380/tillsyn/A 51540-2023 tillsynsbegäran.docx", "A 51540-2023")</f>
        <v/>
      </c>
      <c r="Y172">
        <f>HYPERLINK("https://klasma.github.io/Logging_0380/tillsynsmail/A 51540-2023 tillsynsbegäran mail.docx", "A 51540-2023")</f>
        <v/>
      </c>
    </row>
    <row r="173" ht="15" customHeight="1">
      <c r="A173" t="inlineStr">
        <is>
          <t>A 57332-2023</t>
        </is>
      </c>
      <c r="B173" s="1" t="n">
        <v>45245</v>
      </c>
      <c r="C173" s="1" t="n">
        <v>45762</v>
      </c>
      <c r="D173" t="inlineStr">
        <is>
          <t>UPPSALA LÄN</t>
        </is>
      </c>
      <c r="E173" t="inlineStr">
        <is>
          <t>UPPSALA</t>
        </is>
      </c>
      <c r="F173" t="inlineStr">
        <is>
          <t>Allmännings- och besparingsskogar</t>
        </is>
      </c>
      <c r="G173" t="n">
        <v>11.4</v>
      </c>
      <c r="H173" t="n">
        <v>1</v>
      </c>
      <c r="I173" t="n">
        <v>0</v>
      </c>
      <c r="J173" t="n">
        <v>0</v>
      </c>
      <c r="K173" t="n">
        <v>1</v>
      </c>
      <c r="L173" t="n">
        <v>0</v>
      </c>
      <c r="M173" t="n">
        <v>0</v>
      </c>
      <c r="N173" t="n">
        <v>0</v>
      </c>
      <c r="O173" t="n">
        <v>1</v>
      </c>
      <c r="P173" t="n">
        <v>1</v>
      </c>
      <c r="Q173" t="n">
        <v>1</v>
      </c>
      <c r="R173" s="2" t="inlineStr">
        <is>
          <t>Knärot</t>
        </is>
      </c>
      <c r="S173">
        <f>HYPERLINK("https://klasma.github.io/Logging_0380/artfynd/A 57332-2023 artfynd.xlsx", "A 57332-2023")</f>
        <v/>
      </c>
      <c r="T173">
        <f>HYPERLINK("https://klasma.github.io/Logging_0380/kartor/A 57332-2023 karta.png", "A 57332-2023")</f>
        <v/>
      </c>
      <c r="U173">
        <f>HYPERLINK("https://klasma.github.io/Logging_0380/knärot/A 57332-2023 karta knärot.png", "A 57332-2023")</f>
        <v/>
      </c>
      <c r="V173">
        <f>HYPERLINK("https://klasma.github.io/Logging_0380/klagomål/A 57332-2023 FSC-klagomål.docx", "A 57332-2023")</f>
        <v/>
      </c>
      <c r="W173">
        <f>HYPERLINK("https://klasma.github.io/Logging_0380/klagomålsmail/A 57332-2023 FSC-klagomål mail.docx", "A 57332-2023")</f>
        <v/>
      </c>
      <c r="X173">
        <f>HYPERLINK("https://klasma.github.io/Logging_0380/tillsyn/A 57332-2023 tillsynsbegäran.docx", "A 57332-2023")</f>
        <v/>
      </c>
      <c r="Y173">
        <f>HYPERLINK("https://klasma.github.io/Logging_0380/tillsynsmail/A 57332-2023 tillsynsbegäran mail.docx", "A 57332-2023")</f>
        <v/>
      </c>
    </row>
    <row r="174" ht="15" customHeight="1">
      <c r="A174" t="inlineStr">
        <is>
          <t>A 61068-2023</t>
        </is>
      </c>
      <c r="B174" s="1" t="n">
        <v>45259</v>
      </c>
      <c r="C174" s="1" t="n">
        <v>45762</v>
      </c>
      <c r="D174" t="inlineStr">
        <is>
          <t>UPPSALA LÄN</t>
        </is>
      </c>
      <c r="E174" t="inlineStr">
        <is>
          <t>UPPSALA</t>
        </is>
      </c>
      <c r="F174" t="inlineStr">
        <is>
          <t>Övriga Aktiebolag</t>
        </is>
      </c>
      <c r="G174" t="n">
        <v>8.800000000000001</v>
      </c>
      <c r="H174" t="n">
        <v>1</v>
      </c>
      <c r="I174" t="n">
        <v>0</v>
      </c>
      <c r="J174" t="n">
        <v>0</v>
      </c>
      <c r="K174" t="n">
        <v>1</v>
      </c>
      <c r="L174" t="n">
        <v>0</v>
      </c>
      <c r="M174" t="n">
        <v>0</v>
      </c>
      <c r="N174" t="n">
        <v>0</v>
      </c>
      <c r="O174" t="n">
        <v>1</v>
      </c>
      <c r="P174" t="n">
        <v>1</v>
      </c>
      <c r="Q174" t="n">
        <v>1</v>
      </c>
      <c r="R174" s="2" t="inlineStr">
        <is>
          <t>Knärot</t>
        </is>
      </c>
      <c r="S174">
        <f>HYPERLINK("https://klasma.github.io/Logging_0380/artfynd/A 61068-2023 artfynd.xlsx", "A 61068-2023")</f>
        <v/>
      </c>
      <c r="T174">
        <f>HYPERLINK("https://klasma.github.io/Logging_0380/kartor/A 61068-2023 karta.png", "A 61068-2023")</f>
        <v/>
      </c>
      <c r="U174">
        <f>HYPERLINK("https://klasma.github.io/Logging_0380/knärot/A 61068-2023 karta knärot.png", "A 61068-2023")</f>
        <v/>
      </c>
      <c r="V174">
        <f>HYPERLINK("https://klasma.github.io/Logging_0380/klagomål/A 61068-2023 FSC-klagomål.docx", "A 61068-2023")</f>
        <v/>
      </c>
      <c r="W174">
        <f>HYPERLINK("https://klasma.github.io/Logging_0380/klagomålsmail/A 61068-2023 FSC-klagomål mail.docx", "A 61068-2023")</f>
        <v/>
      </c>
      <c r="X174">
        <f>HYPERLINK("https://klasma.github.io/Logging_0380/tillsyn/A 61068-2023 tillsynsbegäran.docx", "A 61068-2023")</f>
        <v/>
      </c>
      <c r="Y174">
        <f>HYPERLINK("https://klasma.github.io/Logging_0380/tillsynsmail/A 61068-2023 tillsynsbegäran mail.docx", "A 61068-2023")</f>
        <v/>
      </c>
    </row>
    <row r="175" ht="15" customHeight="1">
      <c r="A175" t="inlineStr">
        <is>
          <t>A 61066-2023</t>
        </is>
      </c>
      <c r="B175" s="1" t="n">
        <v>45259</v>
      </c>
      <c r="C175" s="1" t="n">
        <v>45762</v>
      </c>
      <c r="D175" t="inlineStr">
        <is>
          <t>UPPSALA LÄN</t>
        </is>
      </c>
      <c r="E175" t="inlineStr">
        <is>
          <t>UPPSALA</t>
        </is>
      </c>
      <c r="F175" t="inlineStr">
        <is>
          <t>Övriga Aktiebolag</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HYPERLINK("https://klasma.github.io/Logging_0380/artfynd/A 61066-2023 artfynd.xlsx", "A 61066-2023")</f>
        <v/>
      </c>
      <c r="T175">
        <f>HYPERLINK("https://klasma.github.io/Logging_0380/kartor/A 61066-2023 karta.png", "A 61066-2023")</f>
        <v/>
      </c>
      <c r="V175">
        <f>HYPERLINK("https://klasma.github.io/Logging_0380/klagomål/A 61066-2023 FSC-klagomål.docx", "A 61066-2023")</f>
        <v/>
      </c>
      <c r="W175">
        <f>HYPERLINK("https://klasma.github.io/Logging_0380/klagomålsmail/A 61066-2023 FSC-klagomål mail.docx", "A 61066-2023")</f>
        <v/>
      </c>
      <c r="X175">
        <f>HYPERLINK("https://klasma.github.io/Logging_0380/tillsyn/A 61066-2023 tillsynsbegäran.docx", "A 61066-2023")</f>
        <v/>
      </c>
      <c r="Y175">
        <f>HYPERLINK("https://klasma.github.io/Logging_0380/tillsynsmail/A 61066-2023 tillsynsbegäran mail.docx", "A 61066-2023")</f>
        <v/>
      </c>
    </row>
    <row r="176" ht="15" customHeight="1">
      <c r="A176" t="inlineStr">
        <is>
          <t>A 63172-2023</t>
        </is>
      </c>
      <c r="B176" s="1" t="n">
        <v>45273</v>
      </c>
      <c r="C176" s="1" t="n">
        <v>45762</v>
      </c>
      <c r="D176" t="inlineStr">
        <is>
          <t>UPPSALA LÄN</t>
        </is>
      </c>
      <c r="E176" t="inlineStr">
        <is>
          <t>UPPSALA</t>
        </is>
      </c>
      <c r="G176" t="n">
        <v>1.8</v>
      </c>
      <c r="H176" t="n">
        <v>0</v>
      </c>
      <c r="I176" t="n">
        <v>1</v>
      </c>
      <c r="J176" t="n">
        <v>0</v>
      </c>
      <c r="K176" t="n">
        <v>0</v>
      </c>
      <c r="L176" t="n">
        <v>0</v>
      </c>
      <c r="M176" t="n">
        <v>0</v>
      </c>
      <c r="N176" t="n">
        <v>0</v>
      </c>
      <c r="O176" t="n">
        <v>0</v>
      </c>
      <c r="P176" t="n">
        <v>0</v>
      </c>
      <c r="Q176" t="n">
        <v>1</v>
      </c>
      <c r="R176" s="2" t="inlineStr">
        <is>
          <t>Ögonpyrola</t>
        </is>
      </c>
      <c r="S176">
        <f>HYPERLINK("https://klasma.github.io/Logging_0380/artfynd/A 63172-2023 artfynd.xlsx", "A 63172-2023")</f>
        <v/>
      </c>
      <c r="T176">
        <f>HYPERLINK("https://klasma.github.io/Logging_0380/kartor/A 63172-2023 karta.png", "A 63172-2023")</f>
        <v/>
      </c>
      <c r="V176">
        <f>HYPERLINK("https://klasma.github.io/Logging_0380/klagomål/A 63172-2023 FSC-klagomål.docx", "A 63172-2023")</f>
        <v/>
      </c>
      <c r="W176">
        <f>HYPERLINK("https://klasma.github.io/Logging_0380/klagomålsmail/A 63172-2023 FSC-klagomål mail.docx", "A 63172-2023")</f>
        <v/>
      </c>
      <c r="X176">
        <f>HYPERLINK("https://klasma.github.io/Logging_0380/tillsyn/A 63172-2023 tillsynsbegäran.docx", "A 63172-2023")</f>
        <v/>
      </c>
      <c r="Y176">
        <f>HYPERLINK("https://klasma.github.io/Logging_0380/tillsynsmail/A 63172-2023 tillsynsbegäran mail.docx", "A 63172-2023")</f>
        <v/>
      </c>
    </row>
    <row r="177" ht="15" customHeight="1">
      <c r="A177" t="inlineStr">
        <is>
          <t>A 584-2024</t>
        </is>
      </c>
      <c r="B177" s="1" t="n">
        <v>45299</v>
      </c>
      <c r="C177" s="1" t="n">
        <v>45762</v>
      </c>
      <c r="D177" t="inlineStr">
        <is>
          <t>UPPSALA LÄN</t>
        </is>
      </c>
      <c r="E177" t="inlineStr">
        <is>
          <t>UPPSALA</t>
        </is>
      </c>
      <c r="G177" t="n">
        <v>0.8</v>
      </c>
      <c r="H177" t="n">
        <v>1</v>
      </c>
      <c r="I177" t="n">
        <v>0</v>
      </c>
      <c r="J177" t="n">
        <v>0</v>
      </c>
      <c r="K177" t="n">
        <v>1</v>
      </c>
      <c r="L177" t="n">
        <v>0</v>
      </c>
      <c r="M177" t="n">
        <v>0</v>
      </c>
      <c r="N177" t="n">
        <v>0</v>
      </c>
      <c r="O177" t="n">
        <v>1</v>
      </c>
      <c r="P177" t="n">
        <v>1</v>
      </c>
      <c r="Q177" t="n">
        <v>1</v>
      </c>
      <c r="R177" s="2" t="inlineStr">
        <is>
          <t>Väddnätfjäril</t>
        </is>
      </c>
      <c r="S177">
        <f>HYPERLINK("https://klasma.github.io/Logging_0380/artfynd/A 584-2024 artfynd.xlsx", "A 584-2024")</f>
        <v/>
      </c>
      <c r="T177">
        <f>HYPERLINK("https://klasma.github.io/Logging_0380/kartor/A 584-2024 karta.png", "A 584-2024")</f>
        <v/>
      </c>
      <c r="V177">
        <f>HYPERLINK("https://klasma.github.io/Logging_0380/klagomål/A 584-2024 FSC-klagomål.docx", "A 584-2024")</f>
        <v/>
      </c>
      <c r="W177">
        <f>HYPERLINK("https://klasma.github.io/Logging_0380/klagomålsmail/A 584-2024 FSC-klagomål mail.docx", "A 584-2024")</f>
        <v/>
      </c>
      <c r="X177">
        <f>HYPERLINK("https://klasma.github.io/Logging_0380/tillsyn/A 584-2024 tillsynsbegäran.docx", "A 584-2024")</f>
        <v/>
      </c>
      <c r="Y177">
        <f>HYPERLINK("https://klasma.github.io/Logging_0380/tillsynsmail/A 584-2024 tillsynsbegäran mail.docx", "A 584-2024")</f>
        <v/>
      </c>
    </row>
    <row r="178" ht="15" customHeight="1">
      <c r="A178" t="inlineStr">
        <is>
          <t>A 2729-2024</t>
        </is>
      </c>
      <c r="B178" s="1" t="n">
        <v>45314</v>
      </c>
      <c r="C178" s="1" t="n">
        <v>45762</v>
      </c>
      <c r="D178" t="inlineStr">
        <is>
          <t>UPPSALA LÄN</t>
        </is>
      </c>
      <c r="E178" t="inlineStr">
        <is>
          <t>UPPSALA</t>
        </is>
      </c>
      <c r="G178" t="n">
        <v>3.3</v>
      </c>
      <c r="H178" t="n">
        <v>1</v>
      </c>
      <c r="I178" t="n">
        <v>0</v>
      </c>
      <c r="J178" t="n">
        <v>0</v>
      </c>
      <c r="K178" t="n">
        <v>0</v>
      </c>
      <c r="L178" t="n">
        <v>0</v>
      </c>
      <c r="M178" t="n">
        <v>0</v>
      </c>
      <c r="N178" t="n">
        <v>0</v>
      </c>
      <c r="O178" t="n">
        <v>0</v>
      </c>
      <c r="P178" t="n">
        <v>0</v>
      </c>
      <c r="Q178" t="n">
        <v>1</v>
      </c>
      <c r="R178" s="2" t="inlineStr">
        <is>
          <t>Revlummer</t>
        </is>
      </c>
      <c r="S178">
        <f>HYPERLINK("https://klasma.github.io/Logging_0380/artfynd/A 2729-2024 artfynd.xlsx", "A 2729-2024")</f>
        <v/>
      </c>
      <c r="T178">
        <f>HYPERLINK("https://klasma.github.io/Logging_0380/kartor/A 2729-2024 karta.png", "A 2729-2024")</f>
        <v/>
      </c>
      <c r="V178">
        <f>HYPERLINK("https://klasma.github.io/Logging_0380/klagomål/A 2729-2024 FSC-klagomål.docx", "A 2729-2024")</f>
        <v/>
      </c>
      <c r="W178">
        <f>HYPERLINK("https://klasma.github.io/Logging_0380/klagomålsmail/A 2729-2024 FSC-klagomål mail.docx", "A 2729-2024")</f>
        <v/>
      </c>
      <c r="X178">
        <f>HYPERLINK("https://klasma.github.io/Logging_0380/tillsyn/A 2729-2024 tillsynsbegäran.docx", "A 2729-2024")</f>
        <v/>
      </c>
      <c r="Y178">
        <f>HYPERLINK("https://klasma.github.io/Logging_0380/tillsynsmail/A 2729-2024 tillsynsbegäran mail.docx", "A 2729-2024")</f>
        <v/>
      </c>
    </row>
    <row r="179" ht="15" customHeight="1">
      <c r="A179" t="inlineStr">
        <is>
          <t>A 5972-2024</t>
        </is>
      </c>
      <c r="B179" s="1" t="n">
        <v>45336</v>
      </c>
      <c r="C179" s="1" t="n">
        <v>45762</v>
      </c>
      <c r="D179" t="inlineStr">
        <is>
          <t>UPPSALA LÄN</t>
        </is>
      </c>
      <c r="E179" t="inlineStr">
        <is>
          <t>UPPSALA</t>
        </is>
      </c>
      <c r="G179" t="n">
        <v>1.6</v>
      </c>
      <c r="H179" t="n">
        <v>1</v>
      </c>
      <c r="I179" t="n">
        <v>0</v>
      </c>
      <c r="J179" t="n">
        <v>0</v>
      </c>
      <c r="K179" t="n">
        <v>0</v>
      </c>
      <c r="L179" t="n">
        <v>0</v>
      </c>
      <c r="M179" t="n">
        <v>0</v>
      </c>
      <c r="N179" t="n">
        <v>0</v>
      </c>
      <c r="O179" t="n">
        <v>0</v>
      </c>
      <c r="P179" t="n">
        <v>0</v>
      </c>
      <c r="Q179" t="n">
        <v>1</v>
      </c>
      <c r="R179" s="2" t="inlineStr">
        <is>
          <t>Sparvuggla</t>
        </is>
      </c>
      <c r="S179">
        <f>HYPERLINK("https://klasma.github.io/Logging_0380/artfynd/A 5972-2024 artfynd.xlsx", "A 5972-2024")</f>
        <v/>
      </c>
      <c r="T179">
        <f>HYPERLINK("https://klasma.github.io/Logging_0380/kartor/A 5972-2024 karta.png", "A 5972-2024")</f>
        <v/>
      </c>
      <c r="V179">
        <f>HYPERLINK("https://klasma.github.io/Logging_0380/klagomål/A 5972-2024 FSC-klagomål.docx", "A 5972-2024")</f>
        <v/>
      </c>
      <c r="W179">
        <f>HYPERLINK("https://klasma.github.io/Logging_0380/klagomålsmail/A 5972-2024 FSC-klagomål mail.docx", "A 5972-2024")</f>
        <v/>
      </c>
      <c r="X179">
        <f>HYPERLINK("https://klasma.github.io/Logging_0380/tillsyn/A 5972-2024 tillsynsbegäran.docx", "A 5972-2024")</f>
        <v/>
      </c>
      <c r="Y179">
        <f>HYPERLINK("https://klasma.github.io/Logging_0380/tillsynsmail/A 5972-2024 tillsynsbegäran mail.docx", "A 5972-2024")</f>
        <v/>
      </c>
      <c r="Z179">
        <f>HYPERLINK("https://klasma.github.io/Logging_0380/fåglar/A 5972-2024 prioriterade fågelarter.docx", "A 5972-2024")</f>
        <v/>
      </c>
    </row>
    <row r="180" ht="15" customHeight="1">
      <c r="A180" t="inlineStr">
        <is>
          <t>A 6044-2024</t>
        </is>
      </c>
      <c r="B180" s="1" t="n">
        <v>45336</v>
      </c>
      <c r="C180" s="1" t="n">
        <v>45762</v>
      </c>
      <c r="D180" t="inlineStr">
        <is>
          <t>UPPSALA LÄN</t>
        </is>
      </c>
      <c r="E180" t="inlineStr">
        <is>
          <t>UPPSALA</t>
        </is>
      </c>
      <c r="F180" t="inlineStr">
        <is>
          <t>Holmen skog AB</t>
        </is>
      </c>
      <c r="G180" t="n">
        <v>7.4</v>
      </c>
      <c r="H180" t="n">
        <v>0</v>
      </c>
      <c r="I180" t="n">
        <v>0</v>
      </c>
      <c r="J180" t="n">
        <v>1</v>
      </c>
      <c r="K180" t="n">
        <v>0</v>
      </c>
      <c r="L180" t="n">
        <v>0</v>
      </c>
      <c r="M180" t="n">
        <v>0</v>
      </c>
      <c r="N180" t="n">
        <v>0</v>
      </c>
      <c r="O180" t="n">
        <v>1</v>
      </c>
      <c r="P180" t="n">
        <v>0</v>
      </c>
      <c r="Q180" t="n">
        <v>1</v>
      </c>
      <c r="R180" s="2" t="inlineStr">
        <is>
          <t>Gul dropplav</t>
        </is>
      </c>
      <c r="S180">
        <f>HYPERLINK("https://klasma.github.io/Logging_0380/artfynd/A 6044-2024 artfynd.xlsx", "A 6044-2024")</f>
        <v/>
      </c>
      <c r="T180">
        <f>HYPERLINK("https://klasma.github.io/Logging_0380/kartor/A 6044-2024 karta.png", "A 6044-2024")</f>
        <v/>
      </c>
      <c r="V180">
        <f>HYPERLINK("https://klasma.github.io/Logging_0380/klagomål/A 6044-2024 FSC-klagomål.docx", "A 6044-2024")</f>
        <v/>
      </c>
      <c r="W180">
        <f>HYPERLINK("https://klasma.github.io/Logging_0380/klagomålsmail/A 6044-2024 FSC-klagomål mail.docx", "A 6044-2024")</f>
        <v/>
      </c>
      <c r="X180">
        <f>HYPERLINK("https://klasma.github.io/Logging_0380/tillsyn/A 6044-2024 tillsynsbegäran.docx", "A 6044-2024")</f>
        <v/>
      </c>
      <c r="Y180">
        <f>HYPERLINK("https://klasma.github.io/Logging_0380/tillsynsmail/A 6044-2024 tillsynsbegäran mail.docx", "A 6044-2024")</f>
        <v/>
      </c>
    </row>
    <row r="181" ht="15" customHeight="1">
      <c r="A181" t="inlineStr">
        <is>
          <t>A 7395-2024</t>
        </is>
      </c>
      <c r="B181" s="1" t="n">
        <v>45345</v>
      </c>
      <c r="C181" s="1" t="n">
        <v>45762</v>
      </c>
      <c r="D181" t="inlineStr">
        <is>
          <t>UPPSALA LÄN</t>
        </is>
      </c>
      <c r="E181" t="inlineStr">
        <is>
          <t>UPPSALA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HYPERLINK("https://klasma.github.io/Logging_0380/artfynd/A 7395-2024 artfynd.xlsx", "A 7395-2024")</f>
        <v/>
      </c>
      <c r="T181">
        <f>HYPERLINK("https://klasma.github.io/Logging_0380/kartor/A 7395-2024 karta.png", "A 7395-2024")</f>
        <v/>
      </c>
      <c r="U181">
        <f>HYPERLINK("https://klasma.github.io/Logging_0380/knärot/A 7395-2024 karta knärot.png", "A 7395-2024")</f>
        <v/>
      </c>
      <c r="V181">
        <f>HYPERLINK("https://klasma.github.io/Logging_0380/klagomål/A 7395-2024 FSC-klagomål.docx", "A 7395-2024")</f>
        <v/>
      </c>
      <c r="W181">
        <f>HYPERLINK("https://klasma.github.io/Logging_0380/klagomålsmail/A 7395-2024 FSC-klagomål mail.docx", "A 7395-2024")</f>
        <v/>
      </c>
      <c r="X181">
        <f>HYPERLINK("https://klasma.github.io/Logging_0380/tillsyn/A 7395-2024 tillsynsbegäran.docx", "A 7395-2024")</f>
        <v/>
      </c>
      <c r="Y181">
        <f>HYPERLINK("https://klasma.github.io/Logging_0380/tillsynsmail/A 7395-2024 tillsynsbegäran mail.docx", "A 7395-2024")</f>
        <v/>
      </c>
    </row>
    <row r="182" ht="15" customHeight="1">
      <c r="A182" t="inlineStr">
        <is>
          <t>A 7397-2024</t>
        </is>
      </c>
      <c r="B182" s="1" t="n">
        <v>45345</v>
      </c>
      <c r="C182" s="1" t="n">
        <v>45762</v>
      </c>
      <c r="D182" t="inlineStr">
        <is>
          <t>UPPSALA LÄN</t>
        </is>
      </c>
      <c r="E182" t="inlineStr">
        <is>
          <t>UPPSALA</t>
        </is>
      </c>
      <c r="G182" t="n">
        <v>3.4</v>
      </c>
      <c r="H182" t="n">
        <v>0</v>
      </c>
      <c r="I182" t="n">
        <v>1</v>
      </c>
      <c r="J182" t="n">
        <v>0</v>
      </c>
      <c r="K182" t="n">
        <v>0</v>
      </c>
      <c r="L182" t="n">
        <v>0</v>
      </c>
      <c r="M182" t="n">
        <v>0</v>
      </c>
      <c r="N182" t="n">
        <v>0</v>
      </c>
      <c r="O182" t="n">
        <v>0</v>
      </c>
      <c r="P182" t="n">
        <v>0</v>
      </c>
      <c r="Q182" t="n">
        <v>1</v>
      </c>
      <c r="R182" s="2" t="inlineStr">
        <is>
          <t>Svavelriska</t>
        </is>
      </c>
      <c r="S182">
        <f>HYPERLINK("https://klasma.github.io/Logging_0380/artfynd/A 7397-2024 artfynd.xlsx", "A 7397-2024")</f>
        <v/>
      </c>
      <c r="T182">
        <f>HYPERLINK("https://klasma.github.io/Logging_0380/kartor/A 7397-2024 karta.png", "A 7397-2024")</f>
        <v/>
      </c>
      <c r="U182">
        <f>HYPERLINK("https://klasma.github.io/Logging_0380/knärot/A 7397-2024 karta knärot.png", "A 7397-2024")</f>
        <v/>
      </c>
      <c r="V182">
        <f>HYPERLINK("https://klasma.github.io/Logging_0380/klagomål/A 7397-2024 FSC-klagomål.docx", "A 7397-2024")</f>
        <v/>
      </c>
      <c r="W182">
        <f>HYPERLINK("https://klasma.github.io/Logging_0380/klagomålsmail/A 7397-2024 FSC-klagomål mail.docx", "A 7397-2024")</f>
        <v/>
      </c>
      <c r="X182">
        <f>HYPERLINK("https://klasma.github.io/Logging_0380/tillsyn/A 7397-2024 tillsynsbegäran.docx", "A 7397-2024")</f>
        <v/>
      </c>
      <c r="Y182">
        <f>HYPERLINK("https://klasma.github.io/Logging_0380/tillsynsmail/A 7397-2024 tillsynsbegäran mail.docx", "A 7397-2024")</f>
        <v/>
      </c>
    </row>
    <row r="183" ht="15" customHeight="1">
      <c r="A183" t="inlineStr">
        <is>
          <t>A 8398-2024</t>
        </is>
      </c>
      <c r="B183" s="1" t="n">
        <v>45352</v>
      </c>
      <c r="C183" s="1" t="n">
        <v>45762</v>
      </c>
      <c r="D183" t="inlineStr">
        <is>
          <t>UPPSALA LÄN</t>
        </is>
      </c>
      <c r="E183" t="inlineStr">
        <is>
          <t>UPPSALA</t>
        </is>
      </c>
      <c r="G183" t="n">
        <v>6.2</v>
      </c>
      <c r="H183" t="n">
        <v>1</v>
      </c>
      <c r="I183" t="n">
        <v>0</v>
      </c>
      <c r="J183" t="n">
        <v>0</v>
      </c>
      <c r="K183" t="n">
        <v>0</v>
      </c>
      <c r="L183" t="n">
        <v>0</v>
      </c>
      <c r="M183" t="n">
        <v>0</v>
      </c>
      <c r="N183" t="n">
        <v>0</v>
      </c>
      <c r="O183" t="n">
        <v>0</v>
      </c>
      <c r="P183" t="n">
        <v>0</v>
      </c>
      <c r="Q183" t="n">
        <v>1</v>
      </c>
      <c r="R183" s="2" t="inlineStr">
        <is>
          <t>Tjäder</t>
        </is>
      </c>
      <c r="S183">
        <f>HYPERLINK("https://klasma.github.io/Logging_0380/artfynd/A 8398-2024 artfynd.xlsx", "A 8398-2024")</f>
        <v/>
      </c>
      <c r="T183">
        <f>HYPERLINK("https://klasma.github.io/Logging_0380/kartor/A 8398-2024 karta.png", "A 8398-2024")</f>
        <v/>
      </c>
      <c r="V183">
        <f>HYPERLINK("https://klasma.github.io/Logging_0380/klagomål/A 8398-2024 FSC-klagomål.docx", "A 8398-2024")</f>
        <v/>
      </c>
      <c r="W183">
        <f>HYPERLINK("https://klasma.github.io/Logging_0380/klagomålsmail/A 8398-2024 FSC-klagomål mail.docx", "A 8398-2024")</f>
        <v/>
      </c>
      <c r="X183">
        <f>HYPERLINK("https://klasma.github.io/Logging_0380/tillsyn/A 8398-2024 tillsynsbegäran.docx", "A 8398-2024")</f>
        <v/>
      </c>
      <c r="Y183">
        <f>HYPERLINK("https://klasma.github.io/Logging_0380/tillsynsmail/A 8398-2024 tillsynsbegäran mail.docx", "A 8398-2024")</f>
        <v/>
      </c>
      <c r="Z183">
        <f>HYPERLINK("https://klasma.github.io/Logging_0380/fåglar/A 8398-2024 prioriterade fågelarter.docx", "A 8398-2024")</f>
        <v/>
      </c>
    </row>
    <row r="184" ht="15" customHeight="1">
      <c r="A184" t="inlineStr">
        <is>
          <t>A 9206-2024</t>
        </is>
      </c>
      <c r="B184" s="1" t="n">
        <v>45358</v>
      </c>
      <c r="C184" s="1" t="n">
        <v>45762</v>
      </c>
      <c r="D184" t="inlineStr">
        <is>
          <t>UPPSALA LÄN</t>
        </is>
      </c>
      <c r="E184" t="inlineStr">
        <is>
          <t>UPPSALA</t>
        </is>
      </c>
      <c r="F184" t="inlineStr">
        <is>
          <t>Allmännings- och besparingsskogar</t>
        </is>
      </c>
      <c r="G184" t="n">
        <v>22.2</v>
      </c>
      <c r="H184" t="n">
        <v>1</v>
      </c>
      <c r="I184" t="n">
        <v>0</v>
      </c>
      <c r="J184" t="n">
        <v>0</v>
      </c>
      <c r="K184" t="n">
        <v>1</v>
      </c>
      <c r="L184" t="n">
        <v>0</v>
      </c>
      <c r="M184" t="n">
        <v>0</v>
      </c>
      <c r="N184" t="n">
        <v>0</v>
      </c>
      <c r="O184" t="n">
        <v>1</v>
      </c>
      <c r="P184" t="n">
        <v>1</v>
      </c>
      <c r="Q184" t="n">
        <v>1</v>
      </c>
      <c r="R184" s="2" t="inlineStr">
        <is>
          <t>Knärot</t>
        </is>
      </c>
      <c r="S184">
        <f>HYPERLINK("https://klasma.github.io/Logging_0380/artfynd/A 9206-2024 artfynd.xlsx", "A 9206-2024")</f>
        <v/>
      </c>
      <c r="T184">
        <f>HYPERLINK("https://klasma.github.io/Logging_0380/kartor/A 9206-2024 karta.png", "A 9206-2024")</f>
        <v/>
      </c>
      <c r="U184">
        <f>HYPERLINK("https://klasma.github.io/Logging_0380/knärot/A 9206-2024 karta knärot.png", "A 9206-2024")</f>
        <v/>
      </c>
      <c r="V184">
        <f>HYPERLINK("https://klasma.github.io/Logging_0380/klagomål/A 9206-2024 FSC-klagomål.docx", "A 9206-2024")</f>
        <v/>
      </c>
      <c r="W184">
        <f>HYPERLINK("https://klasma.github.io/Logging_0380/klagomålsmail/A 9206-2024 FSC-klagomål mail.docx", "A 9206-2024")</f>
        <v/>
      </c>
      <c r="X184">
        <f>HYPERLINK("https://klasma.github.io/Logging_0380/tillsyn/A 9206-2024 tillsynsbegäran.docx", "A 9206-2024")</f>
        <v/>
      </c>
      <c r="Y184">
        <f>HYPERLINK("https://klasma.github.io/Logging_0380/tillsynsmail/A 9206-2024 tillsynsbegäran mail.docx", "A 9206-2024")</f>
        <v/>
      </c>
    </row>
    <row r="185" ht="15" customHeight="1">
      <c r="A185" t="inlineStr">
        <is>
          <t>A 13093-2024</t>
        </is>
      </c>
      <c r="B185" s="1" t="n">
        <v>45385</v>
      </c>
      <c r="C185" s="1" t="n">
        <v>45762</v>
      </c>
      <c r="D185" t="inlineStr">
        <is>
          <t>UPPSALA LÄN</t>
        </is>
      </c>
      <c r="E185" t="inlineStr">
        <is>
          <t>UPPSALA</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HYPERLINK("https://klasma.github.io/Logging_0380/artfynd/A 13093-2024 artfynd.xlsx", "A 13093-2024")</f>
        <v/>
      </c>
      <c r="T185">
        <f>HYPERLINK("https://klasma.github.io/Logging_0380/kartor/A 13093-2024 karta.png", "A 13093-2024")</f>
        <v/>
      </c>
      <c r="V185">
        <f>HYPERLINK("https://klasma.github.io/Logging_0380/klagomål/A 13093-2024 FSC-klagomål.docx", "A 13093-2024")</f>
        <v/>
      </c>
      <c r="W185">
        <f>HYPERLINK("https://klasma.github.io/Logging_0380/klagomålsmail/A 13093-2024 FSC-klagomål mail.docx", "A 13093-2024")</f>
        <v/>
      </c>
      <c r="X185">
        <f>HYPERLINK("https://klasma.github.io/Logging_0380/tillsyn/A 13093-2024 tillsynsbegäran.docx", "A 13093-2024")</f>
        <v/>
      </c>
      <c r="Y185">
        <f>HYPERLINK("https://klasma.github.io/Logging_0380/tillsynsmail/A 13093-2024 tillsynsbegäran mail.docx", "A 13093-2024")</f>
        <v/>
      </c>
    </row>
    <row r="186" ht="15" customHeight="1">
      <c r="A186" t="inlineStr">
        <is>
          <t>A 13661-2024</t>
        </is>
      </c>
      <c r="B186" s="1" t="n">
        <v>45390</v>
      </c>
      <c r="C186" s="1" t="n">
        <v>45762</v>
      </c>
      <c r="D186" t="inlineStr">
        <is>
          <t>UPPSALA LÄN</t>
        </is>
      </c>
      <c r="E186" t="inlineStr">
        <is>
          <t>UPPSALA</t>
        </is>
      </c>
      <c r="F186" t="inlineStr">
        <is>
          <t>Holmen skog AB</t>
        </is>
      </c>
      <c r="G186" t="n">
        <v>3.7</v>
      </c>
      <c r="H186" t="n">
        <v>0</v>
      </c>
      <c r="I186" t="n">
        <v>0</v>
      </c>
      <c r="J186" t="n">
        <v>1</v>
      </c>
      <c r="K186" t="n">
        <v>0</v>
      </c>
      <c r="L186" t="n">
        <v>0</v>
      </c>
      <c r="M186" t="n">
        <v>0</v>
      </c>
      <c r="N186" t="n">
        <v>0</v>
      </c>
      <c r="O186" t="n">
        <v>1</v>
      </c>
      <c r="P186" t="n">
        <v>0</v>
      </c>
      <c r="Q186" t="n">
        <v>1</v>
      </c>
      <c r="R186" s="2" t="inlineStr">
        <is>
          <t>Skogsklocka</t>
        </is>
      </c>
      <c r="S186">
        <f>HYPERLINK("https://klasma.github.io/Logging_0380/artfynd/A 13661-2024 artfynd.xlsx", "A 13661-2024")</f>
        <v/>
      </c>
      <c r="T186">
        <f>HYPERLINK("https://klasma.github.io/Logging_0380/kartor/A 13661-2024 karta.png", "A 13661-2024")</f>
        <v/>
      </c>
      <c r="V186">
        <f>HYPERLINK("https://klasma.github.io/Logging_0380/klagomål/A 13661-2024 FSC-klagomål.docx", "A 13661-2024")</f>
        <v/>
      </c>
      <c r="W186">
        <f>HYPERLINK("https://klasma.github.io/Logging_0380/klagomålsmail/A 13661-2024 FSC-klagomål mail.docx", "A 13661-2024")</f>
        <v/>
      </c>
      <c r="X186">
        <f>HYPERLINK("https://klasma.github.io/Logging_0380/tillsyn/A 13661-2024 tillsynsbegäran.docx", "A 13661-2024")</f>
        <v/>
      </c>
      <c r="Y186">
        <f>HYPERLINK("https://klasma.github.io/Logging_0380/tillsynsmail/A 13661-2024 tillsynsbegäran mail.docx", "A 13661-2024")</f>
        <v/>
      </c>
    </row>
    <row r="187" ht="15" customHeight="1">
      <c r="A187" t="inlineStr">
        <is>
          <t>A 18348-2024</t>
        </is>
      </c>
      <c r="B187" s="1" t="n">
        <v>45422</v>
      </c>
      <c r="C187" s="1" t="n">
        <v>45762</v>
      </c>
      <c r="D187" t="inlineStr">
        <is>
          <t>UPPSALA LÄN</t>
        </is>
      </c>
      <c r="E187" t="inlineStr">
        <is>
          <t>UPPSALA</t>
        </is>
      </c>
      <c r="F187" t="inlineStr">
        <is>
          <t>Holmen skog AB</t>
        </is>
      </c>
      <c r="G187" t="n">
        <v>2.8</v>
      </c>
      <c r="H187" t="n">
        <v>0</v>
      </c>
      <c r="I187" t="n">
        <v>0</v>
      </c>
      <c r="J187" t="n">
        <v>1</v>
      </c>
      <c r="K187" t="n">
        <v>0</v>
      </c>
      <c r="L187" t="n">
        <v>0</v>
      </c>
      <c r="M187" t="n">
        <v>0</v>
      </c>
      <c r="N187" t="n">
        <v>0</v>
      </c>
      <c r="O187" t="n">
        <v>1</v>
      </c>
      <c r="P187" t="n">
        <v>0</v>
      </c>
      <c r="Q187" t="n">
        <v>1</v>
      </c>
      <c r="R187" s="2" t="inlineStr">
        <is>
          <t>Granticka</t>
        </is>
      </c>
      <c r="S187">
        <f>HYPERLINK("https://klasma.github.io/Logging_0380/artfynd/A 18348-2024 artfynd.xlsx", "A 18348-2024")</f>
        <v/>
      </c>
      <c r="T187">
        <f>HYPERLINK("https://klasma.github.io/Logging_0380/kartor/A 18348-2024 karta.png", "A 18348-2024")</f>
        <v/>
      </c>
      <c r="V187">
        <f>HYPERLINK("https://klasma.github.io/Logging_0380/klagomål/A 18348-2024 FSC-klagomål.docx", "A 18348-2024")</f>
        <v/>
      </c>
      <c r="W187">
        <f>HYPERLINK("https://klasma.github.io/Logging_0380/klagomålsmail/A 18348-2024 FSC-klagomål mail.docx", "A 18348-2024")</f>
        <v/>
      </c>
      <c r="X187">
        <f>HYPERLINK("https://klasma.github.io/Logging_0380/tillsyn/A 18348-2024 tillsynsbegäran.docx", "A 18348-2024")</f>
        <v/>
      </c>
      <c r="Y187">
        <f>HYPERLINK("https://klasma.github.io/Logging_0380/tillsynsmail/A 18348-2024 tillsynsbegäran mail.docx", "A 18348-2024")</f>
        <v/>
      </c>
    </row>
    <row r="188" ht="15" customHeight="1">
      <c r="A188" t="inlineStr">
        <is>
          <t>A 18509-2024</t>
        </is>
      </c>
      <c r="B188" s="1" t="n">
        <v>45425</v>
      </c>
      <c r="C188" s="1" t="n">
        <v>45762</v>
      </c>
      <c r="D188" t="inlineStr">
        <is>
          <t>UPPSALA LÄN</t>
        </is>
      </c>
      <c r="E188" t="inlineStr">
        <is>
          <t>UPPSALA</t>
        </is>
      </c>
      <c r="G188" t="n">
        <v>4</v>
      </c>
      <c r="H188" t="n">
        <v>0</v>
      </c>
      <c r="I188" t="n">
        <v>1</v>
      </c>
      <c r="J188" t="n">
        <v>0</v>
      </c>
      <c r="K188" t="n">
        <v>0</v>
      </c>
      <c r="L188" t="n">
        <v>0</v>
      </c>
      <c r="M188" t="n">
        <v>0</v>
      </c>
      <c r="N188" t="n">
        <v>0</v>
      </c>
      <c r="O188" t="n">
        <v>0</v>
      </c>
      <c r="P188" t="n">
        <v>0</v>
      </c>
      <c r="Q188" t="n">
        <v>1</v>
      </c>
      <c r="R188" s="2" t="inlineStr">
        <is>
          <t>Fällmossa</t>
        </is>
      </c>
      <c r="S188">
        <f>HYPERLINK("https://klasma.github.io/Logging_0380/artfynd/A 18509-2024 artfynd.xlsx", "A 18509-2024")</f>
        <v/>
      </c>
      <c r="T188">
        <f>HYPERLINK("https://klasma.github.io/Logging_0380/kartor/A 18509-2024 karta.png", "A 18509-2024")</f>
        <v/>
      </c>
      <c r="V188">
        <f>HYPERLINK("https://klasma.github.io/Logging_0380/klagomål/A 18509-2024 FSC-klagomål.docx", "A 18509-2024")</f>
        <v/>
      </c>
      <c r="W188">
        <f>HYPERLINK("https://klasma.github.io/Logging_0380/klagomålsmail/A 18509-2024 FSC-klagomål mail.docx", "A 18509-2024")</f>
        <v/>
      </c>
      <c r="X188">
        <f>HYPERLINK("https://klasma.github.io/Logging_0380/tillsyn/A 18509-2024 tillsynsbegäran.docx", "A 18509-2024")</f>
        <v/>
      </c>
      <c r="Y188">
        <f>HYPERLINK("https://klasma.github.io/Logging_0380/tillsynsmail/A 18509-2024 tillsynsbegäran mail.docx", "A 18509-2024")</f>
        <v/>
      </c>
    </row>
    <row r="189" ht="15" customHeight="1">
      <c r="A189" t="inlineStr">
        <is>
          <t>A 21671-2024</t>
        </is>
      </c>
      <c r="B189" s="1" t="n">
        <v>45442</v>
      </c>
      <c r="C189" s="1" t="n">
        <v>45762</v>
      </c>
      <c r="D189" t="inlineStr">
        <is>
          <t>UPPSALA LÄN</t>
        </is>
      </c>
      <c r="E189" t="inlineStr">
        <is>
          <t>UPPSALA</t>
        </is>
      </c>
      <c r="G189" t="n">
        <v>3.7</v>
      </c>
      <c r="H189" t="n">
        <v>1</v>
      </c>
      <c r="I189" t="n">
        <v>0</v>
      </c>
      <c r="J189" t="n">
        <v>0</v>
      </c>
      <c r="K189" t="n">
        <v>1</v>
      </c>
      <c r="L189" t="n">
        <v>0</v>
      </c>
      <c r="M189" t="n">
        <v>0</v>
      </c>
      <c r="N189" t="n">
        <v>0</v>
      </c>
      <c r="O189" t="n">
        <v>1</v>
      </c>
      <c r="P189" t="n">
        <v>1</v>
      </c>
      <c r="Q189" t="n">
        <v>1</v>
      </c>
      <c r="R189" s="2" t="inlineStr">
        <is>
          <t>Knärot</t>
        </is>
      </c>
      <c r="S189">
        <f>HYPERLINK("https://klasma.github.io/Logging_0380/artfynd/A 21671-2024 artfynd.xlsx", "A 21671-2024")</f>
        <v/>
      </c>
      <c r="T189">
        <f>HYPERLINK("https://klasma.github.io/Logging_0380/kartor/A 21671-2024 karta.png", "A 21671-2024")</f>
        <v/>
      </c>
      <c r="U189">
        <f>HYPERLINK("https://klasma.github.io/Logging_0380/knärot/A 21671-2024 karta knärot.png", "A 21671-2024")</f>
        <v/>
      </c>
      <c r="V189">
        <f>HYPERLINK("https://klasma.github.io/Logging_0380/klagomål/A 21671-2024 FSC-klagomål.docx", "A 21671-2024")</f>
        <v/>
      </c>
      <c r="W189">
        <f>HYPERLINK("https://klasma.github.io/Logging_0380/klagomålsmail/A 21671-2024 FSC-klagomål mail.docx", "A 21671-2024")</f>
        <v/>
      </c>
      <c r="X189">
        <f>HYPERLINK("https://klasma.github.io/Logging_0380/tillsyn/A 21671-2024 tillsynsbegäran.docx", "A 21671-2024")</f>
        <v/>
      </c>
      <c r="Y189">
        <f>HYPERLINK("https://klasma.github.io/Logging_0380/tillsynsmail/A 21671-2024 tillsynsbegäran mail.docx", "A 21671-2024")</f>
        <v/>
      </c>
    </row>
    <row r="190" ht="15" customHeight="1">
      <c r="A190" t="inlineStr">
        <is>
          <t>A 23321-2024</t>
        </is>
      </c>
      <c r="B190" s="1" t="n">
        <v>45453</v>
      </c>
      <c r="C190" s="1" t="n">
        <v>45762</v>
      </c>
      <c r="D190" t="inlineStr">
        <is>
          <t>UPPSALA LÄN</t>
        </is>
      </c>
      <c r="E190" t="inlineStr">
        <is>
          <t>UPPSALA</t>
        </is>
      </c>
      <c r="G190" t="n">
        <v>11.8</v>
      </c>
      <c r="H190" t="n">
        <v>1</v>
      </c>
      <c r="I190" t="n">
        <v>0</v>
      </c>
      <c r="J190" t="n">
        <v>1</v>
      </c>
      <c r="K190" t="n">
        <v>0</v>
      </c>
      <c r="L190" t="n">
        <v>0</v>
      </c>
      <c r="M190" t="n">
        <v>0</v>
      </c>
      <c r="N190" t="n">
        <v>0</v>
      </c>
      <c r="O190" t="n">
        <v>1</v>
      </c>
      <c r="P190" t="n">
        <v>0</v>
      </c>
      <c r="Q190" t="n">
        <v>1</v>
      </c>
      <c r="R190" s="2" t="inlineStr">
        <is>
          <t>Talltita</t>
        </is>
      </c>
      <c r="S190">
        <f>HYPERLINK("https://klasma.github.io/Logging_0380/artfynd/A 23321-2024 artfynd.xlsx", "A 23321-2024")</f>
        <v/>
      </c>
      <c r="T190">
        <f>HYPERLINK("https://klasma.github.io/Logging_0380/kartor/A 23321-2024 karta.png", "A 23321-2024")</f>
        <v/>
      </c>
      <c r="U190">
        <f>HYPERLINK("https://klasma.github.io/Logging_0380/knärot/A 23321-2024 karta knärot.png", "A 23321-2024")</f>
        <v/>
      </c>
      <c r="V190">
        <f>HYPERLINK("https://klasma.github.io/Logging_0380/klagomål/A 23321-2024 FSC-klagomål.docx", "A 23321-2024")</f>
        <v/>
      </c>
      <c r="W190">
        <f>HYPERLINK("https://klasma.github.io/Logging_0380/klagomålsmail/A 23321-2024 FSC-klagomål mail.docx", "A 23321-2024")</f>
        <v/>
      </c>
      <c r="X190">
        <f>HYPERLINK("https://klasma.github.io/Logging_0380/tillsyn/A 23321-2024 tillsynsbegäran.docx", "A 23321-2024")</f>
        <v/>
      </c>
      <c r="Y190">
        <f>HYPERLINK("https://klasma.github.io/Logging_0380/tillsynsmail/A 23321-2024 tillsynsbegäran mail.docx", "A 23321-2024")</f>
        <v/>
      </c>
      <c r="Z190">
        <f>HYPERLINK("https://klasma.github.io/Logging_0380/fåglar/A 23321-2024 prioriterade fågelarter.docx", "A 23321-2024")</f>
        <v/>
      </c>
    </row>
    <row r="191" ht="15" customHeight="1">
      <c r="A191" t="inlineStr">
        <is>
          <t>A 25482-2024</t>
        </is>
      </c>
      <c r="B191" s="1" t="n">
        <v>45463</v>
      </c>
      <c r="C191" s="1" t="n">
        <v>45762</v>
      </c>
      <c r="D191" t="inlineStr">
        <is>
          <t>UPPSALA LÄN</t>
        </is>
      </c>
      <c r="E191" t="inlineStr">
        <is>
          <t>UPPSALA</t>
        </is>
      </c>
      <c r="F191" t="inlineStr">
        <is>
          <t>Övriga Aktiebolag</t>
        </is>
      </c>
      <c r="G191" t="n">
        <v>1</v>
      </c>
      <c r="H191" t="n">
        <v>0</v>
      </c>
      <c r="I191" t="n">
        <v>1</v>
      </c>
      <c r="J191" t="n">
        <v>0</v>
      </c>
      <c r="K191" t="n">
        <v>0</v>
      </c>
      <c r="L191" t="n">
        <v>0</v>
      </c>
      <c r="M191" t="n">
        <v>0</v>
      </c>
      <c r="N191" t="n">
        <v>0</v>
      </c>
      <c r="O191" t="n">
        <v>0</v>
      </c>
      <c r="P191" t="n">
        <v>0</v>
      </c>
      <c r="Q191" t="n">
        <v>1</v>
      </c>
      <c r="R191" s="2" t="inlineStr">
        <is>
          <t>Stor aspticka</t>
        </is>
      </c>
      <c r="S191">
        <f>HYPERLINK("https://klasma.github.io/Logging_0380/artfynd/A 25482-2024 artfynd.xlsx", "A 25482-2024")</f>
        <v/>
      </c>
      <c r="T191">
        <f>HYPERLINK("https://klasma.github.io/Logging_0380/kartor/A 25482-2024 karta.png", "A 25482-2024")</f>
        <v/>
      </c>
      <c r="V191">
        <f>HYPERLINK("https://klasma.github.io/Logging_0380/klagomål/A 25482-2024 FSC-klagomål.docx", "A 25482-2024")</f>
        <v/>
      </c>
      <c r="W191">
        <f>HYPERLINK("https://klasma.github.io/Logging_0380/klagomålsmail/A 25482-2024 FSC-klagomål mail.docx", "A 25482-2024")</f>
        <v/>
      </c>
      <c r="X191">
        <f>HYPERLINK("https://klasma.github.io/Logging_0380/tillsyn/A 25482-2024 tillsynsbegäran.docx", "A 25482-2024")</f>
        <v/>
      </c>
      <c r="Y191">
        <f>HYPERLINK("https://klasma.github.io/Logging_0380/tillsynsmail/A 25482-2024 tillsynsbegäran mail.docx", "A 25482-2024")</f>
        <v/>
      </c>
    </row>
    <row r="192" ht="15" customHeight="1">
      <c r="A192" t="inlineStr">
        <is>
          <t>A 25729-2024</t>
        </is>
      </c>
      <c r="B192" s="1" t="n">
        <v>45464</v>
      </c>
      <c r="C192" s="1" t="n">
        <v>45762</v>
      </c>
      <c r="D192" t="inlineStr">
        <is>
          <t>UPPSALA LÄN</t>
        </is>
      </c>
      <c r="E192" t="inlineStr">
        <is>
          <t>UPPSALA</t>
        </is>
      </c>
      <c r="G192" t="n">
        <v>22.3</v>
      </c>
      <c r="H192" t="n">
        <v>0</v>
      </c>
      <c r="I192" t="n">
        <v>0</v>
      </c>
      <c r="J192" t="n">
        <v>1</v>
      </c>
      <c r="K192" t="n">
        <v>0</v>
      </c>
      <c r="L192" t="n">
        <v>0</v>
      </c>
      <c r="M192" t="n">
        <v>0</v>
      </c>
      <c r="N192" t="n">
        <v>0</v>
      </c>
      <c r="O192" t="n">
        <v>1</v>
      </c>
      <c r="P192" t="n">
        <v>0</v>
      </c>
      <c r="Q192" t="n">
        <v>1</v>
      </c>
      <c r="R192" s="2" t="inlineStr">
        <is>
          <t>Ullticka</t>
        </is>
      </c>
      <c r="S192">
        <f>HYPERLINK("https://klasma.github.io/Logging_0380/artfynd/A 25729-2024 artfynd.xlsx", "A 25729-2024")</f>
        <v/>
      </c>
      <c r="T192">
        <f>HYPERLINK("https://klasma.github.io/Logging_0380/kartor/A 25729-2024 karta.png", "A 25729-2024")</f>
        <v/>
      </c>
      <c r="V192">
        <f>HYPERLINK("https://klasma.github.io/Logging_0380/klagomål/A 25729-2024 FSC-klagomål.docx", "A 25729-2024")</f>
        <v/>
      </c>
      <c r="W192">
        <f>HYPERLINK("https://klasma.github.io/Logging_0380/klagomålsmail/A 25729-2024 FSC-klagomål mail.docx", "A 25729-2024")</f>
        <v/>
      </c>
      <c r="X192">
        <f>HYPERLINK("https://klasma.github.io/Logging_0380/tillsyn/A 25729-2024 tillsynsbegäran.docx", "A 25729-2024")</f>
        <v/>
      </c>
      <c r="Y192">
        <f>HYPERLINK("https://klasma.github.io/Logging_0380/tillsynsmail/A 25729-2024 tillsynsbegäran mail.docx", "A 25729-2024")</f>
        <v/>
      </c>
    </row>
    <row r="193" ht="15" customHeight="1">
      <c r="A193" t="inlineStr">
        <is>
          <t>A 29139-2024</t>
        </is>
      </c>
      <c r="B193" s="1" t="n">
        <v>45482</v>
      </c>
      <c r="C193" s="1" t="n">
        <v>45762</v>
      </c>
      <c r="D193" t="inlineStr">
        <is>
          <t>UPPSALA LÄN</t>
        </is>
      </c>
      <c r="E193" t="inlineStr">
        <is>
          <t>UPPSALA</t>
        </is>
      </c>
      <c r="F193" t="inlineStr">
        <is>
          <t>Allmännings- och besparingsskogar</t>
        </is>
      </c>
      <c r="G193" t="n">
        <v>26.4</v>
      </c>
      <c r="H193" t="n">
        <v>0</v>
      </c>
      <c r="I193" t="n">
        <v>0</v>
      </c>
      <c r="J193" t="n">
        <v>1</v>
      </c>
      <c r="K193" t="n">
        <v>0</v>
      </c>
      <c r="L193" t="n">
        <v>0</v>
      </c>
      <c r="M193" t="n">
        <v>0</v>
      </c>
      <c r="N193" t="n">
        <v>0</v>
      </c>
      <c r="O193" t="n">
        <v>1</v>
      </c>
      <c r="P193" t="n">
        <v>0</v>
      </c>
      <c r="Q193" t="n">
        <v>1</v>
      </c>
      <c r="R193" s="2" t="inlineStr">
        <is>
          <t>Granskugglöpare</t>
        </is>
      </c>
      <c r="S193">
        <f>HYPERLINK("https://klasma.github.io/Logging_0380/artfynd/A 29139-2024 artfynd.xlsx", "A 29139-2024")</f>
        <v/>
      </c>
      <c r="T193">
        <f>HYPERLINK("https://klasma.github.io/Logging_0380/kartor/A 29139-2024 karta.png", "A 29139-2024")</f>
        <v/>
      </c>
      <c r="V193">
        <f>HYPERLINK("https://klasma.github.io/Logging_0380/klagomål/A 29139-2024 FSC-klagomål.docx", "A 29139-2024")</f>
        <v/>
      </c>
      <c r="W193">
        <f>HYPERLINK("https://klasma.github.io/Logging_0380/klagomålsmail/A 29139-2024 FSC-klagomål mail.docx", "A 29139-2024")</f>
        <v/>
      </c>
      <c r="X193">
        <f>HYPERLINK("https://klasma.github.io/Logging_0380/tillsyn/A 29139-2024 tillsynsbegäran.docx", "A 29139-2024")</f>
        <v/>
      </c>
      <c r="Y193">
        <f>HYPERLINK("https://klasma.github.io/Logging_0380/tillsynsmail/A 29139-2024 tillsynsbegäran mail.docx", "A 29139-2024")</f>
        <v/>
      </c>
    </row>
    <row r="194" ht="15" customHeight="1">
      <c r="A194" t="inlineStr">
        <is>
          <t>A 34159-2024</t>
        </is>
      </c>
      <c r="B194" s="1" t="n">
        <v>45524</v>
      </c>
      <c r="C194" s="1" t="n">
        <v>45762</v>
      </c>
      <c r="D194" t="inlineStr">
        <is>
          <t>UPPSALA LÄN</t>
        </is>
      </c>
      <c r="E194" t="inlineStr">
        <is>
          <t>UPPSALA</t>
        </is>
      </c>
      <c r="G194" t="n">
        <v>3.7</v>
      </c>
      <c r="H194" t="n">
        <v>0</v>
      </c>
      <c r="I194" t="n">
        <v>1</v>
      </c>
      <c r="J194" t="n">
        <v>0</v>
      </c>
      <c r="K194" t="n">
        <v>0</v>
      </c>
      <c r="L194" t="n">
        <v>0</v>
      </c>
      <c r="M194" t="n">
        <v>0</v>
      </c>
      <c r="N194" t="n">
        <v>0</v>
      </c>
      <c r="O194" t="n">
        <v>0</v>
      </c>
      <c r="P194" t="n">
        <v>0</v>
      </c>
      <c r="Q194" t="n">
        <v>1</v>
      </c>
      <c r="R194" s="2" t="inlineStr">
        <is>
          <t>Granbarkgnagare</t>
        </is>
      </c>
      <c r="S194">
        <f>HYPERLINK("https://klasma.github.io/Logging_0380/artfynd/A 34159-2024 artfynd.xlsx", "A 34159-2024")</f>
        <v/>
      </c>
      <c r="T194">
        <f>HYPERLINK("https://klasma.github.io/Logging_0380/kartor/A 34159-2024 karta.png", "A 34159-2024")</f>
        <v/>
      </c>
      <c r="V194">
        <f>HYPERLINK("https://klasma.github.io/Logging_0380/klagomål/A 34159-2024 FSC-klagomål.docx", "A 34159-2024")</f>
        <v/>
      </c>
      <c r="W194">
        <f>HYPERLINK("https://klasma.github.io/Logging_0380/klagomålsmail/A 34159-2024 FSC-klagomål mail.docx", "A 34159-2024")</f>
        <v/>
      </c>
      <c r="X194">
        <f>HYPERLINK("https://klasma.github.io/Logging_0380/tillsyn/A 34159-2024 tillsynsbegäran.docx", "A 34159-2024")</f>
        <v/>
      </c>
      <c r="Y194">
        <f>HYPERLINK("https://klasma.github.io/Logging_0380/tillsynsmail/A 34159-2024 tillsynsbegäran mail.docx", "A 34159-2024")</f>
        <v/>
      </c>
    </row>
    <row r="195" ht="15" customHeight="1">
      <c r="A195" t="inlineStr">
        <is>
          <t>A 37563-2024</t>
        </is>
      </c>
      <c r="B195" s="1" t="n">
        <v>45541</v>
      </c>
      <c r="C195" s="1" t="n">
        <v>45762</v>
      </c>
      <c r="D195" t="inlineStr">
        <is>
          <t>UPPSALA LÄN</t>
        </is>
      </c>
      <c r="E195" t="inlineStr">
        <is>
          <t>UPPSALA</t>
        </is>
      </c>
      <c r="F195" t="inlineStr">
        <is>
          <t>Övriga Aktiebolag</t>
        </is>
      </c>
      <c r="G195" t="n">
        <v>6.1</v>
      </c>
      <c r="H195" t="n">
        <v>0</v>
      </c>
      <c r="I195" t="n">
        <v>0</v>
      </c>
      <c r="J195" t="n">
        <v>1</v>
      </c>
      <c r="K195" t="n">
        <v>0</v>
      </c>
      <c r="L195" t="n">
        <v>0</v>
      </c>
      <c r="M195" t="n">
        <v>0</v>
      </c>
      <c r="N195" t="n">
        <v>0</v>
      </c>
      <c r="O195" t="n">
        <v>1</v>
      </c>
      <c r="P195" t="n">
        <v>0</v>
      </c>
      <c r="Q195" t="n">
        <v>1</v>
      </c>
      <c r="R195" s="2" t="inlineStr">
        <is>
          <t>Skogshare</t>
        </is>
      </c>
      <c r="S195">
        <f>HYPERLINK("https://klasma.github.io/Logging_0380/artfynd/A 37563-2024 artfynd.xlsx", "A 37563-2024")</f>
        <v/>
      </c>
      <c r="T195">
        <f>HYPERLINK("https://klasma.github.io/Logging_0380/kartor/A 37563-2024 karta.png", "A 37563-2024")</f>
        <v/>
      </c>
      <c r="V195">
        <f>HYPERLINK("https://klasma.github.io/Logging_0380/klagomål/A 37563-2024 FSC-klagomål.docx", "A 37563-2024")</f>
        <v/>
      </c>
      <c r="W195">
        <f>HYPERLINK("https://klasma.github.io/Logging_0380/klagomålsmail/A 37563-2024 FSC-klagomål mail.docx", "A 37563-2024")</f>
        <v/>
      </c>
      <c r="X195">
        <f>HYPERLINK("https://klasma.github.io/Logging_0380/tillsyn/A 37563-2024 tillsynsbegäran.docx", "A 37563-2024")</f>
        <v/>
      </c>
      <c r="Y195">
        <f>HYPERLINK("https://klasma.github.io/Logging_0380/tillsynsmail/A 37563-2024 tillsynsbegäran mail.docx", "A 37563-2024")</f>
        <v/>
      </c>
    </row>
    <row r="196" ht="15" customHeight="1">
      <c r="A196" t="inlineStr">
        <is>
          <t>A 42787-2024</t>
        </is>
      </c>
      <c r="B196" s="1" t="n">
        <v>45566</v>
      </c>
      <c r="C196" s="1" t="n">
        <v>45762</v>
      </c>
      <c r="D196" t="inlineStr">
        <is>
          <t>UPPSALA LÄN</t>
        </is>
      </c>
      <c r="E196" t="inlineStr">
        <is>
          <t>UPPSALA</t>
        </is>
      </c>
      <c r="G196" t="n">
        <v>3.2</v>
      </c>
      <c r="H196" t="n">
        <v>1</v>
      </c>
      <c r="I196" t="n">
        <v>0</v>
      </c>
      <c r="J196" t="n">
        <v>0</v>
      </c>
      <c r="K196" t="n">
        <v>0</v>
      </c>
      <c r="L196" t="n">
        <v>0</v>
      </c>
      <c r="M196" t="n">
        <v>0</v>
      </c>
      <c r="N196" t="n">
        <v>0</v>
      </c>
      <c r="O196" t="n">
        <v>0</v>
      </c>
      <c r="P196" t="n">
        <v>0</v>
      </c>
      <c r="Q196" t="n">
        <v>1</v>
      </c>
      <c r="R196" s="2" t="inlineStr">
        <is>
          <t>Mattlummer</t>
        </is>
      </c>
      <c r="S196">
        <f>HYPERLINK("https://klasma.github.io/Logging_0380/artfynd/A 42787-2024 artfynd.xlsx", "A 42787-2024")</f>
        <v/>
      </c>
      <c r="T196">
        <f>HYPERLINK("https://klasma.github.io/Logging_0380/kartor/A 42787-2024 karta.png", "A 42787-2024")</f>
        <v/>
      </c>
      <c r="V196">
        <f>HYPERLINK("https://klasma.github.io/Logging_0380/klagomål/A 42787-2024 FSC-klagomål.docx", "A 42787-2024")</f>
        <v/>
      </c>
      <c r="W196">
        <f>HYPERLINK("https://klasma.github.io/Logging_0380/klagomålsmail/A 42787-2024 FSC-klagomål mail.docx", "A 42787-2024")</f>
        <v/>
      </c>
      <c r="X196">
        <f>HYPERLINK("https://klasma.github.io/Logging_0380/tillsyn/A 42787-2024 tillsynsbegäran.docx", "A 42787-2024")</f>
        <v/>
      </c>
      <c r="Y196">
        <f>HYPERLINK("https://klasma.github.io/Logging_0380/tillsynsmail/A 42787-2024 tillsynsbegäran mail.docx", "A 42787-2024")</f>
        <v/>
      </c>
    </row>
    <row r="197" ht="15" customHeight="1">
      <c r="A197" t="inlineStr">
        <is>
          <t>A 54144-2024</t>
        </is>
      </c>
      <c r="B197" s="1" t="n">
        <v>45616</v>
      </c>
      <c r="C197" s="1" t="n">
        <v>45762</v>
      </c>
      <c r="D197" t="inlineStr">
        <is>
          <t>UPPSALA LÄN</t>
        </is>
      </c>
      <c r="E197" t="inlineStr">
        <is>
          <t>UPPSALA</t>
        </is>
      </c>
      <c r="G197" t="n">
        <v>3.2</v>
      </c>
      <c r="H197" t="n">
        <v>0</v>
      </c>
      <c r="I197" t="n">
        <v>1</v>
      </c>
      <c r="J197" t="n">
        <v>0</v>
      </c>
      <c r="K197" t="n">
        <v>0</v>
      </c>
      <c r="L197" t="n">
        <v>0</v>
      </c>
      <c r="M197" t="n">
        <v>0</v>
      </c>
      <c r="N197" t="n">
        <v>0</v>
      </c>
      <c r="O197" t="n">
        <v>0</v>
      </c>
      <c r="P197" t="n">
        <v>0</v>
      </c>
      <c r="Q197" t="n">
        <v>1</v>
      </c>
      <c r="R197" s="2" t="inlineStr">
        <is>
          <t>Svavelriska</t>
        </is>
      </c>
      <c r="S197">
        <f>HYPERLINK("https://klasma.github.io/Logging_0380/artfynd/A 54144-2024 artfynd.xlsx", "A 54144-2024")</f>
        <v/>
      </c>
      <c r="T197">
        <f>HYPERLINK("https://klasma.github.io/Logging_0380/kartor/A 54144-2024 karta.png", "A 54144-2024")</f>
        <v/>
      </c>
      <c r="V197">
        <f>HYPERLINK("https://klasma.github.io/Logging_0380/klagomål/A 54144-2024 FSC-klagomål.docx", "A 54144-2024")</f>
        <v/>
      </c>
      <c r="W197">
        <f>HYPERLINK("https://klasma.github.io/Logging_0380/klagomålsmail/A 54144-2024 FSC-klagomål mail.docx", "A 54144-2024")</f>
        <v/>
      </c>
      <c r="X197">
        <f>HYPERLINK("https://klasma.github.io/Logging_0380/tillsyn/A 54144-2024 tillsynsbegäran.docx", "A 54144-2024")</f>
        <v/>
      </c>
      <c r="Y197">
        <f>HYPERLINK("https://klasma.github.io/Logging_0380/tillsynsmail/A 54144-2024 tillsynsbegäran mail.docx", "A 54144-2024")</f>
        <v/>
      </c>
    </row>
    <row r="198" ht="15" customHeight="1">
      <c r="A198" t="inlineStr">
        <is>
          <t>A 59588-2024</t>
        </is>
      </c>
      <c r="B198" s="1" t="n">
        <v>45638</v>
      </c>
      <c r="C198" s="1" t="n">
        <v>45762</v>
      </c>
      <c r="D198" t="inlineStr">
        <is>
          <t>UPPSALA LÄN</t>
        </is>
      </c>
      <c r="E198" t="inlineStr">
        <is>
          <t>UPPSALA</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HYPERLINK("https://klasma.github.io/Logging_0380/artfynd/A 59588-2024 artfynd.xlsx", "A 59588-2024")</f>
        <v/>
      </c>
      <c r="T198">
        <f>HYPERLINK("https://klasma.github.io/Logging_0380/kartor/A 59588-2024 karta.png", "A 59588-2024")</f>
        <v/>
      </c>
      <c r="U198">
        <f>HYPERLINK("https://klasma.github.io/Logging_0380/knärot/A 59588-2024 karta knärot.png", "A 59588-2024")</f>
        <v/>
      </c>
      <c r="V198">
        <f>HYPERLINK("https://klasma.github.io/Logging_0380/klagomål/A 59588-2024 FSC-klagomål.docx", "A 59588-2024")</f>
        <v/>
      </c>
      <c r="W198">
        <f>HYPERLINK("https://klasma.github.io/Logging_0380/klagomålsmail/A 59588-2024 FSC-klagomål mail.docx", "A 59588-2024")</f>
        <v/>
      </c>
      <c r="X198">
        <f>HYPERLINK("https://klasma.github.io/Logging_0380/tillsyn/A 59588-2024 tillsynsbegäran.docx", "A 59588-2024")</f>
        <v/>
      </c>
      <c r="Y198">
        <f>HYPERLINK("https://klasma.github.io/Logging_0380/tillsynsmail/A 59588-2024 tillsynsbegäran mail.docx", "A 59588-2024")</f>
        <v/>
      </c>
    </row>
    <row r="199" ht="15" customHeight="1">
      <c r="A199" t="inlineStr">
        <is>
          <t>A 3304-2025</t>
        </is>
      </c>
      <c r="B199" s="1" t="n">
        <v>45679</v>
      </c>
      <c r="C199" s="1" t="n">
        <v>45762</v>
      </c>
      <c r="D199" t="inlineStr">
        <is>
          <t>UPPSALA LÄN</t>
        </is>
      </c>
      <c r="E199" t="inlineStr">
        <is>
          <t>UPPSALA</t>
        </is>
      </c>
      <c r="F199" t="inlineStr">
        <is>
          <t>Övriga statliga verk och myndigheter</t>
        </is>
      </c>
      <c r="G199" t="n">
        <v>3.8</v>
      </c>
      <c r="H199" t="n">
        <v>1</v>
      </c>
      <c r="I199" t="n">
        <v>0</v>
      </c>
      <c r="J199" t="n">
        <v>0</v>
      </c>
      <c r="K199" t="n">
        <v>0</v>
      </c>
      <c r="L199" t="n">
        <v>0</v>
      </c>
      <c r="M199" t="n">
        <v>0</v>
      </c>
      <c r="N199" t="n">
        <v>0</v>
      </c>
      <c r="O199" t="n">
        <v>0</v>
      </c>
      <c r="P199" t="n">
        <v>0</v>
      </c>
      <c r="Q199" t="n">
        <v>1</v>
      </c>
      <c r="R199" s="2" t="inlineStr">
        <is>
          <t>Blåsippa</t>
        </is>
      </c>
      <c r="S199">
        <f>HYPERLINK("https://klasma.github.io/Logging_0380/artfynd/A 3304-2025 artfynd.xlsx", "A 3304-2025")</f>
        <v/>
      </c>
      <c r="T199">
        <f>HYPERLINK("https://klasma.github.io/Logging_0380/kartor/A 3304-2025 karta.png", "A 3304-2025")</f>
        <v/>
      </c>
      <c r="V199">
        <f>HYPERLINK("https://klasma.github.io/Logging_0380/klagomål/A 3304-2025 FSC-klagomål.docx", "A 3304-2025")</f>
        <v/>
      </c>
      <c r="W199">
        <f>HYPERLINK("https://klasma.github.io/Logging_0380/klagomålsmail/A 3304-2025 FSC-klagomål mail.docx", "A 3304-2025")</f>
        <v/>
      </c>
      <c r="X199">
        <f>HYPERLINK("https://klasma.github.io/Logging_0380/tillsyn/A 3304-2025 tillsynsbegäran.docx", "A 3304-2025")</f>
        <v/>
      </c>
      <c r="Y199">
        <f>HYPERLINK("https://klasma.github.io/Logging_0380/tillsynsmail/A 3304-2025 tillsynsbegäran mail.docx", "A 3304-2025")</f>
        <v/>
      </c>
    </row>
    <row r="200" ht="15" customHeight="1">
      <c r="A200" t="inlineStr">
        <is>
          <t>A 4657-2025</t>
        </is>
      </c>
      <c r="B200" s="1" t="n">
        <v>45687</v>
      </c>
      <c r="C200" s="1" t="n">
        <v>45762</v>
      </c>
      <c r="D200" t="inlineStr">
        <is>
          <t>UPPSALA LÄN</t>
        </is>
      </c>
      <c r="E200" t="inlineStr">
        <is>
          <t>UPPSALA</t>
        </is>
      </c>
      <c r="G200" t="n">
        <v>2.9</v>
      </c>
      <c r="H200" t="n">
        <v>1</v>
      </c>
      <c r="I200" t="n">
        <v>0</v>
      </c>
      <c r="J200" t="n">
        <v>1</v>
      </c>
      <c r="K200" t="n">
        <v>0</v>
      </c>
      <c r="L200" t="n">
        <v>0</v>
      </c>
      <c r="M200" t="n">
        <v>0</v>
      </c>
      <c r="N200" t="n">
        <v>0</v>
      </c>
      <c r="O200" t="n">
        <v>1</v>
      </c>
      <c r="P200" t="n">
        <v>0</v>
      </c>
      <c r="Q200" t="n">
        <v>1</v>
      </c>
      <c r="R200" s="2" t="inlineStr">
        <is>
          <t>Grönsångare</t>
        </is>
      </c>
      <c r="S200">
        <f>HYPERLINK("https://klasma.github.io/Logging_0380/artfynd/A 4657-2025 artfynd.xlsx", "A 4657-2025")</f>
        <v/>
      </c>
      <c r="T200">
        <f>HYPERLINK("https://klasma.github.io/Logging_0380/kartor/A 4657-2025 karta.png", "A 4657-2025")</f>
        <v/>
      </c>
      <c r="V200">
        <f>HYPERLINK("https://klasma.github.io/Logging_0380/klagomål/A 4657-2025 FSC-klagomål.docx", "A 4657-2025")</f>
        <v/>
      </c>
      <c r="W200">
        <f>HYPERLINK("https://klasma.github.io/Logging_0380/klagomålsmail/A 4657-2025 FSC-klagomål mail.docx", "A 4657-2025")</f>
        <v/>
      </c>
      <c r="X200">
        <f>HYPERLINK("https://klasma.github.io/Logging_0380/tillsyn/A 4657-2025 tillsynsbegäran.docx", "A 4657-2025")</f>
        <v/>
      </c>
      <c r="Y200">
        <f>HYPERLINK("https://klasma.github.io/Logging_0380/tillsynsmail/A 4657-2025 tillsynsbegäran mail.docx", "A 4657-2025")</f>
        <v/>
      </c>
      <c r="Z200">
        <f>HYPERLINK("https://klasma.github.io/Logging_0380/fåglar/A 4657-2025 prioriterade fågelarter.docx", "A 4657-2025")</f>
        <v/>
      </c>
    </row>
    <row r="201" ht="15" customHeight="1">
      <c r="A201" t="inlineStr">
        <is>
          <t>A 5619-2025</t>
        </is>
      </c>
      <c r="B201" s="1" t="n">
        <v>45693</v>
      </c>
      <c r="C201" s="1" t="n">
        <v>45762</v>
      </c>
      <c r="D201" t="inlineStr">
        <is>
          <t>UPPSALA LÄN</t>
        </is>
      </c>
      <c r="E201" t="inlineStr">
        <is>
          <t>UPPSALA</t>
        </is>
      </c>
      <c r="G201" t="n">
        <v>6.8</v>
      </c>
      <c r="H201" t="n">
        <v>1</v>
      </c>
      <c r="I201" t="n">
        <v>0</v>
      </c>
      <c r="J201" t="n">
        <v>1</v>
      </c>
      <c r="K201" t="n">
        <v>0</v>
      </c>
      <c r="L201" t="n">
        <v>0</v>
      </c>
      <c r="M201" t="n">
        <v>0</v>
      </c>
      <c r="N201" t="n">
        <v>0</v>
      </c>
      <c r="O201" t="n">
        <v>1</v>
      </c>
      <c r="P201" t="n">
        <v>0</v>
      </c>
      <c r="Q201" t="n">
        <v>1</v>
      </c>
      <c r="R201" s="2" t="inlineStr">
        <is>
          <t>Spillkråka</t>
        </is>
      </c>
      <c r="S201">
        <f>HYPERLINK("https://klasma.github.io/Logging_0380/artfynd/A 5619-2025 artfynd.xlsx", "A 5619-2025")</f>
        <v/>
      </c>
      <c r="T201">
        <f>HYPERLINK("https://klasma.github.io/Logging_0380/kartor/A 5619-2025 karta.png", "A 5619-2025")</f>
        <v/>
      </c>
      <c r="V201">
        <f>HYPERLINK("https://klasma.github.io/Logging_0380/klagomål/A 5619-2025 FSC-klagomål.docx", "A 5619-2025")</f>
        <v/>
      </c>
      <c r="W201">
        <f>HYPERLINK("https://klasma.github.io/Logging_0380/klagomålsmail/A 5619-2025 FSC-klagomål mail.docx", "A 5619-2025")</f>
        <v/>
      </c>
      <c r="X201">
        <f>HYPERLINK("https://klasma.github.io/Logging_0380/tillsyn/A 5619-2025 tillsynsbegäran.docx", "A 5619-2025")</f>
        <v/>
      </c>
      <c r="Y201">
        <f>HYPERLINK("https://klasma.github.io/Logging_0380/tillsynsmail/A 5619-2025 tillsynsbegäran mail.docx", "A 5619-2025")</f>
        <v/>
      </c>
      <c r="Z201">
        <f>HYPERLINK("https://klasma.github.io/Logging_0380/fåglar/A 5619-2025 prioriterade fågelarter.docx", "A 5619-2025")</f>
        <v/>
      </c>
    </row>
    <row r="202" ht="15" customHeight="1">
      <c r="A202" t="inlineStr">
        <is>
          <t>A 5624-2025</t>
        </is>
      </c>
      <c r="B202" s="1" t="n">
        <v>45693</v>
      </c>
      <c r="C202" s="1" t="n">
        <v>45762</v>
      </c>
      <c r="D202" t="inlineStr">
        <is>
          <t>UPPSALA LÄN</t>
        </is>
      </c>
      <c r="E202" t="inlineStr">
        <is>
          <t>UPPSALA</t>
        </is>
      </c>
      <c r="G202" t="n">
        <v>6.1</v>
      </c>
      <c r="H202" t="n">
        <v>0</v>
      </c>
      <c r="I202" t="n">
        <v>1</v>
      </c>
      <c r="J202" t="n">
        <v>0</v>
      </c>
      <c r="K202" t="n">
        <v>0</v>
      </c>
      <c r="L202" t="n">
        <v>0</v>
      </c>
      <c r="M202" t="n">
        <v>0</v>
      </c>
      <c r="N202" t="n">
        <v>0</v>
      </c>
      <c r="O202" t="n">
        <v>0</v>
      </c>
      <c r="P202" t="n">
        <v>0</v>
      </c>
      <c r="Q202" t="n">
        <v>1</v>
      </c>
      <c r="R202" s="2" t="inlineStr">
        <is>
          <t>Mindre märgborre</t>
        </is>
      </c>
      <c r="S202">
        <f>HYPERLINK("https://klasma.github.io/Logging_0380/artfynd/A 5624-2025 artfynd.xlsx", "A 5624-2025")</f>
        <v/>
      </c>
      <c r="T202">
        <f>HYPERLINK("https://klasma.github.io/Logging_0380/kartor/A 5624-2025 karta.png", "A 5624-2025")</f>
        <v/>
      </c>
      <c r="V202">
        <f>HYPERLINK("https://klasma.github.io/Logging_0380/klagomål/A 5624-2025 FSC-klagomål.docx", "A 5624-2025")</f>
        <v/>
      </c>
      <c r="W202">
        <f>HYPERLINK("https://klasma.github.io/Logging_0380/klagomålsmail/A 5624-2025 FSC-klagomål mail.docx", "A 5624-2025")</f>
        <v/>
      </c>
      <c r="X202">
        <f>HYPERLINK("https://klasma.github.io/Logging_0380/tillsyn/A 5624-2025 tillsynsbegäran.docx", "A 5624-2025")</f>
        <v/>
      </c>
      <c r="Y202">
        <f>HYPERLINK("https://klasma.github.io/Logging_0380/tillsynsmail/A 5624-2025 tillsynsbegäran mail.docx", "A 5624-2025")</f>
        <v/>
      </c>
    </row>
    <row r="203" ht="15" customHeight="1">
      <c r="A203" t="inlineStr">
        <is>
          <t>A 5732-2025</t>
        </is>
      </c>
      <c r="B203" s="1" t="n">
        <v>45694</v>
      </c>
      <c r="C203" s="1" t="n">
        <v>45762</v>
      </c>
      <c r="D203" t="inlineStr">
        <is>
          <t>UPPSALA LÄN</t>
        </is>
      </c>
      <c r="E203" t="inlineStr">
        <is>
          <t>UPPSALA</t>
        </is>
      </c>
      <c r="G203" t="n">
        <v>1.9</v>
      </c>
      <c r="H203" t="n">
        <v>0</v>
      </c>
      <c r="I203" t="n">
        <v>1</v>
      </c>
      <c r="J203" t="n">
        <v>0</v>
      </c>
      <c r="K203" t="n">
        <v>0</v>
      </c>
      <c r="L203" t="n">
        <v>0</v>
      </c>
      <c r="M203" t="n">
        <v>0</v>
      </c>
      <c r="N203" t="n">
        <v>0</v>
      </c>
      <c r="O203" t="n">
        <v>0</v>
      </c>
      <c r="P203" t="n">
        <v>0</v>
      </c>
      <c r="Q203" t="n">
        <v>1</v>
      </c>
      <c r="R203" s="2" t="inlineStr">
        <is>
          <t>Fällmossa</t>
        </is>
      </c>
      <c r="S203">
        <f>HYPERLINK("https://klasma.github.io/Logging_0380/artfynd/A 5732-2025 artfynd.xlsx", "A 5732-2025")</f>
        <v/>
      </c>
      <c r="T203">
        <f>HYPERLINK("https://klasma.github.io/Logging_0380/kartor/A 5732-2025 karta.png", "A 5732-2025")</f>
        <v/>
      </c>
      <c r="V203">
        <f>HYPERLINK("https://klasma.github.io/Logging_0380/klagomål/A 5732-2025 FSC-klagomål.docx", "A 5732-2025")</f>
        <v/>
      </c>
      <c r="W203">
        <f>HYPERLINK("https://klasma.github.io/Logging_0380/klagomålsmail/A 5732-2025 FSC-klagomål mail.docx", "A 5732-2025")</f>
        <v/>
      </c>
      <c r="X203">
        <f>HYPERLINK("https://klasma.github.io/Logging_0380/tillsyn/A 5732-2025 tillsynsbegäran.docx", "A 5732-2025")</f>
        <v/>
      </c>
      <c r="Y203">
        <f>HYPERLINK("https://klasma.github.io/Logging_0380/tillsynsmail/A 5732-2025 tillsynsbegäran mail.docx", "A 5732-2025")</f>
        <v/>
      </c>
    </row>
    <row r="204" ht="15" customHeight="1">
      <c r="A204" t="inlineStr">
        <is>
          <t>A 13526-2025</t>
        </is>
      </c>
      <c r="B204" s="1" t="n">
        <v>45736</v>
      </c>
      <c r="C204" s="1" t="n">
        <v>45762</v>
      </c>
      <c r="D204" t="inlineStr">
        <is>
          <t>UPPSALA LÄN</t>
        </is>
      </c>
      <c r="E204" t="inlineStr">
        <is>
          <t>UPPSALA</t>
        </is>
      </c>
      <c r="F204" t="inlineStr">
        <is>
          <t>Allmännings- och besparingsskogar</t>
        </is>
      </c>
      <c r="G204" t="n">
        <v>3</v>
      </c>
      <c r="H204" t="n">
        <v>0</v>
      </c>
      <c r="I204" t="n">
        <v>0</v>
      </c>
      <c r="J204" t="n">
        <v>1</v>
      </c>
      <c r="K204" t="n">
        <v>0</v>
      </c>
      <c r="L204" t="n">
        <v>0</v>
      </c>
      <c r="M204" t="n">
        <v>0</v>
      </c>
      <c r="N204" t="n">
        <v>0</v>
      </c>
      <c r="O204" t="n">
        <v>1</v>
      </c>
      <c r="P204" t="n">
        <v>0</v>
      </c>
      <c r="Q204" t="n">
        <v>1</v>
      </c>
      <c r="R204" s="2" t="inlineStr">
        <is>
          <t>Vedtrappmossa</t>
        </is>
      </c>
      <c r="S204">
        <f>HYPERLINK("https://klasma.github.io/Logging_030380/artfynd/A 13526-2025 artfynd.xlsx", "A 13526-2025")</f>
        <v/>
      </c>
      <c r="T204">
        <f>HYPERLINK("https://klasma.github.io/Logging_030380/kartor/A 13526-2025 karta.png", "A 13526-2025")</f>
        <v/>
      </c>
      <c r="V204">
        <f>HYPERLINK("https://klasma.github.io/Logging_030380/klagomål/A 13526-2025 FSC-klagomål.docx", "A 13526-2025")</f>
        <v/>
      </c>
      <c r="W204">
        <f>HYPERLINK("https://klasma.github.io/Logging_030380/klagomålsmail/A 13526-2025 FSC-klagomål mail.docx", "A 13526-2025")</f>
        <v/>
      </c>
      <c r="X204">
        <f>HYPERLINK("https://klasma.github.io/Logging_030380/tillsyn/A 13526-2025 tillsynsbegäran.docx", "A 13526-2025")</f>
        <v/>
      </c>
      <c r="Y204">
        <f>HYPERLINK("https://klasma.github.io/Logging_030380/tillsynsmail/A 13526-2025 tillsynsbegäran mail.docx", "A 13526-2025")</f>
        <v/>
      </c>
    </row>
    <row r="205" ht="15" customHeight="1">
      <c r="A205" t="inlineStr">
        <is>
          <t>A 17484-2025</t>
        </is>
      </c>
      <c r="B205" s="1" t="n">
        <v>45757</v>
      </c>
      <c r="C205" s="1" t="n">
        <v>45762</v>
      </c>
      <c r="D205" t="inlineStr">
        <is>
          <t>UPPSALA LÄN</t>
        </is>
      </c>
      <c r="E205" t="inlineStr">
        <is>
          <t>UPPSALA</t>
        </is>
      </c>
      <c r="G205" t="n">
        <v>13.1</v>
      </c>
      <c r="H205" t="n">
        <v>1</v>
      </c>
      <c r="I205" t="n">
        <v>0</v>
      </c>
      <c r="J205" t="n">
        <v>0</v>
      </c>
      <c r="K205" t="n">
        <v>0</v>
      </c>
      <c r="L205" t="n">
        <v>0</v>
      </c>
      <c r="M205" t="n">
        <v>0</v>
      </c>
      <c r="N205" t="n">
        <v>0</v>
      </c>
      <c r="O205" t="n">
        <v>0</v>
      </c>
      <c r="P205" t="n">
        <v>0</v>
      </c>
      <c r="Q205" t="n">
        <v>1</v>
      </c>
      <c r="R205" s="2" t="inlineStr">
        <is>
          <t>Fläcknycklar</t>
        </is>
      </c>
      <c r="S205">
        <f>HYPERLINK("https://klasma.github.io/Logging_030380/artfynd/A 17484-2025 artfynd.xlsx", "A 17484-2025")</f>
        <v/>
      </c>
      <c r="T205">
        <f>HYPERLINK("https://klasma.github.io/Logging_030380/kartor/A 17484-2025 karta.png", "A 17484-2025")</f>
        <v/>
      </c>
      <c r="V205">
        <f>HYPERLINK("https://klasma.github.io/Logging_030380/klagomål/A 17484-2025 FSC-klagomål.docx", "A 17484-2025")</f>
        <v/>
      </c>
      <c r="W205">
        <f>HYPERLINK("https://klasma.github.io/Logging_030380/klagomålsmail/A 17484-2025 FSC-klagomål mail.docx", "A 17484-2025")</f>
        <v/>
      </c>
      <c r="X205">
        <f>HYPERLINK("https://klasma.github.io/Logging_030380/tillsyn/A 17484-2025 tillsynsbegäran.docx", "A 17484-2025")</f>
        <v/>
      </c>
      <c r="Y205">
        <f>HYPERLINK("https://klasma.github.io/Logging_030380/tillsynsmail/A 17484-2025 tillsynsbegäran mail.docx", "A 17484-2025")</f>
        <v/>
      </c>
    </row>
    <row r="206" ht="15" customHeight="1">
      <c r="A206" t="inlineStr">
        <is>
          <t>A 17828-2019</t>
        </is>
      </c>
      <c r="B206" s="1" t="n">
        <v>43556</v>
      </c>
      <c r="C206" s="1" t="n">
        <v>45762</v>
      </c>
      <c r="D206" t="inlineStr">
        <is>
          <t>UPPSALA LÄN</t>
        </is>
      </c>
      <c r="E206" t="inlineStr">
        <is>
          <t>UPPSALA</t>
        </is>
      </c>
      <c r="G206" t="n">
        <v>2.8</v>
      </c>
      <c r="H206" t="n">
        <v>0</v>
      </c>
      <c r="I206" t="n">
        <v>0</v>
      </c>
      <c r="J206" t="n">
        <v>0</v>
      </c>
      <c r="K206" t="n">
        <v>0</v>
      </c>
      <c r="L206" t="n">
        <v>0</v>
      </c>
      <c r="M206" t="n">
        <v>0</v>
      </c>
      <c r="N206" t="n">
        <v>0</v>
      </c>
      <c r="O206" t="n">
        <v>0</v>
      </c>
      <c r="P206" t="n">
        <v>0</v>
      </c>
      <c r="Q206" t="n">
        <v>0</v>
      </c>
      <c r="R206" s="2" t="inlineStr"/>
    </row>
    <row r="207" ht="15" customHeight="1">
      <c r="A207" t="inlineStr">
        <is>
          <t>A 18446-2019</t>
        </is>
      </c>
      <c r="B207" s="1" t="n">
        <v>43559</v>
      </c>
      <c r="C207" s="1" t="n">
        <v>45762</v>
      </c>
      <c r="D207" t="inlineStr">
        <is>
          <t>UPPSALA LÄN</t>
        </is>
      </c>
      <c r="E207" t="inlineStr">
        <is>
          <t>UPPSALA</t>
        </is>
      </c>
      <c r="G207" t="n">
        <v>9.1</v>
      </c>
      <c r="H207" t="n">
        <v>0</v>
      </c>
      <c r="I207" t="n">
        <v>0</v>
      </c>
      <c r="J207" t="n">
        <v>0</v>
      </c>
      <c r="K207" t="n">
        <v>0</v>
      </c>
      <c r="L207" t="n">
        <v>0</v>
      </c>
      <c r="M207" t="n">
        <v>0</v>
      </c>
      <c r="N207" t="n">
        <v>0</v>
      </c>
      <c r="O207" t="n">
        <v>0</v>
      </c>
      <c r="P207" t="n">
        <v>0</v>
      </c>
      <c r="Q207" t="n">
        <v>0</v>
      </c>
      <c r="R207" s="2" t="inlineStr"/>
    </row>
    <row r="208" ht="15" customHeight="1">
      <c r="A208" t="inlineStr">
        <is>
          <t>A 18554-2019</t>
        </is>
      </c>
      <c r="B208" s="1" t="n">
        <v>43559</v>
      </c>
      <c r="C208" s="1" t="n">
        <v>45762</v>
      </c>
      <c r="D208" t="inlineStr">
        <is>
          <t>UPPSALA LÄN</t>
        </is>
      </c>
      <c r="E208" t="inlineStr">
        <is>
          <t>UPPSALA</t>
        </is>
      </c>
      <c r="G208" t="n">
        <v>5.6</v>
      </c>
      <c r="H208" t="n">
        <v>0</v>
      </c>
      <c r="I208" t="n">
        <v>0</v>
      </c>
      <c r="J208" t="n">
        <v>0</v>
      </c>
      <c r="K208" t="n">
        <v>0</v>
      </c>
      <c r="L208" t="n">
        <v>0</v>
      </c>
      <c r="M208" t="n">
        <v>0</v>
      </c>
      <c r="N208" t="n">
        <v>0</v>
      </c>
      <c r="O208" t="n">
        <v>0</v>
      </c>
      <c r="P208" t="n">
        <v>0</v>
      </c>
      <c r="Q208" t="n">
        <v>0</v>
      </c>
      <c r="R208" s="2" t="inlineStr"/>
    </row>
    <row r="209" ht="15" customHeight="1">
      <c r="A209" t="inlineStr">
        <is>
          <t>A 18810-2019</t>
        </is>
      </c>
      <c r="B209" s="1" t="n">
        <v>43560</v>
      </c>
      <c r="C209" s="1" t="n">
        <v>45762</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20011-2019</t>
        </is>
      </c>
      <c r="B210" s="1" t="n">
        <v>43570</v>
      </c>
      <c r="C210" s="1" t="n">
        <v>45762</v>
      </c>
      <c r="D210" t="inlineStr">
        <is>
          <t>UPPSALA LÄN</t>
        </is>
      </c>
      <c r="E210" t="inlineStr">
        <is>
          <t>UPPSALA</t>
        </is>
      </c>
      <c r="G210" t="n">
        <v>6.3</v>
      </c>
      <c r="H210" t="n">
        <v>0</v>
      </c>
      <c r="I210" t="n">
        <v>0</v>
      </c>
      <c r="J210" t="n">
        <v>0</v>
      </c>
      <c r="K210" t="n">
        <v>0</v>
      </c>
      <c r="L210" t="n">
        <v>0</v>
      </c>
      <c r="M210" t="n">
        <v>0</v>
      </c>
      <c r="N210" t="n">
        <v>0</v>
      </c>
      <c r="O210" t="n">
        <v>0</v>
      </c>
      <c r="P210" t="n">
        <v>0</v>
      </c>
      <c r="Q210" t="n">
        <v>0</v>
      </c>
      <c r="R210" s="2" t="inlineStr"/>
    </row>
    <row r="211" ht="15" customHeight="1">
      <c r="A211" t="inlineStr">
        <is>
          <t>A 21087-2019</t>
        </is>
      </c>
      <c r="B211" s="1" t="n">
        <v>43578</v>
      </c>
      <c r="C211" s="1" t="n">
        <v>45762</v>
      </c>
      <c r="D211" t="inlineStr">
        <is>
          <t>UPPSALA LÄN</t>
        </is>
      </c>
      <c r="E211" t="inlineStr">
        <is>
          <t>UPPSALA</t>
        </is>
      </c>
      <c r="G211" t="n">
        <v>1.8</v>
      </c>
      <c r="H211" t="n">
        <v>0</v>
      </c>
      <c r="I211" t="n">
        <v>0</v>
      </c>
      <c r="J211" t="n">
        <v>0</v>
      </c>
      <c r="K211" t="n">
        <v>0</v>
      </c>
      <c r="L211" t="n">
        <v>0</v>
      </c>
      <c r="M211" t="n">
        <v>0</v>
      </c>
      <c r="N211" t="n">
        <v>0</v>
      </c>
      <c r="O211" t="n">
        <v>0</v>
      </c>
      <c r="P211" t="n">
        <v>0</v>
      </c>
      <c r="Q211" t="n">
        <v>0</v>
      </c>
      <c r="R211" s="2" t="inlineStr"/>
    </row>
    <row r="212" ht="15" customHeight="1">
      <c r="A212" t="inlineStr">
        <is>
          <t>A 21082-2019</t>
        </is>
      </c>
      <c r="B212" s="1" t="n">
        <v>43578</v>
      </c>
      <c r="C212" s="1" t="n">
        <v>45762</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22153-2019</t>
        </is>
      </c>
      <c r="B213" s="1" t="n">
        <v>43585</v>
      </c>
      <c r="C213" s="1" t="n">
        <v>45762</v>
      </c>
      <c r="D213" t="inlineStr">
        <is>
          <t>UPPSALA LÄN</t>
        </is>
      </c>
      <c r="E213" t="inlineStr">
        <is>
          <t>UPPSALA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23042-2019</t>
        </is>
      </c>
      <c r="B214" s="1" t="n">
        <v>43591</v>
      </c>
      <c r="C214" s="1" t="n">
        <v>45762</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23262-2019</t>
        </is>
      </c>
      <c r="B215" s="1" t="n">
        <v>43592</v>
      </c>
      <c r="C215" s="1" t="n">
        <v>45762</v>
      </c>
      <c r="D215" t="inlineStr">
        <is>
          <t>UPPSALA LÄN</t>
        </is>
      </c>
      <c r="E215" t="inlineStr">
        <is>
          <t>UPPSALA</t>
        </is>
      </c>
      <c r="F215" t="inlineStr">
        <is>
          <t>Kyrkan</t>
        </is>
      </c>
      <c r="G215" t="n">
        <v>7.6</v>
      </c>
      <c r="H215" t="n">
        <v>0</v>
      </c>
      <c r="I215" t="n">
        <v>0</v>
      </c>
      <c r="J215" t="n">
        <v>0</v>
      </c>
      <c r="K215" t="n">
        <v>0</v>
      </c>
      <c r="L215" t="n">
        <v>0</v>
      </c>
      <c r="M215" t="n">
        <v>0</v>
      </c>
      <c r="N215" t="n">
        <v>0</v>
      </c>
      <c r="O215" t="n">
        <v>0</v>
      </c>
      <c r="P215" t="n">
        <v>0</v>
      </c>
      <c r="Q215" t="n">
        <v>0</v>
      </c>
      <c r="R215" s="2" t="inlineStr"/>
    </row>
    <row r="216" ht="15" customHeight="1">
      <c r="A216" t="inlineStr">
        <is>
          <t>A 24998-2019</t>
        </is>
      </c>
      <c r="B216" s="1" t="n">
        <v>43600</v>
      </c>
      <c r="C216" s="1" t="n">
        <v>45762</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25164-2019</t>
        </is>
      </c>
      <c r="B217" s="1" t="n">
        <v>43605</v>
      </c>
      <c r="C217" s="1" t="n">
        <v>45762</v>
      </c>
      <c r="D217" t="inlineStr">
        <is>
          <t>UPPSALA LÄN</t>
        </is>
      </c>
      <c r="E217" t="inlineStr">
        <is>
          <t>UPPSALA</t>
        </is>
      </c>
      <c r="G217" t="n">
        <v>1.6</v>
      </c>
      <c r="H217" t="n">
        <v>0</v>
      </c>
      <c r="I217" t="n">
        <v>0</v>
      </c>
      <c r="J217" t="n">
        <v>0</v>
      </c>
      <c r="K217" t="n">
        <v>0</v>
      </c>
      <c r="L217" t="n">
        <v>0</v>
      </c>
      <c r="M217" t="n">
        <v>0</v>
      </c>
      <c r="N217" t="n">
        <v>0</v>
      </c>
      <c r="O217" t="n">
        <v>0</v>
      </c>
      <c r="P217" t="n">
        <v>0</v>
      </c>
      <c r="Q217" t="n">
        <v>0</v>
      </c>
      <c r="R217" s="2" t="inlineStr"/>
    </row>
    <row r="218" ht="15" customHeight="1">
      <c r="A218" t="inlineStr">
        <is>
          <t>A 25157-2019</t>
        </is>
      </c>
      <c r="B218" s="1" t="n">
        <v>43605</v>
      </c>
      <c r="C218" s="1" t="n">
        <v>45762</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25667-2019</t>
        </is>
      </c>
      <c r="B219" s="1" t="n">
        <v>43607</v>
      </c>
      <c r="C219" s="1" t="n">
        <v>45762</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29105-2019</t>
        </is>
      </c>
      <c r="B220" s="1" t="n">
        <v>43628</v>
      </c>
      <c r="C220" s="1" t="n">
        <v>45762</v>
      </c>
      <c r="D220" t="inlineStr">
        <is>
          <t>UPPSALA LÄN</t>
        </is>
      </c>
      <c r="E220" t="inlineStr">
        <is>
          <t>UPPSALA</t>
        </is>
      </c>
      <c r="G220" t="n">
        <v>2.1</v>
      </c>
      <c r="H220" t="n">
        <v>0</v>
      </c>
      <c r="I220" t="n">
        <v>0</v>
      </c>
      <c r="J220" t="n">
        <v>0</v>
      </c>
      <c r="K220" t="n">
        <v>0</v>
      </c>
      <c r="L220" t="n">
        <v>0</v>
      </c>
      <c r="M220" t="n">
        <v>0</v>
      </c>
      <c r="N220" t="n">
        <v>0</v>
      </c>
      <c r="O220" t="n">
        <v>0</v>
      </c>
      <c r="P220" t="n">
        <v>0</v>
      </c>
      <c r="Q220" t="n">
        <v>0</v>
      </c>
      <c r="R220" s="2" t="inlineStr"/>
    </row>
    <row r="221" ht="15" customHeight="1">
      <c r="A221" t="inlineStr">
        <is>
          <t>A 29183-2019</t>
        </is>
      </c>
      <c r="B221" s="1" t="n">
        <v>43628</v>
      </c>
      <c r="C221" s="1" t="n">
        <v>45762</v>
      </c>
      <c r="D221" t="inlineStr">
        <is>
          <t>UPPSALA LÄN</t>
        </is>
      </c>
      <c r="E221" t="inlineStr">
        <is>
          <t>UPPSALA</t>
        </is>
      </c>
      <c r="F221" t="inlineStr">
        <is>
          <t>Allmännings- och besparingsskogar</t>
        </is>
      </c>
      <c r="G221" t="n">
        <v>6.3</v>
      </c>
      <c r="H221" t="n">
        <v>0</v>
      </c>
      <c r="I221" t="n">
        <v>0</v>
      </c>
      <c r="J221" t="n">
        <v>0</v>
      </c>
      <c r="K221" t="n">
        <v>0</v>
      </c>
      <c r="L221" t="n">
        <v>0</v>
      </c>
      <c r="M221" t="n">
        <v>0</v>
      </c>
      <c r="N221" t="n">
        <v>0</v>
      </c>
      <c r="O221" t="n">
        <v>0</v>
      </c>
      <c r="P221" t="n">
        <v>0</v>
      </c>
      <c r="Q221" t="n">
        <v>0</v>
      </c>
      <c r="R221" s="2" t="inlineStr"/>
    </row>
    <row r="222" ht="15" customHeight="1">
      <c r="A222" t="inlineStr">
        <is>
          <t>A 29081-2019</t>
        </is>
      </c>
      <c r="B222" s="1" t="n">
        <v>43628</v>
      </c>
      <c r="C222" s="1" t="n">
        <v>45762</v>
      </c>
      <c r="D222" t="inlineStr">
        <is>
          <t>UPPSALA LÄN</t>
        </is>
      </c>
      <c r="E222" t="inlineStr">
        <is>
          <t>UPPSALA</t>
        </is>
      </c>
      <c r="G222" t="n">
        <v>8.4</v>
      </c>
      <c r="H222" t="n">
        <v>0</v>
      </c>
      <c r="I222" t="n">
        <v>0</v>
      </c>
      <c r="J222" t="n">
        <v>0</v>
      </c>
      <c r="K222" t="n">
        <v>0</v>
      </c>
      <c r="L222" t="n">
        <v>0</v>
      </c>
      <c r="M222" t="n">
        <v>0</v>
      </c>
      <c r="N222" t="n">
        <v>0</v>
      </c>
      <c r="O222" t="n">
        <v>0</v>
      </c>
      <c r="P222" t="n">
        <v>0</v>
      </c>
      <c r="Q222" t="n">
        <v>0</v>
      </c>
      <c r="R222" s="2" t="inlineStr"/>
    </row>
    <row r="223" ht="15" customHeight="1">
      <c r="A223" t="inlineStr">
        <is>
          <t>A 29719-2019</t>
        </is>
      </c>
      <c r="B223" s="1" t="n">
        <v>43630</v>
      </c>
      <c r="C223" s="1" t="n">
        <v>45762</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29713-2019</t>
        </is>
      </c>
      <c r="B224" s="1" t="n">
        <v>43630</v>
      </c>
      <c r="C224" s="1" t="n">
        <v>45762</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32558-2019</t>
        </is>
      </c>
      <c r="B225" s="1" t="n">
        <v>43647</v>
      </c>
      <c r="C225" s="1" t="n">
        <v>45762</v>
      </c>
      <c r="D225" t="inlineStr">
        <is>
          <t>UPPSALA LÄN</t>
        </is>
      </c>
      <c r="E225" t="inlineStr">
        <is>
          <t>UPPSALA</t>
        </is>
      </c>
      <c r="G225" t="n">
        <v>4.2</v>
      </c>
      <c r="H225" t="n">
        <v>0</v>
      </c>
      <c r="I225" t="n">
        <v>0</v>
      </c>
      <c r="J225" t="n">
        <v>0</v>
      </c>
      <c r="K225" t="n">
        <v>0</v>
      </c>
      <c r="L225" t="n">
        <v>0</v>
      </c>
      <c r="M225" t="n">
        <v>0</v>
      </c>
      <c r="N225" t="n">
        <v>0</v>
      </c>
      <c r="O225" t="n">
        <v>0</v>
      </c>
      <c r="P225" t="n">
        <v>0</v>
      </c>
      <c r="Q225" t="n">
        <v>0</v>
      </c>
      <c r="R225" s="2" t="inlineStr"/>
    </row>
    <row r="226" ht="15" customHeight="1">
      <c r="A226" t="inlineStr">
        <is>
          <t>A 34560-2019</t>
        </is>
      </c>
      <c r="B226" s="1" t="n">
        <v>43647</v>
      </c>
      <c r="C226" s="1" t="n">
        <v>45762</v>
      </c>
      <c r="D226" t="inlineStr">
        <is>
          <t>UPPSALA LÄN</t>
        </is>
      </c>
      <c r="E226" t="inlineStr">
        <is>
          <t>UPPSALA</t>
        </is>
      </c>
      <c r="G226" t="n">
        <v>8.6</v>
      </c>
      <c r="H226" t="n">
        <v>0</v>
      </c>
      <c r="I226" t="n">
        <v>0</v>
      </c>
      <c r="J226" t="n">
        <v>0</v>
      </c>
      <c r="K226" t="n">
        <v>0</v>
      </c>
      <c r="L226" t="n">
        <v>0</v>
      </c>
      <c r="M226" t="n">
        <v>0</v>
      </c>
      <c r="N226" t="n">
        <v>0</v>
      </c>
      <c r="O226" t="n">
        <v>0</v>
      </c>
      <c r="P226" t="n">
        <v>0</v>
      </c>
      <c r="Q226" t="n">
        <v>0</v>
      </c>
      <c r="R226" s="2" t="inlineStr"/>
    </row>
    <row r="227" ht="15" customHeight="1">
      <c r="A227" t="inlineStr">
        <is>
          <t>A 32830-2019</t>
        </is>
      </c>
      <c r="B227" s="1" t="n">
        <v>43648</v>
      </c>
      <c r="C227" s="1" t="n">
        <v>45762</v>
      </c>
      <c r="D227" t="inlineStr">
        <is>
          <t>UPPSALA LÄN</t>
        </is>
      </c>
      <c r="E227" t="inlineStr">
        <is>
          <t>UPPSALA</t>
        </is>
      </c>
      <c r="G227" t="n">
        <v>13.6</v>
      </c>
      <c r="H227" t="n">
        <v>0</v>
      </c>
      <c r="I227" t="n">
        <v>0</v>
      </c>
      <c r="J227" t="n">
        <v>0</v>
      </c>
      <c r="K227" t="n">
        <v>0</v>
      </c>
      <c r="L227" t="n">
        <v>0</v>
      </c>
      <c r="M227" t="n">
        <v>0</v>
      </c>
      <c r="N227" t="n">
        <v>0</v>
      </c>
      <c r="O227" t="n">
        <v>0</v>
      </c>
      <c r="P227" t="n">
        <v>0</v>
      </c>
      <c r="Q227" t="n">
        <v>0</v>
      </c>
      <c r="R227" s="2" t="inlineStr"/>
    </row>
    <row r="228" ht="15" customHeight="1">
      <c r="A228" t="inlineStr">
        <is>
          <t>A 33602-2019</t>
        </is>
      </c>
      <c r="B228" s="1" t="n">
        <v>43651</v>
      </c>
      <c r="C228" s="1" t="n">
        <v>45762</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33614-2019</t>
        </is>
      </c>
      <c r="B229" s="1" t="n">
        <v>43651</v>
      </c>
      <c r="C229" s="1" t="n">
        <v>45762</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33615-2019</t>
        </is>
      </c>
      <c r="B230" s="1" t="n">
        <v>43651</v>
      </c>
      <c r="C230" s="1" t="n">
        <v>45762</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33596-2019</t>
        </is>
      </c>
      <c r="B231" s="1" t="n">
        <v>43651</v>
      </c>
      <c r="C231" s="1" t="n">
        <v>45762</v>
      </c>
      <c r="D231" t="inlineStr">
        <is>
          <t>UPPSALA LÄN</t>
        </is>
      </c>
      <c r="E231" t="inlineStr">
        <is>
          <t>UPPSALA</t>
        </is>
      </c>
      <c r="G231" t="n">
        <v>1.3</v>
      </c>
      <c r="H231" t="n">
        <v>0</v>
      </c>
      <c r="I231" t="n">
        <v>0</v>
      </c>
      <c r="J231" t="n">
        <v>0</v>
      </c>
      <c r="K231" t="n">
        <v>0</v>
      </c>
      <c r="L231" t="n">
        <v>0</v>
      </c>
      <c r="M231" t="n">
        <v>0</v>
      </c>
      <c r="N231" t="n">
        <v>0</v>
      </c>
      <c r="O231" t="n">
        <v>0</v>
      </c>
      <c r="P231" t="n">
        <v>0</v>
      </c>
      <c r="Q231" t="n">
        <v>0</v>
      </c>
      <c r="R231" s="2" t="inlineStr"/>
    </row>
    <row r="232" ht="15" customHeight="1">
      <c r="A232" t="inlineStr">
        <is>
          <t>A 34007-2019</t>
        </is>
      </c>
      <c r="B232" s="1" t="n">
        <v>43654</v>
      </c>
      <c r="C232" s="1" t="n">
        <v>45762</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34063-2019</t>
        </is>
      </c>
      <c r="B233" s="1" t="n">
        <v>43654</v>
      </c>
      <c r="C233" s="1" t="n">
        <v>45762</v>
      </c>
      <c r="D233" t="inlineStr">
        <is>
          <t>UPPSALA LÄN</t>
        </is>
      </c>
      <c r="E233" t="inlineStr">
        <is>
          <t>UPPSALA</t>
        </is>
      </c>
      <c r="G233" t="n">
        <v>1.5</v>
      </c>
      <c r="H233" t="n">
        <v>0</v>
      </c>
      <c r="I233" t="n">
        <v>0</v>
      </c>
      <c r="J233" t="n">
        <v>0</v>
      </c>
      <c r="K233" t="n">
        <v>0</v>
      </c>
      <c r="L233" t="n">
        <v>0</v>
      </c>
      <c r="M233" t="n">
        <v>0</v>
      </c>
      <c r="N233" t="n">
        <v>0</v>
      </c>
      <c r="O233" t="n">
        <v>0</v>
      </c>
      <c r="P233" t="n">
        <v>0</v>
      </c>
      <c r="Q233" t="n">
        <v>0</v>
      </c>
      <c r="R233" s="2" t="inlineStr"/>
    </row>
    <row r="234" ht="15" customHeight="1">
      <c r="A234" t="inlineStr">
        <is>
          <t>A 34331-2019</t>
        </is>
      </c>
      <c r="B234" s="1" t="n">
        <v>43656</v>
      </c>
      <c r="C234" s="1" t="n">
        <v>45762</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36345-2019</t>
        </is>
      </c>
      <c r="B235" s="1" t="n">
        <v>43661</v>
      </c>
      <c r="C235" s="1" t="n">
        <v>45762</v>
      </c>
      <c r="D235" t="inlineStr">
        <is>
          <t>UPPSALA LÄN</t>
        </is>
      </c>
      <c r="E235" t="inlineStr">
        <is>
          <t>UPPSALA</t>
        </is>
      </c>
      <c r="G235" t="n">
        <v>5.3</v>
      </c>
      <c r="H235" t="n">
        <v>0</v>
      </c>
      <c r="I235" t="n">
        <v>0</v>
      </c>
      <c r="J235" t="n">
        <v>0</v>
      </c>
      <c r="K235" t="n">
        <v>0</v>
      </c>
      <c r="L235" t="n">
        <v>0</v>
      </c>
      <c r="M235" t="n">
        <v>0</v>
      </c>
      <c r="N235" t="n">
        <v>0</v>
      </c>
      <c r="O235" t="n">
        <v>0</v>
      </c>
      <c r="P235" t="n">
        <v>0</v>
      </c>
      <c r="Q235" t="n">
        <v>0</v>
      </c>
      <c r="R235" s="2" t="inlineStr"/>
    </row>
    <row r="236" ht="15" customHeight="1">
      <c r="A236" t="inlineStr">
        <is>
          <t>A 36394-2019</t>
        </is>
      </c>
      <c r="B236" s="1" t="n">
        <v>43663</v>
      </c>
      <c r="C236" s="1" t="n">
        <v>45762</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37234-2019</t>
        </is>
      </c>
      <c r="B237" s="1" t="n">
        <v>43677</v>
      </c>
      <c r="C237" s="1" t="n">
        <v>45762</v>
      </c>
      <c r="D237" t="inlineStr">
        <is>
          <t>UPPSALA LÄN</t>
        </is>
      </c>
      <c r="E237" t="inlineStr">
        <is>
          <t>UPPSALA</t>
        </is>
      </c>
      <c r="G237" t="n">
        <v>3.2</v>
      </c>
      <c r="H237" t="n">
        <v>0</v>
      </c>
      <c r="I237" t="n">
        <v>0</v>
      </c>
      <c r="J237" t="n">
        <v>0</v>
      </c>
      <c r="K237" t="n">
        <v>0</v>
      </c>
      <c r="L237" t="n">
        <v>0</v>
      </c>
      <c r="M237" t="n">
        <v>0</v>
      </c>
      <c r="N237" t="n">
        <v>0</v>
      </c>
      <c r="O237" t="n">
        <v>0</v>
      </c>
      <c r="P237" t="n">
        <v>0</v>
      </c>
      <c r="Q237" t="n">
        <v>0</v>
      </c>
      <c r="R237" s="2" t="inlineStr"/>
    </row>
    <row r="238" ht="15" customHeight="1">
      <c r="A238" t="inlineStr">
        <is>
          <t>A 37711-2019</t>
        </is>
      </c>
      <c r="B238" s="1" t="n">
        <v>43682</v>
      </c>
      <c r="C238" s="1" t="n">
        <v>45762</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38684-2019</t>
        </is>
      </c>
      <c r="B239" s="1" t="n">
        <v>43686</v>
      </c>
      <c r="C239" s="1" t="n">
        <v>45762</v>
      </c>
      <c r="D239" t="inlineStr">
        <is>
          <t>UPPSALA LÄN</t>
        </is>
      </c>
      <c r="E239" t="inlineStr">
        <is>
          <t>UPPSALA</t>
        </is>
      </c>
      <c r="G239" t="n">
        <v>0.4</v>
      </c>
      <c r="H239" t="n">
        <v>0</v>
      </c>
      <c r="I239" t="n">
        <v>0</v>
      </c>
      <c r="J239" t="n">
        <v>0</v>
      </c>
      <c r="K239" t="n">
        <v>0</v>
      </c>
      <c r="L239" t="n">
        <v>0</v>
      </c>
      <c r="M239" t="n">
        <v>0</v>
      </c>
      <c r="N239" t="n">
        <v>0</v>
      </c>
      <c r="O239" t="n">
        <v>0</v>
      </c>
      <c r="P239" t="n">
        <v>0</v>
      </c>
      <c r="Q239" t="n">
        <v>0</v>
      </c>
      <c r="R239" s="2" t="inlineStr"/>
    </row>
    <row r="240" ht="15" customHeight="1">
      <c r="A240" t="inlineStr">
        <is>
          <t>A 40151-2019</t>
        </is>
      </c>
      <c r="B240" s="1" t="n">
        <v>43693</v>
      </c>
      <c r="C240" s="1" t="n">
        <v>45762</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41609-2019</t>
        </is>
      </c>
      <c r="B241" s="1" t="n">
        <v>43696</v>
      </c>
      <c r="C241" s="1" t="n">
        <v>45762</v>
      </c>
      <c r="D241" t="inlineStr">
        <is>
          <t>UPPSALA LÄN</t>
        </is>
      </c>
      <c r="E241" t="inlineStr">
        <is>
          <t>UPPSALA</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41653-2019</t>
        </is>
      </c>
      <c r="B242" s="1" t="n">
        <v>43696</v>
      </c>
      <c r="C242" s="1" t="n">
        <v>45762</v>
      </c>
      <c r="D242" t="inlineStr">
        <is>
          <t>UPPSALA LÄN</t>
        </is>
      </c>
      <c r="E242" t="inlineStr">
        <is>
          <t>UPPSALA</t>
        </is>
      </c>
      <c r="G242" t="n">
        <v>5.2</v>
      </c>
      <c r="H242" t="n">
        <v>0</v>
      </c>
      <c r="I242" t="n">
        <v>0</v>
      </c>
      <c r="J242" t="n">
        <v>0</v>
      </c>
      <c r="K242" t="n">
        <v>0</v>
      </c>
      <c r="L242" t="n">
        <v>0</v>
      </c>
      <c r="M242" t="n">
        <v>0</v>
      </c>
      <c r="N242" t="n">
        <v>0</v>
      </c>
      <c r="O242" t="n">
        <v>0</v>
      </c>
      <c r="P242" t="n">
        <v>0</v>
      </c>
      <c r="Q242" t="n">
        <v>0</v>
      </c>
      <c r="R242" s="2" t="inlineStr"/>
    </row>
    <row r="243" ht="15" customHeight="1">
      <c r="A243" t="inlineStr">
        <is>
          <t>A 41524-2019</t>
        </is>
      </c>
      <c r="B243" s="1" t="n">
        <v>43699</v>
      </c>
      <c r="C243" s="1" t="n">
        <v>45762</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41535-2019</t>
        </is>
      </c>
      <c r="B244" s="1" t="n">
        <v>43699</v>
      </c>
      <c r="C244" s="1" t="n">
        <v>45762</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41695-2019</t>
        </is>
      </c>
      <c r="B245" s="1" t="n">
        <v>43699</v>
      </c>
      <c r="C245" s="1" t="n">
        <v>45762</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42111-2019</t>
        </is>
      </c>
      <c r="B246" s="1" t="n">
        <v>43703</v>
      </c>
      <c r="C246" s="1" t="n">
        <v>45762</v>
      </c>
      <c r="D246" t="inlineStr">
        <is>
          <t>UPPSALA LÄN</t>
        </is>
      </c>
      <c r="E246" t="inlineStr">
        <is>
          <t>UPPSALA</t>
        </is>
      </c>
      <c r="G246" t="n">
        <v>2.7</v>
      </c>
      <c r="H246" t="n">
        <v>0</v>
      </c>
      <c r="I246" t="n">
        <v>0</v>
      </c>
      <c r="J246" t="n">
        <v>0</v>
      </c>
      <c r="K246" t="n">
        <v>0</v>
      </c>
      <c r="L246" t="n">
        <v>0</v>
      </c>
      <c r="M246" t="n">
        <v>0</v>
      </c>
      <c r="N246" t="n">
        <v>0</v>
      </c>
      <c r="O246" t="n">
        <v>0</v>
      </c>
      <c r="P246" t="n">
        <v>0</v>
      </c>
      <c r="Q246" t="n">
        <v>0</v>
      </c>
      <c r="R246" s="2" t="inlineStr"/>
    </row>
    <row r="247" ht="15" customHeight="1">
      <c r="A247" t="inlineStr">
        <is>
          <t>A 42986-2019</t>
        </is>
      </c>
      <c r="B247" s="1" t="n">
        <v>43705</v>
      </c>
      <c r="C247" s="1" t="n">
        <v>45762</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43222-2019</t>
        </is>
      </c>
      <c r="B248" s="1" t="n">
        <v>43706</v>
      </c>
      <c r="C248" s="1" t="n">
        <v>45762</v>
      </c>
      <c r="D248" t="inlineStr">
        <is>
          <t>UPPSALA LÄN</t>
        </is>
      </c>
      <c r="E248" t="inlineStr">
        <is>
          <t>UPPSALA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43410-2019</t>
        </is>
      </c>
      <c r="B249" s="1" t="n">
        <v>43706</v>
      </c>
      <c r="C249" s="1" t="n">
        <v>45762</v>
      </c>
      <c r="D249" t="inlineStr">
        <is>
          <t>UPPSALA LÄN</t>
        </is>
      </c>
      <c r="E249" t="inlineStr">
        <is>
          <t>UPPSALA</t>
        </is>
      </c>
      <c r="F249" t="inlineStr">
        <is>
          <t>Övriga statliga verk och myndigheter</t>
        </is>
      </c>
      <c r="G249" t="n">
        <v>8.6</v>
      </c>
      <c r="H249" t="n">
        <v>0</v>
      </c>
      <c r="I249" t="n">
        <v>0</v>
      </c>
      <c r="J249" t="n">
        <v>0</v>
      </c>
      <c r="K249" t="n">
        <v>0</v>
      </c>
      <c r="L249" t="n">
        <v>0</v>
      </c>
      <c r="M249" t="n">
        <v>0</v>
      </c>
      <c r="N249" t="n">
        <v>0</v>
      </c>
      <c r="O249" t="n">
        <v>0</v>
      </c>
      <c r="P249" t="n">
        <v>0</v>
      </c>
      <c r="Q249" t="n">
        <v>0</v>
      </c>
      <c r="R249" s="2" t="inlineStr"/>
    </row>
    <row r="250" ht="15" customHeight="1">
      <c r="A250" t="inlineStr">
        <is>
          <t>A 43715-2019</t>
        </is>
      </c>
      <c r="B250" s="1" t="n">
        <v>43706</v>
      </c>
      <c r="C250" s="1" t="n">
        <v>45762</v>
      </c>
      <c r="D250" t="inlineStr">
        <is>
          <t>UPPSALA LÄN</t>
        </is>
      </c>
      <c r="E250" t="inlineStr">
        <is>
          <t>UPPSALA</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43224-2019</t>
        </is>
      </c>
      <c r="B251" s="1" t="n">
        <v>43706</v>
      </c>
      <c r="C251" s="1" t="n">
        <v>45762</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43435-2019</t>
        </is>
      </c>
      <c r="B252" s="1" t="n">
        <v>43706</v>
      </c>
      <c r="C252" s="1" t="n">
        <v>45762</v>
      </c>
      <c r="D252" t="inlineStr">
        <is>
          <t>UPPSALA LÄN</t>
        </is>
      </c>
      <c r="E252" t="inlineStr">
        <is>
          <t>UPPSALA</t>
        </is>
      </c>
      <c r="G252" t="n">
        <v>5.4</v>
      </c>
      <c r="H252" t="n">
        <v>0</v>
      </c>
      <c r="I252" t="n">
        <v>0</v>
      </c>
      <c r="J252" t="n">
        <v>0</v>
      </c>
      <c r="K252" t="n">
        <v>0</v>
      </c>
      <c r="L252" t="n">
        <v>0</v>
      </c>
      <c r="M252" t="n">
        <v>0</v>
      </c>
      <c r="N252" t="n">
        <v>0</v>
      </c>
      <c r="O252" t="n">
        <v>0</v>
      </c>
      <c r="P252" t="n">
        <v>0</v>
      </c>
      <c r="Q252" t="n">
        <v>0</v>
      </c>
      <c r="R252" s="2" t="inlineStr"/>
    </row>
    <row r="253" ht="15" customHeight="1">
      <c r="A253" t="inlineStr">
        <is>
          <t>A 43722-2019</t>
        </is>
      </c>
      <c r="B253" s="1" t="n">
        <v>43706</v>
      </c>
      <c r="C253" s="1" t="n">
        <v>45762</v>
      </c>
      <c r="D253" t="inlineStr">
        <is>
          <t>UPPSALA LÄN</t>
        </is>
      </c>
      <c r="E253" t="inlineStr">
        <is>
          <t>UPPSALA</t>
        </is>
      </c>
      <c r="F253" t="inlineStr">
        <is>
          <t>Övriga statliga verk och myndigheter</t>
        </is>
      </c>
      <c r="G253" t="n">
        <v>0.6</v>
      </c>
      <c r="H253" t="n">
        <v>0</v>
      </c>
      <c r="I253" t="n">
        <v>0</v>
      </c>
      <c r="J253" t="n">
        <v>0</v>
      </c>
      <c r="K253" t="n">
        <v>0</v>
      </c>
      <c r="L253" t="n">
        <v>0</v>
      </c>
      <c r="M253" t="n">
        <v>0</v>
      </c>
      <c r="N253" t="n">
        <v>0</v>
      </c>
      <c r="O253" t="n">
        <v>0</v>
      </c>
      <c r="P253" t="n">
        <v>0</v>
      </c>
      <c r="Q253" t="n">
        <v>0</v>
      </c>
      <c r="R253" s="2" t="inlineStr"/>
    </row>
    <row r="254" ht="15" customHeight="1">
      <c r="A254" t="inlineStr">
        <is>
          <t>A 43704-2019</t>
        </is>
      </c>
      <c r="B254" s="1" t="n">
        <v>43707</v>
      </c>
      <c r="C254" s="1" t="n">
        <v>45762</v>
      </c>
      <c r="D254" t="inlineStr">
        <is>
          <t>UPPSALA LÄN</t>
        </is>
      </c>
      <c r="E254" t="inlineStr">
        <is>
          <t>UPPSALA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43725-2019</t>
        </is>
      </c>
      <c r="B255" s="1" t="n">
        <v>43707</v>
      </c>
      <c r="C255" s="1" t="n">
        <v>45762</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44109-2019</t>
        </is>
      </c>
      <c r="B256" s="1" t="n">
        <v>43707</v>
      </c>
      <c r="C256" s="1" t="n">
        <v>45762</v>
      </c>
      <c r="D256" t="inlineStr">
        <is>
          <t>UPPSALA LÄN</t>
        </is>
      </c>
      <c r="E256" t="inlineStr">
        <is>
          <t>UPPSALA</t>
        </is>
      </c>
      <c r="F256" t="inlineStr">
        <is>
          <t>Allmännings- och besparingsskogar</t>
        </is>
      </c>
      <c r="G256" t="n">
        <v>81.3</v>
      </c>
      <c r="H256" t="n">
        <v>0</v>
      </c>
      <c r="I256" t="n">
        <v>0</v>
      </c>
      <c r="J256" t="n">
        <v>0</v>
      </c>
      <c r="K256" t="n">
        <v>0</v>
      </c>
      <c r="L256" t="n">
        <v>0</v>
      </c>
      <c r="M256" t="n">
        <v>0</v>
      </c>
      <c r="N256" t="n">
        <v>0</v>
      </c>
      <c r="O256" t="n">
        <v>0</v>
      </c>
      <c r="P256" t="n">
        <v>0</v>
      </c>
      <c r="Q256" t="n">
        <v>0</v>
      </c>
      <c r="R256" s="2" t="inlineStr"/>
    </row>
    <row r="257" ht="15" customHeight="1">
      <c r="A257" t="inlineStr">
        <is>
          <t>A 43713-2019</t>
        </is>
      </c>
      <c r="B257" s="1" t="n">
        <v>43707</v>
      </c>
      <c r="C257" s="1" t="n">
        <v>45762</v>
      </c>
      <c r="D257" t="inlineStr">
        <is>
          <t>UPPSALA LÄN</t>
        </is>
      </c>
      <c r="E257" t="inlineStr">
        <is>
          <t>UPPSALA</t>
        </is>
      </c>
      <c r="F257" t="inlineStr">
        <is>
          <t>Bergvik skog öst AB</t>
        </is>
      </c>
      <c r="G257" t="n">
        <v>7.9</v>
      </c>
      <c r="H257" t="n">
        <v>0</v>
      </c>
      <c r="I257" t="n">
        <v>0</v>
      </c>
      <c r="J257" t="n">
        <v>0</v>
      </c>
      <c r="K257" t="n">
        <v>0</v>
      </c>
      <c r="L257" t="n">
        <v>0</v>
      </c>
      <c r="M257" t="n">
        <v>0</v>
      </c>
      <c r="N257" t="n">
        <v>0</v>
      </c>
      <c r="O257" t="n">
        <v>0</v>
      </c>
      <c r="P257" t="n">
        <v>0</v>
      </c>
      <c r="Q257" t="n">
        <v>0</v>
      </c>
      <c r="R257" s="2" t="inlineStr"/>
    </row>
    <row r="258" ht="15" customHeight="1">
      <c r="A258" t="inlineStr">
        <is>
          <t>A 43853-2019</t>
        </is>
      </c>
      <c r="B258" s="1" t="n">
        <v>43707</v>
      </c>
      <c r="C258" s="1" t="n">
        <v>45762</v>
      </c>
      <c r="D258" t="inlineStr">
        <is>
          <t>UPPSALA LÄN</t>
        </is>
      </c>
      <c r="E258" t="inlineStr">
        <is>
          <t>UPPSALA</t>
        </is>
      </c>
      <c r="F258" t="inlineStr">
        <is>
          <t>Övriga statliga verk och myndigheter</t>
        </is>
      </c>
      <c r="G258" t="n">
        <v>1.8</v>
      </c>
      <c r="H258" t="n">
        <v>0</v>
      </c>
      <c r="I258" t="n">
        <v>0</v>
      </c>
      <c r="J258" t="n">
        <v>0</v>
      </c>
      <c r="K258" t="n">
        <v>0</v>
      </c>
      <c r="L258" t="n">
        <v>0</v>
      </c>
      <c r="M258" t="n">
        <v>0</v>
      </c>
      <c r="N258" t="n">
        <v>0</v>
      </c>
      <c r="O258" t="n">
        <v>0</v>
      </c>
      <c r="P258" t="n">
        <v>0</v>
      </c>
      <c r="Q258" t="n">
        <v>0</v>
      </c>
      <c r="R258" s="2" t="inlineStr"/>
    </row>
    <row r="259" ht="15" customHeight="1">
      <c r="A259" t="inlineStr">
        <is>
          <t>A 44141-2019</t>
        </is>
      </c>
      <c r="B259" s="1" t="n">
        <v>43710</v>
      </c>
      <c r="C259" s="1" t="n">
        <v>45762</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44701-2019</t>
        </is>
      </c>
      <c r="B260" s="1" t="n">
        <v>43712</v>
      </c>
      <c r="C260" s="1" t="n">
        <v>45762</v>
      </c>
      <c r="D260" t="inlineStr">
        <is>
          <t>UPPSALA LÄN</t>
        </is>
      </c>
      <c r="E260" t="inlineStr">
        <is>
          <t>UPPSALA</t>
        </is>
      </c>
      <c r="G260" t="n">
        <v>3.4</v>
      </c>
      <c r="H260" t="n">
        <v>0</v>
      </c>
      <c r="I260" t="n">
        <v>0</v>
      </c>
      <c r="J260" t="n">
        <v>0</v>
      </c>
      <c r="K260" t="n">
        <v>0</v>
      </c>
      <c r="L260" t="n">
        <v>0</v>
      </c>
      <c r="M260" t="n">
        <v>0</v>
      </c>
      <c r="N260" t="n">
        <v>0</v>
      </c>
      <c r="O260" t="n">
        <v>0</v>
      </c>
      <c r="P260" t="n">
        <v>0</v>
      </c>
      <c r="Q260" t="n">
        <v>0</v>
      </c>
      <c r="R260" s="2" t="inlineStr"/>
    </row>
    <row r="261" ht="15" customHeight="1">
      <c r="A261" t="inlineStr">
        <is>
          <t>A 44687-2019</t>
        </is>
      </c>
      <c r="B261" s="1" t="n">
        <v>43712</v>
      </c>
      <c r="C261" s="1" t="n">
        <v>45762</v>
      </c>
      <c r="D261" t="inlineStr">
        <is>
          <t>UPPSALA LÄN</t>
        </is>
      </c>
      <c r="E261" t="inlineStr">
        <is>
          <t>UPPSALA</t>
        </is>
      </c>
      <c r="G261" t="n">
        <v>3.3</v>
      </c>
      <c r="H261" t="n">
        <v>0</v>
      </c>
      <c r="I261" t="n">
        <v>0</v>
      </c>
      <c r="J261" t="n">
        <v>0</v>
      </c>
      <c r="K261" t="n">
        <v>0</v>
      </c>
      <c r="L261" t="n">
        <v>0</v>
      </c>
      <c r="M261" t="n">
        <v>0</v>
      </c>
      <c r="N261" t="n">
        <v>0</v>
      </c>
      <c r="O261" t="n">
        <v>0</v>
      </c>
      <c r="P261" t="n">
        <v>0</v>
      </c>
      <c r="Q261" t="n">
        <v>0</v>
      </c>
      <c r="R261" s="2" t="inlineStr"/>
    </row>
    <row r="262" ht="15" customHeight="1">
      <c r="A262" t="inlineStr">
        <is>
          <t>A 45010-2019</t>
        </is>
      </c>
      <c r="B262" s="1" t="n">
        <v>43713</v>
      </c>
      <c r="C262" s="1" t="n">
        <v>45762</v>
      </c>
      <c r="D262" t="inlineStr">
        <is>
          <t>UPPSALA LÄN</t>
        </is>
      </c>
      <c r="E262" t="inlineStr">
        <is>
          <t>UPPSALA</t>
        </is>
      </c>
      <c r="G262" t="n">
        <v>1</v>
      </c>
      <c r="H262" t="n">
        <v>0</v>
      </c>
      <c r="I262" t="n">
        <v>0</v>
      </c>
      <c r="J262" t="n">
        <v>0</v>
      </c>
      <c r="K262" t="n">
        <v>0</v>
      </c>
      <c r="L262" t="n">
        <v>0</v>
      </c>
      <c r="M262" t="n">
        <v>0</v>
      </c>
      <c r="N262" t="n">
        <v>0</v>
      </c>
      <c r="O262" t="n">
        <v>0</v>
      </c>
      <c r="P262" t="n">
        <v>0</v>
      </c>
      <c r="Q262" t="n">
        <v>0</v>
      </c>
      <c r="R262" s="2" t="inlineStr"/>
    </row>
    <row r="263" ht="15" customHeight="1">
      <c r="A263" t="inlineStr">
        <is>
          <t>A 45574-2019</t>
        </is>
      </c>
      <c r="B263" s="1" t="n">
        <v>43716</v>
      </c>
      <c r="C263" s="1" t="n">
        <v>45762</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46311-2019</t>
        </is>
      </c>
      <c r="B264" s="1" t="n">
        <v>43718</v>
      </c>
      <c r="C264" s="1" t="n">
        <v>45762</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46307-2019</t>
        </is>
      </c>
      <c r="B265" s="1" t="n">
        <v>43718</v>
      </c>
      <c r="C265" s="1" t="n">
        <v>45762</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46151-2019</t>
        </is>
      </c>
      <c r="B266" s="1" t="n">
        <v>43718</v>
      </c>
      <c r="C266" s="1" t="n">
        <v>45762</v>
      </c>
      <c r="D266" t="inlineStr">
        <is>
          <t>UPPSALA LÄN</t>
        </is>
      </c>
      <c r="E266" t="inlineStr">
        <is>
          <t>UPPSALA</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46157-2019</t>
        </is>
      </c>
      <c r="B267" s="1" t="n">
        <v>43718</v>
      </c>
      <c r="C267" s="1" t="n">
        <v>45762</v>
      </c>
      <c r="D267" t="inlineStr">
        <is>
          <t>UPPSALA LÄN</t>
        </is>
      </c>
      <c r="E267" t="inlineStr">
        <is>
          <t>UPPSALA</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46310-2019</t>
        </is>
      </c>
      <c r="B268" s="1" t="n">
        <v>43718</v>
      </c>
      <c r="C268" s="1" t="n">
        <v>45762</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46147-2019</t>
        </is>
      </c>
      <c r="B269" s="1" t="n">
        <v>43718</v>
      </c>
      <c r="C269" s="1" t="n">
        <v>45762</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46877-2019</t>
        </is>
      </c>
      <c r="B270" s="1" t="n">
        <v>43720</v>
      </c>
      <c r="C270" s="1" t="n">
        <v>45762</v>
      </c>
      <c r="D270" t="inlineStr">
        <is>
          <t>UPPSALA LÄN</t>
        </is>
      </c>
      <c r="E270" t="inlineStr">
        <is>
          <t>UPPSALA</t>
        </is>
      </c>
      <c r="G270" t="n">
        <v>1.9</v>
      </c>
      <c r="H270" t="n">
        <v>0</v>
      </c>
      <c r="I270" t="n">
        <v>0</v>
      </c>
      <c r="J270" t="n">
        <v>0</v>
      </c>
      <c r="K270" t="n">
        <v>0</v>
      </c>
      <c r="L270" t="n">
        <v>0</v>
      </c>
      <c r="M270" t="n">
        <v>0</v>
      </c>
      <c r="N270" t="n">
        <v>0</v>
      </c>
      <c r="O270" t="n">
        <v>0</v>
      </c>
      <c r="P270" t="n">
        <v>0</v>
      </c>
      <c r="Q270" t="n">
        <v>0</v>
      </c>
      <c r="R270" s="2" t="inlineStr"/>
    </row>
    <row r="271" ht="15" customHeight="1">
      <c r="A271" t="inlineStr">
        <is>
          <t>A 46896-2019</t>
        </is>
      </c>
      <c r="B271" s="1" t="n">
        <v>43720</v>
      </c>
      <c r="C271" s="1" t="n">
        <v>45762</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48485-2019</t>
        </is>
      </c>
      <c r="B272" s="1" t="n">
        <v>43727</v>
      </c>
      <c r="C272" s="1" t="n">
        <v>45762</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49567-2019</t>
        </is>
      </c>
      <c r="B273" s="1" t="n">
        <v>43730</v>
      </c>
      <c r="C273" s="1" t="n">
        <v>45762</v>
      </c>
      <c r="D273" t="inlineStr">
        <is>
          <t>UPPSALA LÄN</t>
        </is>
      </c>
      <c r="E273" t="inlineStr">
        <is>
          <t>UPPSALA</t>
        </is>
      </c>
      <c r="G273" t="n">
        <v>6</v>
      </c>
      <c r="H273" t="n">
        <v>0</v>
      </c>
      <c r="I273" t="n">
        <v>0</v>
      </c>
      <c r="J273" t="n">
        <v>0</v>
      </c>
      <c r="K273" t="n">
        <v>0</v>
      </c>
      <c r="L273" t="n">
        <v>0</v>
      </c>
      <c r="M273" t="n">
        <v>0</v>
      </c>
      <c r="N273" t="n">
        <v>0</v>
      </c>
      <c r="O273" t="n">
        <v>0</v>
      </c>
      <c r="P273" t="n">
        <v>0</v>
      </c>
      <c r="Q273" t="n">
        <v>0</v>
      </c>
      <c r="R273" s="2" t="inlineStr"/>
    </row>
    <row r="274" ht="15" customHeight="1">
      <c r="A274" t="inlineStr">
        <is>
          <t>A 50180-2019</t>
        </is>
      </c>
      <c r="B274" s="1" t="n">
        <v>43733</v>
      </c>
      <c r="C274" s="1" t="n">
        <v>45762</v>
      </c>
      <c r="D274" t="inlineStr">
        <is>
          <t>UPPSALA LÄN</t>
        </is>
      </c>
      <c r="E274" t="inlineStr">
        <is>
          <t>UPPSALA</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50387-2019</t>
        </is>
      </c>
      <c r="B275" s="1" t="n">
        <v>43735</v>
      </c>
      <c r="C275" s="1" t="n">
        <v>45762</v>
      </c>
      <c r="D275" t="inlineStr">
        <is>
          <t>UPPSALA LÄN</t>
        </is>
      </c>
      <c r="E275" t="inlineStr">
        <is>
          <t>UPPSALA</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50415-2019</t>
        </is>
      </c>
      <c r="B276" s="1" t="n">
        <v>43735</v>
      </c>
      <c r="C276" s="1" t="n">
        <v>45762</v>
      </c>
      <c r="D276" t="inlineStr">
        <is>
          <t>UPPSALA LÄN</t>
        </is>
      </c>
      <c r="E276" t="inlineStr">
        <is>
          <t>UPPSALA</t>
        </is>
      </c>
      <c r="F276" t="inlineStr">
        <is>
          <t>Kyrkan</t>
        </is>
      </c>
      <c r="G276" t="n">
        <v>13.6</v>
      </c>
      <c r="H276" t="n">
        <v>0</v>
      </c>
      <c r="I276" t="n">
        <v>0</v>
      </c>
      <c r="J276" t="n">
        <v>0</v>
      </c>
      <c r="K276" t="n">
        <v>0</v>
      </c>
      <c r="L276" t="n">
        <v>0</v>
      </c>
      <c r="M276" t="n">
        <v>0</v>
      </c>
      <c r="N276" t="n">
        <v>0</v>
      </c>
      <c r="O276" t="n">
        <v>0</v>
      </c>
      <c r="P276" t="n">
        <v>0</v>
      </c>
      <c r="Q276" t="n">
        <v>0</v>
      </c>
      <c r="R276" s="2" t="inlineStr"/>
    </row>
    <row r="277" ht="15" customHeight="1">
      <c r="A277" t="inlineStr">
        <is>
          <t>A 50616-2019</t>
        </is>
      </c>
      <c r="B277" s="1" t="n">
        <v>43736</v>
      </c>
      <c r="C277" s="1" t="n">
        <v>45762</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52386-2019</t>
        </is>
      </c>
      <c r="B278" s="1" t="n">
        <v>43745</v>
      </c>
      <c r="C278" s="1" t="n">
        <v>45762</v>
      </c>
      <c r="D278" t="inlineStr">
        <is>
          <t>UPPSALA LÄN</t>
        </is>
      </c>
      <c r="E278" t="inlineStr">
        <is>
          <t>UPPSALA</t>
        </is>
      </c>
      <c r="G278" t="n">
        <v>15.7</v>
      </c>
      <c r="H278" t="n">
        <v>0</v>
      </c>
      <c r="I278" t="n">
        <v>0</v>
      </c>
      <c r="J278" t="n">
        <v>0</v>
      </c>
      <c r="K278" t="n">
        <v>0</v>
      </c>
      <c r="L278" t="n">
        <v>0</v>
      </c>
      <c r="M278" t="n">
        <v>0</v>
      </c>
      <c r="N278" t="n">
        <v>0</v>
      </c>
      <c r="O278" t="n">
        <v>0</v>
      </c>
      <c r="P278" t="n">
        <v>0</v>
      </c>
      <c r="Q278" t="n">
        <v>0</v>
      </c>
      <c r="R278" s="2" t="inlineStr"/>
    </row>
    <row r="279" ht="15" customHeight="1">
      <c r="A279" t="inlineStr">
        <is>
          <t>A 52419-2019</t>
        </is>
      </c>
      <c r="B279" s="1" t="n">
        <v>43745</v>
      </c>
      <c r="C279" s="1" t="n">
        <v>45762</v>
      </c>
      <c r="D279" t="inlineStr">
        <is>
          <t>UPPSALA LÄN</t>
        </is>
      </c>
      <c r="E279" t="inlineStr">
        <is>
          <t>UPPSALA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52950-2019</t>
        </is>
      </c>
      <c r="B280" s="1" t="n">
        <v>43747</v>
      </c>
      <c r="C280" s="1" t="n">
        <v>45762</v>
      </c>
      <c r="D280" t="inlineStr">
        <is>
          <t>UPPSALA LÄN</t>
        </is>
      </c>
      <c r="E280" t="inlineStr">
        <is>
          <t>UPPSALA</t>
        </is>
      </c>
      <c r="G280" t="n">
        <v>0.2</v>
      </c>
      <c r="H280" t="n">
        <v>0</v>
      </c>
      <c r="I280" t="n">
        <v>0</v>
      </c>
      <c r="J280" t="n">
        <v>0</v>
      </c>
      <c r="K280" t="n">
        <v>0</v>
      </c>
      <c r="L280" t="n">
        <v>0</v>
      </c>
      <c r="M280" t="n">
        <v>0</v>
      </c>
      <c r="N280" t="n">
        <v>0</v>
      </c>
      <c r="O280" t="n">
        <v>0</v>
      </c>
      <c r="P280" t="n">
        <v>0</v>
      </c>
      <c r="Q280" t="n">
        <v>0</v>
      </c>
      <c r="R280" s="2" t="inlineStr"/>
    </row>
    <row r="281" ht="15" customHeight="1">
      <c r="A281" t="inlineStr">
        <is>
          <t>A 53303-2019</t>
        </is>
      </c>
      <c r="B281" s="1" t="n">
        <v>43747</v>
      </c>
      <c r="C281" s="1" t="n">
        <v>45762</v>
      </c>
      <c r="D281" t="inlineStr">
        <is>
          <t>UPPSALA LÄN</t>
        </is>
      </c>
      <c r="E281" t="inlineStr">
        <is>
          <t>UPPSALA</t>
        </is>
      </c>
      <c r="F281" t="inlineStr">
        <is>
          <t>Allmännings- och besparingsskogar</t>
        </is>
      </c>
      <c r="G281" t="n">
        <v>17.5</v>
      </c>
      <c r="H281" t="n">
        <v>0</v>
      </c>
      <c r="I281" t="n">
        <v>0</v>
      </c>
      <c r="J281" t="n">
        <v>0</v>
      </c>
      <c r="K281" t="n">
        <v>0</v>
      </c>
      <c r="L281" t="n">
        <v>0</v>
      </c>
      <c r="M281" t="n">
        <v>0</v>
      </c>
      <c r="N281" t="n">
        <v>0</v>
      </c>
      <c r="O281" t="n">
        <v>0</v>
      </c>
      <c r="P281" t="n">
        <v>0</v>
      </c>
      <c r="Q281" t="n">
        <v>0</v>
      </c>
      <c r="R281" s="2" t="inlineStr"/>
    </row>
    <row r="282" ht="15" customHeight="1">
      <c r="A282" t="inlineStr">
        <is>
          <t>A 53316-2019</t>
        </is>
      </c>
      <c r="B282" s="1" t="n">
        <v>43748</v>
      </c>
      <c r="C282" s="1" t="n">
        <v>45762</v>
      </c>
      <c r="D282" t="inlineStr">
        <is>
          <t>UPPSALA LÄN</t>
        </is>
      </c>
      <c r="E282" t="inlineStr">
        <is>
          <t>UPPSALA</t>
        </is>
      </c>
      <c r="G282" t="n">
        <v>2.3</v>
      </c>
      <c r="H282" t="n">
        <v>0</v>
      </c>
      <c r="I282" t="n">
        <v>0</v>
      </c>
      <c r="J282" t="n">
        <v>0</v>
      </c>
      <c r="K282" t="n">
        <v>0</v>
      </c>
      <c r="L282" t="n">
        <v>0</v>
      </c>
      <c r="M282" t="n">
        <v>0</v>
      </c>
      <c r="N282" t="n">
        <v>0</v>
      </c>
      <c r="O282" t="n">
        <v>0</v>
      </c>
      <c r="P282" t="n">
        <v>0</v>
      </c>
      <c r="Q282" t="n">
        <v>0</v>
      </c>
      <c r="R282" s="2" t="inlineStr"/>
    </row>
    <row r="283" ht="15" customHeight="1">
      <c r="A283" t="inlineStr">
        <is>
          <t>A 54757-2019</t>
        </is>
      </c>
      <c r="B283" s="1" t="n">
        <v>43755</v>
      </c>
      <c r="C283" s="1" t="n">
        <v>45762</v>
      </c>
      <c r="D283" t="inlineStr">
        <is>
          <t>UPPSALA LÄN</t>
        </is>
      </c>
      <c r="E283" t="inlineStr">
        <is>
          <t>UPPSALA</t>
        </is>
      </c>
      <c r="F283" t="inlineStr">
        <is>
          <t>Övriga statliga verk och myndigheter</t>
        </is>
      </c>
      <c r="G283" t="n">
        <v>1.5</v>
      </c>
      <c r="H283" t="n">
        <v>0</v>
      </c>
      <c r="I283" t="n">
        <v>0</v>
      </c>
      <c r="J283" t="n">
        <v>0</v>
      </c>
      <c r="K283" t="n">
        <v>0</v>
      </c>
      <c r="L283" t="n">
        <v>0</v>
      </c>
      <c r="M283" t="n">
        <v>0</v>
      </c>
      <c r="N283" t="n">
        <v>0</v>
      </c>
      <c r="O283" t="n">
        <v>0</v>
      </c>
      <c r="P283" t="n">
        <v>0</v>
      </c>
      <c r="Q283" t="n">
        <v>0</v>
      </c>
      <c r="R283" s="2" t="inlineStr"/>
    </row>
    <row r="284" ht="15" customHeight="1">
      <c r="A284" t="inlineStr">
        <is>
          <t>A 56041-2019</t>
        </is>
      </c>
      <c r="B284" s="1" t="n">
        <v>43759</v>
      </c>
      <c r="C284" s="1" t="n">
        <v>45762</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56634-2019</t>
        </is>
      </c>
      <c r="B285" s="1" t="n">
        <v>43763</v>
      </c>
      <c r="C285" s="1" t="n">
        <v>45762</v>
      </c>
      <c r="D285" t="inlineStr">
        <is>
          <t>UPPSALA LÄN</t>
        </is>
      </c>
      <c r="E285" t="inlineStr">
        <is>
          <t>UPPSALA</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58445-2019</t>
        </is>
      </c>
      <c r="B286" s="1" t="n">
        <v>43773</v>
      </c>
      <c r="C286" s="1" t="n">
        <v>45762</v>
      </c>
      <c r="D286" t="inlineStr">
        <is>
          <t>UPPSALA LÄN</t>
        </is>
      </c>
      <c r="E286" t="inlineStr">
        <is>
          <t>UPPSALA</t>
        </is>
      </c>
      <c r="G286" t="n">
        <v>5</v>
      </c>
      <c r="H286" t="n">
        <v>0</v>
      </c>
      <c r="I286" t="n">
        <v>0</v>
      </c>
      <c r="J286" t="n">
        <v>0</v>
      </c>
      <c r="K286" t="n">
        <v>0</v>
      </c>
      <c r="L286" t="n">
        <v>0</v>
      </c>
      <c r="M286" t="n">
        <v>0</v>
      </c>
      <c r="N286" t="n">
        <v>0</v>
      </c>
      <c r="O286" t="n">
        <v>0</v>
      </c>
      <c r="P286" t="n">
        <v>0</v>
      </c>
      <c r="Q286" t="n">
        <v>0</v>
      </c>
      <c r="R286" s="2" t="inlineStr"/>
    </row>
    <row r="287" ht="15" customHeight="1">
      <c r="A287" t="inlineStr">
        <is>
          <t>A 58527-2019</t>
        </is>
      </c>
      <c r="B287" s="1" t="n">
        <v>43773</v>
      </c>
      <c r="C287" s="1" t="n">
        <v>45762</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58903-2019</t>
        </is>
      </c>
      <c r="B288" s="1" t="n">
        <v>43773</v>
      </c>
      <c r="C288" s="1" t="n">
        <v>45762</v>
      </c>
      <c r="D288" t="inlineStr">
        <is>
          <t>UPPSALA LÄN</t>
        </is>
      </c>
      <c r="E288" t="inlineStr">
        <is>
          <t>UPPSALA</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60011-2019</t>
        </is>
      </c>
      <c r="B289" s="1" t="n">
        <v>43777</v>
      </c>
      <c r="C289" s="1" t="n">
        <v>45762</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60159-2019</t>
        </is>
      </c>
      <c r="B290" s="1" t="n">
        <v>43777</v>
      </c>
      <c r="C290" s="1" t="n">
        <v>45762</v>
      </c>
      <c r="D290" t="inlineStr">
        <is>
          <t>UPPSALA LÄN</t>
        </is>
      </c>
      <c r="E290" t="inlineStr">
        <is>
          <t>UPPSALA</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60163-2019</t>
        </is>
      </c>
      <c r="B291" s="1" t="n">
        <v>43780</v>
      </c>
      <c r="C291" s="1" t="n">
        <v>45762</v>
      </c>
      <c r="D291" t="inlineStr">
        <is>
          <t>UPPSALA LÄN</t>
        </is>
      </c>
      <c r="E291" t="inlineStr">
        <is>
          <t>UPPSALA</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60579-2019</t>
        </is>
      </c>
      <c r="B292" s="1" t="n">
        <v>43780</v>
      </c>
      <c r="C292" s="1" t="n">
        <v>45762</v>
      </c>
      <c r="D292" t="inlineStr">
        <is>
          <t>UPPSALA LÄN</t>
        </is>
      </c>
      <c r="E292" t="inlineStr">
        <is>
          <t>UPPSALA</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62308-2019</t>
        </is>
      </c>
      <c r="B293" s="1" t="n">
        <v>43782</v>
      </c>
      <c r="C293" s="1" t="n">
        <v>45762</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61667-2019</t>
        </is>
      </c>
      <c r="B294" s="1" t="n">
        <v>43784</v>
      </c>
      <c r="C294" s="1" t="n">
        <v>45762</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63145-2019</t>
        </is>
      </c>
      <c r="B295" s="1" t="n">
        <v>43791</v>
      </c>
      <c r="C295" s="1" t="n">
        <v>45762</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63091-2019</t>
        </is>
      </c>
      <c r="B296" s="1" t="n">
        <v>43791</v>
      </c>
      <c r="C296" s="1" t="n">
        <v>45762</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63099-2019</t>
        </is>
      </c>
      <c r="B297" s="1" t="n">
        <v>43791</v>
      </c>
      <c r="C297" s="1" t="n">
        <v>45762</v>
      </c>
      <c r="D297" t="inlineStr">
        <is>
          <t>UPPSALA LÄN</t>
        </is>
      </c>
      <c r="E297" t="inlineStr">
        <is>
          <t>UPPSALA</t>
        </is>
      </c>
      <c r="G297" t="n">
        <v>4.4</v>
      </c>
      <c r="H297" t="n">
        <v>0</v>
      </c>
      <c r="I297" t="n">
        <v>0</v>
      </c>
      <c r="J297" t="n">
        <v>0</v>
      </c>
      <c r="K297" t="n">
        <v>0</v>
      </c>
      <c r="L297" t="n">
        <v>0</v>
      </c>
      <c r="M297" t="n">
        <v>0</v>
      </c>
      <c r="N297" t="n">
        <v>0</v>
      </c>
      <c r="O297" t="n">
        <v>0</v>
      </c>
      <c r="P297" t="n">
        <v>0</v>
      </c>
      <c r="Q297" t="n">
        <v>0</v>
      </c>
      <c r="R297" s="2" t="inlineStr"/>
    </row>
    <row r="298" ht="15" customHeight="1">
      <c r="A298" t="inlineStr">
        <is>
          <t>A 63118-2019</t>
        </is>
      </c>
      <c r="B298" s="1" t="n">
        <v>43791</v>
      </c>
      <c r="C298" s="1" t="n">
        <v>45762</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63589-2019</t>
        </is>
      </c>
      <c r="B299" s="1" t="n">
        <v>43795</v>
      </c>
      <c r="C299" s="1" t="n">
        <v>45762</v>
      </c>
      <c r="D299" t="inlineStr">
        <is>
          <t>UPPSALA LÄN</t>
        </is>
      </c>
      <c r="E299" t="inlineStr">
        <is>
          <t>UPPSALA</t>
        </is>
      </c>
      <c r="G299" t="n">
        <v>3.8</v>
      </c>
      <c r="H299" t="n">
        <v>0</v>
      </c>
      <c r="I299" t="n">
        <v>0</v>
      </c>
      <c r="J299" t="n">
        <v>0</v>
      </c>
      <c r="K299" t="n">
        <v>0</v>
      </c>
      <c r="L299" t="n">
        <v>0</v>
      </c>
      <c r="M299" t="n">
        <v>0</v>
      </c>
      <c r="N299" t="n">
        <v>0</v>
      </c>
      <c r="O299" t="n">
        <v>0</v>
      </c>
      <c r="P299" t="n">
        <v>0</v>
      </c>
      <c r="Q299" t="n">
        <v>0</v>
      </c>
      <c r="R299" s="2" t="inlineStr"/>
    </row>
    <row r="300" ht="15" customHeight="1">
      <c r="A300" t="inlineStr">
        <is>
          <t>A 63757-2019</t>
        </is>
      </c>
      <c r="B300" s="1" t="n">
        <v>43795</v>
      </c>
      <c r="C300" s="1" t="n">
        <v>45762</v>
      </c>
      <c r="D300" t="inlineStr">
        <is>
          <t>UPPSALA LÄN</t>
        </is>
      </c>
      <c r="E300" t="inlineStr">
        <is>
          <t>UPPSALA</t>
        </is>
      </c>
      <c r="G300" t="n">
        <v>6.9</v>
      </c>
      <c r="H300" t="n">
        <v>0</v>
      </c>
      <c r="I300" t="n">
        <v>0</v>
      </c>
      <c r="J300" t="n">
        <v>0</v>
      </c>
      <c r="K300" t="n">
        <v>0</v>
      </c>
      <c r="L300" t="n">
        <v>0</v>
      </c>
      <c r="M300" t="n">
        <v>0</v>
      </c>
      <c r="N300" t="n">
        <v>0</v>
      </c>
      <c r="O300" t="n">
        <v>0</v>
      </c>
      <c r="P300" t="n">
        <v>0</v>
      </c>
      <c r="Q300" t="n">
        <v>0</v>
      </c>
      <c r="R300" s="2" t="inlineStr"/>
    </row>
    <row r="301" ht="15" customHeight="1">
      <c r="A301" t="inlineStr">
        <is>
          <t>A 63756-2019</t>
        </is>
      </c>
      <c r="B301" s="1" t="n">
        <v>43795</v>
      </c>
      <c r="C301" s="1" t="n">
        <v>45762</v>
      </c>
      <c r="D301" t="inlineStr">
        <is>
          <t>UPPSALA LÄN</t>
        </is>
      </c>
      <c r="E301" t="inlineStr">
        <is>
          <t>UPPSALA</t>
        </is>
      </c>
      <c r="G301" t="n">
        <v>6.5</v>
      </c>
      <c r="H301" t="n">
        <v>0</v>
      </c>
      <c r="I301" t="n">
        <v>0</v>
      </c>
      <c r="J301" t="n">
        <v>0</v>
      </c>
      <c r="K301" t="n">
        <v>0</v>
      </c>
      <c r="L301" t="n">
        <v>0</v>
      </c>
      <c r="M301" t="n">
        <v>0</v>
      </c>
      <c r="N301" t="n">
        <v>0</v>
      </c>
      <c r="O301" t="n">
        <v>0</v>
      </c>
      <c r="P301" t="n">
        <v>0</v>
      </c>
      <c r="Q301" t="n">
        <v>0</v>
      </c>
      <c r="R301" s="2" t="inlineStr"/>
    </row>
    <row r="302" ht="15" customHeight="1">
      <c r="A302" t="inlineStr">
        <is>
          <t>A 64836-2019</t>
        </is>
      </c>
      <c r="B302" s="1" t="n">
        <v>43801</v>
      </c>
      <c r="C302" s="1" t="n">
        <v>45762</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64834-2019</t>
        </is>
      </c>
      <c r="B303" s="1" t="n">
        <v>43801</v>
      </c>
      <c r="C303" s="1" t="n">
        <v>45762</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65527-2019</t>
        </is>
      </c>
      <c r="B304" s="1" t="n">
        <v>43803</v>
      </c>
      <c r="C304" s="1" t="n">
        <v>45762</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65668-2019</t>
        </is>
      </c>
      <c r="B305" s="1" t="n">
        <v>43804</v>
      </c>
      <c r="C305" s="1" t="n">
        <v>45762</v>
      </c>
      <c r="D305" t="inlineStr">
        <is>
          <t>UPPSALA LÄN</t>
        </is>
      </c>
      <c r="E305" t="inlineStr">
        <is>
          <t>UPPSALA</t>
        </is>
      </c>
      <c r="G305" t="n">
        <v>7.6</v>
      </c>
      <c r="H305" t="n">
        <v>0</v>
      </c>
      <c r="I305" t="n">
        <v>0</v>
      </c>
      <c r="J305" t="n">
        <v>0</v>
      </c>
      <c r="K305" t="n">
        <v>0</v>
      </c>
      <c r="L305" t="n">
        <v>0</v>
      </c>
      <c r="M305" t="n">
        <v>0</v>
      </c>
      <c r="N305" t="n">
        <v>0</v>
      </c>
      <c r="O305" t="n">
        <v>0</v>
      </c>
      <c r="P305" t="n">
        <v>0</v>
      </c>
      <c r="Q305" t="n">
        <v>0</v>
      </c>
      <c r="R305" s="2" t="inlineStr"/>
    </row>
    <row r="306" ht="15" customHeight="1">
      <c r="A306" t="inlineStr">
        <is>
          <t>A 66167-2019</t>
        </is>
      </c>
      <c r="B306" s="1" t="n">
        <v>43808</v>
      </c>
      <c r="C306" s="1" t="n">
        <v>45762</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66270-2019</t>
        </is>
      </c>
      <c r="B307" s="1" t="n">
        <v>43808</v>
      </c>
      <c r="C307" s="1" t="n">
        <v>45762</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67108-2019</t>
        </is>
      </c>
      <c r="B308" s="1" t="n">
        <v>43811</v>
      </c>
      <c r="C308" s="1" t="n">
        <v>45762</v>
      </c>
      <c r="D308" t="inlineStr">
        <is>
          <t>UPPSALA LÄN</t>
        </is>
      </c>
      <c r="E308" t="inlineStr">
        <is>
          <t>UPPSALA</t>
        </is>
      </c>
      <c r="G308" t="n">
        <v>2.7</v>
      </c>
      <c r="H308" t="n">
        <v>0</v>
      </c>
      <c r="I308" t="n">
        <v>0</v>
      </c>
      <c r="J308" t="n">
        <v>0</v>
      </c>
      <c r="K308" t="n">
        <v>0</v>
      </c>
      <c r="L308" t="n">
        <v>0</v>
      </c>
      <c r="M308" t="n">
        <v>0</v>
      </c>
      <c r="N308" t="n">
        <v>0</v>
      </c>
      <c r="O308" t="n">
        <v>0</v>
      </c>
      <c r="P308" t="n">
        <v>0</v>
      </c>
      <c r="Q308" t="n">
        <v>0</v>
      </c>
      <c r="R308" s="2" t="inlineStr"/>
    </row>
    <row r="309" ht="15" customHeight="1">
      <c r="A309" t="inlineStr">
        <is>
          <t>A 67281-2019</t>
        </is>
      </c>
      <c r="B309" s="1" t="n">
        <v>43812</v>
      </c>
      <c r="C309" s="1" t="n">
        <v>45762</v>
      </c>
      <c r="D309" t="inlineStr">
        <is>
          <t>UPPSALA LÄN</t>
        </is>
      </c>
      <c r="E309" t="inlineStr">
        <is>
          <t>UPPSALA</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67508-2019</t>
        </is>
      </c>
      <c r="B310" s="1" t="n">
        <v>43814</v>
      </c>
      <c r="C310" s="1" t="n">
        <v>45762</v>
      </c>
      <c r="D310" t="inlineStr">
        <is>
          <t>UPPSALA LÄN</t>
        </is>
      </c>
      <c r="E310" t="inlineStr">
        <is>
          <t>UPPSALA</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67504-2019</t>
        </is>
      </c>
      <c r="B311" s="1" t="n">
        <v>43814</v>
      </c>
      <c r="C311" s="1" t="n">
        <v>45762</v>
      </c>
      <c r="D311" t="inlineStr">
        <is>
          <t>UPPSALA LÄN</t>
        </is>
      </c>
      <c r="E311" t="inlineStr">
        <is>
          <t>UPPSALA</t>
        </is>
      </c>
      <c r="F311" t="inlineStr">
        <is>
          <t>Allmännings- och besparingsskogar</t>
        </is>
      </c>
      <c r="G311" t="n">
        <v>21.9</v>
      </c>
      <c r="H311" t="n">
        <v>0</v>
      </c>
      <c r="I311" t="n">
        <v>0</v>
      </c>
      <c r="J311" t="n">
        <v>0</v>
      </c>
      <c r="K311" t="n">
        <v>0</v>
      </c>
      <c r="L311" t="n">
        <v>0</v>
      </c>
      <c r="M311" t="n">
        <v>0</v>
      </c>
      <c r="N311" t="n">
        <v>0</v>
      </c>
      <c r="O311" t="n">
        <v>0</v>
      </c>
      <c r="P311" t="n">
        <v>0</v>
      </c>
      <c r="Q311" t="n">
        <v>0</v>
      </c>
      <c r="R311" s="2" t="inlineStr"/>
    </row>
    <row r="312" ht="15" customHeight="1">
      <c r="A312" t="inlineStr">
        <is>
          <t>A 67720-2019</t>
        </is>
      </c>
      <c r="B312" s="1" t="n">
        <v>43815</v>
      </c>
      <c r="C312" s="1" t="n">
        <v>45762</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67592-2019</t>
        </is>
      </c>
      <c r="B313" s="1" t="n">
        <v>43815</v>
      </c>
      <c r="C313" s="1" t="n">
        <v>45762</v>
      </c>
      <c r="D313" t="inlineStr">
        <is>
          <t>UPPSALA LÄN</t>
        </is>
      </c>
      <c r="E313" t="inlineStr">
        <is>
          <t>UPPSALA</t>
        </is>
      </c>
      <c r="F313" t="inlineStr">
        <is>
          <t>Övriga statliga verk och myndigheter</t>
        </is>
      </c>
      <c r="G313" t="n">
        <v>0.8</v>
      </c>
      <c r="H313" t="n">
        <v>0</v>
      </c>
      <c r="I313" t="n">
        <v>0</v>
      </c>
      <c r="J313" t="n">
        <v>0</v>
      </c>
      <c r="K313" t="n">
        <v>0</v>
      </c>
      <c r="L313" t="n">
        <v>0</v>
      </c>
      <c r="M313" t="n">
        <v>0</v>
      </c>
      <c r="N313" t="n">
        <v>0</v>
      </c>
      <c r="O313" t="n">
        <v>0</v>
      </c>
      <c r="P313" t="n">
        <v>0</v>
      </c>
      <c r="Q313" t="n">
        <v>0</v>
      </c>
      <c r="R313" s="2" t="inlineStr"/>
    </row>
    <row r="314" ht="15" customHeight="1">
      <c r="A314" t="inlineStr">
        <is>
          <t>A 68264-2019</t>
        </is>
      </c>
      <c r="B314" s="1" t="n">
        <v>43817</v>
      </c>
      <c r="C314" s="1" t="n">
        <v>45762</v>
      </c>
      <c r="D314" t="inlineStr">
        <is>
          <t>UPPSALA LÄN</t>
        </is>
      </c>
      <c r="E314" t="inlineStr">
        <is>
          <t>UPPSALA</t>
        </is>
      </c>
      <c r="G314" t="n">
        <v>2.9</v>
      </c>
      <c r="H314" t="n">
        <v>0</v>
      </c>
      <c r="I314" t="n">
        <v>0</v>
      </c>
      <c r="J314" t="n">
        <v>0</v>
      </c>
      <c r="K314" t="n">
        <v>0</v>
      </c>
      <c r="L314" t="n">
        <v>0</v>
      </c>
      <c r="M314" t="n">
        <v>0</v>
      </c>
      <c r="N314" t="n">
        <v>0</v>
      </c>
      <c r="O314" t="n">
        <v>0</v>
      </c>
      <c r="P314" t="n">
        <v>0</v>
      </c>
      <c r="Q314" t="n">
        <v>0</v>
      </c>
      <c r="R314" s="2" t="inlineStr"/>
    </row>
    <row r="315" ht="15" customHeight="1">
      <c r="A315" t="inlineStr">
        <is>
          <t>A 68265-2019</t>
        </is>
      </c>
      <c r="B315" s="1" t="n">
        <v>43817</v>
      </c>
      <c r="C315" s="1" t="n">
        <v>45762</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68317-2019</t>
        </is>
      </c>
      <c r="B316" s="1" t="n">
        <v>43818</v>
      </c>
      <c r="C316" s="1" t="n">
        <v>45762</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68316-2019</t>
        </is>
      </c>
      <c r="B317" s="1" t="n">
        <v>43818</v>
      </c>
      <c r="C317" s="1" t="n">
        <v>45762</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68908-2019</t>
        </is>
      </c>
      <c r="B318" s="1" t="n">
        <v>43822</v>
      </c>
      <c r="C318" s="1" t="n">
        <v>45762</v>
      </c>
      <c r="D318" t="inlineStr">
        <is>
          <t>UPPSALA LÄN</t>
        </is>
      </c>
      <c r="E318" t="inlineStr">
        <is>
          <t>UPPSALA</t>
        </is>
      </c>
      <c r="G318" t="n">
        <v>4</v>
      </c>
      <c r="H318" t="n">
        <v>0</v>
      </c>
      <c r="I318" t="n">
        <v>0</v>
      </c>
      <c r="J318" t="n">
        <v>0</v>
      </c>
      <c r="K318" t="n">
        <v>0</v>
      </c>
      <c r="L318" t="n">
        <v>0</v>
      </c>
      <c r="M318" t="n">
        <v>0</v>
      </c>
      <c r="N318" t="n">
        <v>0</v>
      </c>
      <c r="O318" t="n">
        <v>0</v>
      </c>
      <c r="P318" t="n">
        <v>0</v>
      </c>
      <c r="Q318" t="n">
        <v>0</v>
      </c>
      <c r="R318" s="2" t="inlineStr"/>
    </row>
    <row r="319" ht="15" customHeight="1">
      <c r="A319" t="inlineStr">
        <is>
          <t>A 529-2020</t>
        </is>
      </c>
      <c r="B319" s="1" t="n">
        <v>43837</v>
      </c>
      <c r="C319" s="1" t="n">
        <v>45762</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1891-2020</t>
        </is>
      </c>
      <c r="B320" s="1" t="n">
        <v>43837</v>
      </c>
      <c r="C320" s="1" t="n">
        <v>45762</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701-2020</t>
        </is>
      </c>
      <c r="B321" s="1" t="n">
        <v>43838</v>
      </c>
      <c r="C321" s="1" t="n">
        <v>45762</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1171-2020</t>
        </is>
      </c>
      <c r="B322" s="1" t="n">
        <v>43840</v>
      </c>
      <c r="C322" s="1" t="n">
        <v>45762</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1688-2020</t>
        </is>
      </c>
      <c r="B323" s="1" t="n">
        <v>43844</v>
      </c>
      <c r="C323" s="1" t="n">
        <v>45762</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2162-2020</t>
        </is>
      </c>
      <c r="B324" s="1" t="n">
        <v>43846</v>
      </c>
      <c r="C324" s="1" t="n">
        <v>45762</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2895-2020</t>
        </is>
      </c>
      <c r="B325" s="1" t="n">
        <v>43850</v>
      </c>
      <c r="C325" s="1" t="n">
        <v>45762</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3693-2020</t>
        </is>
      </c>
      <c r="B326" s="1" t="n">
        <v>43853</v>
      </c>
      <c r="C326" s="1" t="n">
        <v>45762</v>
      </c>
      <c r="D326" t="inlineStr">
        <is>
          <t>UPPSALA LÄN</t>
        </is>
      </c>
      <c r="E326" t="inlineStr">
        <is>
          <t>UPPSALA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3516-2020</t>
        </is>
      </c>
      <c r="B327" s="1" t="n">
        <v>43853</v>
      </c>
      <c r="C327" s="1" t="n">
        <v>45762</v>
      </c>
      <c r="D327" t="inlineStr">
        <is>
          <t>UPPSALA LÄN</t>
        </is>
      </c>
      <c r="E327" t="inlineStr">
        <is>
          <t>UPPSALA</t>
        </is>
      </c>
      <c r="G327" t="n">
        <v>9.4</v>
      </c>
      <c r="H327" t="n">
        <v>0</v>
      </c>
      <c r="I327" t="n">
        <v>0</v>
      </c>
      <c r="J327" t="n">
        <v>0</v>
      </c>
      <c r="K327" t="n">
        <v>0</v>
      </c>
      <c r="L327" t="n">
        <v>0</v>
      </c>
      <c r="M327" t="n">
        <v>0</v>
      </c>
      <c r="N327" t="n">
        <v>0</v>
      </c>
      <c r="O327" t="n">
        <v>0</v>
      </c>
      <c r="P327" t="n">
        <v>0</v>
      </c>
      <c r="Q327" t="n">
        <v>0</v>
      </c>
      <c r="R327" s="2" t="inlineStr"/>
    </row>
    <row r="328" ht="15" customHeight="1">
      <c r="A328" t="inlineStr">
        <is>
          <t>A 6313-2020</t>
        </is>
      </c>
      <c r="B328" s="1" t="n">
        <v>43866</v>
      </c>
      <c r="C328" s="1" t="n">
        <v>45762</v>
      </c>
      <c r="D328" t="inlineStr">
        <is>
          <t>UPPSALA LÄN</t>
        </is>
      </c>
      <c r="E328" t="inlineStr">
        <is>
          <t>UPPSALA</t>
        </is>
      </c>
      <c r="F328" t="inlineStr">
        <is>
          <t>Övriga statliga verk och myndigheter</t>
        </is>
      </c>
      <c r="G328" t="n">
        <v>3.4</v>
      </c>
      <c r="H328" t="n">
        <v>0</v>
      </c>
      <c r="I328" t="n">
        <v>0</v>
      </c>
      <c r="J328" t="n">
        <v>0</v>
      </c>
      <c r="K328" t="n">
        <v>0</v>
      </c>
      <c r="L328" t="n">
        <v>0</v>
      </c>
      <c r="M328" t="n">
        <v>0</v>
      </c>
      <c r="N328" t="n">
        <v>0</v>
      </c>
      <c r="O328" t="n">
        <v>0</v>
      </c>
      <c r="P328" t="n">
        <v>0</v>
      </c>
      <c r="Q328" t="n">
        <v>0</v>
      </c>
      <c r="R328" s="2" t="inlineStr"/>
    </row>
    <row r="329" ht="15" customHeight="1">
      <c r="A329" t="inlineStr">
        <is>
          <t>A 6315-2020</t>
        </is>
      </c>
      <c r="B329" s="1" t="n">
        <v>43866</v>
      </c>
      <c r="C329" s="1" t="n">
        <v>45762</v>
      </c>
      <c r="D329" t="inlineStr">
        <is>
          <t>UPPSALA LÄN</t>
        </is>
      </c>
      <c r="E329" t="inlineStr">
        <is>
          <t>UPPSALA</t>
        </is>
      </c>
      <c r="F329" t="inlineStr">
        <is>
          <t>Övriga statliga verk och myndigheter</t>
        </is>
      </c>
      <c r="G329" t="n">
        <v>1.9</v>
      </c>
      <c r="H329" t="n">
        <v>0</v>
      </c>
      <c r="I329" t="n">
        <v>0</v>
      </c>
      <c r="J329" t="n">
        <v>0</v>
      </c>
      <c r="K329" t="n">
        <v>0</v>
      </c>
      <c r="L329" t="n">
        <v>0</v>
      </c>
      <c r="M329" t="n">
        <v>0</v>
      </c>
      <c r="N329" t="n">
        <v>0</v>
      </c>
      <c r="O329" t="n">
        <v>0</v>
      </c>
      <c r="P329" t="n">
        <v>0</v>
      </c>
      <c r="Q329" t="n">
        <v>0</v>
      </c>
      <c r="R329" s="2" t="inlineStr"/>
    </row>
    <row r="330" ht="15" customHeight="1">
      <c r="A330" t="inlineStr">
        <is>
          <t>A 6655-2020</t>
        </is>
      </c>
      <c r="B330" s="1" t="n">
        <v>43867</v>
      </c>
      <c r="C330" s="1" t="n">
        <v>45762</v>
      </c>
      <c r="D330" t="inlineStr">
        <is>
          <t>UPPSALA LÄN</t>
        </is>
      </c>
      <c r="E330" t="inlineStr">
        <is>
          <t>UPPSALA</t>
        </is>
      </c>
      <c r="G330" t="n">
        <v>7.3</v>
      </c>
      <c r="H330" t="n">
        <v>0</v>
      </c>
      <c r="I330" t="n">
        <v>0</v>
      </c>
      <c r="J330" t="n">
        <v>0</v>
      </c>
      <c r="K330" t="n">
        <v>0</v>
      </c>
      <c r="L330" t="n">
        <v>0</v>
      </c>
      <c r="M330" t="n">
        <v>0</v>
      </c>
      <c r="N330" t="n">
        <v>0</v>
      </c>
      <c r="O330" t="n">
        <v>0</v>
      </c>
      <c r="P330" t="n">
        <v>0</v>
      </c>
      <c r="Q330" t="n">
        <v>0</v>
      </c>
      <c r="R330" s="2" t="inlineStr"/>
    </row>
    <row r="331" ht="15" customHeight="1">
      <c r="A331" t="inlineStr">
        <is>
          <t>A 8261-2020</t>
        </is>
      </c>
      <c r="B331" s="1" t="n">
        <v>43874</v>
      </c>
      <c r="C331" s="1" t="n">
        <v>45762</v>
      </c>
      <c r="D331" t="inlineStr">
        <is>
          <t>UPPSALA LÄN</t>
        </is>
      </c>
      <c r="E331" t="inlineStr">
        <is>
          <t>UPPSALA</t>
        </is>
      </c>
      <c r="G331" t="n">
        <v>5.1</v>
      </c>
      <c r="H331" t="n">
        <v>0</v>
      </c>
      <c r="I331" t="n">
        <v>0</v>
      </c>
      <c r="J331" t="n">
        <v>0</v>
      </c>
      <c r="K331" t="n">
        <v>0</v>
      </c>
      <c r="L331" t="n">
        <v>0</v>
      </c>
      <c r="M331" t="n">
        <v>0</v>
      </c>
      <c r="N331" t="n">
        <v>0</v>
      </c>
      <c r="O331" t="n">
        <v>0</v>
      </c>
      <c r="P331" t="n">
        <v>0</v>
      </c>
      <c r="Q331" t="n">
        <v>0</v>
      </c>
      <c r="R331" s="2" t="inlineStr"/>
    </row>
    <row r="332" ht="15" customHeight="1">
      <c r="A332" t="inlineStr">
        <is>
          <t>A 8646-2020</t>
        </is>
      </c>
      <c r="B332" s="1" t="n">
        <v>43878</v>
      </c>
      <c r="C332" s="1" t="n">
        <v>45762</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8902-2020</t>
        </is>
      </c>
      <c r="B333" s="1" t="n">
        <v>43878</v>
      </c>
      <c r="C333" s="1" t="n">
        <v>45762</v>
      </c>
      <c r="D333" t="inlineStr">
        <is>
          <t>UPPSALA LÄN</t>
        </is>
      </c>
      <c r="E333" t="inlineStr">
        <is>
          <t>UPPSALA</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9011-2020</t>
        </is>
      </c>
      <c r="B334" s="1" t="n">
        <v>43879</v>
      </c>
      <c r="C334" s="1" t="n">
        <v>45762</v>
      </c>
      <c r="D334" t="inlineStr">
        <is>
          <t>UPPSALA LÄN</t>
        </is>
      </c>
      <c r="E334" t="inlineStr">
        <is>
          <t>UPPSALA</t>
        </is>
      </c>
      <c r="F334" t="inlineStr">
        <is>
          <t>Övriga statliga verk och myndigheter</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9084-2020</t>
        </is>
      </c>
      <c r="B335" s="1" t="n">
        <v>43879</v>
      </c>
      <c r="C335" s="1" t="n">
        <v>45762</v>
      </c>
      <c r="D335" t="inlineStr">
        <is>
          <t>UPPSALA LÄN</t>
        </is>
      </c>
      <c r="E335" t="inlineStr">
        <is>
          <t>UPPSALA</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9257-2020</t>
        </is>
      </c>
      <c r="B336" s="1" t="n">
        <v>43879</v>
      </c>
      <c r="C336" s="1" t="n">
        <v>45762</v>
      </c>
      <c r="D336" t="inlineStr">
        <is>
          <t>UPPSALA LÄN</t>
        </is>
      </c>
      <c r="E336" t="inlineStr">
        <is>
          <t>UPPSALA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9658-2020</t>
        </is>
      </c>
      <c r="B337" s="1" t="n">
        <v>43881</v>
      </c>
      <c r="C337" s="1" t="n">
        <v>45762</v>
      </c>
      <c r="D337" t="inlineStr">
        <is>
          <t>UPPSALA LÄN</t>
        </is>
      </c>
      <c r="E337" t="inlineStr">
        <is>
          <t>UPPSALA</t>
        </is>
      </c>
      <c r="G337" t="n">
        <v>3.6</v>
      </c>
      <c r="H337" t="n">
        <v>0</v>
      </c>
      <c r="I337" t="n">
        <v>0</v>
      </c>
      <c r="J337" t="n">
        <v>0</v>
      </c>
      <c r="K337" t="n">
        <v>0</v>
      </c>
      <c r="L337" t="n">
        <v>0</v>
      </c>
      <c r="M337" t="n">
        <v>0</v>
      </c>
      <c r="N337" t="n">
        <v>0</v>
      </c>
      <c r="O337" t="n">
        <v>0</v>
      </c>
      <c r="P337" t="n">
        <v>0</v>
      </c>
      <c r="Q337" t="n">
        <v>0</v>
      </c>
      <c r="R337" s="2" t="inlineStr"/>
    </row>
    <row r="338" ht="15" customHeight="1">
      <c r="A338" t="inlineStr">
        <is>
          <t>A 10003-2020</t>
        </is>
      </c>
      <c r="B338" s="1" t="n">
        <v>43882</v>
      </c>
      <c r="C338" s="1" t="n">
        <v>45762</v>
      </c>
      <c r="D338" t="inlineStr">
        <is>
          <t>UPPSALA LÄN</t>
        </is>
      </c>
      <c r="E338" t="inlineStr">
        <is>
          <t>UPPSALA</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9949-2020</t>
        </is>
      </c>
      <c r="B339" s="1" t="n">
        <v>43882</v>
      </c>
      <c r="C339" s="1" t="n">
        <v>45762</v>
      </c>
      <c r="D339" t="inlineStr">
        <is>
          <t>UPPSALA LÄN</t>
        </is>
      </c>
      <c r="E339" t="inlineStr">
        <is>
          <t>UPPSALA</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10033-2020</t>
        </is>
      </c>
      <c r="B340" s="1" t="n">
        <v>43882</v>
      </c>
      <c r="C340" s="1" t="n">
        <v>45762</v>
      </c>
      <c r="D340" t="inlineStr">
        <is>
          <t>UPPSALA LÄN</t>
        </is>
      </c>
      <c r="E340" t="inlineStr">
        <is>
          <t>UPPSALA</t>
        </is>
      </c>
      <c r="G340" t="n">
        <v>4.6</v>
      </c>
      <c r="H340" t="n">
        <v>0</v>
      </c>
      <c r="I340" t="n">
        <v>0</v>
      </c>
      <c r="J340" t="n">
        <v>0</v>
      </c>
      <c r="K340" t="n">
        <v>0</v>
      </c>
      <c r="L340" t="n">
        <v>0</v>
      </c>
      <c r="M340" t="n">
        <v>0</v>
      </c>
      <c r="N340" t="n">
        <v>0</v>
      </c>
      <c r="O340" t="n">
        <v>0</v>
      </c>
      <c r="P340" t="n">
        <v>0</v>
      </c>
      <c r="Q340" t="n">
        <v>0</v>
      </c>
      <c r="R340" s="2" t="inlineStr"/>
    </row>
    <row r="341" ht="15" customHeight="1">
      <c r="A341" t="inlineStr">
        <is>
          <t>A 10478-2020</t>
        </is>
      </c>
      <c r="B341" s="1" t="n">
        <v>43886</v>
      </c>
      <c r="C341" s="1" t="n">
        <v>45762</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11540-2020</t>
        </is>
      </c>
      <c r="B342" s="1" t="n">
        <v>43887</v>
      </c>
      <c r="C342" s="1" t="n">
        <v>45762</v>
      </c>
      <c r="D342" t="inlineStr">
        <is>
          <t>UPPSALA LÄN</t>
        </is>
      </c>
      <c r="E342" t="inlineStr">
        <is>
          <t>UPPSALA</t>
        </is>
      </c>
      <c r="G342" t="n">
        <v>2.1</v>
      </c>
      <c r="H342" t="n">
        <v>0</v>
      </c>
      <c r="I342" t="n">
        <v>0</v>
      </c>
      <c r="J342" t="n">
        <v>0</v>
      </c>
      <c r="K342" t="n">
        <v>0</v>
      </c>
      <c r="L342" t="n">
        <v>0</v>
      </c>
      <c r="M342" t="n">
        <v>0</v>
      </c>
      <c r="N342" t="n">
        <v>0</v>
      </c>
      <c r="O342" t="n">
        <v>0</v>
      </c>
      <c r="P342" t="n">
        <v>0</v>
      </c>
      <c r="Q342" t="n">
        <v>0</v>
      </c>
      <c r="R342" s="2" t="inlineStr"/>
    </row>
    <row r="343" ht="15" customHeight="1">
      <c r="A343" t="inlineStr">
        <is>
          <t>A 11174-2020</t>
        </is>
      </c>
      <c r="B343" s="1" t="n">
        <v>43891</v>
      </c>
      <c r="C343" s="1" t="n">
        <v>45762</v>
      </c>
      <c r="D343" t="inlineStr">
        <is>
          <t>UPPSALA LÄN</t>
        </is>
      </c>
      <c r="E343" t="inlineStr">
        <is>
          <t>UPPSALA</t>
        </is>
      </c>
      <c r="F343" t="inlineStr">
        <is>
          <t>Övriga statliga verk och myndigheter</t>
        </is>
      </c>
      <c r="G343" t="n">
        <v>2.8</v>
      </c>
      <c r="H343" t="n">
        <v>0</v>
      </c>
      <c r="I343" t="n">
        <v>0</v>
      </c>
      <c r="J343" t="n">
        <v>0</v>
      </c>
      <c r="K343" t="n">
        <v>0</v>
      </c>
      <c r="L343" t="n">
        <v>0</v>
      </c>
      <c r="M343" t="n">
        <v>0</v>
      </c>
      <c r="N343" t="n">
        <v>0</v>
      </c>
      <c r="O343" t="n">
        <v>0</v>
      </c>
      <c r="P343" t="n">
        <v>0</v>
      </c>
      <c r="Q343" t="n">
        <v>0</v>
      </c>
      <c r="R343" s="2" t="inlineStr"/>
    </row>
    <row r="344" ht="15" customHeight="1">
      <c r="A344" t="inlineStr">
        <is>
          <t>A 12626-2020</t>
        </is>
      </c>
      <c r="B344" s="1" t="n">
        <v>43892</v>
      </c>
      <c r="C344" s="1" t="n">
        <v>45762</v>
      </c>
      <c r="D344" t="inlineStr">
        <is>
          <t>UPPSALA LÄN</t>
        </is>
      </c>
      <c r="E344" t="inlineStr">
        <is>
          <t>UPPSALA</t>
        </is>
      </c>
      <c r="G344" t="n">
        <v>11.4</v>
      </c>
      <c r="H344" t="n">
        <v>0</v>
      </c>
      <c r="I344" t="n">
        <v>0</v>
      </c>
      <c r="J344" t="n">
        <v>0</v>
      </c>
      <c r="K344" t="n">
        <v>0</v>
      </c>
      <c r="L344" t="n">
        <v>0</v>
      </c>
      <c r="M344" t="n">
        <v>0</v>
      </c>
      <c r="N344" t="n">
        <v>0</v>
      </c>
      <c r="O344" t="n">
        <v>0</v>
      </c>
      <c r="P344" t="n">
        <v>0</v>
      </c>
      <c r="Q344" t="n">
        <v>0</v>
      </c>
      <c r="R344" s="2" t="inlineStr"/>
    </row>
    <row r="345" ht="15" customHeight="1">
      <c r="A345" t="inlineStr">
        <is>
          <t>A 11336-2020</t>
        </is>
      </c>
      <c r="B345" s="1" t="n">
        <v>43892</v>
      </c>
      <c r="C345" s="1" t="n">
        <v>45762</v>
      </c>
      <c r="D345" t="inlineStr">
        <is>
          <t>UPPSALA LÄN</t>
        </is>
      </c>
      <c r="E345" t="inlineStr">
        <is>
          <t>UPPSALA</t>
        </is>
      </c>
      <c r="F345" t="inlineStr">
        <is>
          <t>Kyrkan</t>
        </is>
      </c>
      <c r="G345" t="n">
        <v>3.2</v>
      </c>
      <c r="H345" t="n">
        <v>0</v>
      </c>
      <c r="I345" t="n">
        <v>0</v>
      </c>
      <c r="J345" t="n">
        <v>0</v>
      </c>
      <c r="K345" t="n">
        <v>0</v>
      </c>
      <c r="L345" t="n">
        <v>0</v>
      </c>
      <c r="M345" t="n">
        <v>0</v>
      </c>
      <c r="N345" t="n">
        <v>0</v>
      </c>
      <c r="O345" t="n">
        <v>0</v>
      </c>
      <c r="P345" t="n">
        <v>0</v>
      </c>
      <c r="Q345" t="n">
        <v>0</v>
      </c>
      <c r="R345" s="2" t="inlineStr"/>
    </row>
    <row r="346" ht="15" customHeight="1">
      <c r="A346" t="inlineStr">
        <is>
          <t>A 11320-2020</t>
        </is>
      </c>
      <c r="B346" s="1" t="n">
        <v>43892</v>
      </c>
      <c r="C346" s="1" t="n">
        <v>45762</v>
      </c>
      <c r="D346" t="inlineStr">
        <is>
          <t>UPPSALA LÄN</t>
        </is>
      </c>
      <c r="E346" t="inlineStr">
        <is>
          <t>UPPSALA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12028-2020</t>
        </is>
      </c>
      <c r="B347" s="1" t="n">
        <v>43894</v>
      </c>
      <c r="C347" s="1" t="n">
        <v>45762</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12055-2020</t>
        </is>
      </c>
      <c r="B348" s="1" t="n">
        <v>43894</v>
      </c>
      <c r="C348" s="1" t="n">
        <v>45762</v>
      </c>
      <c r="D348" t="inlineStr">
        <is>
          <t>UPPSALA LÄN</t>
        </is>
      </c>
      <c r="E348" t="inlineStr">
        <is>
          <t>UPPSALA</t>
        </is>
      </c>
      <c r="G348" t="n">
        <v>6.2</v>
      </c>
      <c r="H348" t="n">
        <v>0</v>
      </c>
      <c r="I348" t="n">
        <v>0</v>
      </c>
      <c r="J348" t="n">
        <v>0</v>
      </c>
      <c r="K348" t="n">
        <v>0</v>
      </c>
      <c r="L348" t="n">
        <v>0</v>
      </c>
      <c r="M348" t="n">
        <v>0</v>
      </c>
      <c r="N348" t="n">
        <v>0</v>
      </c>
      <c r="O348" t="n">
        <v>0</v>
      </c>
      <c r="P348" t="n">
        <v>0</v>
      </c>
      <c r="Q348" t="n">
        <v>0</v>
      </c>
      <c r="R348" s="2" t="inlineStr"/>
    </row>
    <row r="349" ht="15" customHeight="1">
      <c r="A349" t="inlineStr">
        <is>
          <t>A 12848-2020</t>
        </is>
      </c>
      <c r="B349" s="1" t="n">
        <v>43899</v>
      </c>
      <c r="C349" s="1" t="n">
        <v>45762</v>
      </c>
      <c r="D349" t="inlineStr">
        <is>
          <t>UPPSALA LÄN</t>
        </is>
      </c>
      <c r="E349" t="inlineStr">
        <is>
          <t>UPPSALA</t>
        </is>
      </c>
      <c r="G349" t="n">
        <v>10.3</v>
      </c>
      <c r="H349" t="n">
        <v>0</v>
      </c>
      <c r="I349" t="n">
        <v>0</v>
      </c>
      <c r="J349" t="n">
        <v>0</v>
      </c>
      <c r="K349" t="n">
        <v>0</v>
      </c>
      <c r="L349" t="n">
        <v>0</v>
      </c>
      <c r="M349" t="n">
        <v>0</v>
      </c>
      <c r="N349" t="n">
        <v>0</v>
      </c>
      <c r="O349" t="n">
        <v>0</v>
      </c>
      <c r="P349" t="n">
        <v>0</v>
      </c>
      <c r="Q349" t="n">
        <v>0</v>
      </c>
      <c r="R349" s="2" t="inlineStr"/>
    </row>
    <row r="350" ht="15" customHeight="1">
      <c r="A350" t="inlineStr">
        <is>
          <t>A 12781-2020</t>
        </is>
      </c>
      <c r="B350" s="1" t="n">
        <v>43899</v>
      </c>
      <c r="C350" s="1" t="n">
        <v>45762</v>
      </c>
      <c r="D350" t="inlineStr">
        <is>
          <t>UPPSALA LÄN</t>
        </is>
      </c>
      <c r="E350" t="inlineStr">
        <is>
          <t>UPPSALA</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13636-2020</t>
        </is>
      </c>
      <c r="B351" s="1" t="n">
        <v>43903</v>
      </c>
      <c r="C351" s="1" t="n">
        <v>45762</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14469-2020</t>
        </is>
      </c>
      <c r="B352" s="1" t="n">
        <v>43908</v>
      </c>
      <c r="C352" s="1" t="n">
        <v>45762</v>
      </c>
      <c r="D352" t="inlineStr">
        <is>
          <t>UPPSALA LÄN</t>
        </is>
      </c>
      <c r="E352" t="inlineStr">
        <is>
          <t>UPPSALA</t>
        </is>
      </c>
      <c r="G352" t="n">
        <v>0.6</v>
      </c>
      <c r="H352" t="n">
        <v>0</v>
      </c>
      <c r="I352" t="n">
        <v>0</v>
      </c>
      <c r="J352" t="n">
        <v>0</v>
      </c>
      <c r="K352" t="n">
        <v>0</v>
      </c>
      <c r="L352" t="n">
        <v>0</v>
      </c>
      <c r="M352" t="n">
        <v>0</v>
      </c>
      <c r="N352" t="n">
        <v>0</v>
      </c>
      <c r="O352" t="n">
        <v>0</v>
      </c>
      <c r="P352" t="n">
        <v>0</v>
      </c>
      <c r="Q352" t="n">
        <v>0</v>
      </c>
      <c r="R352" s="2" t="inlineStr"/>
    </row>
    <row r="353" ht="15" customHeight="1">
      <c r="A353" t="inlineStr">
        <is>
          <t>A 14423-2020</t>
        </is>
      </c>
      <c r="B353" s="1" t="n">
        <v>43908</v>
      </c>
      <c r="C353" s="1" t="n">
        <v>45762</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14472-2020</t>
        </is>
      </c>
      <c r="B354" s="1" t="n">
        <v>43908</v>
      </c>
      <c r="C354" s="1" t="n">
        <v>45762</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14427-2020</t>
        </is>
      </c>
      <c r="B355" s="1" t="n">
        <v>43908</v>
      </c>
      <c r="C355" s="1" t="n">
        <v>45762</v>
      </c>
      <c r="D355" t="inlineStr">
        <is>
          <t>UPPSALA LÄN</t>
        </is>
      </c>
      <c r="E355" t="inlineStr">
        <is>
          <t>UPPSALA</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15344-2020</t>
        </is>
      </c>
      <c r="B356" s="1" t="n">
        <v>43913</v>
      </c>
      <c r="C356" s="1" t="n">
        <v>45762</v>
      </c>
      <c r="D356" t="inlineStr">
        <is>
          <t>UPPSALA LÄN</t>
        </is>
      </c>
      <c r="E356" t="inlineStr">
        <is>
          <t>UPPSALA</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18106-2020</t>
        </is>
      </c>
      <c r="B357" s="1" t="n">
        <v>43927</v>
      </c>
      <c r="C357" s="1" t="n">
        <v>45762</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18114-2020</t>
        </is>
      </c>
      <c r="B358" s="1" t="n">
        <v>43927</v>
      </c>
      <c r="C358" s="1" t="n">
        <v>45762</v>
      </c>
      <c r="D358" t="inlineStr">
        <is>
          <t>UPPSALA LÄN</t>
        </is>
      </c>
      <c r="E358" t="inlineStr">
        <is>
          <t>UPPSALA</t>
        </is>
      </c>
      <c r="G358" t="n">
        <v>1.6</v>
      </c>
      <c r="H358" t="n">
        <v>0</v>
      </c>
      <c r="I358" t="n">
        <v>0</v>
      </c>
      <c r="J358" t="n">
        <v>0</v>
      </c>
      <c r="K358" t="n">
        <v>0</v>
      </c>
      <c r="L358" t="n">
        <v>0</v>
      </c>
      <c r="M358" t="n">
        <v>0</v>
      </c>
      <c r="N358" t="n">
        <v>0</v>
      </c>
      <c r="O358" t="n">
        <v>0</v>
      </c>
      <c r="P358" t="n">
        <v>0</v>
      </c>
      <c r="Q358" t="n">
        <v>0</v>
      </c>
      <c r="R358" s="2" t="inlineStr"/>
    </row>
    <row r="359" ht="15" customHeight="1">
      <c r="A359" t="inlineStr">
        <is>
          <t>A 18469-2020</t>
        </is>
      </c>
      <c r="B359" s="1" t="n">
        <v>43929</v>
      </c>
      <c r="C359" s="1" t="n">
        <v>45762</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19210-2020</t>
        </is>
      </c>
      <c r="B360" s="1" t="n">
        <v>43937</v>
      </c>
      <c r="C360" s="1" t="n">
        <v>45762</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20218-2020</t>
        </is>
      </c>
      <c r="B361" s="1" t="n">
        <v>43944</v>
      </c>
      <c r="C361" s="1" t="n">
        <v>45762</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20506-2020</t>
        </is>
      </c>
      <c r="B362" s="1" t="n">
        <v>43948</v>
      </c>
      <c r="C362" s="1" t="n">
        <v>45762</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20490-2020</t>
        </is>
      </c>
      <c r="B363" s="1" t="n">
        <v>43948</v>
      </c>
      <c r="C363" s="1" t="n">
        <v>45762</v>
      </c>
      <c r="D363" t="inlineStr">
        <is>
          <t>UPPSALA LÄN</t>
        </is>
      </c>
      <c r="E363" t="inlineStr">
        <is>
          <t>UPPSALA</t>
        </is>
      </c>
      <c r="G363" t="n">
        <v>2.8</v>
      </c>
      <c r="H363" t="n">
        <v>0</v>
      </c>
      <c r="I363" t="n">
        <v>0</v>
      </c>
      <c r="J363" t="n">
        <v>0</v>
      </c>
      <c r="K363" t="n">
        <v>0</v>
      </c>
      <c r="L363" t="n">
        <v>0</v>
      </c>
      <c r="M363" t="n">
        <v>0</v>
      </c>
      <c r="N363" t="n">
        <v>0</v>
      </c>
      <c r="O363" t="n">
        <v>0</v>
      </c>
      <c r="P363" t="n">
        <v>0</v>
      </c>
      <c r="Q363" t="n">
        <v>0</v>
      </c>
      <c r="R363" s="2" t="inlineStr"/>
    </row>
    <row r="364" ht="15" customHeight="1">
      <c r="A364" t="inlineStr">
        <is>
          <t>A 20960-2020</t>
        </is>
      </c>
      <c r="B364" s="1" t="n">
        <v>43950</v>
      </c>
      <c r="C364" s="1" t="n">
        <v>45762</v>
      </c>
      <c r="D364" t="inlineStr">
        <is>
          <t>UPPSALA LÄN</t>
        </is>
      </c>
      <c r="E364" t="inlineStr">
        <is>
          <t>UPPSALA</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24300-2020</t>
        </is>
      </c>
      <c r="B365" s="1" t="n">
        <v>43973</v>
      </c>
      <c r="C365" s="1" t="n">
        <v>45762</v>
      </c>
      <c r="D365" t="inlineStr">
        <is>
          <t>UPPSALA LÄN</t>
        </is>
      </c>
      <c r="E365" t="inlineStr">
        <is>
          <t>UPPSALA</t>
        </is>
      </c>
      <c r="F365" t="inlineStr">
        <is>
          <t>Övriga Aktiebolag</t>
        </is>
      </c>
      <c r="G365" t="n">
        <v>0.3</v>
      </c>
      <c r="H365" t="n">
        <v>0</v>
      </c>
      <c r="I365" t="n">
        <v>0</v>
      </c>
      <c r="J365" t="n">
        <v>0</v>
      </c>
      <c r="K365" t="n">
        <v>0</v>
      </c>
      <c r="L365" t="n">
        <v>0</v>
      </c>
      <c r="M365" t="n">
        <v>0</v>
      </c>
      <c r="N365" t="n">
        <v>0</v>
      </c>
      <c r="O365" t="n">
        <v>0</v>
      </c>
      <c r="P365" t="n">
        <v>0</v>
      </c>
      <c r="Q365" t="n">
        <v>0</v>
      </c>
      <c r="R365" s="2" t="inlineStr"/>
    </row>
    <row r="366" ht="15" customHeight="1">
      <c r="A366" t="inlineStr">
        <is>
          <t>A 24287-2020</t>
        </is>
      </c>
      <c r="B366" s="1" t="n">
        <v>43976</v>
      </c>
      <c r="C366" s="1" t="n">
        <v>45762</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25798-2020</t>
        </is>
      </c>
      <c r="B367" s="1" t="n">
        <v>43984</v>
      </c>
      <c r="C367" s="1" t="n">
        <v>45762</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26488-2020</t>
        </is>
      </c>
      <c r="B368" s="1" t="n">
        <v>43987</v>
      </c>
      <c r="C368" s="1" t="n">
        <v>45762</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26492-2020</t>
        </is>
      </c>
      <c r="B369" s="1" t="n">
        <v>43987</v>
      </c>
      <c r="C369" s="1" t="n">
        <v>45762</v>
      </c>
      <c r="D369" t="inlineStr">
        <is>
          <t>UPPSALA LÄN</t>
        </is>
      </c>
      <c r="E369" t="inlineStr">
        <is>
          <t>UPPSALA</t>
        </is>
      </c>
      <c r="G369" t="n">
        <v>9.5</v>
      </c>
      <c r="H369" t="n">
        <v>0</v>
      </c>
      <c r="I369" t="n">
        <v>0</v>
      </c>
      <c r="J369" t="n">
        <v>0</v>
      </c>
      <c r="K369" t="n">
        <v>0</v>
      </c>
      <c r="L369" t="n">
        <v>0</v>
      </c>
      <c r="M369" t="n">
        <v>0</v>
      </c>
      <c r="N369" t="n">
        <v>0</v>
      </c>
      <c r="O369" t="n">
        <v>0</v>
      </c>
      <c r="P369" t="n">
        <v>0</v>
      </c>
      <c r="Q369" t="n">
        <v>0</v>
      </c>
      <c r="R369" s="2" t="inlineStr"/>
    </row>
    <row r="370" ht="15" customHeight="1">
      <c r="A370" t="inlineStr">
        <is>
          <t>A 26856-2020</t>
        </is>
      </c>
      <c r="B370" s="1" t="n">
        <v>43990</v>
      </c>
      <c r="C370" s="1" t="n">
        <v>45762</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28565-2020</t>
        </is>
      </c>
      <c r="B371" s="1" t="n">
        <v>43999</v>
      </c>
      <c r="C371" s="1" t="n">
        <v>45762</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28514-2020</t>
        </is>
      </c>
      <c r="B372" s="1" t="n">
        <v>43999</v>
      </c>
      <c r="C372" s="1" t="n">
        <v>45762</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28993-2020</t>
        </is>
      </c>
      <c r="B373" s="1" t="n">
        <v>44000</v>
      </c>
      <c r="C373" s="1" t="n">
        <v>45762</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29034-2020</t>
        </is>
      </c>
      <c r="B374" s="1" t="n">
        <v>44000</v>
      </c>
      <c r="C374" s="1" t="n">
        <v>45762</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30196-2020</t>
        </is>
      </c>
      <c r="B375" s="1" t="n">
        <v>44007</v>
      </c>
      <c r="C375" s="1" t="n">
        <v>45762</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30208-2020</t>
        </is>
      </c>
      <c r="B376" s="1" t="n">
        <v>44007</v>
      </c>
      <c r="C376" s="1" t="n">
        <v>45762</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31219-2020</t>
        </is>
      </c>
      <c r="B377" s="1" t="n">
        <v>44012</v>
      </c>
      <c r="C377" s="1" t="n">
        <v>45762</v>
      </c>
      <c r="D377" t="inlineStr">
        <is>
          <t>UPPSALA LÄN</t>
        </is>
      </c>
      <c r="E377" t="inlineStr">
        <is>
          <t>UPPSALA</t>
        </is>
      </c>
      <c r="F377" t="inlineStr">
        <is>
          <t>Bergvik skog öst AB</t>
        </is>
      </c>
      <c r="G377" t="n">
        <v>7.4</v>
      </c>
      <c r="H377" t="n">
        <v>0</v>
      </c>
      <c r="I377" t="n">
        <v>0</v>
      </c>
      <c r="J377" t="n">
        <v>0</v>
      </c>
      <c r="K377" t="n">
        <v>0</v>
      </c>
      <c r="L377" t="n">
        <v>0</v>
      </c>
      <c r="M377" t="n">
        <v>0</v>
      </c>
      <c r="N377" t="n">
        <v>0</v>
      </c>
      <c r="O377" t="n">
        <v>0</v>
      </c>
      <c r="P377" t="n">
        <v>0</v>
      </c>
      <c r="Q377" t="n">
        <v>0</v>
      </c>
      <c r="R377" s="2" t="inlineStr"/>
    </row>
    <row r="378" ht="15" customHeight="1">
      <c r="A378" t="inlineStr">
        <is>
          <t>A 31430-2020</t>
        </is>
      </c>
      <c r="B378" s="1" t="n">
        <v>44013</v>
      </c>
      <c r="C378" s="1" t="n">
        <v>45762</v>
      </c>
      <c r="D378" t="inlineStr">
        <is>
          <t>UPPSALA LÄN</t>
        </is>
      </c>
      <c r="E378" t="inlineStr">
        <is>
          <t>UPPSALA</t>
        </is>
      </c>
      <c r="G378" t="n">
        <v>3.4</v>
      </c>
      <c r="H378" t="n">
        <v>0</v>
      </c>
      <c r="I378" t="n">
        <v>0</v>
      </c>
      <c r="J378" t="n">
        <v>0</v>
      </c>
      <c r="K378" t="n">
        <v>0</v>
      </c>
      <c r="L378" t="n">
        <v>0</v>
      </c>
      <c r="M378" t="n">
        <v>0</v>
      </c>
      <c r="N378" t="n">
        <v>0</v>
      </c>
      <c r="O378" t="n">
        <v>0</v>
      </c>
      <c r="P378" t="n">
        <v>0</v>
      </c>
      <c r="Q378" t="n">
        <v>0</v>
      </c>
      <c r="R378" s="2" t="inlineStr"/>
    </row>
    <row r="379" ht="15" customHeight="1">
      <c r="A379" t="inlineStr">
        <is>
          <t>A 31932-2020</t>
        </is>
      </c>
      <c r="B379" s="1" t="n">
        <v>44014</v>
      </c>
      <c r="C379" s="1" t="n">
        <v>45762</v>
      </c>
      <c r="D379" t="inlineStr">
        <is>
          <t>UPPSALA LÄN</t>
        </is>
      </c>
      <c r="E379" t="inlineStr">
        <is>
          <t>UPPSALA</t>
        </is>
      </c>
      <c r="G379" t="n">
        <v>5.6</v>
      </c>
      <c r="H379" t="n">
        <v>0</v>
      </c>
      <c r="I379" t="n">
        <v>0</v>
      </c>
      <c r="J379" t="n">
        <v>0</v>
      </c>
      <c r="K379" t="n">
        <v>0</v>
      </c>
      <c r="L379" t="n">
        <v>0</v>
      </c>
      <c r="M379" t="n">
        <v>0</v>
      </c>
      <c r="N379" t="n">
        <v>0</v>
      </c>
      <c r="O379" t="n">
        <v>0</v>
      </c>
      <c r="P379" t="n">
        <v>0</v>
      </c>
      <c r="Q379" t="n">
        <v>0</v>
      </c>
      <c r="R379" s="2" t="inlineStr"/>
    </row>
    <row r="380" ht="15" customHeight="1">
      <c r="A380" t="inlineStr">
        <is>
          <t>A 32235-2020</t>
        </is>
      </c>
      <c r="B380" s="1" t="n">
        <v>44015</v>
      </c>
      <c r="C380" s="1" t="n">
        <v>45762</v>
      </c>
      <c r="D380" t="inlineStr">
        <is>
          <t>UPPSALA LÄN</t>
        </is>
      </c>
      <c r="E380" t="inlineStr">
        <is>
          <t>UPPSALA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32340-2020</t>
        </is>
      </c>
      <c r="B381" s="1" t="n">
        <v>44016</v>
      </c>
      <c r="C381" s="1" t="n">
        <v>45762</v>
      </c>
      <c r="D381" t="inlineStr">
        <is>
          <t>UPPSALA LÄN</t>
        </is>
      </c>
      <c r="E381" t="inlineStr">
        <is>
          <t>UPPSALA</t>
        </is>
      </c>
      <c r="F381" t="inlineStr">
        <is>
          <t>Bergvik skog öst AB</t>
        </is>
      </c>
      <c r="G381" t="n">
        <v>1.2</v>
      </c>
      <c r="H381" t="n">
        <v>0</v>
      </c>
      <c r="I381" t="n">
        <v>0</v>
      </c>
      <c r="J381" t="n">
        <v>0</v>
      </c>
      <c r="K381" t="n">
        <v>0</v>
      </c>
      <c r="L381" t="n">
        <v>0</v>
      </c>
      <c r="M381" t="n">
        <v>0</v>
      </c>
      <c r="N381" t="n">
        <v>0</v>
      </c>
      <c r="O381" t="n">
        <v>0</v>
      </c>
      <c r="P381" t="n">
        <v>0</v>
      </c>
      <c r="Q381" t="n">
        <v>0</v>
      </c>
      <c r="R381" s="2" t="inlineStr"/>
    </row>
    <row r="382" ht="15" customHeight="1">
      <c r="A382" t="inlineStr">
        <is>
          <t>A 32608-2020</t>
        </is>
      </c>
      <c r="B382" s="1" t="n">
        <v>44019</v>
      </c>
      <c r="C382" s="1" t="n">
        <v>45762</v>
      </c>
      <c r="D382" t="inlineStr">
        <is>
          <t>UPPSALA LÄN</t>
        </is>
      </c>
      <c r="E382" t="inlineStr">
        <is>
          <t>UPPSALA</t>
        </is>
      </c>
      <c r="F382" t="inlineStr">
        <is>
          <t>Bergvik skog öst AB</t>
        </is>
      </c>
      <c r="G382" t="n">
        <v>5.7</v>
      </c>
      <c r="H382" t="n">
        <v>0</v>
      </c>
      <c r="I382" t="n">
        <v>0</v>
      </c>
      <c r="J382" t="n">
        <v>0</v>
      </c>
      <c r="K382" t="n">
        <v>0</v>
      </c>
      <c r="L382" t="n">
        <v>0</v>
      </c>
      <c r="M382" t="n">
        <v>0</v>
      </c>
      <c r="N382" t="n">
        <v>0</v>
      </c>
      <c r="O382" t="n">
        <v>0</v>
      </c>
      <c r="P382" t="n">
        <v>0</v>
      </c>
      <c r="Q382" t="n">
        <v>0</v>
      </c>
      <c r="R382" s="2" t="inlineStr"/>
    </row>
    <row r="383" ht="15" customHeight="1">
      <c r="A383" t="inlineStr">
        <is>
          <t>A 33658-2020</t>
        </is>
      </c>
      <c r="B383" s="1" t="n">
        <v>44026</v>
      </c>
      <c r="C383" s="1" t="n">
        <v>45762</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34205-2020</t>
        </is>
      </c>
      <c r="B384" s="1" t="n">
        <v>44029</v>
      </c>
      <c r="C384" s="1" t="n">
        <v>45762</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34565-2020</t>
        </is>
      </c>
      <c r="B385" s="1" t="n">
        <v>44033</v>
      </c>
      <c r="C385" s="1" t="n">
        <v>45762</v>
      </c>
      <c r="D385" t="inlineStr">
        <is>
          <t>UPPSALA LÄN</t>
        </is>
      </c>
      <c r="E385" t="inlineStr">
        <is>
          <t>UPPSALA</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34753-2020</t>
        </is>
      </c>
      <c r="B386" s="1" t="n">
        <v>44035</v>
      </c>
      <c r="C386" s="1" t="n">
        <v>45762</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34749-2020</t>
        </is>
      </c>
      <c r="B387" s="1" t="n">
        <v>44035</v>
      </c>
      <c r="C387" s="1" t="n">
        <v>45762</v>
      </c>
      <c r="D387" t="inlineStr">
        <is>
          <t>UPPSALA LÄN</t>
        </is>
      </c>
      <c r="E387" t="inlineStr">
        <is>
          <t>UPPSALA</t>
        </is>
      </c>
      <c r="G387" t="n">
        <v>5.5</v>
      </c>
      <c r="H387" t="n">
        <v>0</v>
      </c>
      <c r="I387" t="n">
        <v>0</v>
      </c>
      <c r="J387" t="n">
        <v>0</v>
      </c>
      <c r="K387" t="n">
        <v>0</v>
      </c>
      <c r="L387" t="n">
        <v>0</v>
      </c>
      <c r="M387" t="n">
        <v>0</v>
      </c>
      <c r="N387" t="n">
        <v>0</v>
      </c>
      <c r="O387" t="n">
        <v>0</v>
      </c>
      <c r="P387" t="n">
        <v>0</v>
      </c>
      <c r="Q387" t="n">
        <v>0</v>
      </c>
      <c r="R387" s="2" t="inlineStr"/>
    </row>
    <row r="388" ht="15" customHeight="1">
      <c r="A388" t="inlineStr">
        <is>
          <t>A 35281-2020</t>
        </is>
      </c>
      <c r="B388" s="1" t="n">
        <v>44041</v>
      </c>
      <c r="C388" s="1" t="n">
        <v>45762</v>
      </c>
      <c r="D388" t="inlineStr">
        <is>
          <t>UPPSALA LÄN</t>
        </is>
      </c>
      <c r="E388" t="inlineStr">
        <is>
          <t>UPPSALA</t>
        </is>
      </c>
      <c r="F388" t="inlineStr">
        <is>
          <t>Bergvik skog öst AB</t>
        </is>
      </c>
      <c r="G388" t="n">
        <v>3.1</v>
      </c>
      <c r="H388" t="n">
        <v>0</v>
      </c>
      <c r="I388" t="n">
        <v>0</v>
      </c>
      <c r="J388" t="n">
        <v>0</v>
      </c>
      <c r="K388" t="n">
        <v>0</v>
      </c>
      <c r="L388" t="n">
        <v>0</v>
      </c>
      <c r="M388" t="n">
        <v>0</v>
      </c>
      <c r="N388" t="n">
        <v>0</v>
      </c>
      <c r="O388" t="n">
        <v>0</v>
      </c>
      <c r="P388" t="n">
        <v>0</v>
      </c>
      <c r="Q388" t="n">
        <v>0</v>
      </c>
      <c r="R388" s="2" t="inlineStr"/>
    </row>
    <row r="389" ht="15" customHeight="1">
      <c r="A389" t="inlineStr">
        <is>
          <t>A 36035-2020</t>
        </is>
      </c>
      <c r="B389" s="1" t="n">
        <v>44048</v>
      </c>
      <c r="C389" s="1" t="n">
        <v>45762</v>
      </c>
      <c r="D389" t="inlineStr">
        <is>
          <t>UPPSALA LÄN</t>
        </is>
      </c>
      <c r="E389" t="inlineStr">
        <is>
          <t>UPPSALA</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36202-2020</t>
        </is>
      </c>
      <c r="B390" s="1" t="n">
        <v>44048</v>
      </c>
      <c r="C390" s="1" t="n">
        <v>45762</v>
      </c>
      <c r="D390" t="inlineStr">
        <is>
          <t>UPPSALA LÄN</t>
        </is>
      </c>
      <c r="E390" t="inlineStr">
        <is>
          <t>UPPSALA</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36198-2020</t>
        </is>
      </c>
      <c r="B391" s="1" t="n">
        <v>44048</v>
      </c>
      <c r="C391" s="1" t="n">
        <v>45762</v>
      </c>
      <c r="D391" t="inlineStr">
        <is>
          <t>UPPSALA LÄN</t>
        </is>
      </c>
      <c r="E391" t="inlineStr">
        <is>
          <t>UPPSALA</t>
        </is>
      </c>
      <c r="F391" t="inlineStr">
        <is>
          <t>Bergvik skog öst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36350-2020</t>
        </is>
      </c>
      <c r="B392" s="1" t="n">
        <v>44049</v>
      </c>
      <c r="C392" s="1" t="n">
        <v>45762</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36512-2020</t>
        </is>
      </c>
      <c r="B393" s="1" t="n">
        <v>44050</v>
      </c>
      <c r="C393" s="1" t="n">
        <v>45762</v>
      </c>
      <c r="D393" t="inlineStr">
        <is>
          <t>UPPSALA LÄN</t>
        </is>
      </c>
      <c r="E393" t="inlineStr">
        <is>
          <t>UPPSALA</t>
        </is>
      </c>
      <c r="G393" t="n">
        <v>5.8</v>
      </c>
      <c r="H393" t="n">
        <v>0</v>
      </c>
      <c r="I393" t="n">
        <v>0</v>
      </c>
      <c r="J393" t="n">
        <v>0</v>
      </c>
      <c r="K393" t="n">
        <v>0</v>
      </c>
      <c r="L393" t="n">
        <v>0</v>
      </c>
      <c r="M393" t="n">
        <v>0</v>
      </c>
      <c r="N393" t="n">
        <v>0</v>
      </c>
      <c r="O393" t="n">
        <v>0</v>
      </c>
      <c r="P393" t="n">
        <v>0</v>
      </c>
      <c r="Q393" t="n">
        <v>0</v>
      </c>
      <c r="R393" s="2" t="inlineStr"/>
    </row>
    <row r="394" ht="15" customHeight="1">
      <c r="A394" t="inlineStr">
        <is>
          <t>A 37276-2020</t>
        </is>
      </c>
      <c r="B394" s="1" t="n">
        <v>44055</v>
      </c>
      <c r="C394" s="1" t="n">
        <v>45762</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37669-2020</t>
        </is>
      </c>
      <c r="B395" s="1" t="n">
        <v>44056</v>
      </c>
      <c r="C395" s="1" t="n">
        <v>45762</v>
      </c>
      <c r="D395" t="inlineStr">
        <is>
          <t>UPPSALA LÄN</t>
        </is>
      </c>
      <c r="E395" t="inlineStr">
        <is>
          <t>UPPSALA</t>
        </is>
      </c>
      <c r="G395" t="n">
        <v>5.1</v>
      </c>
      <c r="H395" t="n">
        <v>0</v>
      </c>
      <c r="I395" t="n">
        <v>0</v>
      </c>
      <c r="J395" t="n">
        <v>0</v>
      </c>
      <c r="K395" t="n">
        <v>0</v>
      </c>
      <c r="L395" t="n">
        <v>0</v>
      </c>
      <c r="M395" t="n">
        <v>0</v>
      </c>
      <c r="N395" t="n">
        <v>0</v>
      </c>
      <c r="O395" t="n">
        <v>0</v>
      </c>
      <c r="P395" t="n">
        <v>0</v>
      </c>
      <c r="Q395" t="n">
        <v>0</v>
      </c>
      <c r="R395" s="2" t="inlineStr"/>
    </row>
    <row r="396" ht="15" customHeight="1">
      <c r="A396" t="inlineStr">
        <is>
          <t>A 39233-2020</t>
        </is>
      </c>
      <c r="B396" s="1" t="n">
        <v>44063</v>
      </c>
      <c r="C396" s="1" t="n">
        <v>45762</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39178-2020</t>
        </is>
      </c>
      <c r="B397" s="1" t="n">
        <v>44063</v>
      </c>
      <c r="C397" s="1" t="n">
        <v>45762</v>
      </c>
      <c r="D397" t="inlineStr">
        <is>
          <t>UPPSALA LÄN</t>
        </is>
      </c>
      <c r="E397" t="inlineStr">
        <is>
          <t>UPPSALA</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39236-2020</t>
        </is>
      </c>
      <c r="B398" s="1" t="n">
        <v>44063</v>
      </c>
      <c r="C398" s="1" t="n">
        <v>45762</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39272-2020</t>
        </is>
      </c>
      <c r="B399" s="1" t="n">
        <v>44063</v>
      </c>
      <c r="C399" s="1" t="n">
        <v>45762</v>
      </c>
      <c r="D399" t="inlineStr">
        <is>
          <t>UPPSALA LÄN</t>
        </is>
      </c>
      <c r="E399" t="inlineStr">
        <is>
          <t>UPPSALA</t>
        </is>
      </c>
      <c r="G399" t="n">
        <v>2.3</v>
      </c>
      <c r="H399" t="n">
        <v>0</v>
      </c>
      <c r="I399" t="n">
        <v>0</v>
      </c>
      <c r="J399" t="n">
        <v>0</v>
      </c>
      <c r="K399" t="n">
        <v>0</v>
      </c>
      <c r="L399" t="n">
        <v>0</v>
      </c>
      <c r="M399" t="n">
        <v>0</v>
      </c>
      <c r="N399" t="n">
        <v>0</v>
      </c>
      <c r="O399" t="n">
        <v>0</v>
      </c>
      <c r="P399" t="n">
        <v>0</v>
      </c>
      <c r="Q399" t="n">
        <v>0</v>
      </c>
      <c r="R399" s="2" t="inlineStr"/>
    </row>
    <row r="400" ht="15" customHeight="1">
      <c r="A400" t="inlineStr">
        <is>
          <t>A 40894-2020</t>
        </is>
      </c>
      <c r="B400" s="1" t="n">
        <v>44070</v>
      </c>
      <c r="C400" s="1" t="n">
        <v>45762</v>
      </c>
      <c r="D400" t="inlineStr">
        <is>
          <t>UPPSALA LÄN</t>
        </is>
      </c>
      <c r="E400" t="inlineStr">
        <is>
          <t>UPPSALA</t>
        </is>
      </c>
      <c r="G400" t="n">
        <v>7.1</v>
      </c>
      <c r="H400" t="n">
        <v>0</v>
      </c>
      <c r="I400" t="n">
        <v>0</v>
      </c>
      <c r="J400" t="n">
        <v>0</v>
      </c>
      <c r="K400" t="n">
        <v>0</v>
      </c>
      <c r="L400" t="n">
        <v>0</v>
      </c>
      <c r="M400" t="n">
        <v>0</v>
      </c>
      <c r="N400" t="n">
        <v>0</v>
      </c>
      <c r="O400" t="n">
        <v>0</v>
      </c>
      <c r="P400" t="n">
        <v>0</v>
      </c>
      <c r="Q400" t="n">
        <v>0</v>
      </c>
      <c r="R400" s="2" t="inlineStr"/>
    </row>
    <row r="401" ht="15" customHeight="1">
      <c r="A401" t="inlineStr">
        <is>
          <t>A 42341-2020</t>
        </is>
      </c>
      <c r="B401" s="1" t="n">
        <v>44076</v>
      </c>
      <c r="C401" s="1" t="n">
        <v>45762</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43968-2020</t>
        </is>
      </c>
      <c r="B402" s="1" t="n">
        <v>44083</v>
      </c>
      <c r="C402" s="1" t="n">
        <v>45762</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45930-2020</t>
        </is>
      </c>
      <c r="B403" s="1" t="n">
        <v>44091</v>
      </c>
      <c r="C403" s="1" t="n">
        <v>45762</v>
      </c>
      <c r="D403" t="inlineStr">
        <is>
          <t>UPPSALA LÄN</t>
        </is>
      </c>
      <c r="E403" t="inlineStr">
        <is>
          <t>UPPSALA</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46633-2020</t>
        </is>
      </c>
      <c r="B404" s="1" t="n">
        <v>44095</v>
      </c>
      <c r="C404" s="1" t="n">
        <v>45762</v>
      </c>
      <c r="D404" t="inlineStr">
        <is>
          <t>UPPSALA LÄN</t>
        </is>
      </c>
      <c r="E404" t="inlineStr">
        <is>
          <t>UPPSALA</t>
        </is>
      </c>
      <c r="G404" t="n">
        <v>4.2</v>
      </c>
      <c r="H404" t="n">
        <v>0</v>
      </c>
      <c r="I404" t="n">
        <v>0</v>
      </c>
      <c r="J404" t="n">
        <v>0</v>
      </c>
      <c r="K404" t="n">
        <v>0</v>
      </c>
      <c r="L404" t="n">
        <v>0</v>
      </c>
      <c r="M404" t="n">
        <v>0</v>
      </c>
      <c r="N404" t="n">
        <v>0</v>
      </c>
      <c r="O404" t="n">
        <v>0</v>
      </c>
      <c r="P404" t="n">
        <v>0</v>
      </c>
      <c r="Q404" t="n">
        <v>0</v>
      </c>
      <c r="R404" s="2" t="inlineStr"/>
    </row>
    <row r="405" ht="15" customHeight="1">
      <c r="A405" t="inlineStr">
        <is>
          <t>A 46647-2020</t>
        </is>
      </c>
      <c r="B405" s="1" t="n">
        <v>44095</v>
      </c>
      <c r="C405" s="1" t="n">
        <v>45762</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48786-2020</t>
        </is>
      </c>
      <c r="B406" s="1" t="n">
        <v>44103</v>
      </c>
      <c r="C406" s="1" t="n">
        <v>45762</v>
      </c>
      <c r="D406" t="inlineStr">
        <is>
          <t>UPPSALA LÄN</t>
        </is>
      </c>
      <c r="E406" t="inlineStr">
        <is>
          <t>UPPSALA</t>
        </is>
      </c>
      <c r="G406" t="n">
        <v>0.4</v>
      </c>
      <c r="H406" t="n">
        <v>0</v>
      </c>
      <c r="I406" t="n">
        <v>0</v>
      </c>
      <c r="J406" t="n">
        <v>0</v>
      </c>
      <c r="K406" t="n">
        <v>0</v>
      </c>
      <c r="L406" t="n">
        <v>0</v>
      </c>
      <c r="M406" t="n">
        <v>0</v>
      </c>
      <c r="N406" t="n">
        <v>0</v>
      </c>
      <c r="O406" t="n">
        <v>0</v>
      </c>
      <c r="P406" t="n">
        <v>0</v>
      </c>
      <c r="Q406" t="n">
        <v>0</v>
      </c>
      <c r="R406" s="2" t="inlineStr"/>
    </row>
    <row r="407" ht="15" customHeight="1">
      <c r="A407" t="inlineStr">
        <is>
          <t>A 49363-2020</t>
        </is>
      </c>
      <c r="B407" s="1" t="n">
        <v>44105</v>
      </c>
      <c r="C407" s="1" t="n">
        <v>45762</v>
      </c>
      <c r="D407" t="inlineStr">
        <is>
          <t>UPPSALA LÄN</t>
        </is>
      </c>
      <c r="E407" t="inlineStr">
        <is>
          <t>UPPSALA</t>
        </is>
      </c>
      <c r="G407" t="n">
        <v>0.9</v>
      </c>
      <c r="H407" t="n">
        <v>0</v>
      </c>
      <c r="I407" t="n">
        <v>0</v>
      </c>
      <c r="J407" t="n">
        <v>0</v>
      </c>
      <c r="K407" t="n">
        <v>0</v>
      </c>
      <c r="L407" t="n">
        <v>0</v>
      </c>
      <c r="M407" t="n">
        <v>0</v>
      </c>
      <c r="N407" t="n">
        <v>0</v>
      </c>
      <c r="O407" t="n">
        <v>0</v>
      </c>
      <c r="P407" t="n">
        <v>0</v>
      </c>
      <c r="Q407" t="n">
        <v>0</v>
      </c>
      <c r="R407" s="2" t="inlineStr"/>
    </row>
    <row r="408" ht="15" customHeight="1">
      <c r="A408" t="inlineStr">
        <is>
          <t>A 49409-2020</t>
        </is>
      </c>
      <c r="B408" s="1" t="n">
        <v>44105</v>
      </c>
      <c r="C408" s="1" t="n">
        <v>45762</v>
      </c>
      <c r="D408" t="inlineStr">
        <is>
          <t>UPPSALA LÄN</t>
        </is>
      </c>
      <c r="E408" t="inlineStr">
        <is>
          <t>UPPSALA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49404-2020</t>
        </is>
      </c>
      <c r="B409" s="1" t="n">
        <v>44105</v>
      </c>
      <c r="C409" s="1" t="n">
        <v>45762</v>
      </c>
      <c r="D409" t="inlineStr">
        <is>
          <t>UPPSALA LÄN</t>
        </is>
      </c>
      <c r="E409" t="inlineStr">
        <is>
          <t>UPPSALA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49821-2020</t>
        </is>
      </c>
      <c r="B410" s="1" t="n">
        <v>44106</v>
      </c>
      <c r="C410" s="1" t="n">
        <v>45762</v>
      </c>
      <c r="D410" t="inlineStr">
        <is>
          <t>UPPSALA LÄN</t>
        </is>
      </c>
      <c r="E410" t="inlineStr">
        <is>
          <t>UPPSALA</t>
        </is>
      </c>
      <c r="G410" t="n">
        <v>2</v>
      </c>
      <c r="H410" t="n">
        <v>0</v>
      </c>
      <c r="I410" t="n">
        <v>0</v>
      </c>
      <c r="J410" t="n">
        <v>0</v>
      </c>
      <c r="K410" t="n">
        <v>0</v>
      </c>
      <c r="L410" t="n">
        <v>0</v>
      </c>
      <c r="M410" t="n">
        <v>0</v>
      </c>
      <c r="N410" t="n">
        <v>0</v>
      </c>
      <c r="O410" t="n">
        <v>0</v>
      </c>
      <c r="P410" t="n">
        <v>0</v>
      </c>
      <c r="Q410" t="n">
        <v>0</v>
      </c>
      <c r="R410" s="2" t="inlineStr"/>
    </row>
    <row r="411" ht="15" customHeight="1">
      <c r="A411" t="inlineStr">
        <is>
          <t>A 49931-2020</t>
        </is>
      </c>
      <c r="B411" s="1" t="n">
        <v>44109</v>
      </c>
      <c r="C411" s="1" t="n">
        <v>45762</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45762</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53346-2020</t>
        </is>
      </c>
      <c r="B413" s="1" t="n">
        <v>44123</v>
      </c>
      <c r="C413" s="1" t="n">
        <v>45762</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53379-2020</t>
        </is>
      </c>
      <c r="B414" s="1" t="n">
        <v>44123</v>
      </c>
      <c r="C414" s="1" t="n">
        <v>45762</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54742-2020</t>
        </is>
      </c>
      <c r="B415" s="1" t="n">
        <v>44126</v>
      </c>
      <c r="C415" s="1" t="n">
        <v>45762</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55220-2020</t>
        </is>
      </c>
      <c r="B416" s="1" t="n">
        <v>44130</v>
      </c>
      <c r="C416" s="1" t="n">
        <v>45762</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55953-2020</t>
        </is>
      </c>
      <c r="B417" s="1" t="n">
        <v>44131</v>
      </c>
      <c r="C417" s="1" t="n">
        <v>45762</v>
      </c>
      <c r="D417" t="inlineStr">
        <is>
          <t>UPPSALA LÄN</t>
        </is>
      </c>
      <c r="E417" t="inlineStr">
        <is>
          <t>UPPSALA</t>
        </is>
      </c>
      <c r="F417" t="inlineStr">
        <is>
          <t>Allmännings- och besparingsskogar</t>
        </is>
      </c>
      <c r="G417" t="n">
        <v>74.40000000000001</v>
      </c>
      <c r="H417" t="n">
        <v>0</v>
      </c>
      <c r="I417" t="n">
        <v>0</v>
      </c>
      <c r="J417" t="n">
        <v>0</v>
      </c>
      <c r="K417" t="n">
        <v>0</v>
      </c>
      <c r="L417" t="n">
        <v>0</v>
      </c>
      <c r="M417" t="n">
        <v>0</v>
      </c>
      <c r="N417" t="n">
        <v>0</v>
      </c>
      <c r="O417" t="n">
        <v>0</v>
      </c>
      <c r="P417" t="n">
        <v>0</v>
      </c>
      <c r="Q417" t="n">
        <v>0</v>
      </c>
      <c r="R417" s="2" t="inlineStr"/>
    </row>
    <row r="418" ht="15" customHeight="1">
      <c r="A418" t="inlineStr">
        <is>
          <t>A 56097-2020</t>
        </is>
      </c>
      <c r="B418" s="1" t="n">
        <v>44131</v>
      </c>
      <c r="C418" s="1" t="n">
        <v>45762</v>
      </c>
      <c r="D418" t="inlineStr">
        <is>
          <t>UPPSALA LÄN</t>
        </is>
      </c>
      <c r="E418" t="inlineStr">
        <is>
          <t>UPPSALA</t>
        </is>
      </c>
      <c r="F418" t="inlineStr">
        <is>
          <t>Allmännings- och besparingsskogar</t>
        </is>
      </c>
      <c r="G418" t="n">
        <v>10.6</v>
      </c>
      <c r="H418" t="n">
        <v>0</v>
      </c>
      <c r="I418" t="n">
        <v>0</v>
      </c>
      <c r="J418" t="n">
        <v>0</v>
      </c>
      <c r="K418" t="n">
        <v>0</v>
      </c>
      <c r="L418" t="n">
        <v>0</v>
      </c>
      <c r="M418" t="n">
        <v>0</v>
      </c>
      <c r="N418" t="n">
        <v>0</v>
      </c>
      <c r="O418" t="n">
        <v>0</v>
      </c>
      <c r="P418" t="n">
        <v>0</v>
      </c>
      <c r="Q418" t="n">
        <v>0</v>
      </c>
      <c r="R418" s="2" t="inlineStr"/>
    </row>
    <row r="419" ht="15" customHeight="1">
      <c r="A419" t="inlineStr">
        <is>
          <t>A 56466-2020</t>
        </is>
      </c>
      <c r="B419" s="1" t="n">
        <v>44134</v>
      </c>
      <c r="C419" s="1" t="n">
        <v>45762</v>
      </c>
      <c r="D419" t="inlineStr">
        <is>
          <t>UPPSALA LÄN</t>
        </is>
      </c>
      <c r="E419" t="inlineStr">
        <is>
          <t>UPPSALA</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57041-2020</t>
        </is>
      </c>
      <c r="B420" s="1" t="n">
        <v>44137</v>
      </c>
      <c r="C420" s="1" t="n">
        <v>45762</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57271-2020</t>
        </is>
      </c>
      <c r="B421" s="1" t="n">
        <v>44139</v>
      </c>
      <c r="C421" s="1" t="n">
        <v>45762</v>
      </c>
      <c r="D421" t="inlineStr">
        <is>
          <t>UPPSALA LÄN</t>
        </is>
      </c>
      <c r="E421" t="inlineStr">
        <is>
          <t>UPPSALA</t>
        </is>
      </c>
      <c r="G421" t="n">
        <v>3.8</v>
      </c>
      <c r="H421" t="n">
        <v>0</v>
      </c>
      <c r="I421" t="n">
        <v>0</v>
      </c>
      <c r="J421" t="n">
        <v>0</v>
      </c>
      <c r="K421" t="n">
        <v>0</v>
      </c>
      <c r="L421" t="n">
        <v>0</v>
      </c>
      <c r="M421" t="n">
        <v>0</v>
      </c>
      <c r="N421" t="n">
        <v>0</v>
      </c>
      <c r="O421" t="n">
        <v>0</v>
      </c>
      <c r="P421" t="n">
        <v>0</v>
      </c>
      <c r="Q421" t="n">
        <v>0</v>
      </c>
      <c r="R421" s="2" t="inlineStr"/>
    </row>
    <row r="422" ht="15" customHeight="1">
      <c r="A422" t="inlineStr">
        <is>
          <t>A 57451-2020</t>
        </is>
      </c>
      <c r="B422" s="1" t="n">
        <v>44139</v>
      </c>
      <c r="C422" s="1" t="n">
        <v>45762</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57466-2020</t>
        </is>
      </c>
      <c r="B423" s="1" t="n">
        <v>44139</v>
      </c>
      <c r="C423" s="1" t="n">
        <v>45762</v>
      </c>
      <c r="D423" t="inlineStr">
        <is>
          <t>UPPSALA LÄN</t>
        </is>
      </c>
      <c r="E423" t="inlineStr">
        <is>
          <t>UPPSALA</t>
        </is>
      </c>
      <c r="G423" t="n">
        <v>2.5</v>
      </c>
      <c r="H423" t="n">
        <v>0</v>
      </c>
      <c r="I423" t="n">
        <v>0</v>
      </c>
      <c r="J423" t="n">
        <v>0</v>
      </c>
      <c r="K423" t="n">
        <v>0</v>
      </c>
      <c r="L423" t="n">
        <v>0</v>
      </c>
      <c r="M423" t="n">
        <v>0</v>
      </c>
      <c r="N423" t="n">
        <v>0</v>
      </c>
      <c r="O423" t="n">
        <v>0</v>
      </c>
      <c r="P423" t="n">
        <v>0</v>
      </c>
      <c r="Q423" t="n">
        <v>0</v>
      </c>
      <c r="R423" s="2" t="inlineStr"/>
    </row>
    <row r="424" ht="15" customHeight="1">
      <c r="A424" t="inlineStr">
        <is>
          <t>A 58070-2020</t>
        </is>
      </c>
      <c r="B424" s="1" t="n">
        <v>44140</v>
      </c>
      <c r="C424" s="1" t="n">
        <v>45762</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58058-2020</t>
        </is>
      </c>
      <c r="B425" s="1" t="n">
        <v>44144</v>
      </c>
      <c r="C425" s="1" t="n">
        <v>45762</v>
      </c>
      <c r="D425" t="inlineStr">
        <is>
          <t>UPPSALA LÄN</t>
        </is>
      </c>
      <c r="E425" t="inlineStr">
        <is>
          <t>UPPSALA</t>
        </is>
      </c>
      <c r="G425" t="n">
        <v>4.4</v>
      </c>
      <c r="H425" t="n">
        <v>0</v>
      </c>
      <c r="I425" t="n">
        <v>0</v>
      </c>
      <c r="J425" t="n">
        <v>0</v>
      </c>
      <c r="K425" t="n">
        <v>0</v>
      </c>
      <c r="L425" t="n">
        <v>0</v>
      </c>
      <c r="M425" t="n">
        <v>0</v>
      </c>
      <c r="N425" t="n">
        <v>0</v>
      </c>
      <c r="O425" t="n">
        <v>0</v>
      </c>
      <c r="P425" t="n">
        <v>0</v>
      </c>
      <c r="Q425" t="n">
        <v>0</v>
      </c>
      <c r="R425" s="2" t="inlineStr"/>
    </row>
    <row r="426" ht="15" customHeight="1">
      <c r="A426" t="inlineStr">
        <is>
          <t>A 58056-2020</t>
        </is>
      </c>
      <c r="B426" s="1" t="n">
        <v>44144</v>
      </c>
      <c r="C426" s="1" t="n">
        <v>45762</v>
      </c>
      <c r="D426" t="inlineStr">
        <is>
          <t>UPPSALA LÄN</t>
        </is>
      </c>
      <c r="E426" t="inlineStr">
        <is>
          <t>UPPSALA</t>
        </is>
      </c>
      <c r="G426" t="n">
        <v>5.5</v>
      </c>
      <c r="H426" t="n">
        <v>0</v>
      </c>
      <c r="I426" t="n">
        <v>0</v>
      </c>
      <c r="J426" t="n">
        <v>0</v>
      </c>
      <c r="K426" t="n">
        <v>0</v>
      </c>
      <c r="L426" t="n">
        <v>0</v>
      </c>
      <c r="M426" t="n">
        <v>0</v>
      </c>
      <c r="N426" t="n">
        <v>0</v>
      </c>
      <c r="O426" t="n">
        <v>0</v>
      </c>
      <c r="P426" t="n">
        <v>0</v>
      </c>
      <c r="Q426" t="n">
        <v>0</v>
      </c>
      <c r="R426" s="2" t="inlineStr"/>
    </row>
    <row r="427" ht="15" customHeight="1">
      <c r="A427" t="inlineStr">
        <is>
          <t>A 58288-2020</t>
        </is>
      </c>
      <c r="B427" s="1" t="n">
        <v>44144</v>
      </c>
      <c r="C427" s="1" t="n">
        <v>45762</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58928-2020</t>
        </is>
      </c>
      <c r="B428" s="1" t="n">
        <v>44146</v>
      </c>
      <c r="C428" s="1" t="n">
        <v>45762</v>
      </c>
      <c r="D428" t="inlineStr">
        <is>
          <t>UPPSALA LÄN</t>
        </is>
      </c>
      <c r="E428" t="inlineStr">
        <is>
          <t>UPPSALA</t>
        </is>
      </c>
      <c r="G428" t="n">
        <v>10.6</v>
      </c>
      <c r="H428" t="n">
        <v>0</v>
      </c>
      <c r="I428" t="n">
        <v>0</v>
      </c>
      <c r="J428" t="n">
        <v>0</v>
      </c>
      <c r="K428" t="n">
        <v>0</v>
      </c>
      <c r="L428" t="n">
        <v>0</v>
      </c>
      <c r="M428" t="n">
        <v>0</v>
      </c>
      <c r="N428" t="n">
        <v>0</v>
      </c>
      <c r="O428" t="n">
        <v>0</v>
      </c>
      <c r="P428" t="n">
        <v>0</v>
      </c>
      <c r="Q428" t="n">
        <v>0</v>
      </c>
      <c r="R428" s="2" t="inlineStr"/>
    </row>
    <row r="429" ht="15" customHeight="1">
      <c r="A429" t="inlineStr">
        <is>
          <t>A 59952-2020</t>
        </is>
      </c>
      <c r="B429" s="1" t="n">
        <v>44151</v>
      </c>
      <c r="C429" s="1" t="n">
        <v>45762</v>
      </c>
      <c r="D429" t="inlineStr">
        <is>
          <t>UPPSALA LÄN</t>
        </is>
      </c>
      <c r="E429" t="inlineStr">
        <is>
          <t>UPPSALA</t>
        </is>
      </c>
      <c r="G429" t="n">
        <v>25.8</v>
      </c>
      <c r="H429" t="n">
        <v>0</v>
      </c>
      <c r="I429" t="n">
        <v>0</v>
      </c>
      <c r="J429" t="n">
        <v>0</v>
      </c>
      <c r="K429" t="n">
        <v>0</v>
      </c>
      <c r="L429" t="n">
        <v>0</v>
      </c>
      <c r="M429" t="n">
        <v>0</v>
      </c>
      <c r="N429" t="n">
        <v>0</v>
      </c>
      <c r="O429" t="n">
        <v>0</v>
      </c>
      <c r="P429" t="n">
        <v>0</v>
      </c>
      <c r="Q429" t="n">
        <v>0</v>
      </c>
      <c r="R429" s="2" t="inlineStr"/>
    </row>
    <row r="430" ht="15" customHeight="1">
      <c r="A430" t="inlineStr">
        <is>
          <t>A 60702-2020</t>
        </is>
      </c>
      <c r="B430" s="1" t="n">
        <v>44153</v>
      </c>
      <c r="C430" s="1" t="n">
        <v>45762</v>
      </c>
      <c r="D430" t="inlineStr">
        <is>
          <t>UPPSALA LÄN</t>
        </is>
      </c>
      <c r="E430" t="inlineStr">
        <is>
          <t>UPPSALA</t>
        </is>
      </c>
      <c r="F430" t="inlineStr">
        <is>
          <t>Övriga statliga verk och myndigheter</t>
        </is>
      </c>
      <c r="G430" t="n">
        <v>1.4</v>
      </c>
      <c r="H430" t="n">
        <v>0</v>
      </c>
      <c r="I430" t="n">
        <v>0</v>
      </c>
      <c r="J430" t="n">
        <v>0</v>
      </c>
      <c r="K430" t="n">
        <v>0</v>
      </c>
      <c r="L430" t="n">
        <v>0</v>
      </c>
      <c r="M430" t="n">
        <v>0</v>
      </c>
      <c r="N430" t="n">
        <v>0</v>
      </c>
      <c r="O430" t="n">
        <v>0</v>
      </c>
      <c r="P430" t="n">
        <v>0</v>
      </c>
      <c r="Q430" t="n">
        <v>0</v>
      </c>
      <c r="R430" s="2" t="inlineStr"/>
    </row>
    <row r="431" ht="15" customHeight="1">
      <c r="A431" t="inlineStr">
        <is>
          <t>A 61265-2020</t>
        </is>
      </c>
      <c r="B431" s="1" t="n">
        <v>44155</v>
      </c>
      <c r="C431" s="1" t="n">
        <v>45762</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61271-2020</t>
        </is>
      </c>
      <c r="B432" s="1" t="n">
        <v>44155</v>
      </c>
      <c r="C432" s="1" t="n">
        <v>45762</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62094-2020</t>
        </is>
      </c>
      <c r="B433" s="1" t="n">
        <v>44159</v>
      </c>
      <c r="C433" s="1" t="n">
        <v>45762</v>
      </c>
      <c r="D433" t="inlineStr">
        <is>
          <t>UPPSALA LÄN</t>
        </is>
      </c>
      <c r="E433" t="inlineStr">
        <is>
          <t>UPPSALA</t>
        </is>
      </c>
      <c r="F433" t="inlineStr">
        <is>
          <t>Bergvik skog öst AB</t>
        </is>
      </c>
      <c r="G433" t="n">
        <v>3.4</v>
      </c>
      <c r="H433" t="n">
        <v>0</v>
      </c>
      <c r="I433" t="n">
        <v>0</v>
      </c>
      <c r="J433" t="n">
        <v>0</v>
      </c>
      <c r="K433" t="n">
        <v>0</v>
      </c>
      <c r="L433" t="n">
        <v>0</v>
      </c>
      <c r="M433" t="n">
        <v>0</v>
      </c>
      <c r="N433" t="n">
        <v>0</v>
      </c>
      <c r="O433" t="n">
        <v>0</v>
      </c>
      <c r="P433" t="n">
        <v>0</v>
      </c>
      <c r="Q433" t="n">
        <v>0</v>
      </c>
      <c r="R433" s="2" t="inlineStr"/>
    </row>
    <row r="434" ht="15" customHeight="1">
      <c r="A434" t="inlineStr">
        <is>
          <t>A 62352-2020</t>
        </is>
      </c>
      <c r="B434" s="1" t="n">
        <v>44159</v>
      </c>
      <c r="C434" s="1" t="n">
        <v>45762</v>
      </c>
      <c r="D434" t="inlineStr">
        <is>
          <t>UPPSALA LÄN</t>
        </is>
      </c>
      <c r="E434" t="inlineStr">
        <is>
          <t>UPPSALA</t>
        </is>
      </c>
      <c r="F434" t="inlineStr">
        <is>
          <t>Allmännings- och besparingsskogar</t>
        </is>
      </c>
      <c r="G434" t="n">
        <v>12.9</v>
      </c>
      <c r="H434" t="n">
        <v>0</v>
      </c>
      <c r="I434" t="n">
        <v>0</v>
      </c>
      <c r="J434" t="n">
        <v>0</v>
      </c>
      <c r="K434" t="n">
        <v>0</v>
      </c>
      <c r="L434" t="n">
        <v>0</v>
      </c>
      <c r="M434" t="n">
        <v>0</v>
      </c>
      <c r="N434" t="n">
        <v>0</v>
      </c>
      <c r="O434" t="n">
        <v>0</v>
      </c>
      <c r="P434" t="n">
        <v>0</v>
      </c>
      <c r="Q434" t="n">
        <v>0</v>
      </c>
      <c r="R434" s="2" t="inlineStr"/>
    </row>
    <row r="435" ht="15" customHeight="1">
      <c r="A435" t="inlineStr">
        <is>
          <t>A 62504-2020</t>
        </is>
      </c>
      <c r="B435" s="1" t="n">
        <v>44160</v>
      </c>
      <c r="C435" s="1" t="n">
        <v>45762</v>
      </c>
      <c r="D435" t="inlineStr">
        <is>
          <t>UPPSALA LÄN</t>
        </is>
      </c>
      <c r="E435" t="inlineStr">
        <is>
          <t>UPPSALA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62729-2020</t>
        </is>
      </c>
      <c r="B436" s="1" t="n">
        <v>44161</v>
      </c>
      <c r="C436" s="1" t="n">
        <v>45762</v>
      </c>
      <c r="D436" t="inlineStr">
        <is>
          <t>UPPSALA LÄN</t>
        </is>
      </c>
      <c r="E436" t="inlineStr">
        <is>
          <t>UPPSALA</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62655-2020</t>
        </is>
      </c>
      <c r="B437" s="1" t="n">
        <v>44161</v>
      </c>
      <c r="C437" s="1" t="n">
        <v>45762</v>
      </c>
      <c r="D437" t="inlineStr">
        <is>
          <t>UPPSALA LÄN</t>
        </is>
      </c>
      <c r="E437" t="inlineStr">
        <is>
          <t>UPPSALA</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63145-2020</t>
        </is>
      </c>
      <c r="B438" s="1" t="n">
        <v>44162</v>
      </c>
      <c r="C438" s="1" t="n">
        <v>45762</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63529-2020</t>
        </is>
      </c>
      <c r="B439" s="1" t="n">
        <v>44165</v>
      </c>
      <c r="C439" s="1" t="n">
        <v>45762</v>
      </c>
      <c r="D439" t="inlineStr">
        <is>
          <t>UPPSALA LÄN</t>
        </is>
      </c>
      <c r="E439" t="inlineStr">
        <is>
          <t>UPPSALA</t>
        </is>
      </c>
      <c r="F439" t="inlineStr">
        <is>
          <t>Övriga statliga verk och myndigheter</t>
        </is>
      </c>
      <c r="G439" t="n">
        <v>2.4</v>
      </c>
      <c r="H439" t="n">
        <v>0</v>
      </c>
      <c r="I439" t="n">
        <v>0</v>
      </c>
      <c r="J439" t="n">
        <v>0</v>
      </c>
      <c r="K439" t="n">
        <v>0</v>
      </c>
      <c r="L439" t="n">
        <v>0</v>
      </c>
      <c r="M439" t="n">
        <v>0</v>
      </c>
      <c r="N439" t="n">
        <v>0</v>
      </c>
      <c r="O439" t="n">
        <v>0</v>
      </c>
      <c r="P439" t="n">
        <v>0</v>
      </c>
      <c r="Q439" t="n">
        <v>0</v>
      </c>
      <c r="R439" s="2" t="inlineStr"/>
    </row>
    <row r="440" ht="15" customHeight="1">
      <c r="A440" t="inlineStr">
        <is>
          <t>A 63749-2020</t>
        </is>
      </c>
      <c r="B440" s="1" t="n">
        <v>44166</v>
      </c>
      <c r="C440" s="1" t="n">
        <v>45762</v>
      </c>
      <c r="D440" t="inlineStr">
        <is>
          <t>UPPSALA LÄN</t>
        </is>
      </c>
      <c r="E440" t="inlineStr">
        <is>
          <t>UPPSALA</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64128-2020</t>
        </is>
      </c>
      <c r="B441" s="1" t="n">
        <v>44167</v>
      </c>
      <c r="C441" s="1" t="n">
        <v>45762</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64353-2020</t>
        </is>
      </c>
      <c r="B442" s="1" t="n">
        <v>44168</v>
      </c>
      <c r="C442" s="1" t="n">
        <v>45762</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64333-2020</t>
        </is>
      </c>
      <c r="B443" s="1" t="n">
        <v>44168</v>
      </c>
      <c r="C443" s="1" t="n">
        <v>45762</v>
      </c>
      <c r="D443" t="inlineStr">
        <is>
          <t>UPPSALA LÄN</t>
        </is>
      </c>
      <c r="E443" t="inlineStr">
        <is>
          <t>UPPSALA</t>
        </is>
      </c>
      <c r="G443" t="n">
        <v>7.1</v>
      </c>
      <c r="H443" t="n">
        <v>0</v>
      </c>
      <c r="I443" t="n">
        <v>0</v>
      </c>
      <c r="J443" t="n">
        <v>0</v>
      </c>
      <c r="K443" t="n">
        <v>0</v>
      </c>
      <c r="L443" t="n">
        <v>0</v>
      </c>
      <c r="M443" t="n">
        <v>0</v>
      </c>
      <c r="N443" t="n">
        <v>0</v>
      </c>
      <c r="O443" t="n">
        <v>0</v>
      </c>
      <c r="P443" t="n">
        <v>0</v>
      </c>
      <c r="Q443" t="n">
        <v>0</v>
      </c>
      <c r="R443" s="2" t="inlineStr"/>
    </row>
    <row r="444" ht="15" customHeight="1">
      <c r="A444" t="inlineStr">
        <is>
          <t>A 66984-2020</t>
        </is>
      </c>
      <c r="B444" s="1" t="n">
        <v>44180</v>
      </c>
      <c r="C444" s="1" t="n">
        <v>45762</v>
      </c>
      <c r="D444" t="inlineStr">
        <is>
          <t>UPPSALA LÄN</t>
        </is>
      </c>
      <c r="E444" t="inlineStr">
        <is>
          <t>UPPSALA</t>
        </is>
      </c>
      <c r="F444" t="inlineStr">
        <is>
          <t>Övriga statliga verk och myndigheter</t>
        </is>
      </c>
      <c r="G444" t="n">
        <v>2.1</v>
      </c>
      <c r="H444" t="n">
        <v>0</v>
      </c>
      <c r="I444" t="n">
        <v>0</v>
      </c>
      <c r="J444" t="n">
        <v>0</v>
      </c>
      <c r="K444" t="n">
        <v>0</v>
      </c>
      <c r="L444" t="n">
        <v>0</v>
      </c>
      <c r="M444" t="n">
        <v>0</v>
      </c>
      <c r="N444" t="n">
        <v>0</v>
      </c>
      <c r="O444" t="n">
        <v>0</v>
      </c>
      <c r="P444" t="n">
        <v>0</v>
      </c>
      <c r="Q444" t="n">
        <v>0</v>
      </c>
      <c r="R444" s="2" t="inlineStr"/>
    </row>
    <row r="445" ht="15" customHeight="1">
      <c r="A445" t="inlineStr">
        <is>
          <t>A 265-2021</t>
        </is>
      </c>
      <c r="B445" s="1" t="n">
        <v>44200</v>
      </c>
      <c r="C445" s="1" t="n">
        <v>45762</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1020-2021</t>
        </is>
      </c>
      <c r="B446" s="1" t="n">
        <v>44207</v>
      </c>
      <c r="C446" s="1" t="n">
        <v>45762</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1573-2021</t>
        </is>
      </c>
      <c r="B447" s="1" t="n">
        <v>44209</v>
      </c>
      <c r="C447" s="1" t="n">
        <v>45762</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1617-2021</t>
        </is>
      </c>
      <c r="B448" s="1" t="n">
        <v>44209</v>
      </c>
      <c r="C448" s="1" t="n">
        <v>45762</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1855-2021</t>
        </is>
      </c>
      <c r="B449" s="1" t="n">
        <v>44210</v>
      </c>
      <c r="C449" s="1" t="n">
        <v>45762</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2169-2021</t>
        </is>
      </c>
      <c r="B450" s="1" t="n">
        <v>44211</v>
      </c>
      <c r="C450" s="1" t="n">
        <v>45762</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3864-2021</t>
        </is>
      </c>
      <c r="B451" s="1" t="n">
        <v>44216</v>
      </c>
      <c r="C451" s="1" t="n">
        <v>45762</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3874-2021</t>
        </is>
      </c>
      <c r="B452" s="1" t="n">
        <v>44216</v>
      </c>
      <c r="C452" s="1" t="n">
        <v>45762</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3955-2021</t>
        </is>
      </c>
      <c r="B453" s="1" t="n">
        <v>44222</v>
      </c>
      <c r="C453" s="1" t="n">
        <v>45762</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4875-2021</t>
        </is>
      </c>
      <c r="B454" s="1" t="n">
        <v>44223</v>
      </c>
      <c r="C454" s="1" t="n">
        <v>45762</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5663-2021</t>
        </is>
      </c>
      <c r="B455" s="1" t="n">
        <v>44230</v>
      </c>
      <c r="C455" s="1" t="n">
        <v>45762</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8114-2021</t>
        </is>
      </c>
      <c r="B456" s="1" t="n">
        <v>44243</v>
      </c>
      <c r="C456" s="1" t="n">
        <v>45762</v>
      </c>
      <c r="D456" t="inlineStr">
        <is>
          <t>UPPSALA LÄN</t>
        </is>
      </c>
      <c r="E456" t="inlineStr">
        <is>
          <t>UPPSALA</t>
        </is>
      </c>
      <c r="G456" t="n">
        <v>3.4</v>
      </c>
      <c r="H456" t="n">
        <v>0</v>
      </c>
      <c r="I456" t="n">
        <v>0</v>
      </c>
      <c r="J456" t="n">
        <v>0</v>
      </c>
      <c r="K456" t="n">
        <v>0</v>
      </c>
      <c r="L456" t="n">
        <v>0</v>
      </c>
      <c r="M456" t="n">
        <v>0</v>
      </c>
      <c r="N456" t="n">
        <v>0</v>
      </c>
      <c r="O456" t="n">
        <v>0</v>
      </c>
      <c r="P456" t="n">
        <v>0</v>
      </c>
      <c r="Q456" t="n">
        <v>0</v>
      </c>
      <c r="R456" s="2" t="inlineStr"/>
    </row>
    <row r="457" ht="15" customHeight="1">
      <c r="A457" t="inlineStr">
        <is>
          <t>A 8494-2021</t>
        </is>
      </c>
      <c r="B457" s="1" t="n">
        <v>44245</v>
      </c>
      <c r="C457" s="1" t="n">
        <v>45762</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9700-2021</t>
        </is>
      </c>
      <c r="B458" s="1" t="n">
        <v>44252</v>
      </c>
      <c r="C458" s="1" t="n">
        <v>45762</v>
      </c>
      <c r="D458" t="inlineStr">
        <is>
          <t>UPPSALA LÄN</t>
        </is>
      </c>
      <c r="E458" t="inlineStr">
        <is>
          <t>UPPSALA</t>
        </is>
      </c>
      <c r="G458" t="n">
        <v>3.3</v>
      </c>
      <c r="H458" t="n">
        <v>0</v>
      </c>
      <c r="I458" t="n">
        <v>0</v>
      </c>
      <c r="J458" t="n">
        <v>0</v>
      </c>
      <c r="K458" t="n">
        <v>0</v>
      </c>
      <c r="L458" t="n">
        <v>0</v>
      </c>
      <c r="M458" t="n">
        <v>0</v>
      </c>
      <c r="N458" t="n">
        <v>0</v>
      </c>
      <c r="O458" t="n">
        <v>0</v>
      </c>
      <c r="P458" t="n">
        <v>0</v>
      </c>
      <c r="Q458" t="n">
        <v>0</v>
      </c>
      <c r="R458" s="2" t="inlineStr"/>
    </row>
    <row r="459" ht="15" customHeight="1">
      <c r="A459" t="inlineStr">
        <is>
          <t>A 9712-2021</t>
        </is>
      </c>
      <c r="B459" s="1" t="n">
        <v>44252</v>
      </c>
      <c r="C459" s="1" t="n">
        <v>45762</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12225-2021</t>
        </is>
      </c>
      <c r="B460" s="1" t="n">
        <v>44266</v>
      </c>
      <c r="C460" s="1" t="n">
        <v>45762</v>
      </c>
      <c r="D460" t="inlineStr">
        <is>
          <t>UPPSALA LÄN</t>
        </is>
      </c>
      <c r="E460" t="inlineStr">
        <is>
          <t>UPPSALA</t>
        </is>
      </c>
      <c r="F460" t="inlineStr">
        <is>
          <t>Bergvik skog öst AB</t>
        </is>
      </c>
      <c r="G460" t="n">
        <v>4.8</v>
      </c>
      <c r="H460" t="n">
        <v>0</v>
      </c>
      <c r="I460" t="n">
        <v>0</v>
      </c>
      <c r="J460" t="n">
        <v>0</v>
      </c>
      <c r="K460" t="n">
        <v>0</v>
      </c>
      <c r="L460" t="n">
        <v>0</v>
      </c>
      <c r="M460" t="n">
        <v>0</v>
      </c>
      <c r="N460" t="n">
        <v>0</v>
      </c>
      <c r="O460" t="n">
        <v>0</v>
      </c>
      <c r="P460" t="n">
        <v>0</v>
      </c>
      <c r="Q460" t="n">
        <v>0</v>
      </c>
      <c r="R460" s="2" t="inlineStr"/>
    </row>
    <row r="461" ht="15" customHeight="1">
      <c r="A461" t="inlineStr">
        <is>
          <t>A 12152-2021</t>
        </is>
      </c>
      <c r="B461" s="1" t="n">
        <v>44266</v>
      </c>
      <c r="C461" s="1" t="n">
        <v>45762</v>
      </c>
      <c r="D461" t="inlineStr">
        <is>
          <t>UPPSALA LÄN</t>
        </is>
      </c>
      <c r="E461" t="inlineStr">
        <is>
          <t>UPPSALA</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12172-2021</t>
        </is>
      </c>
      <c r="B462" s="1" t="n">
        <v>44266</v>
      </c>
      <c r="C462" s="1" t="n">
        <v>45762</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12194-2021</t>
        </is>
      </c>
      <c r="B463" s="1" t="n">
        <v>44266</v>
      </c>
      <c r="C463" s="1" t="n">
        <v>45762</v>
      </c>
      <c r="D463" t="inlineStr">
        <is>
          <t>UPPSALA LÄN</t>
        </is>
      </c>
      <c r="E463" t="inlineStr">
        <is>
          <t>UPPSALA</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12313-2021</t>
        </is>
      </c>
      <c r="B464" s="1" t="n">
        <v>44266</v>
      </c>
      <c r="C464" s="1" t="n">
        <v>45762</v>
      </c>
      <c r="D464" t="inlineStr">
        <is>
          <t>UPPSALA LÄN</t>
        </is>
      </c>
      <c r="E464" t="inlineStr">
        <is>
          <t>UPPSALA</t>
        </is>
      </c>
      <c r="G464" t="n">
        <v>23.6</v>
      </c>
      <c r="H464" t="n">
        <v>0</v>
      </c>
      <c r="I464" t="n">
        <v>0</v>
      </c>
      <c r="J464" t="n">
        <v>0</v>
      </c>
      <c r="K464" t="n">
        <v>0</v>
      </c>
      <c r="L464" t="n">
        <v>0</v>
      </c>
      <c r="M464" t="n">
        <v>0</v>
      </c>
      <c r="N464" t="n">
        <v>0</v>
      </c>
      <c r="O464" t="n">
        <v>0</v>
      </c>
      <c r="P464" t="n">
        <v>0</v>
      </c>
      <c r="Q464" t="n">
        <v>0</v>
      </c>
      <c r="R464" s="2" t="inlineStr"/>
    </row>
    <row r="465" ht="15" customHeight="1">
      <c r="A465" t="inlineStr">
        <is>
          <t>A 13010-2021</t>
        </is>
      </c>
      <c r="B465" s="1" t="n">
        <v>44271</v>
      </c>
      <c r="C465" s="1" t="n">
        <v>45762</v>
      </c>
      <c r="D465" t="inlineStr">
        <is>
          <t>UPPSALA LÄN</t>
        </is>
      </c>
      <c r="E465" t="inlineStr">
        <is>
          <t>UPPSALA</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13420-2021</t>
        </is>
      </c>
      <c r="B466" s="1" t="n">
        <v>44273</v>
      </c>
      <c r="C466" s="1" t="n">
        <v>45762</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14026-2021</t>
        </is>
      </c>
      <c r="B467" s="1" t="n">
        <v>44277</v>
      </c>
      <c r="C467" s="1" t="n">
        <v>45762</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14022-2021</t>
        </is>
      </c>
      <c r="B468" s="1" t="n">
        <v>44277</v>
      </c>
      <c r="C468" s="1" t="n">
        <v>45762</v>
      </c>
      <c r="D468" t="inlineStr">
        <is>
          <t>UPPSALA LÄN</t>
        </is>
      </c>
      <c r="E468" t="inlineStr">
        <is>
          <t>UPPSALA</t>
        </is>
      </c>
      <c r="G468" t="n">
        <v>11.1</v>
      </c>
      <c r="H468" t="n">
        <v>0</v>
      </c>
      <c r="I468" t="n">
        <v>0</v>
      </c>
      <c r="J468" t="n">
        <v>0</v>
      </c>
      <c r="K468" t="n">
        <v>0</v>
      </c>
      <c r="L468" t="n">
        <v>0</v>
      </c>
      <c r="M468" t="n">
        <v>0</v>
      </c>
      <c r="N468" t="n">
        <v>0</v>
      </c>
      <c r="O468" t="n">
        <v>0</v>
      </c>
      <c r="P468" t="n">
        <v>0</v>
      </c>
      <c r="Q468" t="n">
        <v>0</v>
      </c>
      <c r="R468" s="2" t="inlineStr"/>
    </row>
    <row r="469" ht="15" customHeight="1">
      <c r="A469" t="inlineStr">
        <is>
          <t>A 14341-2021</t>
        </is>
      </c>
      <c r="B469" s="1" t="n">
        <v>44279</v>
      </c>
      <c r="C469" s="1" t="n">
        <v>45762</v>
      </c>
      <c r="D469" t="inlineStr">
        <is>
          <t>UPPSALA LÄN</t>
        </is>
      </c>
      <c r="E469" t="inlineStr">
        <is>
          <t>UPPSALA</t>
        </is>
      </c>
      <c r="G469" t="n">
        <v>8.9</v>
      </c>
      <c r="H469" t="n">
        <v>0</v>
      </c>
      <c r="I469" t="n">
        <v>0</v>
      </c>
      <c r="J469" t="n">
        <v>0</v>
      </c>
      <c r="K469" t="n">
        <v>0</v>
      </c>
      <c r="L469" t="n">
        <v>0</v>
      </c>
      <c r="M469" t="n">
        <v>0</v>
      </c>
      <c r="N469" t="n">
        <v>0</v>
      </c>
      <c r="O469" t="n">
        <v>0</v>
      </c>
      <c r="P469" t="n">
        <v>0</v>
      </c>
      <c r="Q469" t="n">
        <v>0</v>
      </c>
      <c r="R469" s="2" t="inlineStr"/>
    </row>
    <row r="470" ht="15" customHeight="1">
      <c r="A470" t="inlineStr">
        <is>
          <t>A 14941-2021</t>
        </is>
      </c>
      <c r="B470" s="1" t="n">
        <v>44281</v>
      </c>
      <c r="C470" s="1" t="n">
        <v>45762</v>
      </c>
      <c r="D470" t="inlineStr">
        <is>
          <t>UPPSALA LÄN</t>
        </is>
      </c>
      <c r="E470" t="inlineStr">
        <is>
          <t>UPPSALA</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15816-2021</t>
        </is>
      </c>
      <c r="B471" s="1" t="n">
        <v>44286</v>
      </c>
      <c r="C471" s="1" t="n">
        <v>45762</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15820-2021</t>
        </is>
      </c>
      <c r="B472" s="1" t="n">
        <v>44286</v>
      </c>
      <c r="C472" s="1" t="n">
        <v>45762</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16592-2021</t>
        </is>
      </c>
      <c r="B473" s="1" t="n">
        <v>44294</v>
      </c>
      <c r="C473" s="1" t="n">
        <v>45762</v>
      </c>
      <c r="D473" t="inlineStr">
        <is>
          <t>UPPSALA LÄN</t>
        </is>
      </c>
      <c r="E473" t="inlineStr">
        <is>
          <t>UPPSALA</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16615-2021</t>
        </is>
      </c>
      <c r="B474" s="1" t="n">
        <v>44294</v>
      </c>
      <c r="C474" s="1" t="n">
        <v>45762</v>
      </c>
      <c r="D474" t="inlineStr">
        <is>
          <t>UPPSALA LÄN</t>
        </is>
      </c>
      <c r="E474" t="inlineStr">
        <is>
          <t>UPPSALA</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16684-2021</t>
        </is>
      </c>
      <c r="B475" s="1" t="n">
        <v>44294</v>
      </c>
      <c r="C475" s="1" t="n">
        <v>45762</v>
      </c>
      <c r="D475" t="inlineStr">
        <is>
          <t>UPPSALA LÄN</t>
        </is>
      </c>
      <c r="E475" t="inlineStr">
        <is>
          <t>UPPSALA</t>
        </is>
      </c>
      <c r="F475" t="inlineStr">
        <is>
          <t>Övriga Aktiebolag</t>
        </is>
      </c>
      <c r="G475" t="n">
        <v>1.3</v>
      </c>
      <c r="H475" t="n">
        <v>0</v>
      </c>
      <c r="I475" t="n">
        <v>0</v>
      </c>
      <c r="J475" t="n">
        <v>0</v>
      </c>
      <c r="K475" t="n">
        <v>0</v>
      </c>
      <c r="L475" t="n">
        <v>0</v>
      </c>
      <c r="M475" t="n">
        <v>0</v>
      </c>
      <c r="N475" t="n">
        <v>0</v>
      </c>
      <c r="O475" t="n">
        <v>0</v>
      </c>
      <c r="P475" t="n">
        <v>0</v>
      </c>
      <c r="Q475" t="n">
        <v>0</v>
      </c>
      <c r="R475" s="2" t="inlineStr"/>
    </row>
    <row r="476" ht="15" customHeight="1">
      <c r="A476" t="inlineStr">
        <is>
          <t>A 17262-2021</t>
        </is>
      </c>
      <c r="B476" s="1" t="n">
        <v>44297</v>
      </c>
      <c r="C476" s="1" t="n">
        <v>45762</v>
      </c>
      <c r="D476" t="inlineStr">
        <is>
          <t>UPPSALA LÄN</t>
        </is>
      </c>
      <c r="E476" t="inlineStr">
        <is>
          <t>UPPSALA</t>
        </is>
      </c>
      <c r="F476" t="inlineStr">
        <is>
          <t>Allmännings- och besparingsskogar</t>
        </is>
      </c>
      <c r="G476" t="n">
        <v>1</v>
      </c>
      <c r="H476" t="n">
        <v>0</v>
      </c>
      <c r="I476" t="n">
        <v>0</v>
      </c>
      <c r="J476" t="n">
        <v>0</v>
      </c>
      <c r="K476" t="n">
        <v>0</v>
      </c>
      <c r="L476" t="n">
        <v>0</v>
      </c>
      <c r="M476" t="n">
        <v>0</v>
      </c>
      <c r="N476" t="n">
        <v>0</v>
      </c>
      <c r="O476" t="n">
        <v>0</v>
      </c>
      <c r="P476" t="n">
        <v>0</v>
      </c>
      <c r="Q476" t="n">
        <v>0</v>
      </c>
      <c r="R476" s="2" t="inlineStr"/>
    </row>
    <row r="477" ht="15" customHeight="1">
      <c r="A477" t="inlineStr">
        <is>
          <t>A 17250-2021</t>
        </is>
      </c>
      <c r="B477" s="1" t="n">
        <v>44297</v>
      </c>
      <c r="C477" s="1" t="n">
        <v>45762</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17536-2021</t>
        </is>
      </c>
      <c r="B478" s="1" t="n">
        <v>44299</v>
      </c>
      <c r="C478" s="1" t="n">
        <v>45762</v>
      </c>
      <c r="D478" t="inlineStr">
        <is>
          <t>UPPSALA LÄN</t>
        </is>
      </c>
      <c r="E478" t="inlineStr">
        <is>
          <t>UPPSALA</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18906-2021</t>
        </is>
      </c>
      <c r="B479" s="1" t="n">
        <v>44308</v>
      </c>
      <c r="C479" s="1" t="n">
        <v>45762</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19927-2021</t>
        </is>
      </c>
      <c r="B480" s="1" t="n">
        <v>44313</v>
      </c>
      <c r="C480" s="1" t="n">
        <v>45762</v>
      </c>
      <c r="D480" t="inlineStr">
        <is>
          <t>UPPSALA LÄN</t>
        </is>
      </c>
      <c r="E480" t="inlineStr">
        <is>
          <t>UPPSALA</t>
        </is>
      </c>
      <c r="F480" t="inlineStr">
        <is>
          <t>Bergvik skog öst AB</t>
        </is>
      </c>
      <c r="G480" t="n">
        <v>1.2</v>
      </c>
      <c r="H480" t="n">
        <v>0</v>
      </c>
      <c r="I480" t="n">
        <v>0</v>
      </c>
      <c r="J480" t="n">
        <v>0</v>
      </c>
      <c r="K480" t="n">
        <v>0</v>
      </c>
      <c r="L480" t="n">
        <v>0</v>
      </c>
      <c r="M480" t="n">
        <v>0</v>
      </c>
      <c r="N480" t="n">
        <v>0</v>
      </c>
      <c r="O480" t="n">
        <v>0</v>
      </c>
      <c r="P480" t="n">
        <v>0</v>
      </c>
      <c r="Q480" t="n">
        <v>0</v>
      </c>
      <c r="R480" s="2" t="inlineStr"/>
    </row>
    <row r="481" ht="15" customHeight="1">
      <c r="A481" t="inlineStr">
        <is>
          <t>A 19947-2021</t>
        </is>
      </c>
      <c r="B481" s="1" t="n">
        <v>44313</v>
      </c>
      <c r="C481" s="1" t="n">
        <v>45762</v>
      </c>
      <c r="D481" t="inlineStr">
        <is>
          <t>UPPSALA LÄN</t>
        </is>
      </c>
      <c r="E481" t="inlineStr">
        <is>
          <t>UPPSALA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20276-2021</t>
        </is>
      </c>
      <c r="B482" s="1" t="n">
        <v>44314</v>
      </c>
      <c r="C482" s="1" t="n">
        <v>45762</v>
      </c>
      <c r="D482" t="inlineStr">
        <is>
          <t>UPPSALA LÄN</t>
        </is>
      </c>
      <c r="E482" t="inlineStr">
        <is>
          <t>UPPSALA</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20271-2021</t>
        </is>
      </c>
      <c r="B483" s="1" t="n">
        <v>44314</v>
      </c>
      <c r="C483" s="1" t="n">
        <v>45762</v>
      </c>
      <c r="D483" t="inlineStr">
        <is>
          <t>UPPSALA LÄN</t>
        </is>
      </c>
      <c r="E483" t="inlineStr">
        <is>
          <t>UPPSALA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20609-2021</t>
        </is>
      </c>
      <c r="B484" s="1" t="n">
        <v>44316</v>
      </c>
      <c r="C484" s="1" t="n">
        <v>45762</v>
      </c>
      <c r="D484" t="inlineStr">
        <is>
          <t>UPPSALA LÄN</t>
        </is>
      </c>
      <c r="E484" t="inlineStr">
        <is>
          <t>UPPSALA</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22070-2021</t>
        </is>
      </c>
      <c r="B485" s="1" t="n">
        <v>44323</v>
      </c>
      <c r="C485" s="1" t="n">
        <v>45762</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22946-2021</t>
        </is>
      </c>
      <c r="B486" s="1" t="n">
        <v>44328</v>
      </c>
      <c r="C486" s="1" t="n">
        <v>45762</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23877-2021</t>
        </is>
      </c>
      <c r="B487" s="1" t="n">
        <v>44335</v>
      </c>
      <c r="C487" s="1" t="n">
        <v>45762</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25613-2021</t>
        </is>
      </c>
      <c r="B488" s="1" t="n">
        <v>44343</v>
      </c>
      <c r="C488" s="1" t="n">
        <v>45762</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26785-2021</t>
        </is>
      </c>
      <c r="B489" s="1" t="n">
        <v>44349</v>
      </c>
      <c r="C489" s="1" t="n">
        <v>45762</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27365-2021</t>
        </is>
      </c>
      <c r="B490" s="1" t="n">
        <v>44351</v>
      </c>
      <c r="C490" s="1" t="n">
        <v>45762</v>
      </c>
      <c r="D490" t="inlineStr">
        <is>
          <t>UPPSALA LÄN</t>
        </is>
      </c>
      <c r="E490" t="inlineStr">
        <is>
          <t>UPPSALA</t>
        </is>
      </c>
      <c r="F490" t="inlineStr">
        <is>
          <t>Allmännings- och besparingsskogar</t>
        </is>
      </c>
      <c r="G490" t="n">
        <v>20.5</v>
      </c>
      <c r="H490" t="n">
        <v>0</v>
      </c>
      <c r="I490" t="n">
        <v>0</v>
      </c>
      <c r="J490" t="n">
        <v>0</v>
      </c>
      <c r="K490" t="n">
        <v>0</v>
      </c>
      <c r="L490" t="n">
        <v>0</v>
      </c>
      <c r="M490" t="n">
        <v>0</v>
      </c>
      <c r="N490" t="n">
        <v>0</v>
      </c>
      <c r="O490" t="n">
        <v>0</v>
      </c>
      <c r="P490" t="n">
        <v>0</v>
      </c>
      <c r="Q490" t="n">
        <v>0</v>
      </c>
      <c r="R490" s="2" t="inlineStr"/>
    </row>
    <row r="491" ht="15" customHeight="1">
      <c r="A491" t="inlineStr">
        <is>
          <t>A 28694-2021</t>
        </is>
      </c>
      <c r="B491" s="1" t="n">
        <v>44357</v>
      </c>
      <c r="C491" s="1" t="n">
        <v>45762</v>
      </c>
      <c r="D491" t="inlineStr">
        <is>
          <t>UPPSALA LÄN</t>
        </is>
      </c>
      <c r="E491" t="inlineStr">
        <is>
          <t>UPPSALA</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29145-2021</t>
        </is>
      </c>
      <c r="B492" s="1" t="n">
        <v>44358</v>
      </c>
      <c r="C492" s="1" t="n">
        <v>45762</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30655-2021</t>
        </is>
      </c>
      <c r="B493" s="1" t="n">
        <v>44365</v>
      </c>
      <c r="C493" s="1" t="n">
        <v>45762</v>
      </c>
      <c r="D493" t="inlineStr">
        <is>
          <t>UPPSALA LÄN</t>
        </is>
      </c>
      <c r="E493" t="inlineStr">
        <is>
          <t>UPPSALA</t>
        </is>
      </c>
      <c r="F493" t="inlineStr">
        <is>
          <t>Holmen skog AB</t>
        </is>
      </c>
      <c r="G493" t="n">
        <v>5.8</v>
      </c>
      <c r="H493" t="n">
        <v>0</v>
      </c>
      <c r="I493" t="n">
        <v>0</v>
      </c>
      <c r="J493" t="n">
        <v>0</v>
      </c>
      <c r="K493" t="n">
        <v>0</v>
      </c>
      <c r="L493" t="n">
        <v>0</v>
      </c>
      <c r="M493" t="n">
        <v>0</v>
      </c>
      <c r="N493" t="n">
        <v>0</v>
      </c>
      <c r="O493" t="n">
        <v>0</v>
      </c>
      <c r="P493" t="n">
        <v>0</v>
      </c>
      <c r="Q493" t="n">
        <v>0</v>
      </c>
      <c r="R493" s="2" t="inlineStr"/>
    </row>
    <row r="494" ht="15" customHeight="1">
      <c r="A494" t="inlineStr">
        <is>
          <t>A 30656-2021</t>
        </is>
      </c>
      <c r="B494" s="1" t="n">
        <v>44365</v>
      </c>
      <c r="C494" s="1" t="n">
        <v>45762</v>
      </c>
      <c r="D494" t="inlineStr">
        <is>
          <t>UPPSALA LÄN</t>
        </is>
      </c>
      <c r="E494" t="inlineStr">
        <is>
          <t>UPPSALA</t>
        </is>
      </c>
      <c r="G494" t="n">
        <v>6.7</v>
      </c>
      <c r="H494" t="n">
        <v>0</v>
      </c>
      <c r="I494" t="n">
        <v>0</v>
      </c>
      <c r="J494" t="n">
        <v>0</v>
      </c>
      <c r="K494" t="n">
        <v>0</v>
      </c>
      <c r="L494" t="n">
        <v>0</v>
      </c>
      <c r="M494" t="n">
        <v>0</v>
      </c>
      <c r="N494" t="n">
        <v>0</v>
      </c>
      <c r="O494" t="n">
        <v>0</v>
      </c>
      <c r="P494" t="n">
        <v>0</v>
      </c>
      <c r="Q494" t="n">
        <v>0</v>
      </c>
      <c r="R494" s="2" t="inlineStr"/>
    </row>
    <row r="495" ht="15" customHeight="1">
      <c r="A495" t="inlineStr">
        <is>
          <t>A 31646-2021</t>
        </is>
      </c>
      <c r="B495" s="1" t="n">
        <v>44369</v>
      </c>
      <c r="C495" s="1" t="n">
        <v>45762</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31662-2021</t>
        </is>
      </c>
      <c r="B496" s="1" t="n">
        <v>44369</v>
      </c>
      <c r="C496" s="1" t="n">
        <v>45762</v>
      </c>
      <c r="D496" t="inlineStr">
        <is>
          <t>UPPSALA LÄN</t>
        </is>
      </c>
      <c r="E496" t="inlineStr">
        <is>
          <t>UPPSALA</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31829-2021</t>
        </is>
      </c>
      <c r="B497" s="1" t="n">
        <v>44370</v>
      </c>
      <c r="C497" s="1" t="n">
        <v>45762</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v>
      </c>
      <c r="C498" s="1" t="n">
        <v>45762</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32428-2021</t>
        </is>
      </c>
      <c r="B499" s="1" t="n">
        <v>44371</v>
      </c>
      <c r="C499" s="1" t="n">
        <v>45762</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32955-2021</t>
        </is>
      </c>
      <c r="B500" s="1" t="n">
        <v>44376</v>
      </c>
      <c r="C500" s="1" t="n">
        <v>45762</v>
      </c>
      <c r="D500" t="inlineStr">
        <is>
          <t>UPPSALA LÄN</t>
        </is>
      </c>
      <c r="E500" t="inlineStr">
        <is>
          <t>UPPSALA</t>
        </is>
      </c>
      <c r="F500" t="inlineStr">
        <is>
          <t>Bergvik skog öst AB</t>
        </is>
      </c>
      <c r="G500" t="n">
        <v>10</v>
      </c>
      <c r="H500" t="n">
        <v>0</v>
      </c>
      <c r="I500" t="n">
        <v>0</v>
      </c>
      <c r="J500" t="n">
        <v>0</v>
      </c>
      <c r="K500" t="n">
        <v>0</v>
      </c>
      <c r="L500" t="n">
        <v>0</v>
      </c>
      <c r="M500" t="n">
        <v>0</v>
      </c>
      <c r="N500" t="n">
        <v>0</v>
      </c>
      <c r="O500" t="n">
        <v>0</v>
      </c>
      <c r="P500" t="n">
        <v>0</v>
      </c>
      <c r="Q500" t="n">
        <v>0</v>
      </c>
      <c r="R500" s="2" t="inlineStr"/>
    </row>
    <row r="501" ht="15" customHeight="1">
      <c r="A501" t="inlineStr">
        <is>
          <t>A 33797-2021</t>
        </is>
      </c>
      <c r="B501" s="1" t="n">
        <v>44378</v>
      </c>
      <c r="C501" s="1" t="n">
        <v>45762</v>
      </c>
      <c r="D501" t="inlineStr">
        <is>
          <t>UPPSALA LÄN</t>
        </is>
      </c>
      <c r="E501" t="inlineStr">
        <is>
          <t>UPPSALA</t>
        </is>
      </c>
      <c r="G501" t="n">
        <v>1</v>
      </c>
      <c r="H501" t="n">
        <v>0</v>
      </c>
      <c r="I501" t="n">
        <v>0</v>
      </c>
      <c r="J501" t="n">
        <v>0</v>
      </c>
      <c r="K501" t="n">
        <v>0</v>
      </c>
      <c r="L501" t="n">
        <v>0</v>
      </c>
      <c r="M501" t="n">
        <v>0</v>
      </c>
      <c r="N501" t="n">
        <v>0</v>
      </c>
      <c r="O501" t="n">
        <v>0</v>
      </c>
      <c r="P501" t="n">
        <v>0</v>
      </c>
      <c r="Q501" t="n">
        <v>0</v>
      </c>
      <c r="R501" s="2" t="inlineStr"/>
    </row>
    <row r="502" ht="15" customHeight="1">
      <c r="A502" t="inlineStr">
        <is>
          <t>A 33920-2021</t>
        </is>
      </c>
      <c r="B502" s="1" t="n">
        <v>44378</v>
      </c>
      <c r="C502" s="1" t="n">
        <v>45762</v>
      </c>
      <c r="D502" t="inlineStr">
        <is>
          <t>UPPSALA LÄN</t>
        </is>
      </c>
      <c r="E502" t="inlineStr">
        <is>
          <t>UPPSALA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34039-2021</t>
        </is>
      </c>
      <c r="B503" s="1" t="n">
        <v>44379</v>
      </c>
      <c r="C503" s="1" t="n">
        <v>45762</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34043-2021</t>
        </is>
      </c>
      <c r="B504" s="1" t="n">
        <v>44379</v>
      </c>
      <c r="C504" s="1" t="n">
        <v>45762</v>
      </c>
      <c r="D504" t="inlineStr">
        <is>
          <t>UPPSALA LÄN</t>
        </is>
      </c>
      <c r="E504" t="inlineStr">
        <is>
          <t>UPPSALA</t>
        </is>
      </c>
      <c r="G504" t="n">
        <v>2.2</v>
      </c>
      <c r="H504" t="n">
        <v>0</v>
      </c>
      <c r="I504" t="n">
        <v>0</v>
      </c>
      <c r="J504" t="n">
        <v>0</v>
      </c>
      <c r="K504" t="n">
        <v>0</v>
      </c>
      <c r="L504" t="n">
        <v>0</v>
      </c>
      <c r="M504" t="n">
        <v>0</v>
      </c>
      <c r="N504" t="n">
        <v>0</v>
      </c>
      <c r="O504" t="n">
        <v>0</v>
      </c>
      <c r="P504" t="n">
        <v>0</v>
      </c>
      <c r="Q504" t="n">
        <v>0</v>
      </c>
      <c r="R504" s="2" t="inlineStr"/>
    </row>
    <row r="505" ht="15" customHeight="1">
      <c r="A505" t="inlineStr">
        <is>
          <t>A 34265-2021</t>
        </is>
      </c>
      <c r="B505" s="1" t="n">
        <v>44379</v>
      </c>
      <c r="C505" s="1" t="n">
        <v>45762</v>
      </c>
      <c r="D505" t="inlineStr">
        <is>
          <t>UPPSALA LÄN</t>
        </is>
      </c>
      <c r="E505" t="inlineStr">
        <is>
          <t>UPPSALA</t>
        </is>
      </c>
      <c r="G505" t="n">
        <v>1.1</v>
      </c>
      <c r="H505" t="n">
        <v>0</v>
      </c>
      <c r="I505" t="n">
        <v>0</v>
      </c>
      <c r="J505" t="n">
        <v>0</v>
      </c>
      <c r="K505" t="n">
        <v>0</v>
      </c>
      <c r="L505" t="n">
        <v>0</v>
      </c>
      <c r="M505" t="n">
        <v>0</v>
      </c>
      <c r="N505" t="n">
        <v>0</v>
      </c>
      <c r="O505" t="n">
        <v>0</v>
      </c>
      <c r="P505" t="n">
        <v>0</v>
      </c>
      <c r="Q505" t="n">
        <v>0</v>
      </c>
      <c r="R505" s="2" t="inlineStr"/>
    </row>
    <row r="506" ht="15" customHeight="1">
      <c r="A506" t="inlineStr">
        <is>
          <t>A 34249-2021</t>
        </is>
      </c>
      <c r="B506" s="1" t="n">
        <v>44379</v>
      </c>
      <c r="C506" s="1" t="n">
        <v>45762</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34243-2021</t>
        </is>
      </c>
      <c r="B507" s="1" t="n">
        <v>44379</v>
      </c>
      <c r="C507" s="1" t="n">
        <v>45762</v>
      </c>
      <c r="D507" t="inlineStr">
        <is>
          <t>UPPSALA LÄN</t>
        </is>
      </c>
      <c r="E507" t="inlineStr">
        <is>
          <t>UPPSALA</t>
        </is>
      </c>
      <c r="G507" t="n">
        <v>1.9</v>
      </c>
      <c r="H507" t="n">
        <v>0</v>
      </c>
      <c r="I507" t="n">
        <v>0</v>
      </c>
      <c r="J507" t="n">
        <v>0</v>
      </c>
      <c r="K507" t="n">
        <v>0</v>
      </c>
      <c r="L507" t="n">
        <v>0</v>
      </c>
      <c r="M507" t="n">
        <v>0</v>
      </c>
      <c r="N507" t="n">
        <v>0</v>
      </c>
      <c r="O507" t="n">
        <v>0</v>
      </c>
      <c r="P507" t="n">
        <v>0</v>
      </c>
      <c r="Q507" t="n">
        <v>0</v>
      </c>
      <c r="R507" s="2" t="inlineStr"/>
    </row>
    <row r="508" ht="15" customHeight="1">
      <c r="A508" t="inlineStr">
        <is>
          <t>A 34263-2021</t>
        </is>
      </c>
      <c r="B508" s="1" t="n">
        <v>44379</v>
      </c>
      <c r="C508" s="1" t="n">
        <v>45762</v>
      </c>
      <c r="D508" t="inlineStr">
        <is>
          <t>UPPSALA LÄN</t>
        </is>
      </c>
      <c r="E508" t="inlineStr">
        <is>
          <t>UPPSALA</t>
        </is>
      </c>
      <c r="G508" t="n">
        <v>5.8</v>
      </c>
      <c r="H508" t="n">
        <v>0</v>
      </c>
      <c r="I508" t="n">
        <v>0</v>
      </c>
      <c r="J508" t="n">
        <v>0</v>
      </c>
      <c r="K508" t="n">
        <v>0</v>
      </c>
      <c r="L508" t="n">
        <v>0</v>
      </c>
      <c r="M508" t="n">
        <v>0</v>
      </c>
      <c r="N508" t="n">
        <v>0</v>
      </c>
      <c r="O508" t="n">
        <v>0</v>
      </c>
      <c r="P508" t="n">
        <v>0</v>
      </c>
      <c r="Q508" t="n">
        <v>0</v>
      </c>
      <c r="R508" s="2" t="inlineStr"/>
    </row>
    <row r="509" ht="15" customHeight="1">
      <c r="A509" t="inlineStr">
        <is>
          <t>A 34838-2021</t>
        </is>
      </c>
      <c r="B509" s="1" t="n">
        <v>44383</v>
      </c>
      <c r="C509" s="1" t="n">
        <v>45762</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34825-2021</t>
        </is>
      </c>
      <c r="B510" s="1" t="n">
        <v>44383</v>
      </c>
      <c r="C510" s="1" t="n">
        <v>45762</v>
      </c>
      <c r="D510" t="inlineStr">
        <is>
          <t>UPPSALA LÄN</t>
        </is>
      </c>
      <c r="E510" t="inlineStr">
        <is>
          <t>UPPSALA</t>
        </is>
      </c>
      <c r="F510" t="inlineStr">
        <is>
          <t>Bergvik skog öst AB</t>
        </is>
      </c>
      <c r="G510" t="n">
        <v>2.6</v>
      </c>
      <c r="H510" t="n">
        <v>0</v>
      </c>
      <c r="I510" t="n">
        <v>0</v>
      </c>
      <c r="J510" t="n">
        <v>0</v>
      </c>
      <c r="K510" t="n">
        <v>0</v>
      </c>
      <c r="L510" t="n">
        <v>0</v>
      </c>
      <c r="M510" t="n">
        <v>0</v>
      </c>
      <c r="N510" t="n">
        <v>0</v>
      </c>
      <c r="O510" t="n">
        <v>0</v>
      </c>
      <c r="P510" t="n">
        <v>0</v>
      </c>
      <c r="Q510" t="n">
        <v>0</v>
      </c>
      <c r="R510" s="2" t="inlineStr"/>
    </row>
    <row r="511" ht="15" customHeight="1">
      <c r="A511" t="inlineStr">
        <is>
          <t>A 35630-2021</t>
        </is>
      </c>
      <c r="B511" s="1" t="n">
        <v>44386</v>
      </c>
      <c r="C511" s="1" t="n">
        <v>45762</v>
      </c>
      <c r="D511" t="inlineStr">
        <is>
          <t>UPPSALA LÄN</t>
        </is>
      </c>
      <c r="E511" t="inlineStr">
        <is>
          <t>UPPSALA</t>
        </is>
      </c>
      <c r="G511" t="n">
        <v>6</v>
      </c>
      <c r="H511" t="n">
        <v>0</v>
      </c>
      <c r="I511" t="n">
        <v>0</v>
      </c>
      <c r="J511" t="n">
        <v>0</v>
      </c>
      <c r="K511" t="n">
        <v>0</v>
      </c>
      <c r="L511" t="n">
        <v>0</v>
      </c>
      <c r="M511" t="n">
        <v>0</v>
      </c>
      <c r="N511" t="n">
        <v>0</v>
      </c>
      <c r="O511" t="n">
        <v>0</v>
      </c>
      <c r="P511" t="n">
        <v>0</v>
      </c>
      <c r="Q511" t="n">
        <v>0</v>
      </c>
      <c r="R511" s="2" t="inlineStr"/>
    </row>
    <row r="512" ht="15" customHeight="1">
      <c r="A512" t="inlineStr">
        <is>
          <t>A 36304-2021</t>
        </is>
      </c>
      <c r="B512" s="1" t="n">
        <v>44390</v>
      </c>
      <c r="C512" s="1" t="n">
        <v>45762</v>
      </c>
      <c r="D512" t="inlineStr">
        <is>
          <t>UPPSALA LÄN</t>
        </is>
      </c>
      <c r="E512" t="inlineStr">
        <is>
          <t>UPPSALA</t>
        </is>
      </c>
      <c r="G512" t="n">
        <v>7.4</v>
      </c>
      <c r="H512" t="n">
        <v>0</v>
      </c>
      <c r="I512" t="n">
        <v>0</v>
      </c>
      <c r="J512" t="n">
        <v>0</v>
      </c>
      <c r="K512" t="n">
        <v>0</v>
      </c>
      <c r="L512" t="n">
        <v>0</v>
      </c>
      <c r="M512" t="n">
        <v>0</v>
      </c>
      <c r="N512" t="n">
        <v>0</v>
      </c>
      <c r="O512" t="n">
        <v>0</v>
      </c>
      <c r="P512" t="n">
        <v>0</v>
      </c>
      <c r="Q512" t="n">
        <v>0</v>
      </c>
      <c r="R512" s="2" t="inlineStr"/>
    </row>
    <row r="513" ht="15" customHeight="1">
      <c r="A513" t="inlineStr">
        <is>
          <t>A 36721-2021</t>
        </is>
      </c>
      <c r="B513" s="1" t="n">
        <v>44392</v>
      </c>
      <c r="C513" s="1" t="n">
        <v>45762</v>
      </c>
      <c r="D513" t="inlineStr">
        <is>
          <t>UPPSALA LÄN</t>
        </is>
      </c>
      <c r="E513" t="inlineStr">
        <is>
          <t>UPPSALA</t>
        </is>
      </c>
      <c r="F513" t="inlineStr">
        <is>
          <t>Bergvik skog öst AB</t>
        </is>
      </c>
      <c r="G513" t="n">
        <v>5.8</v>
      </c>
      <c r="H513" t="n">
        <v>0</v>
      </c>
      <c r="I513" t="n">
        <v>0</v>
      </c>
      <c r="J513" t="n">
        <v>0</v>
      </c>
      <c r="K513" t="n">
        <v>0</v>
      </c>
      <c r="L513" t="n">
        <v>0</v>
      </c>
      <c r="M513" t="n">
        <v>0</v>
      </c>
      <c r="N513" t="n">
        <v>0</v>
      </c>
      <c r="O513" t="n">
        <v>0</v>
      </c>
      <c r="P513" t="n">
        <v>0</v>
      </c>
      <c r="Q513" t="n">
        <v>0</v>
      </c>
      <c r="R513" s="2" t="inlineStr"/>
    </row>
    <row r="514" ht="15" customHeight="1">
      <c r="A514" t="inlineStr">
        <is>
          <t>A 36998-2021</t>
        </is>
      </c>
      <c r="B514" s="1" t="n">
        <v>44393</v>
      </c>
      <c r="C514" s="1" t="n">
        <v>45762</v>
      </c>
      <c r="D514" t="inlineStr">
        <is>
          <t>UPPSALA LÄN</t>
        </is>
      </c>
      <c r="E514" t="inlineStr">
        <is>
          <t>UPPSALA</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37162-2021</t>
        </is>
      </c>
      <c r="B515" s="1" t="n">
        <v>44395</v>
      </c>
      <c r="C515" s="1" t="n">
        <v>45762</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37763-2021</t>
        </is>
      </c>
      <c r="B516" s="1" t="n">
        <v>44400</v>
      </c>
      <c r="C516" s="1" t="n">
        <v>45762</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37819-2021</t>
        </is>
      </c>
      <c r="B517" s="1" t="n">
        <v>44403</v>
      </c>
      <c r="C517" s="1" t="n">
        <v>45762</v>
      </c>
      <c r="D517" t="inlineStr">
        <is>
          <t>UPPSALA LÄN</t>
        </is>
      </c>
      <c r="E517" t="inlineStr">
        <is>
          <t>UPPSALA</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37820-2021</t>
        </is>
      </c>
      <c r="B518" s="1" t="n">
        <v>44403</v>
      </c>
      <c r="C518" s="1" t="n">
        <v>45762</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38469-2021</t>
        </is>
      </c>
      <c r="B519" s="1" t="n">
        <v>44407</v>
      </c>
      <c r="C519" s="1" t="n">
        <v>45762</v>
      </c>
      <c r="D519" t="inlineStr">
        <is>
          <t>UPPSALA LÄN</t>
        </is>
      </c>
      <c r="E519" t="inlineStr">
        <is>
          <t>UPPSALA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38463-2021</t>
        </is>
      </c>
      <c r="B520" s="1" t="n">
        <v>44407</v>
      </c>
      <c r="C520" s="1" t="n">
        <v>45762</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40500-2021</t>
        </is>
      </c>
      <c r="B521" s="1" t="n">
        <v>44420</v>
      </c>
      <c r="C521" s="1" t="n">
        <v>45762</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40507-2021</t>
        </is>
      </c>
      <c r="B522" s="1" t="n">
        <v>44420</v>
      </c>
      <c r="C522" s="1" t="n">
        <v>45762</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42124-2021</t>
        </is>
      </c>
      <c r="B523" s="1" t="n">
        <v>44426</v>
      </c>
      <c r="C523" s="1" t="n">
        <v>45762</v>
      </c>
      <c r="D523" t="inlineStr">
        <is>
          <t>UPPSALA LÄN</t>
        </is>
      </c>
      <c r="E523" t="inlineStr">
        <is>
          <t>UPPSALA</t>
        </is>
      </c>
      <c r="G523" t="n">
        <v>6.3</v>
      </c>
      <c r="H523" t="n">
        <v>0</v>
      </c>
      <c r="I523" t="n">
        <v>0</v>
      </c>
      <c r="J523" t="n">
        <v>0</v>
      </c>
      <c r="K523" t="n">
        <v>0</v>
      </c>
      <c r="L523" t="n">
        <v>0</v>
      </c>
      <c r="M523" t="n">
        <v>0</v>
      </c>
      <c r="N523" t="n">
        <v>0</v>
      </c>
      <c r="O523" t="n">
        <v>0</v>
      </c>
      <c r="P523" t="n">
        <v>0</v>
      </c>
      <c r="Q523" t="n">
        <v>0</v>
      </c>
      <c r="R523" s="2" t="inlineStr"/>
    </row>
    <row r="524" ht="15" customHeight="1">
      <c r="A524" t="inlineStr">
        <is>
          <t>A 42294-2021</t>
        </is>
      </c>
      <c r="B524" s="1" t="n">
        <v>44427</v>
      </c>
      <c r="C524" s="1" t="n">
        <v>45762</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44315-2021</t>
        </is>
      </c>
      <c r="B525" s="1" t="n">
        <v>44435</v>
      </c>
      <c r="C525" s="1" t="n">
        <v>45762</v>
      </c>
      <c r="D525" t="inlineStr">
        <is>
          <t>UPPSALA LÄN</t>
        </is>
      </c>
      <c r="E525" t="inlineStr">
        <is>
          <t>UPPSALA</t>
        </is>
      </c>
      <c r="G525" t="n">
        <v>5.2</v>
      </c>
      <c r="H525" t="n">
        <v>0</v>
      </c>
      <c r="I525" t="n">
        <v>0</v>
      </c>
      <c r="J525" t="n">
        <v>0</v>
      </c>
      <c r="K525" t="n">
        <v>0</v>
      </c>
      <c r="L525" t="n">
        <v>0</v>
      </c>
      <c r="M525" t="n">
        <v>0</v>
      </c>
      <c r="N525" t="n">
        <v>0</v>
      </c>
      <c r="O525" t="n">
        <v>0</v>
      </c>
      <c r="P525" t="n">
        <v>0</v>
      </c>
      <c r="Q525" t="n">
        <v>0</v>
      </c>
      <c r="R525" s="2" t="inlineStr"/>
    </row>
    <row r="526" ht="15" customHeight="1">
      <c r="A526" t="inlineStr">
        <is>
          <t>A 44781-2021</t>
        </is>
      </c>
      <c r="B526" s="1" t="n">
        <v>44438</v>
      </c>
      <c r="C526" s="1" t="n">
        <v>45762</v>
      </c>
      <c r="D526" t="inlineStr">
        <is>
          <t>UPPSALA LÄN</t>
        </is>
      </c>
      <c r="E526" t="inlineStr">
        <is>
          <t>UPPSALA</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46097-2021</t>
        </is>
      </c>
      <c r="B527" s="1" t="n">
        <v>44442</v>
      </c>
      <c r="C527" s="1" t="n">
        <v>45762</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46099-2021</t>
        </is>
      </c>
      <c r="B528" s="1" t="n">
        <v>44442</v>
      </c>
      <c r="C528" s="1" t="n">
        <v>45762</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46553-2021</t>
        </is>
      </c>
      <c r="B529" s="1" t="n">
        <v>44445</v>
      </c>
      <c r="C529" s="1" t="n">
        <v>45762</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46920-2021</t>
        </is>
      </c>
      <c r="B530" s="1" t="n">
        <v>44446</v>
      </c>
      <c r="C530" s="1" t="n">
        <v>45762</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46916-2021</t>
        </is>
      </c>
      <c r="B531" s="1" t="n">
        <v>44446</v>
      </c>
      <c r="C531" s="1" t="n">
        <v>45762</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47367-2021</t>
        </is>
      </c>
      <c r="B532" s="1" t="n">
        <v>44447</v>
      </c>
      <c r="C532" s="1" t="n">
        <v>45762</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48918-2021</t>
        </is>
      </c>
      <c r="B533" s="1" t="n">
        <v>44453</v>
      </c>
      <c r="C533" s="1" t="n">
        <v>45762</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49274-2021</t>
        </is>
      </c>
      <c r="B534" s="1" t="n">
        <v>44454</v>
      </c>
      <c r="C534" s="1" t="n">
        <v>45762</v>
      </c>
      <c r="D534" t="inlineStr">
        <is>
          <t>UPPSALA LÄN</t>
        </is>
      </c>
      <c r="E534" t="inlineStr">
        <is>
          <t>UPPSALA</t>
        </is>
      </c>
      <c r="G534" t="n">
        <v>8.5</v>
      </c>
      <c r="H534" t="n">
        <v>0</v>
      </c>
      <c r="I534" t="n">
        <v>0</v>
      </c>
      <c r="J534" t="n">
        <v>0</v>
      </c>
      <c r="K534" t="n">
        <v>0</v>
      </c>
      <c r="L534" t="n">
        <v>0</v>
      </c>
      <c r="M534" t="n">
        <v>0</v>
      </c>
      <c r="N534" t="n">
        <v>0</v>
      </c>
      <c r="O534" t="n">
        <v>0</v>
      </c>
      <c r="P534" t="n">
        <v>0</v>
      </c>
      <c r="Q534" t="n">
        <v>0</v>
      </c>
      <c r="R534" s="2" t="inlineStr"/>
    </row>
    <row r="535" ht="15" customHeight="1">
      <c r="A535" t="inlineStr">
        <is>
          <t>A 51050-2021</t>
        </is>
      </c>
      <c r="B535" s="1" t="n">
        <v>44459</v>
      </c>
      <c r="C535" s="1" t="n">
        <v>45762</v>
      </c>
      <c r="D535" t="inlineStr">
        <is>
          <t>UPPSALA LÄN</t>
        </is>
      </c>
      <c r="E535" t="inlineStr">
        <is>
          <t>UPPSALA</t>
        </is>
      </c>
      <c r="F535" t="inlineStr">
        <is>
          <t>Övriga Aktiebolag</t>
        </is>
      </c>
      <c r="G535" t="n">
        <v>7.5</v>
      </c>
      <c r="H535" t="n">
        <v>0</v>
      </c>
      <c r="I535" t="n">
        <v>0</v>
      </c>
      <c r="J535" t="n">
        <v>0</v>
      </c>
      <c r="K535" t="n">
        <v>0</v>
      </c>
      <c r="L535" t="n">
        <v>0</v>
      </c>
      <c r="M535" t="n">
        <v>0</v>
      </c>
      <c r="N535" t="n">
        <v>0</v>
      </c>
      <c r="O535" t="n">
        <v>0</v>
      </c>
      <c r="P535" t="n">
        <v>0</v>
      </c>
      <c r="Q535" t="n">
        <v>0</v>
      </c>
      <c r="R535" s="2" t="inlineStr"/>
    </row>
    <row r="536" ht="15" customHeight="1">
      <c r="A536" t="inlineStr">
        <is>
          <t>A 51821-2021</t>
        </is>
      </c>
      <c r="B536" s="1" t="n">
        <v>44461</v>
      </c>
      <c r="C536" s="1" t="n">
        <v>45762</v>
      </c>
      <c r="D536" t="inlineStr">
        <is>
          <t>UPPSALA LÄN</t>
        </is>
      </c>
      <c r="E536" t="inlineStr">
        <is>
          <t>UPPSALA</t>
        </is>
      </c>
      <c r="F536" t="inlineStr">
        <is>
          <t>Övriga Aktiebolag</t>
        </is>
      </c>
      <c r="G536" t="n">
        <v>5.3</v>
      </c>
      <c r="H536" t="n">
        <v>0</v>
      </c>
      <c r="I536" t="n">
        <v>0</v>
      </c>
      <c r="J536" t="n">
        <v>0</v>
      </c>
      <c r="K536" t="n">
        <v>0</v>
      </c>
      <c r="L536" t="n">
        <v>0</v>
      </c>
      <c r="M536" t="n">
        <v>0</v>
      </c>
      <c r="N536" t="n">
        <v>0</v>
      </c>
      <c r="O536" t="n">
        <v>0</v>
      </c>
      <c r="P536" t="n">
        <v>0</v>
      </c>
      <c r="Q536" t="n">
        <v>0</v>
      </c>
      <c r="R536" s="2" t="inlineStr"/>
    </row>
    <row r="537" ht="15" customHeight="1">
      <c r="A537" t="inlineStr">
        <is>
          <t>A 51396-2021</t>
        </is>
      </c>
      <c r="B537" s="1" t="n">
        <v>44461</v>
      </c>
      <c r="C537" s="1" t="n">
        <v>45762</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52083-2021</t>
        </is>
      </c>
      <c r="B538" s="1" t="n">
        <v>44463</v>
      </c>
      <c r="C538" s="1" t="n">
        <v>45762</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54168-2021</t>
        </is>
      </c>
      <c r="B539" s="1" t="n">
        <v>44470</v>
      </c>
      <c r="C539" s="1" t="n">
        <v>45762</v>
      </c>
      <c r="D539" t="inlineStr">
        <is>
          <t>UPPSALA LÄN</t>
        </is>
      </c>
      <c r="E539" t="inlineStr">
        <is>
          <t>UPPSALA</t>
        </is>
      </c>
      <c r="G539" t="n">
        <v>7.5</v>
      </c>
      <c r="H539" t="n">
        <v>0</v>
      </c>
      <c r="I539" t="n">
        <v>0</v>
      </c>
      <c r="J539" t="n">
        <v>0</v>
      </c>
      <c r="K539" t="n">
        <v>0</v>
      </c>
      <c r="L539" t="n">
        <v>0</v>
      </c>
      <c r="M539" t="n">
        <v>0</v>
      </c>
      <c r="N539" t="n">
        <v>0</v>
      </c>
      <c r="O539" t="n">
        <v>0</v>
      </c>
      <c r="P539" t="n">
        <v>0</v>
      </c>
      <c r="Q539" t="n">
        <v>0</v>
      </c>
      <c r="R539" s="2" t="inlineStr"/>
    </row>
    <row r="540" ht="15" customHeight="1">
      <c r="A540" t="inlineStr">
        <is>
          <t>A 55823-2021</t>
        </is>
      </c>
      <c r="B540" s="1" t="n">
        <v>44476</v>
      </c>
      <c r="C540" s="1" t="n">
        <v>45762</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56042-2021</t>
        </is>
      </c>
      <c r="B541" s="1" t="n">
        <v>44477</v>
      </c>
      <c r="C541" s="1" t="n">
        <v>45762</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56049-2021</t>
        </is>
      </c>
      <c r="B542" s="1" t="n">
        <v>44477</v>
      </c>
      <c r="C542" s="1" t="n">
        <v>45762</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56463-2021</t>
        </is>
      </c>
      <c r="B543" s="1" t="n">
        <v>44479</v>
      </c>
      <c r="C543" s="1" t="n">
        <v>45762</v>
      </c>
      <c r="D543" t="inlineStr">
        <is>
          <t>UPPSALA LÄN</t>
        </is>
      </c>
      <c r="E543" t="inlineStr">
        <is>
          <t>UPPSALA</t>
        </is>
      </c>
      <c r="G543" t="n">
        <v>6.4</v>
      </c>
      <c r="H543" t="n">
        <v>0</v>
      </c>
      <c r="I543" t="n">
        <v>0</v>
      </c>
      <c r="J543" t="n">
        <v>0</v>
      </c>
      <c r="K543" t="n">
        <v>0</v>
      </c>
      <c r="L543" t="n">
        <v>0</v>
      </c>
      <c r="M543" t="n">
        <v>0</v>
      </c>
      <c r="N543" t="n">
        <v>0</v>
      </c>
      <c r="O543" t="n">
        <v>0</v>
      </c>
      <c r="P543" t="n">
        <v>0</v>
      </c>
      <c r="Q543" t="n">
        <v>0</v>
      </c>
      <c r="R543" s="2" t="inlineStr"/>
    </row>
    <row r="544" ht="15" customHeight="1">
      <c r="A544" t="inlineStr">
        <is>
          <t>A 56769-2021</t>
        </is>
      </c>
      <c r="B544" s="1" t="n">
        <v>44481</v>
      </c>
      <c r="C544" s="1" t="n">
        <v>45762</v>
      </c>
      <c r="D544" t="inlineStr">
        <is>
          <t>UPPSALA LÄN</t>
        </is>
      </c>
      <c r="E544" t="inlineStr">
        <is>
          <t>UPPSALA</t>
        </is>
      </c>
      <c r="G544" t="n">
        <v>3.8</v>
      </c>
      <c r="H544" t="n">
        <v>0</v>
      </c>
      <c r="I544" t="n">
        <v>0</v>
      </c>
      <c r="J544" t="n">
        <v>0</v>
      </c>
      <c r="K544" t="n">
        <v>0</v>
      </c>
      <c r="L544" t="n">
        <v>0</v>
      </c>
      <c r="M544" t="n">
        <v>0</v>
      </c>
      <c r="N544" t="n">
        <v>0</v>
      </c>
      <c r="O544" t="n">
        <v>0</v>
      </c>
      <c r="P544" t="n">
        <v>0</v>
      </c>
      <c r="Q544" t="n">
        <v>0</v>
      </c>
      <c r="R544" s="2" t="inlineStr"/>
    </row>
    <row r="545" ht="15" customHeight="1">
      <c r="A545" t="inlineStr">
        <is>
          <t>A 57647-2021</t>
        </is>
      </c>
      <c r="B545" s="1" t="n">
        <v>44484</v>
      </c>
      <c r="C545" s="1" t="n">
        <v>45762</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45762</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58767-2021</t>
        </is>
      </c>
      <c r="B547" s="1" t="n">
        <v>44489</v>
      </c>
      <c r="C547" s="1" t="n">
        <v>45762</v>
      </c>
      <c r="D547" t="inlineStr">
        <is>
          <t>UPPSALA LÄN</t>
        </is>
      </c>
      <c r="E547" t="inlineStr">
        <is>
          <t>UPPSALA</t>
        </is>
      </c>
      <c r="G547" t="n">
        <v>4.8</v>
      </c>
      <c r="H547" t="n">
        <v>0</v>
      </c>
      <c r="I547" t="n">
        <v>0</v>
      </c>
      <c r="J547" t="n">
        <v>0</v>
      </c>
      <c r="K547" t="n">
        <v>0</v>
      </c>
      <c r="L547" t="n">
        <v>0</v>
      </c>
      <c r="M547" t="n">
        <v>0</v>
      </c>
      <c r="N547" t="n">
        <v>0</v>
      </c>
      <c r="O547" t="n">
        <v>0</v>
      </c>
      <c r="P547" t="n">
        <v>0</v>
      </c>
      <c r="Q547" t="n">
        <v>0</v>
      </c>
      <c r="R547" s="2" t="inlineStr"/>
    </row>
    <row r="548" ht="15" customHeight="1">
      <c r="A548" t="inlineStr">
        <is>
          <t>A 58897-2021</t>
        </is>
      </c>
      <c r="B548" s="1" t="n">
        <v>44489</v>
      </c>
      <c r="C548" s="1" t="n">
        <v>45762</v>
      </c>
      <c r="D548" t="inlineStr">
        <is>
          <t>UPPSALA LÄN</t>
        </is>
      </c>
      <c r="E548" t="inlineStr">
        <is>
          <t>UPPSALA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59241-2021</t>
        </is>
      </c>
      <c r="B549" s="1" t="n">
        <v>44490</v>
      </c>
      <c r="C549" s="1" t="n">
        <v>45762</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59484-2021</t>
        </is>
      </c>
      <c r="B550" s="1" t="n">
        <v>44491</v>
      </c>
      <c r="C550" s="1" t="n">
        <v>45762</v>
      </c>
      <c r="D550" t="inlineStr">
        <is>
          <t>UPPSALA LÄN</t>
        </is>
      </c>
      <c r="E550" t="inlineStr">
        <is>
          <t>UPPSALA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59500-2021</t>
        </is>
      </c>
      <c r="B551" s="1" t="n">
        <v>44491</v>
      </c>
      <c r="C551" s="1" t="n">
        <v>45762</v>
      </c>
      <c r="D551" t="inlineStr">
        <is>
          <t>UPPSALA LÄN</t>
        </is>
      </c>
      <c r="E551" t="inlineStr">
        <is>
          <t>UPPSALA</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59479-2021</t>
        </is>
      </c>
      <c r="B552" s="1" t="n">
        <v>44491</v>
      </c>
      <c r="C552" s="1" t="n">
        <v>45762</v>
      </c>
      <c r="D552" t="inlineStr">
        <is>
          <t>UPPSALA LÄN</t>
        </is>
      </c>
      <c r="E552" t="inlineStr">
        <is>
          <t>UPPSALA</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59881-2021</t>
        </is>
      </c>
      <c r="B553" s="1" t="n">
        <v>44494</v>
      </c>
      <c r="C553" s="1" t="n">
        <v>45762</v>
      </c>
      <c r="D553" t="inlineStr">
        <is>
          <t>UPPSALA LÄN</t>
        </is>
      </c>
      <c r="E553" t="inlineStr">
        <is>
          <t>UPPSALA</t>
        </is>
      </c>
      <c r="F553" t="inlineStr">
        <is>
          <t>Allmännings- och besparingsskogar</t>
        </is>
      </c>
      <c r="G553" t="n">
        <v>1.6</v>
      </c>
      <c r="H553" t="n">
        <v>0</v>
      </c>
      <c r="I553" t="n">
        <v>0</v>
      </c>
      <c r="J553" t="n">
        <v>0</v>
      </c>
      <c r="K553" t="n">
        <v>0</v>
      </c>
      <c r="L553" t="n">
        <v>0</v>
      </c>
      <c r="M553" t="n">
        <v>0</v>
      </c>
      <c r="N553" t="n">
        <v>0</v>
      </c>
      <c r="O553" t="n">
        <v>0</v>
      </c>
      <c r="P553" t="n">
        <v>0</v>
      </c>
      <c r="Q553" t="n">
        <v>0</v>
      </c>
      <c r="R553" s="2" t="inlineStr"/>
    </row>
    <row r="554" ht="15" customHeight="1">
      <c r="A554" t="inlineStr">
        <is>
          <t>A 60032-2021</t>
        </is>
      </c>
      <c r="B554" s="1" t="n">
        <v>44495</v>
      </c>
      <c r="C554" s="1" t="n">
        <v>45762</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61008-2021</t>
        </is>
      </c>
      <c r="B555" s="1" t="n">
        <v>44497</v>
      </c>
      <c r="C555" s="1" t="n">
        <v>45762</v>
      </c>
      <c r="D555" t="inlineStr">
        <is>
          <t>UPPSALA LÄN</t>
        </is>
      </c>
      <c r="E555" t="inlineStr">
        <is>
          <t>UPPSALA</t>
        </is>
      </c>
      <c r="G555" t="n">
        <v>6.3</v>
      </c>
      <c r="H555" t="n">
        <v>0</v>
      </c>
      <c r="I555" t="n">
        <v>0</v>
      </c>
      <c r="J555" t="n">
        <v>0</v>
      </c>
      <c r="K555" t="n">
        <v>0</v>
      </c>
      <c r="L555" t="n">
        <v>0</v>
      </c>
      <c r="M555" t="n">
        <v>0</v>
      </c>
      <c r="N555" t="n">
        <v>0</v>
      </c>
      <c r="O555" t="n">
        <v>0</v>
      </c>
      <c r="P555" t="n">
        <v>0</v>
      </c>
      <c r="Q555" t="n">
        <v>0</v>
      </c>
      <c r="R555" s="2" t="inlineStr"/>
    </row>
    <row r="556" ht="15" customHeight="1">
      <c r="A556" t="inlineStr">
        <is>
          <t>A 60917-2021</t>
        </is>
      </c>
      <c r="B556" s="1" t="n">
        <v>44497</v>
      </c>
      <c r="C556" s="1" t="n">
        <v>45762</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60925-2021</t>
        </is>
      </c>
      <c r="B557" s="1" t="n">
        <v>44497</v>
      </c>
      <c r="C557" s="1" t="n">
        <v>45762</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61805-2021</t>
        </is>
      </c>
      <c r="B558" s="1" t="n">
        <v>44501</v>
      </c>
      <c r="C558" s="1" t="n">
        <v>45762</v>
      </c>
      <c r="D558" t="inlineStr">
        <is>
          <t>UPPSALA LÄN</t>
        </is>
      </c>
      <c r="E558" t="inlineStr">
        <is>
          <t>UPPSALA</t>
        </is>
      </c>
      <c r="F558" t="inlineStr">
        <is>
          <t>Bergvik skog öst AB</t>
        </is>
      </c>
      <c r="G558" t="n">
        <v>3.8</v>
      </c>
      <c r="H558" t="n">
        <v>0</v>
      </c>
      <c r="I558" t="n">
        <v>0</v>
      </c>
      <c r="J558" t="n">
        <v>0</v>
      </c>
      <c r="K558" t="n">
        <v>0</v>
      </c>
      <c r="L558" t="n">
        <v>0</v>
      </c>
      <c r="M558" t="n">
        <v>0</v>
      </c>
      <c r="N558" t="n">
        <v>0</v>
      </c>
      <c r="O558" t="n">
        <v>0</v>
      </c>
      <c r="P558" t="n">
        <v>0</v>
      </c>
      <c r="Q558" t="n">
        <v>0</v>
      </c>
      <c r="R558" s="2" t="inlineStr"/>
    </row>
    <row r="559" ht="15" customHeight="1">
      <c r="A559" t="inlineStr">
        <is>
          <t>A 62471-2021</t>
        </is>
      </c>
      <c r="B559" s="1" t="n">
        <v>44503</v>
      </c>
      <c r="C559" s="1" t="n">
        <v>45762</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62865-2021</t>
        </is>
      </c>
      <c r="B560" s="1" t="n">
        <v>44504</v>
      </c>
      <c r="C560" s="1" t="n">
        <v>45762</v>
      </c>
      <c r="D560" t="inlineStr">
        <is>
          <t>UPPSALA LÄN</t>
        </is>
      </c>
      <c r="E560" t="inlineStr">
        <is>
          <t>UPPSALA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63011-2021</t>
        </is>
      </c>
      <c r="B561" s="1" t="n">
        <v>44504</v>
      </c>
      <c r="C561" s="1" t="n">
        <v>45762</v>
      </c>
      <c r="D561" t="inlineStr">
        <is>
          <t>UPPSALA LÄN</t>
        </is>
      </c>
      <c r="E561" t="inlineStr">
        <is>
          <t>UPPSALA</t>
        </is>
      </c>
      <c r="G561" t="n">
        <v>11.2</v>
      </c>
      <c r="H561" t="n">
        <v>0</v>
      </c>
      <c r="I561" t="n">
        <v>0</v>
      </c>
      <c r="J561" t="n">
        <v>0</v>
      </c>
      <c r="K561" t="n">
        <v>0</v>
      </c>
      <c r="L561" t="n">
        <v>0</v>
      </c>
      <c r="M561" t="n">
        <v>0</v>
      </c>
      <c r="N561" t="n">
        <v>0</v>
      </c>
      <c r="O561" t="n">
        <v>0</v>
      </c>
      <c r="P561" t="n">
        <v>0</v>
      </c>
      <c r="Q561" t="n">
        <v>0</v>
      </c>
      <c r="R561" s="2" t="inlineStr"/>
    </row>
    <row r="562" ht="15" customHeight="1">
      <c r="A562" t="inlineStr">
        <is>
          <t>A 63307-2021</t>
        </is>
      </c>
      <c r="B562" s="1" t="n">
        <v>44508</v>
      </c>
      <c r="C562" s="1" t="n">
        <v>45762</v>
      </c>
      <c r="D562" t="inlineStr">
        <is>
          <t>UPPSALA LÄN</t>
        </is>
      </c>
      <c r="E562" t="inlineStr">
        <is>
          <t>UPPSALA</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64016-2021</t>
        </is>
      </c>
      <c r="B563" s="1" t="n">
        <v>44510</v>
      </c>
      <c r="C563" s="1" t="n">
        <v>45762</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64857-2021</t>
        </is>
      </c>
      <c r="B564" s="1" t="n">
        <v>44512</v>
      </c>
      <c r="C564" s="1" t="n">
        <v>45762</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64856-2021</t>
        </is>
      </c>
      <c r="B565" s="1" t="n">
        <v>44512</v>
      </c>
      <c r="C565" s="1" t="n">
        <v>45762</v>
      </c>
      <c r="D565" t="inlineStr">
        <is>
          <t>UPPSALA LÄN</t>
        </is>
      </c>
      <c r="E565" t="inlineStr">
        <is>
          <t>UPPSALA</t>
        </is>
      </c>
      <c r="G565" t="n">
        <v>4.1</v>
      </c>
      <c r="H565" t="n">
        <v>0</v>
      </c>
      <c r="I565" t="n">
        <v>0</v>
      </c>
      <c r="J565" t="n">
        <v>0</v>
      </c>
      <c r="K565" t="n">
        <v>0</v>
      </c>
      <c r="L565" t="n">
        <v>0</v>
      </c>
      <c r="M565" t="n">
        <v>0</v>
      </c>
      <c r="N565" t="n">
        <v>0</v>
      </c>
      <c r="O565" t="n">
        <v>0</v>
      </c>
      <c r="P565" t="n">
        <v>0</v>
      </c>
      <c r="Q565" t="n">
        <v>0</v>
      </c>
      <c r="R565" s="2" t="inlineStr"/>
    </row>
    <row r="566" ht="15" customHeight="1">
      <c r="A566" t="inlineStr">
        <is>
          <t>A 64858-2021</t>
        </is>
      </c>
      <c r="B566" s="1" t="n">
        <v>44512</v>
      </c>
      <c r="C566" s="1" t="n">
        <v>45762</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64855-2021</t>
        </is>
      </c>
      <c r="B567" s="1" t="n">
        <v>44512</v>
      </c>
      <c r="C567" s="1" t="n">
        <v>45762</v>
      </c>
      <c r="D567" t="inlineStr">
        <is>
          <t>UPPSALA LÄN</t>
        </is>
      </c>
      <c r="E567" t="inlineStr">
        <is>
          <t>UPPSALA</t>
        </is>
      </c>
      <c r="G567" t="n">
        <v>3.1</v>
      </c>
      <c r="H567" t="n">
        <v>0</v>
      </c>
      <c r="I567" t="n">
        <v>0</v>
      </c>
      <c r="J567" t="n">
        <v>0</v>
      </c>
      <c r="K567" t="n">
        <v>0</v>
      </c>
      <c r="L567" t="n">
        <v>0</v>
      </c>
      <c r="M567" t="n">
        <v>0</v>
      </c>
      <c r="N567" t="n">
        <v>0</v>
      </c>
      <c r="O567" t="n">
        <v>0</v>
      </c>
      <c r="P567" t="n">
        <v>0</v>
      </c>
      <c r="Q567" t="n">
        <v>0</v>
      </c>
      <c r="R567" s="2" t="inlineStr"/>
    </row>
    <row r="568" ht="15" customHeight="1">
      <c r="A568" t="inlineStr">
        <is>
          <t>A 65132-2021</t>
        </is>
      </c>
      <c r="B568" s="1" t="n">
        <v>44515</v>
      </c>
      <c r="C568" s="1" t="n">
        <v>45762</v>
      </c>
      <c r="D568" t="inlineStr">
        <is>
          <t>UPPSALA LÄN</t>
        </is>
      </c>
      <c r="E568" t="inlineStr">
        <is>
          <t>UPPSALA</t>
        </is>
      </c>
      <c r="G568" t="n">
        <v>1.9</v>
      </c>
      <c r="H568" t="n">
        <v>0</v>
      </c>
      <c r="I568" t="n">
        <v>0</v>
      </c>
      <c r="J568" t="n">
        <v>0</v>
      </c>
      <c r="K568" t="n">
        <v>0</v>
      </c>
      <c r="L568" t="n">
        <v>0</v>
      </c>
      <c r="M568" t="n">
        <v>0</v>
      </c>
      <c r="N568" t="n">
        <v>0</v>
      </c>
      <c r="O568" t="n">
        <v>0</v>
      </c>
      <c r="P568" t="n">
        <v>0</v>
      </c>
      <c r="Q568" t="n">
        <v>0</v>
      </c>
      <c r="R568" s="2" t="inlineStr"/>
    </row>
    <row r="569" ht="15" customHeight="1">
      <c r="A569" t="inlineStr">
        <is>
          <t>A 65659-2021</t>
        </is>
      </c>
      <c r="B569" s="1" t="n">
        <v>44516</v>
      </c>
      <c r="C569" s="1" t="n">
        <v>45762</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65695-2021</t>
        </is>
      </c>
      <c r="B570" s="1" t="n">
        <v>44516</v>
      </c>
      <c r="C570" s="1" t="n">
        <v>45762</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65809-2021</t>
        </is>
      </c>
      <c r="B571" s="1" t="n">
        <v>44517</v>
      </c>
      <c r="C571" s="1" t="n">
        <v>45762</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65811-2021</t>
        </is>
      </c>
      <c r="B572" s="1" t="n">
        <v>44517</v>
      </c>
      <c r="C572" s="1" t="n">
        <v>45762</v>
      </c>
      <c r="D572" t="inlineStr">
        <is>
          <t>UPPSALA LÄN</t>
        </is>
      </c>
      <c r="E572" t="inlineStr">
        <is>
          <t>UPPSALA</t>
        </is>
      </c>
      <c r="G572" t="n">
        <v>0.3</v>
      </c>
      <c r="H572" t="n">
        <v>0</v>
      </c>
      <c r="I572" t="n">
        <v>0</v>
      </c>
      <c r="J572" t="n">
        <v>0</v>
      </c>
      <c r="K572" t="n">
        <v>0</v>
      </c>
      <c r="L572" t="n">
        <v>0</v>
      </c>
      <c r="M572" t="n">
        <v>0</v>
      </c>
      <c r="N572" t="n">
        <v>0</v>
      </c>
      <c r="O572" t="n">
        <v>0</v>
      </c>
      <c r="P572" t="n">
        <v>0</v>
      </c>
      <c r="Q572" t="n">
        <v>0</v>
      </c>
      <c r="R572" s="2" t="inlineStr"/>
    </row>
    <row r="573" ht="15" customHeight="1">
      <c r="A573" t="inlineStr">
        <is>
          <t>A 65964-2021</t>
        </is>
      </c>
      <c r="B573" s="1" t="n">
        <v>44517</v>
      </c>
      <c r="C573" s="1" t="n">
        <v>45762</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66239-2021</t>
        </is>
      </c>
      <c r="B574" s="1" t="n">
        <v>44518</v>
      </c>
      <c r="C574" s="1" t="n">
        <v>45762</v>
      </c>
      <c r="D574" t="inlineStr">
        <is>
          <t>UPPSALA LÄN</t>
        </is>
      </c>
      <c r="E574" t="inlineStr">
        <is>
          <t>UPPSALA</t>
        </is>
      </c>
      <c r="G574" t="n">
        <v>4.2</v>
      </c>
      <c r="H574" t="n">
        <v>0</v>
      </c>
      <c r="I574" t="n">
        <v>0</v>
      </c>
      <c r="J574" t="n">
        <v>0</v>
      </c>
      <c r="K574" t="n">
        <v>0</v>
      </c>
      <c r="L574" t="n">
        <v>0</v>
      </c>
      <c r="M574" t="n">
        <v>0</v>
      </c>
      <c r="N574" t="n">
        <v>0</v>
      </c>
      <c r="O574" t="n">
        <v>0</v>
      </c>
      <c r="P574" t="n">
        <v>0</v>
      </c>
      <c r="Q574" t="n">
        <v>0</v>
      </c>
      <c r="R574" s="2" t="inlineStr"/>
    </row>
    <row r="575" ht="15" customHeight="1">
      <c r="A575" t="inlineStr">
        <is>
          <t>A 66690-2021</t>
        </is>
      </c>
      <c r="B575" s="1" t="n">
        <v>44519</v>
      </c>
      <c r="C575" s="1" t="n">
        <v>45762</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66686-2021</t>
        </is>
      </c>
      <c r="B576" s="1" t="n">
        <v>44519</v>
      </c>
      <c r="C576" s="1" t="n">
        <v>45762</v>
      </c>
      <c r="D576" t="inlineStr">
        <is>
          <t>UPPSALA LÄN</t>
        </is>
      </c>
      <c r="E576" t="inlineStr">
        <is>
          <t>UPPSALA</t>
        </is>
      </c>
      <c r="G576" t="n">
        <v>6.4</v>
      </c>
      <c r="H576" t="n">
        <v>0</v>
      </c>
      <c r="I576" t="n">
        <v>0</v>
      </c>
      <c r="J576" t="n">
        <v>0</v>
      </c>
      <c r="K576" t="n">
        <v>0</v>
      </c>
      <c r="L576" t="n">
        <v>0</v>
      </c>
      <c r="M576" t="n">
        <v>0</v>
      </c>
      <c r="N576" t="n">
        <v>0</v>
      </c>
      <c r="O576" t="n">
        <v>0</v>
      </c>
      <c r="P576" t="n">
        <v>0</v>
      </c>
      <c r="Q576" t="n">
        <v>0</v>
      </c>
      <c r="R576" s="2" t="inlineStr"/>
    </row>
    <row r="577" ht="15" customHeight="1">
      <c r="A577" t="inlineStr">
        <is>
          <t>A 66794-2021</t>
        </is>
      </c>
      <c r="B577" s="1" t="n">
        <v>44522</v>
      </c>
      <c r="C577" s="1" t="n">
        <v>45762</v>
      </c>
      <c r="D577" t="inlineStr">
        <is>
          <t>UPPSALA LÄN</t>
        </is>
      </c>
      <c r="E577" t="inlineStr">
        <is>
          <t>UPPSALA</t>
        </is>
      </c>
      <c r="G577" t="n">
        <v>4.9</v>
      </c>
      <c r="H577" t="n">
        <v>0</v>
      </c>
      <c r="I577" t="n">
        <v>0</v>
      </c>
      <c r="J577" t="n">
        <v>0</v>
      </c>
      <c r="K577" t="n">
        <v>0</v>
      </c>
      <c r="L577" t="n">
        <v>0</v>
      </c>
      <c r="M577" t="n">
        <v>0</v>
      </c>
      <c r="N577" t="n">
        <v>0</v>
      </c>
      <c r="O577" t="n">
        <v>0</v>
      </c>
      <c r="P577" t="n">
        <v>0</v>
      </c>
      <c r="Q577" t="n">
        <v>0</v>
      </c>
      <c r="R577" s="2" t="inlineStr"/>
    </row>
    <row r="578" ht="15" customHeight="1">
      <c r="A578" t="inlineStr">
        <is>
          <t>A 66927-2021</t>
        </is>
      </c>
      <c r="B578" s="1" t="n">
        <v>44522</v>
      </c>
      <c r="C578" s="1" t="n">
        <v>45762</v>
      </c>
      <c r="D578" t="inlineStr">
        <is>
          <t>UPPSALA LÄN</t>
        </is>
      </c>
      <c r="E578" t="inlineStr">
        <is>
          <t>UPPSALA</t>
        </is>
      </c>
      <c r="G578" t="n">
        <v>2.9</v>
      </c>
      <c r="H578" t="n">
        <v>0</v>
      </c>
      <c r="I578" t="n">
        <v>0</v>
      </c>
      <c r="J578" t="n">
        <v>0</v>
      </c>
      <c r="K578" t="n">
        <v>0</v>
      </c>
      <c r="L578" t="n">
        <v>0</v>
      </c>
      <c r="M578" t="n">
        <v>0</v>
      </c>
      <c r="N578" t="n">
        <v>0</v>
      </c>
      <c r="O578" t="n">
        <v>0</v>
      </c>
      <c r="P578" t="n">
        <v>0</v>
      </c>
      <c r="Q578" t="n">
        <v>0</v>
      </c>
      <c r="R578" s="2" t="inlineStr"/>
    </row>
    <row r="579" ht="15" customHeight="1">
      <c r="A579" t="inlineStr">
        <is>
          <t>A 66983-2021</t>
        </is>
      </c>
      <c r="B579" s="1" t="n">
        <v>44522</v>
      </c>
      <c r="C579" s="1" t="n">
        <v>45762</v>
      </c>
      <c r="D579" t="inlineStr">
        <is>
          <t>UPPSALA LÄN</t>
        </is>
      </c>
      <c r="E579" t="inlineStr">
        <is>
          <t>UPPSALA</t>
        </is>
      </c>
      <c r="G579" t="n">
        <v>2.5</v>
      </c>
      <c r="H579" t="n">
        <v>0</v>
      </c>
      <c r="I579" t="n">
        <v>0</v>
      </c>
      <c r="J579" t="n">
        <v>0</v>
      </c>
      <c r="K579" t="n">
        <v>0</v>
      </c>
      <c r="L579" t="n">
        <v>0</v>
      </c>
      <c r="M579" t="n">
        <v>0</v>
      </c>
      <c r="N579" t="n">
        <v>0</v>
      </c>
      <c r="O579" t="n">
        <v>0</v>
      </c>
      <c r="P579" t="n">
        <v>0</v>
      </c>
      <c r="Q579" t="n">
        <v>0</v>
      </c>
      <c r="R579" s="2" t="inlineStr"/>
    </row>
    <row r="580" ht="15" customHeight="1">
      <c r="A580" t="inlineStr">
        <is>
          <t>A 67991-2021</t>
        </is>
      </c>
      <c r="B580" s="1" t="n">
        <v>44525</v>
      </c>
      <c r="C580" s="1" t="n">
        <v>45762</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68696-2021</t>
        </is>
      </c>
      <c r="B581" s="1" t="n">
        <v>44526</v>
      </c>
      <c r="C581" s="1" t="n">
        <v>45762</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68139-2021</t>
        </is>
      </c>
      <c r="B582" s="1" t="n">
        <v>44526</v>
      </c>
      <c r="C582" s="1" t="n">
        <v>45762</v>
      </c>
      <c r="D582" t="inlineStr">
        <is>
          <t>UPPSALA LÄN</t>
        </is>
      </c>
      <c r="E582" t="inlineStr">
        <is>
          <t>UPPSALA</t>
        </is>
      </c>
      <c r="F582" t="inlineStr">
        <is>
          <t>Bergvik skog öst AB</t>
        </is>
      </c>
      <c r="G582" t="n">
        <v>3.4</v>
      </c>
      <c r="H582" t="n">
        <v>0</v>
      </c>
      <c r="I582" t="n">
        <v>0</v>
      </c>
      <c r="J582" t="n">
        <v>0</v>
      </c>
      <c r="K582" t="n">
        <v>0</v>
      </c>
      <c r="L582" t="n">
        <v>0</v>
      </c>
      <c r="M582" t="n">
        <v>0</v>
      </c>
      <c r="N582" t="n">
        <v>0</v>
      </c>
      <c r="O582" t="n">
        <v>0</v>
      </c>
      <c r="P582" t="n">
        <v>0</v>
      </c>
      <c r="Q582" t="n">
        <v>0</v>
      </c>
      <c r="R582" s="2" t="inlineStr"/>
    </row>
    <row r="583" ht="15" customHeight="1">
      <c r="A583" t="inlineStr">
        <is>
          <t>A 68296-2021</t>
        </is>
      </c>
      <c r="B583" s="1" t="n">
        <v>44526</v>
      </c>
      <c r="C583" s="1" t="n">
        <v>45762</v>
      </c>
      <c r="D583" t="inlineStr">
        <is>
          <t>UPPSALA LÄN</t>
        </is>
      </c>
      <c r="E583" t="inlineStr">
        <is>
          <t>UPPSALA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69067-2021</t>
        </is>
      </c>
      <c r="B584" s="1" t="n">
        <v>44530</v>
      </c>
      <c r="C584" s="1" t="n">
        <v>45762</v>
      </c>
      <c r="D584" t="inlineStr">
        <is>
          <t>UPPSALA LÄN</t>
        </is>
      </c>
      <c r="E584" t="inlineStr">
        <is>
          <t>UPPSALA</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69432-2021</t>
        </is>
      </c>
      <c r="B585" s="1" t="n">
        <v>44531</v>
      </c>
      <c r="C585" s="1" t="n">
        <v>45762</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69214-2021</t>
        </is>
      </c>
      <c r="B586" s="1" t="n">
        <v>44531</v>
      </c>
      <c r="C586" s="1" t="n">
        <v>45762</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69397-2021</t>
        </is>
      </c>
      <c r="B587" s="1" t="n">
        <v>44531</v>
      </c>
      <c r="C587" s="1" t="n">
        <v>45762</v>
      </c>
      <c r="D587" t="inlineStr">
        <is>
          <t>UPPSALA LÄN</t>
        </is>
      </c>
      <c r="E587" t="inlineStr">
        <is>
          <t>UPPSALA</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69436-2021</t>
        </is>
      </c>
      <c r="B588" s="1" t="n">
        <v>44531</v>
      </c>
      <c r="C588" s="1" t="n">
        <v>45762</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69439-2021</t>
        </is>
      </c>
      <c r="B589" s="1" t="n">
        <v>44531</v>
      </c>
      <c r="C589" s="1" t="n">
        <v>45762</v>
      </c>
      <c r="D589" t="inlineStr">
        <is>
          <t>UPPSALA LÄN</t>
        </is>
      </c>
      <c r="E589" t="inlineStr">
        <is>
          <t>UPPSALA</t>
        </is>
      </c>
      <c r="G589" t="n">
        <v>2</v>
      </c>
      <c r="H589" t="n">
        <v>0</v>
      </c>
      <c r="I589" t="n">
        <v>0</v>
      </c>
      <c r="J589" t="n">
        <v>0</v>
      </c>
      <c r="K589" t="n">
        <v>0</v>
      </c>
      <c r="L589" t="n">
        <v>0</v>
      </c>
      <c r="M589" t="n">
        <v>0</v>
      </c>
      <c r="N589" t="n">
        <v>0</v>
      </c>
      <c r="O589" t="n">
        <v>0</v>
      </c>
      <c r="P589" t="n">
        <v>0</v>
      </c>
      <c r="Q589" t="n">
        <v>0</v>
      </c>
      <c r="R589" s="2" t="inlineStr"/>
    </row>
    <row r="590" ht="15" customHeight="1">
      <c r="A590" t="inlineStr">
        <is>
          <t>A 69595-2021</t>
        </is>
      </c>
      <c r="B590" s="1" t="n">
        <v>44532</v>
      </c>
      <c r="C590" s="1" t="n">
        <v>45762</v>
      </c>
      <c r="D590" t="inlineStr">
        <is>
          <t>UPPSALA LÄN</t>
        </is>
      </c>
      <c r="E590" t="inlineStr">
        <is>
          <t>UPPSALA</t>
        </is>
      </c>
      <c r="G590" t="n">
        <v>3.9</v>
      </c>
      <c r="H590" t="n">
        <v>0</v>
      </c>
      <c r="I590" t="n">
        <v>0</v>
      </c>
      <c r="J590" t="n">
        <v>0</v>
      </c>
      <c r="K590" t="n">
        <v>0</v>
      </c>
      <c r="L590" t="n">
        <v>0</v>
      </c>
      <c r="M590" t="n">
        <v>0</v>
      </c>
      <c r="N590" t="n">
        <v>0</v>
      </c>
      <c r="O590" t="n">
        <v>0</v>
      </c>
      <c r="P590" t="n">
        <v>0</v>
      </c>
      <c r="Q590" t="n">
        <v>0</v>
      </c>
      <c r="R590" s="2" t="inlineStr"/>
    </row>
    <row r="591" ht="15" customHeight="1">
      <c r="A591" t="inlineStr">
        <is>
          <t>A 69698-2021</t>
        </is>
      </c>
      <c r="B591" s="1" t="n">
        <v>44532</v>
      </c>
      <c r="C591" s="1" t="n">
        <v>45762</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69691-2021</t>
        </is>
      </c>
      <c r="B592" s="1" t="n">
        <v>44532</v>
      </c>
      <c r="C592" s="1" t="n">
        <v>45762</v>
      </c>
      <c r="D592" t="inlineStr">
        <is>
          <t>UPPSALA LÄN</t>
        </is>
      </c>
      <c r="E592" t="inlineStr">
        <is>
          <t>UPPSALA</t>
        </is>
      </c>
      <c r="G592" t="n">
        <v>2.3</v>
      </c>
      <c r="H592" t="n">
        <v>0</v>
      </c>
      <c r="I592" t="n">
        <v>0</v>
      </c>
      <c r="J592" t="n">
        <v>0</v>
      </c>
      <c r="K592" t="n">
        <v>0</v>
      </c>
      <c r="L592" t="n">
        <v>0</v>
      </c>
      <c r="M592" t="n">
        <v>0</v>
      </c>
      <c r="N592" t="n">
        <v>0</v>
      </c>
      <c r="O592" t="n">
        <v>0</v>
      </c>
      <c r="P592" t="n">
        <v>0</v>
      </c>
      <c r="Q592" t="n">
        <v>0</v>
      </c>
      <c r="R592" s="2" t="inlineStr"/>
    </row>
    <row r="593" ht="15" customHeight="1">
      <c r="A593" t="inlineStr">
        <is>
          <t>A 70032-2021</t>
        </is>
      </c>
      <c r="B593" s="1" t="n">
        <v>44533</v>
      </c>
      <c r="C593" s="1" t="n">
        <v>45762</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70031-2021</t>
        </is>
      </c>
      <c r="B594" s="1" t="n">
        <v>44533</v>
      </c>
      <c r="C594" s="1" t="n">
        <v>45762</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70359-2021</t>
        </is>
      </c>
      <c r="B595" s="1" t="n">
        <v>44535</v>
      </c>
      <c r="C595" s="1" t="n">
        <v>45762</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70228-2021</t>
        </is>
      </c>
      <c r="B596" s="1" t="n">
        <v>44535</v>
      </c>
      <c r="C596" s="1" t="n">
        <v>45762</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70996-2021</t>
        </is>
      </c>
      <c r="B597" s="1" t="n">
        <v>44538</v>
      </c>
      <c r="C597" s="1" t="n">
        <v>45762</v>
      </c>
      <c r="D597" t="inlineStr">
        <is>
          <t>UPPSALA LÄN</t>
        </is>
      </c>
      <c r="E597" t="inlineStr">
        <is>
          <t>UPPSALA</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71563-2021</t>
        </is>
      </c>
      <c r="B598" s="1" t="n">
        <v>44540</v>
      </c>
      <c r="C598" s="1" t="n">
        <v>45762</v>
      </c>
      <c r="D598" t="inlineStr">
        <is>
          <t>UPPSALA LÄN</t>
        </is>
      </c>
      <c r="E598" t="inlineStr">
        <is>
          <t>UPPSALA</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71675-2021</t>
        </is>
      </c>
      <c r="B599" s="1" t="n">
        <v>44543</v>
      </c>
      <c r="C599" s="1" t="n">
        <v>45762</v>
      </c>
      <c r="D599" t="inlineStr">
        <is>
          <t>UPPSALA LÄN</t>
        </is>
      </c>
      <c r="E599" t="inlineStr">
        <is>
          <t>UPPSALA</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71643-2021</t>
        </is>
      </c>
      <c r="B600" s="1" t="n">
        <v>44543</v>
      </c>
      <c r="C600" s="1" t="n">
        <v>45762</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71671-2021</t>
        </is>
      </c>
      <c r="B601" s="1" t="n">
        <v>44543</v>
      </c>
      <c r="C601" s="1" t="n">
        <v>45762</v>
      </c>
      <c r="D601" t="inlineStr">
        <is>
          <t>UPPSALA LÄN</t>
        </is>
      </c>
      <c r="E601" t="inlineStr">
        <is>
          <t>UPPSALA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72225-2021</t>
        </is>
      </c>
      <c r="B602" s="1" t="n">
        <v>44544</v>
      </c>
      <c r="C602" s="1" t="n">
        <v>45762</v>
      </c>
      <c r="D602" t="inlineStr">
        <is>
          <t>UPPSALA LÄN</t>
        </is>
      </c>
      <c r="E602" t="inlineStr">
        <is>
          <t>UPPSALA</t>
        </is>
      </c>
      <c r="G602" t="n">
        <v>6.2</v>
      </c>
      <c r="H602" t="n">
        <v>0</v>
      </c>
      <c r="I602" t="n">
        <v>0</v>
      </c>
      <c r="J602" t="n">
        <v>0</v>
      </c>
      <c r="K602" t="n">
        <v>0</v>
      </c>
      <c r="L602" t="n">
        <v>0</v>
      </c>
      <c r="M602" t="n">
        <v>0</v>
      </c>
      <c r="N602" t="n">
        <v>0</v>
      </c>
      <c r="O602" t="n">
        <v>0</v>
      </c>
      <c r="P602" t="n">
        <v>0</v>
      </c>
      <c r="Q602" t="n">
        <v>0</v>
      </c>
      <c r="R602" s="2" t="inlineStr"/>
    </row>
    <row r="603" ht="15" customHeight="1">
      <c r="A603" t="inlineStr">
        <is>
          <t>A 72224-2021</t>
        </is>
      </c>
      <c r="B603" s="1" t="n">
        <v>44544</v>
      </c>
      <c r="C603" s="1" t="n">
        <v>45762</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72973-2021</t>
        </is>
      </c>
      <c r="B604" s="1" t="n">
        <v>44548</v>
      </c>
      <c r="C604" s="1" t="n">
        <v>45762</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45762</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45762</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73468-2021</t>
        </is>
      </c>
      <c r="B607" s="1" t="n">
        <v>44551</v>
      </c>
      <c r="C607" s="1" t="n">
        <v>45762</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73518-2021</t>
        </is>
      </c>
      <c r="B608" s="1" t="n">
        <v>44551</v>
      </c>
      <c r="C608" s="1" t="n">
        <v>45762</v>
      </c>
      <c r="D608" t="inlineStr">
        <is>
          <t>UPPSALA LÄN</t>
        </is>
      </c>
      <c r="E608" t="inlineStr">
        <is>
          <t>UPPSALA</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73531-2021</t>
        </is>
      </c>
      <c r="B609" s="1" t="n">
        <v>44551</v>
      </c>
      <c r="C609" s="1" t="n">
        <v>45762</v>
      </c>
      <c r="D609" t="inlineStr">
        <is>
          <t>UPPSALA LÄN</t>
        </is>
      </c>
      <c r="E609" t="inlineStr">
        <is>
          <t>UPPSALA</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74019-2021</t>
        </is>
      </c>
      <c r="B610" s="1" t="n">
        <v>44553</v>
      </c>
      <c r="C610" s="1" t="n">
        <v>45762</v>
      </c>
      <c r="D610" t="inlineStr">
        <is>
          <t>UPPSALA LÄN</t>
        </is>
      </c>
      <c r="E610" t="inlineStr">
        <is>
          <t>UPPSALA</t>
        </is>
      </c>
      <c r="G610" t="n">
        <v>3</v>
      </c>
      <c r="H610" t="n">
        <v>0</v>
      </c>
      <c r="I610" t="n">
        <v>0</v>
      </c>
      <c r="J610" t="n">
        <v>0</v>
      </c>
      <c r="K610" t="n">
        <v>0</v>
      </c>
      <c r="L610" t="n">
        <v>0</v>
      </c>
      <c r="M610" t="n">
        <v>0</v>
      </c>
      <c r="N610" t="n">
        <v>0</v>
      </c>
      <c r="O610" t="n">
        <v>0</v>
      </c>
      <c r="P610" t="n">
        <v>0</v>
      </c>
      <c r="Q610" t="n">
        <v>0</v>
      </c>
      <c r="R610" s="2" t="inlineStr"/>
    </row>
    <row r="611" ht="15" customHeight="1">
      <c r="A611" t="inlineStr">
        <is>
          <t>A 74023-2021</t>
        </is>
      </c>
      <c r="B611" s="1" t="n">
        <v>44553</v>
      </c>
      <c r="C611" s="1" t="n">
        <v>45762</v>
      </c>
      <c r="D611" t="inlineStr">
        <is>
          <t>UPPSALA LÄN</t>
        </is>
      </c>
      <c r="E611" t="inlineStr">
        <is>
          <t>UPPSALA</t>
        </is>
      </c>
      <c r="G611" t="n">
        <v>5.4</v>
      </c>
      <c r="H611" t="n">
        <v>0</v>
      </c>
      <c r="I611" t="n">
        <v>0</v>
      </c>
      <c r="J611" t="n">
        <v>0</v>
      </c>
      <c r="K611" t="n">
        <v>0</v>
      </c>
      <c r="L611" t="n">
        <v>0</v>
      </c>
      <c r="M611" t="n">
        <v>0</v>
      </c>
      <c r="N611" t="n">
        <v>0</v>
      </c>
      <c r="O611" t="n">
        <v>0</v>
      </c>
      <c r="P611" t="n">
        <v>0</v>
      </c>
      <c r="Q611" t="n">
        <v>0</v>
      </c>
      <c r="R611" s="2" t="inlineStr"/>
    </row>
    <row r="612" ht="15" customHeight="1">
      <c r="A612" t="inlineStr">
        <is>
          <t>A 74493-2021</t>
        </is>
      </c>
      <c r="B612" s="1" t="n">
        <v>44560</v>
      </c>
      <c r="C612" s="1" t="n">
        <v>45762</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74495-2021</t>
        </is>
      </c>
      <c r="B613" s="1" t="n">
        <v>44560</v>
      </c>
      <c r="C613" s="1" t="n">
        <v>45762</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612-2022</t>
        </is>
      </c>
      <c r="B614" s="1" t="n">
        <v>44567</v>
      </c>
      <c r="C614" s="1" t="n">
        <v>45762</v>
      </c>
      <c r="D614" t="inlineStr">
        <is>
          <t>UPPSALA LÄN</t>
        </is>
      </c>
      <c r="E614" t="inlineStr">
        <is>
          <t>UPPSALA</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733-2022</t>
        </is>
      </c>
      <c r="B615" s="1" t="n">
        <v>44568</v>
      </c>
      <c r="C615" s="1" t="n">
        <v>45762</v>
      </c>
      <c r="D615" t="inlineStr">
        <is>
          <t>UPPSALA LÄN</t>
        </is>
      </c>
      <c r="E615" t="inlineStr">
        <is>
          <t>UPPSALA</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v>
      </c>
      <c r="C616" s="1" t="n">
        <v>45762</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750-2022</t>
        </is>
      </c>
      <c r="B617" s="1" t="n">
        <v>44569</v>
      </c>
      <c r="C617" s="1" t="n">
        <v>45762</v>
      </c>
      <c r="D617" t="inlineStr">
        <is>
          <t>UPPSALA LÄN</t>
        </is>
      </c>
      <c r="E617" t="inlineStr">
        <is>
          <t>UPPSALA</t>
        </is>
      </c>
      <c r="F617" t="inlineStr">
        <is>
          <t>Holmen skog AB</t>
        </is>
      </c>
      <c r="G617" t="n">
        <v>6</v>
      </c>
      <c r="H617" t="n">
        <v>0</v>
      </c>
      <c r="I617" t="n">
        <v>0</v>
      </c>
      <c r="J617" t="n">
        <v>0</v>
      </c>
      <c r="K617" t="n">
        <v>0</v>
      </c>
      <c r="L617" t="n">
        <v>0</v>
      </c>
      <c r="M617" t="n">
        <v>0</v>
      </c>
      <c r="N617" t="n">
        <v>0</v>
      </c>
      <c r="O617" t="n">
        <v>0</v>
      </c>
      <c r="P617" t="n">
        <v>0</v>
      </c>
      <c r="Q617" t="n">
        <v>0</v>
      </c>
      <c r="R617" s="2" t="inlineStr"/>
    </row>
    <row r="618" ht="15" customHeight="1">
      <c r="A618" t="inlineStr">
        <is>
          <t>A 759-2022</t>
        </is>
      </c>
      <c r="B618" s="1" t="n">
        <v>44569</v>
      </c>
      <c r="C618" s="1" t="n">
        <v>45762</v>
      </c>
      <c r="D618" t="inlineStr">
        <is>
          <t>UPPSALA LÄN</t>
        </is>
      </c>
      <c r="E618" t="inlineStr">
        <is>
          <t>UPPSALA</t>
        </is>
      </c>
      <c r="F618" t="inlineStr">
        <is>
          <t>Holmen skog AB</t>
        </is>
      </c>
      <c r="G618" t="n">
        <v>3.6</v>
      </c>
      <c r="H618" t="n">
        <v>0</v>
      </c>
      <c r="I618" t="n">
        <v>0</v>
      </c>
      <c r="J618" t="n">
        <v>0</v>
      </c>
      <c r="K618" t="n">
        <v>0</v>
      </c>
      <c r="L618" t="n">
        <v>0</v>
      </c>
      <c r="M618" t="n">
        <v>0</v>
      </c>
      <c r="N618" t="n">
        <v>0</v>
      </c>
      <c r="O618" t="n">
        <v>0</v>
      </c>
      <c r="P618" t="n">
        <v>0</v>
      </c>
      <c r="Q618" t="n">
        <v>0</v>
      </c>
      <c r="R618" s="2" t="inlineStr"/>
    </row>
    <row r="619" ht="15" customHeight="1">
      <c r="A619" t="inlineStr">
        <is>
          <t>A 758-2022</t>
        </is>
      </c>
      <c r="B619" s="1" t="n">
        <v>44569</v>
      </c>
      <c r="C619" s="1" t="n">
        <v>45762</v>
      </c>
      <c r="D619" t="inlineStr">
        <is>
          <t>UPPSALA LÄN</t>
        </is>
      </c>
      <c r="E619" t="inlineStr">
        <is>
          <t>UPPSALA</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917-2022</t>
        </is>
      </c>
      <c r="B620" s="1" t="n">
        <v>44571</v>
      </c>
      <c r="C620" s="1" t="n">
        <v>45762</v>
      </c>
      <c r="D620" t="inlineStr">
        <is>
          <t>UPPSALA LÄN</t>
        </is>
      </c>
      <c r="E620" t="inlineStr">
        <is>
          <t>UPPSALA</t>
        </is>
      </c>
      <c r="F620" t="inlineStr">
        <is>
          <t>Bergvik skog öst AB</t>
        </is>
      </c>
      <c r="G620" t="n">
        <v>4.1</v>
      </c>
      <c r="H620" t="n">
        <v>0</v>
      </c>
      <c r="I620" t="n">
        <v>0</v>
      </c>
      <c r="J620" t="n">
        <v>0</v>
      </c>
      <c r="K620" t="n">
        <v>0</v>
      </c>
      <c r="L620" t="n">
        <v>0</v>
      </c>
      <c r="M620" t="n">
        <v>0</v>
      </c>
      <c r="N620" t="n">
        <v>0</v>
      </c>
      <c r="O620" t="n">
        <v>0</v>
      </c>
      <c r="P620" t="n">
        <v>0</v>
      </c>
      <c r="Q620" t="n">
        <v>0</v>
      </c>
      <c r="R620" s="2" t="inlineStr"/>
    </row>
    <row r="621" ht="15" customHeight="1">
      <c r="A621" t="inlineStr">
        <is>
          <t>A 874-2022</t>
        </is>
      </c>
      <c r="B621" s="1" t="n">
        <v>44571</v>
      </c>
      <c r="C621" s="1" t="n">
        <v>45762</v>
      </c>
      <c r="D621" t="inlineStr">
        <is>
          <t>UPPSALA LÄN</t>
        </is>
      </c>
      <c r="E621" t="inlineStr">
        <is>
          <t>UPPSALA</t>
        </is>
      </c>
      <c r="G621" t="n">
        <v>7.2</v>
      </c>
      <c r="H621" t="n">
        <v>0</v>
      </c>
      <c r="I621" t="n">
        <v>0</v>
      </c>
      <c r="J621" t="n">
        <v>0</v>
      </c>
      <c r="K621" t="n">
        <v>0</v>
      </c>
      <c r="L621" t="n">
        <v>0</v>
      </c>
      <c r="M621" t="n">
        <v>0</v>
      </c>
      <c r="N621" t="n">
        <v>0</v>
      </c>
      <c r="O621" t="n">
        <v>0</v>
      </c>
      <c r="P621" t="n">
        <v>0</v>
      </c>
      <c r="Q621" t="n">
        <v>0</v>
      </c>
      <c r="R621" s="2" t="inlineStr"/>
    </row>
    <row r="622" ht="15" customHeight="1">
      <c r="A622" t="inlineStr">
        <is>
          <t>A 1037-2022</t>
        </is>
      </c>
      <c r="B622" s="1" t="n">
        <v>44571</v>
      </c>
      <c r="C622" s="1" t="n">
        <v>45762</v>
      </c>
      <c r="D622" t="inlineStr">
        <is>
          <t>UPPSALA LÄN</t>
        </is>
      </c>
      <c r="E622" t="inlineStr">
        <is>
          <t>UPPSALA</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v>
      </c>
      <c r="C623" s="1" t="n">
        <v>45762</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1298-2022</t>
        </is>
      </c>
      <c r="B624" s="1" t="n">
        <v>44572</v>
      </c>
      <c r="C624" s="1" t="n">
        <v>45762</v>
      </c>
      <c r="D624" t="inlineStr">
        <is>
          <t>UPPSALA LÄN</t>
        </is>
      </c>
      <c r="E624" t="inlineStr">
        <is>
          <t>UPPSALA</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1731-2022</t>
        </is>
      </c>
      <c r="B625" s="1" t="n">
        <v>44574</v>
      </c>
      <c r="C625" s="1" t="n">
        <v>45762</v>
      </c>
      <c r="D625" t="inlineStr">
        <is>
          <t>UPPSALA LÄN</t>
        </is>
      </c>
      <c r="E625" t="inlineStr">
        <is>
          <t>UPPSALA</t>
        </is>
      </c>
      <c r="G625" t="n">
        <v>10.1</v>
      </c>
      <c r="H625" t="n">
        <v>0</v>
      </c>
      <c r="I625" t="n">
        <v>0</v>
      </c>
      <c r="J625" t="n">
        <v>0</v>
      </c>
      <c r="K625" t="n">
        <v>0</v>
      </c>
      <c r="L625" t="n">
        <v>0</v>
      </c>
      <c r="M625" t="n">
        <v>0</v>
      </c>
      <c r="N625" t="n">
        <v>0</v>
      </c>
      <c r="O625" t="n">
        <v>0</v>
      </c>
      <c r="P625" t="n">
        <v>0</v>
      </c>
      <c r="Q625" t="n">
        <v>0</v>
      </c>
      <c r="R625" s="2" t="inlineStr"/>
    </row>
    <row r="626" ht="15" customHeight="1">
      <c r="A626" t="inlineStr">
        <is>
          <t>A 1963-2022</t>
        </is>
      </c>
      <c r="B626" s="1" t="n">
        <v>44575</v>
      </c>
      <c r="C626" s="1" t="n">
        <v>45762</v>
      </c>
      <c r="D626" t="inlineStr">
        <is>
          <t>UPPSALA LÄN</t>
        </is>
      </c>
      <c r="E626" t="inlineStr">
        <is>
          <t>UPPSALA</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1975-2022</t>
        </is>
      </c>
      <c r="B627" s="1" t="n">
        <v>44575</v>
      </c>
      <c r="C627" s="1" t="n">
        <v>45762</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1936-2022</t>
        </is>
      </c>
      <c r="B628" s="1" t="n">
        <v>44575</v>
      </c>
      <c r="C628" s="1" t="n">
        <v>45762</v>
      </c>
      <c r="D628" t="inlineStr">
        <is>
          <t>UPPSALA LÄN</t>
        </is>
      </c>
      <c r="E628" t="inlineStr">
        <is>
          <t>UPPSALA</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1978-2022</t>
        </is>
      </c>
      <c r="B629" s="1" t="n">
        <v>44575</v>
      </c>
      <c r="C629" s="1" t="n">
        <v>45762</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2017-2022</t>
        </is>
      </c>
      <c r="B630" s="1" t="n">
        <v>44575</v>
      </c>
      <c r="C630" s="1" t="n">
        <v>45762</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2228-2022</t>
        </is>
      </c>
      <c r="B631" s="1" t="n">
        <v>44578</v>
      </c>
      <c r="C631" s="1" t="n">
        <v>45762</v>
      </c>
      <c r="D631" t="inlineStr">
        <is>
          <t>UPPSALA LÄN</t>
        </is>
      </c>
      <c r="E631" t="inlineStr">
        <is>
          <t>UPPSALA</t>
        </is>
      </c>
      <c r="F631" t="inlineStr">
        <is>
          <t>Bergvik skog öst AB</t>
        </is>
      </c>
      <c r="G631" t="n">
        <v>3.9</v>
      </c>
      <c r="H631" t="n">
        <v>0</v>
      </c>
      <c r="I631" t="n">
        <v>0</v>
      </c>
      <c r="J631" t="n">
        <v>0</v>
      </c>
      <c r="K631" t="n">
        <v>0</v>
      </c>
      <c r="L631" t="n">
        <v>0</v>
      </c>
      <c r="M631" t="n">
        <v>0</v>
      </c>
      <c r="N631" t="n">
        <v>0</v>
      </c>
      <c r="O631" t="n">
        <v>0</v>
      </c>
      <c r="P631" t="n">
        <v>0</v>
      </c>
      <c r="Q631" t="n">
        <v>0</v>
      </c>
      <c r="R631" s="2" t="inlineStr"/>
    </row>
    <row r="632" ht="15" customHeight="1">
      <c r="A632" t="inlineStr">
        <is>
          <t>A 2927-2022</t>
        </is>
      </c>
      <c r="B632" s="1" t="n">
        <v>44581</v>
      </c>
      <c r="C632" s="1" t="n">
        <v>45762</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3259-2022</t>
        </is>
      </c>
      <c r="B633" s="1" t="n">
        <v>44583</v>
      </c>
      <c r="C633" s="1" t="n">
        <v>45762</v>
      </c>
      <c r="D633" t="inlineStr">
        <is>
          <t>UPPSALA LÄN</t>
        </is>
      </c>
      <c r="E633" t="inlineStr">
        <is>
          <t>UPPSALA</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3261-2022</t>
        </is>
      </c>
      <c r="B634" s="1" t="n">
        <v>44583</v>
      </c>
      <c r="C634" s="1" t="n">
        <v>45762</v>
      </c>
      <c r="D634" t="inlineStr">
        <is>
          <t>UPPSALA LÄN</t>
        </is>
      </c>
      <c r="E634" t="inlineStr">
        <is>
          <t>UPPSALA</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3252-2022</t>
        </is>
      </c>
      <c r="B635" s="1" t="n">
        <v>44583</v>
      </c>
      <c r="C635" s="1" t="n">
        <v>45762</v>
      </c>
      <c r="D635" t="inlineStr">
        <is>
          <t>UPPSALA LÄN</t>
        </is>
      </c>
      <c r="E635" t="inlineStr">
        <is>
          <t>UPPSALA</t>
        </is>
      </c>
      <c r="F635" t="inlineStr">
        <is>
          <t>Holmen skog AB</t>
        </is>
      </c>
      <c r="G635" t="n">
        <v>3.7</v>
      </c>
      <c r="H635" t="n">
        <v>0</v>
      </c>
      <c r="I635" t="n">
        <v>0</v>
      </c>
      <c r="J635" t="n">
        <v>0</v>
      </c>
      <c r="K635" t="n">
        <v>0</v>
      </c>
      <c r="L635" t="n">
        <v>0</v>
      </c>
      <c r="M635" t="n">
        <v>0</v>
      </c>
      <c r="N635" t="n">
        <v>0</v>
      </c>
      <c r="O635" t="n">
        <v>0</v>
      </c>
      <c r="P635" t="n">
        <v>0</v>
      </c>
      <c r="Q635" t="n">
        <v>0</v>
      </c>
      <c r="R635" s="2" t="inlineStr"/>
    </row>
    <row r="636" ht="15" customHeight="1">
      <c r="A636" t="inlineStr">
        <is>
          <t>A 3258-2022</t>
        </is>
      </c>
      <c r="B636" s="1" t="n">
        <v>44583</v>
      </c>
      <c r="C636" s="1" t="n">
        <v>45762</v>
      </c>
      <c r="D636" t="inlineStr">
        <is>
          <t>UPPSALA LÄN</t>
        </is>
      </c>
      <c r="E636" t="inlineStr">
        <is>
          <t>UPPSALA</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3262-2022</t>
        </is>
      </c>
      <c r="B637" s="1" t="n">
        <v>44583</v>
      </c>
      <c r="C637" s="1" t="n">
        <v>45762</v>
      </c>
      <c r="D637" t="inlineStr">
        <is>
          <t>UPPSALA LÄN</t>
        </is>
      </c>
      <c r="E637" t="inlineStr">
        <is>
          <t>UPPSALA</t>
        </is>
      </c>
      <c r="F637" t="inlineStr">
        <is>
          <t>Holmen skog AB</t>
        </is>
      </c>
      <c r="G637" t="n">
        <v>5.4</v>
      </c>
      <c r="H637" t="n">
        <v>0</v>
      </c>
      <c r="I637" t="n">
        <v>0</v>
      </c>
      <c r="J637" t="n">
        <v>0</v>
      </c>
      <c r="K637" t="n">
        <v>0</v>
      </c>
      <c r="L637" t="n">
        <v>0</v>
      </c>
      <c r="M637" t="n">
        <v>0</v>
      </c>
      <c r="N637" t="n">
        <v>0</v>
      </c>
      <c r="O637" t="n">
        <v>0</v>
      </c>
      <c r="P637" t="n">
        <v>0</v>
      </c>
      <c r="Q637" t="n">
        <v>0</v>
      </c>
      <c r="R637" s="2" t="inlineStr"/>
    </row>
    <row r="638" ht="15" customHeight="1">
      <c r="A638" t="inlineStr">
        <is>
          <t>A 3255-2022</t>
        </is>
      </c>
      <c r="B638" s="1" t="n">
        <v>44583</v>
      </c>
      <c r="C638" s="1" t="n">
        <v>45762</v>
      </c>
      <c r="D638" t="inlineStr">
        <is>
          <t>UPPSALA LÄN</t>
        </is>
      </c>
      <c r="E638" t="inlineStr">
        <is>
          <t>UPPSALA</t>
        </is>
      </c>
      <c r="F638" t="inlineStr">
        <is>
          <t>Holmen skog AB</t>
        </is>
      </c>
      <c r="G638" t="n">
        <v>5.6</v>
      </c>
      <c r="H638" t="n">
        <v>0</v>
      </c>
      <c r="I638" t="n">
        <v>0</v>
      </c>
      <c r="J638" t="n">
        <v>0</v>
      </c>
      <c r="K638" t="n">
        <v>0</v>
      </c>
      <c r="L638" t="n">
        <v>0</v>
      </c>
      <c r="M638" t="n">
        <v>0</v>
      </c>
      <c r="N638" t="n">
        <v>0</v>
      </c>
      <c r="O638" t="n">
        <v>0</v>
      </c>
      <c r="P638" t="n">
        <v>0</v>
      </c>
      <c r="Q638" t="n">
        <v>0</v>
      </c>
      <c r="R638" s="2" t="inlineStr"/>
    </row>
    <row r="639" ht="15" customHeight="1">
      <c r="A639" t="inlineStr">
        <is>
          <t>A 3260-2022</t>
        </is>
      </c>
      <c r="B639" s="1" t="n">
        <v>44583</v>
      </c>
      <c r="C639" s="1" t="n">
        <v>45762</v>
      </c>
      <c r="D639" t="inlineStr">
        <is>
          <t>UPPSALA LÄN</t>
        </is>
      </c>
      <c r="E639" t="inlineStr">
        <is>
          <t>UPPSALA</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3284-2022</t>
        </is>
      </c>
      <c r="B640" s="1" t="n">
        <v>44584</v>
      </c>
      <c r="C640" s="1" t="n">
        <v>45762</v>
      </c>
      <c r="D640" t="inlineStr">
        <is>
          <t>UPPSALA LÄN</t>
        </is>
      </c>
      <c r="E640" t="inlineStr">
        <is>
          <t>UPPSALA</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v>
      </c>
      <c r="C641" s="1" t="n">
        <v>45762</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4059-2022</t>
        </is>
      </c>
      <c r="B642" s="1" t="n">
        <v>44588</v>
      </c>
      <c r="C642" s="1" t="n">
        <v>45762</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4312-2022</t>
        </is>
      </c>
      <c r="B643" s="1" t="n">
        <v>44588</v>
      </c>
      <c r="C643" s="1" t="n">
        <v>45762</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4444-2022</t>
        </is>
      </c>
      <c r="B644" s="1" t="n">
        <v>44589</v>
      </c>
      <c r="C644" s="1" t="n">
        <v>45762</v>
      </c>
      <c r="D644" t="inlineStr">
        <is>
          <t>UPPSALA LÄN</t>
        </is>
      </c>
      <c r="E644" t="inlineStr">
        <is>
          <t>UPPSALA</t>
        </is>
      </c>
      <c r="G644" t="n">
        <v>3.2</v>
      </c>
      <c r="H644" t="n">
        <v>0</v>
      </c>
      <c r="I644" t="n">
        <v>0</v>
      </c>
      <c r="J644" t="n">
        <v>0</v>
      </c>
      <c r="K644" t="n">
        <v>0</v>
      </c>
      <c r="L644" t="n">
        <v>0</v>
      </c>
      <c r="M644" t="n">
        <v>0</v>
      </c>
      <c r="N644" t="n">
        <v>0</v>
      </c>
      <c r="O644" t="n">
        <v>0</v>
      </c>
      <c r="P644" t="n">
        <v>0</v>
      </c>
      <c r="Q644" t="n">
        <v>0</v>
      </c>
      <c r="R644" s="2" t="inlineStr"/>
    </row>
    <row r="645" ht="15" customHeight="1">
      <c r="A645" t="inlineStr">
        <is>
          <t>A 4929-2022</t>
        </is>
      </c>
      <c r="B645" s="1" t="n">
        <v>44593</v>
      </c>
      <c r="C645" s="1" t="n">
        <v>45762</v>
      </c>
      <c r="D645" t="inlineStr">
        <is>
          <t>UPPSALA LÄN</t>
        </is>
      </c>
      <c r="E645" t="inlineStr">
        <is>
          <t>UPPSALA</t>
        </is>
      </c>
      <c r="G645" t="n">
        <v>2.4</v>
      </c>
      <c r="H645" t="n">
        <v>0</v>
      </c>
      <c r="I645" t="n">
        <v>0</v>
      </c>
      <c r="J645" t="n">
        <v>0</v>
      </c>
      <c r="K645" t="n">
        <v>0</v>
      </c>
      <c r="L645" t="n">
        <v>0</v>
      </c>
      <c r="M645" t="n">
        <v>0</v>
      </c>
      <c r="N645" t="n">
        <v>0</v>
      </c>
      <c r="O645" t="n">
        <v>0</v>
      </c>
      <c r="P645" t="n">
        <v>0</v>
      </c>
      <c r="Q645" t="n">
        <v>0</v>
      </c>
      <c r="R645" s="2" t="inlineStr"/>
    </row>
    <row r="646" ht="15" customHeight="1">
      <c r="A646" t="inlineStr">
        <is>
          <t>A 5027-2022</t>
        </is>
      </c>
      <c r="B646" s="1" t="n">
        <v>44593</v>
      </c>
      <c r="C646" s="1" t="n">
        <v>45762</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5081-2022</t>
        </is>
      </c>
      <c r="B647" s="1" t="n">
        <v>44593</v>
      </c>
      <c r="C647" s="1" t="n">
        <v>45762</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5007-2022</t>
        </is>
      </c>
      <c r="B648" s="1" t="n">
        <v>44593</v>
      </c>
      <c r="C648" s="1" t="n">
        <v>45762</v>
      </c>
      <c r="D648" t="inlineStr">
        <is>
          <t>UPPSALA LÄN</t>
        </is>
      </c>
      <c r="E648" t="inlineStr">
        <is>
          <t>UPPSALA</t>
        </is>
      </c>
      <c r="F648" t="inlineStr">
        <is>
          <t>BillerudKorsnäs AB</t>
        </is>
      </c>
      <c r="G648" t="n">
        <v>3.6</v>
      </c>
      <c r="H648" t="n">
        <v>0</v>
      </c>
      <c r="I648" t="n">
        <v>0</v>
      </c>
      <c r="J648" t="n">
        <v>0</v>
      </c>
      <c r="K648" t="n">
        <v>0</v>
      </c>
      <c r="L648" t="n">
        <v>0</v>
      </c>
      <c r="M648" t="n">
        <v>0</v>
      </c>
      <c r="N648" t="n">
        <v>0</v>
      </c>
      <c r="O648" t="n">
        <v>0</v>
      </c>
      <c r="P648" t="n">
        <v>0</v>
      </c>
      <c r="Q648" t="n">
        <v>0</v>
      </c>
      <c r="R648" s="2" t="inlineStr"/>
    </row>
    <row r="649" ht="15" customHeight="1">
      <c r="A649" t="inlineStr">
        <is>
          <t>A 5006-2022</t>
        </is>
      </c>
      <c r="B649" s="1" t="n">
        <v>44593</v>
      </c>
      <c r="C649" s="1" t="n">
        <v>45762</v>
      </c>
      <c r="D649" t="inlineStr">
        <is>
          <t>UPPSALA LÄN</t>
        </is>
      </c>
      <c r="E649" t="inlineStr">
        <is>
          <t>UPPSALA</t>
        </is>
      </c>
      <c r="F649" t="inlineStr">
        <is>
          <t>BillerudKorsnäs AB</t>
        </is>
      </c>
      <c r="G649" t="n">
        <v>1.4</v>
      </c>
      <c r="H649" t="n">
        <v>0</v>
      </c>
      <c r="I649" t="n">
        <v>0</v>
      </c>
      <c r="J649" t="n">
        <v>0</v>
      </c>
      <c r="K649" t="n">
        <v>0</v>
      </c>
      <c r="L649" t="n">
        <v>0</v>
      </c>
      <c r="M649" t="n">
        <v>0</v>
      </c>
      <c r="N649" t="n">
        <v>0</v>
      </c>
      <c r="O649" t="n">
        <v>0</v>
      </c>
      <c r="P649" t="n">
        <v>0</v>
      </c>
      <c r="Q649" t="n">
        <v>0</v>
      </c>
      <c r="R649" s="2" t="inlineStr"/>
    </row>
    <row r="650" ht="15" customHeight="1">
      <c r="A650" t="inlineStr">
        <is>
          <t>A 5028-2022</t>
        </is>
      </c>
      <c r="B650" s="1" t="n">
        <v>44593</v>
      </c>
      <c r="C650" s="1" t="n">
        <v>45762</v>
      </c>
      <c r="D650" t="inlineStr">
        <is>
          <t>UPPSALA LÄN</t>
        </is>
      </c>
      <c r="E650" t="inlineStr">
        <is>
          <t>UPPSALA</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5309-2022</t>
        </is>
      </c>
      <c r="B651" s="1" t="n">
        <v>44594</v>
      </c>
      <c r="C651" s="1" t="n">
        <v>45762</v>
      </c>
      <c r="D651" t="inlineStr">
        <is>
          <t>UPPSALA LÄN</t>
        </is>
      </c>
      <c r="E651" t="inlineStr">
        <is>
          <t>UPPSALA</t>
        </is>
      </c>
      <c r="G651" t="n">
        <v>4.8</v>
      </c>
      <c r="H651" t="n">
        <v>0</v>
      </c>
      <c r="I651" t="n">
        <v>0</v>
      </c>
      <c r="J651" t="n">
        <v>0</v>
      </c>
      <c r="K651" t="n">
        <v>0</v>
      </c>
      <c r="L651" t="n">
        <v>0</v>
      </c>
      <c r="M651" t="n">
        <v>0</v>
      </c>
      <c r="N651" t="n">
        <v>0</v>
      </c>
      <c r="O651" t="n">
        <v>0</v>
      </c>
      <c r="P651" t="n">
        <v>0</v>
      </c>
      <c r="Q651" t="n">
        <v>0</v>
      </c>
      <c r="R651" s="2" t="inlineStr"/>
    </row>
    <row r="652" ht="15" customHeight="1">
      <c r="A652" t="inlineStr">
        <is>
          <t>A 5189-2022</t>
        </is>
      </c>
      <c r="B652" s="1" t="n">
        <v>44594</v>
      </c>
      <c r="C652" s="1" t="n">
        <v>45762</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5924-2022</t>
        </is>
      </c>
      <c r="B653" s="1" t="n">
        <v>44598</v>
      </c>
      <c r="C653" s="1" t="n">
        <v>45762</v>
      </c>
      <c r="D653" t="inlineStr">
        <is>
          <t>UPPSALA LÄN</t>
        </is>
      </c>
      <c r="E653" t="inlineStr">
        <is>
          <t>UPPSALA</t>
        </is>
      </c>
      <c r="G653" t="n">
        <v>6.8</v>
      </c>
      <c r="H653" t="n">
        <v>0</v>
      </c>
      <c r="I653" t="n">
        <v>0</v>
      </c>
      <c r="J653" t="n">
        <v>0</v>
      </c>
      <c r="K653" t="n">
        <v>0</v>
      </c>
      <c r="L653" t="n">
        <v>0</v>
      </c>
      <c r="M653" t="n">
        <v>0</v>
      </c>
      <c r="N653" t="n">
        <v>0</v>
      </c>
      <c r="O653" t="n">
        <v>0</v>
      </c>
      <c r="P653" t="n">
        <v>0</v>
      </c>
      <c r="Q653" t="n">
        <v>0</v>
      </c>
      <c r="R653" s="2" t="inlineStr"/>
    </row>
    <row r="654" ht="15" customHeight="1">
      <c r="A654" t="inlineStr">
        <is>
          <t>A 5989-2022</t>
        </is>
      </c>
      <c r="B654" s="1" t="n">
        <v>44599</v>
      </c>
      <c r="C654" s="1" t="n">
        <v>45762</v>
      </c>
      <c r="D654" t="inlineStr">
        <is>
          <t>UPPSALA LÄN</t>
        </is>
      </c>
      <c r="E654" t="inlineStr">
        <is>
          <t>UPPSALA</t>
        </is>
      </c>
      <c r="G654" t="n">
        <v>2.8</v>
      </c>
      <c r="H654" t="n">
        <v>0</v>
      </c>
      <c r="I654" t="n">
        <v>0</v>
      </c>
      <c r="J654" t="n">
        <v>0</v>
      </c>
      <c r="K654" t="n">
        <v>0</v>
      </c>
      <c r="L654" t="n">
        <v>0</v>
      </c>
      <c r="M654" t="n">
        <v>0</v>
      </c>
      <c r="N654" t="n">
        <v>0</v>
      </c>
      <c r="O654" t="n">
        <v>0</v>
      </c>
      <c r="P654" t="n">
        <v>0</v>
      </c>
      <c r="Q654" t="n">
        <v>0</v>
      </c>
      <c r="R654" s="2" t="inlineStr"/>
    </row>
    <row r="655" ht="15" customHeight="1">
      <c r="A655" t="inlineStr">
        <is>
          <t>A 6009-2022</t>
        </is>
      </c>
      <c r="B655" s="1" t="n">
        <v>44599</v>
      </c>
      <c r="C655" s="1" t="n">
        <v>45762</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5996-2022</t>
        </is>
      </c>
      <c r="B656" s="1" t="n">
        <v>44599</v>
      </c>
      <c r="C656" s="1" t="n">
        <v>45762</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6339-2022</t>
        </is>
      </c>
      <c r="B657" s="1" t="n">
        <v>44600</v>
      </c>
      <c r="C657" s="1" t="n">
        <v>45762</v>
      </c>
      <c r="D657" t="inlineStr">
        <is>
          <t>UPPSALA LÄN</t>
        </is>
      </c>
      <c r="E657" t="inlineStr">
        <is>
          <t>UPPSALA</t>
        </is>
      </c>
      <c r="G657" t="n">
        <v>18.7</v>
      </c>
      <c r="H657" t="n">
        <v>0</v>
      </c>
      <c r="I657" t="n">
        <v>0</v>
      </c>
      <c r="J657" t="n">
        <v>0</v>
      </c>
      <c r="K657" t="n">
        <v>0</v>
      </c>
      <c r="L657" t="n">
        <v>0</v>
      </c>
      <c r="M657" t="n">
        <v>0</v>
      </c>
      <c r="N657" t="n">
        <v>0</v>
      </c>
      <c r="O657" t="n">
        <v>0</v>
      </c>
      <c r="P657" t="n">
        <v>0</v>
      </c>
      <c r="Q657" t="n">
        <v>0</v>
      </c>
      <c r="R657" s="2" t="inlineStr"/>
    </row>
    <row r="658" ht="15" customHeight="1">
      <c r="A658" t="inlineStr">
        <is>
          <t>A 6408-2022</t>
        </is>
      </c>
      <c r="B658" s="1" t="n">
        <v>44600</v>
      </c>
      <c r="C658" s="1" t="n">
        <v>45762</v>
      </c>
      <c r="D658" t="inlineStr">
        <is>
          <t>UPPSALA LÄN</t>
        </is>
      </c>
      <c r="E658" t="inlineStr">
        <is>
          <t>UPPSALA</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6717-2022</t>
        </is>
      </c>
      <c r="B659" s="1" t="n">
        <v>44602</v>
      </c>
      <c r="C659" s="1" t="n">
        <v>45762</v>
      </c>
      <c r="D659" t="inlineStr">
        <is>
          <t>UPPSALA LÄN</t>
        </is>
      </c>
      <c r="E659" t="inlineStr">
        <is>
          <t>UPPSALA</t>
        </is>
      </c>
      <c r="F659" t="inlineStr">
        <is>
          <t>Övriga Aktiebolag</t>
        </is>
      </c>
      <c r="G659" t="n">
        <v>6.7</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45762</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45762</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6850-2022</t>
        </is>
      </c>
      <c r="B662" s="1" t="n">
        <v>44602</v>
      </c>
      <c r="C662" s="1" t="n">
        <v>45762</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6851-2022</t>
        </is>
      </c>
      <c r="B663" s="1" t="n">
        <v>44602</v>
      </c>
      <c r="C663" s="1" t="n">
        <v>45762</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6855-2022</t>
        </is>
      </c>
      <c r="B664" s="1" t="n">
        <v>44602</v>
      </c>
      <c r="C664" s="1" t="n">
        <v>45762</v>
      </c>
      <c r="D664" t="inlineStr">
        <is>
          <t>UPPSALA LÄN</t>
        </is>
      </c>
      <c r="E664" t="inlineStr">
        <is>
          <t>UPPSALA</t>
        </is>
      </c>
      <c r="G664" t="n">
        <v>4.6</v>
      </c>
      <c r="H664" t="n">
        <v>0</v>
      </c>
      <c r="I664" t="n">
        <v>0</v>
      </c>
      <c r="J664" t="n">
        <v>0</v>
      </c>
      <c r="K664" t="n">
        <v>0</v>
      </c>
      <c r="L664" t="n">
        <v>0</v>
      </c>
      <c r="M664" t="n">
        <v>0</v>
      </c>
      <c r="N664" t="n">
        <v>0</v>
      </c>
      <c r="O664" t="n">
        <v>0</v>
      </c>
      <c r="P664" t="n">
        <v>0</v>
      </c>
      <c r="Q664" t="n">
        <v>0</v>
      </c>
      <c r="R664" s="2" t="inlineStr"/>
    </row>
    <row r="665" ht="15" customHeight="1">
      <c r="A665" t="inlineStr">
        <is>
          <t>A 6860-2022</t>
        </is>
      </c>
      <c r="B665" s="1" t="n">
        <v>44602</v>
      </c>
      <c r="C665" s="1" t="n">
        <v>45762</v>
      </c>
      <c r="D665" t="inlineStr">
        <is>
          <t>UPPSALA LÄN</t>
        </is>
      </c>
      <c r="E665" t="inlineStr">
        <is>
          <t>UPPSALA</t>
        </is>
      </c>
      <c r="G665" t="n">
        <v>14.8</v>
      </c>
      <c r="H665" t="n">
        <v>0</v>
      </c>
      <c r="I665" t="n">
        <v>0</v>
      </c>
      <c r="J665" t="n">
        <v>0</v>
      </c>
      <c r="K665" t="n">
        <v>0</v>
      </c>
      <c r="L665" t="n">
        <v>0</v>
      </c>
      <c r="M665" t="n">
        <v>0</v>
      </c>
      <c r="N665" t="n">
        <v>0</v>
      </c>
      <c r="O665" t="n">
        <v>0</v>
      </c>
      <c r="P665" t="n">
        <v>0</v>
      </c>
      <c r="Q665" t="n">
        <v>0</v>
      </c>
      <c r="R665" s="2" t="inlineStr"/>
    </row>
    <row r="666" ht="15" customHeight="1">
      <c r="A666" t="inlineStr">
        <is>
          <t>A 6989-2022</t>
        </is>
      </c>
      <c r="B666" s="1" t="n">
        <v>44603</v>
      </c>
      <c r="C666" s="1" t="n">
        <v>45762</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7040-2022</t>
        </is>
      </c>
      <c r="B667" s="1" t="n">
        <v>44603</v>
      </c>
      <c r="C667" s="1" t="n">
        <v>45762</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7124-2022</t>
        </is>
      </c>
      <c r="B668" s="1" t="n">
        <v>44603</v>
      </c>
      <c r="C668" s="1" t="n">
        <v>45762</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7409-2022</t>
        </is>
      </c>
      <c r="B669" s="1" t="n">
        <v>44606</v>
      </c>
      <c r="C669" s="1" t="n">
        <v>45762</v>
      </c>
      <c r="D669" t="inlineStr">
        <is>
          <t>UPPSALA LÄN</t>
        </is>
      </c>
      <c r="E669" t="inlineStr">
        <is>
          <t>UPPSALA</t>
        </is>
      </c>
      <c r="G669" t="n">
        <v>4.3</v>
      </c>
      <c r="H669" t="n">
        <v>0</v>
      </c>
      <c r="I669" t="n">
        <v>0</v>
      </c>
      <c r="J669" t="n">
        <v>0</v>
      </c>
      <c r="K669" t="n">
        <v>0</v>
      </c>
      <c r="L669" t="n">
        <v>0</v>
      </c>
      <c r="M669" t="n">
        <v>0</v>
      </c>
      <c r="N669" t="n">
        <v>0</v>
      </c>
      <c r="O669" t="n">
        <v>0</v>
      </c>
      <c r="P669" t="n">
        <v>0</v>
      </c>
      <c r="Q669" t="n">
        <v>0</v>
      </c>
      <c r="R669" s="2" t="inlineStr"/>
    </row>
    <row r="670" ht="15" customHeight="1">
      <c r="A670" t="inlineStr">
        <is>
          <t>A 7899-2022</t>
        </is>
      </c>
      <c r="B670" s="1" t="n">
        <v>44608</v>
      </c>
      <c r="C670" s="1" t="n">
        <v>45762</v>
      </c>
      <c r="D670" t="inlineStr">
        <is>
          <t>UPPSALA LÄN</t>
        </is>
      </c>
      <c r="E670" t="inlineStr">
        <is>
          <t>UPPSALA</t>
        </is>
      </c>
      <c r="F670" t="inlineStr">
        <is>
          <t>Övriga Aktiebolag</t>
        </is>
      </c>
      <c r="G670" t="n">
        <v>7.1</v>
      </c>
      <c r="H670" t="n">
        <v>0</v>
      </c>
      <c r="I670" t="n">
        <v>0</v>
      </c>
      <c r="J670" t="n">
        <v>0</v>
      </c>
      <c r="K670" t="n">
        <v>0</v>
      </c>
      <c r="L670" t="n">
        <v>0</v>
      </c>
      <c r="M670" t="n">
        <v>0</v>
      </c>
      <c r="N670" t="n">
        <v>0</v>
      </c>
      <c r="O670" t="n">
        <v>0</v>
      </c>
      <c r="P670" t="n">
        <v>0</v>
      </c>
      <c r="Q670" t="n">
        <v>0</v>
      </c>
      <c r="R670" s="2" t="inlineStr"/>
    </row>
    <row r="671" ht="15" customHeight="1">
      <c r="A671" t="inlineStr">
        <is>
          <t>A 8090-2022</t>
        </is>
      </c>
      <c r="B671" s="1" t="n">
        <v>44608</v>
      </c>
      <c r="C671" s="1" t="n">
        <v>45762</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7996-2022</t>
        </is>
      </c>
      <c r="B672" s="1" t="n">
        <v>44609</v>
      </c>
      <c r="C672" s="1" t="n">
        <v>45762</v>
      </c>
      <c r="D672" t="inlineStr">
        <is>
          <t>UPPSALA LÄN</t>
        </is>
      </c>
      <c r="E672" t="inlineStr">
        <is>
          <t>UPPSALA</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8007-2022</t>
        </is>
      </c>
      <c r="B673" s="1" t="n">
        <v>44609</v>
      </c>
      <c r="C673" s="1" t="n">
        <v>45762</v>
      </c>
      <c r="D673" t="inlineStr">
        <is>
          <t>UPPSALA LÄN</t>
        </is>
      </c>
      <c r="E673" t="inlineStr">
        <is>
          <t>UPPSALA</t>
        </is>
      </c>
      <c r="F673" t="inlineStr">
        <is>
          <t>Övriga Aktiebolag</t>
        </is>
      </c>
      <c r="G673" t="n">
        <v>2.3</v>
      </c>
      <c r="H673" t="n">
        <v>0</v>
      </c>
      <c r="I673" t="n">
        <v>0</v>
      </c>
      <c r="J673" t="n">
        <v>0</v>
      </c>
      <c r="K673" t="n">
        <v>0</v>
      </c>
      <c r="L673" t="n">
        <v>0</v>
      </c>
      <c r="M673" t="n">
        <v>0</v>
      </c>
      <c r="N673" t="n">
        <v>0</v>
      </c>
      <c r="O673" t="n">
        <v>0</v>
      </c>
      <c r="P673" t="n">
        <v>0</v>
      </c>
      <c r="Q673" t="n">
        <v>0</v>
      </c>
      <c r="R673" s="2" t="inlineStr"/>
    </row>
    <row r="674" ht="15" customHeight="1">
      <c r="A674" t="inlineStr">
        <is>
          <t>A 8132-2022</t>
        </is>
      </c>
      <c r="B674" s="1" t="n">
        <v>44609</v>
      </c>
      <c r="C674" s="1" t="n">
        <v>45762</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8139-2022</t>
        </is>
      </c>
      <c r="B675" s="1" t="n">
        <v>44609</v>
      </c>
      <c r="C675" s="1" t="n">
        <v>45762</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8404-2022</t>
        </is>
      </c>
      <c r="B676" s="1" t="n">
        <v>44610</v>
      </c>
      <c r="C676" s="1" t="n">
        <v>45762</v>
      </c>
      <c r="D676" t="inlineStr">
        <is>
          <t>UPPSALA LÄN</t>
        </is>
      </c>
      <c r="E676" t="inlineStr">
        <is>
          <t>UPPSALA</t>
        </is>
      </c>
      <c r="F676" t="inlineStr">
        <is>
          <t>Allmännings- och besparingsskogar</t>
        </is>
      </c>
      <c r="G676" t="n">
        <v>5.4</v>
      </c>
      <c r="H676" t="n">
        <v>0</v>
      </c>
      <c r="I676" t="n">
        <v>0</v>
      </c>
      <c r="J676" t="n">
        <v>0</v>
      </c>
      <c r="K676" t="n">
        <v>0</v>
      </c>
      <c r="L676" t="n">
        <v>0</v>
      </c>
      <c r="M676" t="n">
        <v>0</v>
      </c>
      <c r="N676" t="n">
        <v>0</v>
      </c>
      <c r="O676" t="n">
        <v>0</v>
      </c>
      <c r="P676" t="n">
        <v>0</v>
      </c>
      <c r="Q676" t="n">
        <v>0</v>
      </c>
      <c r="R676" s="2" t="inlineStr"/>
    </row>
    <row r="677" ht="15" customHeight="1">
      <c r="A677" t="inlineStr">
        <is>
          <t>A 8475-2022</t>
        </is>
      </c>
      <c r="B677" s="1" t="n">
        <v>44610</v>
      </c>
      <c r="C677" s="1" t="n">
        <v>45762</v>
      </c>
      <c r="D677" t="inlineStr">
        <is>
          <t>UPPSALA LÄN</t>
        </is>
      </c>
      <c r="E677" t="inlineStr">
        <is>
          <t>UPPSALA</t>
        </is>
      </c>
      <c r="F677" t="inlineStr">
        <is>
          <t>Allmännings- och besparingsskogar</t>
        </is>
      </c>
      <c r="G677" t="n">
        <v>32.7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45762</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8451-2022</t>
        </is>
      </c>
      <c r="B679" s="1" t="n">
        <v>44612</v>
      </c>
      <c r="C679" s="1" t="n">
        <v>45762</v>
      </c>
      <c r="D679" t="inlineStr">
        <is>
          <t>UPPSALA LÄN</t>
        </is>
      </c>
      <c r="E679" t="inlineStr">
        <is>
          <t>UPPSALA</t>
        </is>
      </c>
      <c r="G679" t="n">
        <v>1.8</v>
      </c>
      <c r="H679" t="n">
        <v>0</v>
      </c>
      <c r="I679" t="n">
        <v>0</v>
      </c>
      <c r="J679" t="n">
        <v>0</v>
      </c>
      <c r="K679" t="n">
        <v>0</v>
      </c>
      <c r="L679" t="n">
        <v>0</v>
      </c>
      <c r="M679" t="n">
        <v>0</v>
      </c>
      <c r="N679" t="n">
        <v>0</v>
      </c>
      <c r="O679" t="n">
        <v>0</v>
      </c>
      <c r="P679" t="n">
        <v>0</v>
      </c>
      <c r="Q679" t="n">
        <v>0</v>
      </c>
      <c r="R679" s="2" t="inlineStr"/>
    </row>
    <row r="680" ht="15" customHeight="1">
      <c r="A680" t="inlineStr">
        <is>
          <t>A 8877-2022</t>
        </is>
      </c>
      <c r="B680" s="1" t="n">
        <v>44614</v>
      </c>
      <c r="C680" s="1" t="n">
        <v>45762</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8933-2022</t>
        </is>
      </c>
      <c r="B681" s="1" t="n">
        <v>44614</v>
      </c>
      <c r="C681" s="1" t="n">
        <v>45762</v>
      </c>
      <c r="D681" t="inlineStr">
        <is>
          <t>UPPSALA LÄN</t>
        </is>
      </c>
      <c r="E681" t="inlineStr">
        <is>
          <t>UPPSALA</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9206-2022</t>
        </is>
      </c>
      <c r="B682" s="1" t="n">
        <v>44616</v>
      </c>
      <c r="C682" s="1" t="n">
        <v>45762</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9242-2022</t>
        </is>
      </c>
      <c r="B683" s="1" t="n">
        <v>44616</v>
      </c>
      <c r="C683" s="1" t="n">
        <v>45762</v>
      </c>
      <c r="D683" t="inlineStr">
        <is>
          <t>UPPSALA LÄN</t>
        </is>
      </c>
      <c r="E683" t="inlineStr">
        <is>
          <t>UPPSALA</t>
        </is>
      </c>
      <c r="F683" t="inlineStr">
        <is>
          <t>Övriga Aktiebolag</t>
        </is>
      </c>
      <c r="G683" t="n">
        <v>5.9</v>
      </c>
      <c r="H683" t="n">
        <v>0</v>
      </c>
      <c r="I683" t="n">
        <v>0</v>
      </c>
      <c r="J683" t="n">
        <v>0</v>
      </c>
      <c r="K683" t="n">
        <v>0</v>
      </c>
      <c r="L683" t="n">
        <v>0</v>
      </c>
      <c r="M683" t="n">
        <v>0</v>
      </c>
      <c r="N683" t="n">
        <v>0</v>
      </c>
      <c r="O683" t="n">
        <v>0</v>
      </c>
      <c r="P683" t="n">
        <v>0</v>
      </c>
      <c r="Q683" t="n">
        <v>0</v>
      </c>
      <c r="R683" s="2" t="inlineStr"/>
    </row>
    <row r="684" ht="15" customHeight="1">
      <c r="A684" t="inlineStr">
        <is>
          <t>A 9592-2022</t>
        </is>
      </c>
      <c r="B684" s="1" t="n">
        <v>44617</v>
      </c>
      <c r="C684" s="1" t="n">
        <v>45762</v>
      </c>
      <c r="D684" t="inlineStr">
        <is>
          <t>UPPSALA LÄN</t>
        </is>
      </c>
      <c r="E684" t="inlineStr">
        <is>
          <t>UPPSALA</t>
        </is>
      </c>
      <c r="G684" t="n">
        <v>7.5</v>
      </c>
      <c r="H684" t="n">
        <v>0</v>
      </c>
      <c r="I684" t="n">
        <v>0</v>
      </c>
      <c r="J684" t="n">
        <v>0</v>
      </c>
      <c r="K684" t="n">
        <v>0</v>
      </c>
      <c r="L684" t="n">
        <v>0</v>
      </c>
      <c r="M684" t="n">
        <v>0</v>
      </c>
      <c r="N684" t="n">
        <v>0</v>
      </c>
      <c r="O684" t="n">
        <v>0</v>
      </c>
      <c r="P684" t="n">
        <v>0</v>
      </c>
      <c r="Q684" t="n">
        <v>0</v>
      </c>
      <c r="R684" s="2" t="inlineStr"/>
    </row>
    <row r="685" ht="15" customHeight="1">
      <c r="A685" t="inlineStr">
        <is>
          <t>A 10411-2022</t>
        </is>
      </c>
      <c r="B685" s="1" t="n">
        <v>44623</v>
      </c>
      <c r="C685" s="1" t="n">
        <v>45762</v>
      </c>
      <c r="D685" t="inlineStr">
        <is>
          <t>UPPSALA LÄN</t>
        </is>
      </c>
      <c r="E685" t="inlineStr">
        <is>
          <t>UPPSALA</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10383-2022</t>
        </is>
      </c>
      <c r="B686" s="1" t="n">
        <v>44623</v>
      </c>
      <c r="C686" s="1" t="n">
        <v>45762</v>
      </c>
      <c r="D686" t="inlineStr">
        <is>
          <t>UPPSALA LÄN</t>
        </is>
      </c>
      <c r="E686" t="inlineStr">
        <is>
          <t>UPPSALA</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10456-2022</t>
        </is>
      </c>
      <c r="B687" s="1" t="n">
        <v>44623</v>
      </c>
      <c r="C687" s="1" t="n">
        <v>45762</v>
      </c>
      <c r="D687" t="inlineStr">
        <is>
          <t>UPPSALA LÄN</t>
        </is>
      </c>
      <c r="E687" t="inlineStr">
        <is>
          <t>UPPSALA</t>
        </is>
      </c>
      <c r="F687" t="inlineStr">
        <is>
          <t>Övriga Aktiebolag</t>
        </is>
      </c>
      <c r="G687" t="n">
        <v>12.6</v>
      </c>
      <c r="H687" t="n">
        <v>0</v>
      </c>
      <c r="I687" t="n">
        <v>0</v>
      </c>
      <c r="J687" t="n">
        <v>0</v>
      </c>
      <c r="K687" t="n">
        <v>0</v>
      </c>
      <c r="L687" t="n">
        <v>0</v>
      </c>
      <c r="M687" t="n">
        <v>0</v>
      </c>
      <c r="N687" t="n">
        <v>0</v>
      </c>
      <c r="O687" t="n">
        <v>0</v>
      </c>
      <c r="P687" t="n">
        <v>0</v>
      </c>
      <c r="Q687" t="n">
        <v>0</v>
      </c>
      <c r="R687" s="2" t="inlineStr"/>
    </row>
    <row r="688" ht="15" customHeight="1">
      <c r="A688" t="inlineStr">
        <is>
          <t>A 10464-2022</t>
        </is>
      </c>
      <c r="B688" s="1" t="n">
        <v>44623</v>
      </c>
      <c r="C688" s="1" t="n">
        <v>45762</v>
      </c>
      <c r="D688" t="inlineStr">
        <is>
          <t>UPPSALA LÄN</t>
        </is>
      </c>
      <c r="E688" t="inlineStr">
        <is>
          <t>UPPSALA</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10565-2022</t>
        </is>
      </c>
      <c r="B689" s="1" t="n">
        <v>44624</v>
      </c>
      <c r="C689" s="1" t="n">
        <v>45762</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10674-2022</t>
        </is>
      </c>
      <c r="B690" s="1" t="n">
        <v>44624</v>
      </c>
      <c r="C690" s="1" t="n">
        <v>45762</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11162-2022</t>
        </is>
      </c>
      <c r="B691" s="1" t="n">
        <v>44629</v>
      </c>
      <c r="C691" s="1" t="n">
        <v>45762</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11224-2022</t>
        </is>
      </c>
      <c r="B692" s="1" t="n">
        <v>44629</v>
      </c>
      <c r="C692" s="1" t="n">
        <v>45762</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11787-2022</t>
        </is>
      </c>
      <c r="B693" s="1" t="n">
        <v>44634</v>
      </c>
      <c r="C693" s="1" t="n">
        <v>45762</v>
      </c>
      <c r="D693" t="inlineStr">
        <is>
          <t>UPPSALA LÄN</t>
        </is>
      </c>
      <c r="E693" t="inlineStr">
        <is>
          <t>UPPSALA</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11693-2022</t>
        </is>
      </c>
      <c r="B694" s="1" t="n">
        <v>44634</v>
      </c>
      <c r="C694" s="1" t="n">
        <v>45762</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12221-2022</t>
        </is>
      </c>
      <c r="B695" s="1" t="n">
        <v>44637</v>
      </c>
      <c r="C695" s="1" t="n">
        <v>45762</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12293-2022</t>
        </is>
      </c>
      <c r="B696" s="1" t="n">
        <v>44637</v>
      </c>
      <c r="C696" s="1" t="n">
        <v>45762</v>
      </c>
      <c r="D696" t="inlineStr">
        <is>
          <t>UPPSALA LÄN</t>
        </is>
      </c>
      <c r="E696" t="inlineStr">
        <is>
          <t>UPPSALA</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13009-2022</t>
        </is>
      </c>
      <c r="B697" s="1" t="n">
        <v>44643</v>
      </c>
      <c r="C697" s="1" t="n">
        <v>45762</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13134-2022</t>
        </is>
      </c>
      <c r="B698" s="1" t="n">
        <v>44644</v>
      </c>
      <c r="C698" s="1" t="n">
        <v>45762</v>
      </c>
      <c r="D698" t="inlineStr">
        <is>
          <t>UPPSALA LÄN</t>
        </is>
      </c>
      <c r="E698" t="inlineStr">
        <is>
          <t>UPPSALA</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13128-2022</t>
        </is>
      </c>
      <c r="B699" s="1" t="n">
        <v>44644</v>
      </c>
      <c r="C699" s="1" t="n">
        <v>45762</v>
      </c>
      <c r="D699" t="inlineStr">
        <is>
          <t>UPPSALA LÄN</t>
        </is>
      </c>
      <c r="E699" t="inlineStr">
        <is>
          <t>UPPSALA</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13386-2022</t>
        </is>
      </c>
      <c r="B700" s="1" t="n">
        <v>44645</v>
      </c>
      <c r="C700" s="1" t="n">
        <v>45762</v>
      </c>
      <c r="D700" t="inlineStr">
        <is>
          <t>UPPSALA LÄN</t>
        </is>
      </c>
      <c r="E700" t="inlineStr">
        <is>
          <t>UPPSALA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13343-2022</t>
        </is>
      </c>
      <c r="B701" s="1" t="n">
        <v>44645</v>
      </c>
      <c r="C701" s="1" t="n">
        <v>45762</v>
      </c>
      <c r="D701" t="inlineStr">
        <is>
          <t>UPPSALA LÄN</t>
        </is>
      </c>
      <c r="E701" t="inlineStr">
        <is>
          <t>UPPSALA</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13892-2022</t>
        </is>
      </c>
      <c r="B702" s="1" t="n">
        <v>44649</v>
      </c>
      <c r="C702" s="1" t="n">
        <v>45762</v>
      </c>
      <c r="D702" t="inlineStr">
        <is>
          <t>UPPSALA LÄN</t>
        </is>
      </c>
      <c r="E702" t="inlineStr">
        <is>
          <t>UPPSALA</t>
        </is>
      </c>
      <c r="G702" t="n">
        <v>3.3</v>
      </c>
      <c r="H702" t="n">
        <v>0</v>
      </c>
      <c r="I702" t="n">
        <v>0</v>
      </c>
      <c r="J702" t="n">
        <v>0</v>
      </c>
      <c r="K702" t="n">
        <v>0</v>
      </c>
      <c r="L702" t="n">
        <v>0</v>
      </c>
      <c r="M702" t="n">
        <v>0</v>
      </c>
      <c r="N702" t="n">
        <v>0</v>
      </c>
      <c r="O702" t="n">
        <v>0</v>
      </c>
      <c r="P702" t="n">
        <v>0</v>
      </c>
      <c r="Q702" t="n">
        <v>0</v>
      </c>
      <c r="R702" s="2" t="inlineStr"/>
    </row>
    <row r="703" ht="15" customHeight="1">
      <c r="A703" t="inlineStr">
        <is>
          <t>A 13901-2022</t>
        </is>
      </c>
      <c r="B703" s="1" t="n">
        <v>44649</v>
      </c>
      <c r="C703" s="1" t="n">
        <v>45762</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14337-2022</t>
        </is>
      </c>
      <c r="B704" s="1" t="n">
        <v>44652</v>
      </c>
      <c r="C704" s="1" t="n">
        <v>45762</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14355-2022</t>
        </is>
      </c>
      <c r="B705" s="1" t="n">
        <v>44652</v>
      </c>
      <c r="C705" s="1" t="n">
        <v>45762</v>
      </c>
      <c r="D705" t="inlineStr">
        <is>
          <t>UPPSALA LÄN</t>
        </is>
      </c>
      <c r="E705" t="inlineStr">
        <is>
          <t>UPPSALA</t>
        </is>
      </c>
      <c r="F705" t="inlineStr">
        <is>
          <t>Bergvik skog öst AB</t>
        </is>
      </c>
      <c r="G705" t="n">
        <v>7.8</v>
      </c>
      <c r="H705" t="n">
        <v>0</v>
      </c>
      <c r="I705" t="n">
        <v>0</v>
      </c>
      <c r="J705" t="n">
        <v>0</v>
      </c>
      <c r="K705" t="n">
        <v>0</v>
      </c>
      <c r="L705" t="n">
        <v>0</v>
      </c>
      <c r="M705" t="n">
        <v>0</v>
      </c>
      <c r="N705" t="n">
        <v>0</v>
      </c>
      <c r="O705" t="n">
        <v>0</v>
      </c>
      <c r="P705" t="n">
        <v>0</v>
      </c>
      <c r="Q705" t="n">
        <v>0</v>
      </c>
      <c r="R705" s="2" t="inlineStr"/>
    </row>
    <row r="706" ht="15" customHeight="1">
      <c r="A706" t="inlineStr">
        <is>
          <t>A 14340-2022</t>
        </is>
      </c>
      <c r="B706" s="1" t="n">
        <v>44652</v>
      </c>
      <c r="C706" s="1" t="n">
        <v>45762</v>
      </c>
      <c r="D706" t="inlineStr">
        <is>
          <t>UPPSALA LÄN</t>
        </is>
      </c>
      <c r="E706" t="inlineStr">
        <is>
          <t>UPPSALA</t>
        </is>
      </c>
      <c r="F706" t="inlineStr">
        <is>
          <t>Bergvik skog öst AB</t>
        </is>
      </c>
      <c r="G706" t="n">
        <v>4</v>
      </c>
      <c r="H706" t="n">
        <v>0</v>
      </c>
      <c r="I706" t="n">
        <v>0</v>
      </c>
      <c r="J706" t="n">
        <v>0</v>
      </c>
      <c r="K706" t="n">
        <v>0</v>
      </c>
      <c r="L706" t="n">
        <v>0</v>
      </c>
      <c r="M706" t="n">
        <v>0</v>
      </c>
      <c r="N706" t="n">
        <v>0</v>
      </c>
      <c r="O706" t="n">
        <v>0</v>
      </c>
      <c r="P706" t="n">
        <v>0</v>
      </c>
      <c r="Q706" t="n">
        <v>0</v>
      </c>
      <c r="R706" s="2" t="inlineStr"/>
    </row>
    <row r="707" ht="15" customHeight="1">
      <c r="A707" t="inlineStr">
        <is>
          <t>A 14622-2022</t>
        </is>
      </c>
      <c r="B707" s="1" t="n">
        <v>44655</v>
      </c>
      <c r="C707" s="1" t="n">
        <v>45762</v>
      </c>
      <c r="D707" t="inlineStr">
        <is>
          <t>UPPSALA LÄN</t>
        </is>
      </c>
      <c r="E707" t="inlineStr">
        <is>
          <t>UPPSALA</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15436-2022</t>
        </is>
      </c>
      <c r="B708" s="1" t="n">
        <v>44659</v>
      </c>
      <c r="C708" s="1" t="n">
        <v>45762</v>
      </c>
      <c r="D708" t="inlineStr">
        <is>
          <t>UPPSALA LÄN</t>
        </is>
      </c>
      <c r="E708" t="inlineStr">
        <is>
          <t>UPPSALA</t>
        </is>
      </c>
      <c r="G708" t="n">
        <v>14.4</v>
      </c>
      <c r="H708" t="n">
        <v>0</v>
      </c>
      <c r="I708" t="n">
        <v>0</v>
      </c>
      <c r="J708" t="n">
        <v>0</v>
      </c>
      <c r="K708" t="n">
        <v>0</v>
      </c>
      <c r="L708" t="n">
        <v>0</v>
      </c>
      <c r="M708" t="n">
        <v>0</v>
      </c>
      <c r="N708" t="n">
        <v>0</v>
      </c>
      <c r="O708" t="n">
        <v>0</v>
      </c>
      <c r="P708" t="n">
        <v>0</v>
      </c>
      <c r="Q708" t="n">
        <v>0</v>
      </c>
      <c r="R708" s="2" t="inlineStr"/>
    </row>
    <row r="709" ht="15" customHeight="1">
      <c r="A709" t="inlineStr">
        <is>
          <t>A 15377-2022</t>
        </is>
      </c>
      <c r="B709" s="1" t="n">
        <v>44659</v>
      </c>
      <c r="C709" s="1" t="n">
        <v>45762</v>
      </c>
      <c r="D709" t="inlineStr">
        <is>
          <t>UPPSALA LÄN</t>
        </is>
      </c>
      <c r="E709" t="inlineStr">
        <is>
          <t>UPPSALA</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15310-2022</t>
        </is>
      </c>
      <c r="B710" s="1" t="n">
        <v>44659</v>
      </c>
      <c r="C710" s="1" t="n">
        <v>45762</v>
      </c>
      <c r="D710" t="inlineStr">
        <is>
          <t>UPPSALA LÄN</t>
        </is>
      </c>
      <c r="E710" t="inlineStr">
        <is>
          <t>UPPSALA</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15583-2022</t>
        </is>
      </c>
      <c r="B711" s="1" t="n">
        <v>44662</v>
      </c>
      <c r="C711" s="1" t="n">
        <v>45762</v>
      </c>
      <c r="D711" t="inlineStr">
        <is>
          <t>UPPSALA LÄN</t>
        </is>
      </c>
      <c r="E711" t="inlineStr">
        <is>
          <t>UPPSALA</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15735-2022</t>
        </is>
      </c>
      <c r="B712" s="1" t="n">
        <v>44663</v>
      </c>
      <c r="C712" s="1" t="n">
        <v>45762</v>
      </c>
      <c r="D712" t="inlineStr">
        <is>
          <t>UPPSALA LÄN</t>
        </is>
      </c>
      <c r="E712" t="inlineStr">
        <is>
          <t>UPPSALA</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16126-2022</t>
        </is>
      </c>
      <c r="B713" s="1" t="n">
        <v>44665</v>
      </c>
      <c r="C713" s="1" t="n">
        <v>45762</v>
      </c>
      <c r="D713" t="inlineStr">
        <is>
          <t>UPPSALA LÄN</t>
        </is>
      </c>
      <c r="E713" t="inlineStr">
        <is>
          <t>UPPSALA</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16804-2022</t>
        </is>
      </c>
      <c r="B714" s="1" t="n">
        <v>44673</v>
      </c>
      <c r="C714" s="1" t="n">
        <v>45762</v>
      </c>
      <c r="D714" t="inlineStr">
        <is>
          <t>UPPSALA LÄN</t>
        </is>
      </c>
      <c r="E714" t="inlineStr">
        <is>
          <t>UPPSALA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16828-2022</t>
        </is>
      </c>
      <c r="B715" s="1" t="n">
        <v>44673</v>
      </c>
      <c r="C715" s="1" t="n">
        <v>45762</v>
      </c>
      <c r="D715" t="inlineStr">
        <is>
          <t>UPPSALA LÄN</t>
        </is>
      </c>
      <c r="E715" t="inlineStr">
        <is>
          <t>UPPSALA</t>
        </is>
      </c>
      <c r="F715" t="inlineStr">
        <is>
          <t>Bergvik skog öst AB</t>
        </is>
      </c>
      <c r="G715" t="n">
        <v>4.1</v>
      </c>
      <c r="H715" t="n">
        <v>0</v>
      </c>
      <c r="I715" t="n">
        <v>0</v>
      </c>
      <c r="J715" t="n">
        <v>0</v>
      </c>
      <c r="K715" t="n">
        <v>0</v>
      </c>
      <c r="L715" t="n">
        <v>0</v>
      </c>
      <c r="M715" t="n">
        <v>0</v>
      </c>
      <c r="N715" t="n">
        <v>0</v>
      </c>
      <c r="O715" t="n">
        <v>0</v>
      </c>
      <c r="P715" t="n">
        <v>0</v>
      </c>
      <c r="Q715" t="n">
        <v>0</v>
      </c>
      <c r="R715" s="2" t="inlineStr"/>
    </row>
    <row r="716" ht="15" customHeight="1">
      <c r="A716" t="inlineStr">
        <is>
          <t>A 16827-2022</t>
        </is>
      </c>
      <c r="B716" s="1" t="n">
        <v>44673</v>
      </c>
      <c r="C716" s="1" t="n">
        <v>45762</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16831-2022</t>
        </is>
      </c>
      <c r="B717" s="1" t="n">
        <v>44673</v>
      </c>
      <c r="C717" s="1" t="n">
        <v>45762</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16826-2022</t>
        </is>
      </c>
      <c r="B718" s="1" t="n">
        <v>44673</v>
      </c>
      <c r="C718" s="1" t="n">
        <v>45762</v>
      </c>
      <c r="D718" t="inlineStr">
        <is>
          <t>UPPSALA LÄN</t>
        </is>
      </c>
      <c r="E718" t="inlineStr">
        <is>
          <t>UPPSALA</t>
        </is>
      </c>
      <c r="F718" t="inlineStr">
        <is>
          <t>Bergvik skog öst AB</t>
        </is>
      </c>
      <c r="G718" t="n">
        <v>7.1</v>
      </c>
      <c r="H718" t="n">
        <v>0</v>
      </c>
      <c r="I718" t="n">
        <v>0</v>
      </c>
      <c r="J718" t="n">
        <v>0</v>
      </c>
      <c r="K718" t="n">
        <v>0</v>
      </c>
      <c r="L718" t="n">
        <v>0</v>
      </c>
      <c r="M718" t="n">
        <v>0</v>
      </c>
      <c r="N718" t="n">
        <v>0</v>
      </c>
      <c r="O718" t="n">
        <v>0</v>
      </c>
      <c r="P718" t="n">
        <v>0</v>
      </c>
      <c r="Q718" t="n">
        <v>0</v>
      </c>
      <c r="R718" s="2" t="inlineStr"/>
    </row>
    <row r="719" ht="15" customHeight="1">
      <c r="A719" t="inlineStr">
        <is>
          <t>A 16942-2022</t>
        </is>
      </c>
      <c r="B719" s="1" t="n">
        <v>44676</v>
      </c>
      <c r="C719" s="1" t="n">
        <v>45762</v>
      </c>
      <c r="D719" t="inlineStr">
        <is>
          <t>UPPSALA LÄN</t>
        </is>
      </c>
      <c r="E719" t="inlineStr">
        <is>
          <t>UPPSALA</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16892-2022</t>
        </is>
      </c>
      <c r="B720" s="1" t="n">
        <v>44676</v>
      </c>
      <c r="C720" s="1" t="n">
        <v>45762</v>
      </c>
      <c r="D720" t="inlineStr">
        <is>
          <t>UPPSALA LÄN</t>
        </is>
      </c>
      <c r="E720" t="inlineStr">
        <is>
          <t>UPPSALA</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16978-2022</t>
        </is>
      </c>
      <c r="B721" s="1" t="n">
        <v>44676</v>
      </c>
      <c r="C721" s="1" t="n">
        <v>45762</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16898-2022</t>
        </is>
      </c>
      <c r="B722" s="1" t="n">
        <v>44676</v>
      </c>
      <c r="C722" s="1" t="n">
        <v>45762</v>
      </c>
      <c r="D722" t="inlineStr">
        <is>
          <t>UPPSALA LÄN</t>
        </is>
      </c>
      <c r="E722" t="inlineStr">
        <is>
          <t>UPPSALA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17232-2022</t>
        </is>
      </c>
      <c r="B723" s="1" t="n">
        <v>44678</v>
      </c>
      <c r="C723" s="1" t="n">
        <v>45762</v>
      </c>
      <c r="D723" t="inlineStr">
        <is>
          <t>UPPSALA LÄN</t>
        </is>
      </c>
      <c r="E723" t="inlineStr">
        <is>
          <t>UPPSALA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17562-2022</t>
        </is>
      </c>
      <c r="B724" s="1" t="n">
        <v>44679</v>
      </c>
      <c r="C724" s="1" t="n">
        <v>45762</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v>
      </c>
      <c r="C725" s="1" t="n">
        <v>45762</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17981-2022</t>
        </is>
      </c>
      <c r="B726" s="1" t="n">
        <v>44683</v>
      </c>
      <c r="C726" s="1" t="n">
        <v>45762</v>
      </c>
      <c r="D726" t="inlineStr">
        <is>
          <t>UPPSALA LÄN</t>
        </is>
      </c>
      <c r="E726" t="inlineStr">
        <is>
          <t>UPPSALA</t>
        </is>
      </c>
      <c r="F726" t="inlineStr">
        <is>
          <t>Bergvik skog öst AB</t>
        </is>
      </c>
      <c r="G726" t="n">
        <v>6.7</v>
      </c>
      <c r="H726" t="n">
        <v>0</v>
      </c>
      <c r="I726" t="n">
        <v>0</v>
      </c>
      <c r="J726" t="n">
        <v>0</v>
      </c>
      <c r="K726" t="n">
        <v>0</v>
      </c>
      <c r="L726" t="n">
        <v>0</v>
      </c>
      <c r="M726" t="n">
        <v>0</v>
      </c>
      <c r="N726" t="n">
        <v>0</v>
      </c>
      <c r="O726" t="n">
        <v>0</v>
      </c>
      <c r="P726" t="n">
        <v>0</v>
      </c>
      <c r="Q726" t="n">
        <v>0</v>
      </c>
      <c r="R726" s="2" t="inlineStr"/>
    </row>
    <row r="727" ht="15" customHeight="1">
      <c r="A727" t="inlineStr">
        <is>
          <t>A 18330-2022</t>
        </is>
      </c>
      <c r="B727" s="1" t="n">
        <v>44685</v>
      </c>
      <c r="C727" s="1" t="n">
        <v>45762</v>
      </c>
      <c r="D727" t="inlineStr">
        <is>
          <t>UPPSALA LÄN</t>
        </is>
      </c>
      <c r="E727" t="inlineStr">
        <is>
          <t>UPPSALA</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18521-2022</t>
        </is>
      </c>
      <c r="B728" s="1" t="n">
        <v>44686</v>
      </c>
      <c r="C728" s="1" t="n">
        <v>45762</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18583-2022</t>
        </is>
      </c>
      <c r="B729" s="1" t="n">
        <v>44687</v>
      </c>
      <c r="C729" s="1" t="n">
        <v>45762</v>
      </c>
      <c r="D729" t="inlineStr">
        <is>
          <t>UPPSALA LÄN</t>
        </is>
      </c>
      <c r="E729" t="inlineStr">
        <is>
          <t>UPPSALA</t>
        </is>
      </c>
      <c r="F729" t="inlineStr">
        <is>
          <t>Övriga Aktiebolag</t>
        </is>
      </c>
      <c r="G729" t="n">
        <v>6.4</v>
      </c>
      <c r="H729" t="n">
        <v>0</v>
      </c>
      <c r="I729" t="n">
        <v>0</v>
      </c>
      <c r="J729" t="n">
        <v>0</v>
      </c>
      <c r="K729" t="n">
        <v>0</v>
      </c>
      <c r="L729" t="n">
        <v>0</v>
      </c>
      <c r="M729" t="n">
        <v>0</v>
      </c>
      <c r="N729" t="n">
        <v>0</v>
      </c>
      <c r="O729" t="n">
        <v>0</v>
      </c>
      <c r="P729" t="n">
        <v>0</v>
      </c>
      <c r="Q729" t="n">
        <v>0</v>
      </c>
      <c r="R729" s="2" t="inlineStr"/>
    </row>
    <row r="730" ht="15" customHeight="1">
      <c r="A730" t="inlineStr">
        <is>
          <t>A 18960-2022</t>
        </is>
      </c>
      <c r="B730" s="1" t="n">
        <v>44690</v>
      </c>
      <c r="C730" s="1" t="n">
        <v>45762</v>
      </c>
      <c r="D730" t="inlineStr">
        <is>
          <t>UPPSALA LÄN</t>
        </is>
      </c>
      <c r="E730" t="inlineStr">
        <is>
          <t>UPPSALA</t>
        </is>
      </c>
      <c r="F730" t="inlineStr">
        <is>
          <t>Bergvik skog öst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19034-2022</t>
        </is>
      </c>
      <c r="B731" s="1" t="n">
        <v>44691</v>
      </c>
      <c r="C731" s="1" t="n">
        <v>45762</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19240-2022</t>
        </is>
      </c>
      <c r="B732" s="1" t="n">
        <v>44692</v>
      </c>
      <c r="C732" s="1" t="n">
        <v>45762</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19375-2022</t>
        </is>
      </c>
      <c r="B733" s="1" t="n">
        <v>44692</v>
      </c>
      <c r="C733" s="1" t="n">
        <v>45762</v>
      </c>
      <c r="D733" t="inlineStr">
        <is>
          <t>UPPSALA LÄN</t>
        </is>
      </c>
      <c r="E733" t="inlineStr">
        <is>
          <t>UPPSALA</t>
        </is>
      </c>
      <c r="F733" t="inlineStr">
        <is>
          <t>Bergvik skog öst AB</t>
        </is>
      </c>
      <c r="G733" t="n">
        <v>5</v>
      </c>
      <c r="H733" t="n">
        <v>0</v>
      </c>
      <c r="I733" t="n">
        <v>0</v>
      </c>
      <c r="J733" t="n">
        <v>0</v>
      </c>
      <c r="K733" t="n">
        <v>0</v>
      </c>
      <c r="L733" t="n">
        <v>0</v>
      </c>
      <c r="M733" t="n">
        <v>0</v>
      </c>
      <c r="N733" t="n">
        <v>0</v>
      </c>
      <c r="O733" t="n">
        <v>0</v>
      </c>
      <c r="P733" t="n">
        <v>0</v>
      </c>
      <c r="Q733" t="n">
        <v>0</v>
      </c>
      <c r="R733" s="2" t="inlineStr"/>
    </row>
    <row r="734" ht="15" customHeight="1">
      <c r="A734" t="inlineStr">
        <is>
          <t>A 19380-2022</t>
        </is>
      </c>
      <c r="B734" s="1" t="n">
        <v>44692</v>
      </c>
      <c r="C734" s="1" t="n">
        <v>45762</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19382-2022</t>
        </is>
      </c>
      <c r="B735" s="1" t="n">
        <v>44692</v>
      </c>
      <c r="C735" s="1" t="n">
        <v>45762</v>
      </c>
      <c r="D735" t="inlineStr">
        <is>
          <t>UPPSALA LÄN</t>
        </is>
      </c>
      <c r="E735" t="inlineStr">
        <is>
          <t>UPPSALA</t>
        </is>
      </c>
      <c r="G735" t="n">
        <v>4.3</v>
      </c>
      <c r="H735" t="n">
        <v>0</v>
      </c>
      <c r="I735" t="n">
        <v>0</v>
      </c>
      <c r="J735" t="n">
        <v>0</v>
      </c>
      <c r="K735" t="n">
        <v>0</v>
      </c>
      <c r="L735" t="n">
        <v>0</v>
      </c>
      <c r="M735" t="n">
        <v>0</v>
      </c>
      <c r="N735" t="n">
        <v>0</v>
      </c>
      <c r="O735" t="n">
        <v>0</v>
      </c>
      <c r="P735" t="n">
        <v>0</v>
      </c>
      <c r="Q735" t="n">
        <v>0</v>
      </c>
      <c r="R735" s="2" t="inlineStr"/>
    </row>
    <row r="736" ht="15" customHeight="1">
      <c r="A736" t="inlineStr">
        <is>
          <t>A 20265-2022</t>
        </is>
      </c>
      <c r="B736" s="1" t="n">
        <v>44698</v>
      </c>
      <c r="C736" s="1" t="n">
        <v>45762</v>
      </c>
      <c r="D736" t="inlineStr">
        <is>
          <t>UPPSALA LÄN</t>
        </is>
      </c>
      <c r="E736" t="inlineStr">
        <is>
          <t>UPPSALA</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20497-2022</t>
        </is>
      </c>
      <c r="B737" s="1" t="n">
        <v>44699</v>
      </c>
      <c r="C737" s="1" t="n">
        <v>45762</v>
      </c>
      <c r="D737" t="inlineStr">
        <is>
          <t>UPPSALA LÄN</t>
        </is>
      </c>
      <c r="E737" t="inlineStr">
        <is>
          <t>UPPSALA</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20770-2022</t>
        </is>
      </c>
      <c r="B738" s="1" t="n">
        <v>44700</v>
      </c>
      <c r="C738" s="1" t="n">
        <v>45762</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20764-2022</t>
        </is>
      </c>
      <c r="B739" s="1" t="n">
        <v>44700</v>
      </c>
      <c r="C739" s="1" t="n">
        <v>45762</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20938-2022</t>
        </is>
      </c>
      <c r="B740" s="1" t="n">
        <v>44701</v>
      </c>
      <c r="C740" s="1" t="n">
        <v>45762</v>
      </c>
      <c r="D740" t="inlineStr">
        <is>
          <t>UPPSALA LÄN</t>
        </is>
      </c>
      <c r="E740" t="inlineStr">
        <is>
          <t>UPPSALA</t>
        </is>
      </c>
      <c r="F740" t="inlineStr">
        <is>
          <t>Bergvik skog öst AB</t>
        </is>
      </c>
      <c r="G740" t="n">
        <v>7.2</v>
      </c>
      <c r="H740" t="n">
        <v>0</v>
      </c>
      <c r="I740" t="n">
        <v>0</v>
      </c>
      <c r="J740" t="n">
        <v>0</v>
      </c>
      <c r="K740" t="n">
        <v>0</v>
      </c>
      <c r="L740" t="n">
        <v>0</v>
      </c>
      <c r="M740" t="n">
        <v>0</v>
      </c>
      <c r="N740" t="n">
        <v>0</v>
      </c>
      <c r="O740" t="n">
        <v>0</v>
      </c>
      <c r="P740" t="n">
        <v>0</v>
      </c>
      <c r="Q740" t="n">
        <v>0</v>
      </c>
      <c r="R740" s="2" t="inlineStr"/>
    </row>
    <row r="741" ht="15" customHeight="1">
      <c r="A741" t="inlineStr">
        <is>
          <t>A 20936-2022</t>
        </is>
      </c>
      <c r="B741" s="1" t="n">
        <v>44701</v>
      </c>
      <c r="C741" s="1" t="n">
        <v>45762</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20980-2022</t>
        </is>
      </c>
      <c r="B742" s="1" t="n">
        <v>44702</v>
      </c>
      <c r="C742" s="1" t="n">
        <v>45762</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21181-2022</t>
        </is>
      </c>
      <c r="B743" s="1" t="n">
        <v>44704</v>
      </c>
      <c r="C743" s="1" t="n">
        <v>45762</v>
      </c>
      <c r="D743" t="inlineStr">
        <is>
          <t>UPPSALA LÄN</t>
        </is>
      </c>
      <c r="E743" t="inlineStr">
        <is>
          <t>UPPSALA</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21228-2022</t>
        </is>
      </c>
      <c r="B744" s="1" t="n">
        <v>44704</v>
      </c>
      <c r="C744" s="1" t="n">
        <v>45762</v>
      </c>
      <c r="D744" t="inlineStr">
        <is>
          <t>UPPSALA LÄN</t>
        </is>
      </c>
      <c r="E744" t="inlineStr">
        <is>
          <t>UPPSALA</t>
        </is>
      </c>
      <c r="G744" t="n">
        <v>0.2</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v>
      </c>
      <c r="C745" s="1" t="n">
        <v>45762</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v>
      </c>
      <c r="C746" s="1" t="n">
        <v>45762</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21394-2022</t>
        </is>
      </c>
      <c r="B747" s="1" t="n">
        <v>44705</v>
      </c>
      <c r="C747" s="1" t="n">
        <v>45762</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22021-2022</t>
        </is>
      </c>
      <c r="B748" s="1" t="n">
        <v>44711</v>
      </c>
      <c r="C748" s="1" t="n">
        <v>45762</v>
      </c>
      <c r="D748" t="inlineStr">
        <is>
          <t>UPPSALA LÄN</t>
        </is>
      </c>
      <c r="E748" t="inlineStr">
        <is>
          <t>UPPSALA</t>
        </is>
      </c>
      <c r="F748" t="inlineStr">
        <is>
          <t>Allmännings- och besparingsskogar</t>
        </is>
      </c>
      <c r="G748" t="n">
        <v>2.1</v>
      </c>
      <c r="H748" t="n">
        <v>0</v>
      </c>
      <c r="I748" t="n">
        <v>0</v>
      </c>
      <c r="J748" t="n">
        <v>0</v>
      </c>
      <c r="K748" t="n">
        <v>0</v>
      </c>
      <c r="L748" t="n">
        <v>0</v>
      </c>
      <c r="M748" t="n">
        <v>0</v>
      </c>
      <c r="N748" t="n">
        <v>0</v>
      </c>
      <c r="O748" t="n">
        <v>0</v>
      </c>
      <c r="P748" t="n">
        <v>0</v>
      </c>
      <c r="Q748" t="n">
        <v>0</v>
      </c>
      <c r="R748" s="2" t="inlineStr"/>
    </row>
    <row r="749" ht="15" customHeight="1">
      <c r="A749" t="inlineStr">
        <is>
          <t>A 22390-2022</t>
        </is>
      </c>
      <c r="B749" s="1" t="n">
        <v>44713</v>
      </c>
      <c r="C749" s="1" t="n">
        <v>45762</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22429-2022</t>
        </is>
      </c>
      <c r="B750" s="1" t="n">
        <v>44713</v>
      </c>
      <c r="C750" s="1" t="n">
        <v>45762</v>
      </c>
      <c r="D750" t="inlineStr">
        <is>
          <t>UPPSALA LÄN</t>
        </is>
      </c>
      <c r="E750" t="inlineStr">
        <is>
          <t>UPPSALA</t>
        </is>
      </c>
      <c r="F750" t="inlineStr">
        <is>
          <t>Bergvik skog öst AB</t>
        </is>
      </c>
      <c r="G750" t="n">
        <v>3.6</v>
      </c>
      <c r="H750" t="n">
        <v>0</v>
      </c>
      <c r="I750" t="n">
        <v>0</v>
      </c>
      <c r="J750" t="n">
        <v>0</v>
      </c>
      <c r="K750" t="n">
        <v>0</v>
      </c>
      <c r="L750" t="n">
        <v>0</v>
      </c>
      <c r="M750" t="n">
        <v>0</v>
      </c>
      <c r="N750" t="n">
        <v>0</v>
      </c>
      <c r="O750" t="n">
        <v>0</v>
      </c>
      <c r="P750" t="n">
        <v>0</v>
      </c>
      <c r="Q750" t="n">
        <v>0</v>
      </c>
      <c r="R750" s="2" t="inlineStr"/>
    </row>
    <row r="751" ht="15" customHeight="1">
      <c r="A751" t="inlineStr">
        <is>
          <t>A 22645-2022</t>
        </is>
      </c>
      <c r="B751" s="1" t="n">
        <v>44714</v>
      </c>
      <c r="C751" s="1" t="n">
        <v>45762</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23324-2022</t>
        </is>
      </c>
      <c r="B752" s="1" t="n">
        <v>44720</v>
      </c>
      <c r="C752" s="1" t="n">
        <v>45762</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23289-2022</t>
        </is>
      </c>
      <c r="B753" s="1" t="n">
        <v>44720</v>
      </c>
      <c r="C753" s="1" t="n">
        <v>45762</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23761-2022</t>
        </is>
      </c>
      <c r="B754" s="1" t="n">
        <v>44722</v>
      </c>
      <c r="C754" s="1" t="n">
        <v>45762</v>
      </c>
      <c r="D754" t="inlineStr">
        <is>
          <t>UPPSALA LÄN</t>
        </is>
      </c>
      <c r="E754" t="inlineStr">
        <is>
          <t>UPPSALA</t>
        </is>
      </c>
      <c r="F754" t="inlineStr">
        <is>
          <t>Bergvik skog öst AB</t>
        </is>
      </c>
      <c r="G754" t="n">
        <v>7.3</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v>
      </c>
      <c r="C755" s="1" t="n">
        <v>45762</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23717-2022</t>
        </is>
      </c>
      <c r="B756" s="1" t="n">
        <v>44722</v>
      </c>
      <c r="C756" s="1" t="n">
        <v>45762</v>
      </c>
      <c r="D756" t="inlineStr">
        <is>
          <t>UPPSALA LÄN</t>
        </is>
      </c>
      <c r="E756" t="inlineStr">
        <is>
          <t>UPPSALA</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23730-2022</t>
        </is>
      </c>
      <c r="B757" s="1" t="n">
        <v>44722</v>
      </c>
      <c r="C757" s="1" t="n">
        <v>45762</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24420-2022</t>
        </is>
      </c>
      <c r="B758" s="1" t="n">
        <v>44726</v>
      </c>
      <c r="C758" s="1" t="n">
        <v>45762</v>
      </c>
      <c r="D758" t="inlineStr">
        <is>
          <t>UPPSALA LÄN</t>
        </is>
      </c>
      <c r="E758" t="inlineStr">
        <is>
          <t>UPPSALA</t>
        </is>
      </c>
      <c r="F758" t="inlineStr">
        <is>
          <t>Bergvik skog öst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24401-2022</t>
        </is>
      </c>
      <c r="B759" s="1" t="n">
        <v>44726</v>
      </c>
      <c r="C759" s="1" t="n">
        <v>45762</v>
      </c>
      <c r="D759" t="inlineStr">
        <is>
          <t>UPPSALA LÄN</t>
        </is>
      </c>
      <c r="E759" t="inlineStr">
        <is>
          <t>UPPSALA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24409-2022</t>
        </is>
      </c>
      <c r="B760" s="1" t="n">
        <v>44726</v>
      </c>
      <c r="C760" s="1" t="n">
        <v>45762</v>
      </c>
      <c r="D760" t="inlineStr">
        <is>
          <t>UPPSALA LÄN</t>
        </is>
      </c>
      <c r="E760" t="inlineStr">
        <is>
          <t>UPPSALA</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25178-2022</t>
        </is>
      </c>
      <c r="B761" s="1" t="n">
        <v>44729</v>
      </c>
      <c r="C761" s="1" t="n">
        <v>45762</v>
      </c>
      <c r="D761" t="inlineStr">
        <is>
          <t>UPPSALA LÄN</t>
        </is>
      </c>
      <c r="E761" t="inlineStr">
        <is>
          <t>UPPSALA</t>
        </is>
      </c>
      <c r="F761" t="inlineStr">
        <is>
          <t>Holmen skog AB</t>
        </is>
      </c>
      <c r="G761" t="n">
        <v>4.6</v>
      </c>
      <c r="H761" t="n">
        <v>0</v>
      </c>
      <c r="I761" t="n">
        <v>0</v>
      </c>
      <c r="J761" t="n">
        <v>0</v>
      </c>
      <c r="K761" t="n">
        <v>0</v>
      </c>
      <c r="L761" t="n">
        <v>0</v>
      </c>
      <c r="M761" t="n">
        <v>0</v>
      </c>
      <c r="N761" t="n">
        <v>0</v>
      </c>
      <c r="O761" t="n">
        <v>0</v>
      </c>
      <c r="P761" t="n">
        <v>0</v>
      </c>
      <c r="Q761" t="n">
        <v>0</v>
      </c>
      <c r="R761" s="2" t="inlineStr"/>
    </row>
    <row r="762" ht="15" customHeight="1">
      <c r="A762" t="inlineStr">
        <is>
          <t>A 25120-2022</t>
        </is>
      </c>
      <c r="B762" s="1" t="n">
        <v>44729</v>
      </c>
      <c r="C762" s="1" t="n">
        <v>45762</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25759-2022</t>
        </is>
      </c>
      <c r="B763" s="1" t="n">
        <v>44733</v>
      </c>
      <c r="C763" s="1" t="n">
        <v>45762</v>
      </c>
      <c r="D763" t="inlineStr">
        <is>
          <t>UPPSALA LÄN</t>
        </is>
      </c>
      <c r="E763" t="inlineStr">
        <is>
          <t>UPPSALA</t>
        </is>
      </c>
      <c r="F763" t="inlineStr">
        <is>
          <t>Bergvik skog öst AB</t>
        </is>
      </c>
      <c r="G763" t="n">
        <v>1.3</v>
      </c>
      <c r="H763" t="n">
        <v>0</v>
      </c>
      <c r="I763" t="n">
        <v>0</v>
      </c>
      <c r="J763" t="n">
        <v>0</v>
      </c>
      <c r="K763" t="n">
        <v>0</v>
      </c>
      <c r="L763" t="n">
        <v>0</v>
      </c>
      <c r="M763" t="n">
        <v>0</v>
      </c>
      <c r="N763" t="n">
        <v>0</v>
      </c>
      <c r="O763" t="n">
        <v>0</v>
      </c>
      <c r="P763" t="n">
        <v>0</v>
      </c>
      <c r="Q763" t="n">
        <v>0</v>
      </c>
      <c r="R763" s="2" t="inlineStr"/>
    </row>
    <row r="764" ht="15" customHeight="1">
      <c r="A764" t="inlineStr">
        <is>
          <t>A 25809-2022</t>
        </is>
      </c>
      <c r="B764" s="1" t="n">
        <v>44733</v>
      </c>
      <c r="C764" s="1" t="n">
        <v>45762</v>
      </c>
      <c r="D764" t="inlineStr">
        <is>
          <t>UPPSALA LÄN</t>
        </is>
      </c>
      <c r="E764" t="inlineStr">
        <is>
          <t>UPPSALA</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v>
      </c>
      <c r="C765" s="1" t="n">
        <v>45762</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25776-2022</t>
        </is>
      </c>
      <c r="B766" s="1" t="n">
        <v>44733</v>
      </c>
      <c r="C766" s="1" t="n">
        <v>45762</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26609-2022</t>
        </is>
      </c>
      <c r="B767" s="1" t="n">
        <v>44739</v>
      </c>
      <c r="C767" s="1" t="n">
        <v>45762</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26958-2022</t>
        </is>
      </c>
      <c r="B768" s="1" t="n">
        <v>44740</v>
      </c>
      <c r="C768" s="1" t="n">
        <v>45762</v>
      </c>
      <c r="D768" t="inlineStr">
        <is>
          <t>UPPSALA LÄN</t>
        </is>
      </c>
      <c r="E768" t="inlineStr">
        <is>
          <t>UPPSALA</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26972-2022</t>
        </is>
      </c>
      <c r="B769" s="1" t="n">
        <v>44740</v>
      </c>
      <c r="C769" s="1" t="n">
        <v>45762</v>
      </c>
      <c r="D769" t="inlineStr">
        <is>
          <t>UPPSALA LÄN</t>
        </is>
      </c>
      <c r="E769" t="inlineStr">
        <is>
          <t>UPPSALA</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27372-2022</t>
        </is>
      </c>
      <c r="B770" s="1" t="n">
        <v>44742</v>
      </c>
      <c r="C770" s="1" t="n">
        <v>45762</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27369-2022</t>
        </is>
      </c>
      <c r="B771" s="1" t="n">
        <v>44742</v>
      </c>
      <c r="C771" s="1" t="n">
        <v>45762</v>
      </c>
      <c r="D771" t="inlineStr">
        <is>
          <t>UPPSALA LÄN</t>
        </is>
      </c>
      <c r="E771" t="inlineStr">
        <is>
          <t>UPPSALA</t>
        </is>
      </c>
      <c r="G771" t="n">
        <v>4.5</v>
      </c>
      <c r="H771" t="n">
        <v>0</v>
      </c>
      <c r="I771" t="n">
        <v>0</v>
      </c>
      <c r="J771" t="n">
        <v>0</v>
      </c>
      <c r="K771" t="n">
        <v>0</v>
      </c>
      <c r="L771" t="n">
        <v>0</v>
      </c>
      <c r="M771" t="n">
        <v>0</v>
      </c>
      <c r="N771" t="n">
        <v>0</v>
      </c>
      <c r="O771" t="n">
        <v>0</v>
      </c>
      <c r="P771" t="n">
        <v>0</v>
      </c>
      <c r="Q771" t="n">
        <v>0</v>
      </c>
      <c r="R771" s="2" t="inlineStr"/>
    </row>
    <row r="772" ht="15" customHeight="1">
      <c r="A772" t="inlineStr">
        <is>
          <t>A 27390-2022</t>
        </is>
      </c>
      <c r="B772" s="1" t="n">
        <v>44742</v>
      </c>
      <c r="C772" s="1" t="n">
        <v>45762</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27397-2022</t>
        </is>
      </c>
      <c r="B773" s="1" t="n">
        <v>44742</v>
      </c>
      <c r="C773" s="1" t="n">
        <v>45762</v>
      </c>
      <c r="D773" t="inlineStr">
        <is>
          <t>UPPSALA LÄN</t>
        </is>
      </c>
      <c r="E773" t="inlineStr">
        <is>
          <t>UPPSALA</t>
        </is>
      </c>
      <c r="G773" t="n">
        <v>2</v>
      </c>
      <c r="H773" t="n">
        <v>0</v>
      </c>
      <c r="I773" t="n">
        <v>0</v>
      </c>
      <c r="J773" t="n">
        <v>0</v>
      </c>
      <c r="K773" t="n">
        <v>0</v>
      </c>
      <c r="L773" t="n">
        <v>0</v>
      </c>
      <c r="M773" t="n">
        <v>0</v>
      </c>
      <c r="N773" t="n">
        <v>0</v>
      </c>
      <c r="O773" t="n">
        <v>0</v>
      </c>
      <c r="P773" t="n">
        <v>0</v>
      </c>
      <c r="Q773" t="n">
        <v>0</v>
      </c>
      <c r="R773" s="2" t="inlineStr"/>
    </row>
    <row r="774" ht="15" customHeight="1">
      <c r="A774" t="inlineStr">
        <is>
          <t>A 27546-2022</t>
        </is>
      </c>
      <c r="B774" s="1" t="n">
        <v>44742</v>
      </c>
      <c r="C774" s="1" t="n">
        <v>45762</v>
      </c>
      <c r="D774" t="inlineStr">
        <is>
          <t>UPPSALA LÄN</t>
        </is>
      </c>
      <c r="E774" t="inlineStr">
        <is>
          <t>UPPSALA</t>
        </is>
      </c>
      <c r="G774" t="n">
        <v>3.4</v>
      </c>
      <c r="H774" t="n">
        <v>0</v>
      </c>
      <c r="I774" t="n">
        <v>0</v>
      </c>
      <c r="J774" t="n">
        <v>0</v>
      </c>
      <c r="K774" t="n">
        <v>0</v>
      </c>
      <c r="L774" t="n">
        <v>0</v>
      </c>
      <c r="M774" t="n">
        <v>0</v>
      </c>
      <c r="N774" t="n">
        <v>0</v>
      </c>
      <c r="O774" t="n">
        <v>0</v>
      </c>
      <c r="P774" t="n">
        <v>0</v>
      </c>
      <c r="Q774" t="n">
        <v>0</v>
      </c>
      <c r="R774" s="2" t="inlineStr"/>
    </row>
    <row r="775" ht="15" customHeight="1">
      <c r="A775" t="inlineStr">
        <is>
          <t>A 27543-2022</t>
        </is>
      </c>
      <c r="B775" s="1" t="n">
        <v>44742</v>
      </c>
      <c r="C775" s="1" t="n">
        <v>45762</v>
      </c>
      <c r="D775" t="inlineStr">
        <is>
          <t>UPPSALA LÄN</t>
        </is>
      </c>
      <c r="E775" t="inlineStr">
        <is>
          <t>UPPSALA</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27763-2022</t>
        </is>
      </c>
      <c r="B776" s="1" t="n">
        <v>44743</v>
      </c>
      <c r="C776" s="1" t="n">
        <v>45762</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27762-2022</t>
        </is>
      </c>
      <c r="B777" s="1" t="n">
        <v>44743</v>
      </c>
      <c r="C777" s="1" t="n">
        <v>45762</v>
      </c>
      <c r="D777" t="inlineStr">
        <is>
          <t>UPPSALA LÄN</t>
        </is>
      </c>
      <c r="E777" t="inlineStr">
        <is>
          <t>UPPSALA</t>
        </is>
      </c>
      <c r="G777" t="n">
        <v>3.5</v>
      </c>
      <c r="H777" t="n">
        <v>0</v>
      </c>
      <c r="I777" t="n">
        <v>0</v>
      </c>
      <c r="J777" t="n">
        <v>0</v>
      </c>
      <c r="K777" t="n">
        <v>0</v>
      </c>
      <c r="L777" t="n">
        <v>0</v>
      </c>
      <c r="M777" t="n">
        <v>0</v>
      </c>
      <c r="N777" t="n">
        <v>0</v>
      </c>
      <c r="O777" t="n">
        <v>0</v>
      </c>
      <c r="P777" t="n">
        <v>0</v>
      </c>
      <c r="Q777" t="n">
        <v>0</v>
      </c>
      <c r="R777" s="2" t="inlineStr"/>
    </row>
    <row r="778" ht="15" customHeight="1">
      <c r="A778" t="inlineStr">
        <is>
          <t>A 29277-2022</t>
        </is>
      </c>
      <c r="B778" s="1" t="n">
        <v>44750</v>
      </c>
      <c r="C778" s="1" t="n">
        <v>45762</v>
      </c>
      <c r="D778" t="inlineStr">
        <is>
          <t>UPPSALA LÄN</t>
        </is>
      </c>
      <c r="E778" t="inlineStr">
        <is>
          <t>UPPSALA</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v>
      </c>
      <c r="C779" s="1" t="n">
        <v>45762</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29986-2022</t>
        </is>
      </c>
      <c r="B780" s="1" t="n">
        <v>44756</v>
      </c>
      <c r="C780" s="1" t="n">
        <v>45762</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29991-2022</t>
        </is>
      </c>
      <c r="B781" s="1" t="n">
        <v>44756</v>
      </c>
      <c r="C781" s="1" t="n">
        <v>45762</v>
      </c>
      <c r="D781" t="inlineStr">
        <is>
          <t>UPPSALA LÄN</t>
        </is>
      </c>
      <c r="E781" t="inlineStr">
        <is>
          <t>UPPSALA</t>
        </is>
      </c>
      <c r="F781" t="inlineStr">
        <is>
          <t>Bergvik skog öst AB</t>
        </is>
      </c>
      <c r="G781" t="n">
        <v>4.1</v>
      </c>
      <c r="H781" t="n">
        <v>0</v>
      </c>
      <c r="I781" t="n">
        <v>0</v>
      </c>
      <c r="J781" t="n">
        <v>0</v>
      </c>
      <c r="K781" t="n">
        <v>0</v>
      </c>
      <c r="L781" t="n">
        <v>0</v>
      </c>
      <c r="M781" t="n">
        <v>0</v>
      </c>
      <c r="N781" t="n">
        <v>0</v>
      </c>
      <c r="O781" t="n">
        <v>0</v>
      </c>
      <c r="P781" t="n">
        <v>0</v>
      </c>
      <c r="Q781" t="n">
        <v>0</v>
      </c>
      <c r="R781" s="2" t="inlineStr"/>
    </row>
    <row r="782" ht="15" customHeight="1">
      <c r="A782" t="inlineStr">
        <is>
          <t>A 30052-2022</t>
        </is>
      </c>
      <c r="B782" s="1" t="n">
        <v>44757</v>
      </c>
      <c r="C782" s="1" t="n">
        <v>45762</v>
      </c>
      <c r="D782" t="inlineStr">
        <is>
          <t>UPPSALA LÄN</t>
        </is>
      </c>
      <c r="E782" t="inlineStr">
        <is>
          <t>UPPSALA</t>
        </is>
      </c>
      <c r="F782" t="inlineStr">
        <is>
          <t>Bergvik skog öst AB</t>
        </is>
      </c>
      <c r="G782" t="n">
        <v>9.6</v>
      </c>
      <c r="H782" t="n">
        <v>0</v>
      </c>
      <c r="I782" t="n">
        <v>0</v>
      </c>
      <c r="J782" t="n">
        <v>0</v>
      </c>
      <c r="K782" t="n">
        <v>0</v>
      </c>
      <c r="L782" t="n">
        <v>0</v>
      </c>
      <c r="M782" t="n">
        <v>0</v>
      </c>
      <c r="N782" t="n">
        <v>0</v>
      </c>
      <c r="O782" t="n">
        <v>0</v>
      </c>
      <c r="P782" t="n">
        <v>0</v>
      </c>
      <c r="Q782" t="n">
        <v>0</v>
      </c>
      <c r="R782" s="2" t="inlineStr"/>
    </row>
    <row r="783" ht="15" customHeight="1">
      <c r="A783" t="inlineStr">
        <is>
          <t>A 30580-2022</t>
        </is>
      </c>
      <c r="B783" s="1" t="n">
        <v>44762</v>
      </c>
      <c r="C783" s="1" t="n">
        <v>45762</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30783-2022</t>
        </is>
      </c>
      <c r="B784" s="1" t="n">
        <v>44764</v>
      </c>
      <c r="C784" s="1" t="n">
        <v>45762</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30775-2022</t>
        </is>
      </c>
      <c r="B785" s="1" t="n">
        <v>44764</v>
      </c>
      <c r="C785" s="1" t="n">
        <v>45762</v>
      </c>
      <c r="D785" t="inlineStr">
        <is>
          <t>UPPSALA LÄN</t>
        </is>
      </c>
      <c r="E785" t="inlineStr">
        <is>
          <t>UPPSALA</t>
        </is>
      </c>
      <c r="F785" t="inlineStr">
        <is>
          <t>Bergvik skog öst AB</t>
        </is>
      </c>
      <c r="G785" t="n">
        <v>4.5</v>
      </c>
      <c r="H785" t="n">
        <v>0</v>
      </c>
      <c r="I785" t="n">
        <v>0</v>
      </c>
      <c r="J785" t="n">
        <v>0</v>
      </c>
      <c r="K785" t="n">
        <v>0</v>
      </c>
      <c r="L785" t="n">
        <v>0</v>
      </c>
      <c r="M785" t="n">
        <v>0</v>
      </c>
      <c r="N785" t="n">
        <v>0</v>
      </c>
      <c r="O785" t="n">
        <v>0</v>
      </c>
      <c r="P785" t="n">
        <v>0</v>
      </c>
      <c r="Q785" t="n">
        <v>0</v>
      </c>
      <c r="R785" s="2" t="inlineStr"/>
    </row>
    <row r="786" ht="15" customHeight="1">
      <c r="A786" t="inlineStr">
        <is>
          <t>A 31113-2022</t>
        </is>
      </c>
      <c r="B786" s="1" t="n">
        <v>44769</v>
      </c>
      <c r="C786" s="1" t="n">
        <v>45762</v>
      </c>
      <c r="D786" t="inlineStr">
        <is>
          <t>UPPSALA LÄN</t>
        </is>
      </c>
      <c r="E786" t="inlineStr">
        <is>
          <t>UPPSALA</t>
        </is>
      </c>
      <c r="F786" t="inlineStr">
        <is>
          <t>Bergvik skog öst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31263-2022</t>
        </is>
      </c>
      <c r="B787" s="1" t="n">
        <v>44771</v>
      </c>
      <c r="C787" s="1" t="n">
        <v>45762</v>
      </c>
      <c r="D787" t="inlineStr">
        <is>
          <t>UPPSALA LÄN</t>
        </is>
      </c>
      <c r="E787" t="inlineStr">
        <is>
          <t>UPPSALA</t>
        </is>
      </c>
      <c r="F787" t="inlineStr">
        <is>
          <t>Bergvik skog öst AB</t>
        </is>
      </c>
      <c r="G787" t="n">
        <v>2.5</v>
      </c>
      <c r="H787" t="n">
        <v>0</v>
      </c>
      <c r="I787" t="n">
        <v>0</v>
      </c>
      <c r="J787" t="n">
        <v>0</v>
      </c>
      <c r="K787" t="n">
        <v>0</v>
      </c>
      <c r="L787" t="n">
        <v>0</v>
      </c>
      <c r="M787" t="n">
        <v>0</v>
      </c>
      <c r="N787" t="n">
        <v>0</v>
      </c>
      <c r="O787" t="n">
        <v>0</v>
      </c>
      <c r="P787" t="n">
        <v>0</v>
      </c>
      <c r="Q787" t="n">
        <v>0</v>
      </c>
      <c r="R787" s="2" t="inlineStr"/>
    </row>
    <row r="788" ht="15" customHeight="1">
      <c r="A788" t="inlineStr">
        <is>
          <t>A 31261-2022</t>
        </is>
      </c>
      <c r="B788" s="1" t="n">
        <v>44771</v>
      </c>
      <c r="C788" s="1" t="n">
        <v>45762</v>
      </c>
      <c r="D788" t="inlineStr">
        <is>
          <t>UPPSALA LÄN</t>
        </is>
      </c>
      <c r="E788" t="inlineStr">
        <is>
          <t>UPPSALA</t>
        </is>
      </c>
      <c r="F788" t="inlineStr">
        <is>
          <t>Bergvik skog öst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31249-2022</t>
        </is>
      </c>
      <c r="B789" s="1" t="n">
        <v>44771</v>
      </c>
      <c r="C789" s="1" t="n">
        <v>45762</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31253-2022</t>
        </is>
      </c>
      <c r="B790" s="1" t="n">
        <v>44771</v>
      </c>
      <c r="C790" s="1" t="n">
        <v>45762</v>
      </c>
      <c r="D790" t="inlineStr">
        <is>
          <t>UPPSALA LÄN</t>
        </is>
      </c>
      <c r="E790" t="inlineStr">
        <is>
          <t>UPPSALA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32954-2022</t>
        </is>
      </c>
      <c r="B791" s="1" t="n">
        <v>44784</v>
      </c>
      <c r="C791" s="1" t="n">
        <v>45762</v>
      </c>
      <c r="D791" t="inlineStr">
        <is>
          <t>UPPSALA LÄN</t>
        </is>
      </c>
      <c r="E791" t="inlineStr">
        <is>
          <t>UPPSALA</t>
        </is>
      </c>
      <c r="G791" t="n">
        <v>2.6</v>
      </c>
      <c r="H791" t="n">
        <v>0</v>
      </c>
      <c r="I791" t="n">
        <v>0</v>
      </c>
      <c r="J791" t="n">
        <v>0</v>
      </c>
      <c r="K791" t="n">
        <v>0</v>
      </c>
      <c r="L791" t="n">
        <v>0</v>
      </c>
      <c r="M791" t="n">
        <v>0</v>
      </c>
      <c r="N791" t="n">
        <v>0</v>
      </c>
      <c r="O791" t="n">
        <v>0</v>
      </c>
      <c r="P791" t="n">
        <v>0</v>
      </c>
      <c r="Q791" t="n">
        <v>0</v>
      </c>
      <c r="R791" s="2" t="inlineStr"/>
    </row>
    <row r="792" ht="15" customHeight="1">
      <c r="A792" t="inlineStr">
        <is>
          <t>A 33332-2022</t>
        </is>
      </c>
      <c r="B792" s="1" t="n">
        <v>44788</v>
      </c>
      <c r="C792" s="1" t="n">
        <v>45762</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33283-2022</t>
        </is>
      </c>
      <c r="B793" s="1" t="n">
        <v>44788</v>
      </c>
      <c r="C793" s="1" t="n">
        <v>45762</v>
      </c>
      <c r="D793" t="inlineStr">
        <is>
          <t>UPPSALA LÄN</t>
        </is>
      </c>
      <c r="E793" t="inlineStr">
        <is>
          <t>UPPSALA</t>
        </is>
      </c>
      <c r="G793" t="n">
        <v>20.2</v>
      </c>
      <c r="H793" t="n">
        <v>0</v>
      </c>
      <c r="I793" t="n">
        <v>0</v>
      </c>
      <c r="J793" t="n">
        <v>0</v>
      </c>
      <c r="K793" t="n">
        <v>0</v>
      </c>
      <c r="L793" t="n">
        <v>0</v>
      </c>
      <c r="M793" t="n">
        <v>0</v>
      </c>
      <c r="N793" t="n">
        <v>0</v>
      </c>
      <c r="O793" t="n">
        <v>0</v>
      </c>
      <c r="P793" t="n">
        <v>0</v>
      </c>
      <c r="Q793" t="n">
        <v>0</v>
      </c>
      <c r="R793" s="2" t="inlineStr"/>
    </row>
    <row r="794" ht="15" customHeight="1">
      <c r="A794" t="inlineStr">
        <is>
          <t>A 34061-2022</t>
        </is>
      </c>
      <c r="B794" s="1" t="n">
        <v>44791</v>
      </c>
      <c r="C794" s="1" t="n">
        <v>45762</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34770-2022</t>
        </is>
      </c>
      <c r="B795" s="1" t="n">
        <v>44795</v>
      </c>
      <c r="C795" s="1" t="n">
        <v>45762</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35212-2022</t>
        </is>
      </c>
      <c r="B796" s="1" t="n">
        <v>44797</v>
      </c>
      <c r="C796" s="1" t="n">
        <v>45762</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35411-2022</t>
        </is>
      </c>
      <c r="B797" s="1" t="n">
        <v>44798</v>
      </c>
      <c r="C797" s="1" t="n">
        <v>45762</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35539-2022</t>
        </is>
      </c>
      <c r="B798" s="1" t="n">
        <v>44799</v>
      </c>
      <c r="C798" s="1" t="n">
        <v>45762</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35544-2022</t>
        </is>
      </c>
      <c r="B799" s="1" t="n">
        <v>44799</v>
      </c>
      <c r="C799" s="1" t="n">
        <v>45762</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35542-2022</t>
        </is>
      </c>
      <c r="B800" s="1" t="n">
        <v>44799</v>
      </c>
      <c r="C800" s="1" t="n">
        <v>45762</v>
      </c>
      <c r="D800" t="inlineStr">
        <is>
          <t>UPPSALA LÄN</t>
        </is>
      </c>
      <c r="E800" t="inlineStr">
        <is>
          <t>UPPSALA</t>
        </is>
      </c>
      <c r="G800" t="n">
        <v>3.2</v>
      </c>
      <c r="H800" t="n">
        <v>0</v>
      </c>
      <c r="I800" t="n">
        <v>0</v>
      </c>
      <c r="J800" t="n">
        <v>0</v>
      </c>
      <c r="K800" t="n">
        <v>0</v>
      </c>
      <c r="L800" t="n">
        <v>0</v>
      </c>
      <c r="M800" t="n">
        <v>0</v>
      </c>
      <c r="N800" t="n">
        <v>0</v>
      </c>
      <c r="O800" t="n">
        <v>0</v>
      </c>
      <c r="P800" t="n">
        <v>0</v>
      </c>
      <c r="Q800" t="n">
        <v>0</v>
      </c>
      <c r="R800" s="2" t="inlineStr"/>
    </row>
    <row r="801" ht="15" customHeight="1">
      <c r="A801" t="inlineStr">
        <is>
          <t>A 37187-2022</t>
        </is>
      </c>
      <c r="B801" s="1" t="n">
        <v>44806</v>
      </c>
      <c r="C801" s="1" t="n">
        <v>45762</v>
      </c>
      <c r="D801" t="inlineStr">
        <is>
          <t>UPPSALA LÄN</t>
        </is>
      </c>
      <c r="E801" t="inlineStr">
        <is>
          <t>UPPSALA</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37316-2022</t>
        </is>
      </c>
      <c r="B802" s="1" t="n">
        <v>44806</v>
      </c>
      <c r="C802" s="1" t="n">
        <v>45762</v>
      </c>
      <c r="D802" t="inlineStr">
        <is>
          <t>UPPSALA LÄN</t>
        </is>
      </c>
      <c r="E802" t="inlineStr">
        <is>
          <t>UPPSALA</t>
        </is>
      </c>
      <c r="G802" t="n">
        <v>10.6</v>
      </c>
      <c r="H802" t="n">
        <v>0</v>
      </c>
      <c r="I802" t="n">
        <v>0</v>
      </c>
      <c r="J802" t="n">
        <v>0</v>
      </c>
      <c r="K802" t="n">
        <v>0</v>
      </c>
      <c r="L802" t="n">
        <v>0</v>
      </c>
      <c r="M802" t="n">
        <v>0</v>
      </c>
      <c r="N802" t="n">
        <v>0</v>
      </c>
      <c r="O802" t="n">
        <v>0</v>
      </c>
      <c r="P802" t="n">
        <v>0</v>
      </c>
      <c r="Q802" t="n">
        <v>0</v>
      </c>
      <c r="R802" s="2" t="inlineStr"/>
    </row>
    <row r="803" ht="15" customHeight="1">
      <c r="A803" t="inlineStr">
        <is>
          <t>A 37188-2022</t>
        </is>
      </c>
      <c r="B803" s="1" t="n">
        <v>44806</v>
      </c>
      <c r="C803" s="1" t="n">
        <v>45762</v>
      </c>
      <c r="D803" t="inlineStr">
        <is>
          <t>UPPSALA LÄN</t>
        </is>
      </c>
      <c r="E803" t="inlineStr">
        <is>
          <t>UPPSALA</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37588-2022</t>
        </is>
      </c>
      <c r="B804" s="1" t="n">
        <v>44810</v>
      </c>
      <c r="C804" s="1" t="n">
        <v>45762</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37761-2022</t>
        </is>
      </c>
      <c r="B805" s="1" t="n">
        <v>44810</v>
      </c>
      <c r="C805" s="1" t="n">
        <v>45762</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37670-2022</t>
        </is>
      </c>
      <c r="B806" s="1" t="n">
        <v>44810</v>
      </c>
      <c r="C806" s="1" t="n">
        <v>45762</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38078-2022</t>
        </is>
      </c>
      <c r="B807" s="1" t="n">
        <v>44811</v>
      </c>
      <c r="C807" s="1" t="n">
        <v>45762</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38524-2022</t>
        </is>
      </c>
      <c r="B808" s="1" t="n">
        <v>44813</v>
      </c>
      <c r="C808" s="1" t="n">
        <v>45762</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38865-2022</t>
        </is>
      </c>
      <c r="B809" s="1" t="n">
        <v>44816</v>
      </c>
      <c r="C809" s="1" t="n">
        <v>45762</v>
      </c>
      <c r="D809" t="inlineStr">
        <is>
          <t>UPPSALA LÄN</t>
        </is>
      </c>
      <c r="E809" t="inlineStr">
        <is>
          <t>UPPSALA</t>
        </is>
      </c>
      <c r="G809" t="n">
        <v>14.6</v>
      </c>
      <c r="H809" t="n">
        <v>0</v>
      </c>
      <c r="I809" t="n">
        <v>0</v>
      </c>
      <c r="J809" t="n">
        <v>0</v>
      </c>
      <c r="K809" t="n">
        <v>0</v>
      </c>
      <c r="L809" t="n">
        <v>0</v>
      </c>
      <c r="M809" t="n">
        <v>0</v>
      </c>
      <c r="N809" t="n">
        <v>0</v>
      </c>
      <c r="O809" t="n">
        <v>0</v>
      </c>
      <c r="P809" t="n">
        <v>0</v>
      </c>
      <c r="Q809" t="n">
        <v>0</v>
      </c>
      <c r="R809" s="2" t="inlineStr"/>
    </row>
    <row r="810" ht="15" customHeight="1">
      <c r="A810" t="inlineStr">
        <is>
          <t>A 38892-2022</t>
        </is>
      </c>
      <c r="B810" s="1" t="n">
        <v>44816</v>
      </c>
      <c r="C810" s="1" t="n">
        <v>45762</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38909-2022</t>
        </is>
      </c>
      <c r="B811" s="1" t="n">
        <v>44816</v>
      </c>
      <c r="C811" s="1" t="n">
        <v>45762</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39148-2022</t>
        </is>
      </c>
      <c r="B812" s="1" t="n">
        <v>44816</v>
      </c>
      <c r="C812" s="1" t="n">
        <v>45762</v>
      </c>
      <c r="D812" t="inlineStr">
        <is>
          <t>UPPSALA LÄN</t>
        </is>
      </c>
      <c r="E812" t="inlineStr">
        <is>
          <t>UPPSALA</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39144-2022</t>
        </is>
      </c>
      <c r="B813" s="1" t="n">
        <v>44816</v>
      </c>
      <c r="C813" s="1" t="n">
        <v>45762</v>
      </c>
      <c r="D813" t="inlineStr">
        <is>
          <t>UPPSALA LÄN</t>
        </is>
      </c>
      <c r="E813" t="inlineStr">
        <is>
          <t>UPPSALA</t>
        </is>
      </c>
      <c r="G813" t="n">
        <v>8.4</v>
      </c>
      <c r="H813" t="n">
        <v>0</v>
      </c>
      <c r="I813" t="n">
        <v>0</v>
      </c>
      <c r="J813" t="n">
        <v>0</v>
      </c>
      <c r="K813" t="n">
        <v>0</v>
      </c>
      <c r="L813" t="n">
        <v>0</v>
      </c>
      <c r="M813" t="n">
        <v>0</v>
      </c>
      <c r="N813" t="n">
        <v>0</v>
      </c>
      <c r="O813" t="n">
        <v>0</v>
      </c>
      <c r="P813" t="n">
        <v>0</v>
      </c>
      <c r="Q813" t="n">
        <v>0</v>
      </c>
      <c r="R813" s="2" t="inlineStr"/>
    </row>
    <row r="814" ht="15" customHeight="1">
      <c r="A814" t="inlineStr">
        <is>
          <t>A 39454-2022</t>
        </is>
      </c>
      <c r="B814" s="1" t="n">
        <v>44817</v>
      </c>
      <c r="C814" s="1" t="n">
        <v>45762</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39608-2022</t>
        </is>
      </c>
      <c r="B815" s="1" t="n">
        <v>44817</v>
      </c>
      <c r="C815" s="1" t="n">
        <v>45762</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39599-2022</t>
        </is>
      </c>
      <c r="B816" s="1" t="n">
        <v>44817</v>
      </c>
      <c r="C816" s="1" t="n">
        <v>45762</v>
      </c>
      <c r="D816" t="inlineStr">
        <is>
          <t>UPPSALA LÄN</t>
        </is>
      </c>
      <c r="E816" t="inlineStr">
        <is>
          <t>UPPSALA</t>
        </is>
      </c>
      <c r="G816" t="n">
        <v>4.8</v>
      </c>
      <c r="H816" t="n">
        <v>0</v>
      </c>
      <c r="I816" t="n">
        <v>0</v>
      </c>
      <c r="J816" t="n">
        <v>0</v>
      </c>
      <c r="K816" t="n">
        <v>0</v>
      </c>
      <c r="L816" t="n">
        <v>0</v>
      </c>
      <c r="M816" t="n">
        <v>0</v>
      </c>
      <c r="N816" t="n">
        <v>0</v>
      </c>
      <c r="O816" t="n">
        <v>0</v>
      </c>
      <c r="P816" t="n">
        <v>0</v>
      </c>
      <c r="Q816" t="n">
        <v>0</v>
      </c>
      <c r="R816" s="2" t="inlineStr"/>
    </row>
    <row r="817" ht="15" customHeight="1">
      <c r="A817" t="inlineStr">
        <is>
          <t>A 39795-2022</t>
        </is>
      </c>
      <c r="B817" s="1" t="n">
        <v>44819</v>
      </c>
      <c r="C817" s="1" t="n">
        <v>45762</v>
      </c>
      <c r="D817" t="inlineStr">
        <is>
          <t>UPPSALA LÄN</t>
        </is>
      </c>
      <c r="E817" t="inlineStr">
        <is>
          <t>UPPSALA</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39915-2022</t>
        </is>
      </c>
      <c r="B818" s="1" t="n">
        <v>44819</v>
      </c>
      <c r="C818" s="1" t="n">
        <v>45762</v>
      </c>
      <c r="D818" t="inlineStr">
        <is>
          <t>UPPSALA LÄN</t>
        </is>
      </c>
      <c r="E818" t="inlineStr">
        <is>
          <t>UPPSALA</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39865-2022</t>
        </is>
      </c>
      <c r="B819" s="1" t="n">
        <v>44819</v>
      </c>
      <c r="C819" s="1" t="n">
        <v>45762</v>
      </c>
      <c r="D819" t="inlineStr">
        <is>
          <t>UPPSALA LÄN</t>
        </is>
      </c>
      <c r="E819" t="inlineStr">
        <is>
          <t>UPPSALA</t>
        </is>
      </c>
      <c r="G819" t="n">
        <v>2.5</v>
      </c>
      <c r="H819" t="n">
        <v>0</v>
      </c>
      <c r="I819" t="n">
        <v>0</v>
      </c>
      <c r="J819" t="n">
        <v>0</v>
      </c>
      <c r="K819" t="n">
        <v>0</v>
      </c>
      <c r="L819" t="n">
        <v>0</v>
      </c>
      <c r="M819" t="n">
        <v>0</v>
      </c>
      <c r="N819" t="n">
        <v>0</v>
      </c>
      <c r="O819" t="n">
        <v>0</v>
      </c>
      <c r="P819" t="n">
        <v>0</v>
      </c>
      <c r="Q819" t="n">
        <v>0</v>
      </c>
      <c r="R819" s="2" t="inlineStr"/>
    </row>
    <row r="820" ht="15" customHeight="1">
      <c r="A820" t="inlineStr">
        <is>
          <t>A 40100-2022</t>
        </is>
      </c>
      <c r="B820" s="1" t="n">
        <v>44820</v>
      </c>
      <c r="C820" s="1" t="n">
        <v>45762</v>
      </c>
      <c r="D820" t="inlineStr">
        <is>
          <t>UPPSALA LÄN</t>
        </is>
      </c>
      <c r="E820" t="inlineStr">
        <is>
          <t>UPPSALA</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42622-2022</t>
        </is>
      </c>
      <c r="B821" s="1" t="n">
        <v>44831</v>
      </c>
      <c r="C821" s="1" t="n">
        <v>45762</v>
      </c>
      <c r="D821" t="inlineStr">
        <is>
          <t>UPPSALA LÄN</t>
        </is>
      </c>
      <c r="E821" t="inlineStr">
        <is>
          <t>UPPSALA</t>
        </is>
      </c>
      <c r="G821" t="n">
        <v>2.4</v>
      </c>
      <c r="H821" t="n">
        <v>0</v>
      </c>
      <c r="I821" t="n">
        <v>0</v>
      </c>
      <c r="J821" t="n">
        <v>0</v>
      </c>
      <c r="K821" t="n">
        <v>0</v>
      </c>
      <c r="L821" t="n">
        <v>0</v>
      </c>
      <c r="M821" t="n">
        <v>0</v>
      </c>
      <c r="N821" t="n">
        <v>0</v>
      </c>
      <c r="O821" t="n">
        <v>0</v>
      </c>
      <c r="P821" t="n">
        <v>0</v>
      </c>
      <c r="Q821" t="n">
        <v>0</v>
      </c>
      <c r="R821" s="2" t="inlineStr"/>
    </row>
    <row r="822" ht="15" customHeight="1">
      <c r="A822" t="inlineStr">
        <is>
          <t>A 42772-2022</t>
        </is>
      </c>
      <c r="B822" s="1" t="n">
        <v>44832</v>
      </c>
      <c r="C822" s="1" t="n">
        <v>45762</v>
      </c>
      <c r="D822" t="inlineStr">
        <is>
          <t>UPPSALA LÄN</t>
        </is>
      </c>
      <c r="E822" t="inlineStr">
        <is>
          <t>UPPSALA</t>
        </is>
      </c>
      <c r="G822" t="n">
        <v>17.7</v>
      </c>
      <c r="H822" t="n">
        <v>0</v>
      </c>
      <c r="I822" t="n">
        <v>0</v>
      </c>
      <c r="J822" t="n">
        <v>0</v>
      </c>
      <c r="K822" t="n">
        <v>0</v>
      </c>
      <c r="L822" t="n">
        <v>0</v>
      </c>
      <c r="M822" t="n">
        <v>0</v>
      </c>
      <c r="N822" t="n">
        <v>0</v>
      </c>
      <c r="O822" t="n">
        <v>0</v>
      </c>
      <c r="P822" t="n">
        <v>0</v>
      </c>
      <c r="Q822" t="n">
        <v>0</v>
      </c>
      <c r="R822" s="2" t="inlineStr"/>
    </row>
    <row r="823" ht="15" customHeight="1">
      <c r="A823" t="inlineStr">
        <is>
          <t>A 43032-2022</t>
        </is>
      </c>
      <c r="B823" s="1" t="n">
        <v>44832</v>
      </c>
      <c r="C823" s="1" t="n">
        <v>45762</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43850-2022</t>
        </is>
      </c>
      <c r="B824" s="1" t="n">
        <v>44838</v>
      </c>
      <c r="C824" s="1" t="n">
        <v>45762</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44265-2022</t>
        </is>
      </c>
      <c r="B825" s="1" t="n">
        <v>44839</v>
      </c>
      <c r="C825" s="1" t="n">
        <v>45762</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44817-2022</t>
        </is>
      </c>
      <c r="B826" s="1" t="n">
        <v>44841</v>
      </c>
      <c r="C826" s="1" t="n">
        <v>45762</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45195-2022</t>
        </is>
      </c>
      <c r="B827" s="1" t="n">
        <v>44844</v>
      </c>
      <c r="C827" s="1" t="n">
        <v>45762</v>
      </c>
      <c r="D827" t="inlineStr">
        <is>
          <t>UPPSALA LÄN</t>
        </is>
      </c>
      <c r="E827" t="inlineStr">
        <is>
          <t>UPPSALA</t>
        </is>
      </c>
      <c r="G827" t="n">
        <v>3.3</v>
      </c>
      <c r="H827" t="n">
        <v>0</v>
      </c>
      <c r="I827" t="n">
        <v>0</v>
      </c>
      <c r="J827" t="n">
        <v>0</v>
      </c>
      <c r="K827" t="n">
        <v>0</v>
      </c>
      <c r="L827" t="n">
        <v>0</v>
      </c>
      <c r="M827" t="n">
        <v>0</v>
      </c>
      <c r="N827" t="n">
        <v>0</v>
      </c>
      <c r="O827" t="n">
        <v>0</v>
      </c>
      <c r="P827" t="n">
        <v>0</v>
      </c>
      <c r="Q827" t="n">
        <v>0</v>
      </c>
      <c r="R827" s="2" t="inlineStr"/>
    </row>
    <row r="828" ht="15" customHeight="1">
      <c r="A828" t="inlineStr">
        <is>
          <t>A 45780-2022</t>
        </is>
      </c>
      <c r="B828" s="1" t="n">
        <v>44846</v>
      </c>
      <c r="C828" s="1" t="n">
        <v>45762</v>
      </c>
      <c r="D828" t="inlineStr">
        <is>
          <t>UPPSALA LÄN</t>
        </is>
      </c>
      <c r="E828" t="inlineStr">
        <is>
          <t>UPPSALA</t>
        </is>
      </c>
      <c r="G828" t="n">
        <v>5.8</v>
      </c>
      <c r="H828" t="n">
        <v>0</v>
      </c>
      <c r="I828" t="n">
        <v>0</v>
      </c>
      <c r="J828" t="n">
        <v>0</v>
      </c>
      <c r="K828" t="n">
        <v>0</v>
      </c>
      <c r="L828" t="n">
        <v>0</v>
      </c>
      <c r="M828" t="n">
        <v>0</v>
      </c>
      <c r="N828" t="n">
        <v>0</v>
      </c>
      <c r="O828" t="n">
        <v>0</v>
      </c>
      <c r="P828" t="n">
        <v>0</v>
      </c>
      <c r="Q828" t="n">
        <v>0</v>
      </c>
      <c r="R828" s="2" t="inlineStr"/>
    </row>
    <row r="829" ht="15" customHeight="1">
      <c r="A829" t="inlineStr">
        <is>
          <t>A 45849-2022</t>
        </is>
      </c>
      <c r="B829" s="1" t="n">
        <v>44846</v>
      </c>
      <c r="C829" s="1" t="n">
        <v>45762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46077-2022</t>
        </is>
      </c>
      <c r="B830" s="1" t="n">
        <v>44847</v>
      </c>
      <c r="C830" s="1" t="n">
        <v>45762</v>
      </c>
      <c r="D830" t="inlineStr">
        <is>
          <t>UPPSALA LÄN</t>
        </is>
      </c>
      <c r="E830" t="inlineStr">
        <is>
          <t>UPPSALA</t>
        </is>
      </c>
      <c r="G830" t="n">
        <v>2.1</v>
      </c>
      <c r="H830" t="n">
        <v>0</v>
      </c>
      <c r="I830" t="n">
        <v>0</v>
      </c>
      <c r="J830" t="n">
        <v>0</v>
      </c>
      <c r="K830" t="n">
        <v>0</v>
      </c>
      <c r="L830" t="n">
        <v>0</v>
      </c>
      <c r="M830" t="n">
        <v>0</v>
      </c>
      <c r="N830" t="n">
        <v>0</v>
      </c>
      <c r="O830" t="n">
        <v>0</v>
      </c>
      <c r="P830" t="n">
        <v>0</v>
      </c>
      <c r="Q830" t="n">
        <v>0</v>
      </c>
      <c r="R830" s="2" t="inlineStr"/>
    </row>
    <row r="831" ht="15" customHeight="1">
      <c r="A831" t="inlineStr">
        <is>
          <t>A 46069-2022</t>
        </is>
      </c>
      <c r="B831" s="1" t="n">
        <v>44847</v>
      </c>
      <c r="C831" s="1" t="n">
        <v>45762</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46079-2022</t>
        </is>
      </c>
      <c r="B832" s="1" t="n">
        <v>44847</v>
      </c>
      <c r="C832" s="1" t="n">
        <v>45762</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46293-2022</t>
        </is>
      </c>
      <c r="B833" s="1" t="n">
        <v>44847</v>
      </c>
      <c r="C833" s="1" t="n">
        <v>45762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46805-2022</t>
        </is>
      </c>
      <c r="B834" s="1" t="n">
        <v>44847</v>
      </c>
      <c r="C834" s="1" t="n">
        <v>45762</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46807-2022</t>
        </is>
      </c>
      <c r="B835" s="1" t="n">
        <v>44848</v>
      </c>
      <c r="C835" s="1" t="n">
        <v>45762</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46635-2022</t>
        </is>
      </c>
      <c r="B836" s="1" t="n">
        <v>44849</v>
      </c>
      <c r="C836" s="1" t="n">
        <v>45762</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47413-2022</t>
        </is>
      </c>
      <c r="B837" s="1" t="n">
        <v>44853</v>
      </c>
      <c r="C837" s="1" t="n">
        <v>45762</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48686-2022</t>
        </is>
      </c>
      <c r="B838" s="1" t="n">
        <v>44859</v>
      </c>
      <c r="C838" s="1" t="n">
        <v>45762</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48588-2022</t>
        </is>
      </c>
      <c r="B839" s="1" t="n">
        <v>44859</v>
      </c>
      <c r="C839" s="1" t="n">
        <v>45762</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48692-2022</t>
        </is>
      </c>
      <c r="B840" s="1" t="n">
        <v>44859</v>
      </c>
      <c r="C840" s="1" t="n">
        <v>45762</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48688-2022</t>
        </is>
      </c>
      <c r="B841" s="1" t="n">
        <v>44859</v>
      </c>
      <c r="C841" s="1" t="n">
        <v>45762</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50006-2022</t>
        </is>
      </c>
      <c r="B842" s="1" t="n">
        <v>44865</v>
      </c>
      <c r="C842" s="1" t="n">
        <v>45762</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50092-2022</t>
        </is>
      </c>
      <c r="B843" s="1" t="n">
        <v>44865</v>
      </c>
      <c r="C843" s="1" t="n">
        <v>45762</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50954-2022</t>
        </is>
      </c>
      <c r="B844" s="1" t="n">
        <v>44866</v>
      </c>
      <c r="C844" s="1" t="n">
        <v>45762</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51661-2022</t>
        </is>
      </c>
      <c r="B845" s="1" t="n">
        <v>44872</v>
      </c>
      <c r="C845" s="1" t="n">
        <v>45762</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51899-2022</t>
        </is>
      </c>
      <c r="B846" s="1" t="n">
        <v>44872</v>
      </c>
      <c r="C846" s="1" t="n">
        <v>45762</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54715-2022</t>
        </is>
      </c>
      <c r="B847" s="1" t="n">
        <v>44883</v>
      </c>
      <c r="C847" s="1" t="n">
        <v>45762</v>
      </c>
      <c r="D847" t="inlineStr">
        <is>
          <t>UPPSALA LÄN</t>
        </is>
      </c>
      <c r="E847" t="inlineStr">
        <is>
          <t>UPPSALA</t>
        </is>
      </c>
      <c r="F847" t="inlineStr">
        <is>
          <t>Övriga Aktiebolag</t>
        </is>
      </c>
      <c r="G847" t="n">
        <v>9.5</v>
      </c>
      <c r="H847" t="n">
        <v>0</v>
      </c>
      <c r="I847" t="n">
        <v>0</v>
      </c>
      <c r="J847" t="n">
        <v>0</v>
      </c>
      <c r="K847" t="n">
        <v>0</v>
      </c>
      <c r="L847" t="n">
        <v>0</v>
      </c>
      <c r="M847" t="n">
        <v>0</v>
      </c>
      <c r="N847" t="n">
        <v>0</v>
      </c>
      <c r="O847" t="n">
        <v>0</v>
      </c>
      <c r="P847" t="n">
        <v>0</v>
      </c>
      <c r="Q847" t="n">
        <v>0</v>
      </c>
      <c r="R847" s="2" t="inlineStr"/>
    </row>
    <row r="848" ht="15" customHeight="1">
      <c r="A848" t="inlineStr">
        <is>
          <t>A 54732-2022</t>
        </is>
      </c>
      <c r="B848" s="1" t="n">
        <v>44883</v>
      </c>
      <c r="C848" s="1" t="n">
        <v>45762</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54813-2022</t>
        </is>
      </c>
      <c r="B849" s="1" t="n">
        <v>44883</v>
      </c>
      <c r="C849" s="1" t="n">
        <v>45762</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55021-2022</t>
        </is>
      </c>
      <c r="B850" s="1" t="n">
        <v>44886</v>
      </c>
      <c r="C850" s="1" t="n">
        <v>45762</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55040-2022</t>
        </is>
      </c>
      <c r="B851" s="1" t="n">
        <v>44886</v>
      </c>
      <c r="C851" s="1" t="n">
        <v>45762</v>
      </c>
      <c r="D851" t="inlineStr">
        <is>
          <t>UPPSALA LÄN</t>
        </is>
      </c>
      <c r="E851" t="inlineStr">
        <is>
          <t>UPPSALA</t>
        </is>
      </c>
      <c r="F851" t="inlineStr">
        <is>
          <t>Sveaskog</t>
        </is>
      </c>
      <c r="G851" t="n">
        <v>5.3</v>
      </c>
      <c r="H851" t="n">
        <v>0</v>
      </c>
      <c r="I851" t="n">
        <v>0</v>
      </c>
      <c r="J851" t="n">
        <v>0</v>
      </c>
      <c r="K851" t="n">
        <v>0</v>
      </c>
      <c r="L851" t="n">
        <v>0</v>
      </c>
      <c r="M851" t="n">
        <v>0</v>
      </c>
      <c r="N851" t="n">
        <v>0</v>
      </c>
      <c r="O851" t="n">
        <v>0</v>
      </c>
      <c r="P851" t="n">
        <v>0</v>
      </c>
      <c r="Q851" t="n">
        <v>0</v>
      </c>
      <c r="R851" s="2" t="inlineStr"/>
    </row>
    <row r="852" ht="15" customHeight="1">
      <c r="A852" t="inlineStr">
        <is>
          <t>A 55073-2022</t>
        </is>
      </c>
      <c r="B852" s="1" t="n">
        <v>44886</v>
      </c>
      <c r="C852" s="1" t="n">
        <v>45762</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v>
      </c>
      <c r="C853" s="1" t="n">
        <v>45762</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55401-2022</t>
        </is>
      </c>
      <c r="B854" s="1" t="n">
        <v>44887</v>
      </c>
      <c r="C854" s="1" t="n">
        <v>45762</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55862-2022</t>
        </is>
      </c>
      <c r="B855" s="1" t="n">
        <v>44888</v>
      </c>
      <c r="C855" s="1" t="n">
        <v>45762</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56679-2022</t>
        </is>
      </c>
      <c r="B856" s="1" t="n">
        <v>44893</v>
      </c>
      <c r="C856" s="1" t="n">
        <v>45762</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56889-2022</t>
        </is>
      </c>
      <c r="B857" s="1" t="n">
        <v>44894</v>
      </c>
      <c r="C857" s="1" t="n">
        <v>45762</v>
      </c>
      <c r="D857" t="inlineStr">
        <is>
          <t>UPPSALA LÄN</t>
        </is>
      </c>
      <c r="E857" t="inlineStr">
        <is>
          <t>UPPSALA</t>
        </is>
      </c>
      <c r="F857" t="inlineStr">
        <is>
          <t>Övriga Aktiebolag</t>
        </is>
      </c>
      <c r="G857" t="n">
        <v>21.6</v>
      </c>
      <c r="H857" t="n">
        <v>0</v>
      </c>
      <c r="I857" t="n">
        <v>0</v>
      </c>
      <c r="J857" t="n">
        <v>0</v>
      </c>
      <c r="K857" t="n">
        <v>0</v>
      </c>
      <c r="L857" t="n">
        <v>0</v>
      </c>
      <c r="M857" t="n">
        <v>0</v>
      </c>
      <c r="N857" t="n">
        <v>0</v>
      </c>
      <c r="O857" t="n">
        <v>0</v>
      </c>
      <c r="P857" t="n">
        <v>0</v>
      </c>
      <c r="Q857" t="n">
        <v>0</v>
      </c>
      <c r="R857" s="2" t="inlineStr"/>
    </row>
    <row r="858" ht="15" customHeight="1">
      <c r="A858" t="inlineStr">
        <is>
          <t>A 56795-2022</t>
        </is>
      </c>
      <c r="B858" s="1" t="n">
        <v>44894</v>
      </c>
      <c r="C858" s="1" t="n">
        <v>45762</v>
      </c>
      <c r="D858" t="inlineStr">
        <is>
          <t>UPPSALA LÄN</t>
        </is>
      </c>
      <c r="E858" t="inlineStr">
        <is>
          <t>UPPSALA</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56779-2022</t>
        </is>
      </c>
      <c r="B859" s="1" t="n">
        <v>44894</v>
      </c>
      <c r="C859" s="1" t="n">
        <v>45762</v>
      </c>
      <c r="D859" t="inlineStr">
        <is>
          <t>UPPSALA LÄN</t>
        </is>
      </c>
      <c r="E859" t="inlineStr">
        <is>
          <t>UPPSALA</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57495-2022</t>
        </is>
      </c>
      <c r="B860" s="1" t="n">
        <v>44896</v>
      </c>
      <c r="C860" s="1" t="n">
        <v>45762</v>
      </c>
      <c r="D860" t="inlineStr">
        <is>
          <t>UPPSALA LÄN</t>
        </is>
      </c>
      <c r="E860" t="inlineStr">
        <is>
          <t>UPPSALA</t>
        </is>
      </c>
      <c r="G860" t="n">
        <v>7</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45762</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57809-2022</t>
        </is>
      </c>
      <c r="B862" s="1" t="n">
        <v>44897</v>
      </c>
      <c r="C862" s="1" t="n">
        <v>45762</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58023-2022</t>
        </is>
      </c>
      <c r="B863" s="1" t="n">
        <v>44900</v>
      </c>
      <c r="C863" s="1" t="n">
        <v>45762</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58096-2022</t>
        </is>
      </c>
      <c r="B864" s="1" t="n">
        <v>44900</v>
      </c>
      <c r="C864" s="1" t="n">
        <v>45762</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58243-2022</t>
        </is>
      </c>
      <c r="B865" s="1" t="n">
        <v>44901</v>
      </c>
      <c r="C865" s="1" t="n">
        <v>45762</v>
      </c>
      <c r="D865" t="inlineStr">
        <is>
          <t>UPPSALA LÄN</t>
        </is>
      </c>
      <c r="E865" t="inlineStr">
        <is>
          <t>UPPSALA</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59133-2022</t>
        </is>
      </c>
      <c r="B866" s="1" t="n">
        <v>44904</v>
      </c>
      <c r="C866" s="1" t="n">
        <v>45762</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59730-2022</t>
        </is>
      </c>
      <c r="B867" s="1" t="n">
        <v>44908</v>
      </c>
      <c r="C867" s="1" t="n">
        <v>45762</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v>
      </c>
      <c r="C868" s="1" t="n">
        <v>45762</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59727-2022</t>
        </is>
      </c>
      <c r="B869" s="1" t="n">
        <v>44908</v>
      </c>
      <c r="C869" s="1" t="n">
        <v>45762</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60056-2022</t>
        </is>
      </c>
      <c r="B870" s="1" t="n">
        <v>44909</v>
      </c>
      <c r="C870" s="1" t="n">
        <v>45762</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60047-2022</t>
        </is>
      </c>
      <c r="B871" s="1" t="n">
        <v>44909</v>
      </c>
      <c r="C871" s="1" t="n">
        <v>45762</v>
      </c>
      <c r="D871" t="inlineStr">
        <is>
          <t>UPPSALA LÄN</t>
        </is>
      </c>
      <c r="E871" t="inlineStr">
        <is>
          <t>UPPSALA</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60702-2022</t>
        </is>
      </c>
      <c r="B872" s="1" t="n">
        <v>44912</v>
      </c>
      <c r="C872" s="1" t="n">
        <v>45762</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60701-2022</t>
        </is>
      </c>
      <c r="B873" s="1" t="n">
        <v>44912</v>
      </c>
      <c r="C873" s="1" t="n">
        <v>45762</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60984-2022</t>
        </is>
      </c>
      <c r="B874" s="1" t="n">
        <v>44914</v>
      </c>
      <c r="C874" s="1" t="n">
        <v>45762</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60986-2022</t>
        </is>
      </c>
      <c r="B875" s="1" t="n">
        <v>44914</v>
      </c>
      <c r="C875" s="1" t="n">
        <v>45762</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60988-2022</t>
        </is>
      </c>
      <c r="B876" s="1" t="n">
        <v>44914</v>
      </c>
      <c r="C876" s="1" t="n">
        <v>45762</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61526-2022</t>
        </is>
      </c>
      <c r="B877" s="1" t="n">
        <v>44916</v>
      </c>
      <c r="C877" s="1" t="n">
        <v>45762</v>
      </c>
      <c r="D877" t="inlineStr">
        <is>
          <t>UPPSALA LÄN</t>
        </is>
      </c>
      <c r="E877" t="inlineStr">
        <is>
          <t>UPPSALA</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61578-2022</t>
        </is>
      </c>
      <c r="B878" s="1" t="n">
        <v>44916</v>
      </c>
      <c r="C878" s="1" t="n">
        <v>45762</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62311-2022</t>
        </is>
      </c>
      <c r="B879" s="1" t="n">
        <v>44916</v>
      </c>
      <c r="C879" s="1" t="n">
        <v>45762</v>
      </c>
      <c r="D879" t="inlineStr">
        <is>
          <t>UPPSALA LÄN</t>
        </is>
      </c>
      <c r="E879" t="inlineStr">
        <is>
          <t>UPPSALA</t>
        </is>
      </c>
      <c r="G879" t="n">
        <v>7.6</v>
      </c>
      <c r="H879" t="n">
        <v>0</v>
      </c>
      <c r="I879" t="n">
        <v>0</v>
      </c>
      <c r="J879" t="n">
        <v>0</v>
      </c>
      <c r="K879" t="n">
        <v>0</v>
      </c>
      <c r="L879" t="n">
        <v>0</v>
      </c>
      <c r="M879" t="n">
        <v>0</v>
      </c>
      <c r="N879" t="n">
        <v>0</v>
      </c>
      <c r="O879" t="n">
        <v>0</v>
      </c>
      <c r="P879" t="n">
        <v>0</v>
      </c>
      <c r="Q879" t="n">
        <v>0</v>
      </c>
      <c r="R879" s="2" t="inlineStr"/>
    </row>
    <row r="880" ht="15" customHeight="1">
      <c r="A880" t="inlineStr">
        <is>
          <t>A 111-2023</t>
        </is>
      </c>
      <c r="B880" s="1" t="n">
        <v>44928</v>
      </c>
      <c r="C880" s="1" t="n">
        <v>45762</v>
      </c>
      <c r="D880" t="inlineStr">
        <is>
          <t>UPPSALA LÄN</t>
        </is>
      </c>
      <c r="E880" t="inlineStr">
        <is>
          <t>UPPSALA</t>
        </is>
      </c>
      <c r="F880" t="inlineStr">
        <is>
          <t>Kommuner</t>
        </is>
      </c>
      <c r="G880" t="n">
        <v>4.8</v>
      </c>
      <c r="H880" t="n">
        <v>0</v>
      </c>
      <c r="I880" t="n">
        <v>0</v>
      </c>
      <c r="J880" t="n">
        <v>0</v>
      </c>
      <c r="K880" t="n">
        <v>0</v>
      </c>
      <c r="L880" t="n">
        <v>0</v>
      </c>
      <c r="M880" t="n">
        <v>0</v>
      </c>
      <c r="N880" t="n">
        <v>0</v>
      </c>
      <c r="O880" t="n">
        <v>0</v>
      </c>
      <c r="P880" t="n">
        <v>0</v>
      </c>
      <c r="Q880" t="n">
        <v>0</v>
      </c>
      <c r="R880" s="2" t="inlineStr"/>
    </row>
    <row r="881" ht="15" customHeight="1">
      <c r="A881" t="inlineStr">
        <is>
          <t>A 179-2023</t>
        </is>
      </c>
      <c r="B881" s="1" t="n">
        <v>44928</v>
      </c>
      <c r="C881" s="1" t="n">
        <v>45762</v>
      </c>
      <c r="D881" t="inlineStr">
        <is>
          <t>UPPSALA LÄN</t>
        </is>
      </c>
      <c r="E881" t="inlineStr">
        <is>
          <t>UPPSALA</t>
        </is>
      </c>
      <c r="F881" t="inlineStr">
        <is>
          <t>Kommuner</t>
        </is>
      </c>
      <c r="G881" t="n">
        <v>1.4</v>
      </c>
      <c r="H881" t="n">
        <v>0</v>
      </c>
      <c r="I881" t="n">
        <v>0</v>
      </c>
      <c r="J881" t="n">
        <v>0</v>
      </c>
      <c r="K881" t="n">
        <v>0</v>
      </c>
      <c r="L881" t="n">
        <v>0</v>
      </c>
      <c r="M881" t="n">
        <v>0</v>
      </c>
      <c r="N881" t="n">
        <v>0</v>
      </c>
      <c r="O881" t="n">
        <v>0</v>
      </c>
      <c r="P881" t="n">
        <v>0</v>
      </c>
      <c r="Q881" t="n">
        <v>0</v>
      </c>
      <c r="R881" s="2" t="inlineStr"/>
    </row>
    <row r="882" ht="15" customHeight="1">
      <c r="A882" t="inlineStr">
        <is>
          <t>A 367-2023</t>
        </is>
      </c>
      <c r="B882" s="1" t="n">
        <v>44929</v>
      </c>
      <c r="C882" s="1" t="n">
        <v>45762</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554-2023</t>
        </is>
      </c>
      <c r="B883" s="1" t="n">
        <v>44930</v>
      </c>
      <c r="C883" s="1" t="n">
        <v>45762</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686-2023</t>
        </is>
      </c>
      <c r="B884" s="1" t="n">
        <v>44930</v>
      </c>
      <c r="C884" s="1" t="n">
        <v>45762</v>
      </c>
      <c r="D884" t="inlineStr">
        <is>
          <t>UPPSALA LÄN</t>
        </is>
      </c>
      <c r="E884" t="inlineStr">
        <is>
          <t>UPPSALA</t>
        </is>
      </c>
      <c r="F884" t="inlineStr">
        <is>
          <t>Bergvik skog öst AB</t>
        </is>
      </c>
      <c r="G884" t="n">
        <v>4.6</v>
      </c>
      <c r="H884" t="n">
        <v>0</v>
      </c>
      <c r="I884" t="n">
        <v>0</v>
      </c>
      <c r="J884" t="n">
        <v>0</v>
      </c>
      <c r="K884" t="n">
        <v>0</v>
      </c>
      <c r="L884" t="n">
        <v>0</v>
      </c>
      <c r="M884" t="n">
        <v>0</v>
      </c>
      <c r="N884" t="n">
        <v>0</v>
      </c>
      <c r="O884" t="n">
        <v>0</v>
      </c>
      <c r="P884" t="n">
        <v>0</v>
      </c>
      <c r="Q884" t="n">
        <v>0</v>
      </c>
      <c r="R884" s="2" t="inlineStr"/>
    </row>
    <row r="885" ht="15" customHeight="1">
      <c r="A885" t="inlineStr">
        <is>
          <t>A 1032-2023</t>
        </is>
      </c>
      <c r="B885" s="1" t="n">
        <v>44935</v>
      </c>
      <c r="C885" s="1" t="n">
        <v>45762</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1357-2023</t>
        </is>
      </c>
      <c r="B886" s="1" t="n">
        <v>44936</v>
      </c>
      <c r="C886" s="1" t="n">
        <v>45762</v>
      </c>
      <c r="D886" t="inlineStr">
        <is>
          <t>UPPSALA LÄN</t>
        </is>
      </c>
      <c r="E886" t="inlineStr">
        <is>
          <t>UPPSALA</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2186-2023</t>
        </is>
      </c>
      <c r="B887" s="1" t="n">
        <v>44942</v>
      </c>
      <c r="C887" s="1" t="n">
        <v>45762</v>
      </c>
      <c r="D887" t="inlineStr">
        <is>
          <t>UPPSALA LÄN</t>
        </is>
      </c>
      <c r="E887" t="inlineStr">
        <is>
          <t>UPPSALA</t>
        </is>
      </c>
      <c r="F887" t="inlineStr">
        <is>
          <t>Bergvik skog öst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2622-2023</t>
        </is>
      </c>
      <c r="B888" s="1" t="n">
        <v>44944</v>
      </c>
      <c r="C888" s="1" t="n">
        <v>45762</v>
      </c>
      <c r="D888" t="inlineStr">
        <is>
          <t>UPPSALA LÄN</t>
        </is>
      </c>
      <c r="E888" t="inlineStr">
        <is>
          <t>UPPSALA</t>
        </is>
      </c>
      <c r="F888" t="inlineStr">
        <is>
          <t>Kommuner</t>
        </is>
      </c>
      <c r="G888" t="n">
        <v>1.3</v>
      </c>
      <c r="H888" t="n">
        <v>0</v>
      </c>
      <c r="I888" t="n">
        <v>0</v>
      </c>
      <c r="J888" t="n">
        <v>0</v>
      </c>
      <c r="K888" t="n">
        <v>0</v>
      </c>
      <c r="L888" t="n">
        <v>0</v>
      </c>
      <c r="M888" t="n">
        <v>0</v>
      </c>
      <c r="N888" t="n">
        <v>0</v>
      </c>
      <c r="O888" t="n">
        <v>0</v>
      </c>
      <c r="P888" t="n">
        <v>0</v>
      </c>
      <c r="Q888" t="n">
        <v>0</v>
      </c>
      <c r="R888" s="2" t="inlineStr"/>
    </row>
    <row r="889" ht="15" customHeight="1">
      <c r="A889" t="inlineStr">
        <is>
          <t>A 2624-2023</t>
        </is>
      </c>
      <c r="B889" s="1" t="n">
        <v>44944</v>
      </c>
      <c r="C889" s="1" t="n">
        <v>45762</v>
      </c>
      <c r="D889" t="inlineStr">
        <is>
          <t>UPPSALA LÄN</t>
        </is>
      </c>
      <c r="E889" t="inlineStr">
        <is>
          <t>UPPSALA</t>
        </is>
      </c>
      <c r="F889" t="inlineStr">
        <is>
          <t>Kommuner</t>
        </is>
      </c>
      <c r="G889" t="n">
        <v>2.9</v>
      </c>
      <c r="H889" t="n">
        <v>0</v>
      </c>
      <c r="I889" t="n">
        <v>0</v>
      </c>
      <c r="J889" t="n">
        <v>0</v>
      </c>
      <c r="K889" t="n">
        <v>0</v>
      </c>
      <c r="L889" t="n">
        <v>0</v>
      </c>
      <c r="M889" t="n">
        <v>0</v>
      </c>
      <c r="N889" t="n">
        <v>0</v>
      </c>
      <c r="O889" t="n">
        <v>0</v>
      </c>
      <c r="P889" t="n">
        <v>0</v>
      </c>
      <c r="Q889" t="n">
        <v>0</v>
      </c>
      <c r="R889" s="2" t="inlineStr"/>
    </row>
    <row r="890" ht="15" customHeight="1">
      <c r="A890" t="inlineStr">
        <is>
          <t>A 5362-2023</t>
        </is>
      </c>
      <c r="B890" s="1" t="n">
        <v>44944</v>
      </c>
      <c r="C890" s="1" t="n">
        <v>45762</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3214-2023</t>
        </is>
      </c>
      <c r="B891" s="1" t="n">
        <v>44944</v>
      </c>
      <c r="C891" s="1" t="n">
        <v>45762</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5374-2023</t>
        </is>
      </c>
      <c r="B892" s="1" t="n">
        <v>44944</v>
      </c>
      <c r="C892" s="1" t="n">
        <v>45762</v>
      </c>
      <c r="D892" t="inlineStr">
        <is>
          <t>UPPSALA LÄN</t>
        </is>
      </c>
      <c r="E892" t="inlineStr">
        <is>
          <t>UPPSALA</t>
        </is>
      </c>
      <c r="G892" t="n">
        <v>3.5</v>
      </c>
      <c r="H892" t="n">
        <v>0</v>
      </c>
      <c r="I892" t="n">
        <v>0</v>
      </c>
      <c r="J892" t="n">
        <v>0</v>
      </c>
      <c r="K892" t="n">
        <v>0</v>
      </c>
      <c r="L892" t="n">
        <v>0</v>
      </c>
      <c r="M892" t="n">
        <v>0</v>
      </c>
      <c r="N892" t="n">
        <v>0</v>
      </c>
      <c r="O892" t="n">
        <v>0</v>
      </c>
      <c r="P892" t="n">
        <v>0</v>
      </c>
      <c r="Q892" t="n">
        <v>0</v>
      </c>
      <c r="R892" s="2" t="inlineStr"/>
    </row>
    <row r="893" ht="15" customHeight="1">
      <c r="A893" t="inlineStr">
        <is>
          <t>A 2942-2023</t>
        </is>
      </c>
      <c r="B893" s="1" t="n">
        <v>44945</v>
      </c>
      <c r="C893" s="1" t="n">
        <v>45762</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3040-2023</t>
        </is>
      </c>
      <c r="B894" s="1" t="n">
        <v>44946</v>
      </c>
      <c r="C894" s="1" t="n">
        <v>45762</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3089-2023</t>
        </is>
      </c>
      <c r="B895" s="1" t="n">
        <v>44946</v>
      </c>
      <c r="C895" s="1" t="n">
        <v>45762</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3086-2023</t>
        </is>
      </c>
      <c r="B896" s="1" t="n">
        <v>44946</v>
      </c>
      <c r="C896" s="1" t="n">
        <v>45762</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3092-2023</t>
        </is>
      </c>
      <c r="B897" s="1" t="n">
        <v>44946</v>
      </c>
      <c r="C897" s="1" t="n">
        <v>45762</v>
      </c>
      <c r="D897" t="inlineStr">
        <is>
          <t>UPPSALA LÄN</t>
        </is>
      </c>
      <c r="E897" t="inlineStr">
        <is>
          <t>UPPSALA</t>
        </is>
      </c>
      <c r="G897" t="n">
        <v>2.7</v>
      </c>
      <c r="H897" t="n">
        <v>0</v>
      </c>
      <c r="I897" t="n">
        <v>0</v>
      </c>
      <c r="J897" t="n">
        <v>0</v>
      </c>
      <c r="K897" t="n">
        <v>0</v>
      </c>
      <c r="L897" t="n">
        <v>0</v>
      </c>
      <c r="M897" t="n">
        <v>0</v>
      </c>
      <c r="N897" t="n">
        <v>0</v>
      </c>
      <c r="O897" t="n">
        <v>0</v>
      </c>
      <c r="P897" t="n">
        <v>0</v>
      </c>
      <c r="Q897" t="n">
        <v>0</v>
      </c>
      <c r="R897" s="2" t="inlineStr"/>
    </row>
    <row r="898" ht="15" customHeight="1">
      <c r="A898" t="inlineStr">
        <is>
          <t>A 3343-2023</t>
        </is>
      </c>
      <c r="B898" s="1" t="n">
        <v>44949</v>
      </c>
      <c r="C898" s="1" t="n">
        <v>45762</v>
      </c>
      <c r="D898" t="inlineStr">
        <is>
          <t>UPPSALA LÄN</t>
        </is>
      </c>
      <c r="E898" t="inlineStr">
        <is>
          <t>UPPSALA</t>
        </is>
      </c>
      <c r="F898" t="inlineStr">
        <is>
          <t>Allmännings- och besparingsskogar</t>
        </is>
      </c>
      <c r="G898" t="n">
        <v>2.3</v>
      </c>
      <c r="H898" t="n">
        <v>0</v>
      </c>
      <c r="I898" t="n">
        <v>0</v>
      </c>
      <c r="J898" t="n">
        <v>0</v>
      </c>
      <c r="K898" t="n">
        <v>0</v>
      </c>
      <c r="L898" t="n">
        <v>0</v>
      </c>
      <c r="M898" t="n">
        <v>0</v>
      </c>
      <c r="N898" t="n">
        <v>0</v>
      </c>
      <c r="O898" t="n">
        <v>0</v>
      </c>
      <c r="P898" t="n">
        <v>0</v>
      </c>
      <c r="Q898" t="n">
        <v>0</v>
      </c>
      <c r="R898" s="2" t="inlineStr"/>
    </row>
    <row r="899" ht="15" customHeight="1">
      <c r="A899" t="inlineStr">
        <is>
          <t>A 3353-2023</t>
        </is>
      </c>
      <c r="B899" s="1" t="n">
        <v>44949</v>
      </c>
      <c r="C899" s="1" t="n">
        <v>45762</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3661-2023</t>
        </is>
      </c>
      <c r="B900" s="1" t="n">
        <v>44950</v>
      </c>
      <c r="C900" s="1" t="n">
        <v>45762</v>
      </c>
      <c r="D900" t="inlineStr">
        <is>
          <t>UPPSALA LÄN</t>
        </is>
      </c>
      <c r="E900" t="inlineStr">
        <is>
          <t>UPPSALA</t>
        </is>
      </c>
      <c r="F900" t="inlineStr">
        <is>
          <t>Allmännings- och besparingsskogar</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3940-2023</t>
        </is>
      </c>
      <c r="B901" s="1" t="n">
        <v>44952</v>
      </c>
      <c r="C901" s="1" t="n">
        <v>45762</v>
      </c>
      <c r="D901" t="inlineStr">
        <is>
          <t>UPPSALA LÄN</t>
        </is>
      </c>
      <c r="E901" t="inlineStr">
        <is>
          <t>UPPSALA</t>
        </is>
      </c>
      <c r="F901" t="inlineStr">
        <is>
          <t>Bergvik skog öst AB</t>
        </is>
      </c>
      <c r="G901" t="n">
        <v>20.6</v>
      </c>
      <c r="H901" t="n">
        <v>0</v>
      </c>
      <c r="I901" t="n">
        <v>0</v>
      </c>
      <c r="J901" t="n">
        <v>0</v>
      </c>
      <c r="K901" t="n">
        <v>0</v>
      </c>
      <c r="L901" t="n">
        <v>0</v>
      </c>
      <c r="M901" t="n">
        <v>0</v>
      </c>
      <c r="N901" t="n">
        <v>0</v>
      </c>
      <c r="O901" t="n">
        <v>0</v>
      </c>
      <c r="P901" t="n">
        <v>0</v>
      </c>
      <c r="Q901" t="n">
        <v>0</v>
      </c>
      <c r="R901" s="2" t="inlineStr"/>
    </row>
    <row r="902" ht="15" customHeight="1">
      <c r="A902" t="inlineStr">
        <is>
          <t>A 3939-2023</t>
        </is>
      </c>
      <c r="B902" s="1" t="n">
        <v>44952</v>
      </c>
      <c r="C902" s="1" t="n">
        <v>45762</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5254-2023</t>
        </is>
      </c>
      <c r="B903" s="1" t="n">
        <v>44959</v>
      </c>
      <c r="C903" s="1" t="n">
        <v>45762</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5258-2023</t>
        </is>
      </c>
      <c r="B904" s="1" t="n">
        <v>44959</v>
      </c>
      <c r="C904" s="1" t="n">
        <v>45762</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5247-2023</t>
        </is>
      </c>
      <c r="B905" s="1" t="n">
        <v>44959</v>
      </c>
      <c r="C905" s="1" t="n">
        <v>45762</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5678-2023</t>
        </is>
      </c>
      <c r="B906" s="1" t="n">
        <v>44960</v>
      </c>
      <c r="C906" s="1" t="n">
        <v>45762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5682-2023</t>
        </is>
      </c>
      <c r="B907" s="1" t="n">
        <v>44960</v>
      </c>
      <c r="C907" s="1" t="n">
        <v>45762</v>
      </c>
      <c r="D907" t="inlineStr">
        <is>
          <t>UPPSALA LÄN</t>
        </is>
      </c>
      <c r="E907" t="inlineStr">
        <is>
          <t>UPPSALA</t>
        </is>
      </c>
      <c r="F907" t="inlineStr">
        <is>
          <t>Allmännings- och besparingsskogar</t>
        </is>
      </c>
      <c r="G907" t="n">
        <v>14.2</v>
      </c>
      <c r="H907" t="n">
        <v>0</v>
      </c>
      <c r="I907" t="n">
        <v>0</v>
      </c>
      <c r="J907" t="n">
        <v>0</v>
      </c>
      <c r="K907" t="n">
        <v>0</v>
      </c>
      <c r="L907" t="n">
        <v>0</v>
      </c>
      <c r="M907" t="n">
        <v>0</v>
      </c>
      <c r="N907" t="n">
        <v>0</v>
      </c>
      <c r="O907" t="n">
        <v>0</v>
      </c>
      <c r="P907" t="n">
        <v>0</v>
      </c>
      <c r="Q907" t="n">
        <v>0</v>
      </c>
      <c r="R907" s="2" t="inlineStr"/>
    </row>
    <row r="908" ht="15" customHeight="1">
      <c r="A908" t="inlineStr">
        <is>
          <t>A 5663-2023</t>
        </is>
      </c>
      <c r="B908" s="1" t="n">
        <v>44960</v>
      </c>
      <c r="C908" s="1" t="n">
        <v>45762</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5669-2023</t>
        </is>
      </c>
      <c r="B909" s="1" t="n">
        <v>44960</v>
      </c>
      <c r="C909" s="1" t="n">
        <v>45762</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5675-2023</t>
        </is>
      </c>
      <c r="B910" s="1" t="n">
        <v>44960</v>
      </c>
      <c r="C910" s="1" t="n">
        <v>45762</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6213-2023</t>
        </is>
      </c>
      <c r="B911" s="1" t="n">
        <v>44964</v>
      </c>
      <c r="C911" s="1" t="n">
        <v>45762</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6155-2023</t>
        </is>
      </c>
      <c r="B912" s="1" t="n">
        <v>44964</v>
      </c>
      <c r="C912" s="1" t="n">
        <v>45762</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6215-2023</t>
        </is>
      </c>
      <c r="B913" s="1" t="n">
        <v>44964</v>
      </c>
      <c r="C913" s="1" t="n">
        <v>45762</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6422-2023</t>
        </is>
      </c>
      <c r="B914" s="1" t="n">
        <v>44965</v>
      </c>
      <c r="C914" s="1" t="n">
        <v>45762</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6423-2023</t>
        </is>
      </c>
      <c r="B915" s="1" t="n">
        <v>44965</v>
      </c>
      <c r="C915" s="1" t="n">
        <v>45762</v>
      </c>
      <c r="D915" t="inlineStr">
        <is>
          <t>UPPSALA LÄN</t>
        </is>
      </c>
      <c r="E915" t="inlineStr">
        <is>
          <t>UPPSALA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6602-2023</t>
        </is>
      </c>
      <c r="B916" s="1" t="n">
        <v>44966</v>
      </c>
      <c r="C916" s="1" t="n">
        <v>45762</v>
      </c>
      <c r="D916" t="inlineStr">
        <is>
          <t>UPPSALA LÄN</t>
        </is>
      </c>
      <c r="E916" t="inlineStr">
        <is>
          <t>UPPSALA</t>
        </is>
      </c>
      <c r="F916" t="inlineStr">
        <is>
          <t>Allmännings- och besparingsskogar</t>
        </is>
      </c>
      <c r="G916" t="n">
        <v>20.2</v>
      </c>
      <c r="H916" t="n">
        <v>0</v>
      </c>
      <c r="I916" t="n">
        <v>0</v>
      </c>
      <c r="J916" t="n">
        <v>0</v>
      </c>
      <c r="K916" t="n">
        <v>0</v>
      </c>
      <c r="L916" t="n">
        <v>0</v>
      </c>
      <c r="M916" t="n">
        <v>0</v>
      </c>
      <c r="N916" t="n">
        <v>0</v>
      </c>
      <c r="O916" t="n">
        <v>0</v>
      </c>
      <c r="P916" t="n">
        <v>0</v>
      </c>
      <c r="Q916" t="n">
        <v>0</v>
      </c>
      <c r="R916" s="2" t="inlineStr"/>
    </row>
    <row r="917" ht="15" customHeight="1">
      <c r="A917" t="inlineStr">
        <is>
          <t>A 6749-2023</t>
        </is>
      </c>
      <c r="B917" s="1" t="n">
        <v>44966</v>
      </c>
      <c r="C917" s="1" t="n">
        <v>45762</v>
      </c>
      <c r="D917" t="inlineStr">
        <is>
          <t>UPPSALA LÄN</t>
        </is>
      </c>
      <c r="E917" t="inlineStr">
        <is>
          <t>UPPSALA</t>
        </is>
      </c>
      <c r="F917" t="inlineStr">
        <is>
          <t>Allmännings- och besparingsskogar</t>
        </is>
      </c>
      <c r="G917" t="n">
        <v>13.5</v>
      </c>
      <c r="H917" t="n">
        <v>0</v>
      </c>
      <c r="I917" t="n">
        <v>0</v>
      </c>
      <c r="J917" t="n">
        <v>0</v>
      </c>
      <c r="K917" t="n">
        <v>0</v>
      </c>
      <c r="L917" t="n">
        <v>0</v>
      </c>
      <c r="M917" t="n">
        <v>0</v>
      </c>
      <c r="N917" t="n">
        <v>0</v>
      </c>
      <c r="O917" t="n">
        <v>0</v>
      </c>
      <c r="P917" t="n">
        <v>0</v>
      </c>
      <c r="Q917" t="n">
        <v>0</v>
      </c>
      <c r="R917" s="2" t="inlineStr"/>
    </row>
    <row r="918" ht="15" customHeight="1">
      <c r="A918" t="inlineStr">
        <is>
          <t>A 6930-2023</t>
        </is>
      </c>
      <c r="B918" s="1" t="n">
        <v>44967</v>
      </c>
      <c r="C918" s="1" t="n">
        <v>45762</v>
      </c>
      <c r="D918" t="inlineStr">
        <is>
          <t>UPPSALA LÄN</t>
        </is>
      </c>
      <c r="E918" t="inlineStr">
        <is>
          <t>UPPSALA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7000-2023</t>
        </is>
      </c>
      <c r="B919" s="1" t="n">
        <v>44967</v>
      </c>
      <c r="C919" s="1" t="n">
        <v>45762</v>
      </c>
      <c r="D919" t="inlineStr">
        <is>
          <t>UPPSALA LÄN</t>
        </is>
      </c>
      <c r="E919" t="inlineStr">
        <is>
          <t>UPPSALA</t>
        </is>
      </c>
      <c r="G919" t="n">
        <v>7.1</v>
      </c>
      <c r="H919" t="n">
        <v>0</v>
      </c>
      <c r="I919" t="n">
        <v>0</v>
      </c>
      <c r="J919" t="n">
        <v>0</v>
      </c>
      <c r="K919" t="n">
        <v>0</v>
      </c>
      <c r="L919" t="n">
        <v>0</v>
      </c>
      <c r="M919" t="n">
        <v>0</v>
      </c>
      <c r="N919" t="n">
        <v>0</v>
      </c>
      <c r="O919" t="n">
        <v>0</v>
      </c>
      <c r="P919" t="n">
        <v>0</v>
      </c>
      <c r="Q919" t="n">
        <v>0</v>
      </c>
      <c r="R919" s="2" t="inlineStr"/>
    </row>
    <row r="920" ht="15" customHeight="1">
      <c r="A920" t="inlineStr">
        <is>
          <t>A 6999-2023</t>
        </is>
      </c>
      <c r="B920" s="1" t="n">
        <v>44967</v>
      </c>
      <c r="C920" s="1" t="n">
        <v>45762</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6997-2023</t>
        </is>
      </c>
      <c r="B921" s="1" t="n">
        <v>44967</v>
      </c>
      <c r="C921" s="1" t="n">
        <v>45762</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7001-2023</t>
        </is>
      </c>
      <c r="B922" s="1" t="n">
        <v>44967</v>
      </c>
      <c r="C922" s="1" t="n">
        <v>45762</v>
      </c>
      <c r="D922" t="inlineStr">
        <is>
          <t>UPPSALA LÄN</t>
        </is>
      </c>
      <c r="E922" t="inlineStr">
        <is>
          <t>UPPSALA</t>
        </is>
      </c>
      <c r="G922" t="n">
        <v>4.3</v>
      </c>
      <c r="H922" t="n">
        <v>0</v>
      </c>
      <c r="I922" t="n">
        <v>0</v>
      </c>
      <c r="J922" t="n">
        <v>0</v>
      </c>
      <c r="K922" t="n">
        <v>0</v>
      </c>
      <c r="L922" t="n">
        <v>0</v>
      </c>
      <c r="M922" t="n">
        <v>0</v>
      </c>
      <c r="N922" t="n">
        <v>0</v>
      </c>
      <c r="O922" t="n">
        <v>0</v>
      </c>
      <c r="P922" t="n">
        <v>0</v>
      </c>
      <c r="Q922" t="n">
        <v>0</v>
      </c>
      <c r="R922" s="2" t="inlineStr"/>
    </row>
    <row r="923" ht="15" customHeight="1">
      <c r="A923" t="inlineStr">
        <is>
          <t>A 7002-2023</t>
        </is>
      </c>
      <c r="B923" s="1" t="n">
        <v>44967</v>
      </c>
      <c r="C923" s="1" t="n">
        <v>45762</v>
      </c>
      <c r="D923" t="inlineStr">
        <is>
          <t>UPPSALA LÄN</t>
        </is>
      </c>
      <c r="E923" t="inlineStr">
        <is>
          <t>UPPSALA</t>
        </is>
      </c>
      <c r="G923" t="n">
        <v>5</v>
      </c>
      <c r="H923" t="n">
        <v>0</v>
      </c>
      <c r="I923" t="n">
        <v>0</v>
      </c>
      <c r="J923" t="n">
        <v>0</v>
      </c>
      <c r="K923" t="n">
        <v>0</v>
      </c>
      <c r="L923" t="n">
        <v>0</v>
      </c>
      <c r="M923" t="n">
        <v>0</v>
      </c>
      <c r="N923" t="n">
        <v>0</v>
      </c>
      <c r="O923" t="n">
        <v>0</v>
      </c>
      <c r="P923" t="n">
        <v>0</v>
      </c>
      <c r="Q923" t="n">
        <v>0</v>
      </c>
      <c r="R923" s="2" t="inlineStr"/>
    </row>
    <row r="924" ht="15" customHeight="1">
      <c r="A924" t="inlineStr">
        <is>
          <t>A 7611-2023</t>
        </is>
      </c>
      <c r="B924" s="1" t="n">
        <v>44967</v>
      </c>
      <c r="C924" s="1" t="n">
        <v>45762</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7607-2023</t>
        </is>
      </c>
      <c r="B925" s="1" t="n">
        <v>44967</v>
      </c>
      <c r="C925" s="1" t="n">
        <v>45762</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7058-2023</t>
        </is>
      </c>
      <c r="B926" s="1" t="n">
        <v>44969</v>
      </c>
      <c r="C926" s="1" t="n">
        <v>45762</v>
      </c>
      <c r="D926" t="inlineStr">
        <is>
          <t>UPPSALA LÄN</t>
        </is>
      </c>
      <c r="E926" t="inlineStr">
        <is>
          <t>UPPSALA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7084-2023</t>
        </is>
      </c>
      <c r="B927" s="1" t="n">
        <v>44970</v>
      </c>
      <c r="C927" s="1" t="n">
        <v>45762</v>
      </c>
      <c r="D927" t="inlineStr">
        <is>
          <t>UPPSALA LÄN</t>
        </is>
      </c>
      <c r="E927" t="inlineStr">
        <is>
          <t>UPPSALA</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8384-2023</t>
        </is>
      </c>
      <c r="B928" s="1" t="n">
        <v>44971</v>
      </c>
      <c r="C928" s="1" t="n">
        <v>45762</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8286-2023</t>
        </is>
      </c>
      <c r="B929" s="1" t="n">
        <v>44971</v>
      </c>
      <c r="C929" s="1" t="n">
        <v>45762</v>
      </c>
      <c r="D929" t="inlineStr">
        <is>
          <t>UPPSALA LÄN</t>
        </is>
      </c>
      <c r="E929" t="inlineStr">
        <is>
          <t>UPPSALA</t>
        </is>
      </c>
      <c r="G929" t="n">
        <v>9</v>
      </c>
      <c r="H929" t="n">
        <v>0</v>
      </c>
      <c r="I929" t="n">
        <v>0</v>
      </c>
      <c r="J929" t="n">
        <v>0</v>
      </c>
      <c r="K929" t="n">
        <v>0</v>
      </c>
      <c r="L929" t="n">
        <v>0</v>
      </c>
      <c r="M929" t="n">
        <v>0</v>
      </c>
      <c r="N929" t="n">
        <v>0</v>
      </c>
      <c r="O929" t="n">
        <v>0</v>
      </c>
      <c r="P929" t="n">
        <v>0</v>
      </c>
      <c r="Q929" t="n">
        <v>0</v>
      </c>
      <c r="R929" s="2" t="inlineStr"/>
    </row>
    <row r="930" ht="15" customHeight="1">
      <c r="A930" t="inlineStr">
        <is>
          <t>A 7577-2023</t>
        </is>
      </c>
      <c r="B930" s="1" t="n">
        <v>44972</v>
      </c>
      <c r="C930" s="1" t="n">
        <v>45762</v>
      </c>
      <c r="D930" t="inlineStr">
        <is>
          <t>UPPSALA LÄN</t>
        </is>
      </c>
      <c r="E930" t="inlineStr">
        <is>
          <t>UPPSALA</t>
        </is>
      </c>
      <c r="G930" t="n">
        <v>5.5</v>
      </c>
      <c r="H930" t="n">
        <v>0</v>
      </c>
      <c r="I930" t="n">
        <v>0</v>
      </c>
      <c r="J930" t="n">
        <v>0</v>
      </c>
      <c r="K930" t="n">
        <v>0</v>
      </c>
      <c r="L930" t="n">
        <v>0</v>
      </c>
      <c r="M930" t="n">
        <v>0</v>
      </c>
      <c r="N930" t="n">
        <v>0</v>
      </c>
      <c r="O930" t="n">
        <v>0</v>
      </c>
      <c r="P930" t="n">
        <v>0</v>
      </c>
      <c r="Q930" t="n">
        <v>0</v>
      </c>
      <c r="R930" s="2" t="inlineStr"/>
    </row>
    <row r="931" ht="15" customHeight="1">
      <c r="A931" t="inlineStr">
        <is>
          <t>A 7663-2023</t>
        </is>
      </c>
      <c r="B931" s="1" t="n">
        <v>44972</v>
      </c>
      <c r="C931" s="1" t="n">
        <v>45762</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7894-2023</t>
        </is>
      </c>
      <c r="B932" s="1" t="n">
        <v>44973</v>
      </c>
      <c r="C932" s="1" t="n">
        <v>45762</v>
      </c>
      <c r="D932" t="inlineStr">
        <is>
          <t>UPPSALA LÄN</t>
        </is>
      </c>
      <c r="E932" t="inlineStr">
        <is>
          <t>UPPSALA</t>
        </is>
      </c>
      <c r="G932" t="n">
        <v>4.4</v>
      </c>
      <c r="H932" t="n">
        <v>0</v>
      </c>
      <c r="I932" t="n">
        <v>0</v>
      </c>
      <c r="J932" t="n">
        <v>0</v>
      </c>
      <c r="K932" t="n">
        <v>0</v>
      </c>
      <c r="L932" t="n">
        <v>0</v>
      </c>
      <c r="M932" t="n">
        <v>0</v>
      </c>
      <c r="N932" t="n">
        <v>0</v>
      </c>
      <c r="O932" t="n">
        <v>0</v>
      </c>
      <c r="P932" t="n">
        <v>0</v>
      </c>
      <c r="Q932" t="n">
        <v>0</v>
      </c>
      <c r="R932" s="2" t="inlineStr"/>
    </row>
    <row r="933" ht="15" customHeight="1">
      <c r="A933" t="inlineStr">
        <is>
          <t>A 8162-2023</t>
        </is>
      </c>
      <c r="B933" s="1" t="n">
        <v>44974</v>
      </c>
      <c r="C933" s="1" t="n">
        <v>45762</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8473-2023</t>
        </is>
      </c>
      <c r="B934" s="1" t="n">
        <v>44977</v>
      </c>
      <c r="C934" s="1" t="n">
        <v>45762</v>
      </c>
      <c r="D934" t="inlineStr">
        <is>
          <t>UPPSALA LÄN</t>
        </is>
      </c>
      <c r="E934" t="inlineStr">
        <is>
          <t>UPPSALA</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9426-2023</t>
        </is>
      </c>
      <c r="B935" s="1" t="n">
        <v>44977</v>
      </c>
      <c r="C935" s="1" t="n">
        <v>45762</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9398-2023</t>
        </is>
      </c>
      <c r="B936" s="1" t="n">
        <v>44977</v>
      </c>
      <c r="C936" s="1" t="n">
        <v>45762</v>
      </c>
      <c r="D936" t="inlineStr">
        <is>
          <t>UPPSALA LÄN</t>
        </is>
      </c>
      <c r="E936" t="inlineStr">
        <is>
          <t>UPPSALA</t>
        </is>
      </c>
      <c r="G936" t="n">
        <v>5.1</v>
      </c>
      <c r="H936" t="n">
        <v>0</v>
      </c>
      <c r="I936" t="n">
        <v>0</v>
      </c>
      <c r="J936" t="n">
        <v>0</v>
      </c>
      <c r="K936" t="n">
        <v>0</v>
      </c>
      <c r="L936" t="n">
        <v>0</v>
      </c>
      <c r="M936" t="n">
        <v>0</v>
      </c>
      <c r="N936" t="n">
        <v>0</v>
      </c>
      <c r="O936" t="n">
        <v>0</v>
      </c>
      <c r="P936" t="n">
        <v>0</v>
      </c>
      <c r="Q936" t="n">
        <v>0</v>
      </c>
      <c r="R936" s="2" t="inlineStr"/>
    </row>
    <row r="937" ht="15" customHeight="1">
      <c r="A937" t="inlineStr">
        <is>
          <t>A 9295-2023</t>
        </is>
      </c>
      <c r="B937" s="1" t="n">
        <v>44980</v>
      </c>
      <c r="C937" s="1" t="n">
        <v>45762</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9261-2023</t>
        </is>
      </c>
      <c r="B938" s="1" t="n">
        <v>44980</v>
      </c>
      <c r="C938" s="1" t="n">
        <v>45762</v>
      </c>
      <c r="D938" t="inlineStr">
        <is>
          <t>UPPSALA LÄN</t>
        </is>
      </c>
      <c r="E938" t="inlineStr">
        <is>
          <t>UPPSALA</t>
        </is>
      </c>
      <c r="G938" t="n">
        <v>5.3</v>
      </c>
      <c r="H938" t="n">
        <v>0</v>
      </c>
      <c r="I938" t="n">
        <v>0</v>
      </c>
      <c r="J938" t="n">
        <v>0</v>
      </c>
      <c r="K938" t="n">
        <v>0</v>
      </c>
      <c r="L938" t="n">
        <v>0</v>
      </c>
      <c r="M938" t="n">
        <v>0</v>
      </c>
      <c r="N938" t="n">
        <v>0</v>
      </c>
      <c r="O938" t="n">
        <v>0</v>
      </c>
      <c r="P938" t="n">
        <v>0</v>
      </c>
      <c r="Q938" t="n">
        <v>0</v>
      </c>
      <c r="R938" s="2" t="inlineStr"/>
    </row>
    <row r="939" ht="15" customHeight="1">
      <c r="A939" t="inlineStr">
        <is>
          <t>A 9291-2023</t>
        </is>
      </c>
      <c r="B939" s="1" t="n">
        <v>44980</v>
      </c>
      <c r="C939" s="1" t="n">
        <v>45762</v>
      </c>
      <c r="D939" t="inlineStr">
        <is>
          <t>UPPSALA LÄN</t>
        </is>
      </c>
      <c r="E939" t="inlineStr">
        <is>
          <t>UPPSALA</t>
        </is>
      </c>
      <c r="G939" t="n">
        <v>12.9</v>
      </c>
      <c r="H939" t="n">
        <v>0</v>
      </c>
      <c r="I939" t="n">
        <v>0</v>
      </c>
      <c r="J939" t="n">
        <v>0</v>
      </c>
      <c r="K939" t="n">
        <v>0</v>
      </c>
      <c r="L939" t="n">
        <v>0</v>
      </c>
      <c r="M939" t="n">
        <v>0</v>
      </c>
      <c r="N939" t="n">
        <v>0</v>
      </c>
      <c r="O939" t="n">
        <v>0</v>
      </c>
      <c r="P939" t="n">
        <v>0</v>
      </c>
      <c r="Q939" t="n">
        <v>0</v>
      </c>
      <c r="R939" s="2" t="inlineStr"/>
    </row>
    <row r="940" ht="15" customHeight="1">
      <c r="A940" t="inlineStr">
        <is>
          <t>A 9313-2023</t>
        </is>
      </c>
      <c r="B940" s="1" t="n">
        <v>44980</v>
      </c>
      <c r="C940" s="1" t="n">
        <v>45762</v>
      </c>
      <c r="D940" t="inlineStr">
        <is>
          <t>UPPSALA LÄN</t>
        </is>
      </c>
      <c r="E940" t="inlineStr">
        <is>
          <t>UPPSALA</t>
        </is>
      </c>
      <c r="G940" t="n">
        <v>2.6</v>
      </c>
      <c r="H940" t="n">
        <v>0</v>
      </c>
      <c r="I940" t="n">
        <v>0</v>
      </c>
      <c r="J940" t="n">
        <v>0</v>
      </c>
      <c r="K940" t="n">
        <v>0</v>
      </c>
      <c r="L940" t="n">
        <v>0</v>
      </c>
      <c r="M940" t="n">
        <v>0</v>
      </c>
      <c r="N940" t="n">
        <v>0</v>
      </c>
      <c r="O940" t="n">
        <v>0</v>
      </c>
      <c r="P940" t="n">
        <v>0</v>
      </c>
      <c r="Q940" t="n">
        <v>0</v>
      </c>
      <c r="R940" s="2" t="inlineStr"/>
    </row>
    <row r="941" ht="15" customHeight="1">
      <c r="A941" t="inlineStr">
        <is>
          <t>A 9817-2023</t>
        </is>
      </c>
      <c r="B941" s="1" t="n">
        <v>44984</v>
      </c>
      <c r="C941" s="1" t="n">
        <v>45762</v>
      </c>
      <c r="D941" t="inlineStr">
        <is>
          <t>UPPSALA LÄN</t>
        </is>
      </c>
      <c r="E941" t="inlineStr">
        <is>
          <t>UPPSALA</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9814-2023</t>
        </is>
      </c>
      <c r="B942" s="1" t="n">
        <v>44984</v>
      </c>
      <c r="C942" s="1" t="n">
        <v>45762</v>
      </c>
      <c r="D942" t="inlineStr">
        <is>
          <t>UPPSALA LÄN</t>
        </is>
      </c>
      <c r="E942" t="inlineStr">
        <is>
          <t>UPPSALA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9811-2023</t>
        </is>
      </c>
      <c r="B943" s="1" t="n">
        <v>44984</v>
      </c>
      <c r="C943" s="1" t="n">
        <v>45762</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9820-2023</t>
        </is>
      </c>
      <c r="B944" s="1" t="n">
        <v>44984</v>
      </c>
      <c r="C944" s="1" t="n">
        <v>45762</v>
      </c>
      <c r="D944" t="inlineStr">
        <is>
          <t>UPPSALA LÄN</t>
        </is>
      </c>
      <c r="E944" t="inlineStr">
        <is>
          <t>UPPSALA</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10005-2023</t>
        </is>
      </c>
      <c r="B945" s="1" t="n">
        <v>44985</v>
      </c>
      <c r="C945" s="1" t="n">
        <v>45762</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10669-2023</t>
        </is>
      </c>
      <c r="B946" s="1" t="n">
        <v>44988</v>
      </c>
      <c r="C946" s="1" t="n">
        <v>45762</v>
      </c>
      <c r="D946" t="inlineStr">
        <is>
          <t>UPPSALA LÄN</t>
        </is>
      </c>
      <c r="E946" t="inlineStr">
        <is>
          <t>UPPSALA</t>
        </is>
      </c>
      <c r="G946" t="n">
        <v>4.9</v>
      </c>
      <c r="H946" t="n">
        <v>0</v>
      </c>
      <c r="I946" t="n">
        <v>0</v>
      </c>
      <c r="J946" t="n">
        <v>0</v>
      </c>
      <c r="K946" t="n">
        <v>0</v>
      </c>
      <c r="L946" t="n">
        <v>0</v>
      </c>
      <c r="M946" t="n">
        <v>0</v>
      </c>
      <c r="N946" t="n">
        <v>0</v>
      </c>
      <c r="O946" t="n">
        <v>0</v>
      </c>
      <c r="P946" t="n">
        <v>0</v>
      </c>
      <c r="Q946" t="n">
        <v>0</v>
      </c>
      <c r="R946" s="2" t="inlineStr"/>
    </row>
    <row r="947" ht="15" customHeight="1">
      <c r="A947" t="inlineStr">
        <is>
          <t>A 11484-2023</t>
        </is>
      </c>
      <c r="B947" s="1" t="n">
        <v>44991</v>
      </c>
      <c r="C947" s="1" t="n">
        <v>45762</v>
      </c>
      <c r="D947" t="inlineStr">
        <is>
          <t>UPPSALA LÄN</t>
        </is>
      </c>
      <c r="E947" t="inlineStr">
        <is>
          <t>UPPSALA</t>
        </is>
      </c>
      <c r="G947" t="n">
        <v>10.3</v>
      </c>
      <c r="H947" t="n">
        <v>0</v>
      </c>
      <c r="I947" t="n">
        <v>0</v>
      </c>
      <c r="J947" t="n">
        <v>0</v>
      </c>
      <c r="K947" t="n">
        <v>0</v>
      </c>
      <c r="L947" t="n">
        <v>0</v>
      </c>
      <c r="M947" t="n">
        <v>0</v>
      </c>
      <c r="N947" t="n">
        <v>0</v>
      </c>
      <c r="O947" t="n">
        <v>0</v>
      </c>
      <c r="P947" t="n">
        <v>0</v>
      </c>
      <c r="Q947" t="n">
        <v>0</v>
      </c>
      <c r="R947" s="2" t="inlineStr"/>
    </row>
    <row r="948" ht="15" customHeight="1">
      <c r="A948" t="inlineStr">
        <is>
          <t>A 11739-2023</t>
        </is>
      </c>
      <c r="B948" s="1" t="n">
        <v>44993</v>
      </c>
      <c r="C948" s="1" t="n">
        <v>45762</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11744-2023</t>
        </is>
      </c>
      <c r="B949" s="1" t="n">
        <v>44993</v>
      </c>
      <c r="C949" s="1" t="n">
        <v>45762</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11568-2023</t>
        </is>
      </c>
      <c r="B950" s="1" t="n">
        <v>44994</v>
      </c>
      <c r="C950" s="1" t="n">
        <v>45762</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12158-2023</t>
        </is>
      </c>
      <c r="B951" s="1" t="n">
        <v>44998</v>
      </c>
      <c r="C951" s="1" t="n">
        <v>45762</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12604-2023</t>
        </is>
      </c>
      <c r="B952" s="1" t="n">
        <v>45000</v>
      </c>
      <c r="C952" s="1" t="n">
        <v>45762</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12603-2023</t>
        </is>
      </c>
      <c r="B953" s="1" t="n">
        <v>45000</v>
      </c>
      <c r="C953" s="1" t="n">
        <v>45762</v>
      </c>
      <c r="D953" t="inlineStr">
        <is>
          <t>UPPSALA LÄN</t>
        </is>
      </c>
      <c r="E953" t="inlineStr">
        <is>
          <t>UPPSALA</t>
        </is>
      </c>
      <c r="G953" t="n">
        <v>3.1</v>
      </c>
      <c r="H953" t="n">
        <v>0</v>
      </c>
      <c r="I953" t="n">
        <v>0</v>
      </c>
      <c r="J953" t="n">
        <v>0</v>
      </c>
      <c r="K953" t="n">
        <v>0</v>
      </c>
      <c r="L953" t="n">
        <v>0</v>
      </c>
      <c r="M953" t="n">
        <v>0</v>
      </c>
      <c r="N953" t="n">
        <v>0</v>
      </c>
      <c r="O953" t="n">
        <v>0</v>
      </c>
      <c r="P953" t="n">
        <v>0</v>
      </c>
      <c r="Q953" t="n">
        <v>0</v>
      </c>
      <c r="R953" s="2" t="inlineStr"/>
    </row>
    <row r="954" ht="15" customHeight="1">
      <c r="A954" t="inlineStr">
        <is>
          <t>A 12602-2023</t>
        </is>
      </c>
      <c r="B954" s="1" t="n">
        <v>45000</v>
      </c>
      <c r="C954" s="1" t="n">
        <v>45762</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12703-2023</t>
        </is>
      </c>
      <c r="B955" s="1" t="n">
        <v>45000</v>
      </c>
      <c r="C955" s="1" t="n">
        <v>45762</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12606-2023</t>
        </is>
      </c>
      <c r="B956" s="1" t="n">
        <v>45000</v>
      </c>
      <c r="C956" s="1" t="n">
        <v>45762</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13526-2023</t>
        </is>
      </c>
      <c r="B957" s="1" t="n">
        <v>45006</v>
      </c>
      <c r="C957" s="1" t="n">
        <v>45762</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14253-2023</t>
        </is>
      </c>
      <c r="B958" s="1" t="n">
        <v>45009</v>
      </c>
      <c r="C958" s="1" t="n">
        <v>45762</v>
      </c>
      <c r="D958" t="inlineStr">
        <is>
          <t>UPPSALA LÄN</t>
        </is>
      </c>
      <c r="E958" t="inlineStr">
        <is>
          <t>UPPSALA</t>
        </is>
      </c>
      <c r="F958" t="inlineStr">
        <is>
          <t>Allmännings- och besparingsskogar</t>
        </is>
      </c>
      <c r="G958" t="n">
        <v>14</v>
      </c>
      <c r="H958" t="n">
        <v>0</v>
      </c>
      <c r="I958" t="n">
        <v>0</v>
      </c>
      <c r="J958" t="n">
        <v>0</v>
      </c>
      <c r="K958" t="n">
        <v>0</v>
      </c>
      <c r="L958" t="n">
        <v>0</v>
      </c>
      <c r="M958" t="n">
        <v>0</v>
      </c>
      <c r="N958" t="n">
        <v>0</v>
      </c>
      <c r="O958" t="n">
        <v>0</v>
      </c>
      <c r="P958" t="n">
        <v>0</v>
      </c>
      <c r="Q958" t="n">
        <v>0</v>
      </c>
      <c r="R958" s="2" t="inlineStr"/>
    </row>
    <row r="959" ht="15" customHeight="1">
      <c r="A959" t="inlineStr">
        <is>
          <t>A 14784-2023</t>
        </is>
      </c>
      <c r="B959" s="1" t="n">
        <v>45014</v>
      </c>
      <c r="C959" s="1" t="n">
        <v>45762</v>
      </c>
      <c r="D959" t="inlineStr">
        <is>
          <t>UPPSALA LÄN</t>
        </is>
      </c>
      <c r="E959" t="inlineStr">
        <is>
          <t>UPPSALA</t>
        </is>
      </c>
      <c r="G959" t="n">
        <v>4.7</v>
      </c>
      <c r="H959" t="n">
        <v>0</v>
      </c>
      <c r="I959" t="n">
        <v>0</v>
      </c>
      <c r="J959" t="n">
        <v>0</v>
      </c>
      <c r="K959" t="n">
        <v>0</v>
      </c>
      <c r="L959" t="n">
        <v>0</v>
      </c>
      <c r="M959" t="n">
        <v>0</v>
      </c>
      <c r="N959" t="n">
        <v>0</v>
      </c>
      <c r="O959" t="n">
        <v>0</v>
      </c>
      <c r="P959" t="n">
        <v>0</v>
      </c>
      <c r="Q959" t="n">
        <v>0</v>
      </c>
      <c r="R959" s="2" t="inlineStr"/>
    </row>
    <row r="960" ht="15" customHeight="1">
      <c r="A960" t="inlineStr">
        <is>
          <t>A 14988-2023</t>
        </is>
      </c>
      <c r="B960" s="1" t="n">
        <v>45015</v>
      </c>
      <c r="C960" s="1" t="n">
        <v>45762</v>
      </c>
      <c r="D960" t="inlineStr">
        <is>
          <t>UPPSALA LÄN</t>
        </is>
      </c>
      <c r="E960" t="inlineStr">
        <is>
          <t>UPPSALA</t>
        </is>
      </c>
      <c r="G960" t="n">
        <v>4.2</v>
      </c>
      <c r="H960" t="n">
        <v>0</v>
      </c>
      <c r="I960" t="n">
        <v>0</v>
      </c>
      <c r="J960" t="n">
        <v>0</v>
      </c>
      <c r="K960" t="n">
        <v>0</v>
      </c>
      <c r="L960" t="n">
        <v>0</v>
      </c>
      <c r="M960" t="n">
        <v>0</v>
      </c>
      <c r="N960" t="n">
        <v>0</v>
      </c>
      <c r="O960" t="n">
        <v>0</v>
      </c>
      <c r="P960" t="n">
        <v>0</v>
      </c>
      <c r="Q960" t="n">
        <v>0</v>
      </c>
      <c r="R960" s="2" t="inlineStr"/>
    </row>
    <row r="961" ht="15" customHeight="1">
      <c r="A961" t="inlineStr">
        <is>
          <t>A 15547-2023</t>
        </is>
      </c>
      <c r="B961" s="1" t="n">
        <v>45020</v>
      </c>
      <c r="C961" s="1" t="n">
        <v>45762</v>
      </c>
      <c r="D961" t="inlineStr">
        <is>
          <t>UPPSALA LÄN</t>
        </is>
      </c>
      <c r="E961" t="inlineStr">
        <is>
          <t>UPPSALA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15551-2023</t>
        </is>
      </c>
      <c r="B962" s="1" t="n">
        <v>45020</v>
      </c>
      <c r="C962" s="1" t="n">
        <v>45762</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15629-2023</t>
        </is>
      </c>
      <c r="B963" s="1" t="n">
        <v>45021</v>
      </c>
      <c r="C963" s="1" t="n">
        <v>45762</v>
      </c>
      <c r="D963" t="inlineStr">
        <is>
          <t>UPPSALA LÄN</t>
        </is>
      </c>
      <c r="E963" t="inlineStr">
        <is>
          <t>UPPSALA</t>
        </is>
      </c>
      <c r="F963" t="inlineStr">
        <is>
          <t>Övriga Aktiebolag</t>
        </is>
      </c>
      <c r="G963" t="n">
        <v>7</v>
      </c>
      <c r="H963" t="n">
        <v>0</v>
      </c>
      <c r="I963" t="n">
        <v>0</v>
      </c>
      <c r="J963" t="n">
        <v>0</v>
      </c>
      <c r="K963" t="n">
        <v>0</v>
      </c>
      <c r="L963" t="n">
        <v>0</v>
      </c>
      <c r="M963" t="n">
        <v>0</v>
      </c>
      <c r="N963" t="n">
        <v>0</v>
      </c>
      <c r="O963" t="n">
        <v>0</v>
      </c>
      <c r="P963" t="n">
        <v>0</v>
      </c>
      <c r="Q963" t="n">
        <v>0</v>
      </c>
      <c r="R963" s="2" t="inlineStr"/>
    </row>
    <row r="964" ht="15" customHeight="1">
      <c r="A964" t="inlineStr">
        <is>
          <t>A 16346-2023</t>
        </is>
      </c>
      <c r="B964" s="1" t="n">
        <v>45028</v>
      </c>
      <c r="C964" s="1" t="n">
        <v>45762</v>
      </c>
      <c r="D964" t="inlineStr">
        <is>
          <t>UPPSALA LÄN</t>
        </is>
      </c>
      <c r="E964" t="inlineStr">
        <is>
          <t>UPPSALA</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45762</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17229-2023</t>
        </is>
      </c>
      <c r="B966" s="1" t="n">
        <v>45035</v>
      </c>
      <c r="C966" s="1" t="n">
        <v>45762</v>
      </c>
      <c r="D966" t="inlineStr">
        <is>
          <t>UPPSALA LÄN</t>
        </is>
      </c>
      <c r="E966" t="inlineStr">
        <is>
          <t>UPPSALA</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17280-2023</t>
        </is>
      </c>
      <c r="B967" s="1" t="n">
        <v>45035</v>
      </c>
      <c r="C967" s="1" t="n">
        <v>45762</v>
      </c>
      <c r="D967" t="inlineStr">
        <is>
          <t>UPPSALA LÄN</t>
        </is>
      </c>
      <c r="E967" t="inlineStr">
        <is>
          <t>UPPSALA</t>
        </is>
      </c>
      <c r="G967" t="n">
        <v>5.6</v>
      </c>
      <c r="H967" t="n">
        <v>0</v>
      </c>
      <c r="I967" t="n">
        <v>0</v>
      </c>
      <c r="J967" t="n">
        <v>0</v>
      </c>
      <c r="K967" t="n">
        <v>0</v>
      </c>
      <c r="L967" t="n">
        <v>0</v>
      </c>
      <c r="M967" t="n">
        <v>0</v>
      </c>
      <c r="N967" t="n">
        <v>0</v>
      </c>
      <c r="O967" t="n">
        <v>0</v>
      </c>
      <c r="P967" t="n">
        <v>0</v>
      </c>
      <c r="Q967" t="n">
        <v>0</v>
      </c>
      <c r="R967" s="2" t="inlineStr"/>
    </row>
    <row r="968" ht="15" customHeight="1">
      <c r="A968" t="inlineStr">
        <is>
          <t>A 17481-2023</t>
        </is>
      </c>
      <c r="B968" s="1" t="n">
        <v>45036</v>
      </c>
      <c r="C968" s="1" t="n">
        <v>45762</v>
      </c>
      <c r="D968" t="inlineStr">
        <is>
          <t>UPPSALA LÄN</t>
        </is>
      </c>
      <c r="E968" t="inlineStr">
        <is>
          <t>UPPSALA</t>
        </is>
      </c>
      <c r="G968" t="n">
        <v>1.9</v>
      </c>
      <c r="H968" t="n">
        <v>0</v>
      </c>
      <c r="I968" t="n">
        <v>0</v>
      </c>
      <c r="J968" t="n">
        <v>0</v>
      </c>
      <c r="K968" t="n">
        <v>0</v>
      </c>
      <c r="L968" t="n">
        <v>0</v>
      </c>
      <c r="M968" t="n">
        <v>0</v>
      </c>
      <c r="N968" t="n">
        <v>0</v>
      </c>
      <c r="O968" t="n">
        <v>0</v>
      </c>
      <c r="P968" t="n">
        <v>0</v>
      </c>
      <c r="Q968" t="n">
        <v>0</v>
      </c>
      <c r="R968" s="2" t="inlineStr"/>
    </row>
    <row r="969" ht="15" customHeight="1">
      <c r="A969" t="inlineStr">
        <is>
          <t>A 17788-2023</t>
        </is>
      </c>
      <c r="B969" s="1" t="n">
        <v>45037</v>
      </c>
      <c r="C969" s="1" t="n">
        <v>45762</v>
      </c>
      <c r="D969" t="inlineStr">
        <is>
          <t>UPPSALA LÄN</t>
        </is>
      </c>
      <c r="E969" t="inlineStr">
        <is>
          <t>UPPSALA</t>
        </is>
      </c>
      <c r="F969" t="inlineStr">
        <is>
          <t>Övriga Aktiebolag</t>
        </is>
      </c>
      <c r="G969" t="n">
        <v>3.7</v>
      </c>
      <c r="H969" t="n">
        <v>0</v>
      </c>
      <c r="I969" t="n">
        <v>0</v>
      </c>
      <c r="J969" t="n">
        <v>0</v>
      </c>
      <c r="K969" t="n">
        <v>0</v>
      </c>
      <c r="L969" t="n">
        <v>0</v>
      </c>
      <c r="M969" t="n">
        <v>0</v>
      </c>
      <c r="N969" t="n">
        <v>0</v>
      </c>
      <c r="O969" t="n">
        <v>0</v>
      </c>
      <c r="P969" t="n">
        <v>0</v>
      </c>
      <c r="Q969" t="n">
        <v>0</v>
      </c>
      <c r="R969" s="2" t="inlineStr"/>
    </row>
    <row r="970" ht="15" customHeight="1">
      <c r="A970" t="inlineStr">
        <is>
          <t>A 17938-2023</t>
        </is>
      </c>
      <c r="B970" s="1" t="n">
        <v>45040</v>
      </c>
      <c r="C970" s="1" t="n">
        <v>45762</v>
      </c>
      <c r="D970" t="inlineStr">
        <is>
          <t>UPPSALA LÄN</t>
        </is>
      </c>
      <c r="E970" t="inlineStr">
        <is>
          <t>UPPSALA</t>
        </is>
      </c>
      <c r="G970" t="n">
        <v>2.9</v>
      </c>
      <c r="H970" t="n">
        <v>0</v>
      </c>
      <c r="I970" t="n">
        <v>0</v>
      </c>
      <c r="J970" t="n">
        <v>0</v>
      </c>
      <c r="K970" t="n">
        <v>0</v>
      </c>
      <c r="L970" t="n">
        <v>0</v>
      </c>
      <c r="M970" t="n">
        <v>0</v>
      </c>
      <c r="N970" t="n">
        <v>0</v>
      </c>
      <c r="O970" t="n">
        <v>0</v>
      </c>
      <c r="P970" t="n">
        <v>0</v>
      </c>
      <c r="Q970" t="n">
        <v>0</v>
      </c>
      <c r="R970" s="2" t="inlineStr"/>
    </row>
    <row r="971" ht="15" customHeight="1">
      <c r="A971" t="inlineStr">
        <is>
          <t>A 18277-2023</t>
        </is>
      </c>
      <c r="B971" s="1" t="n">
        <v>45041</v>
      </c>
      <c r="C971" s="1" t="n">
        <v>45762</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18275-2023</t>
        </is>
      </c>
      <c r="B972" s="1" t="n">
        <v>45041</v>
      </c>
      <c r="C972" s="1" t="n">
        <v>45762</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18278-2023</t>
        </is>
      </c>
      <c r="B973" s="1" t="n">
        <v>45041</v>
      </c>
      <c r="C973" s="1" t="n">
        <v>45762</v>
      </c>
      <c r="D973" t="inlineStr">
        <is>
          <t>UPPSALA LÄN</t>
        </is>
      </c>
      <c r="E973" t="inlineStr">
        <is>
          <t>UPPSALA</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18276-2023</t>
        </is>
      </c>
      <c r="B974" s="1" t="n">
        <v>45041</v>
      </c>
      <c r="C974" s="1" t="n">
        <v>45762</v>
      </c>
      <c r="D974" t="inlineStr">
        <is>
          <t>UPPSALA LÄN</t>
        </is>
      </c>
      <c r="E974" t="inlineStr">
        <is>
          <t>UPPSALA</t>
        </is>
      </c>
      <c r="G974" t="n">
        <v>6.6</v>
      </c>
      <c r="H974" t="n">
        <v>0</v>
      </c>
      <c r="I974" t="n">
        <v>0</v>
      </c>
      <c r="J974" t="n">
        <v>0</v>
      </c>
      <c r="K974" t="n">
        <v>0</v>
      </c>
      <c r="L974" t="n">
        <v>0</v>
      </c>
      <c r="M974" t="n">
        <v>0</v>
      </c>
      <c r="N974" t="n">
        <v>0</v>
      </c>
      <c r="O974" t="n">
        <v>0</v>
      </c>
      <c r="P974" t="n">
        <v>0</v>
      </c>
      <c r="Q974" t="n">
        <v>0</v>
      </c>
      <c r="R974" s="2" t="inlineStr"/>
    </row>
    <row r="975" ht="15" customHeight="1">
      <c r="A975" t="inlineStr">
        <is>
          <t>A 18443-2023</t>
        </is>
      </c>
      <c r="B975" s="1" t="n">
        <v>45042</v>
      </c>
      <c r="C975" s="1" t="n">
        <v>45762</v>
      </c>
      <c r="D975" t="inlineStr">
        <is>
          <t>UPPSALA LÄN</t>
        </is>
      </c>
      <c r="E975" t="inlineStr">
        <is>
          <t>UPPSALA</t>
        </is>
      </c>
      <c r="G975" t="n">
        <v>0.4</v>
      </c>
      <c r="H975" t="n">
        <v>0</v>
      </c>
      <c r="I975" t="n">
        <v>0</v>
      </c>
      <c r="J975" t="n">
        <v>0</v>
      </c>
      <c r="K975" t="n">
        <v>0</v>
      </c>
      <c r="L975" t="n">
        <v>0</v>
      </c>
      <c r="M975" t="n">
        <v>0</v>
      </c>
      <c r="N975" t="n">
        <v>0</v>
      </c>
      <c r="O975" t="n">
        <v>0</v>
      </c>
      <c r="P975" t="n">
        <v>0</v>
      </c>
      <c r="Q975" t="n">
        <v>0</v>
      </c>
      <c r="R975" s="2" t="inlineStr"/>
    </row>
    <row r="976" ht="15" customHeight="1">
      <c r="A976" t="inlineStr">
        <is>
          <t>A 18496-2023</t>
        </is>
      </c>
      <c r="B976" s="1" t="n">
        <v>45042</v>
      </c>
      <c r="C976" s="1" t="n">
        <v>45762</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18507-2023</t>
        </is>
      </c>
      <c r="B977" s="1" t="n">
        <v>45042</v>
      </c>
      <c r="C977" s="1" t="n">
        <v>45762</v>
      </c>
      <c r="D977" t="inlineStr">
        <is>
          <t>UPPSALA LÄN</t>
        </is>
      </c>
      <c r="E977" t="inlineStr">
        <is>
          <t>UPPSALA</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18472-2023</t>
        </is>
      </c>
      <c r="B978" s="1" t="n">
        <v>45042</v>
      </c>
      <c r="C978" s="1" t="n">
        <v>45762</v>
      </c>
      <c r="D978" t="inlineStr">
        <is>
          <t>UPPSALA LÄN</t>
        </is>
      </c>
      <c r="E978" t="inlineStr">
        <is>
          <t>UPPSALA</t>
        </is>
      </c>
      <c r="F978" t="inlineStr">
        <is>
          <t>Övriga Aktiebolag</t>
        </is>
      </c>
      <c r="G978" t="n">
        <v>3</v>
      </c>
      <c r="H978" t="n">
        <v>0</v>
      </c>
      <c r="I978" t="n">
        <v>0</v>
      </c>
      <c r="J978" t="n">
        <v>0</v>
      </c>
      <c r="K978" t="n">
        <v>0</v>
      </c>
      <c r="L978" t="n">
        <v>0</v>
      </c>
      <c r="M978" t="n">
        <v>0</v>
      </c>
      <c r="N978" t="n">
        <v>0</v>
      </c>
      <c r="O978" t="n">
        <v>0</v>
      </c>
      <c r="P978" t="n">
        <v>0</v>
      </c>
      <c r="Q978" t="n">
        <v>0</v>
      </c>
      <c r="R978" s="2" t="inlineStr"/>
    </row>
    <row r="979" ht="15" customHeight="1">
      <c r="A979" t="inlineStr">
        <is>
          <t>A 18710-2023</t>
        </is>
      </c>
      <c r="B979" s="1" t="n">
        <v>45043</v>
      </c>
      <c r="C979" s="1" t="n">
        <v>45762</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19017-2023</t>
        </is>
      </c>
      <c r="B980" s="1" t="n">
        <v>45047</v>
      </c>
      <c r="C980" s="1" t="n">
        <v>45762</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19135-2023</t>
        </is>
      </c>
      <c r="B981" s="1" t="n">
        <v>45048</v>
      </c>
      <c r="C981" s="1" t="n">
        <v>45762</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19139-2023</t>
        </is>
      </c>
      <c r="B982" s="1" t="n">
        <v>45048</v>
      </c>
      <c r="C982" s="1" t="n">
        <v>45762</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19279-2023</t>
        </is>
      </c>
      <c r="B983" s="1" t="n">
        <v>45049</v>
      </c>
      <c r="C983" s="1" t="n">
        <v>45762</v>
      </c>
      <c r="D983" t="inlineStr">
        <is>
          <t>UPPSALA LÄN</t>
        </is>
      </c>
      <c r="E983" t="inlineStr">
        <is>
          <t>UPPSALA</t>
        </is>
      </c>
      <c r="G983" t="n">
        <v>5.8</v>
      </c>
      <c r="H983" t="n">
        <v>0</v>
      </c>
      <c r="I983" t="n">
        <v>0</v>
      </c>
      <c r="J983" t="n">
        <v>0</v>
      </c>
      <c r="K983" t="n">
        <v>0</v>
      </c>
      <c r="L983" t="n">
        <v>0</v>
      </c>
      <c r="M983" t="n">
        <v>0</v>
      </c>
      <c r="N983" t="n">
        <v>0</v>
      </c>
      <c r="O983" t="n">
        <v>0</v>
      </c>
      <c r="P983" t="n">
        <v>0</v>
      </c>
      <c r="Q983" t="n">
        <v>0</v>
      </c>
      <c r="R983" s="2" t="inlineStr"/>
    </row>
    <row r="984" ht="15" customHeight="1">
      <c r="A984" t="inlineStr">
        <is>
          <t>A 19269-2023</t>
        </is>
      </c>
      <c r="B984" s="1" t="n">
        <v>45049</v>
      </c>
      <c r="C984" s="1" t="n">
        <v>45762</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19314-2023</t>
        </is>
      </c>
      <c r="B985" s="1" t="n">
        <v>45049</v>
      </c>
      <c r="C985" s="1" t="n">
        <v>45762</v>
      </c>
      <c r="D985" t="inlineStr">
        <is>
          <t>UPPSALA LÄN</t>
        </is>
      </c>
      <c r="E985" t="inlineStr">
        <is>
          <t>UPPSALA</t>
        </is>
      </c>
      <c r="G985" t="n">
        <v>9</v>
      </c>
      <c r="H985" t="n">
        <v>0</v>
      </c>
      <c r="I985" t="n">
        <v>0</v>
      </c>
      <c r="J985" t="n">
        <v>0</v>
      </c>
      <c r="K985" t="n">
        <v>0</v>
      </c>
      <c r="L985" t="n">
        <v>0</v>
      </c>
      <c r="M985" t="n">
        <v>0</v>
      </c>
      <c r="N985" t="n">
        <v>0</v>
      </c>
      <c r="O985" t="n">
        <v>0</v>
      </c>
      <c r="P985" t="n">
        <v>0</v>
      </c>
      <c r="Q985" t="n">
        <v>0</v>
      </c>
      <c r="R985" s="2" t="inlineStr"/>
    </row>
    <row r="986" ht="15" customHeight="1">
      <c r="A986" t="inlineStr">
        <is>
          <t>A 19320-2023</t>
        </is>
      </c>
      <c r="B986" s="1" t="n">
        <v>45049</v>
      </c>
      <c r="C986" s="1" t="n">
        <v>45762</v>
      </c>
      <c r="D986" t="inlineStr">
        <is>
          <t>UPPSALA LÄN</t>
        </is>
      </c>
      <c r="E986" t="inlineStr">
        <is>
          <t>UPPSALA</t>
        </is>
      </c>
      <c r="G986" t="n">
        <v>17.5</v>
      </c>
      <c r="H986" t="n">
        <v>0</v>
      </c>
      <c r="I986" t="n">
        <v>0</v>
      </c>
      <c r="J986" t="n">
        <v>0</v>
      </c>
      <c r="K986" t="n">
        <v>0</v>
      </c>
      <c r="L986" t="n">
        <v>0</v>
      </c>
      <c r="M986" t="n">
        <v>0</v>
      </c>
      <c r="N986" t="n">
        <v>0</v>
      </c>
      <c r="O986" t="n">
        <v>0</v>
      </c>
      <c r="P986" t="n">
        <v>0</v>
      </c>
      <c r="Q986" t="n">
        <v>0</v>
      </c>
      <c r="R986" s="2" t="inlineStr"/>
    </row>
    <row r="987" ht="15" customHeight="1">
      <c r="A987" t="inlineStr">
        <is>
          <t>A 19339-2023</t>
        </is>
      </c>
      <c r="B987" s="1" t="n">
        <v>45049</v>
      </c>
      <c r="C987" s="1" t="n">
        <v>45762</v>
      </c>
      <c r="D987" t="inlineStr">
        <is>
          <t>UPPSALA LÄN</t>
        </is>
      </c>
      <c r="E987" t="inlineStr">
        <is>
          <t>UPPSALA</t>
        </is>
      </c>
      <c r="G987" t="n">
        <v>6.9</v>
      </c>
      <c r="H987" t="n">
        <v>0</v>
      </c>
      <c r="I987" t="n">
        <v>0</v>
      </c>
      <c r="J987" t="n">
        <v>0</v>
      </c>
      <c r="K987" t="n">
        <v>0</v>
      </c>
      <c r="L987" t="n">
        <v>0</v>
      </c>
      <c r="M987" t="n">
        <v>0</v>
      </c>
      <c r="N987" t="n">
        <v>0</v>
      </c>
      <c r="O987" t="n">
        <v>0</v>
      </c>
      <c r="P987" t="n">
        <v>0</v>
      </c>
      <c r="Q987" t="n">
        <v>0</v>
      </c>
      <c r="R987" s="2" t="inlineStr"/>
    </row>
    <row r="988" ht="15" customHeight="1">
      <c r="A988" t="inlineStr">
        <is>
          <t>A 19380-2023</t>
        </is>
      </c>
      <c r="B988" s="1" t="n">
        <v>45049</v>
      </c>
      <c r="C988" s="1" t="n">
        <v>45762</v>
      </c>
      <c r="D988" t="inlineStr">
        <is>
          <t>UPPSALA LÄN</t>
        </is>
      </c>
      <c r="E988" t="inlineStr">
        <is>
          <t>UPPSALA</t>
        </is>
      </c>
      <c r="G988" t="n">
        <v>1</v>
      </c>
      <c r="H988" t="n">
        <v>0</v>
      </c>
      <c r="I988" t="n">
        <v>0</v>
      </c>
      <c r="J988" t="n">
        <v>0</v>
      </c>
      <c r="K988" t="n">
        <v>0</v>
      </c>
      <c r="L988" t="n">
        <v>0</v>
      </c>
      <c r="M988" t="n">
        <v>0</v>
      </c>
      <c r="N988" t="n">
        <v>0</v>
      </c>
      <c r="O988" t="n">
        <v>0</v>
      </c>
      <c r="P988" t="n">
        <v>0</v>
      </c>
      <c r="Q988" t="n">
        <v>0</v>
      </c>
      <c r="R988" s="2" t="inlineStr"/>
    </row>
    <row r="989" ht="15" customHeight="1">
      <c r="A989" t="inlineStr">
        <is>
          <t>A 19411-2023</t>
        </is>
      </c>
      <c r="B989" s="1" t="n">
        <v>45049</v>
      </c>
      <c r="C989" s="1" t="n">
        <v>45762</v>
      </c>
      <c r="D989" t="inlineStr">
        <is>
          <t>UPPSALA LÄN</t>
        </is>
      </c>
      <c r="E989" t="inlineStr">
        <is>
          <t>UPPSALA</t>
        </is>
      </c>
      <c r="G989" t="n">
        <v>12.6</v>
      </c>
      <c r="H989" t="n">
        <v>0</v>
      </c>
      <c r="I989" t="n">
        <v>0</v>
      </c>
      <c r="J989" t="n">
        <v>0</v>
      </c>
      <c r="K989" t="n">
        <v>0</v>
      </c>
      <c r="L989" t="n">
        <v>0</v>
      </c>
      <c r="M989" t="n">
        <v>0</v>
      </c>
      <c r="N989" t="n">
        <v>0</v>
      </c>
      <c r="O989" t="n">
        <v>0</v>
      </c>
      <c r="P989" t="n">
        <v>0</v>
      </c>
      <c r="Q989" t="n">
        <v>0</v>
      </c>
      <c r="R989" s="2" t="inlineStr"/>
    </row>
    <row r="990" ht="15" customHeight="1">
      <c r="A990" t="inlineStr">
        <is>
          <t>A 19272-2023</t>
        </is>
      </c>
      <c r="B990" s="1" t="n">
        <v>45049</v>
      </c>
      <c r="C990" s="1" t="n">
        <v>45762</v>
      </c>
      <c r="D990" t="inlineStr">
        <is>
          <t>UPPSALA LÄN</t>
        </is>
      </c>
      <c r="E990" t="inlineStr">
        <is>
          <t>UPPSALA</t>
        </is>
      </c>
      <c r="G990" t="n">
        <v>4.9</v>
      </c>
      <c r="H990" t="n">
        <v>0</v>
      </c>
      <c r="I990" t="n">
        <v>0</v>
      </c>
      <c r="J990" t="n">
        <v>0</v>
      </c>
      <c r="K990" t="n">
        <v>0</v>
      </c>
      <c r="L990" t="n">
        <v>0</v>
      </c>
      <c r="M990" t="n">
        <v>0</v>
      </c>
      <c r="N990" t="n">
        <v>0</v>
      </c>
      <c r="O990" t="n">
        <v>0</v>
      </c>
      <c r="P990" t="n">
        <v>0</v>
      </c>
      <c r="Q990" t="n">
        <v>0</v>
      </c>
      <c r="R990" s="2" t="inlineStr"/>
    </row>
    <row r="991" ht="15" customHeight="1">
      <c r="A991" t="inlineStr">
        <is>
          <t>A 19276-2023</t>
        </is>
      </c>
      <c r="B991" s="1" t="n">
        <v>45049</v>
      </c>
      <c r="C991" s="1" t="n">
        <v>45762</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19317-2023</t>
        </is>
      </c>
      <c r="B992" s="1" t="n">
        <v>45049</v>
      </c>
      <c r="C992" s="1" t="n">
        <v>45762</v>
      </c>
      <c r="D992" t="inlineStr">
        <is>
          <t>UPPSALA LÄN</t>
        </is>
      </c>
      <c r="E992" t="inlineStr">
        <is>
          <t>UPPSALA</t>
        </is>
      </c>
      <c r="G992" t="n">
        <v>15.4</v>
      </c>
      <c r="H992" t="n">
        <v>0</v>
      </c>
      <c r="I992" t="n">
        <v>0</v>
      </c>
      <c r="J992" t="n">
        <v>0</v>
      </c>
      <c r="K992" t="n">
        <v>0</v>
      </c>
      <c r="L992" t="n">
        <v>0</v>
      </c>
      <c r="M992" t="n">
        <v>0</v>
      </c>
      <c r="N992" t="n">
        <v>0</v>
      </c>
      <c r="O992" t="n">
        <v>0</v>
      </c>
      <c r="P992" t="n">
        <v>0</v>
      </c>
      <c r="Q992" t="n">
        <v>0</v>
      </c>
      <c r="R992" s="2" t="inlineStr"/>
    </row>
    <row r="993" ht="15" customHeight="1">
      <c r="A993" t="inlineStr">
        <is>
          <t>A 19409-2023</t>
        </is>
      </c>
      <c r="B993" s="1" t="n">
        <v>45049</v>
      </c>
      <c r="C993" s="1" t="n">
        <v>45762</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19455-2023</t>
        </is>
      </c>
      <c r="B994" s="1" t="n">
        <v>45050</v>
      </c>
      <c r="C994" s="1" t="n">
        <v>45762</v>
      </c>
      <c r="D994" t="inlineStr">
        <is>
          <t>UPPSALA LÄN</t>
        </is>
      </c>
      <c r="E994" t="inlineStr">
        <is>
          <t>UPPSALA</t>
        </is>
      </c>
      <c r="G994" t="n">
        <v>3.7</v>
      </c>
      <c r="H994" t="n">
        <v>0</v>
      </c>
      <c r="I994" t="n">
        <v>0</v>
      </c>
      <c r="J994" t="n">
        <v>0</v>
      </c>
      <c r="K994" t="n">
        <v>0</v>
      </c>
      <c r="L994" t="n">
        <v>0</v>
      </c>
      <c r="M994" t="n">
        <v>0</v>
      </c>
      <c r="N994" t="n">
        <v>0</v>
      </c>
      <c r="O994" t="n">
        <v>0</v>
      </c>
      <c r="P994" t="n">
        <v>0</v>
      </c>
      <c r="Q994" t="n">
        <v>0</v>
      </c>
      <c r="R994" s="2" t="inlineStr"/>
    </row>
    <row r="995" ht="15" customHeight="1">
      <c r="A995" t="inlineStr">
        <is>
          <t>A 19515-2023</t>
        </is>
      </c>
      <c r="B995" s="1" t="n">
        <v>45050</v>
      </c>
      <c r="C995" s="1" t="n">
        <v>45762</v>
      </c>
      <c r="D995" t="inlineStr">
        <is>
          <t>UPPSALA LÄN</t>
        </is>
      </c>
      <c r="E995" t="inlineStr">
        <is>
          <t>UPPSALA</t>
        </is>
      </c>
      <c r="G995" t="n">
        <v>11.2</v>
      </c>
      <c r="H995" t="n">
        <v>0</v>
      </c>
      <c r="I995" t="n">
        <v>0</v>
      </c>
      <c r="J995" t="n">
        <v>0</v>
      </c>
      <c r="K995" t="n">
        <v>0</v>
      </c>
      <c r="L995" t="n">
        <v>0</v>
      </c>
      <c r="M995" t="n">
        <v>0</v>
      </c>
      <c r="N995" t="n">
        <v>0</v>
      </c>
      <c r="O995" t="n">
        <v>0</v>
      </c>
      <c r="P995" t="n">
        <v>0</v>
      </c>
      <c r="Q995" t="n">
        <v>0</v>
      </c>
      <c r="R995" s="2" t="inlineStr"/>
    </row>
    <row r="996" ht="15" customHeight="1">
      <c r="A996" t="inlineStr">
        <is>
          <t>A 19447-2023</t>
        </is>
      </c>
      <c r="B996" s="1" t="n">
        <v>45050</v>
      </c>
      <c r="C996" s="1" t="n">
        <v>45762</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19513-2023</t>
        </is>
      </c>
      <c r="B997" s="1" t="n">
        <v>45050</v>
      </c>
      <c r="C997" s="1" t="n">
        <v>45762</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19516-2023</t>
        </is>
      </c>
      <c r="B998" s="1" t="n">
        <v>45050</v>
      </c>
      <c r="C998" s="1" t="n">
        <v>45762</v>
      </c>
      <c r="D998" t="inlineStr">
        <is>
          <t>UPPSALA LÄN</t>
        </is>
      </c>
      <c r="E998" t="inlineStr">
        <is>
          <t>UPPSALA</t>
        </is>
      </c>
      <c r="G998" t="n">
        <v>4.5</v>
      </c>
      <c r="H998" t="n">
        <v>0</v>
      </c>
      <c r="I998" t="n">
        <v>0</v>
      </c>
      <c r="J998" t="n">
        <v>0</v>
      </c>
      <c r="K998" t="n">
        <v>0</v>
      </c>
      <c r="L998" t="n">
        <v>0</v>
      </c>
      <c r="M998" t="n">
        <v>0</v>
      </c>
      <c r="N998" t="n">
        <v>0</v>
      </c>
      <c r="O998" t="n">
        <v>0</v>
      </c>
      <c r="P998" t="n">
        <v>0</v>
      </c>
      <c r="Q998" t="n">
        <v>0</v>
      </c>
      <c r="R998" s="2" t="inlineStr"/>
    </row>
    <row r="999" ht="15" customHeight="1">
      <c r="A999" t="inlineStr">
        <is>
          <t>A 19920-2023</t>
        </is>
      </c>
      <c r="B999" s="1" t="n">
        <v>45054</v>
      </c>
      <c r="C999" s="1" t="n">
        <v>45762</v>
      </c>
      <c r="D999" t="inlineStr">
        <is>
          <t>UPPSALA LÄN</t>
        </is>
      </c>
      <c r="E999" t="inlineStr">
        <is>
          <t>UPPSALA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20087-2023</t>
        </is>
      </c>
      <c r="B1000" s="1" t="n">
        <v>45055</v>
      </c>
      <c r="C1000" s="1" t="n">
        <v>45762</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20102-2023</t>
        </is>
      </c>
      <c r="B1001" s="1" t="n">
        <v>45055</v>
      </c>
      <c r="C1001" s="1" t="n">
        <v>45762</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20105-2023</t>
        </is>
      </c>
      <c r="B1002" s="1" t="n">
        <v>45055</v>
      </c>
      <c r="C1002" s="1" t="n">
        <v>45762</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20206-2023</t>
        </is>
      </c>
      <c r="B1003" s="1" t="n">
        <v>45055</v>
      </c>
      <c r="C1003" s="1" t="n">
        <v>45762</v>
      </c>
      <c r="D1003" t="inlineStr">
        <is>
          <t>UPPSALA LÄN</t>
        </is>
      </c>
      <c r="E1003" t="inlineStr">
        <is>
          <t>UPPSALA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20438-2023</t>
        </is>
      </c>
      <c r="B1004" s="1" t="n">
        <v>45056</v>
      </c>
      <c r="C1004" s="1" t="n">
        <v>45762</v>
      </c>
      <c r="D1004" t="inlineStr">
        <is>
          <t>UPPSALA LÄN</t>
        </is>
      </c>
      <c r="E1004" t="inlineStr">
        <is>
          <t>UPPSALA</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20440-2023</t>
        </is>
      </c>
      <c r="B1005" s="1" t="n">
        <v>45056</v>
      </c>
      <c r="C1005" s="1" t="n">
        <v>45762</v>
      </c>
      <c r="D1005" t="inlineStr">
        <is>
          <t>UPPSALA LÄN</t>
        </is>
      </c>
      <c r="E1005" t="inlineStr">
        <is>
          <t>UPPSALA</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20437-2023</t>
        </is>
      </c>
      <c r="B1006" s="1" t="n">
        <v>45056</v>
      </c>
      <c r="C1006" s="1" t="n">
        <v>45762</v>
      </c>
      <c r="D1006" t="inlineStr">
        <is>
          <t>UPPSALA LÄN</t>
        </is>
      </c>
      <c r="E1006" t="inlineStr">
        <is>
          <t>UPPSALA</t>
        </is>
      </c>
      <c r="F1006" t="inlineStr">
        <is>
          <t>Holmen skog AB</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20550-2023</t>
        </is>
      </c>
      <c r="B1007" s="1" t="n">
        <v>45057</v>
      </c>
      <c r="C1007" s="1" t="n">
        <v>45762</v>
      </c>
      <c r="D1007" t="inlineStr">
        <is>
          <t>UPPSALA LÄN</t>
        </is>
      </c>
      <c r="E1007" t="inlineStr">
        <is>
          <t>UPPSALA</t>
        </is>
      </c>
      <c r="F1007" t="inlineStr">
        <is>
          <t>Övriga Aktiebolag</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20670-2023</t>
        </is>
      </c>
      <c r="B1008" s="1" t="n">
        <v>45058</v>
      </c>
      <c r="C1008" s="1" t="n">
        <v>45762</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20692-2023</t>
        </is>
      </c>
      <c r="B1009" s="1" t="n">
        <v>45058</v>
      </c>
      <c r="C1009" s="1" t="n">
        <v>45762</v>
      </c>
      <c r="D1009" t="inlineStr">
        <is>
          <t>UPPSALA LÄN</t>
        </is>
      </c>
      <c r="E1009" t="inlineStr">
        <is>
          <t>UPPSALA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20667-2023</t>
        </is>
      </c>
      <c r="B1010" s="1" t="n">
        <v>45058</v>
      </c>
      <c r="C1010" s="1" t="n">
        <v>45762</v>
      </c>
      <c r="D1010" t="inlineStr">
        <is>
          <t>UPPSALA LÄN</t>
        </is>
      </c>
      <c r="E1010" t="inlineStr">
        <is>
          <t>UPPSALA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20708-2023</t>
        </is>
      </c>
      <c r="B1011" s="1" t="n">
        <v>45058</v>
      </c>
      <c r="C1011" s="1" t="n">
        <v>45762</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20669-2023</t>
        </is>
      </c>
      <c r="B1012" s="1" t="n">
        <v>45058</v>
      </c>
      <c r="C1012" s="1" t="n">
        <v>45762</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20786-2023</t>
        </is>
      </c>
      <c r="B1013" s="1" t="n">
        <v>45058</v>
      </c>
      <c r="C1013" s="1" t="n">
        <v>45762</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20900-2023</t>
        </is>
      </c>
      <c r="B1014" s="1" t="n">
        <v>45060</v>
      </c>
      <c r="C1014" s="1" t="n">
        <v>45762</v>
      </c>
      <c r="D1014" t="inlineStr">
        <is>
          <t>UPPSALA LÄN</t>
        </is>
      </c>
      <c r="E1014" t="inlineStr">
        <is>
          <t>UPPSALA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21052-2023</t>
        </is>
      </c>
      <c r="B1015" s="1" t="n">
        <v>45061</v>
      </c>
      <c r="C1015" s="1" t="n">
        <v>45762</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21416-2023</t>
        </is>
      </c>
      <c r="B1016" s="1" t="n">
        <v>45063</v>
      </c>
      <c r="C1016" s="1" t="n">
        <v>45762</v>
      </c>
      <c r="D1016" t="inlineStr">
        <is>
          <t>UPPSALA LÄN</t>
        </is>
      </c>
      <c r="E1016" t="inlineStr">
        <is>
          <t>UPPSALA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21424-2023</t>
        </is>
      </c>
      <c r="B1017" s="1" t="n">
        <v>45063</v>
      </c>
      <c r="C1017" s="1" t="n">
        <v>45762</v>
      </c>
      <c r="D1017" t="inlineStr">
        <is>
          <t>UPPSALA LÄN</t>
        </is>
      </c>
      <c r="E1017" t="inlineStr">
        <is>
          <t>UPPSALA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21727-2023</t>
        </is>
      </c>
      <c r="B1018" s="1" t="n">
        <v>45065</v>
      </c>
      <c r="C1018" s="1" t="n">
        <v>45762</v>
      </c>
      <c r="D1018" t="inlineStr">
        <is>
          <t>UPPSALA LÄN</t>
        </is>
      </c>
      <c r="E1018" t="inlineStr">
        <is>
          <t>UPPSALA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21935-2023</t>
        </is>
      </c>
      <c r="B1019" s="1" t="n">
        <v>45068</v>
      </c>
      <c r="C1019" s="1" t="n">
        <v>45762</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22450-2023</t>
        </is>
      </c>
      <c r="B1020" s="1" t="n">
        <v>45070</v>
      </c>
      <c r="C1020" s="1" t="n">
        <v>45762</v>
      </c>
      <c r="D1020" t="inlineStr">
        <is>
          <t>UPPSALA LÄN</t>
        </is>
      </c>
      <c r="E1020" t="inlineStr">
        <is>
          <t>UPPSALA</t>
        </is>
      </c>
      <c r="F1020" t="inlineStr">
        <is>
          <t>Allmännings- och besparingsskogar</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23159-2023</t>
        </is>
      </c>
      <c r="B1021" s="1" t="n">
        <v>45075</v>
      </c>
      <c r="C1021" s="1" t="n">
        <v>45762</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23157-2023</t>
        </is>
      </c>
      <c r="B1022" s="1" t="n">
        <v>45075</v>
      </c>
      <c r="C1022" s="1" t="n">
        <v>45762</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23929-2023</t>
        </is>
      </c>
      <c r="B1023" s="1" t="n">
        <v>45078</v>
      </c>
      <c r="C1023" s="1" t="n">
        <v>45762</v>
      </c>
      <c r="D1023" t="inlineStr">
        <is>
          <t>UPPSALA LÄN</t>
        </is>
      </c>
      <c r="E1023" t="inlineStr">
        <is>
          <t>UPPSALA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24012-2023</t>
        </is>
      </c>
      <c r="B1024" s="1" t="n">
        <v>45078</v>
      </c>
      <c r="C1024" s="1" t="n">
        <v>45762</v>
      </c>
      <c r="D1024" t="inlineStr">
        <is>
          <t>UPPSALA LÄN</t>
        </is>
      </c>
      <c r="E1024" t="inlineStr">
        <is>
          <t>UPPSALA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24016-2023</t>
        </is>
      </c>
      <c r="B1025" s="1" t="n">
        <v>45078</v>
      </c>
      <c r="C1025" s="1" t="n">
        <v>45762</v>
      </c>
      <c r="D1025" t="inlineStr">
        <is>
          <t>UPPSALA LÄN</t>
        </is>
      </c>
      <c r="E1025" t="inlineStr">
        <is>
          <t>UPPSALA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24009-2023</t>
        </is>
      </c>
      <c r="B1026" s="1" t="n">
        <v>45078</v>
      </c>
      <c r="C1026" s="1" t="n">
        <v>45762</v>
      </c>
      <c r="D1026" t="inlineStr">
        <is>
          <t>UPPSALA LÄN</t>
        </is>
      </c>
      <c r="E1026" t="inlineStr">
        <is>
          <t>UPPSALA</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24174-2023</t>
        </is>
      </c>
      <c r="B1027" s="1" t="n">
        <v>45079</v>
      </c>
      <c r="C1027" s="1" t="n">
        <v>45762</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24670-2023</t>
        </is>
      </c>
      <c r="B1028" s="1" t="n">
        <v>45084</v>
      </c>
      <c r="C1028" s="1" t="n">
        <v>45762</v>
      </c>
      <c r="D1028" t="inlineStr">
        <is>
          <t>UPPSALA LÄN</t>
        </is>
      </c>
      <c r="E1028" t="inlineStr">
        <is>
          <t>UPPSALA</t>
        </is>
      </c>
      <c r="F1028" t="inlineStr">
        <is>
          <t>Holmen skog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25264-2023</t>
        </is>
      </c>
      <c r="B1029" s="1" t="n">
        <v>45086</v>
      </c>
      <c r="C1029" s="1" t="n">
        <v>45762</v>
      </c>
      <c r="D1029" t="inlineStr">
        <is>
          <t>UPPSALA LÄN</t>
        </is>
      </c>
      <c r="E1029" t="inlineStr">
        <is>
          <t>UPPSALA</t>
        </is>
      </c>
      <c r="F1029" t="inlineStr">
        <is>
          <t>Holmen skog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v>
      </c>
      <c r="C1030" s="1" t="n">
        <v>45762</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25380-2023</t>
        </is>
      </c>
      <c r="B1031" s="1" t="n">
        <v>45089</v>
      </c>
      <c r="C1031" s="1" t="n">
        <v>45762</v>
      </c>
      <c r="D1031" t="inlineStr">
        <is>
          <t>UPPSALA LÄN</t>
        </is>
      </c>
      <c r="E1031" t="inlineStr">
        <is>
          <t>UPPSALA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25381-2023</t>
        </is>
      </c>
      <c r="B1032" s="1" t="n">
        <v>45089</v>
      </c>
      <c r="C1032" s="1" t="n">
        <v>45762</v>
      </c>
      <c r="D1032" t="inlineStr">
        <is>
          <t>UPPSALA LÄN</t>
        </is>
      </c>
      <c r="E1032" t="inlineStr">
        <is>
          <t>UPPSALA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25446-2023</t>
        </is>
      </c>
      <c r="B1033" s="1" t="n">
        <v>45089</v>
      </c>
      <c r="C1033" s="1" t="n">
        <v>45762</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25462-2023</t>
        </is>
      </c>
      <c r="B1034" s="1" t="n">
        <v>45089</v>
      </c>
      <c r="C1034" s="1" t="n">
        <v>45762</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25939-2023</t>
        </is>
      </c>
      <c r="B1035" s="1" t="n">
        <v>45090</v>
      </c>
      <c r="C1035" s="1" t="n">
        <v>45762</v>
      </c>
      <c r="D1035" t="inlineStr">
        <is>
          <t>UPPSALA LÄN</t>
        </is>
      </c>
      <c r="E1035" t="inlineStr">
        <is>
          <t>UPPSALA</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26208-2023</t>
        </is>
      </c>
      <c r="B1036" s="1" t="n">
        <v>45091</v>
      </c>
      <c r="C1036" s="1" t="n">
        <v>45762</v>
      </c>
      <c r="D1036" t="inlineStr">
        <is>
          <t>UPPSALA LÄN</t>
        </is>
      </c>
      <c r="E1036" t="inlineStr">
        <is>
          <t>UPPSALA</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26298-2023</t>
        </is>
      </c>
      <c r="B1037" s="1" t="n">
        <v>45091</v>
      </c>
      <c r="C1037" s="1" t="n">
        <v>45762</v>
      </c>
      <c r="D1037" t="inlineStr">
        <is>
          <t>UPPSALA LÄN</t>
        </is>
      </c>
      <c r="E1037" t="inlineStr">
        <is>
          <t>UPPSALA</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26323-2023</t>
        </is>
      </c>
      <c r="B1038" s="1" t="n">
        <v>45091</v>
      </c>
      <c r="C1038" s="1" t="n">
        <v>45762</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26081-2023</t>
        </is>
      </c>
      <c r="B1039" s="1" t="n">
        <v>45091</v>
      </c>
      <c r="C1039" s="1" t="n">
        <v>45762</v>
      </c>
      <c r="D1039" t="inlineStr">
        <is>
          <t>UPPSALA LÄN</t>
        </is>
      </c>
      <c r="E1039" t="inlineStr">
        <is>
          <t>UPPSALA</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26143-2023</t>
        </is>
      </c>
      <c r="B1040" s="1" t="n">
        <v>45091</v>
      </c>
      <c r="C1040" s="1" t="n">
        <v>45762</v>
      </c>
      <c r="D1040" t="inlineStr">
        <is>
          <t>UPPSALA LÄN</t>
        </is>
      </c>
      <c r="E1040" t="inlineStr">
        <is>
          <t>UPPSALA</t>
        </is>
      </c>
      <c r="F1040" t="inlineStr">
        <is>
          <t>Holmen skog AB</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26134-2023</t>
        </is>
      </c>
      <c r="B1041" s="1" t="n">
        <v>45091</v>
      </c>
      <c r="C1041" s="1" t="n">
        <v>45762</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26759-2023</t>
        </is>
      </c>
      <c r="B1042" s="1" t="n">
        <v>45093</v>
      </c>
      <c r="C1042" s="1" t="n">
        <v>45762</v>
      </c>
      <c r="D1042" t="inlineStr">
        <is>
          <t>UPPSALA LÄN</t>
        </is>
      </c>
      <c r="E1042" t="inlineStr">
        <is>
          <t>UPPSALA</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26762-2023</t>
        </is>
      </c>
      <c r="B1043" s="1" t="n">
        <v>45093</v>
      </c>
      <c r="C1043" s="1" t="n">
        <v>45762</v>
      </c>
      <c r="D1043" t="inlineStr">
        <is>
          <t>UPPSALA LÄN</t>
        </is>
      </c>
      <c r="E1043" t="inlineStr">
        <is>
          <t>UPPSALA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27128-2023</t>
        </is>
      </c>
      <c r="B1044" s="1" t="n">
        <v>45096</v>
      </c>
      <c r="C1044" s="1" t="n">
        <v>45762</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27068-2023</t>
        </is>
      </c>
      <c r="B1045" s="1" t="n">
        <v>45096</v>
      </c>
      <c r="C1045" s="1" t="n">
        <v>45762</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27119-2023</t>
        </is>
      </c>
      <c r="B1046" s="1" t="n">
        <v>45096</v>
      </c>
      <c r="C1046" s="1" t="n">
        <v>45762</v>
      </c>
      <c r="D1046" t="inlineStr">
        <is>
          <t>UPPSALA LÄN</t>
        </is>
      </c>
      <c r="E1046" t="inlineStr">
        <is>
          <t>UPPSALA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27123-2023</t>
        </is>
      </c>
      <c r="B1047" s="1" t="n">
        <v>45096</v>
      </c>
      <c r="C1047" s="1" t="n">
        <v>45762</v>
      </c>
      <c r="D1047" t="inlineStr">
        <is>
          <t>UPPSALA LÄN</t>
        </is>
      </c>
      <c r="E1047" t="inlineStr">
        <is>
          <t>UPPSALA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27126-2023</t>
        </is>
      </c>
      <c r="B1048" s="1" t="n">
        <v>45096</v>
      </c>
      <c r="C1048" s="1" t="n">
        <v>45762</v>
      </c>
      <c r="D1048" t="inlineStr">
        <is>
          <t>UPPSALA LÄN</t>
        </is>
      </c>
      <c r="E1048" t="inlineStr">
        <is>
          <t>UPPSALA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27104-2023</t>
        </is>
      </c>
      <c r="B1049" s="1" t="n">
        <v>45096</v>
      </c>
      <c r="C1049" s="1" t="n">
        <v>45762</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27121-2023</t>
        </is>
      </c>
      <c r="B1050" s="1" t="n">
        <v>45096</v>
      </c>
      <c r="C1050" s="1" t="n">
        <v>45762</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27125-2023</t>
        </is>
      </c>
      <c r="B1051" s="1" t="n">
        <v>45096</v>
      </c>
      <c r="C1051" s="1" t="n">
        <v>45762</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27254-2023</t>
        </is>
      </c>
      <c r="B1052" s="1" t="n">
        <v>45096</v>
      </c>
      <c r="C1052" s="1" t="n">
        <v>45762</v>
      </c>
      <c r="D1052" t="inlineStr">
        <is>
          <t>UPPSALA LÄN</t>
        </is>
      </c>
      <c r="E1052" t="inlineStr">
        <is>
          <t>UPPSALA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27467-2023</t>
        </is>
      </c>
      <c r="B1053" s="1" t="n">
        <v>45097</v>
      </c>
      <c r="C1053" s="1" t="n">
        <v>45762</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27617-2023</t>
        </is>
      </c>
      <c r="B1054" s="1" t="n">
        <v>45097</v>
      </c>
      <c r="C1054" s="1" t="n">
        <v>45762</v>
      </c>
      <c r="D1054" t="inlineStr">
        <is>
          <t>UPPSALA LÄN</t>
        </is>
      </c>
      <c r="E1054" t="inlineStr">
        <is>
          <t>UPPSALA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27622-2023</t>
        </is>
      </c>
      <c r="B1055" s="1" t="n">
        <v>45097</v>
      </c>
      <c r="C1055" s="1" t="n">
        <v>45762</v>
      </c>
      <c r="D1055" t="inlineStr">
        <is>
          <t>UPPSALA LÄN</t>
        </is>
      </c>
      <c r="E1055" t="inlineStr">
        <is>
          <t>UPPSALA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27599-2023</t>
        </is>
      </c>
      <c r="B1056" s="1" t="n">
        <v>45097</v>
      </c>
      <c r="C1056" s="1" t="n">
        <v>45762</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27620-2023</t>
        </is>
      </c>
      <c r="B1057" s="1" t="n">
        <v>45097</v>
      </c>
      <c r="C1057" s="1" t="n">
        <v>45762</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27912-2023</t>
        </is>
      </c>
      <c r="B1058" s="1" t="n">
        <v>45098</v>
      </c>
      <c r="C1058" s="1" t="n">
        <v>45762</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27903-2023</t>
        </is>
      </c>
      <c r="B1059" s="1" t="n">
        <v>45098</v>
      </c>
      <c r="C1059" s="1" t="n">
        <v>45762</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27930-2023</t>
        </is>
      </c>
      <c r="B1060" s="1" t="n">
        <v>45098</v>
      </c>
      <c r="C1060" s="1" t="n">
        <v>45762</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28186-2023</t>
        </is>
      </c>
      <c r="B1061" s="1" t="n">
        <v>45099</v>
      </c>
      <c r="C1061" s="1" t="n">
        <v>45762</v>
      </c>
      <c r="D1061" t="inlineStr">
        <is>
          <t>UPPSALA LÄN</t>
        </is>
      </c>
      <c r="E1061" t="inlineStr">
        <is>
          <t>UPPSALA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28577-2023</t>
        </is>
      </c>
      <c r="B1062" s="1" t="n">
        <v>45103</v>
      </c>
      <c r="C1062" s="1" t="n">
        <v>45762</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28701-2023</t>
        </is>
      </c>
      <c r="B1063" s="1" t="n">
        <v>45103</v>
      </c>
      <c r="C1063" s="1" t="n">
        <v>45762</v>
      </c>
      <c r="D1063" t="inlineStr">
        <is>
          <t>UPPSALA LÄN</t>
        </is>
      </c>
      <c r="E1063" t="inlineStr">
        <is>
          <t>UPPSALA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29019-2023</t>
        </is>
      </c>
      <c r="B1064" s="1" t="n">
        <v>45104</v>
      </c>
      <c r="C1064" s="1" t="n">
        <v>45762</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31599-2023</t>
        </is>
      </c>
      <c r="B1065" s="1" t="n">
        <v>45105</v>
      </c>
      <c r="C1065" s="1" t="n">
        <v>45762</v>
      </c>
      <c r="D1065" t="inlineStr">
        <is>
          <t>UPPSALA LÄN</t>
        </is>
      </c>
      <c r="E1065" t="inlineStr">
        <is>
          <t>UPPSALA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29282-2023</t>
        </is>
      </c>
      <c r="B1066" s="1" t="n">
        <v>45105</v>
      </c>
      <c r="C1066" s="1" t="n">
        <v>45762</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31630-2023</t>
        </is>
      </c>
      <c r="B1067" s="1" t="n">
        <v>45105</v>
      </c>
      <c r="C1067" s="1" t="n">
        <v>45762</v>
      </c>
      <c r="D1067" t="inlineStr">
        <is>
          <t>UPPSALA LÄN</t>
        </is>
      </c>
      <c r="E1067" t="inlineStr">
        <is>
          <t>UPPSALA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29579-2023</t>
        </is>
      </c>
      <c r="B1068" s="1" t="n">
        <v>45106</v>
      </c>
      <c r="C1068" s="1" t="n">
        <v>45762</v>
      </c>
      <c r="D1068" t="inlineStr">
        <is>
          <t>UPPSALA LÄN</t>
        </is>
      </c>
      <c r="E1068" t="inlineStr">
        <is>
          <t>UPPSALA</t>
        </is>
      </c>
      <c r="F1068" t="inlineStr">
        <is>
          <t>Kyrkan</t>
        </is>
      </c>
      <c r="G1068" t="n">
        <v>2.7</v>
      </c>
      <c r="H1068" t="n">
        <v>0</v>
      </c>
      <c r="I1068" t="n">
        <v>0</v>
      </c>
      <c r="J1068" t="n">
        <v>0</v>
      </c>
      <c r="K1068" t="n">
        <v>0</v>
      </c>
      <c r="L1068" t="n">
        <v>0</v>
      </c>
      <c r="M1068" t="n">
        <v>0</v>
      </c>
      <c r="N1068" t="n">
        <v>0</v>
      </c>
      <c r="O1068" t="n">
        <v>0</v>
      </c>
      <c r="P1068" t="n">
        <v>0</v>
      </c>
      <c r="Q1068" t="n">
        <v>0</v>
      </c>
      <c r="R1068" s="2" t="inlineStr"/>
      <c r="U1068">
        <f>HYPERLINK("https://klasma.github.io/Logging_0380/knärot/A 29579-2023 karta knärot.png", "A 29579-2023")</f>
        <v/>
      </c>
      <c r="V1068">
        <f>HYPERLINK("https://klasma.github.io/Logging_0380/klagomål/A 29579-2023 FSC-klagomål.docx", "A 29579-2023")</f>
        <v/>
      </c>
      <c r="W1068">
        <f>HYPERLINK("https://klasma.github.io/Logging_0380/klagomålsmail/A 29579-2023 FSC-klagomål mail.docx", "A 29579-2023")</f>
        <v/>
      </c>
      <c r="X1068">
        <f>HYPERLINK("https://klasma.github.io/Logging_0380/tillsyn/A 29579-2023 tillsynsbegäran.docx", "A 29579-2023")</f>
        <v/>
      </c>
      <c r="Y1068">
        <f>HYPERLINK("https://klasma.github.io/Logging_0380/tillsynsmail/A 29579-2023 tillsynsbegäran mail.docx", "A 29579-2023")</f>
        <v/>
      </c>
    </row>
    <row r="1069" ht="15" customHeight="1">
      <c r="A1069" t="inlineStr">
        <is>
          <t>A 29815-2023</t>
        </is>
      </c>
      <c r="B1069" s="1" t="n">
        <v>45107</v>
      </c>
      <c r="C1069" s="1" t="n">
        <v>45762</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29901-2023</t>
        </is>
      </c>
      <c r="B1070" s="1" t="n">
        <v>45107</v>
      </c>
      <c r="C1070" s="1" t="n">
        <v>45762</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29868-2023</t>
        </is>
      </c>
      <c r="B1071" s="1" t="n">
        <v>45107</v>
      </c>
      <c r="C1071" s="1" t="n">
        <v>45762</v>
      </c>
      <c r="D1071" t="inlineStr">
        <is>
          <t>UPPSALA LÄN</t>
        </is>
      </c>
      <c r="E1071" t="inlineStr">
        <is>
          <t>UPPSALA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29799-2023</t>
        </is>
      </c>
      <c r="B1072" s="1" t="n">
        <v>45107</v>
      </c>
      <c r="C1072" s="1" t="n">
        <v>45762</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29808-2023</t>
        </is>
      </c>
      <c r="B1073" s="1" t="n">
        <v>45107</v>
      </c>
      <c r="C1073" s="1" t="n">
        <v>45762</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29926-2023</t>
        </is>
      </c>
      <c r="B1074" s="1" t="n">
        <v>45107</v>
      </c>
      <c r="C1074" s="1" t="n">
        <v>45762</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29927-2023</t>
        </is>
      </c>
      <c r="B1075" s="1" t="n">
        <v>45107</v>
      </c>
      <c r="C1075" s="1" t="n">
        <v>45762</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32428-2023</t>
        </is>
      </c>
      <c r="B1076" s="1" t="n">
        <v>45110</v>
      </c>
      <c r="C1076" s="1" t="n">
        <v>45762</v>
      </c>
      <c r="D1076" t="inlineStr">
        <is>
          <t>UPPSALA LÄN</t>
        </is>
      </c>
      <c r="E1076" t="inlineStr">
        <is>
          <t>UPPSALA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30629-2023</t>
        </is>
      </c>
      <c r="B1077" s="1" t="n">
        <v>45112</v>
      </c>
      <c r="C1077" s="1" t="n">
        <v>45762</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32689-2023</t>
        </is>
      </c>
      <c r="B1078" s="1" t="n">
        <v>45112</v>
      </c>
      <c r="C1078" s="1" t="n">
        <v>45762</v>
      </c>
      <c r="D1078" t="inlineStr">
        <is>
          <t>UPPSALA LÄN</t>
        </is>
      </c>
      <c r="E1078" t="inlineStr">
        <is>
          <t>UPPSALA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31157-2023</t>
        </is>
      </c>
      <c r="B1079" s="1" t="n">
        <v>45113</v>
      </c>
      <c r="C1079" s="1" t="n">
        <v>45762</v>
      </c>
      <c r="D1079" t="inlineStr">
        <is>
          <t>UPPSALA LÄN</t>
        </is>
      </c>
      <c r="E1079" t="inlineStr">
        <is>
          <t>UPPSALA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31161-2023</t>
        </is>
      </c>
      <c r="B1080" s="1" t="n">
        <v>45113</v>
      </c>
      <c r="C1080" s="1" t="n">
        <v>45762</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33689-2023</t>
        </is>
      </c>
      <c r="B1081" s="1" t="n">
        <v>45119</v>
      </c>
      <c r="C1081" s="1" t="n">
        <v>45762</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32413-2023</t>
        </is>
      </c>
      <c r="B1082" s="1" t="n">
        <v>45120</v>
      </c>
      <c r="C1082" s="1" t="n">
        <v>45762</v>
      </c>
      <c r="D1082" t="inlineStr">
        <is>
          <t>UPPSALA LÄN</t>
        </is>
      </c>
      <c r="E1082" t="inlineStr">
        <is>
          <t>UPPSALA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32640-2023</t>
        </is>
      </c>
      <c r="B1083" s="1" t="n">
        <v>45121</v>
      </c>
      <c r="C1083" s="1" t="n">
        <v>45762</v>
      </c>
      <c r="D1083" t="inlineStr">
        <is>
          <t>UPPSALA LÄN</t>
        </is>
      </c>
      <c r="E1083" t="inlineStr">
        <is>
          <t>UPPSALA</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32674-2023</t>
        </is>
      </c>
      <c r="B1084" s="1" t="n">
        <v>45121</v>
      </c>
      <c r="C1084" s="1" t="n">
        <v>45762</v>
      </c>
      <c r="D1084" t="inlineStr">
        <is>
          <t>UPPSALA LÄN</t>
        </is>
      </c>
      <c r="E1084" t="inlineStr">
        <is>
          <t>UPPSALA</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32688-2023</t>
        </is>
      </c>
      <c r="B1085" s="1" t="n">
        <v>45121</v>
      </c>
      <c r="C1085" s="1" t="n">
        <v>45762</v>
      </c>
      <c r="D1085" t="inlineStr">
        <is>
          <t>UPPSALA LÄN</t>
        </is>
      </c>
      <c r="E1085" t="inlineStr">
        <is>
          <t>UPPSALA</t>
        </is>
      </c>
      <c r="F1085" t="inlineStr">
        <is>
          <t>Holmen skog AB</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33191-2023</t>
        </is>
      </c>
      <c r="B1086" s="1" t="n">
        <v>45127</v>
      </c>
      <c r="C1086" s="1" t="n">
        <v>45762</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33189-2023</t>
        </is>
      </c>
      <c r="B1087" s="1" t="n">
        <v>45127</v>
      </c>
      <c r="C1087" s="1" t="n">
        <v>45762</v>
      </c>
      <c r="D1087" t="inlineStr">
        <is>
          <t>UPPSALA LÄN</t>
        </is>
      </c>
      <c r="E1087" t="inlineStr">
        <is>
          <t>UPPSALA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34282-2023</t>
        </is>
      </c>
      <c r="B1088" s="1" t="n">
        <v>45128</v>
      </c>
      <c r="C1088" s="1" t="n">
        <v>45762</v>
      </c>
      <c r="D1088" t="inlineStr">
        <is>
          <t>UPPSALA LÄN</t>
        </is>
      </c>
      <c r="E1088" t="inlineStr">
        <is>
          <t>UPPSALA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33562-2023</t>
        </is>
      </c>
      <c r="B1089" s="1" t="n">
        <v>45131</v>
      </c>
      <c r="C1089" s="1" t="n">
        <v>45762</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33700-2023</t>
        </is>
      </c>
      <c r="B1090" s="1" t="n">
        <v>45132</v>
      </c>
      <c r="C1090" s="1" t="n">
        <v>45762</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34509-2023</t>
        </is>
      </c>
      <c r="B1091" s="1" t="n">
        <v>45133</v>
      </c>
      <c r="C1091" s="1" t="n">
        <v>45762</v>
      </c>
      <c r="D1091" t="inlineStr">
        <is>
          <t>UPPSALA LÄN</t>
        </is>
      </c>
      <c r="E1091" t="inlineStr">
        <is>
          <t>UPPSALA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33941-2023</t>
        </is>
      </c>
      <c r="B1092" s="1" t="n">
        <v>45134</v>
      </c>
      <c r="C1092" s="1" t="n">
        <v>45762</v>
      </c>
      <c r="D1092" t="inlineStr">
        <is>
          <t>UPPSALA LÄN</t>
        </is>
      </c>
      <c r="E1092" t="inlineStr">
        <is>
          <t>UPPSALA</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33982-2023</t>
        </is>
      </c>
      <c r="B1093" s="1" t="n">
        <v>45134</v>
      </c>
      <c r="C1093" s="1" t="n">
        <v>45762</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35142-2023</t>
        </is>
      </c>
      <c r="B1094" s="1" t="n">
        <v>45145</v>
      </c>
      <c r="C1094" s="1" t="n">
        <v>45762</v>
      </c>
      <c r="D1094" t="inlineStr">
        <is>
          <t>UPPSALA LÄN</t>
        </is>
      </c>
      <c r="E1094" t="inlineStr">
        <is>
          <t>UPPSALA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35471-2023</t>
        </is>
      </c>
      <c r="B1095" s="1" t="n">
        <v>45146</v>
      </c>
      <c r="C1095" s="1" t="n">
        <v>45762</v>
      </c>
      <c r="D1095" t="inlineStr">
        <is>
          <t>UPPSALA LÄN</t>
        </is>
      </c>
      <c r="E1095" t="inlineStr">
        <is>
          <t>UPPSALA</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35472-2023</t>
        </is>
      </c>
      <c r="B1096" s="1" t="n">
        <v>45146</v>
      </c>
      <c r="C1096" s="1" t="n">
        <v>45762</v>
      </c>
      <c r="D1096" t="inlineStr">
        <is>
          <t>UPPSALA LÄN</t>
        </is>
      </c>
      <c r="E1096" t="inlineStr">
        <is>
          <t>UPPSALA</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35473-2023</t>
        </is>
      </c>
      <c r="B1097" s="1" t="n">
        <v>45146</v>
      </c>
      <c r="C1097" s="1" t="n">
        <v>45762</v>
      </c>
      <c r="D1097" t="inlineStr">
        <is>
          <t>UPPSALA LÄN</t>
        </is>
      </c>
      <c r="E1097" t="inlineStr">
        <is>
          <t>UPPSALA</t>
        </is>
      </c>
      <c r="F1097" t="inlineStr">
        <is>
          <t>Sveaskog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35549-2023</t>
        </is>
      </c>
      <c r="B1098" s="1" t="n">
        <v>45147</v>
      </c>
      <c r="C1098" s="1" t="n">
        <v>45762</v>
      </c>
      <c r="D1098" t="inlineStr">
        <is>
          <t>UPPSALA LÄN</t>
        </is>
      </c>
      <c r="E1098" t="inlineStr">
        <is>
          <t>UPPSALA</t>
        </is>
      </c>
      <c r="F1098" t="inlineStr">
        <is>
          <t>Allmännings- och besparingsskogar</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35902-2023</t>
        </is>
      </c>
      <c r="B1099" s="1" t="n">
        <v>45148</v>
      </c>
      <c r="C1099" s="1" t="n">
        <v>45762</v>
      </c>
      <c r="D1099" t="inlineStr">
        <is>
          <t>UPPSALA LÄN</t>
        </is>
      </c>
      <c r="E1099" t="inlineStr">
        <is>
          <t>UPPSALA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35906-2023</t>
        </is>
      </c>
      <c r="B1100" s="1" t="n">
        <v>45148</v>
      </c>
      <c r="C1100" s="1" t="n">
        <v>45762</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35914-2023</t>
        </is>
      </c>
      <c r="B1101" s="1" t="n">
        <v>45148</v>
      </c>
      <c r="C1101" s="1" t="n">
        <v>45762</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35922-2023</t>
        </is>
      </c>
      <c r="B1102" s="1" t="n">
        <v>45148</v>
      </c>
      <c r="C1102" s="1" t="n">
        <v>45762</v>
      </c>
      <c r="D1102" t="inlineStr">
        <is>
          <t>UPPSALA LÄN</t>
        </is>
      </c>
      <c r="E1102" t="inlineStr">
        <is>
          <t>UPPSALA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35916-2023</t>
        </is>
      </c>
      <c r="B1103" s="1" t="n">
        <v>45148</v>
      </c>
      <c r="C1103" s="1" t="n">
        <v>45762</v>
      </c>
      <c r="D1103" t="inlineStr">
        <is>
          <t>UPPSALA LÄN</t>
        </is>
      </c>
      <c r="E1103" t="inlineStr">
        <is>
          <t>UPPSALA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36028-2023</t>
        </is>
      </c>
      <c r="B1104" s="1" t="n">
        <v>45149</v>
      </c>
      <c r="C1104" s="1" t="n">
        <v>45762</v>
      </c>
      <c r="D1104" t="inlineStr">
        <is>
          <t>UPPSALA LÄN</t>
        </is>
      </c>
      <c r="E1104" t="inlineStr">
        <is>
          <t>UPPSALA</t>
        </is>
      </c>
      <c r="F1104" t="inlineStr">
        <is>
          <t>Allmännings- och besparingsskogar</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36123-2023</t>
        </is>
      </c>
      <c r="B1105" s="1" t="n">
        <v>45149</v>
      </c>
      <c r="C1105" s="1" t="n">
        <v>45762</v>
      </c>
      <c r="D1105" t="inlineStr">
        <is>
          <t>UPPSALA LÄN</t>
        </is>
      </c>
      <c r="E1105" t="inlineStr">
        <is>
          <t>UPPSALA</t>
        </is>
      </c>
      <c r="F1105" t="inlineStr">
        <is>
          <t>Allmännings- och besparingsskogar</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36159-2023</t>
        </is>
      </c>
      <c r="B1106" s="1" t="n">
        <v>45149</v>
      </c>
      <c r="C1106" s="1" t="n">
        <v>45762</v>
      </c>
      <c r="D1106" t="inlineStr">
        <is>
          <t>UPPSALA LÄN</t>
        </is>
      </c>
      <c r="E1106" t="inlineStr">
        <is>
          <t>UPPSALA</t>
        </is>
      </c>
      <c r="F1106" t="inlineStr">
        <is>
          <t>Övriga statliga verk och myndigheter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36388-2023</t>
        </is>
      </c>
      <c r="B1107" s="1" t="n">
        <v>45152</v>
      </c>
      <c r="C1107" s="1" t="n">
        <v>45762</v>
      </c>
      <c r="D1107" t="inlineStr">
        <is>
          <t>UPPSALA LÄN</t>
        </is>
      </c>
      <c r="E1107" t="inlineStr">
        <is>
          <t>UPPSALA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36392-2023</t>
        </is>
      </c>
      <c r="B1108" s="1" t="n">
        <v>45152</v>
      </c>
      <c r="C1108" s="1" t="n">
        <v>45762</v>
      </c>
      <c r="D1108" t="inlineStr">
        <is>
          <t>UPPSALA LÄN</t>
        </is>
      </c>
      <c r="E1108" t="inlineStr">
        <is>
          <t>UPPSALA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36479-2023</t>
        </is>
      </c>
      <c r="B1109" s="1" t="n">
        <v>45152</v>
      </c>
      <c r="C1109" s="1" t="n">
        <v>45762</v>
      </c>
      <c r="D1109" t="inlineStr">
        <is>
          <t>UPPSALA LÄN</t>
        </is>
      </c>
      <c r="E1109" t="inlineStr">
        <is>
          <t>UPPSALA</t>
        </is>
      </c>
      <c r="F1109" t="inlineStr">
        <is>
          <t>Allmännings- och besparingsskogar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36478-2023</t>
        </is>
      </c>
      <c r="B1110" s="1" t="n">
        <v>45152</v>
      </c>
      <c r="C1110" s="1" t="n">
        <v>45762</v>
      </c>
      <c r="D1110" t="inlineStr">
        <is>
          <t>UPPSALA LÄN</t>
        </is>
      </c>
      <c r="E1110" t="inlineStr">
        <is>
          <t>UPPSALA</t>
        </is>
      </c>
      <c r="F1110" t="inlineStr">
        <is>
          <t>Allmännings- och besparingsskogar</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36438-2023</t>
        </is>
      </c>
      <c r="B1111" s="1" t="n">
        <v>45152</v>
      </c>
      <c r="C1111" s="1" t="n">
        <v>45762</v>
      </c>
      <c r="D1111" t="inlineStr">
        <is>
          <t>UPPSALA LÄN</t>
        </is>
      </c>
      <c r="E1111" t="inlineStr">
        <is>
          <t>UPPSALA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36738-2023</t>
        </is>
      </c>
      <c r="B1112" s="1" t="n">
        <v>45153</v>
      </c>
      <c r="C1112" s="1" t="n">
        <v>45762</v>
      </c>
      <c r="D1112" t="inlineStr">
        <is>
          <t>UPPSALA LÄN</t>
        </is>
      </c>
      <c r="E1112" t="inlineStr">
        <is>
          <t>UPPSALA</t>
        </is>
      </c>
      <c r="F1112" t="inlineStr">
        <is>
          <t>Allmännings- och besparingsskogar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36739-2023</t>
        </is>
      </c>
      <c r="B1113" s="1" t="n">
        <v>45153</v>
      </c>
      <c r="C1113" s="1" t="n">
        <v>45762</v>
      </c>
      <c r="D1113" t="inlineStr">
        <is>
          <t>UPPSALA LÄN</t>
        </is>
      </c>
      <c r="E1113" t="inlineStr">
        <is>
          <t>UPPSALA</t>
        </is>
      </c>
      <c r="F1113" t="inlineStr">
        <is>
          <t>Allmännings- och besparingsskogar</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36781-2023</t>
        </is>
      </c>
      <c r="B1114" s="1" t="n">
        <v>45154</v>
      </c>
      <c r="C1114" s="1" t="n">
        <v>45762</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36782-2023</t>
        </is>
      </c>
      <c r="B1115" s="1" t="n">
        <v>45154</v>
      </c>
      <c r="C1115" s="1" t="n">
        <v>45762</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36860-2023</t>
        </is>
      </c>
      <c r="B1116" s="1" t="n">
        <v>45154</v>
      </c>
      <c r="C1116" s="1" t="n">
        <v>45762</v>
      </c>
      <c r="D1116" t="inlineStr">
        <is>
          <t>UPPSALA LÄN</t>
        </is>
      </c>
      <c r="E1116" t="inlineStr">
        <is>
          <t>UPPSALA</t>
        </is>
      </c>
      <c r="F1116" t="inlineStr">
        <is>
          <t>Allmännings- och besparingsskogar</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37626-2023</t>
        </is>
      </c>
      <c r="B1117" s="1" t="n">
        <v>45159</v>
      </c>
      <c r="C1117" s="1" t="n">
        <v>45762</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37618-2023</t>
        </is>
      </c>
      <c r="B1118" s="1" t="n">
        <v>45159</v>
      </c>
      <c r="C1118" s="1" t="n">
        <v>45762</v>
      </c>
      <c r="D1118" t="inlineStr">
        <is>
          <t>UPPSALA LÄN</t>
        </is>
      </c>
      <c r="E1118" t="inlineStr">
        <is>
          <t>UPPSALA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38016-2023</t>
        </is>
      </c>
      <c r="B1119" s="1" t="n">
        <v>45160</v>
      </c>
      <c r="C1119" s="1" t="n">
        <v>45762</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38190-2023</t>
        </is>
      </c>
      <c r="B1120" s="1" t="n">
        <v>45161</v>
      </c>
      <c r="C1120" s="1" t="n">
        <v>45762</v>
      </c>
      <c r="D1120" t="inlineStr">
        <is>
          <t>UPPSALA LÄN</t>
        </is>
      </c>
      <c r="E1120" t="inlineStr">
        <is>
          <t>UPPSALA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38493-2023</t>
        </is>
      </c>
      <c r="B1121" s="1" t="n">
        <v>45162</v>
      </c>
      <c r="C1121" s="1" t="n">
        <v>45762</v>
      </c>
      <c r="D1121" t="inlineStr">
        <is>
          <t>UPPSALA LÄN</t>
        </is>
      </c>
      <c r="E1121" t="inlineStr">
        <is>
          <t>UPPSALA</t>
        </is>
      </c>
      <c r="F1121" t="inlineStr">
        <is>
          <t>Allmännings- och besparingsskogar</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38644-2023</t>
        </is>
      </c>
      <c r="B1122" s="1" t="n">
        <v>45162</v>
      </c>
      <c r="C1122" s="1" t="n">
        <v>45762</v>
      </c>
      <c r="D1122" t="inlineStr">
        <is>
          <t>UPPSALA LÄN</t>
        </is>
      </c>
      <c r="E1122" t="inlineStr">
        <is>
          <t>UPPSALA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38645-2023</t>
        </is>
      </c>
      <c r="B1123" s="1" t="n">
        <v>45162</v>
      </c>
      <c r="C1123" s="1" t="n">
        <v>45762</v>
      </c>
      <c r="D1123" t="inlineStr">
        <is>
          <t>UPPSALA LÄN</t>
        </is>
      </c>
      <c r="E1123" t="inlineStr">
        <is>
          <t>UPPSALA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38664-2023</t>
        </is>
      </c>
      <c r="B1124" s="1" t="n">
        <v>45162</v>
      </c>
      <c r="C1124" s="1" t="n">
        <v>45762</v>
      </c>
      <c r="D1124" t="inlineStr">
        <is>
          <t>UPPSALA LÄN</t>
        </is>
      </c>
      <c r="E1124" t="inlineStr">
        <is>
          <t>UPPSALA</t>
        </is>
      </c>
      <c r="F1124" t="inlineStr">
        <is>
          <t>Bergvik skog öst AB</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38663-2023</t>
        </is>
      </c>
      <c r="B1125" s="1" t="n">
        <v>45162</v>
      </c>
      <c r="C1125" s="1" t="n">
        <v>45762</v>
      </c>
      <c r="D1125" t="inlineStr">
        <is>
          <t>UPPSALA LÄN</t>
        </is>
      </c>
      <c r="E1125" t="inlineStr">
        <is>
          <t>UPPSALA</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38665-2023</t>
        </is>
      </c>
      <c r="B1126" s="1" t="n">
        <v>45162</v>
      </c>
      <c r="C1126" s="1" t="n">
        <v>45762</v>
      </c>
      <c r="D1126" t="inlineStr">
        <is>
          <t>UPPSALA LÄN</t>
        </is>
      </c>
      <c r="E1126" t="inlineStr">
        <is>
          <t>UPPSALA</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38661-2023</t>
        </is>
      </c>
      <c r="B1127" s="1" t="n">
        <v>45162</v>
      </c>
      <c r="C1127" s="1" t="n">
        <v>45762</v>
      </c>
      <c r="D1127" t="inlineStr">
        <is>
          <t>UPPSALA LÄN</t>
        </is>
      </c>
      <c r="E1127" t="inlineStr">
        <is>
          <t>UPPSALA</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38643-2023</t>
        </is>
      </c>
      <c r="B1128" s="1" t="n">
        <v>45162</v>
      </c>
      <c r="C1128" s="1" t="n">
        <v>45762</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38934-2023</t>
        </is>
      </c>
      <c r="B1129" s="1" t="n">
        <v>45163</v>
      </c>
      <c r="C1129" s="1" t="n">
        <v>45762</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39108-2023</t>
        </is>
      </c>
      <c r="B1130" s="1" t="n">
        <v>45164</v>
      </c>
      <c r="C1130" s="1" t="n">
        <v>45762</v>
      </c>
      <c r="D1130" t="inlineStr">
        <is>
          <t>UPPSALA LÄN</t>
        </is>
      </c>
      <c r="E1130" t="inlineStr">
        <is>
          <t>UPPSALA</t>
        </is>
      </c>
      <c r="F1130" t="inlineStr">
        <is>
          <t>Bergvik skog öst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39107-2023</t>
        </is>
      </c>
      <c r="B1131" s="1" t="n">
        <v>45164</v>
      </c>
      <c r="C1131" s="1" t="n">
        <v>45762</v>
      </c>
      <c r="D1131" t="inlineStr">
        <is>
          <t>UPPSALA LÄN</t>
        </is>
      </c>
      <c r="E1131" t="inlineStr">
        <is>
          <t>UPPSALA</t>
        </is>
      </c>
      <c r="F1131" t="inlineStr">
        <is>
          <t>Bergvik skog öst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39548-2023</t>
        </is>
      </c>
      <c r="B1132" s="1" t="n">
        <v>45167</v>
      </c>
      <c r="C1132" s="1" t="n">
        <v>45762</v>
      </c>
      <c r="D1132" t="inlineStr">
        <is>
          <t>UPPSALA LÄN</t>
        </is>
      </c>
      <c r="E1132" t="inlineStr">
        <is>
          <t>UPPSALA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39592-2023</t>
        </is>
      </c>
      <c r="B1133" s="1" t="n">
        <v>45167</v>
      </c>
      <c r="C1133" s="1" t="n">
        <v>45762</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39739-2023</t>
        </is>
      </c>
      <c r="B1134" s="1" t="n">
        <v>45167</v>
      </c>
      <c r="C1134" s="1" t="n">
        <v>45762</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39926-2023</t>
        </is>
      </c>
      <c r="B1135" s="1" t="n">
        <v>45168</v>
      </c>
      <c r="C1135" s="1" t="n">
        <v>45762</v>
      </c>
      <c r="D1135" t="inlineStr">
        <is>
          <t>UPPSALA LÄN</t>
        </is>
      </c>
      <c r="E1135" t="inlineStr">
        <is>
          <t>UPPSALA</t>
        </is>
      </c>
      <c r="F1135" t="inlineStr">
        <is>
          <t>Holmen skog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39918-2023</t>
        </is>
      </c>
      <c r="B1136" s="1" t="n">
        <v>45168</v>
      </c>
      <c r="C1136" s="1" t="n">
        <v>45762</v>
      </c>
      <c r="D1136" t="inlineStr">
        <is>
          <t>UPPSALA LÄN</t>
        </is>
      </c>
      <c r="E1136" t="inlineStr">
        <is>
          <t>UPPSALA</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40369-2023</t>
        </is>
      </c>
      <c r="B1137" s="1" t="n">
        <v>45169</v>
      </c>
      <c r="C1137" s="1" t="n">
        <v>45762</v>
      </c>
      <c r="D1137" t="inlineStr">
        <is>
          <t>UPPSALA LÄN</t>
        </is>
      </c>
      <c r="E1137" t="inlineStr">
        <is>
          <t>UPPSALA</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40312-2023</t>
        </is>
      </c>
      <c r="B1138" s="1" t="n">
        <v>45169</v>
      </c>
      <c r="C1138" s="1" t="n">
        <v>45762</v>
      </c>
      <c r="D1138" t="inlineStr">
        <is>
          <t>UPPSALA LÄN</t>
        </is>
      </c>
      <c r="E1138" t="inlineStr">
        <is>
          <t>UPPSALA</t>
        </is>
      </c>
      <c r="F1138" t="inlineStr">
        <is>
          <t>Kommuner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40124-2023</t>
        </is>
      </c>
      <c r="B1139" s="1" t="n">
        <v>45169</v>
      </c>
      <c r="C1139" s="1" t="n">
        <v>45762</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40325-2023</t>
        </is>
      </c>
      <c r="B1140" s="1" t="n">
        <v>45169</v>
      </c>
      <c r="C1140" s="1" t="n">
        <v>45762</v>
      </c>
      <c r="D1140" t="inlineStr">
        <is>
          <t>UPPSALA LÄN</t>
        </is>
      </c>
      <c r="E1140" t="inlineStr">
        <is>
          <t>UPPSALA</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40872-2023</t>
        </is>
      </c>
      <c r="B1141" s="1" t="n">
        <v>45173</v>
      </c>
      <c r="C1141" s="1" t="n">
        <v>45762</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41002-2023</t>
        </is>
      </c>
      <c r="B1142" s="1" t="n">
        <v>45173</v>
      </c>
      <c r="C1142" s="1" t="n">
        <v>45762</v>
      </c>
      <c r="D1142" t="inlineStr">
        <is>
          <t>UPPSALA LÄN</t>
        </is>
      </c>
      <c r="E1142" t="inlineStr">
        <is>
          <t>UPPSALA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41349-2023</t>
        </is>
      </c>
      <c r="B1143" s="1" t="n">
        <v>45174</v>
      </c>
      <c r="C1143" s="1" t="n">
        <v>45762</v>
      </c>
      <c r="D1143" t="inlineStr">
        <is>
          <t>UPPSALA LÄN</t>
        </is>
      </c>
      <c r="E1143" t="inlineStr">
        <is>
          <t>UPPSALA</t>
        </is>
      </c>
      <c r="F1143" t="inlineStr">
        <is>
          <t>Allmännings- och besparingsskogar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41346-2023</t>
        </is>
      </c>
      <c r="B1144" s="1" t="n">
        <v>45174</v>
      </c>
      <c r="C1144" s="1" t="n">
        <v>45762</v>
      </c>
      <c r="D1144" t="inlineStr">
        <is>
          <t>UPPSALA LÄN</t>
        </is>
      </c>
      <c r="E1144" t="inlineStr">
        <is>
          <t>UPPSALA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41506-2023</t>
        </is>
      </c>
      <c r="B1145" s="1" t="n">
        <v>45175</v>
      </c>
      <c r="C1145" s="1" t="n">
        <v>45762</v>
      </c>
      <c r="D1145" t="inlineStr">
        <is>
          <t>UPPSALA LÄN</t>
        </is>
      </c>
      <c r="E1145" t="inlineStr">
        <is>
          <t>UPPSALA</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41541-2023</t>
        </is>
      </c>
      <c r="B1146" s="1" t="n">
        <v>45175</v>
      </c>
      <c r="C1146" s="1" t="n">
        <v>45762</v>
      </c>
      <c r="D1146" t="inlineStr">
        <is>
          <t>UPPSALA LÄN</t>
        </is>
      </c>
      <c r="E1146" t="inlineStr">
        <is>
          <t>UPPSALA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41545-2023</t>
        </is>
      </c>
      <c r="B1147" s="1" t="n">
        <v>45175</v>
      </c>
      <c r="C1147" s="1" t="n">
        <v>45762</v>
      </c>
      <c r="D1147" t="inlineStr">
        <is>
          <t>UPPSALA LÄN</t>
        </is>
      </c>
      <c r="E1147" t="inlineStr">
        <is>
          <t>UPPSALA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41422-2023</t>
        </is>
      </c>
      <c r="B1148" s="1" t="n">
        <v>45175</v>
      </c>
      <c r="C1148" s="1" t="n">
        <v>45762</v>
      </c>
      <c r="D1148" t="inlineStr">
        <is>
          <t>UPPSALA LÄN</t>
        </is>
      </c>
      <c r="E1148" t="inlineStr">
        <is>
          <t>UPPSALA</t>
        </is>
      </c>
      <c r="F1148" t="inlineStr">
        <is>
          <t>Kyrkan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41538-2023</t>
        </is>
      </c>
      <c r="B1149" s="1" t="n">
        <v>45175</v>
      </c>
      <c r="C1149" s="1" t="n">
        <v>45762</v>
      </c>
      <c r="D1149" t="inlineStr">
        <is>
          <t>UPPSALA LÄN</t>
        </is>
      </c>
      <c r="E1149" t="inlineStr">
        <is>
          <t>UPPSALA</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42283-2023</t>
        </is>
      </c>
      <c r="B1150" s="1" t="n">
        <v>45175</v>
      </c>
      <c r="C1150" s="1" t="n">
        <v>45762</v>
      </c>
      <c r="D1150" t="inlineStr">
        <is>
          <t>UPPSALA LÄN</t>
        </is>
      </c>
      <c r="E1150" t="inlineStr">
        <is>
          <t>UPPSALA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41669-2023</t>
        </is>
      </c>
      <c r="B1151" s="1" t="n">
        <v>45176</v>
      </c>
      <c r="C1151" s="1" t="n">
        <v>45762</v>
      </c>
      <c r="D1151" t="inlineStr">
        <is>
          <t>UPPSALA LÄN</t>
        </is>
      </c>
      <c r="E1151" t="inlineStr">
        <is>
          <t>UPPSALA</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41802-2023</t>
        </is>
      </c>
      <c r="B1152" s="1" t="n">
        <v>45176</v>
      </c>
      <c r="C1152" s="1" t="n">
        <v>45762</v>
      </c>
      <c r="D1152" t="inlineStr">
        <is>
          <t>UPPSALA LÄN</t>
        </is>
      </c>
      <c r="E1152" t="inlineStr">
        <is>
          <t>UPPSALA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41816-2023</t>
        </is>
      </c>
      <c r="B1153" s="1" t="n">
        <v>45176</v>
      </c>
      <c r="C1153" s="1" t="n">
        <v>45762</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41950-2023</t>
        </is>
      </c>
      <c r="B1154" s="1" t="n">
        <v>45177</v>
      </c>
      <c r="C1154" s="1" t="n">
        <v>45762</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42134-2023</t>
        </is>
      </c>
      <c r="B1155" s="1" t="n">
        <v>45177</v>
      </c>
      <c r="C1155" s="1" t="n">
        <v>45762</v>
      </c>
      <c r="D1155" t="inlineStr">
        <is>
          <t>UPPSALA LÄN</t>
        </is>
      </c>
      <c r="E1155" t="inlineStr">
        <is>
          <t>UPPSALA</t>
        </is>
      </c>
      <c r="F1155" t="inlineStr">
        <is>
          <t>Allmännings- och besparingsskogar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42063-2023</t>
        </is>
      </c>
      <c r="B1156" s="1" t="n">
        <v>45177</v>
      </c>
      <c r="C1156" s="1" t="n">
        <v>45762</v>
      </c>
      <c r="D1156" t="inlineStr">
        <is>
          <t>UPPSALA LÄN</t>
        </is>
      </c>
      <c r="E1156" t="inlineStr">
        <is>
          <t>UPPSALA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v>
      </c>
      <c r="C1157" s="1" t="n">
        <v>45762</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42273-2023</t>
        </is>
      </c>
      <c r="B1158" s="1" t="n">
        <v>45180</v>
      </c>
      <c r="C1158" s="1" t="n">
        <v>45762</v>
      </c>
      <c r="D1158" t="inlineStr">
        <is>
          <t>UPPSALA LÄN</t>
        </is>
      </c>
      <c r="E1158" t="inlineStr">
        <is>
          <t>UPPSALA</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42436-2023</t>
        </is>
      </c>
      <c r="B1159" s="1" t="n">
        <v>45180</v>
      </c>
      <c r="C1159" s="1" t="n">
        <v>45762</v>
      </c>
      <c r="D1159" t="inlineStr">
        <is>
          <t>UPPSALA LÄN</t>
        </is>
      </c>
      <c r="E1159" t="inlineStr">
        <is>
          <t>UPPSALA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42282-2023</t>
        </is>
      </c>
      <c r="B1160" s="1" t="n">
        <v>45180</v>
      </c>
      <c r="C1160" s="1" t="n">
        <v>45762</v>
      </c>
      <c r="D1160" t="inlineStr">
        <is>
          <t>UPPSALA LÄN</t>
        </is>
      </c>
      <c r="E1160" t="inlineStr">
        <is>
          <t>UPPSALA</t>
        </is>
      </c>
      <c r="F1160" t="inlineStr">
        <is>
          <t>Bergvik skog öst AB</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42274-2023</t>
        </is>
      </c>
      <c r="B1161" s="1" t="n">
        <v>45180</v>
      </c>
      <c r="C1161" s="1" t="n">
        <v>45762</v>
      </c>
      <c r="D1161" t="inlineStr">
        <is>
          <t>UPPSALA LÄN</t>
        </is>
      </c>
      <c r="E1161" t="inlineStr">
        <is>
          <t>UPPSALA</t>
        </is>
      </c>
      <c r="F1161" t="inlineStr">
        <is>
          <t>Bergvik skog öst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42285-2023</t>
        </is>
      </c>
      <c r="B1162" s="1" t="n">
        <v>45180</v>
      </c>
      <c r="C1162" s="1" t="n">
        <v>45762</v>
      </c>
      <c r="D1162" t="inlineStr">
        <is>
          <t>UPPSALA LÄN</t>
        </is>
      </c>
      <c r="E1162" t="inlineStr">
        <is>
          <t>UPPSALA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42376-2023</t>
        </is>
      </c>
      <c r="B1163" s="1" t="n">
        <v>45180</v>
      </c>
      <c r="C1163" s="1" t="n">
        <v>45762</v>
      </c>
      <c r="D1163" t="inlineStr">
        <is>
          <t>UPPSALA LÄN</t>
        </is>
      </c>
      <c r="E1163" t="inlineStr">
        <is>
          <t>UPPSALA</t>
        </is>
      </c>
      <c r="F1163" t="inlineStr">
        <is>
          <t>Bergvik skog öst AB</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42495-2023</t>
        </is>
      </c>
      <c r="B1164" s="1" t="n">
        <v>45180</v>
      </c>
      <c r="C1164" s="1" t="n">
        <v>45762</v>
      </c>
      <c r="D1164" t="inlineStr">
        <is>
          <t>UPPSALA LÄN</t>
        </is>
      </c>
      <c r="E1164" t="inlineStr">
        <is>
          <t>UPPSALA</t>
        </is>
      </c>
      <c r="F1164" t="inlineStr">
        <is>
          <t>Allmännings- och besparingsskogar</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42379-2023</t>
        </is>
      </c>
      <c r="B1165" s="1" t="n">
        <v>45180</v>
      </c>
      <c r="C1165" s="1" t="n">
        <v>45762</v>
      </c>
      <c r="D1165" t="inlineStr">
        <is>
          <t>UPPSALA LÄN</t>
        </is>
      </c>
      <c r="E1165" t="inlineStr">
        <is>
          <t>UPPSALA</t>
        </is>
      </c>
      <c r="F1165" t="inlineStr">
        <is>
          <t>Bergvik skog öst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42528-2023</t>
        </is>
      </c>
      <c r="B1166" s="1" t="n">
        <v>45181</v>
      </c>
      <c r="C1166" s="1" t="n">
        <v>45762</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42630-2023</t>
        </is>
      </c>
      <c r="B1167" s="1" t="n">
        <v>45181</v>
      </c>
      <c r="C1167" s="1" t="n">
        <v>45762</v>
      </c>
      <c r="D1167" t="inlineStr">
        <is>
          <t>UPPSALA LÄN</t>
        </is>
      </c>
      <c r="E1167" t="inlineStr">
        <is>
          <t>UPPSALA</t>
        </is>
      </c>
      <c r="F1167" t="inlineStr">
        <is>
          <t>Holmen skog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42681-2023</t>
        </is>
      </c>
      <c r="B1168" s="1" t="n">
        <v>45181</v>
      </c>
      <c r="C1168" s="1" t="n">
        <v>45762</v>
      </c>
      <c r="D1168" t="inlineStr">
        <is>
          <t>UPPSALA LÄN</t>
        </is>
      </c>
      <c r="E1168" t="inlineStr">
        <is>
          <t>UPPSALA</t>
        </is>
      </c>
      <c r="F1168" t="inlineStr">
        <is>
          <t>Bergvik skog öst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42543-2023</t>
        </is>
      </c>
      <c r="B1169" s="1" t="n">
        <v>45181</v>
      </c>
      <c r="C1169" s="1" t="n">
        <v>45762</v>
      </c>
      <c r="D1169" t="inlineStr">
        <is>
          <t>UPPSALA LÄN</t>
        </is>
      </c>
      <c r="E1169" t="inlineStr">
        <is>
          <t>UPPSALA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42730-2023</t>
        </is>
      </c>
      <c r="B1170" s="1" t="n">
        <v>45181</v>
      </c>
      <c r="C1170" s="1" t="n">
        <v>45762</v>
      </c>
      <c r="D1170" t="inlineStr">
        <is>
          <t>UPPSALA LÄN</t>
        </is>
      </c>
      <c r="E1170" t="inlineStr">
        <is>
          <t>UPPSALA</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42734-2023</t>
        </is>
      </c>
      <c r="B1171" s="1" t="n">
        <v>45181</v>
      </c>
      <c r="C1171" s="1" t="n">
        <v>45762</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42682-2023</t>
        </is>
      </c>
      <c r="B1172" s="1" t="n">
        <v>45181</v>
      </c>
      <c r="C1172" s="1" t="n">
        <v>45762</v>
      </c>
      <c r="D1172" t="inlineStr">
        <is>
          <t>UPPSALA LÄN</t>
        </is>
      </c>
      <c r="E1172" t="inlineStr">
        <is>
          <t>UPPSALA</t>
        </is>
      </c>
      <c r="F1172" t="inlineStr">
        <is>
          <t>Bergvik skog öst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42722-2023</t>
        </is>
      </c>
      <c r="B1173" s="1" t="n">
        <v>45181</v>
      </c>
      <c r="C1173" s="1" t="n">
        <v>45762</v>
      </c>
      <c r="D1173" t="inlineStr">
        <is>
          <t>UPPSALA LÄN</t>
        </is>
      </c>
      <c r="E1173" t="inlineStr">
        <is>
          <t>UPPSALA</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42756-2023</t>
        </is>
      </c>
      <c r="B1174" s="1" t="n">
        <v>45181</v>
      </c>
      <c r="C1174" s="1" t="n">
        <v>45762</v>
      </c>
      <c r="D1174" t="inlineStr">
        <is>
          <t>UPPSALA LÄN</t>
        </is>
      </c>
      <c r="E1174" t="inlineStr">
        <is>
          <t>UPPSALA</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42971-2023</t>
        </is>
      </c>
      <c r="B1175" s="1" t="n">
        <v>45182</v>
      </c>
      <c r="C1175" s="1" t="n">
        <v>45762</v>
      </c>
      <c r="D1175" t="inlineStr">
        <is>
          <t>UPPSALA LÄN</t>
        </is>
      </c>
      <c r="E1175" t="inlineStr">
        <is>
          <t>UPPSALA</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43026-2023</t>
        </is>
      </c>
      <c r="B1176" s="1" t="n">
        <v>45182</v>
      </c>
      <c r="C1176" s="1" t="n">
        <v>45762</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42963-2023</t>
        </is>
      </c>
      <c r="B1177" s="1" t="n">
        <v>45182</v>
      </c>
      <c r="C1177" s="1" t="n">
        <v>45762</v>
      </c>
      <c r="D1177" t="inlineStr">
        <is>
          <t>UPPSALA LÄN</t>
        </is>
      </c>
      <c r="E1177" t="inlineStr">
        <is>
          <t>UPPSALA</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42967-2023</t>
        </is>
      </c>
      <c r="B1178" s="1" t="n">
        <v>45182</v>
      </c>
      <c r="C1178" s="1" t="n">
        <v>45762</v>
      </c>
      <c r="D1178" t="inlineStr">
        <is>
          <t>UPPSALA LÄN</t>
        </is>
      </c>
      <c r="E1178" t="inlineStr">
        <is>
          <t>UPPSALA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43031-2023</t>
        </is>
      </c>
      <c r="B1179" s="1" t="n">
        <v>45182</v>
      </c>
      <c r="C1179" s="1" t="n">
        <v>45762</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43035-2023</t>
        </is>
      </c>
      <c r="B1180" s="1" t="n">
        <v>45182</v>
      </c>
      <c r="C1180" s="1" t="n">
        <v>45762</v>
      </c>
      <c r="D1180" t="inlineStr">
        <is>
          <t>UPPSALA LÄN</t>
        </is>
      </c>
      <c r="E1180" t="inlineStr">
        <is>
          <t>UPPSALA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43049-2023</t>
        </is>
      </c>
      <c r="B1181" s="1" t="n">
        <v>45182</v>
      </c>
      <c r="C1181" s="1" t="n">
        <v>45762</v>
      </c>
      <c r="D1181" t="inlineStr">
        <is>
          <t>UPPSALA LÄN</t>
        </is>
      </c>
      <c r="E1181" t="inlineStr">
        <is>
          <t>UPPSALA</t>
        </is>
      </c>
      <c r="F1181" t="inlineStr">
        <is>
          <t>Allmännings- och besparingsskogar</t>
        </is>
      </c>
      <c r="G1181" t="n">
        <v>14.5</v>
      </c>
      <c r="H1181" t="n">
        <v>0</v>
      </c>
      <c r="I1181" t="n">
        <v>0</v>
      </c>
      <c r="J1181" t="n">
        <v>0</v>
      </c>
      <c r="K1181" t="n">
        <v>0</v>
      </c>
      <c r="L1181" t="n">
        <v>0</v>
      </c>
      <c r="M1181" t="n">
        <v>0</v>
      </c>
      <c r="N1181" t="n">
        <v>0</v>
      </c>
      <c r="O1181" t="n">
        <v>0</v>
      </c>
      <c r="P1181" t="n">
        <v>0</v>
      </c>
      <c r="Q1181" t="n">
        <v>0</v>
      </c>
      <c r="R1181" s="2" t="inlineStr"/>
    </row>
    <row r="1182" ht="15" customHeight="1">
      <c r="A1182" t="inlineStr">
        <is>
          <t>A 42974-2023</t>
        </is>
      </c>
      <c r="B1182" s="1" t="n">
        <v>45182</v>
      </c>
      <c r="C1182" s="1" t="n">
        <v>45762</v>
      </c>
      <c r="D1182" t="inlineStr">
        <is>
          <t>UPPSALA LÄN</t>
        </is>
      </c>
      <c r="E1182" t="inlineStr">
        <is>
          <t>UPPSALA</t>
        </is>
      </c>
      <c r="F1182" t="inlineStr">
        <is>
          <t>Sveaskog</t>
        </is>
      </c>
      <c r="G1182" t="n">
        <v>3.7</v>
      </c>
      <c r="H1182" t="n">
        <v>0</v>
      </c>
      <c r="I1182" t="n">
        <v>0</v>
      </c>
      <c r="J1182" t="n">
        <v>0</v>
      </c>
      <c r="K1182" t="n">
        <v>0</v>
      </c>
      <c r="L1182" t="n">
        <v>0</v>
      </c>
      <c r="M1182" t="n">
        <v>0</v>
      </c>
      <c r="N1182" t="n">
        <v>0</v>
      </c>
      <c r="O1182" t="n">
        <v>0</v>
      </c>
      <c r="P1182" t="n">
        <v>0</v>
      </c>
      <c r="Q1182" t="n">
        <v>0</v>
      </c>
      <c r="R1182" s="2" t="inlineStr"/>
      <c r="U1182">
        <f>HYPERLINK("https://klasma.github.io/Logging_0380/knärot/A 42974-2023 karta knärot.png", "A 42974-2023")</f>
        <v/>
      </c>
      <c r="V1182">
        <f>HYPERLINK("https://klasma.github.io/Logging_0380/klagomål/A 42974-2023 FSC-klagomål.docx", "A 42974-2023")</f>
        <v/>
      </c>
      <c r="W1182">
        <f>HYPERLINK("https://klasma.github.io/Logging_0380/klagomålsmail/A 42974-2023 FSC-klagomål mail.docx", "A 42974-2023")</f>
        <v/>
      </c>
      <c r="X1182">
        <f>HYPERLINK("https://klasma.github.io/Logging_0380/tillsyn/A 42974-2023 tillsynsbegäran.docx", "A 42974-2023")</f>
        <v/>
      </c>
      <c r="Y1182">
        <f>HYPERLINK("https://klasma.github.io/Logging_0380/tillsynsmail/A 42974-2023 tillsynsbegäran mail.docx", "A 42974-2023")</f>
        <v/>
      </c>
    </row>
    <row r="1183" ht="15" customHeight="1">
      <c r="A1183" t="inlineStr">
        <is>
          <t>A 42978-2023</t>
        </is>
      </c>
      <c r="B1183" s="1" t="n">
        <v>45182</v>
      </c>
      <c r="C1183" s="1" t="n">
        <v>45762</v>
      </c>
      <c r="D1183" t="inlineStr">
        <is>
          <t>UPPSALA LÄN</t>
        </is>
      </c>
      <c r="E1183" t="inlineStr">
        <is>
          <t>UPPSALA</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43029-2023</t>
        </is>
      </c>
      <c r="B1184" s="1" t="n">
        <v>45182</v>
      </c>
      <c r="C1184" s="1" t="n">
        <v>45762</v>
      </c>
      <c r="D1184" t="inlineStr">
        <is>
          <t>UPPSALA LÄN</t>
        </is>
      </c>
      <c r="E1184" t="inlineStr">
        <is>
          <t>UPPSALA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43818-2023</t>
        </is>
      </c>
      <c r="B1185" s="1" t="n">
        <v>45182</v>
      </c>
      <c r="C1185" s="1" t="n">
        <v>45762</v>
      </c>
      <c r="D1185" t="inlineStr">
        <is>
          <t>UPPSALA LÄN</t>
        </is>
      </c>
      <c r="E1185" t="inlineStr">
        <is>
          <t>UPPSALA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43795-2023</t>
        </is>
      </c>
      <c r="B1186" s="1" t="n">
        <v>45182</v>
      </c>
      <c r="C1186" s="1" t="n">
        <v>45762</v>
      </c>
      <c r="D1186" t="inlineStr">
        <is>
          <t>UPPSALA LÄN</t>
        </is>
      </c>
      <c r="E1186" t="inlineStr">
        <is>
          <t>UPPSALA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43316-2023</t>
        </is>
      </c>
      <c r="B1187" s="1" t="n">
        <v>45183</v>
      </c>
      <c r="C1187" s="1" t="n">
        <v>45762</v>
      </c>
      <c r="D1187" t="inlineStr">
        <is>
          <t>UPPSALA LÄN</t>
        </is>
      </c>
      <c r="E1187" t="inlineStr">
        <is>
          <t>UPPSALA</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43944-2023</t>
        </is>
      </c>
      <c r="B1188" s="1" t="n">
        <v>45187</v>
      </c>
      <c r="C1188" s="1" t="n">
        <v>45762</v>
      </c>
      <c r="D1188" t="inlineStr">
        <is>
          <t>UPPSALA LÄN</t>
        </is>
      </c>
      <c r="E1188" t="inlineStr">
        <is>
          <t>UPPSALA</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43775-2023</t>
        </is>
      </c>
      <c r="B1189" s="1" t="n">
        <v>45187</v>
      </c>
      <c r="C1189" s="1" t="n">
        <v>45762</v>
      </c>
      <c r="D1189" t="inlineStr">
        <is>
          <t>UPPSALA LÄN</t>
        </is>
      </c>
      <c r="E1189" t="inlineStr">
        <is>
          <t>UPPSALA</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43779-2023</t>
        </is>
      </c>
      <c r="B1190" s="1" t="n">
        <v>45187</v>
      </c>
      <c r="C1190" s="1" t="n">
        <v>45762</v>
      </c>
      <c r="D1190" t="inlineStr">
        <is>
          <t>UPPSALA LÄN</t>
        </is>
      </c>
      <c r="E1190" t="inlineStr">
        <is>
          <t>UPPSALA</t>
        </is>
      </c>
      <c r="F1190" t="inlineStr">
        <is>
          <t>Bergvik skog öst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43776-2023</t>
        </is>
      </c>
      <c r="B1191" s="1" t="n">
        <v>45187</v>
      </c>
      <c r="C1191" s="1" t="n">
        <v>45762</v>
      </c>
      <c r="D1191" t="inlineStr">
        <is>
          <t>UPPSALA LÄN</t>
        </is>
      </c>
      <c r="E1191" t="inlineStr">
        <is>
          <t>UPPSALA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43855-2023</t>
        </is>
      </c>
      <c r="B1192" s="1" t="n">
        <v>45187</v>
      </c>
      <c r="C1192" s="1" t="n">
        <v>45762</v>
      </c>
      <c r="D1192" t="inlineStr">
        <is>
          <t>UPPSALA LÄN</t>
        </is>
      </c>
      <c r="E1192" t="inlineStr">
        <is>
          <t>UPPSALA</t>
        </is>
      </c>
      <c r="F1192" t="inlineStr">
        <is>
          <t>Bergvik skog öst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43778-2023</t>
        </is>
      </c>
      <c r="B1193" s="1" t="n">
        <v>45187</v>
      </c>
      <c r="C1193" s="1" t="n">
        <v>45762</v>
      </c>
      <c r="D1193" t="inlineStr">
        <is>
          <t>UPPSALA LÄN</t>
        </is>
      </c>
      <c r="E1193" t="inlineStr">
        <is>
          <t>UPPSALA</t>
        </is>
      </c>
      <c r="F1193" t="inlineStr">
        <is>
          <t>Bergvik skog öst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44875-2023</t>
        </is>
      </c>
      <c r="B1194" s="1" t="n">
        <v>45187</v>
      </c>
      <c r="C1194" s="1" t="n">
        <v>45762</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44080-2023</t>
        </is>
      </c>
      <c r="B1195" s="1" t="n">
        <v>45188</v>
      </c>
      <c r="C1195" s="1" t="n">
        <v>45762</v>
      </c>
      <c r="D1195" t="inlineStr">
        <is>
          <t>UPPSALA LÄN</t>
        </is>
      </c>
      <c r="E1195" t="inlineStr">
        <is>
          <t>UPPSALA</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44115-2023</t>
        </is>
      </c>
      <c r="B1196" s="1" t="n">
        <v>45188</v>
      </c>
      <c r="C1196" s="1" t="n">
        <v>45762</v>
      </c>
      <c r="D1196" t="inlineStr">
        <is>
          <t>UPPSALA LÄN</t>
        </is>
      </c>
      <c r="E1196" t="inlineStr">
        <is>
          <t>UPPSALA</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44232-2023</t>
        </is>
      </c>
      <c r="B1197" s="1" t="n">
        <v>45188</v>
      </c>
      <c r="C1197" s="1" t="n">
        <v>45762</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44105-2023</t>
        </is>
      </c>
      <c r="B1198" s="1" t="n">
        <v>45188</v>
      </c>
      <c r="C1198" s="1" t="n">
        <v>45762</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44333-2023</t>
        </is>
      </c>
      <c r="B1199" s="1" t="n">
        <v>45188</v>
      </c>
      <c r="C1199" s="1" t="n">
        <v>45762</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44337-2023</t>
        </is>
      </c>
      <c r="B1200" s="1" t="n">
        <v>45188</v>
      </c>
      <c r="C1200" s="1" t="n">
        <v>45762</v>
      </c>
      <c r="D1200" t="inlineStr">
        <is>
          <t>UPPSALA LÄN</t>
        </is>
      </c>
      <c r="E1200" t="inlineStr">
        <is>
          <t>UPPSALA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44257-2023</t>
        </is>
      </c>
      <c r="B1201" s="1" t="n">
        <v>45188</v>
      </c>
      <c r="C1201" s="1" t="n">
        <v>45762</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44815-2023</t>
        </is>
      </c>
      <c r="B1202" s="1" t="n">
        <v>45190</v>
      </c>
      <c r="C1202" s="1" t="n">
        <v>45762</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44830-2023</t>
        </is>
      </c>
      <c r="B1203" s="1" t="n">
        <v>45190</v>
      </c>
      <c r="C1203" s="1" t="n">
        <v>45762</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44785-2023</t>
        </is>
      </c>
      <c r="B1204" s="1" t="n">
        <v>45190</v>
      </c>
      <c r="C1204" s="1" t="n">
        <v>45762</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45244-2023</t>
        </is>
      </c>
      <c r="B1205" s="1" t="n">
        <v>45191</v>
      </c>
      <c r="C1205" s="1" t="n">
        <v>45762</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45223-2023</t>
        </is>
      </c>
      <c r="B1206" s="1" t="n">
        <v>45191</v>
      </c>
      <c r="C1206" s="1" t="n">
        <v>45762</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45489-2023</t>
        </is>
      </c>
      <c r="B1207" s="1" t="n">
        <v>45194</v>
      </c>
      <c r="C1207" s="1" t="n">
        <v>45762</v>
      </c>
      <c r="D1207" t="inlineStr">
        <is>
          <t>UPPSALA LÄN</t>
        </is>
      </c>
      <c r="E1207" t="inlineStr">
        <is>
          <t>UPPSALA</t>
        </is>
      </c>
      <c r="F1207" t="inlineStr">
        <is>
          <t>Allmännings- och besparingsskogar</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45575-2023</t>
        </is>
      </c>
      <c r="B1208" s="1" t="n">
        <v>45194</v>
      </c>
      <c r="C1208" s="1" t="n">
        <v>45762</v>
      </c>
      <c r="D1208" t="inlineStr">
        <is>
          <t>UPPSALA LÄN</t>
        </is>
      </c>
      <c r="E1208" t="inlineStr">
        <is>
          <t>UPPSALA</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45578-2023</t>
        </is>
      </c>
      <c r="B1209" s="1" t="n">
        <v>45194</v>
      </c>
      <c r="C1209" s="1" t="n">
        <v>45762</v>
      </c>
      <c r="D1209" t="inlineStr">
        <is>
          <t>UPPSALA LÄN</t>
        </is>
      </c>
      <c r="E1209" t="inlineStr">
        <is>
          <t>UPPSALA</t>
        </is>
      </c>
      <c r="F1209" t="inlineStr">
        <is>
          <t>Bergvik skog öst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45592-2023</t>
        </is>
      </c>
      <c r="B1210" s="1" t="n">
        <v>45194</v>
      </c>
      <c r="C1210" s="1" t="n">
        <v>45762</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45662-2023</t>
        </is>
      </c>
      <c r="B1211" s="1" t="n">
        <v>45194</v>
      </c>
      <c r="C1211" s="1" t="n">
        <v>45762</v>
      </c>
      <c r="D1211" t="inlineStr">
        <is>
          <t>UPPSALA LÄN</t>
        </is>
      </c>
      <c r="E1211" t="inlineStr">
        <is>
          <t>UPPSALA</t>
        </is>
      </c>
      <c r="F1211" t="inlineStr">
        <is>
          <t>Bergvik skog öst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45661-2023</t>
        </is>
      </c>
      <c r="B1212" s="1" t="n">
        <v>45194</v>
      </c>
      <c r="C1212" s="1" t="n">
        <v>45762</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45892-2023</t>
        </is>
      </c>
      <c r="B1213" s="1" t="n">
        <v>45195</v>
      </c>
      <c r="C1213" s="1" t="n">
        <v>45762</v>
      </c>
      <c r="D1213" t="inlineStr">
        <is>
          <t>UPPSALA LÄN</t>
        </is>
      </c>
      <c r="E1213" t="inlineStr">
        <is>
          <t>UPPSALA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45885-2023</t>
        </is>
      </c>
      <c r="B1214" s="1" t="n">
        <v>45195</v>
      </c>
      <c r="C1214" s="1" t="n">
        <v>45762</v>
      </c>
      <c r="D1214" t="inlineStr">
        <is>
          <t>UPPSALA LÄN</t>
        </is>
      </c>
      <c r="E1214" t="inlineStr">
        <is>
          <t>UPPSALA</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46335-2023</t>
        </is>
      </c>
      <c r="B1215" s="1" t="n">
        <v>45197</v>
      </c>
      <c r="C1215" s="1" t="n">
        <v>45762</v>
      </c>
      <c r="D1215" t="inlineStr">
        <is>
          <t>UPPSALA LÄN</t>
        </is>
      </c>
      <c r="E1215" t="inlineStr">
        <is>
          <t>UPPSALA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46869-2023</t>
        </is>
      </c>
      <c r="B1216" s="1" t="n">
        <v>45200</v>
      </c>
      <c r="C1216" s="1" t="n">
        <v>45762</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46995-2023</t>
        </is>
      </c>
      <c r="B1217" s="1" t="n">
        <v>45201</v>
      </c>
      <c r="C1217" s="1" t="n">
        <v>45762</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47083-2023</t>
        </is>
      </c>
      <c r="B1218" s="1" t="n">
        <v>45201</v>
      </c>
      <c r="C1218" s="1" t="n">
        <v>45762</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47221-2023</t>
        </is>
      </c>
      <c r="B1219" s="1" t="n">
        <v>45202</v>
      </c>
      <c r="C1219" s="1" t="n">
        <v>45762</v>
      </c>
      <c r="D1219" t="inlineStr">
        <is>
          <t>UPPSALA LÄN</t>
        </is>
      </c>
      <c r="E1219" t="inlineStr">
        <is>
          <t>UPPSALA</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47314-2023</t>
        </is>
      </c>
      <c r="B1220" s="1" t="n">
        <v>45202</v>
      </c>
      <c r="C1220" s="1" t="n">
        <v>45762</v>
      </c>
      <c r="D1220" t="inlineStr">
        <is>
          <t>UPPSALA LÄN</t>
        </is>
      </c>
      <c r="E1220" t="inlineStr">
        <is>
          <t>UPPSALA</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47287-2023</t>
        </is>
      </c>
      <c r="B1221" s="1" t="n">
        <v>45202</v>
      </c>
      <c r="C1221" s="1" t="n">
        <v>45762</v>
      </c>
      <c r="D1221" t="inlineStr">
        <is>
          <t>UPPSALA LÄN</t>
        </is>
      </c>
      <c r="E1221" t="inlineStr">
        <is>
          <t>UPPSALA</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47316-2023</t>
        </is>
      </c>
      <c r="B1222" s="1" t="n">
        <v>45202</v>
      </c>
      <c r="C1222" s="1" t="n">
        <v>45762</v>
      </c>
      <c r="D1222" t="inlineStr">
        <is>
          <t>UPPSALA LÄN</t>
        </is>
      </c>
      <c r="E1222" t="inlineStr">
        <is>
          <t>UPPSALA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47618-2023</t>
        </is>
      </c>
      <c r="B1223" s="1" t="n">
        <v>45203</v>
      </c>
      <c r="C1223" s="1" t="n">
        <v>45762</v>
      </c>
      <c r="D1223" t="inlineStr">
        <is>
          <t>UPPSALA LÄN</t>
        </is>
      </c>
      <c r="E1223" t="inlineStr">
        <is>
          <t>UPPSALA</t>
        </is>
      </c>
      <c r="F1223" t="inlineStr">
        <is>
          <t>Bergvik skog öst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48562-2023</t>
        </is>
      </c>
      <c r="B1224" s="1" t="n">
        <v>45208</v>
      </c>
      <c r="C1224" s="1" t="n">
        <v>45762</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48564-2023</t>
        </is>
      </c>
      <c r="B1225" s="1" t="n">
        <v>45208</v>
      </c>
      <c r="C1225" s="1" t="n">
        <v>45762</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48571-2023</t>
        </is>
      </c>
      <c r="B1226" s="1" t="n">
        <v>45208</v>
      </c>
      <c r="C1226" s="1" t="n">
        <v>45762</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48584-2023</t>
        </is>
      </c>
      <c r="B1227" s="1" t="n">
        <v>45208</v>
      </c>
      <c r="C1227" s="1" t="n">
        <v>45762</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49189-2023</t>
        </is>
      </c>
      <c r="B1228" s="1" t="n">
        <v>45210</v>
      </c>
      <c r="C1228" s="1" t="n">
        <v>45762</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49201-2023</t>
        </is>
      </c>
      <c r="B1229" s="1" t="n">
        <v>45210</v>
      </c>
      <c r="C1229" s="1" t="n">
        <v>45762</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49682-2023</t>
        </is>
      </c>
      <c r="B1230" s="1" t="n">
        <v>45212</v>
      </c>
      <c r="C1230" s="1" t="n">
        <v>45762</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49996-2023</t>
        </is>
      </c>
      <c r="B1231" s="1" t="n">
        <v>45215</v>
      </c>
      <c r="C1231" s="1" t="n">
        <v>45762</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50118-2023</t>
        </is>
      </c>
      <c r="B1232" s="1" t="n">
        <v>45215</v>
      </c>
      <c r="C1232" s="1" t="n">
        <v>45762</v>
      </c>
      <c r="D1232" t="inlineStr">
        <is>
          <t>UPPSALA LÄN</t>
        </is>
      </c>
      <c r="E1232" t="inlineStr">
        <is>
          <t>UPPSALA</t>
        </is>
      </c>
      <c r="G1232" t="n">
        <v>12.7</v>
      </c>
      <c r="H1232" t="n">
        <v>0</v>
      </c>
      <c r="I1232" t="n">
        <v>0</v>
      </c>
      <c r="J1232" t="n">
        <v>0</v>
      </c>
      <c r="K1232" t="n">
        <v>0</v>
      </c>
      <c r="L1232" t="n">
        <v>0</v>
      </c>
      <c r="M1232" t="n">
        <v>0</v>
      </c>
      <c r="N1232" t="n">
        <v>0</v>
      </c>
      <c r="O1232" t="n">
        <v>0</v>
      </c>
      <c r="P1232" t="n">
        <v>0</v>
      </c>
      <c r="Q1232" t="n">
        <v>0</v>
      </c>
      <c r="R1232" s="2" t="inlineStr"/>
    </row>
    <row r="1233" ht="15" customHeight="1">
      <c r="A1233" t="inlineStr">
        <is>
          <t>A 51843-2023</t>
        </is>
      </c>
      <c r="B1233" s="1" t="n">
        <v>45215</v>
      </c>
      <c r="C1233" s="1" t="n">
        <v>45762</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50267-2023</t>
        </is>
      </c>
      <c r="B1234" s="1" t="n">
        <v>45216</v>
      </c>
      <c r="C1234" s="1" t="n">
        <v>45762</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50473-2023</t>
        </is>
      </c>
      <c r="B1235" s="1" t="n">
        <v>45216</v>
      </c>
      <c r="C1235" s="1" t="n">
        <v>45762</v>
      </c>
      <c r="D1235" t="inlineStr">
        <is>
          <t>UPPSALA LÄN</t>
        </is>
      </c>
      <c r="E1235" t="inlineStr">
        <is>
          <t>UPPSALA</t>
        </is>
      </c>
      <c r="F1235" t="inlineStr">
        <is>
          <t>Allmännings- och besparingsskogar</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50395-2023</t>
        </is>
      </c>
      <c r="B1236" s="1" t="n">
        <v>45216</v>
      </c>
      <c r="C1236" s="1" t="n">
        <v>45762</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51016-2023</t>
        </is>
      </c>
      <c r="B1237" s="1" t="n">
        <v>45218</v>
      </c>
      <c r="C1237" s="1" t="n">
        <v>45762</v>
      </c>
      <c r="D1237" t="inlineStr">
        <is>
          <t>UPPSALA LÄN</t>
        </is>
      </c>
      <c r="E1237" t="inlineStr">
        <is>
          <t>UPPSALA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51006-2023</t>
        </is>
      </c>
      <c r="B1238" s="1" t="n">
        <v>45218</v>
      </c>
      <c r="C1238" s="1" t="n">
        <v>45762</v>
      </c>
      <c r="D1238" t="inlineStr">
        <is>
          <t>UPPSALA LÄN</t>
        </is>
      </c>
      <c r="E1238" t="inlineStr">
        <is>
          <t>UPPSALA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51542-2023</t>
        </is>
      </c>
      <c r="B1239" s="1" t="n">
        <v>45222</v>
      </c>
      <c r="C1239" s="1" t="n">
        <v>45762</v>
      </c>
      <c r="D1239" t="inlineStr">
        <is>
          <t>UPPSALA LÄN</t>
        </is>
      </c>
      <c r="E1239" t="inlineStr">
        <is>
          <t>UPPSALA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51734-2023</t>
        </is>
      </c>
      <c r="B1240" s="1" t="n">
        <v>45222</v>
      </c>
      <c r="C1240" s="1" t="n">
        <v>45762</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51731-2023</t>
        </is>
      </c>
      <c r="B1241" s="1" t="n">
        <v>45222</v>
      </c>
      <c r="C1241" s="1" t="n">
        <v>45762</v>
      </c>
      <c r="D1241" t="inlineStr">
        <is>
          <t>UPPSALA LÄN</t>
        </is>
      </c>
      <c r="E1241" t="inlineStr">
        <is>
          <t>UPPSALA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51576-2023</t>
        </is>
      </c>
      <c r="B1242" s="1" t="n">
        <v>45222</v>
      </c>
      <c r="C1242" s="1" t="n">
        <v>45762</v>
      </c>
      <c r="D1242" t="inlineStr">
        <is>
          <t>UPPSALA LÄN</t>
        </is>
      </c>
      <c r="E1242" t="inlineStr">
        <is>
          <t>UPPSALA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51697-2023</t>
        </is>
      </c>
      <c r="B1243" s="1" t="n">
        <v>45222</v>
      </c>
      <c r="C1243" s="1" t="n">
        <v>45762</v>
      </c>
      <c r="D1243" t="inlineStr">
        <is>
          <t>UPPSALA LÄN</t>
        </is>
      </c>
      <c r="E1243" t="inlineStr">
        <is>
          <t>UPPSALA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51935-2023</t>
        </is>
      </c>
      <c r="B1244" s="1" t="n">
        <v>45223</v>
      </c>
      <c r="C1244" s="1" t="n">
        <v>45762</v>
      </c>
      <c r="D1244" t="inlineStr">
        <is>
          <t>UPPSALA LÄN</t>
        </is>
      </c>
      <c r="E1244" t="inlineStr">
        <is>
          <t>UPPSALA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52273-2023</t>
        </is>
      </c>
      <c r="B1245" s="1" t="n">
        <v>45224</v>
      </c>
      <c r="C1245" s="1" t="n">
        <v>45762</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52492-2023</t>
        </is>
      </c>
      <c r="B1246" s="1" t="n">
        <v>45225</v>
      </c>
      <c r="C1246" s="1" t="n">
        <v>45762</v>
      </c>
      <c r="D1246" t="inlineStr">
        <is>
          <t>UPPSALA LÄN</t>
        </is>
      </c>
      <c r="E1246" t="inlineStr">
        <is>
          <t>UPPSALA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52503-2023</t>
        </is>
      </c>
      <c r="B1247" s="1" t="n">
        <v>45225</v>
      </c>
      <c r="C1247" s="1" t="n">
        <v>45762</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52518-2023</t>
        </is>
      </c>
      <c r="B1248" s="1" t="n">
        <v>45225</v>
      </c>
      <c r="C1248" s="1" t="n">
        <v>45762</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53893-2023</t>
        </is>
      </c>
      <c r="B1249" s="1" t="n">
        <v>45231</v>
      </c>
      <c r="C1249" s="1" t="n">
        <v>45762</v>
      </c>
      <c r="D1249" t="inlineStr">
        <is>
          <t>UPPSALA LÄN</t>
        </is>
      </c>
      <c r="E1249" t="inlineStr">
        <is>
          <t>UPPSALA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53919-2023</t>
        </is>
      </c>
      <c r="B1250" s="1" t="n">
        <v>45231</v>
      </c>
      <c r="C1250" s="1" t="n">
        <v>45762</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53982-2023</t>
        </is>
      </c>
      <c r="B1251" s="1" t="n">
        <v>45231</v>
      </c>
      <c r="C1251" s="1" t="n">
        <v>45762</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53882-2023</t>
        </is>
      </c>
      <c r="B1252" s="1" t="n">
        <v>45231</v>
      </c>
      <c r="C1252" s="1" t="n">
        <v>45762</v>
      </c>
      <c r="D1252" t="inlineStr">
        <is>
          <t>UPPSALA LÄN</t>
        </is>
      </c>
      <c r="E1252" t="inlineStr">
        <is>
          <t>UPPSALA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53900-2023</t>
        </is>
      </c>
      <c r="B1253" s="1" t="n">
        <v>45231</v>
      </c>
      <c r="C1253" s="1" t="n">
        <v>45762</v>
      </c>
      <c r="D1253" t="inlineStr">
        <is>
          <t>UPPSALA LÄN</t>
        </is>
      </c>
      <c r="E1253" t="inlineStr">
        <is>
          <t>UPPSALA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53963-2023</t>
        </is>
      </c>
      <c r="B1254" s="1" t="n">
        <v>45231</v>
      </c>
      <c r="C1254" s="1" t="n">
        <v>45762</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53967-2023</t>
        </is>
      </c>
      <c r="B1255" s="1" t="n">
        <v>45231</v>
      </c>
      <c r="C1255" s="1" t="n">
        <v>45762</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53803-2023</t>
        </is>
      </c>
      <c r="B1256" s="1" t="n">
        <v>45231</v>
      </c>
      <c r="C1256" s="1" t="n">
        <v>45762</v>
      </c>
      <c r="D1256" t="inlineStr">
        <is>
          <t>UPPSALA LÄN</t>
        </is>
      </c>
      <c r="E1256" t="inlineStr">
        <is>
          <t>UPPSALA</t>
        </is>
      </c>
      <c r="G1256" t="n">
        <v>17.6</v>
      </c>
      <c r="H1256" t="n">
        <v>0</v>
      </c>
      <c r="I1256" t="n">
        <v>0</v>
      </c>
      <c r="J1256" t="n">
        <v>0</v>
      </c>
      <c r="K1256" t="n">
        <v>0</v>
      </c>
      <c r="L1256" t="n">
        <v>0</v>
      </c>
      <c r="M1256" t="n">
        <v>0</v>
      </c>
      <c r="N1256" t="n">
        <v>0</v>
      </c>
      <c r="O1256" t="n">
        <v>0</v>
      </c>
      <c r="P1256" t="n">
        <v>0</v>
      </c>
      <c r="Q1256" t="n">
        <v>0</v>
      </c>
      <c r="R1256" s="2" t="inlineStr"/>
    </row>
    <row r="1257" ht="15" customHeight="1">
      <c r="A1257" t="inlineStr">
        <is>
          <t>A 53906-2023</t>
        </is>
      </c>
      <c r="B1257" s="1" t="n">
        <v>45231</v>
      </c>
      <c r="C1257" s="1" t="n">
        <v>45762</v>
      </c>
      <c r="D1257" t="inlineStr">
        <is>
          <t>UPPSALA LÄN</t>
        </is>
      </c>
      <c r="E1257" t="inlineStr">
        <is>
          <t>UPPSALA</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54231-2023</t>
        </is>
      </c>
      <c r="B1258" s="1" t="n">
        <v>45232</v>
      </c>
      <c r="C1258" s="1" t="n">
        <v>45762</v>
      </c>
      <c r="D1258" t="inlineStr">
        <is>
          <t>UPPSALA LÄN</t>
        </is>
      </c>
      <c r="E1258" t="inlineStr">
        <is>
          <t>UPPSALA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55529-2023</t>
        </is>
      </c>
      <c r="B1259" s="1" t="n">
        <v>45232</v>
      </c>
      <c r="C1259" s="1" t="n">
        <v>45762</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54375-2023</t>
        </is>
      </c>
      <c r="B1260" s="1" t="n">
        <v>45233</v>
      </c>
      <c r="C1260" s="1" t="n">
        <v>45762</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54474-2023</t>
        </is>
      </c>
      <c r="B1261" s="1" t="n">
        <v>45233</v>
      </c>
      <c r="C1261" s="1" t="n">
        <v>45762</v>
      </c>
      <c r="D1261" t="inlineStr">
        <is>
          <t>UPPSALA LÄN</t>
        </is>
      </c>
      <c r="E1261" t="inlineStr">
        <is>
          <t>UPPSALA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54461-2023</t>
        </is>
      </c>
      <c r="B1262" s="1" t="n">
        <v>45233</v>
      </c>
      <c r="C1262" s="1" t="n">
        <v>45762</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54808-2023</t>
        </is>
      </c>
      <c r="B1263" s="1" t="n">
        <v>45236</v>
      </c>
      <c r="C1263" s="1" t="n">
        <v>45762</v>
      </c>
      <c r="D1263" t="inlineStr">
        <is>
          <t>UPPSALA LÄN</t>
        </is>
      </c>
      <c r="E1263" t="inlineStr">
        <is>
          <t>UPPSALA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54704-2023</t>
        </is>
      </c>
      <c r="B1264" s="1" t="n">
        <v>45236</v>
      </c>
      <c r="C1264" s="1" t="n">
        <v>45762</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54783-2023</t>
        </is>
      </c>
      <c r="B1265" s="1" t="n">
        <v>45236</v>
      </c>
      <c r="C1265" s="1" t="n">
        <v>45762</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55598-2023</t>
        </is>
      </c>
      <c r="B1266" s="1" t="n">
        <v>45238</v>
      </c>
      <c r="C1266" s="1" t="n">
        <v>45762</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56084-2023</t>
        </is>
      </c>
      <c r="B1267" s="1" t="n">
        <v>45240</v>
      </c>
      <c r="C1267" s="1" t="n">
        <v>45762</v>
      </c>
      <c r="D1267" t="inlineStr">
        <is>
          <t>UPPSALA LÄN</t>
        </is>
      </c>
      <c r="E1267" t="inlineStr">
        <is>
          <t>UPPSALA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56082-2023</t>
        </is>
      </c>
      <c r="B1268" s="1" t="n">
        <v>45240</v>
      </c>
      <c r="C1268" s="1" t="n">
        <v>45762</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56105-2023</t>
        </is>
      </c>
      <c r="B1269" s="1" t="n">
        <v>45240</v>
      </c>
      <c r="C1269" s="1" t="n">
        <v>45762</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56077-2023</t>
        </is>
      </c>
      <c r="B1270" s="1" t="n">
        <v>45240</v>
      </c>
      <c r="C1270" s="1" t="n">
        <v>45762</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56278-2023</t>
        </is>
      </c>
      <c r="B1271" s="1" t="n">
        <v>45241</v>
      </c>
      <c r="C1271" s="1" t="n">
        <v>45762</v>
      </c>
      <c r="D1271" t="inlineStr">
        <is>
          <t>UPPSALA LÄN</t>
        </is>
      </c>
      <c r="E1271" t="inlineStr">
        <is>
          <t>UPPSALA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56642-2023</t>
        </is>
      </c>
      <c r="B1272" s="1" t="n">
        <v>45243</v>
      </c>
      <c r="C1272" s="1" t="n">
        <v>45762</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56852-2023</t>
        </is>
      </c>
      <c r="B1273" s="1" t="n">
        <v>45244</v>
      </c>
      <c r="C1273" s="1" t="n">
        <v>45762</v>
      </c>
      <c r="D1273" t="inlineStr">
        <is>
          <t>UPPSALA LÄN</t>
        </is>
      </c>
      <c r="E1273" t="inlineStr">
        <is>
          <t>UPPSALA</t>
        </is>
      </c>
      <c r="F1273" t="inlineStr">
        <is>
          <t>Holmen skog AB</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56872-2023</t>
        </is>
      </c>
      <c r="B1274" s="1" t="n">
        <v>45244</v>
      </c>
      <c r="C1274" s="1" t="n">
        <v>45762</v>
      </c>
      <c r="D1274" t="inlineStr">
        <is>
          <t>UPPSALA LÄN</t>
        </is>
      </c>
      <c r="E1274" t="inlineStr">
        <is>
          <t>UPPSALA</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57186-2023</t>
        </is>
      </c>
      <c r="B1275" s="1" t="n">
        <v>45245</v>
      </c>
      <c r="C1275" s="1" t="n">
        <v>45762</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57182-2023</t>
        </is>
      </c>
      <c r="B1276" s="1" t="n">
        <v>45245</v>
      </c>
      <c r="C1276" s="1" t="n">
        <v>45762</v>
      </c>
      <c r="D1276" t="inlineStr">
        <is>
          <t>UPPSALA LÄN</t>
        </is>
      </c>
      <c r="E1276" t="inlineStr">
        <is>
          <t>UPPSALA</t>
        </is>
      </c>
      <c r="F1276" t="inlineStr">
        <is>
          <t>Övriga Aktiebolag</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59240-2023</t>
        </is>
      </c>
      <c r="B1277" s="1" t="n">
        <v>45253</v>
      </c>
      <c r="C1277" s="1" t="n">
        <v>45762</v>
      </c>
      <c r="D1277" t="inlineStr">
        <is>
          <t>UPPSALA LÄN</t>
        </is>
      </c>
      <c r="E1277" t="inlineStr">
        <is>
          <t>UPPSALA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59511-2023</t>
        </is>
      </c>
      <c r="B1278" s="1" t="n">
        <v>45254</v>
      </c>
      <c r="C1278" s="1" t="n">
        <v>45762</v>
      </c>
      <c r="D1278" t="inlineStr">
        <is>
          <t>UPPSALA LÄN</t>
        </is>
      </c>
      <c r="E1278" t="inlineStr">
        <is>
          <t>UPPSALA</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59521-2023</t>
        </is>
      </c>
      <c r="B1279" s="1" t="n">
        <v>45254</v>
      </c>
      <c r="C1279" s="1" t="n">
        <v>45762</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59564-2023</t>
        </is>
      </c>
      <c r="B1280" s="1" t="n">
        <v>45254</v>
      </c>
      <c r="C1280" s="1" t="n">
        <v>45762</v>
      </c>
      <c r="D1280" t="inlineStr">
        <is>
          <t>UPPSALA LÄN</t>
        </is>
      </c>
      <c r="E1280" t="inlineStr">
        <is>
          <t>UPPSALA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59570-2023</t>
        </is>
      </c>
      <c r="B1281" s="1" t="n">
        <v>45254</v>
      </c>
      <c r="C1281" s="1" t="n">
        <v>45762</v>
      </c>
      <c r="D1281" t="inlineStr">
        <is>
          <t>UPPSALA LÄN</t>
        </is>
      </c>
      <c r="E1281" t="inlineStr">
        <is>
          <t>UPPSALA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59585-2023</t>
        </is>
      </c>
      <c r="B1282" s="1" t="n">
        <v>45254</v>
      </c>
      <c r="C1282" s="1" t="n">
        <v>45762</v>
      </c>
      <c r="D1282" t="inlineStr">
        <is>
          <t>UPPSALA LÄN</t>
        </is>
      </c>
      <c r="E1282" t="inlineStr">
        <is>
          <t>UPPSALA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59489-2023</t>
        </is>
      </c>
      <c r="B1283" s="1" t="n">
        <v>45254</v>
      </c>
      <c r="C1283" s="1" t="n">
        <v>45762</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59856-2023</t>
        </is>
      </c>
      <c r="B1284" s="1" t="n">
        <v>45257</v>
      </c>
      <c r="C1284" s="1" t="n">
        <v>45762</v>
      </c>
      <c r="D1284" t="inlineStr">
        <is>
          <t>UPPSALA LÄN</t>
        </is>
      </c>
      <c r="E1284" t="inlineStr">
        <is>
          <t>UPPSALA</t>
        </is>
      </c>
      <c r="F1284" t="inlineStr">
        <is>
          <t>Allmännings- och besparingsskogar</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59810-2023</t>
        </is>
      </c>
      <c r="B1285" s="1" t="n">
        <v>45257</v>
      </c>
      <c r="C1285" s="1" t="n">
        <v>45762</v>
      </c>
      <c r="D1285" t="inlineStr">
        <is>
          <t>UPPSALA LÄN</t>
        </is>
      </c>
      <c r="E1285" t="inlineStr">
        <is>
          <t>UPPSALA</t>
        </is>
      </c>
      <c r="F1285" t="inlineStr">
        <is>
          <t>Allmännings- och besparingsskogar</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60444-2023</t>
        </is>
      </c>
      <c r="B1286" s="1" t="n">
        <v>45259</v>
      </c>
      <c r="C1286" s="1" t="n">
        <v>45762</v>
      </c>
      <c r="D1286" t="inlineStr">
        <is>
          <t>UPPSALA LÄN</t>
        </is>
      </c>
      <c r="E1286" t="inlineStr">
        <is>
          <t>UPPSALA</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60447-2023</t>
        </is>
      </c>
      <c r="B1287" s="1" t="n">
        <v>45259</v>
      </c>
      <c r="C1287" s="1" t="n">
        <v>45762</v>
      </c>
      <c r="D1287" t="inlineStr">
        <is>
          <t>UPPSALA LÄN</t>
        </is>
      </c>
      <c r="E1287" t="inlineStr">
        <is>
          <t>UPPSALA</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60714-2023</t>
        </is>
      </c>
      <c r="B1288" s="1" t="n">
        <v>45259</v>
      </c>
      <c r="C1288" s="1" t="n">
        <v>45762</v>
      </c>
      <c r="D1288" t="inlineStr">
        <is>
          <t>UPPSALA LÄN</t>
        </is>
      </c>
      <c r="E1288" t="inlineStr">
        <is>
          <t>UPPSALA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60814-2023</t>
        </is>
      </c>
      <c r="B1289" s="1" t="n">
        <v>45259</v>
      </c>
      <c r="C1289" s="1" t="n">
        <v>45762</v>
      </c>
      <c r="D1289" t="inlineStr">
        <is>
          <t>UPPSALA LÄN</t>
        </is>
      </c>
      <c r="E1289" t="inlineStr">
        <is>
          <t>UPPSALA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60781-2023</t>
        </is>
      </c>
      <c r="B1290" s="1" t="n">
        <v>45259</v>
      </c>
      <c r="C1290" s="1" t="n">
        <v>45762</v>
      </c>
      <c r="D1290" t="inlineStr">
        <is>
          <t>UPPSALA LÄN</t>
        </is>
      </c>
      <c r="E1290" t="inlineStr">
        <is>
          <t>UPPSALA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61067-2023</t>
        </is>
      </c>
      <c r="B1291" s="1" t="n">
        <v>45259</v>
      </c>
      <c r="C1291" s="1" t="n">
        <v>45762</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60707-2023</t>
        </is>
      </c>
      <c r="B1292" s="1" t="n">
        <v>45260</v>
      </c>
      <c r="C1292" s="1" t="n">
        <v>45762</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61947-2023</t>
        </is>
      </c>
      <c r="B1293" s="1" t="n">
        <v>45266</v>
      </c>
      <c r="C1293" s="1" t="n">
        <v>45762</v>
      </c>
      <c r="D1293" t="inlineStr">
        <is>
          <t>UPPSALA LÄN</t>
        </is>
      </c>
      <c r="E1293" t="inlineStr">
        <is>
          <t>UPPSALA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62287-2023</t>
        </is>
      </c>
      <c r="B1294" s="1" t="n">
        <v>45267</v>
      </c>
      <c r="C1294" s="1" t="n">
        <v>45762</v>
      </c>
      <c r="D1294" t="inlineStr">
        <is>
          <t>UPPSALA LÄN</t>
        </is>
      </c>
      <c r="E1294" t="inlineStr">
        <is>
          <t>UPPSALA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62627-2023</t>
        </is>
      </c>
      <c r="B1295" s="1" t="n">
        <v>45268</v>
      </c>
      <c r="C1295" s="1" t="n">
        <v>45762</v>
      </c>
      <c r="D1295" t="inlineStr">
        <is>
          <t>UPPSALA LÄN</t>
        </is>
      </c>
      <c r="E1295" t="inlineStr">
        <is>
          <t>UPPSALA</t>
        </is>
      </c>
      <c r="G1295" t="n">
        <v>7.6</v>
      </c>
      <c r="H1295" t="n">
        <v>0</v>
      </c>
      <c r="I1295" t="n">
        <v>0</v>
      </c>
      <c r="J1295" t="n">
        <v>0</v>
      </c>
      <c r="K1295" t="n">
        <v>0</v>
      </c>
      <c r="L1295" t="n">
        <v>0</v>
      </c>
      <c r="M1295" t="n">
        <v>0</v>
      </c>
      <c r="N1295" t="n">
        <v>0</v>
      </c>
      <c r="O1295" t="n">
        <v>0</v>
      </c>
      <c r="P1295" t="n">
        <v>0</v>
      </c>
      <c r="Q1295" t="n">
        <v>0</v>
      </c>
      <c r="R1295" s="2" t="inlineStr"/>
      <c r="U1295">
        <f>HYPERLINK("https://klasma.github.io/Logging_0380/knärot/A 62627-2023 karta knärot.png", "A 62627-2023")</f>
        <v/>
      </c>
      <c r="V1295">
        <f>HYPERLINK("https://klasma.github.io/Logging_0380/klagomål/A 62627-2023 FSC-klagomål.docx", "A 62627-2023")</f>
        <v/>
      </c>
      <c r="W1295">
        <f>HYPERLINK("https://klasma.github.io/Logging_0380/klagomålsmail/A 62627-2023 FSC-klagomål mail.docx", "A 62627-2023")</f>
        <v/>
      </c>
      <c r="X1295">
        <f>HYPERLINK("https://klasma.github.io/Logging_0380/tillsyn/A 62627-2023 tillsynsbegäran.docx", "A 62627-2023")</f>
        <v/>
      </c>
      <c r="Y1295">
        <f>HYPERLINK("https://klasma.github.io/Logging_0380/tillsynsmail/A 62627-2023 tillsynsbegäran mail.docx", "A 62627-2023")</f>
        <v/>
      </c>
    </row>
    <row r="1296" ht="15" customHeight="1">
      <c r="A1296" t="inlineStr">
        <is>
          <t>A 62636-2023</t>
        </is>
      </c>
      <c r="B1296" s="1" t="n">
        <v>45268</v>
      </c>
      <c r="C1296" s="1" t="n">
        <v>45762</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62691-2023</t>
        </is>
      </c>
      <c r="B1297" s="1" t="n">
        <v>45268</v>
      </c>
      <c r="C1297" s="1" t="n">
        <v>45762</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62694-2023</t>
        </is>
      </c>
      <c r="B1298" s="1" t="n">
        <v>45268</v>
      </c>
      <c r="C1298" s="1" t="n">
        <v>45762</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62714-2023</t>
        </is>
      </c>
      <c r="B1299" s="1" t="n">
        <v>45271</v>
      </c>
      <c r="C1299" s="1" t="n">
        <v>45762</v>
      </c>
      <c r="D1299" t="inlineStr">
        <is>
          <t>UPPSALA LÄN</t>
        </is>
      </c>
      <c r="E1299" t="inlineStr">
        <is>
          <t>UPPSALA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63163-2023</t>
        </is>
      </c>
      <c r="B1300" s="1" t="n">
        <v>45273</v>
      </c>
      <c r="C1300" s="1" t="n">
        <v>45762</v>
      </c>
      <c r="D1300" t="inlineStr">
        <is>
          <t>UPPSALA LÄN</t>
        </is>
      </c>
      <c r="E1300" t="inlineStr">
        <is>
          <t>UPPSALA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63578-2023</t>
        </is>
      </c>
      <c r="B1301" s="1" t="n">
        <v>45275</v>
      </c>
      <c r="C1301" s="1" t="n">
        <v>45762</v>
      </c>
      <c r="D1301" t="inlineStr">
        <is>
          <t>UPPSALA LÄN</t>
        </is>
      </c>
      <c r="E1301" t="inlineStr">
        <is>
          <t>UPPSALA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63579-2023</t>
        </is>
      </c>
      <c r="B1302" s="1" t="n">
        <v>45275</v>
      </c>
      <c r="C1302" s="1" t="n">
        <v>45762</v>
      </c>
      <c r="D1302" t="inlineStr">
        <is>
          <t>UPPSALA LÄN</t>
        </is>
      </c>
      <c r="E1302" t="inlineStr">
        <is>
          <t>UPPSALA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63576-2023</t>
        </is>
      </c>
      <c r="B1303" s="1" t="n">
        <v>45275</v>
      </c>
      <c r="C1303" s="1" t="n">
        <v>45762</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63588-2023</t>
        </is>
      </c>
      <c r="B1304" s="1" t="n">
        <v>45275</v>
      </c>
      <c r="C1304" s="1" t="n">
        <v>45762</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63698-2023</t>
        </is>
      </c>
      <c r="B1305" s="1" t="n">
        <v>45275</v>
      </c>
      <c r="C1305" s="1" t="n">
        <v>45762</v>
      </c>
      <c r="D1305" t="inlineStr">
        <is>
          <t>UPPSALA LÄN</t>
        </is>
      </c>
      <c r="E1305" t="inlineStr">
        <is>
          <t>UPPSALA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64079-2023</t>
        </is>
      </c>
      <c r="B1306" s="1" t="n">
        <v>45279</v>
      </c>
      <c r="C1306" s="1" t="n">
        <v>45762</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64806-2023</t>
        </is>
      </c>
      <c r="B1307" s="1" t="n">
        <v>45282</v>
      </c>
      <c r="C1307" s="1" t="n">
        <v>45762</v>
      </c>
      <c r="D1307" t="inlineStr">
        <is>
          <t>UPPSALA LÄN</t>
        </is>
      </c>
      <c r="E1307" t="inlineStr">
        <is>
          <t>UPPSALA</t>
        </is>
      </c>
      <c r="F1307" t="inlineStr">
        <is>
          <t>Kyrkan</t>
        </is>
      </c>
      <c r="G1307" t="n">
        <v>19.3</v>
      </c>
      <c r="H1307" t="n">
        <v>0</v>
      </c>
      <c r="I1307" t="n">
        <v>0</v>
      </c>
      <c r="J1307" t="n">
        <v>0</v>
      </c>
      <c r="K1307" t="n">
        <v>0</v>
      </c>
      <c r="L1307" t="n">
        <v>0</v>
      </c>
      <c r="M1307" t="n">
        <v>0</v>
      </c>
      <c r="N1307" t="n">
        <v>0</v>
      </c>
      <c r="O1307" t="n">
        <v>0</v>
      </c>
      <c r="P1307" t="n">
        <v>0</v>
      </c>
      <c r="Q1307" t="n">
        <v>0</v>
      </c>
      <c r="R1307" s="2" t="inlineStr"/>
    </row>
    <row r="1308" ht="15" customHeight="1">
      <c r="A1308" t="inlineStr">
        <is>
          <t>A 64880-2023</t>
        </is>
      </c>
      <c r="B1308" s="1" t="n">
        <v>45282</v>
      </c>
      <c r="C1308" s="1" t="n">
        <v>45762</v>
      </c>
      <c r="D1308" t="inlineStr">
        <is>
          <t>UPPSALA LÄN</t>
        </is>
      </c>
      <c r="E1308" t="inlineStr">
        <is>
          <t>UPPSALA</t>
        </is>
      </c>
      <c r="F1308" t="inlineStr">
        <is>
          <t>Kommuner</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65149-2023</t>
        </is>
      </c>
      <c r="B1309" s="1" t="n">
        <v>45288</v>
      </c>
      <c r="C1309" s="1" t="n">
        <v>45762</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45-2024</t>
        </is>
      </c>
      <c r="B1310" s="1" t="n">
        <v>45293</v>
      </c>
      <c r="C1310" s="1" t="n">
        <v>45762</v>
      </c>
      <c r="D1310" t="inlineStr">
        <is>
          <t>UPPSALA LÄN</t>
        </is>
      </c>
      <c r="E1310" t="inlineStr">
        <is>
          <t>UPPSALA</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43-2024</t>
        </is>
      </c>
      <c r="B1311" s="1" t="n">
        <v>45293</v>
      </c>
      <c r="C1311" s="1" t="n">
        <v>45762</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179-2024</t>
        </is>
      </c>
      <c r="B1312" s="1" t="n">
        <v>45294</v>
      </c>
      <c r="C1312" s="1" t="n">
        <v>45762</v>
      </c>
      <c r="D1312" t="inlineStr">
        <is>
          <t>UPPSALA LÄN</t>
        </is>
      </c>
      <c r="E1312" t="inlineStr">
        <is>
          <t>UPPSALA</t>
        </is>
      </c>
      <c r="F1312" t="inlineStr">
        <is>
          <t>Bergvik skog öst AB</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341-2024</t>
        </is>
      </c>
      <c r="B1313" s="1" t="n">
        <v>45295</v>
      </c>
      <c r="C1313" s="1" t="n">
        <v>45762</v>
      </c>
      <c r="D1313" t="inlineStr">
        <is>
          <t>UPPSALA LÄN</t>
        </is>
      </c>
      <c r="E1313" t="inlineStr">
        <is>
          <t>UPPSALA</t>
        </is>
      </c>
      <c r="F1313" t="inlineStr">
        <is>
          <t>Allmännings- och besparingsskogar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358-2024</t>
        </is>
      </c>
      <c r="B1314" s="1" t="n">
        <v>45295</v>
      </c>
      <c r="C1314" s="1" t="n">
        <v>45762</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446-2024</t>
        </is>
      </c>
      <c r="B1315" s="1" t="n">
        <v>45296</v>
      </c>
      <c r="C1315" s="1" t="n">
        <v>45762</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449-2024</t>
        </is>
      </c>
      <c r="B1316" s="1" t="n">
        <v>45296</v>
      </c>
      <c r="C1316" s="1" t="n">
        <v>45762</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c r="U1316">
        <f>HYPERLINK("https://klasma.github.io/Logging_0380/knärot/A 449-2024 karta knärot.png", "A 449-2024")</f>
        <v/>
      </c>
      <c r="V1316">
        <f>HYPERLINK("https://klasma.github.io/Logging_0380/klagomål/A 449-2024 FSC-klagomål.docx", "A 449-2024")</f>
        <v/>
      </c>
      <c r="W1316">
        <f>HYPERLINK("https://klasma.github.io/Logging_0380/klagomålsmail/A 449-2024 FSC-klagomål mail.docx", "A 449-2024")</f>
        <v/>
      </c>
      <c r="X1316">
        <f>HYPERLINK("https://klasma.github.io/Logging_0380/tillsyn/A 449-2024 tillsynsbegäran.docx", "A 449-2024")</f>
        <v/>
      </c>
      <c r="Y1316">
        <f>HYPERLINK("https://klasma.github.io/Logging_0380/tillsynsmail/A 449-2024 tillsynsbegäran mail.docx", "A 449-2024")</f>
        <v/>
      </c>
    </row>
    <row r="1317" ht="15" customHeight="1">
      <c r="A1317" t="inlineStr">
        <is>
          <t>A 600-2024</t>
        </is>
      </c>
      <c r="B1317" s="1" t="n">
        <v>45299</v>
      </c>
      <c r="C1317" s="1" t="n">
        <v>45762</v>
      </c>
      <c r="D1317" t="inlineStr">
        <is>
          <t>UPPSALA LÄN</t>
        </is>
      </c>
      <c r="E1317" t="inlineStr">
        <is>
          <t>UPPSALA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787-2024</t>
        </is>
      </c>
      <c r="B1318" s="1" t="n">
        <v>45300</v>
      </c>
      <c r="C1318" s="1" t="n">
        <v>45762</v>
      </c>
      <c r="D1318" t="inlineStr">
        <is>
          <t>UPPSALA LÄN</t>
        </is>
      </c>
      <c r="E1318" t="inlineStr">
        <is>
          <t>UPPSALA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784-2024</t>
        </is>
      </c>
      <c r="B1319" s="1" t="n">
        <v>45300</v>
      </c>
      <c r="C1319" s="1" t="n">
        <v>45762</v>
      </c>
      <c r="D1319" t="inlineStr">
        <is>
          <t>UPPSALA LÄN</t>
        </is>
      </c>
      <c r="E1319" t="inlineStr">
        <is>
          <t>UPPSALA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781-2024</t>
        </is>
      </c>
      <c r="B1320" s="1" t="n">
        <v>45300</v>
      </c>
      <c r="C1320" s="1" t="n">
        <v>45762</v>
      </c>
      <c r="D1320" t="inlineStr">
        <is>
          <t>UPPSALA LÄN</t>
        </is>
      </c>
      <c r="E1320" t="inlineStr">
        <is>
          <t>UPPSALA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1825-2024</t>
        </is>
      </c>
      <c r="B1321" s="1" t="n">
        <v>45307</v>
      </c>
      <c r="C1321" s="1" t="n">
        <v>45762</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1806-2024</t>
        </is>
      </c>
      <c r="B1322" s="1" t="n">
        <v>45307</v>
      </c>
      <c r="C1322" s="1" t="n">
        <v>45762</v>
      </c>
      <c r="D1322" t="inlineStr">
        <is>
          <t>UPPSALA LÄN</t>
        </is>
      </c>
      <c r="E1322" t="inlineStr">
        <is>
          <t>UPPSALA</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1838-2024</t>
        </is>
      </c>
      <c r="B1323" s="1" t="n">
        <v>45307</v>
      </c>
      <c r="C1323" s="1" t="n">
        <v>45762</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1994-2024</t>
        </is>
      </c>
      <c r="B1324" s="1" t="n">
        <v>45308</v>
      </c>
      <c r="C1324" s="1" t="n">
        <v>45762</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2294-2024</t>
        </is>
      </c>
      <c r="B1325" s="1" t="n">
        <v>45310</v>
      </c>
      <c r="C1325" s="1" t="n">
        <v>45762</v>
      </c>
      <c r="D1325" t="inlineStr">
        <is>
          <t>UPPSALA LÄN</t>
        </is>
      </c>
      <c r="E1325" t="inlineStr">
        <is>
          <t>UPPSALA</t>
        </is>
      </c>
      <c r="F1325" t="inlineStr">
        <is>
          <t>Allmännings- och besparingsskogar</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2327-2024</t>
        </is>
      </c>
      <c r="B1326" s="1" t="n">
        <v>45310</v>
      </c>
      <c r="C1326" s="1" t="n">
        <v>45762</v>
      </c>
      <c r="D1326" t="inlineStr">
        <is>
          <t>UPPSALA LÄN</t>
        </is>
      </c>
      <c r="E1326" t="inlineStr">
        <is>
          <t>UPPSALA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2339-2024</t>
        </is>
      </c>
      <c r="B1327" s="1" t="n">
        <v>45310</v>
      </c>
      <c r="C1327" s="1" t="n">
        <v>45762</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2357-2024</t>
        </is>
      </c>
      <c r="B1328" s="1" t="n">
        <v>45310</v>
      </c>
      <c r="C1328" s="1" t="n">
        <v>45762</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2740-2024</t>
        </is>
      </c>
      <c r="B1329" s="1" t="n">
        <v>45314</v>
      </c>
      <c r="C1329" s="1" t="n">
        <v>45762</v>
      </c>
      <c r="D1329" t="inlineStr">
        <is>
          <t>UPPSALA LÄN</t>
        </is>
      </c>
      <c r="E1329" t="inlineStr">
        <is>
          <t>UPPSALA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2735-2024</t>
        </is>
      </c>
      <c r="B1330" s="1" t="n">
        <v>45314</v>
      </c>
      <c r="C1330" s="1" t="n">
        <v>45762</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2769-2024</t>
        </is>
      </c>
      <c r="B1331" s="1" t="n">
        <v>45314</v>
      </c>
      <c r="C1331" s="1" t="n">
        <v>45762</v>
      </c>
      <c r="D1331" t="inlineStr">
        <is>
          <t>UPPSALA LÄN</t>
        </is>
      </c>
      <c r="E1331" t="inlineStr">
        <is>
          <t>UPPSALA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2785-2024</t>
        </is>
      </c>
      <c r="B1332" s="1" t="n">
        <v>45314</v>
      </c>
      <c r="C1332" s="1" t="n">
        <v>45762</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3175-2024</t>
        </is>
      </c>
      <c r="B1333" s="1" t="n">
        <v>45316</v>
      </c>
      <c r="C1333" s="1" t="n">
        <v>45762</v>
      </c>
      <c r="D1333" t="inlineStr">
        <is>
          <t>UPPSALA LÄN</t>
        </is>
      </c>
      <c r="E1333" t="inlineStr">
        <is>
          <t>UPPSALA</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3183-2024</t>
        </is>
      </c>
      <c r="B1334" s="1" t="n">
        <v>45316</v>
      </c>
      <c r="C1334" s="1" t="n">
        <v>45762</v>
      </c>
      <c r="D1334" t="inlineStr">
        <is>
          <t>UPPSALA LÄN</t>
        </is>
      </c>
      <c r="E1334" t="inlineStr">
        <is>
          <t>UPPSALA</t>
        </is>
      </c>
      <c r="F1334" t="inlineStr">
        <is>
          <t>Bergvik skog öst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3261-2024</t>
        </is>
      </c>
      <c r="B1335" s="1" t="n">
        <v>45317</v>
      </c>
      <c r="C1335" s="1" t="n">
        <v>45762</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3260-2024</t>
        </is>
      </c>
      <c r="B1336" s="1" t="n">
        <v>45317</v>
      </c>
      <c r="C1336" s="1" t="n">
        <v>45762</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3813-2024</t>
        </is>
      </c>
      <c r="B1337" s="1" t="n">
        <v>45321</v>
      </c>
      <c r="C1337" s="1" t="n">
        <v>45762</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4065-2024</t>
        </is>
      </c>
      <c r="B1338" s="1" t="n">
        <v>45323</v>
      </c>
      <c r="C1338" s="1" t="n">
        <v>45762</v>
      </c>
      <c r="D1338" t="inlineStr">
        <is>
          <t>UPPSALA LÄN</t>
        </is>
      </c>
      <c r="E1338" t="inlineStr">
        <is>
          <t>UPPSALA</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4216-2024</t>
        </is>
      </c>
      <c r="B1339" s="1" t="n">
        <v>45324</v>
      </c>
      <c r="C1339" s="1" t="n">
        <v>45762</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4412-2024</t>
        </is>
      </c>
      <c r="B1340" s="1" t="n">
        <v>45327</v>
      </c>
      <c r="C1340" s="1" t="n">
        <v>45762</v>
      </c>
      <c r="D1340" t="inlineStr">
        <is>
          <t>UPPSALA LÄN</t>
        </is>
      </c>
      <c r="E1340" t="inlineStr">
        <is>
          <t>UPPSALA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4425-2024</t>
        </is>
      </c>
      <c r="B1341" s="1" t="n">
        <v>45327</v>
      </c>
      <c r="C1341" s="1" t="n">
        <v>45762</v>
      </c>
      <c r="D1341" t="inlineStr">
        <is>
          <t>UPPSALA LÄN</t>
        </is>
      </c>
      <c r="E1341" t="inlineStr">
        <is>
          <t>UPPSALA</t>
        </is>
      </c>
      <c r="F1341" t="inlineStr">
        <is>
          <t>Allmännings- och besparingsskogar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4461-2024</t>
        </is>
      </c>
      <c r="B1342" s="1" t="n">
        <v>45327</v>
      </c>
      <c r="C1342" s="1" t="n">
        <v>45762</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4503-2024</t>
        </is>
      </c>
      <c r="B1343" s="1" t="n">
        <v>45327</v>
      </c>
      <c r="C1343" s="1" t="n">
        <v>45762</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4509-2024</t>
        </is>
      </c>
      <c r="B1344" s="1" t="n">
        <v>45327</v>
      </c>
      <c r="C1344" s="1" t="n">
        <v>45762</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4980-2024</t>
        </is>
      </c>
      <c r="B1345" s="1" t="n">
        <v>45329</v>
      </c>
      <c r="C1345" s="1" t="n">
        <v>45762</v>
      </c>
      <c r="D1345" t="inlineStr">
        <is>
          <t>UPPSALA LÄN</t>
        </is>
      </c>
      <c r="E1345" t="inlineStr">
        <is>
          <t>UPPSALA</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5475-2024</t>
        </is>
      </c>
      <c r="B1346" s="1" t="n">
        <v>45333</v>
      </c>
      <c r="C1346" s="1" t="n">
        <v>45762</v>
      </c>
      <c r="D1346" t="inlineStr">
        <is>
          <t>UPPSALA LÄN</t>
        </is>
      </c>
      <c r="E1346" t="inlineStr">
        <is>
          <t>UPPSALA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5848-2024</t>
        </is>
      </c>
      <c r="B1347" s="1" t="n">
        <v>45335</v>
      </c>
      <c r="C1347" s="1" t="n">
        <v>45762</v>
      </c>
      <c r="D1347" t="inlineStr">
        <is>
          <t>UPPSALA LÄN</t>
        </is>
      </c>
      <c r="E1347" t="inlineStr">
        <is>
          <t>UPPSALA</t>
        </is>
      </c>
      <c r="F1347" t="inlineStr">
        <is>
          <t>Kyrkan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5899-2024</t>
        </is>
      </c>
      <c r="B1348" s="1" t="n">
        <v>45335</v>
      </c>
      <c r="C1348" s="1" t="n">
        <v>45762</v>
      </c>
      <c r="D1348" t="inlineStr">
        <is>
          <t>UPPSALA LÄN</t>
        </is>
      </c>
      <c r="E1348" t="inlineStr">
        <is>
          <t>UPPSALA</t>
        </is>
      </c>
      <c r="F1348" t="inlineStr">
        <is>
          <t>Allmännings- och besparingsskogar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5876-2024</t>
        </is>
      </c>
      <c r="B1349" s="1" t="n">
        <v>45335</v>
      </c>
      <c r="C1349" s="1" t="n">
        <v>45762</v>
      </c>
      <c r="D1349" t="inlineStr">
        <is>
          <t>UPPSALA LÄN</t>
        </is>
      </c>
      <c r="E1349" t="inlineStr">
        <is>
          <t>UPPSALA</t>
        </is>
      </c>
      <c r="F1349" t="inlineStr">
        <is>
          <t>Kyrkan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5896-2024</t>
        </is>
      </c>
      <c r="B1350" s="1" t="n">
        <v>45335</v>
      </c>
      <c r="C1350" s="1" t="n">
        <v>45762</v>
      </c>
      <c r="D1350" t="inlineStr">
        <is>
          <t>UPPSALA LÄN</t>
        </is>
      </c>
      <c r="E1350" t="inlineStr">
        <is>
          <t>UPPSALA</t>
        </is>
      </c>
      <c r="F1350" t="inlineStr">
        <is>
          <t>Allmännings- och besparingsskogar</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5974-2024</t>
        </is>
      </c>
      <c r="B1351" s="1" t="n">
        <v>45336</v>
      </c>
      <c r="C1351" s="1" t="n">
        <v>45762</v>
      </c>
      <c r="D1351" t="inlineStr">
        <is>
          <t>UPPSALA LÄN</t>
        </is>
      </c>
      <c r="E1351" t="inlineStr">
        <is>
          <t>UPPSALA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5975-2024</t>
        </is>
      </c>
      <c r="B1352" s="1" t="n">
        <v>45336</v>
      </c>
      <c r="C1352" s="1" t="n">
        <v>45762</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6024-2024</t>
        </is>
      </c>
      <c r="B1353" s="1" t="n">
        <v>45336</v>
      </c>
      <c r="C1353" s="1" t="n">
        <v>45762</v>
      </c>
      <c r="D1353" t="inlineStr">
        <is>
          <t>UPPSALA LÄN</t>
        </is>
      </c>
      <c r="E1353" t="inlineStr">
        <is>
          <t>UPPSALA</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6199-2024</t>
        </is>
      </c>
      <c r="B1354" s="1" t="n">
        <v>45337</v>
      </c>
      <c r="C1354" s="1" t="n">
        <v>45762</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6211-2024</t>
        </is>
      </c>
      <c r="B1355" s="1" t="n">
        <v>45337</v>
      </c>
      <c r="C1355" s="1" t="n">
        <v>45762</v>
      </c>
      <c r="D1355" t="inlineStr">
        <is>
          <t>UPPSALA LÄN</t>
        </is>
      </c>
      <c r="E1355" t="inlineStr">
        <is>
          <t>UPPSALA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6098-2024</t>
        </is>
      </c>
      <c r="B1356" s="1" t="n">
        <v>45337</v>
      </c>
      <c r="C1356" s="1" t="n">
        <v>45762</v>
      </c>
      <c r="D1356" t="inlineStr">
        <is>
          <t>UPPSALA LÄN</t>
        </is>
      </c>
      <c r="E1356" t="inlineStr">
        <is>
          <t>UPPSALA</t>
        </is>
      </c>
      <c r="F1356" t="inlineStr">
        <is>
          <t>Övriga Aktiebolag</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6363-2024</t>
        </is>
      </c>
      <c r="B1357" s="1" t="n">
        <v>45338</v>
      </c>
      <c r="C1357" s="1" t="n">
        <v>45762</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6501-2024</t>
        </is>
      </c>
      <c r="B1358" s="1" t="n">
        <v>45339</v>
      </c>
      <c r="C1358" s="1" t="n">
        <v>45762</v>
      </c>
      <c r="D1358" t="inlineStr">
        <is>
          <t>UPPSALA LÄN</t>
        </is>
      </c>
      <c r="E1358" t="inlineStr">
        <is>
          <t>UPPSALA</t>
        </is>
      </c>
      <c r="F1358" t="inlineStr">
        <is>
          <t>Bergvik skog öst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6506-2024</t>
        </is>
      </c>
      <c r="B1359" s="1" t="n">
        <v>45339</v>
      </c>
      <c r="C1359" s="1" t="n">
        <v>45762</v>
      </c>
      <c r="D1359" t="inlineStr">
        <is>
          <t>UPPSALA LÄN</t>
        </is>
      </c>
      <c r="E1359" t="inlineStr">
        <is>
          <t>UPPSALA</t>
        </is>
      </c>
      <c r="F1359" t="inlineStr">
        <is>
          <t>Bergvik skog öst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6505-2024</t>
        </is>
      </c>
      <c r="B1360" s="1" t="n">
        <v>45339</v>
      </c>
      <c r="C1360" s="1" t="n">
        <v>45762</v>
      </c>
      <c r="D1360" t="inlineStr">
        <is>
          <t>UPPSALA LÄN</t>
        </is>
      </c>
      <c r="E1360" t="inlineStr">
        <is>
          <t>UPPSALA</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6500-2024</t>
        </is>
      </c>
      <c r="B1361" s="1" t="n">
        <v>45339</v>
      </c>
      <c r="C1361" s="1" t="n">
        <v>45762</v>
      </c>
      <c r="D1361" t="inlineStr">
        <is>
          <t>UPPSALA LÄN</t>
        </is>
      </c>
      <c r="E1361" t="inlineStr">
        <is>
          <t>UPPSALA</t>
        </is>
      </c>
      <c r="F1361" t="inlineStr">
        <is>
          <t>Bergvik skog öst AB</t>
        </is>
      </c>
      <c r="G1361" t="n">
        <v>23.7</v>
      </c>
      <c r="H1361" t="n">
        <v>0</v>
      </c>
      <c r="I1361" t="n">
        <v>0</v>
      </c>
      <c r="J1361" t="n">
        <v>0</v>
      </c>
      <c r="K1361" t="n">
        <v>0</v>
      </c>
      <c r="L1361" t="n">
        <v>0</v>
      </c>
      <c r="M1361" t="n">
        <v>0</v>
      </c>
      <c r="N1361" t="n">
        <v>0</v>
      </c>
      <c r="O1361" t="n">
        <v>0</v>
      </c>
      <c r="P1361" t="n">
        <v>0</v>
      </c>
      <c r="Q1361" t="n">
        <v>0</v>
      </c>
      <c r="R1361" s="2" t="inlineStr"/>
    </row>
    <row r="1362" ht="15" customHeight="1">
      <c r="A1362" t="inlineStr">
        <is>
          <t>A 6504-2024</t>
        </is>
      </c>
      <c r="B1362" s="1" t="n">
        <v>45339</v>
      </c>
      <c r="C1362" s="1" t="n">
        <v>45762</v>
      </c>
      <c r="D1362" t="inlineStr">
        <is>
          <t>UPPSALA LÄN</t>
        </is>
      </c>
      <c r="E1362" t="inlineStr">
        <is>
          <t>UPPSALA</t>
        </is>
      </c>
      <c r="F1362" t="inlineStr">
        <is>
          <t>Bergvik skog öst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6503-2024</t>
        </is>
      </c>
      <c r="B1363" s="1" t="n">
        <v>45339</v>
      </c>
      <c r="C1363" s="1" t="n">
        <v>45762</v>
      </c>
      <c r="D1363" t="inlineStr">
        <is>
          <t>UPPSALA LÄN</t>
        </is>
      </c>
      <c r="E1363" t="inlineStr">
        <is>
          <t>UPPSALA</t>
        </is>
      </c>
      <c r="F1363" t="inlineStr">
        <is>
          <t>Bergvik skog öst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6507-2024</t>
        </is>
      </c>
      <c r="B1364" s="1" t="n">
        <v>45339</v>
      </c>
      <c r="C1364" s="1" t="n">
        <v>45762</v>
      </c>
      <c r="D1364" t="inlineStr">
        <is>
          <t>UPPSALA LÄN</t>
        </is>
      </c>
      <c r="E1364" t="inlineStr">
        <is>
          <t>UPPSALA</t>
        </is>
      </c>
      <c r="F1364" t="inlineStr">
        <is>
          <t>Bergvik skog öst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6628-2024</t>
        </is>
      </c>
      <c r="B1365" s="1" t="n">
        <v>45341</v>
      </c>
      <c r="C1365" s="1" t="n">
        <v>45762</v>
      </c>
      <c r="D1365" t="inlineStr">
        <is>
          <t>UPPSALA LÄN</t>
        </is>
      </c>
      <c r="E1365" t="inlineStr">
        <is>
          <t>UPPSALA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6630-2024</t>
        </is>
      </c>
      <c r="B1366" s="1" t="n">
        <v>45341</v>
      </c>
      <c r="C1366" s="1" t="n">
        <v>45762</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6650-2024</t>
        </is>
      </c>
      <c r="B1367" s="1" t="n">
        <v>45341</v>
      </c>
      <c r="C1367" s="1" t="n">
        <v>45762</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6676-2024</t>
        </is>
      </c>
      <c r="B1368" s="1" t="n">
        <v>45341</v>
      </c>
      <c r="C1368" s="1" t="n">
        <v>45762</v>
      </c>
      <c r="D1368" t="inlineStr">
        <is>
          <t>UPPSALA LÄN</t>
        </is>
      </c>
      <c r="E1368" t="inlineStr">
        <is>
          <t>UPPSALA</t>
        </is>
      </c>
      <c r="F1368" t="inlineStr">
        <is>
          <t>Bergvik skog öst AB</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6609-2024</t>
        </is>
      </c>
      <c r="B1369" s="1" t="n">
        <v>45341</v>
      </c>
      <c r="C1369" s="1" t="n">
        <v>45762</v>
      </c>
      <c r="D1369" t="inlineStr">
        <is>
          <t>UPPSALA LÄN</t>
        </is>
      </c>
      <c r="E1369" t="inlineStr">
        <is>
          <t>UPPSALA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6679-2024</t>
        </is>
      </c>
      <c r="B1370" s="1" t="n">
        <v>45341</v>
      </c>
      <c r="C1370" s="1" t="n">
        <v>45762</v>
      </c>
      <c r="D1370" t="inlineStr">
        <is>
          <t>UPPSALA LÄN</t>
        </is>
      </c>
      <c r="E1370" t="inlineStr">
        <is>
          <t>UPPSALA</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6677-2024</t>
        </is>
      </c>
      <c r="B1371" s="1" t="n">
        <v>45341</v>
      </c>
      <c r="C1371" s="1" t="n">
        <v>45762</v>
      </c>
      <c r="D1371" t="inlineStr">
        <is>
          <t>UPPSALA LÄN</t>
        </is>
      </c>
      <c r="E1371" t="inlineStr">
        <is>
          <t>UPPSALA</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6678-2024</t>
        </is>
      </c>
      <c r="B1372" s="1" t="n">
        <v>45341</v>
      </c>
      <c r="C1372" s="1" t="n">
        <v>45762</v>
      </c>
      <c r="D1372" t="inlineStr">
        <is>
          <t>UPPSALA LÄN</t>
        </is>
      </c>
      <c r="E1372" t="inlineStr">
        <is>
          <t>UPPSALA</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6966-2024</t>
        </is>
      </c>
      <c r="B1373" s="1" t="n">
        <v>45343</v>
      </c>
      <c r="C1373" s="1" t="n">
        <v>45762</v>
      </c>
      <c r="D1373" t="inlineStr">
        <is>
          <t>UPPSALA LÄN</t>
        </is>
      </c>
      <c r="E1373" t="inlineStr">
        <is>
          <t>UPPSALA</t>
        </is>
      </c>
      <c r="F1373" t="inlineStr">
        <is>
          <t>Holmen skog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7253-2024</t>
        </is>
      </c>
      <c r="B1374" s="1" t="n">
        <v>45344</v>
      </c>
      <c r="C1374" s="1" t="n">
        <v>45762</v>
      </c>
      <c r="D1374" t="inlineStr">
        <is>
          <t>UPPSALA LÄN</t>
        </is>
      </c>
      <c r="E1374" t="inlineStr">
        <is>
          <t>UPPSALA</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7158-2024</t>
        </is>
      </c>
      <c r="B1375" s="1" t="n">
        <v>45344</v>
      </c>
      <c r="C1375" s="1" t="n">
        <v>45762</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7175-2024</t>
        </is>
      </c>
      <c r="B1376" s="1" t="n">
        <v>45344</v>
      </c>
      <c r="C1376" s="1" t="n">
        <v>45762</v>
      </c>
      <c r="D1376" t="inlineStr">
        <is>
          <t>UPPSALA LÄN</t>
        </is>
      </c>
      <c r="E1376" t="inlineStr">
        <is>
          <t>UPPSALA</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7275-2024</t>
        </is>
      </c>
      <c r="B1377" s="1" t="n">
        <v>45344</v>
      </c>
      <c r="C1377" s="1" t="n">
        <v>45762</v>
      </c>
      <c r="D1377" t="inlineStr">
        <is>
          <t>UPPSALA LÄN</t>
        </is>
      </c>
      <c r="E1377" t="inlineStr">
        <is>
          <t>UPPSALA</t>
        </is>
      </c>
      <c r="F1377" t="inlineStr">
        <is>
          <t>Bergvik skog öst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7226-2024</t>
        </is>
      </c>
      <c r="B1378" s="1" t="n">
        <v>45344</v>
      </c>
      <c r="C1378" s="1" t="n">
        <v>45762</v>
      </c>
      <c r="D1378" t="inlineStr">
        <is>
          <t>UPPSALA LÄN</t>
        </is>
      </c>
      <c r="E1378" t="inlineStr">
        <is>
          <t>UPPSALA</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7274-2024</t>
        </is>
      </c>
      <c r="B1379" s="1" t="n">
        <v>45344</v>
      </c>
      <c r="C1379" s="1" t="n">
        <v>45762</v>
      </c>
      <c r="D1379" t="inlineStr">
        <is>
          <t>UPPSALA LÄN</t>
        </is>
      </c>
      <c r="E1379" t="inlineStr">
        <is>
          <t>UPPSALA</t>
        </is>
      </c>
      <c r="F1379" t="inlineStr">
        <is>
          <t>Bergvik skog öst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7278-2024</t>
        </is>
      </c>
      <c r="B1380" s="1" t="n">
        <v>45344</v>
      </c>
      <c r="C1380" s="1" t="n">
        <v>45762</v>
      </c>
      <c r="D1380" t="inlineStr">
        <is>
          <t>UPPSALA LÄN</t>
        </is>
      </c>
      <c r="E1380" t="inlineStr">
        <is>
          <t>UPPSALA</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7276-2024</t>
        </is>
      </c>
      <c r="B1381" s="1" t="n">
        <v>45344</v>
      </c>
      <c r="C1381" s="1" t="n">
        <v>45762</v>
      </c>
      <c r="D1381" t="inlineStr">
        <is>
          <t>UPPSALA LÄN</t>
        </is>
      </c>
      <c r="E1381" t="inlineStr">
        <is>
          <t>UPPSALA</t>
        </is>
      </c>
      <c r="F1381" t="inlineStr">
        <is>
          <t>Bergvik skog öst AB</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7389-2024</t>
        </is>
      </c>
      <c r="B1382" s="1" t="n">
        <v>45345</v>
      </c>
      <c r="C1382" s="1" t="n">
        <v>45762</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7390-2024</t>
        </is>
      </c>
      <c r="B1383" s="1" t="n">
        <v>45345</v>
      </c>
      <c r="C1383" s="1" t="n">
        <v>45762</v>
      </c>
      <c r="D1383" t="inlineStr">
        <is>
          <t>UPPSALA LÄN</t>
        </is>
      </c>
      <c r="E1383" t="inlineStr">
        <is>
          <t>UPPSALA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7400-2024</t>
        </is>
      </c>
      <c r="B1384" s="1" t="n">
        <v>45345</v>
      </c>
      <c r="C1384" s="1" t="n">
        <v>45762</v>
      </c>
      <c r="D1384" t="inlineStr">
        <is>
          <t>UPPSALA LÄN</t>
        </is>
      </c>
      <c r="E1384" t="inlineStr">
        <is>
          <t>UPPSALA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7388-2024</t>
        </is>
      </c>
      <c r="B1385" s="1" t="n">
        <v>45345</v>
      </c>
      <c r="C1385" s="1" t="n">
        <v>45762</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7407-2024</t>
        </is>
      </c>
      <c r="B1386" s="1" t="n">
        <v>45345</v>
      </c>
      <c r="C1386" s="1" t="n">
        <v>45762</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7403-2024</t>
        </is>
      </c>
      <c r="B1387" s="1" t="n">
        <v>45345</v>
      </c>
      <c r="C1387" s="1" t="n">
        <v>45762</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7649-2024</t>
        </is>
      </c>
      <c r="B1388" s="1" t="n">
        <v>45348</v>
      </c>
      <c r="C1388" s="1" t="n">
        <v>45762</v>
      </c>
      <c r="D1388" t="inlineStr">
        <is>
          <t>UPPSALA LÄN</t>
        </is>
      </c>
      <c r="E1388" t="inlineStr">
        <is>
          <t>UPPSALA</t>
        </is>
      </c>
      <c r="F1388" t="inlineStr">
        <is>
          <t>Kyrkan</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7654-2024</t>
        </is>
      </c>
      <c r="B1389" s="1" t="n">
        <v>45348</v>
      </c>
      <c r="C1389" s="1" t="n">
        <v>45762</v>
      </c>
      <c r="D1389" t="inlineStr">
        <is>
          <t>UPPSALA LÄN</t>
        </is>
      </c>
      <c r="E1389" t="inlineStr">
        <is>
          <t>UPPSALA</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7732-2024</t>
        </is>
      </c>
      <c r="B1390" s="1" t="n">
        <v>45349</v>
      </c>
      <c r="C1390" s="1" t="n">
        <v>45762</v>
      </c>
      <c r="D1390" t="inlineStr">
        <is>
          <t>UPPSALA LÄN</t>
        </is>
      </c>
      <c r="E1390" t="inlineStr">
        <is>
          <t>UPPSALA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7727-2024</t>
        </is>
      </c>
      <c r="B1391" s="1" t="n">
        <v>45349</v>
      </c>
      <c r="C1391" s="1" t="n">
        <v>45762</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7750-2024</t>
        </is>
      </c>
      <c r="B1392" s="1" t="n">
        <v>45349</v>
      </c>
      <c r="C1392" s="1" t="n">
        <v>45762</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7974-2024</t>
        </is>
      </c>
      <c r="B1393" s="1" t="n">
        <v>45350</v>
      </c>
      <c r="C1393" s="1" t="n">
        <v>45762</v>
      </c>
      <c r="D1393" t="inlineStr">
        <is>
          <t>UPPSALA LÄN</t>
        </is>
      </c>
      <c r="E1393" t="inlineStr">
        <is>
          <t>UPPSALA</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8132-2024</t>
        </is>
      </c>
      <c r="B1394" s="1" t="n">
        <v>45351</v>
      </c>
      <c r="C1394" s="1" t="n">
        <v>45762</v>
      </c>
      <c r="D1394" t="inlineStr">
        <is>
          <t>UPPSALA LÄN</t>
        </is>
      </c>
      <c r="E1394" t="inlineStr">
        <is>
          <t>UPPSALA</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8109-2024</t>
        </is>
      </c>
      <c r="B1395" s="1" t="n">
        <v>45351</v>
      </c>
      <c r="C1395" s="1" t="n">
        <v>45762</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8672-2024</t>
        </is>
      </c>
      <c r="B1396" s="1" t="n">
        <v>45352</v>
      </c>
      <c r="C1396" s="1" t="n">
        <v>45762</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8338-2024</t>
        </is>
      </c>
      <c r="B1397" s="1" t="n">
        <v>45352</v>
      </c>
      <c r="C1397" s="1" t="n">
        <v>45762</v>
      </c>
      <c r="D1397" t="inlineStr">
        <is>
          <t>UPPSALA LÄN</t>
        </is>
      </c>
      <c r="E1397" t="inlineStr">
        <is>
          <t>UPPSALA</t>
        </is>
      </c>
      <c r="F1397" t="inlineStr">
        <is>
          <t>Kyrkan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9235-2024</t>
        </is>
      </c>
      <c r="B1398" s="1" t="n">
        <v>45357</v>
      </c>
      <c r="C1398" s="1" t="n">
        <v>45762</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9201-2024</t>
        </is>
      </c>
      <c r="B1399" s="1" t="n">
        <v>45358</v>
      </c>
      <c r="C1399" s="1" t="n">
        <v>45762</v>
      </c>
      <c r="D1399" t="inlineStr">
        <is>
          <t>UPPSALA LÄN</t>
        </is>
      </c>
      <c r="E1399" t="inlineStr">
        <is>
          <t>UPPSALA</t>
        </is>
      </c>
      <c r="F1399" t="inlineStr">
        <is>
          <t>Allmännings- och besparingsskogar</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9195-2024</t>
        </is>
      </c>
      <c r="B1400" s="1" t="n">
        <v>45358</v>
      </c>
      <c r="C1400" s="1" t="n">
        <v>45762</v>
      </c>
      <c r="D1400" t="inlineStr">
        <is>
          <t>UPPSALA LÄN</t>
        </is>
      </c>
      <c r="E1400" t="inlineStr">
        <is>
          <t>UPPSALA</t>
        </is>
      </c>
      <c r="F1400" t="inlineStr">
        <is>
          <t>Allmännings- och besparingsskogar</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9255-2024</t>
        </is>
      </c>
      <c r="B1401" s="1" t="n">
        <v>45358</v>
      </c>
      <c r="C1401" s="1" t="n">
        <v>45762</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9428-2024</t>
        </is>
      </c>
      <c r="B1402" s="1" t="n">
        <v>45359</v>
      </c>
      <c r="C1402" s="1" t="n">
        <v>45762</v>
      </c>
      <c r="D1402" t="inlineStr">
        <is>
          <t>UPPSALA LÄN</t>
        </is>
      </c>
      <c r="E1402" t="inlineStr">
        <is>
          <t>UPPSALA</t>
        </is>
      </c>
      <c r="F1402" t="inlineStr">
        <is>
          <t>Bergvik skog öst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9453-2024</t>
        </is>
      </c>
      <c r="B1403" s="1" t="n">
        <v>45359</v>
      </c>
      <c r="C1403" s="1" t="n">
        <v>45762</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9608-2024</t>
        </is>
      </c>
      <c r="B1404" s="1" t="n">
        <v>45361</v>
      </c>
      <c r="C1404" s="1" t="n">
        <v>45762</v>
      </c>
      <c r="D1404" t="inlineStr">
        <is>
          <t>UPPSALA LÄN</t>
        </is>
      </c>
      <c r="E1404" t="inlineStr">
        <is>
          <t>UPPSALA</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9609-2024</t>
        </is>
      </c>
      <c r="B1405" s="1" t="n">
        <v>45361</v>
      </c>
      <c r="C1405" s="1" t="n">
        <v>45762</v>
      </c>
      <c r="D1405" t="inlineStr">
        <is>
          <t>UPPSALA LÄN</t>
        </is>
      </c>
      <c r="E1405" t="inlineStr">
        <is>
          <t>UPPSALA</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9610-2024</t>
        </is>
      </c>
      <c r="B1406" s="1" t="n">
        <v>45361</v>
      </c>
      <c r="C1406" s="1" t="n">
        <v>45762</v>
      </c>
      <c r="D1406" t="inlineStr">
        <is>
          <t>UPPSALA LÄN</t>
        </is>
      </c>
      <c r="E1406" t="inlineStr">
        <is>
          <t>UPPSALA</t>
        </is>
      </c>
      <c r="F1406" t="inlineStr">
        <is>
          <t>Bergvik skog öst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9625-2024</t>
        </is>
      </c>
      <c r="B1407" s="1" t="n">
        <v>45361</v>
      </c>
      <c r="C1407" s="1" t="n">
        <v>45762</v>
      </c>
      <c r="D1407" t="inlineStr">
        <is>
          <t>UPPSALA LÄN</t>
        </is>
      </c>
      <c r="E1407" t="inlineStr">
        <is>
          <t>UPPSALA</t>
        </is>
      </c>
      <c r="F1407" t="inlineStr">
        <is>
          <t>Bergvik skog öst AB</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9611-2024</t>
        </is>
      </c>
      <c r="B1408" s="1" t="n">
        <v>45361</v>
      </c>
      <c r="C1408" s="1" t="n">
        <v>45762</v>
      </c>
      <c r="D1408" t="inlineStr">
        <is>
          <t>UPPSALA LÄN</t>
        </is>
      </c>
      <c r="E1408" t="inlineStr">
        <is>
          <t>UPPSALA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9735-2024</t>
        </is>
      </c>
      <c r="B1409" s="1" t="n">
        <v>45362</v>
      </c>
      <c r="C1409" s="1" t="n">
        <v>45762</v>
      </c>
      <c r="D1409" t="inlineStr">
        <is>
          <t>UPPSALA LÄN</t>
        </is>
      </c>
      <c r="E1409" t="inlineStr">
        <is>
          <t>UPPSALA</t>
        </is>
      </c>
      <c r="F1409" t="inlineStr">
        <is>
          <t>Bergvik skog öst AB</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9675-2024</t>
        </is>
      </c>
      <c r="B1410" s="1" t="n">
        <v>45362</v>
      </c>
      <c r="C1410" s="1" t="n">
        <v>45762</v>
      </c>
      <c r="D1410" t="inlineStr">
        <is>
          <t>UPPSALA LÄN</t>
        </is>
      </c>
      <c r="E1410" t="inlineStr">
        <is>
          <t>UPPSALA</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9914-2024</t>
        </is>
      </c>
      <c r="B1411" s="1" t="n">
        <v>45363</v>
      </c>
      <c r="C1411" s="1" t="n">
        <v>45762</v>
      </c>
      <c r="D1411" t="inlineStr">
        <is>
          <t>UPPSALA LÄN</t>
        </is>
      </c>
      <c r="E1411" t="inlineStr">
        <is>
          <t>UPPSALA</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9917-2024</t>
        </is>
      </c>
      <c r="B1412" s="1" t="n">
        <v>45363</v>
      </c>
      <c r="C1412" s="1" t="n">
        <v>45762</v>
      </c>
      <c r="D1412" t="inlineStr">
        <is>
          <t>UPPSALA LÄN</t>
        </is>
      </c>
      <c r="E1412" t="inlineStr">
        <is>
          <t>UPPSALA</t>
        </is>
      </c>
      <c r="F1412" t="inlineStr">
        <is>
          <t>Bergvik skog väst AB</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10086-2024</t>
        </is>
      </c>
      <c r="B1413" s="1" t="n">
        <v>45364</v>
      </c>
      <c r="C1413" s="1" t="n">
        <v>45762</v>
      </c>
      <c r="D1413" t="inlineStr">
        <is>
          <t>UPPSALA LÄN</t>
        </is>
      </c>
      <c r="E1413" t="inlineStr">
        <is>
          <t>UPPSALA</t>
        </is>
      </c>
      <c r="F1413" t="inlineStr">
        <is>
          <t>Bergvik skog öst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10146-2024</t>
        </is>
      </c>
      <c r="B1414" s="1" t="n">
        <v>45364</v>
      </c>
      <c r="C1414" s="1" t="n">
        <v>45762</v>
      </c>
      <c r="D1414" t="inlineStr">
        <is>
          <t>UPPSALA LÄN</t>
        </is>
      </c>
      <c r="E1414" t="inlineStr">
        <is>
          <t>UPPSALA</t>
        </is>
      </c>
      <c r="F1414" t="inlineStr">
        <is>
          <t>Bergvik skog öst AB</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10477-2024</t>
        </is>
      </c>
      <c r="B1415" s="1" t="n">
        <v>45366</v>
      </c>
      <c r="C1415" s="1" t="n">
        <v>45762</v>
      </c>
      <c r="D1415" t="inlineStr">
        <is>
          <t>UPPSALA LÄN</t>
        </is>
      </c>
      <c r="E1415" t="inlineStr">
        <is>
          <t>UPPSALA</t>
        </is>
      </c>
      <c r="F1415" t="inlineStr">
        <is>
          <t>Holmen skog AB</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10474-2024</t>
        </is>
      </c>
      <c r="B1416" s="1" t="n">
        <v>45366</v>
      </c>
      <c r="C1416" s="1" t="n">
        <v>45762</v>
      </c>
      <c r="D1416" t="inlineStr">
        <is>
          <t>UPPSALA LÄN</t>
        </is>
      </c>
      <c r="E1416" t="inlineStr">
        <is>
          <t>UPPSALA</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10650-2024</t>
        </is>
      </c>
      <c r="B1417" s="1" t="n">
        <v>45368</v>
      </c>
      <c r="C1417" s="1" t="n">
        <v>45762</v>
      </c>
      <c r="D1417" t="inlineStr">
        <is>
          <t>UPPSALA LÄN</t>
        </is>
      </c>
      <c r="E1417" t="inlineStr">
        <is>
          <t>UPPSALA</t>
        </is>
      </c>
      <c r="F1417" t="inlineStr">
        <is>
          <t>Bergvik skog öst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10651-2024</t>
        </is>
      </c>
      <c r="B1418" s="1" t="n">
        <v>45368</v>
      </c>
      <c r="C1418" s="1" t="n">
        <v>45762</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10653-2024</t>
        </is>
      </c>
      <c r="B1419" s="1" t="n">
        <v>45368</v>
      </c>
      <c r="C1419" s="1" t="n">
        <v>45762</v>
      </c>
      <c r="D1419" t="inlineStr">
        <is>
          <t>UPPSALA LÄN</t>
        </is>
      </c>
      <c r="E1419" t="inlineStr">
        <is>
          <t>UPPSALA</t>
        </is>
      </c>
      <c r="F1419" t="inlineStr">
        <is>
          <t>Bergvik skog öst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10652-2024</t>
        </is>
      </c>
      <c r="B1420" s="1" t="n">
        <v>45368</v>
      </c>
      <c r="C1420" s="1" t="n">
        <v>45762</v>
      </c>
      <c r="D1420" t="inlineStr">
        <is>
          <t>UPPSALA LÄN</t>
        </is>
      </c>
      <c r="E1420" t="inlineStr">
        <is>
          <t>UPPSALA</t>
        </is>
      </c>
      <c r="F1420" t="inlineStr">
        <is>
          <t>Bergvik skog öst AB</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10827-2024</t>
        </is>
      </c>
      <c r="B1421" s="1" t="n">
        <v>45369</v>
      </c>
      <c r="C1421" s="1" t="n">
        <v>45762</v>
      </c>
      <c r="D1421" t="inlineStr">
        <is>
          <t>UPPSALA LÄN</t>
        </is>
      </c>
      <c r="E1421" t="inlineStr">
        <is>
          <t>UPPSALA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10782-2024</t>
        </is>
      </c>
      <c r="B1422" s="1" t="n">
        <v>45369</v>
      </c>
      <c r="C1422" s="1" t="n">
        <v>45762</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11169-2024</t>
        </is>
      </c>
      <c r="B1423" s="1" t="n">
        <v>45371</v>
      </c>
      <c r="C1423" s="1" t="n">
        <v>45762</v>
      </c>
      <c r="D1423" t="inlineStr">
        <is>
          <t>UPPSALA LÄN</t>
        </is>
      </c>
      <c r="E1423" t="inlineStr">
        <is>
          <t>UPPSALA</t>
        </is>
      </c>
      <c r="F1423" t="inlineStr">
        <is>
          <t>Bergvik skog öst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11173-2024</t>
        </is>
      </c>
      <c r="B1424" s="1" t="n">
        <v>45371</v>
      </c>
      <c r="C1424" s="1" t="n">
        <v>45762</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11159-2024</t>
        </is>
      </c>
      <c r="B1425" s="1" t="n">
        <v>45371</v>
      </c>
      <c r="C1425" s="1" t="n">
        <v>45762</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11191-2024</t>
        </is>
      </c>
      <c r="B1426" s="1" t="n">
        <v>45371</v>
      </c>
      <c r="C1426" s="1" t="n">
        <v>45762</v>
      </c>
      <c r="D1426" t="inlineStr">
        <is>
          <t>UPPSALA LÄN</t>
        </is>
      </c>
      <c r="E1426" t="inlineStr">
        <is>
          <t>UPPSALA</t>
        </is>
      </c>
      <c r="F1426" t="inlineStr">
        <is>
          <t>Allmännings- och besparingsskogar</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11166-2024</t>
        </is>
      </c>
      <c r="B1427" s="1" t="n">
        <v>45371</v>
      </c>
      <c r="C1427" s="1" t="n">
        <v>45762</v>
      </c>
      <c r="D1427" t="inlineStr">
        <is>
          <t>UPPSALA LÄN</t>
        </is>
      </c>
      <c r="E1427" t="inlineStr">
        <is>
          <t>UPPSALA</t>
        </is>
      </c>
      <c r="F1427" t="inlineStr">
        <is>
          <t>Bergvik skog öst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11201-2024</t>
        </is>
      </c>
      <c r="B1428" s="1" t="n">
        <v>45371</v>
      </c>
      <c r="C1428" s="1" t="n">
        <v>45762</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11277-2024</t>
        </is>
      </c>
      <c r="B1429" s="1" t="n">
        <v>45371</v>
      </c>
      <c r="C1429" s="1" t="n">
        <v>45762</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11289-2024</t>
        </is>
      </c>
      <c r="B1430" s="1" t="n">
        <v>45371</v>
      </c>
      <c r="C1430" s="1" t="n">
        <v>45762</v>
      </c>
      <c r="D1430" t="inlineStr">
        <is>
          <t>UPPSALA LÄN</t>
        </is>
      </c>
      <c r="E1430" t="inlineStr">
        <is>
          <t>UPPSALA</t>
        </is>
      </c>
      <c r="F1430" t="inlineStr">
        <is>
          <t>Allmännings- och besparingsskogar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11200-2024</t>
        </is>
      </c>
      <c r="B1431" s="1" t="n">
        <v>45371</v>
      </c>
      <c r="C1431" s="1" t="n">
        <v>45762</v>
      </c>
      <c r="D1431" t="inlineStr">
        <is>
          <t>UPPSALA LÄN</t>
        </is>
      </c>
      <c r="E1431" t="inlineStr">
        <is>
          <t>UPPSALA</t>
        </is>
      </c>
      <c r="F1431" t="inlineStr">
        <is>
          <t>Allmännings- och besparingsskogar</t>
        </is>
      </c>
      <c r="G1431" t="n">
        <v>22.8</v>
      </c>
      <c r="H1431" t="n">
        <v>0</v>
      </c>
      <c r="I1431" t="n">
        <v>0</v>
      </c>
      <c r="J1431" t="n">
        <v>0</v>
      </c>
      <c r="K1431" t="n">
        <v>0</v>
      </c>
      <c r="L1431" t="n">
        <v>0</v>
      </c>
      <c r="M1431" t="n">
        <v>0</v>
      </c>
      <c r="N1431" t="n">
        <v>0</v>
      </c>
      <c r="O1431" t="n">
        <v>0</v>
      </c>
      <c r="P1431" t="n">
        <v>0</v>
      </c>
      <c r="Q1431" t="n">
        <v>0</v>
      </c>
      <c r="R1431" s="2" t="inlineStr"/>
    </row>
    <row r="1432" ht="15" customHeight="1">
      <c r="A1432" t="inlineStr">
        <is>
          <t>A 11260-2024</t>
        </is>
      </c>
      <c r="B1432" s="1" t="n">
        <v>45371</v>
      </c>
      <c r="C1432" s="1" t="n">
        <v>45762</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11457-2024</t>
        </is>
      </c>
      <c r="B1433" s="1" t="n">
        <v>45372</v>
      </c>
      <c r="C1433" s="1" t="n">
        <v>45762</v>
      </c>
      <c r="D1433" t="inlineStr">
        <is>
          <t>UPPSALA LÄN</t>
        </is>
      </c>
      <c r="E1433" t="inlineStr">
        <is>
          <t>UPPSALA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11677-2024</t>
        </is>
      </c>
      <c r="B1434" s="1" t="n">
        <v>45373</v>
      </c>
      <c r="C1434" s="1" t="n">
        <v>45762</v>
      </c>
      <c r="D1434" t="inlineStr">
        <is>
          <t>UPPSALA LÄN</t>
        </is>
      </c>
      <c r="E1434" t="inlineStr">
        <is>
          <t>UPPSALA</t>
        </is>
      </c>
      <c r="F1434" t="inlineStr">
        <is>
          <t>Holmen skog AB</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11719-2024</t>
        </is>
      </c>
      <c r="B1435" s="1" t="n">
        <v>45373</v>
      </c>
      <c r="C1435" s="1" t="n">
        <v>45762</v>
      </c>
      <c r="D1435" t="inlineStr">
        <is>
          <t>UPPSALA LÄN</t>
        </is>
      </c>
      <c r="E1435" t="inlineStr">
        <is>
          <t>UPPSALA</t>
        </is>
      </c>
      <c r="F1435" t="inlineStr">
        <is>
          <t>Holmen skog AB</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12345-2024</t>
        </is>
      </c>
      <c r="B1436" s="1" t="n">
        <v>45378</v>
      </c>
      <c r="C1436" s="1" t="n">
        <v>45762</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12346-2024</t>
        </is>
      </c>
      <c r="B1437" s="1" t="n">
        <v>45378</v>
      </c>
      <c r="C1437" s="1" t="n">
        <v>45762</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12347-2024</t>
        </is>
      </c>
      <c r="B1438" s="1" t="n">
        <v>45378</v>
      </c>
      <c r="C1438" s="1" t="n">
        <v>45762</v>
      </c>
      <c r="D1438" t="inlineStr">
        <is>
          <t>UPPSALA LÄN</t>
        </is>
      </c>
      <c r="E1438" t="inlineStr">
        <is>
          <t>UPPSALA</t>
        </is>
      </c>
      <c r="F1438" t="inlineStr">
        <is>
          <t>Bergvik skog öst AB</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12507-2024</t>
        </is>
      </c>
      <c r="B1439" s="1" t="n">
        <v>45379</v>
      </c>
      <c r="C1439" s="1" t="n">
        <v>45762</v>
      </c>
      <c r="D1439" t="inlineStr">
        <is>
          <t>UPPSALA LÄN</t>
        </is>
      </c>
      <c r="E1439" t="inlineStr">
        <is>
          <t>UPPSALA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13100-2024</t>
        </is>
      </c>
      <c r="B1440" s="1" t="n">
        <v>45385</v>
      </c>
      <c r="C1440" s="1" t="n">
        <v>45762</v>
      </c>
      <c r="D1440" t="inlineStr">
        <is>
          <t>UPPSALA LÄN</t>
        </is>
      </c>
      <c r="E1440" t="inlineStr">
        <is>
          <t>UPPSALA</t>
        </is>
      </c>
      <c r="F1440" t="inlineStr">
        <is>
          <t>Holmen skog AB</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13305-2024</t>
        </is>
      </c>
      <c r="B1441" s="1" t="n">
        <v>45386</v>
      </c>
      <c r="C1441" s="1" t="n">
        <v>45762</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13303-2024</t>
        </is>
      </c>
      <c r="B1442" s="1" t="n">
        <v>45386</v>
      </c>
      <c r="C1442" s="1" t="n">
        <v>45762</v>
      </c>
      <c r="D1442" t="inlineStr">
        <is>
          <t>UPPSALA LÄN</t>
        </is>
      </c>
      <c r="E1442" t="inlineStr">
        <is>
          <t>UPPSALA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13302-2024</t>
        </is>
      </c>
      <c r="B1443" s="1" t="n">
        <v>45386</v>
      </c>
      <c r="C1443" s="1" t="n">
        <v>45762</v>
      </c>
      <c r="D1443" t="inlineStr">
        <is>
          <t>UPPSALA LÄN</t>
        </is>
      </c>
      <c r="E1443" t="inlineStr">
        <is>
          <t>UPPSALA</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13379-2024</t>
        </is>
      </c>
      <c r="B1444" s="1" t="n">
        <v>45387</v>
      </c>
      <c r="C1444" s="1" t="n">
        <v>45762</v>
      </c>
      <c r="D1444" t="inlineStr">
        <is>
          <t>UPPSALA LÄN</t>
        </is>
      </c>
      <c r="E1444" t="inlineStr">
        <is>
          <t>UPPSALA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13644-2024</t>
        </is>
      </c>
      <c r="B1445" s="1" t="n">
        <v>45390</v>
      </c>
      <c r="C1445" s="1" t="n">
        <v>45762</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13799-2024</t>
        </is>
      </c>
      <c r="B1446" s="1" t="n">
        <v>45391</v>
      </c>
      <c r="C1446" s="1" t="n">
        <v>45762</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14533-2024</t>
        </is>
      </c>
      <c r="B1447" s="1" t="n">
        <v>45394</v>
      </c>
      <c r="C1447" s="1" t="n">
        <v>45762</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14401-2024</t>
        </is>
      </c>
      <c r="B1448" s="1" t="n">
        <v>45394</v>
      </c>
      <c r="C1448" s="1" t="n">
        <v>45762</v>
      </c>
      <c r="D1448" t="inlineStr">
        <is>
          <t>UPPSALA LÄN</t>
        </is>
      </c>
      <c r="E1448" t="inlineStr">
        <is>
          <t>UPPSALA</t>
        </is>
      </c>
      <c r="F1448" t="inlineStr">
        <is>
          <t>Övriga statliga verk och myndigheter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14528-2024</t>
        </is>
      </c>
      <c r="B1449" s="1" t="n">
        <v>45394</v>
      </c>
      <c r="C1449" s="1" t="n">
        <v>45762</v>
      </c>
      <c r="D1449" t="inlineStr">
        <is>
          <t>UPPSALA LÄN</t>
        </is>
      </c>
      <c r="E1449" t="inlineStr">
        <is>
          <t>UPPSALA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14404-2024</t>
        </is>
      </c>
      <c r="B1450" s="1" t="n">
        <v>45394</v>
      </c>
      <c r="C1450" s="1" t="n">
        <v>45762</v>
      </c>
      <c r="D1450" t="inlineStr">
        <is>
          <t>UPPSALA LÄN</t>
        </is>
      </c>
      <c r="E1450" t="inlineStr">
        <is>
          <t>UPPSALA</t>
        </is>
      </c>
      <c r="F1450" t="inlineStr">
        <is>
          <t>Övriga statliga verk och myndigheter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14523-2024</t>
        </is>
      </c>
      <c r="B1451" s="1" t="n">
        <v>45394</v>
      </c>
      <c r="C1451" s="1" t="n">
        <v>45762</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14643-2024</t>
        </is>
      </c>
      <c r="B1452" s="1" t="n">
        <v>45397</v>
      </c>
      <c r="C1452" s="1" t="n">
        <v>45762</v>
      </c>
      <c r="D1452" t="inlineStr">
        <is>
          <t>UPPSALA LÄN</t>
        </is>
      </c>
      <c r="E1452" t="inlineStr">
        <is>
          <t>UPPSALA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14672-2024</t>
        </is>
      </c>
      <c r="B1453" s="1" t="n">
        <v>45397</v>
      </c>
      <c r="C1453" s="1" t="n">
        <v>45762</v>
      </c>
      <c r="D1453" t="inlineStr">
        <is>
          <t>UPPSALA LÄN</t>
        </is>
      </c>
      <c r="E1453" t="inlineStr">
        <is>
          <t>UPPSALA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15254-2024</t>
        </is>
      </c>
      <c r="B1454" s="1" t="n">
        <v>45400</v>
      </c>
      <c r="C1454" s="1" t="n">
        <v>45762</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15255-2024</t>
        </is>
      </c>
      <c r="B1455" s="1" t="n">
        <v>45400</v>
      </c>
      <c r="C1455" s="1" t="n">
        <v>45762</v>
      </c>
      <c r="D1455" t="inlineStr">
        <is>
          <t>UPPSALA LÄN</t>
        </is>
      </c>
      <c r="E1455" t="inlineStr">
        <is>
          <t>UPPSALA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15544-2024</t>
        </is>
      </c>
      <c r="B1456" s="1" t="n">
        <v>45401</v>
      </c>
      <c r="C1456" s="1" t="n">
        <v>45762</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16434-2024</t>
        </is>
      </c>
      <c r="B1457" s="1" t="n">
        <v>45407</v>
      </c>
      <c r="C1457" s="1" t="n">
        <v>45762</v>
      </c>
      <c r="D1457" t="inlineStr">
        <is>
          <t>UPPSALA LÄN</t>
        </is>
      </c>
      <c r="E1457" t="inlineStr">
        <is>
          <t>UPPSALA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16324-2024</t>
        </is>
      </c>
      <c r="B1458" s="1" t="n">
        <v>45407</v>
      </c>
      <c r="C1458" s="1" t="n">
        <v>45762</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17146-2024</t>
        </is>
      </c>
      <c r="B1459" s="1" t="n">
        <v>45412</v>
      </c>
      <c r="C1459" s="1" t="n">
        <v>45762</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17287-2024</t>
        </is>
      </c>
      <c r="B1460" s="1" t="n">
        <v>45414</v>
      </c>
      <c r="C1460" s="1" t="n">
        <v>45762</v>
      </c>
      <c r="D1460" t="inlineStr">
        <is>
          <t>UPPSALA LÄN</t>
        </is>
      </c>
      <c r="E1460" t="inlineStr">
        <is>
          <t>UPPSALA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17761-2024</t>
        </is>
      </c>
      <c r="B1461" s="1" t="n">
        <v>45418</v>
      </c>
      <c r="C1461" s="1" t="n">
        <v>45762</v>
      </c>
      <c r="D1461" t="inlineStr">
        <is>
          <t>UPPSALA LÄN</t>
        </is>
      </c>
      <c r="E1461" t="inlineStr">
        <is>
          <t>UPPSALA</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18069-2024</t>
        </is>
      </c>
      <c r="B1462" s="1" t="n">
        <v>45420</v>
      </c>
      <c r="C1462" s="1" t="n">
        <v>45762</v>
      </c>
      <c r="D1462" t="inlineStr">
        <is>
          <t>UPPSALA LÄN</t>
        </is>
      </c>
      <c r="E1462" t="inlineStr">
        <is>
          <t>UPPSALA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18354-2024</t>
        </is>
      </c>
      <c r="B1463" s="1" t="n">
        <v>45422</v>
      </c>
      <c r="C1463" s="1" t="n">
        <v>45762</v>
      </c>
      <c r="D1463" t="inlineStr">
        <is>
          <t>UPPSALA LÄN</t>
        </is>
      </c>
      <c r="E1463" t="inlineStr">
        <is>
          <t>UPPSALA</t>
        </is>
      </c>
      <c r="F1463" t="inlineStr">
        <is>
          <t>Holmen skog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18607-2024</t>
        </is>
      </c>
      <c r="B1464" s="1" t="n">
        <v>45426</v>
      </c>
      <c r="C1464" s="1" t="n">
        <v>45762</v>
      </c>
      <c r="D1464" t="inlineStr">
        <is>
          <t>UPPSALA LÄN</t>
        </is>
      </c>
      <c r="E1464" t="inlineStr">
        <is>
          <t>UPPSALA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18677-2024</t>
        </is>
      </c>
      <c r="B1465" s="1" t="n">
        <v>45426</v>
      </c>
      <c r="C1465" s="1" t="n">
        <v>45762</v>
      </c>
      <c r="D1465" t="inlineStr">
        <is>
          <t>UPPSALA LÄN</t>
        </is>
      </c>
      <c r="E1465" t="inlineStr">
        <is>
          <t>UPPSALA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18667-2024</t>
        </is>
      </c>
      <c r="B1466" s="1" t="n">
        <v>45426</v>
      </c>
      <c r="C1466" s="1" t="n">
        <v>45762</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18670-2024</t>
        </is>
      </c>
      <c r="B1467" s="1" t="n">
        <v>45426</v>
      </c>
      <c r="C1467" s="1" t="n">
        <v>45762</v>
      </c>
      <c r="D1467" t="inlineStr">
        <is>
          <t>UPPSALA LÄN</t>
        </is>
      </c>
      <c r="E1467" t="inlineStr">
        <is>
          <t>UPPSALA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18675-2024</t>
        </is>
      </c>
      <c r="B1468" s="1" t="n">
        <v>45426</v>
      </c>
      <c r="C1468" s="1" t="n">
        <v>45762</v>
      </c>
      <c r="D1468" t="inlineStr">
        <is>
          <t>UPPSALA LÄN</t>
        </is>
      </c>
      <c r="E1468" t="inlineStr">
        <is>
          <t>UPPSALA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18808-2024</t>
        </is>
      </c>
      <c r="B1469" s="1" t="n">
        <v>45426</v>
      </c>
      <c r="C1469" s="1" t="n">
        <v>45762</v>
      </c>
      <c r="D1469" t="inlineStr">
        <is>
          <t>UPPSALA LÄN</t>
        </is>
      </c>
      <c r="E1469" t="inlineStr">
        <is>
          <t>UPPSALA</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18668-2024</t>
        </is>
      </c>
      <c r="B1470" s="1" t="n">
        <v>45426</v>
      </c>
      <c r="C1470" s="1" t="n">
        <v>45762</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19164-2024</t>
        </is>
      </c>
      <c r="B1471" s="1" t="n">
        <v>45428</v>
      </c>
      <c r="C1471" s="1" t="n">
        <v>45762</v>
      </c>
      <c r="D1471" t="inlineStr">
        <is>
          <t>UPPSALA LÄN</t>
        </is>
      </c>
      <c r="E1471" t="inlineStr">
        <is>
          <t>UPPSALA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19126-2024</t>
        </is>
      </c>
      <c r="B1472" s="1" t="n">
        <v>45428</v>
      </c>
      <c r="C1472" s="1" t="n">
        <v>45762</v>
      </c>
      <c r="D1472" t="inlineStr">
        <is>
          <t>UPPSALA LÄN</t>
        </is>
      </c>
      <c r="E1472" t="inlineStr">
        <is>
          <t>UPPSALA</t>
        </is>
      </c>
      <c r="F1472" t="inlineStr">
        <is>
          <t>Allmännings- och besparingsskogar</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19414-2024</t>
        </is>
      </c>
      <c r="B1473" s="1" t="n">
        <v>45429</v>
      </c>
      <c r="C1473" s="1" t="n">
        <v>45762</v>
      </c>
      <c r="D1473" t="inlineStr">
        <is>
          <t>UPPSALA LÄN</t>
        </is>
      </c>
      <c r="E1473" t="inlineStr">
        <is>
          <t>UPPSALA</t>
        </is>
      </c>
      <c r="F1473" t="inlineStr">
        <is>
          <t>Kyrkan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19539-2024</t>
        </is>
      </c>
      <c r="B1474" s="1" t="n">
        <v>45429</v>
      </c>
      <c r="C1474" s="1" t="n">
        <v>45762</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20466-2024</t>
        </is>
      </c>
      <c r="B1475" s="1" t="n">
        <v>45435</v>
      </c>
      <c r="C1475" s="1" t="n">
        <v>45762</v>
      </c>
      <c r="D1475" t="inlineStr">
        <is>
          <t>UPPSALA LÄN</t>
        </is>
      </c>
      <c r="E1475" t="inlineStr">
        <is>
          <t>UPPSALA</t>
        </is>
      </c>
      <c r="F1475" t="inlineStr">
        <is>
          <t>Holmen skog AB</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20297-2024</t>
        </is>
      </c>
      <c r="B1476" s="1" t="n">
        <v>45435</v>
      </c>
      <c r="C1476" s="1" t="n">
        <v>45762</v>
      </c>
      <c r="D1476" t="inlineStr">
        <is>
          <t>UPPSALA LÄN</t>
        </is>
      </c>
      <c r="E1476" t="inlineStr">
        <is>
          <t>UPPSALA</t>
        </is>
      </c>
      <c r="F1476" t="inlineStr">
        <is>
          <t>Kyrkan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20301-2024</t>
        </is>
      </c>
      <c r="B1477" s="1" t="n">
        <v>45435</v>
      </c>
      <c r="C1477" s="1" t="n">
        <v>45762</v>
      </c>
      <c r="D1477" t="inlineStr">
        <is>
          <t>UPPSALA LÄN</t>
        </is>
      </c>
      <c r="E1477" t="inlineStr">
        <is>
          <t>UPPSALA</t>
        </is>
      </c>
      <c r="F1477" t="inlineStr">
        <is>
          <t>Kyrkan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20375-2024</t>
        </is>
      </c>
      <c r="B1478" s="1" t="n">
        <v>45435</v>
      </c>
      <c r="C1478" s="1" t="n">
        <v>45762</v>
      </c>
      <c r="D1478" t="inlineStr">
        <is>
          <t>UPPSALA LÄN</t>
        </is>
      </c>
      <c r="E1478" t="inlineStr">
        <is>
          <t>UPPSALA</t>
        </is>
      </c>
      <c r="F1478" t="inlineStr">
        <is>
          <t>Holmen skog AB</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20459-2024</t>
        </is>
      </c>
      <c r="B1479" s="1" t="n">
        <v>45435</v>
      </c>
      <c r="C1479" s="1" t="n">
        <v>45762</v>
      </c>
      <c r="D1479" t="inlineStr">
        <is>
          <t>UPPSALA LÄN</t>
        </is>
      </c>
      <c r="E1479" t="inlineStr">
        <is>
          <t>UPPSALA</t>
        </is>
      </c>
      <c r="F1479" t="inlineStr">
        <is>
          <t>Kyrkan</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20458-2024</t>
        </is>
      </c>
      <c r="B1480" s="1" t="n">
        <v>45435</v>
      </c>
      <c r="C1480" s="1" t="n">
        <v>45762</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20711-2024</t>
        </is>
      </c>
      <c r="B1481" s="1" t="n">
        <v>45436</v>
      </c>
      <c r="C1481" s="1" t="n">
        <v>45762</v>
      </c>
      <c r="D1481" t="inlineStr">
        <is>
          <t>UPPSALA LÄN</t>
        </is>
      </c>
      <c r="E1481" t="inlineStr">
        <is>
          <t>UPPSALA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20851-2024</t>
        </is>
      </c>
      <c r="B1482" s="1" t="n">
        <v>45439</v>
      </c>
      <c r="C1482" s="1" t="n">
        <v>45762</v>
      </c>
      <c r="D1482" t="inlineStr">
        <is>
          <t>UPPSALA LÄN</t>
        </is>
      </c>
      <c r="E1482" t="inlineStr">
        <is>
          <t>UPPSALA</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21015-2024</t>
        </is>
      </c>
      <c r="B1483" s="1" t="n">
        <v>45439</v>
      </c>
      <c r="C1483" s="1" t="n">
        <v>45762</v>
      </c>
      <c r="D1483" t="inlineStr">
        <is>
          <t>UPPSALA LÄN</t>
        </is>
      </c>
      <c r="E1483" t="inlineStr">
        <is>
          <t>UPPSALA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20903-2024</t>
        </is>
      </c>
      <c r="B1484" s="1" t="n">
        <v>45439</v>
      </c>
      <c r="C1484" s="1" t="n">
        <v>45762</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21182-2024</t>
        </is>
      </c>
      <c r="B1485" s="1" t="n">
        <v>45440</v>
      </c>
      <c r="C1485" s="1" t="n">
        <v>45762</v>
      </c>
      <c r="D1485" t="inlineStr">
        <is>
          <t>UPPSALA LÄN</t>
        </is>
      </c>
      <c r="E1485" t="inlineStr">
        <is>
          <t>UPPSALA</t>
        </is>
      </c>
      <c r="F1485" t="inlineStr">
        <is>
          <t>Holmen skog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21310-2024</t>
        </is>
      </c>
      <c r="B1486" s="1" t="n">
        <v>45440</v>
      </c>
      <c r="C1486" s="1" t="n">
        <v>45762</v>
      </c>
      <c r="D1486" t="inlineStr">
        <is>
          <t>UPPSALA LÄN</t>
        </is>
      </c>
      <c r="E1486" t="inlineStr">
        <is>
          <t>UPPSALA</t>
        </is>
      </c>
      <c r="F1486" t="inlineStr">
        <is>
          <t>Holmen skog AB</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21526-2024</t>
        </is>
      </c>
      <c r="B1487" s="1" t="n">
        <v>45441</v>
      </c>
      <c r="C1487" s="1" t="n">
        <v>45762</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21555-2024</t>
        </is>
      </c>
      <c r="B1488" s="1" t="n">
        <v>45441</v>
      </c>
      <c r="C1488" s="1" t="n">
        <v>45762</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21657-2024</t>
        </is>
      </c>
      <c r="B1489" s="1" t="n">
        <v>45442</v>
      </c>
      <c r="C1489" s="1" t="n">
        <v>45762</v>
      </c>
      <c r="D1489" t="inlineStr">
        <is>
          <t>UPPSALA LÄN</t>
        </is>
      </c>
      <c r="E1489" t="inlineStr">
        <is>
          <t>UPPSALA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21786-2024</t>
        </is>
      </c>
      <c r="B1490" s="1" t="n">
        <v>45442</v>
      </c>
      <c r="C1490" s="1" t="n">
        <v>45762</v>
      </c>
      <c r="D1490" t="inlineStr">
        <is>
          <t>UPPSALA LÄN</t>
        </is>
      </c>
      <c r="E1490" t="inlineStr">
        <is>
          <t>UPPSALA</t>
        </is>
      </c>
      <c r="F1490" t="inlineStr">
        <is>
          <t>Allmännings- och besparingsskogar</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21641-2024</t>
        </is>
      </c>
      <c r="B1491" s="1" t="n">
        <v>45442</v>
      </c>
      <c r="C1491" s="1" t="n">
        <v>45762</v>
      </c>
      <c r="D1491" t="inlineStr">
        <is>
          <t>UPPSALA LÄN</t>
        </is>
      </c>
      <c r="E1491" t="inlineStr">
        <is>
          <t>UPPSALA</t>
        </is>
      </c>
      <c r="F1491" t="inlineStr">
        <is>
          <t>Kyrkan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21859-2024</t>
        </is>
      </c>
      <c r="B1492" s="1" t="n">
        <v>45443</v>
      </c>
      <c r="C1492" s="1" t="n">
        <v>45762</v>
      </c>
      <c r="D1492" t="inlineStr">
        <is>
          <t>UPPSALA LÄN</t>
        </is>
      </c>
      <c r="E1492" t="inlineStr">
        <is>
          <t>UPPSALA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22431-2024</t>
        </is>
      </c>
      <c r="B1493" s="1" t="n">
        <v>45446</v>
      </c>
      <c r="C1493" s="1" t="n">
        <v>45762</v>
      </c>
      <c r="D1493" t="inlineStr">
        <is>
          <t>UPPSALA LÄN</t>
        </is>
      </c>
      <c r="E1493" t="inlineStr">
        <is>
          <t>UPPSALA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22437-2024</t>
        </is>
      </c>
      <c r="B1494" s="1" t="n">
        <v>45446</v>
      </c>
      <c r="C1494" s="1" t="n">
        <v>45762</v>
      </c>
      <c r="D1494" t="inlineStr">
        <is>
          <t>UPPSALA LÄN</t>
        </is>
      </c>
      <c r="E1494" t="inlineStr">
        <is>
          <t>UPPSALA</t>
        </is>
      </c>
      <c r="F1494" t="inlineStr">
        <is>
          <t>Bergvik skog öst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22433-2024</t>
        </is>
      </c>
      <c r="B1495" s="1" t="n">
        <v>45446</v>
      </c>
      <c r="C1495" s="1" t="n">
        <v>45762</v>
      </c>
      <c r="D1495" t="inlineStr">
        <is>
          <t>UPPSALA LÄN</t>
        </is>
      </c>
      <c r="E1495" t="inlineStr">
        <is>
          <t>UPPSALA</t>
        </is>
      </c>
      <c r="F1495" t="inlineStr">
        <is>
          <t>Bergvik skog öst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22432-2024</t>
        </is>
      </c>
      <c r="B1496" s="1" t="n">
        <v>45446</v>
      </c>
      <c r="C1496" s="1" t="n">
        <v>45762</v>
      </c>
      <c r="D1496" t="inlineStr">
        <is>
          <t>UPPSALA LÄN</t>
        </is>
      </c>
      <c r="E1496" t="inlineStr">
        <is>
          <t>UPPSALA</t>
        </is>
      </c>
      <c r="F1496" t="inlineStr">
        <is>
          <t>Bergvik skog öst AB</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22900-2024</t>
        </is>
      </c>
      <c r="B1497" s="1" t="n">
        <v>45448</v>
      </c>
      <c r="C1497" s="1" t="n">
        <v>45762</v>
      </c>
      <c r="D1497" t="inlineStr">
        <is>
          <t>UPPSALA LÄN</t>
        </is>
      </c>
      <c r="E1497" t="inlineStr">
        <is>
          <t>UPPSALA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23291-2024</t>
        </is>
      </c>
      <c r="B1498" s="1" t="n">
        <v>45453</v>
      </c>
      <c r="C1498" s="1" t="n">
        <v>45762</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23494-2024</t>
        </is>
      </c>
      <c r="B1499" s="1" t="n">
        <v>45453</v>
      </c>
      <c r="C1499" s="1" t="n">
        <v>45762</v>
      </c>
      <c r="D1499" t="inlineStr">
        <is>
          <t>UPPSALA LÄN</t>
        </is>
      </c>
      <c r="E1499" t="inlineStr">
        <is>
          <t>UPPSALA</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24098-2024</t>
        </is>
      </c>
      <c r="B1500" s="1" t="n">
        <v>45456</v>
      </c>
      <c r="C1500" s="1" t="n">
        <v>45762</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24091-2024</t>
        </is>
      </c>
      <c r="B1501" s="1" t="n">
        <v>45456</v>
      </c>
      <c r="C1501" s="1" t="n">
        <v>45762</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24787-2024</t>
        </is>
      </c>
      <c r="B1502" s="1" t="n">
        <v>45460</v>
      </c>
      <c r="C1502" s="1" t="n">
        <v>45762</v>
      </c>
      <c r="D1502" t="inlineStr">
        <is>
          <t>UPPSALA LÄN</t>
        </is>
      </c>
      <c r="E1502" t="inlineStr">
        <is>
          <t>UPPSALA</t>
        </is>
      </c>
      <c r="F1502" t="inlineStr">
        <is>
          <t>Övriga Aktiebolag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25539-2024</t>
        </is>
      </c>
      <c r="B1503" s="1" t="n">
        <v>45463</v>
      </c>
      <c r="C1503" s="1" t="n">
        <v>45762</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25537-2024</t>
        </is>
      </c>
      <c r="B1504" s="1" t="n">
        <v>45463</v>
      </c>
      <c r="C1504" s="1" t="n">
        <v>45762</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25536-2024</t>
        </is>
      </c>
      <c r="B1505" s="1" t="n">
        <v>45463</v>
      </c>
      <c r="C1505" s="1" t="n">
        <v>45762</v>
      </c>
      <c r="D1505" t="inlineStr">
        <is>
          <t>UPPSALA LÄN</t>
        </is>
      </c>
      <c r="E1505" t="inlineStr">
        <is>
          <t>UPPSALA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25487-2024</t>
        </is>
      </c>
      <c r="B1506" s="1" t="n">
        <v>45463</v>
      </c>
      <c r="C1506" s="1" t="n">
        <v>45762</v>
      </c>
      <c r="D1506" t="inlineStr">
        <is>
          <t>UPPSALA LÄN</t>
        </is>
      </c>
      <c r="E1506" t="inlineStr">
        <is>
          <t>UPPSALA</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25403-2024</t>
        </is>
      </c>
      <c r="B1507" s="1" t="n">
        <v>45463</v>
      </c>
      <c r="C1507" s="1" t="n">
        <v>45762</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25490-2024</t>
        </is>
      </c>
      <c r="B1508" s="1" t="n">
        <v>45463</v>
      </c>
      <c r="C1508" s="1" t="n">
        <v>45762</v>
      </c>
      <c r="D1508" t="inlineStr">
        <is>
          <t>UPPSALA LÄN</t>
        </is>
      </c>
      <c r="E1508" t="inlineStr">
        <is>
          <t>UPPSALA</t>
        </is>
      </c>
      <c r="F1508" t="inlineStr">
        <is>
          <t>Övriga Aktiebolag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26099-2024</t>
        </is>
      </c>
      <c r="B1509" s="1" t="n">
        <v>45468</v>
      </c>
      <c r="C1509" s="1" t="n">
        <v>45762</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27476-2024</t>
        </is>
      </c>
      <c r="B1510" s="1" t="n">
        <v>45474</v>
      </c>
      <c r="C1510" s="1" t="n">
        <v>45762</v>
      </c>
      <c r="D1510" t="inlineStr">
        <is>
          <t>UPPSALA LÄN</t>
        </is>
      </c>
      <c r="E1510" t="inlineStr">
        <is>
          <t>UPPSALA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27473-2024</t>
        </is>
      </c>
      <c r="B1511" s="1" t="n">
        <v>45474</v>
      </c>
      <c r="C1511" s="1" t="n">
        <v>45762</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27442-2024</t>
        </is>
      </c>
      <c r="B1512" s="1" t="n">
        <v>45474</v>
      </c>
      <c r="C1512" s="1" t="n">
        <v>45762</v>
      </c>
      <c r="D1512" t="inlineStr">
        <is>
          <t>UPPSALA LÄN</t>
        </is>
      </c>
      <c r="E1512" t="inlineStr">
        <is>
          <t>UPPSALA</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27474-2024</t>
        </is>
      </c>
      <c r="B1513" s="1" t="n">
        <v>45474</v>
      </c>
      <c r="C1513" s="1" t="n">
        <v>45762</v>
      </c>
      <c r="D1513" t="inlineStr">
        <is>
          <t>UPPSALA LÄN</t>
        </is>
      </c>
      <c r="E1513" t="inlineStr">
        <is>
          <t>UPPSALA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27498-2024</t>
        </is>
      </c>
      <c r="B1514" s="1" t="n">
        <v>45474</v>
      </c>
      <c r="C1514" s="1" t="n">
        <v>45762</v>
      </c>
      <c r="D1514" t="inlineStr">
        <is>
          <t>UPPSALA LÄN</t>
        </is>
      </c>
      <c r="E1514" t="inlineStr">
        <is>
          <t>UPPSALA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27857-2024</t>
        </is>
      </c>
      <c r="B1515" s="1" t="n">
        <v>45475</v>
      </c>
      <c r="C1515" s="1" t="n">
        <v>45762</v>
      </c>
      <c r="D1515" t="inlineStr">
        <is>
          <t>UPPSALA LÄN</t>
        </is>
      </c>
      <c r="E1515" t="inlineStr">
        <is>
          <t>UPPSALA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27994-2024</t>
        </is>
      </c>
      <c r="B1516" s="1" t="n">
        <v>45476</v>
      </c>
      <c r="C1516" s="1" t="n">
        <v>45762</v>
      </c>
      <c r="D1516" t="inlineStr">
        <is>
          <t>UPPSALA LÄN</t>
        </is>
      </c>
      <c r="E1516" t="inlineStr">
        <is>
          <t>UPPSALA</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27981-2024</t>
        </is>
      </c>
      <c r="B1517" s="1" t="n">
        <v>45476</v>
      </c>
      <c r="C1517" s="1" t="n">
        <v>45762</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27973-2024</t>
        </is>
      </c>
      <c r="B1518" s="1" t="n">
        <v>45476</v>
      </c>
      <c r="C1518" s="1" t="n">
        <v>45762</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28453-2024</t>
        </is>
      </c>
      <c r="B1519" s="1" t="n">
        <v>45477</v>
      </c>
      <c r="C1519" s="1" t="n">
        <v>45762</v>
      </c>
      <c r="D1519" t="inlineStr">
        <is>
          <t>UPPSALA LÄN</t>
        </is>
      </c>
      <c r="E1519" t="inlineStr">
        <is>
          <t>UPPSALA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28825-2024</t>
        </is>
      </c>
      <c r="B1520" s="1" t="n">
        <v>45478</v>
      </c>
      <c r="C1520" s="1" t="n">
        <v>45762</v>
      </c>
      <c r="D1520" t="inlineStr">
        <is>
          <t>UPPSALA LÄN</t>
        </is>
      </c>
      <c r="E1520" t="inlineStr">
        <is>
          <t>UPPSALA</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28782-2024</t>
        </is>
      </c>
      <c r="B1521" s="1" t="n">
        <v>45478</v>
      </c>
      <c r="C1521" s="1" t="n">
        <v>45762</v>
      </c>
      <c r="D1521" t="inlineStr">
        <is>
          <t>UPPSALA LÄN</t>
        </is>
      </c>
      <c r="E1521" t="inlineStr">
        <is>
          <t>UPPSALA</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29081-2024</t>
        </is>
      </c>
      <c r="B1522" s="1" t="n">
        <v>45481</v>
      </c>
      <c r="C1522" s="1" t="n">
        <v>45762</v>
      </c>
      <c r="D1522" t="inlineStr">
        <is>
          <t>UPPSALA LÄN</t>
        </is>
      </c>
      <c r="E1522" t="inlineStr">
        <is>
          <t>UPPSALA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29082-2024</t>
        </is>
      </c>
      <c r="B1523" s="1" t="n">
        <v>45481</v>
      </c>
      <c r="C1523" s="1" t="n">
        <v>45762</v>
      </c>
      <c r="D1523" t="inlineStr">
        <is>
          <t>UPPSALA LÄN</t>
        </is>
      </c>
      <c r="E1523" t="inlineStr">
        <is>
          <t>UPPSALA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29164-2024</t>
        </is>
      </c>
      <c r="B1524" s="1" t="n">
        <v>45482</v>
      </c>
      <c r="C1524" s="1" t="n">
        <v>45762</v>
      </c>
      <c r="D1524" t="inlineStr">
        <is>
          <t>UPPSALA LÄN</t>
        </is>
      </c>
      <c r="E1524" t="inlineStr">
        <is>
          <t>UPPSALA</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30079-2024</t>
        </is>
      </c>
      <c r="B1525" s="1" t="n">
        <v>45489</v>
      </c>
      <c r="C1525" s="1" t="n">
        <v>45762</v>
      </c>
      <c r="D1525" t="inlineStr">
        <is>
          <t>UPPSALA LÄN</t>
        </is>
      </c>
      <c r="E1525" t="inlineStr">
        <is>
          <t>UPPSALA</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30319-2024</t>
        </is>
      </c>
      <c r="B1526" s="1" t="n">
        <v>45490</v>
      </c>
      <c r="C1526" s="1" t="n">
        <v>45762</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31717-2024</t>
        </is>
      </c>
      <c r="B1527" s="1" t="n">
        <v>45509</v>
      </c>
      <c r="C1527" s="1" t="n">
        <v>45762</v>
      </c>
      <c r="D1527" t="inlineStr">
        <is>
          <t>UPPSALA LÄN</t>
        </is>
      </c>
      <c r="E1527" t="inlineStr">
        <is>
          <t>UPPSALA</t>
        </is>
      </c>
      <c r="F1527" t="inlineStr">
        <is>
          <t>Bergvik skog öst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32119-2024</t>
        </is>
      </c>
      <c r="B1528" s="1" t="n">
        <v>45511</v>
      </c>
      <c r="C1528" s="1" t="n">
        <v>45762</v>
      </c>
      <c r="D1528" t="inlineStr">
        <is>
          <t>UPPSALA LÄN</t>
        </is>
      </c>
      <c r="E1528" t="inlineStr">
        <is>
          <t>UPPSALA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32127-2024</t>
        </is>
      </c>
      <c r="B1529" s="1" t="n">
        <v>45511</v>
      </c>
      <c r="C1529" s="1" t="n">
        <v>45762</v>
      </c>
      <c r="D1529" t="inlineStr">
        <is>
          <t>UPPSALA LÄN</t>
        </is>
      </c>
      <c r="E1529" t="inlineStr">
        <is>
          <t>UPPSALA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32106-2024</t>
        </is>
      </c>
      <c r="B1530" s="1" t="n">
        <v>45511</v>
      </c>
      <c r="C1530" s="1" t="n">
        <v>45762</v>
      </c>
      <c r="D1530" t="inlineStr">
        <is>
          <t>UPPSALA LÄN</t>
        </is>
      </c>
      <c r="E1530" t="inlineStr">
        <is>
          <t>UPPSALA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32117-2024</t>
        </is>
      </c>
      <c r="B1531" s="1" t="n">
        <v>45511</v>
      </c>
      <c r="C1531" s="1" t="n">
        <v>45762</v>
      </c>
      <c r="D1531" t="inlineStr">
        <is>
          <t>UPPSALA LÄN</t>
        </is>
      </c>
      <c r="E1531" t="inlineStr">
        <is>
          <t>UPPSALA</t>
        </is>
      </c>
      <c r="F1531" t="inlineStr">
        <is>
          <t>Allmännings- och besparingsskogar</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32554-2024</t>
        </is>
      </c>
      <c r="B1532" s="1" t="n">
        <v>45513</v>
      </c>
      <c r="C1532" s="1" t="n">
        <v>45762</v>
      </c>
      <c r="D1532" t="inlineStr">
        <is>
          <t>UPPSALA LÄN</t>
        </is>
      </c>
      <c r="E1532" t="inlineStr">
        <is>
          <t>UPPSALA</t>
        </is>
      </c>
      <c r="F1532" t="inlineStr">
        <is>
          <t>Bergvik skog öst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32553-2024</t>
        </is>
      </c>
      <c r="B1533" s="1" t="n">
        <v>45513</v>
      </c>
      <c r="C1533" s="1" t="n">
        <v>45762</v>
      </c>
      <c r="D1533" t="inlineStr">
        <is>
          <t>UPPSALA LÄN</t>
        </is>
      </c>
      <c r="E1533" t="inlineStr">
        <is>
          <t>UPPSALA</t>
        </is>
      </c>
      <c r="F1533" t="inlineStr">
        <is>
          <t>Bergvik skog öst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33622-2024</t>
        </is>
      </c>
      <c r="B1534" s="1" t="n">
        <v>45520</v>
      </c>
      <c r="C1534" s="1" t="n">
        <v>45762</v>
      </c>
      <c r="D1534" t="inlineStr">
        <is>
          <t>UPPSALA LÄN</t>
        </is>
      </c>
      <c r="E1534" t="inlineStr">
        <is>
          <t>UPPSALA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33667-2024</t>
        </is>
      </c>
      <c r="B1535" s="1" t="n">
        <v>45520</v>
      </c>
      <c r="C1535" s="1" t="n">
        <v>45762</v>
      </c>
      <c r="D1535" t="inlineStr">
        <is>
          <t>UPPSALA LÄN</t>
        </is>
      </c>
      <c r="E1535" t="inlineStr">
        <is>
          <t>UPPSALA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33816-2024</t>
        </is>
      </c>
      <c r="B1536" s="1" t="n">
        <v>45520</v>
      </c>
      <c r="C1536" s="1" t="n">
        <v>45762</v>
      </c>
      <c r="D1536" t="inlineStr">
        <is>
          <t>UPPSALA LÄN</t>
        </is>
      </c>
      <c r="E1536" t="inlineStr">
        <is>
          <t>UPPSALA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33939-2024</t>
        </is>
      </c>
      <c r="B1537" s="1" t="n">
        <v>45523</v>
      </c>
      <c r="C1537" s="1" t="n">
        <v>45762</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34147-2024</t>
        </is>
      </c>
      <c r="B1538" s="1" t="n">
        <v>45524</v>
      </c>
      <c r="C1538" s="1" t="n">
        <v>45762</v>
      </c>
      <c r="D1538" t="inlineStr">
        <is>
          <t>UPPSALA LÄN</t>
        </is>
      </c>
      <c r="E1538" t="inlineStr">
        <is>
          <t>UPPSALA</t>
        </is>
      </c>
      <c r="F1538" t="inlineStr">
        <is>
          <t>Allmännings- och besparingsskogar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45762</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34520-2024</t>
        </is>
      </c>
      <c r="B1540" s="1" t="n">
        <v>45525</v>
      </c>
      <c r="C1540" s="1" t="n">
        <v>45762</v>
      </c>
      <c r="D1540" t="inlineStr">
        <is>
          <t>UPPSALA LÄN</t>
        </is>
      </c>
      <c r="E1540" t="inlineStr">
        <is>
          <t>UPPSALA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34656-2024</t>
        </is>
      </c>
      <c r="B1541" s="1" t="n">
        <v>45526</v>
      </c>
      <c r="C1541" s="1" t="n">
        <v>45762</v>
      </c>
      <c r="D1541" t="inlineStr">
        <is>
          <t>UPPSALA LÄN</t>
        </is>
      </c>
      <c r="E1541" t="inlineStr">
        <is>
          <t>UPPSALA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34623-2024</t>
        </is>
      </c>
      <c r="B1542" s="1" t="n">
        <v>45526</v>
      </c>
      <c r="C1542" s="1" t="n">
        <v>45762</v>
      </c>
      <c r="D1542" t="inlineStr">
        <is>
          <t>UPPSALA LÄN</t>
        </is>
      </c>
      <c r="E1542" t="inlineStr">
        <is>
          <t>UPPSALA</t>
        </is>
      </c>
      <c r="G1542" t="n">
        <v>21.5</v>
      </c>
      <c r="H1542" t="n">
        <v>0</v>
      </c>
      <c r="I1542" t="n">
        <v>0</v>
      </c>
      <c r="J1542" t="n">
        <v>0</v>
      </c>
      <c r="K1542" t="n">
        <v>0</v>
      </c>
      <c r="L1542" t="n">
        <v>0</v>
      </c>
      <c r="M1542" t="n">
        <v>0</v>
      </c>
      <c r="N1542" t="n">
        <v>0</v>
      </c>
      <c r="O1542" t="n">
        <v>0</v>
      </c>
      <c r="P1542" t="n">
        <v>0</v>
      </c>
      <c r="Q1542" t="n">
        <v>0</v>
      </c>
      <c r="R1542" s="2" t="inlineStr"/>
    </row>
    <row r="1543" ht="15" customHeight="1">
      <c r="A1543" t="inlineStr">
        <is>
          <t>A 35830-2024</t>
        </is>
      </c>
      <c r="B1543" s="1" t="n">
        <v>45532</v>
      </c>
      <c r="C1543" s="1" t="n">
        <v>45762</v>
      </c>
      <c r="D1543" t="inlineStr">
        <is>
          <t>UPPSALA LÄN</t>
        </is>
      </c>
      <c r="E1543" t="inlineStr">
        <is>
          <t>UPPSALA</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36015-2024</t>
        </is>
      </c>
      <c r="B1544" s="1" t="n">
        <v>45533</v>
      </c>
      <c r="C1544" s="1" t="n">
        <v>45762</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36029-2024</t>
        </is>
      </c>
      <c r="B1545" s="1" t="n">
        <v>45533</v>
      </c>
      <c r="C1545" s="1" t="n">
        <v>45762</v>
      </c>
      <c r="D1545" t="inlineStr">
        <is>
          <t>UPPSALA LÄN</t>
        </is>
      </c>
      <c r="E1545" t="inlineStr">
        <is>
          <t>UPPSALA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36041-2024</t>
        </is>
      </c>
      <c r="B1546" s="1" t="n">
        <v>45533</v>
      </c>
      <c r="C1546" s="1" t="n">
        <v>45762</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37032-2024</t>
        </is>
      </c>
      <c r="B1547" s="1" t="n">
        <v>45539</v>
      </c>
      <c r="C1547" s="1" t="n">
        <v>45762</v>
      </c>
      <c r="D1547" t="inlineStr">
        <is>
          <t>UPPSALA LÄN</t>
        </is>
      </c>
      <c r="E1547" t="inlineStr">
        <is>
          <t>UPPSALA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37033-2024</t>
        </is>
      </c>
      <c r="B1548" s="1" t="n">
        <v>45539</v>
      </c>
      <c r="C1548" s="1" t="n">
        <v>45762</v>
      </c>
      <c r="D1548" t="inlineStr">
        <is>
          <t>UPPSALA LÄN</t>
        </is>
      </c>
      <c r="E1548" t="inlineStr">
        <is>
          <t>UPPSALA</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37307-2024</t>
        </is>
      </c>
      <c r="B1549" s="1" t="n">
        <v>45540</v>
      </c>
      <c r="C1549" s="1" t="n">
        <v>45762</v>
      </c>
      <c r="D1549" t="inlineStr">
        <is>
          <t>UPPSALA LÄN</t>
        </is>
      </c>
      <c r="E1549" t="inlineStr">
        <is>
          <t>UPPSALA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37568-2024</t>
        </is>
      </c>
      <c r="B1550" s="1" t="n">
        <v>45541</v>
      </c>
      <c r="C1550" s="1" t="n">
        <v>45762</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37666-2024</t>
        </is>
      </c>
      <c r="B1551" s="1" t="n">
        <v>45541</v>
      </c>
      <c r="C1551" s="1" t="n">
        <v>45762</v>
      </c>
      <c r="D1551" t="inlineStr">
        <is>
          <t>UPPSALA LÄN</t>
        </is>
      </c>
      <c r="E1551" t="inlineStr">
        <is>
          <t>UPPSALA</t>
        </is>
      </c>
      <c r="F1551" t="inlineStr">
        <is>
          <t>Övriga Aktiebolag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37579-2024</t>
        </is>
      </c>
      <c r="B1552" s="1" t="n">
        <v>45541</v>
      </c>
      <c r="C1552" s="1" t="n">
        <v>45762</v>
      </c>
      <c r="D1552" t="inlineStr">
        <is>
          <t>UPPSALA LÄN</t>
        </is>
      </c>
      <c r="E1552" t="inlineStr">
        <is>
          <t>UPPSALA</t>
        </is>
      </c>
      <c r="G1552" t="n">
        <v>22.8</v>
      </c>
      <c r="H1552" t="n">
        <v>0</v>
      </c>
      <c r="I1552" t="n">
        <v>0</v>
      </c>
      <c r="J1552" t="n">
        <v>0</v>
      </c>
      <c r="K1552" t="n">
        <v>0</v>
      </c>
      <c r="L1552" t="n">
        <v>0</v>
      </c>
      <c r="M1552" t="n">
        <v>0</v>
      </c>
      <c r="N1552" t="n">
        <v>0</v>
      </c>
      <c r="O1552" t="n">
        <v>0</v>
      </c>
      <c r="P1552" t="n">
        <v>0</v>
      </c>
      <c r="Q1552" t="n">
        <v>0</v>
      </c>
      <c r="R1552" s="2" t="inlineStr"/>
    </row>
    <row r="1553" ht="15" customHeight="1">
      <c r="A1553" t="inlineStr">
        <is>
          <t>A 37671-2024</t>
        </is>
      </c>
      <c r="B1553" s="1" t="n">
        <v>45541</v>
      </c>
      <c r="C1553" s="1" t="n">
        <v>45762</v>
      </c>
      <c r="D1553" t="inlineStr">
        <is>
          <t>UPPSALA LÄN</t>
        </is>
      </c>
      <c r="E1553" t="inlineStr">
        <is>
          <t>UPPSALA</t>
        </is>
      </c>
      <c r="F1553" t="inlineStr">
        <is>
          <t>Övriga Aktiebolag</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38119-2024</t>
        </is>
      </c>
      <c r="B1554" s="1" t="n">
        <v>45545</v>
      </c>
      <c r="C1554" s="1" t="n">
        <v>45762</v>
      </c>
      <c r="D1554" t="inlineStr">
        <is>
          <t>UPPSALA LÄN</t>
        </is>
      </c>
      <c r="E1554" t="inlineStr">
        <is>
          <t>UPPSALA</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38958-2024</t>
        </is>
      </c>
      <c r="B1555" s="1" t="n">
        <v>45548</v>
      </c>
      <c r="C1555" s="1" t="n">
        <v>45762</v>
      </c>
      <c r="D1555" t="inlineStr">
        <is>
          <t>UPPSALA LÄN</t>
        </is>
      </c>
      <c r="E1555" t="inlineStr">
        <is>
          <t>UPPSALA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39007-2024</t>
        </is>
      </c>
      <c r="B1556" s="1" t="n">
        <v>45548</v>
      </c>
      <c r="C1556" s="1" t="n">
        <v>45762</v>
      </c>
      <c r="D1556" t="inlineStr">
        <is>
          <t>UPPSALA LÄN</t>
        </is>
      </c>
      <c r="E1556" t="inlineStr">
        <is>
          <t>UPPSALA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39359-2024</t>
        </is>
      </c>
      <c r="B1557" s="1" t="n">
        <v>45551</v>
      </c>
      <c r="C1557" s="1" t="n">
        <v>45762</v>
      </c>
      <c r="D1557" t="inlineStr">
        <is>
          <t>UPPSALA LÄN</t>
        </is>
      </c>
      <c r="E1557" t="inlineStr">
        <is>
          <t>UPPSALA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39818-2024</t>
        </is>
      </c>
      <c r="B1558" s="1" t="n">
        <v>45552</v>
      </c>
      <c r="C1558" s="1" t="n">
        <v>45762</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39812-2024</t>
        </is>
      </c>
      <c r="B1559" s="1" t="n">
        <v>45552</v>
      </c>
      <c r="C1559" s="1" t="n">
        <v>45762</v>
      </c>
      <c r="D1559" t="inlineStr">
        <is>
          <t>UPPSALA LÄN</t>
        </is>
      </c>
      <c r="E1559" t="inlineStr">
        <is>
          <t>UPPSALA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39926-2024</t>
        </is>
      </c>
      <c r="B1560" s="1" t="n">
        <v>45553</v>
      </c>
      <c r="C1560" s="1" t="n">
        <v>45762</v>
      </c>
      <c r="D1560" t="inlineStr">
        <is>
          <t>UPPSALA LÄN</t>
        </is>
      </c>
      <c r="E1560" t="inlineStr">
        <is>
          <t>UPPSALA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40111-2024</t>
        </is>
      </c>
      <c r="B1561" s="1" t="n">
        <v>45554</v>
      </c>
      <c r="C1561" s="1" t="n">
        <v>45762</v>
      </c>
      <c r="D1561" t="inlineStr">
        <is>
          <t>UPPSALA LÄN</t>
        </is>
      </c>
      <c r="E1561" t="inlineStr">
        <is>
          <t>UPPSALA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40326-2024</t>
        </is>
      </c>
      <c r="B1562" s="1" t="n">
        <v>45554</v>
      </c>
      <c r="C1562" s="1" t="n">
        <v>45762</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40491-2024</t>
        </is>
      </c>
      <c r="B1563" s="1" t="n">
        <v>45555</v>
      </c>
      <c r="C1563" s="1" t="n">
        <v>45762</v>
      </c>
      <c r="D1563" t="inlineStr">
        <is>
          <t>UPPSALA LÄN</t>
        </is>
      </c>
      <c r="E1563" t="inlineStr">
        <is>
          <t>UPPSALA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40503-2024</t>
        </is>
      </c>
      <c r="B1564" s="1" t="n">
        <v>45555</v>
      </c>
      <c r="C1564" s="1" t="n">
        <v>45762</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40701-2024</t>
        </is>
      </c>
      <c r="B1565" s="1" t="n">
        <v>45558</v>
      </c>
      <c r="C1565" s="1" t="n">
        <v>45762</v>
      </c>
      <c r="D1565" t="inlineStr">
        <is>
          <t>UPPSALA LÄN</t>
        </is>
      </c>
      <c r="E1565" t="inlineStr">
        <is>
          <t>UPPSALA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40753-2024</t>
        </is>
      </c>
      <c r="B1566" s="1" t="n">
        <v>45558</v>
      </c>
      <c r="C1566" s="1" t="n">
        <v>45762</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42276-2024</t>
        </is>
      </c>
      <c r="B1567" s="1" t="n">
        <v>45562</v>
      </c>
      <c r="C1567" s="1" t="n">
        <v>45762</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42146-2024</t>
        </is>
      </c>
      <c r="B1568" s="1" t="n">
        <v>45562</v>
      </c>
      <c r="C1568" s="1" t="n">
        <v>45762</v>
      </c>
      <c r="D1568" t="inlineStr">
        <is>
          <t>UPPSALA LÄN</t>
        </is>
      </c>
      <c r="E1568" t="inlineStr">
        <is>
          <t>UPPSALA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42259-2024</t>
        </is>
      </c>
      <c r="B1569" s="1" t="n">
        <v>45562</v>
      </c>
      <c r="C1569" s="1" t="n">
        <v>45762</v>
      </c>
      <c r="D1569" t="inlineStr">
        <is>
          <t>UPPSALA LÄN</t>
        </is>
      </c>
      <c r="E1569" t="inlineStr">
        <is>
          <t>UPPSALA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42143-2024</t>
        </is>
      </c>
      <c r="B1570" s="1" t="n">
        <v>45562</v>
      </c>
      <c r="C1570" s="1" t="n">
        <v>45762</v>
      </c>
      <c r="D1570" t="inlineStr">
        <is>
          <t>UPPSALA LÄN</t>
        </is>
      </c>
      <c r="E1570" t="inlineStr">
        <is>
          <t>UPPSALA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43361-2024</t>
        </is>
      </c>
      <c r="B1571" s="1" t="n">
        <v>45568</v>
      </c>
      <c r="C1571" s="1" t="n">
        <v>45762</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43959-2024</t>
        </is>
      </c>
      <c r="B1572" s="1" t="n">
        <v>45572</v>
      </c>
      <c r="C1572" s="1" t="n">
        <v>45762</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43960-2024</t>
        </is>
      </c>
      <c r="B1573" s="1" t="n">
        <v>45572</v>
      </c>
      <c r="C1573" s="1" t="n">
        <v>45762</v>
      </c>
      <c r="D1573" t="inlineStr">
        <is>
          <t>UPPSALA LÄN</t>
        </is>
      </c>
      <c r="E1573" t="inlineStr">
        <is>
          <t>UPPSALA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43951-2024</t>
        </is>
      </c>
      <c r="B1574" s="1" t="n">
        <v>45572</v>
      </c>
      <c r="C1574" s="1" t="n">
        <v>45762</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44562-2024</t>
        </is>
      </c>
      <c r="B1575" s="1" t="n">
        <v>45574</v>
      </c>
      <c r="C1575" s="1" t="n">
        <v>45762</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44550-2024</t>
        </is>
      </c>
      <c r="B1576" s="1" t="n">
        <v>45574</v>
      </c>
      <c r="C1576" s="1" t="n">
        <v>45762</v>
      </c>
      <c r="D1576" t="inlineStr">
        <is>
          <t>UPPSALA LÄN</t>
        </is>
      </c>
      <c r="E1576" t="inlineStr">
        <is>
          <t>UPPSALA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44563-2024</t>
        </is>
      </c>
      <c r="B1577" s="1" t="n">
        <v>45574</v>
      </c>
      <c r="C1577" s="1" t="n">
        <v>45762</v>
      </c>
      <c r="D1577" t="inlineStr">
        <is>
          <t>UPPSALA LÄN</t>
        </is>
      </c>
      <c r="E1577" t="inlineStr">
        <is>
          <t>UPPSALA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44847-2024</t>
        </is>
      </c>
      <c r="B1578" s="1" t="n">
        <v>45574</v>
      </c>
      <c r="C1578" s="1" t="n">
        <v>45762</v>
      </c>
      <c r="D1578" t="inlineStr">
        <is>
          <t>UPPSALA LÄN</t>
        </is>
      </c>
      <c r="E1578" t="inlineStr">
        <is>
          <t>UPPSALA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44560-2024</t>
        </is>
      </c>
      <c r="B1579" s="1" t="n">
        <v>45574</v>
      </c>
      <c r="C1579" s="1" t="n">
        <v>45762</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44946-2024</t>
        </is>
      </c>
      <c r="B1580" s="1" t="n">
        <v>45575</v>
      </c>
      <c r="C1580" s="1" t="n">
        <v>45762</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45878-2024</t>
        </is>
      </c>
      <c r="B1581" s="1" t="n">
        <v>45580</v>
      </c>
      <c r="C1581" s="1" t="n">
        <v>45762</v>
      </c>
      <c r="D1581" t="inlineStr">
        <is>
          <t>UPPSALA LÄN</t>
        </is>
      </c>
      <c r="E1581" t="inlineStr">
        <is>
          <t>UPPSALA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46728-2024</t>
        </is>
      </c>
      <c r="B1582" s="1" t="n">
        <v>45583</v>
      </c>
      <c r="C1582" s="1" t="n">
        <v>45762</v>
      </c>
      <c r="D1582" t="inlineStr">
        <is>
          <t>UPPSALA LÄN</t>
        </is>
      </c>
      <c r="E1582" t="inlineStr">
        <is>
          <t>UPPSALA</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46796-2024</t>
        </is>
      </c>
      <c r="B1583" s="1" t="n">
        <v>45583</v>
      </c>
      <c r="C1583" s="1" t="n">
        <v>45762</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46745-2024</t>
        </is>
      </c>
      <c r="B1584" s="1" t="n">
        <v>45583</v>
      </c>
      <c r="C1584" s="1" t="n">
        <v>45762</v>
      </c>
      <c r="D1584" t="inlineStr">
        <is>
          <t>UPPSALA LÄN</t>
        </is>
      </c>
      <c r="E1584" t="inlineStr">
        <is>
          <t>UPPSALA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46743-2024</t>
        </is>
      </c>
      <c r="B1585" s="1" t="n">
        <v>45583</v>
      </c>
      <c r="C1585" s="1" t="n">
        <v>45762</v>
      </c>
      <c r="D1585" t="inlineStr">
        <is>
          <t>UPPSALA LÄN</t>
        </is>
      </c>
      <c r="E1585" t="inlineStr">
        <is>
          <t>UPPSALA</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46751-2024</t>
        </is>
      </c>
      <c r="B1586" s="1" t="n">
        <v>45583</v>
      </c>
      <c r="C1586" s="1" t="n">
        <v>45762</v>
      </c>
      <c r="D1586" t="inlineStr">
        <is>
          <t>UPPSALA LÄN</t>
        </is>
      </c>
      <c r="E1586" t="inlineStr">
        <is>
          <t>UPPSALA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46794-2024</t>
        </is>
      </c>
      <c r="B1587" s="1" t="n">
        <v>45583</v>
      </c>
      <c r="C1587" s="1" t="n">
        <v>45762</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46791-2024</t>
        </is>
      </c>
      <c r="B1588" s="1" t="n">
        <v>45583</v>
      </c>
      <c r="C1588" s="1" t="n">
        <v>45762</v>
      </c>
      <c r="D1588" t="inlineStr">
        <is>
          <t>UPPSALA LÄN</t>
        </is>
      </c>
      <c r="E1588" t="inlineStr">
        <is>
          <t>UPPSALA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46730-2024</t>
        </is>
      </c>
      <c r="B1589" s="1" t="n">
        <v>45583</v>
      </c>
      <c r="C1589" s="1" t="n">
        <v>45762</v>
      </c>
      <c r="D1589" t="inlineStr">
        <is>
          <t>UPPSALA LÄN</t>
        </is>
      </c>
      <c r="E1589" t="inlineStr">
        <is>
          <t>UPPSALA</t>
        </is>
      </c>
      <c r="F1589" t="inlineStr">
        <is>
          <t>Sveaskog</t>
        </is>
      </c>
      <c r="G1589" t="n">
        <v>6.5</v>
      </c>
      <c r="H1589" t="n">
        <v>0</v>
      </c>
      <c r="I1589" t="n">
        <v>0</v>
      </c>
      <c r="J1589" t="n">
        <v>0</v>
      </c>
      <c r="K1589" t="n">
        <v>0</v>
      </c>
      <c r="L1589" t="n">
        <v>0</v>
      </c>
      <c r="M1589" t="n">
        <v>0</v>
      </c>
      <c r="N1589" t="n">
        <v>0</v>
      </c>
      <c r="O1589" t="n">
        <v>0</v>
      </c>
      <c r="P1589" t="n">
        <v>0</v>
      </c>
      <c r="Q1589" t="n">
        <v>0</v>
      </c>
      <c r="R1589" s="2" t="inlineStr"/>
      <c r="U1589">
        <f>HYPERLINK("https://klasma.github.io/Logging_0380/knärot/A 46730-2024 karta knärot.png", "A 46730-2024")</f>
        <v/>
      </c>
      <c r="V1589">
        <f>HYPERLINK("https://klasma.github.io/Logging_0380/klagomål/A 46730-2024 FSC-klagomål.docx", "A 46730-2024")</f>
        <v/>
      </c>
      <c r="W1589">
        <f>HYPERLINK("https://klasma.github.io/Logging_0380/klagomålsmail/A 46730-2024 FSC-klagomål mail.docx", "A 46730-2024")</f>
        <v/>
      </c>
      <c r="X1589">
        <f>HYPERLINK("https://klasma.github.io/Logging_0380/tillsyn/A 46730-2024 tillsynsbegäran.docx", "A 46730-2024")</f>
        <v/>
      </c>
      <c r="Y1589">
        <f>HYPERLINK("https://klasma.github.io/Logging_0380/tillsynsmail/A 46730-2024 tillsynsbegäran mail.docx", "A 46730-2024")</f>
        <v/>
      </c>
    </row>
    <row r="1590" ht="15" customHeight="1">
      <c r="A1590" t="inlineStr">
        <is>
          <t>A 46821-2024</t>
        </is>
      </c>
      <c r="B1590" s="1" t="n">
        <v>45583</v>
      </c>
      <c r="C1590" s="1" t="n">
        <v>45762</v>
      </c>
      <c r="D1590" t="inlineStr">
        <is>
          <t>UPPSALA LÄN</t>
        </is>
      </c>
      <c r="E1590" t="inlineStr">
        <is>
          <t>UPPSALA</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46748-2024</t>
        </is>
      </c>
      <c r="B1591" s="1" t="n">
        <v>45583</v>
      </c>
      <c r="C1591" s="1" t="n">
        <v>45762</v>
      </c>
      <c r="D1591" t="inlineStr">
        <is>
          <t>UPPSALA LÄN</t>
        </is>
      </c>
      <c r="E1591" t="inlineStr">
        <is>
          <t>UPPSALA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46700-2024</t>
        </is>
      </c>
      <c r="B1592" s="1" t="n">
        <v>45583</v>
      </c>
      <c r="C1592" s="1" t="n">
        <v>45762</v>
      </c>
      <c r="D1592" t="inlineStr">
        <is>
          <t>UPPSALA LÄN</t>
        </is>
      </c>
      <c r="E1592" t="inlineStr">
        <is>
          <t>UPPSALA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46925-2024</t>
        </is>
      </c>
      <c r="B1593" s="1" t="n">
        <v>45584</v>
      </c>
      <c r="C1593" s="1" t="n">
        <v>45762</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47169-2024</t>
        </is>
      </c>
      <c r="B1594" s="1" t="n">
        <v>45586</v>
      </c>
      <c r="C1594" s="1" t="n">
        <v>45762</v>
      </c>
      <c r="D1594" t="inlineStr">
        <is>
          <t>UPPSALA LÄN</t>
        </is>
      </c>
      <c r="E1594" t="inlineStr">
        <is>
          <t>UPPSALA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47052-2024</t>
        </is>
      </c>
      <c r="B1595" s="1" t="n">
        <v>45586</v>
      </c>
      <c r="C1595" s="1" t="n">
        <v>45762</v>
      </c>
      <c r="D1595" t="inlineStr">
        <is>
          <t>UPPSALA LÄN</t>
        </is>
      </c>
      <c r="E1595" t="inlineStr">
        <is>
          <t>UPPSALA</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47288-2024</t>
        </is>
      </c>
      <c r="B1596" s="1" t="n">
        <v>45587</v>
      </c>
      <c r="C1596" s="1" t="n">
        <v>45762</v>
      </c>
      <c r="D1596" t="inlineStr">
        <is>
          <t>UPPSALA LÄN</t>
        </is>
      </c>
      <c r="E1596" t="inlineStr">
        <is>
          <t>UPPSALA</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48154-2024</t>
        </is>
      </c>
      <c r="B1597" s="1" t="n">
        <v>45589</v>
      </c>
      <c r="C1597" s="1" t="n">
        <v>45762</v>
      </c>
      <c r="D1597" t="inlineStr">
        <is>
          <t>UPPSALA LÄN</t>
        </is>
      </c>
      <c r="E1597" t="inlineStr">
        <is>
          <t>UPPSALA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45762</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48073-2024</t>
        </is>
      </c>
      <c r="B1599" s="1" t="n">
        <v>45589</v>
      </c>
      <c r="C1599" s="1" t="n">
        <v>45762</v>
      </c>
      <c r="D1599" t="inlineStr">
        <is>
          <t>UPPSALA LÄN</t>
        </is>
      </c>
      <c r="E1599" t="inlineStr">
        <is>
          <t>UPPSALA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49158-2024</t>
        </is>
      </c>
      <c r="B1600" s="1" t="n">
        <v>45594</v>
      </c>
      <c r="C1600" s="1" t="n">
        <v>45762</v>
      </c>
      <c r="D1600" t="inlineStr">
        <is>
          <t>UPPSALA LÄN</t>
        </is>
      </c>
      <c r="E1600" t="inlineStr">
        <is>
          <t>UPPSALA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49012-2024</t>
        </is>
      </c>
      <c r="B1601" s="1" t="n">
        <v>45594</v>
      </c>
      <c r="C1601" s="1" t="n">
        <v>45762</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49050-2024</t>
        </is>
      </c>
      <c r="B1602" s="1" t="n">
        <v>45594</v>
      </c>
      <c r="C1602" s="1" t="n">
        <v>45762</v>
      </c>
      <c r="D1602" t="inlineStr">
        <is>
          <t>UPPSALA LÄN</t>
        </is>
      </c>
      <c r="E1602" t="inlineStr">
        <is>
          <t>UPPSALA</t>
        </is>
      </c>
      <c r="F1602" t="inlineStr">
        <is>
          <t>Övriga statliga verk och myndigheter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49180-2024</t>
        </is>
      </c>
      <c r="B1603" s="1" t="n">
        <v>45595</v>
      </c>
      <c r="C1603" s="1" t="n">
        <v>45762</v>
      </c>
      <c r="D1603" t="inlineStr">
        <is>
          <t>UPPSALA LÄN</t>
        </is>
      </c>
      <c r="E1603" t="inlineStr">
        <is>
          <t>UPPSALA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50037-2024</t>
        </is>
      </c>
      <c r="B1604" s="1" t="n">
        <v>45599</v>
      </c>
      <c r="C1604" s="1" t="n">
        <v>45762</v>
      </c>
      <c r="D1604" t="inlineStr">
        <is>
          <t>UPPSALA LÄN</t>
        </is>
      </c>
      <c r="E1604" t="inlineStr">
        <is>
          <t>UPPSALA</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50535-2024</t>
        </is>
      </c>
      <c r="B1605" s="1" t="n">
        <v>45600</v>
      </c>
      <c r="C1605" s="1" t="n">
        <v>45762</v>
      </c>
      <c r="D1605" t="inlineStr">
        <is>
          <t>UPPSALA LÄN</t>
        </is>
      </c>
      <c r="E1605" t="inlineStr">
        <is>
          <t>UPPSALA</t>
        </is>
      </c>
      <c r="F1605" t="inlineStr">
        <is>
          <t>Övriga statliga verk och myndigheter</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50196-2024</t>
        </is>
      </c>
      <c r="B1606" s="1" t="n">
        <v>45600</v>
      </c>
      <c r="C1606" s="1" t="n">
        <v>45762</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50463-2024</t>
        </is>
      </c>
      <c r="B1607" s="1" t="n">
        <v>45601</v>
      </c>
      <c r="C1607" s="1" t="n">
        <v>45762</v>
      </c>
      <c r="D1607" t="inlineStr">
        <is>
          <t>UPPSALA LÄN</t>
        </is>
      </c>
      <c r="E1607" t="inlineStr">
        <is>
          <t>UPPSALA</t>
        </is>
      </c>
      <c r="F1607" t="inlineStr">
        <is>
          <t>Allmännings- och besparingsskogar</t>
        </is>
      </c>
      <c r="G1607" t="n">
        <v>12.6</v>
      </c>
      <c r="H1607" t="n">
        <v>0</v>
      </c>
      <c r="I1607" t="n">
        <v>0</v>
      </c>
      <c r="J1607" t="n">
        <v>0</v>
      </c>
      <c r="K1607" t="n">
        <v>0</v>
      </c>
      <c r="L1607" t="n">
        <v>0</v>
      </c>
      <c r="M1607" t="n">
        <v>0</v>
      </c>
      <c r="N1607" t="n">
        <v>0</v>
      </c>
      <c r="O1607" t="n">
        <v>0</v>
      </c>
      <c r="P1607" t="n">
        <v>0</v>
      </c>
      <c r="Q1607" t="n">
        <v>0</v>
      </c>
      <c r="R1607" s="2" t="inlineStr"/>
    </row>
    <row r="1608" ht="15" customHeight="1">
      <c r="A1608" t="inlineStr">
        <is>
          <t>A 50669-2024</t>
        </is>
      </c>
      <c r="B1608" s="1" t="n">
        <v>45601</v>
      </c>
      <c r="C1608" s="1" t="n">
        <v>45762</v>
      </c>
      <c r="D1608" t="inlineStr">
        <is>
          <t>UPPSALA LÄN</t>
        </is>
      </c>
      <c r="E1608" t="inlineStr">
        <is>
          <t>UPPSALA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50834-2024</t>
        </is>
      </c>
      <c r="B1609" s="1" t="n">
        <v>45602</v>
      </c>
      <c r="C1609" s="1" t="n">
        <v>45762</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51482-2024</t>
        </is>
      </c>
      <c r="B1610" s="1" t="n">
        <v>45604</v>
      </c>
      <c r="C1610" s="1" t="n">
        <v>45762</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51483-2024</t>
        </is>
      </c>
      <c r="B1611" s="1" t="n">
        <v>45604</v>
      </c>
      <c r="C1611" s="1" t="n">
        <v>45762</v>
      </c>
      <c r="D1611" t="inlineStr">
        <is>
          <t>UPPSALA LÄN</t>
        </is>
      </c>
      <c r="E1611" t="inlineStr">
        <is>
          <t>UPPSALA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51485-2024</t>
        </is>
      </c>
      <c r="B1612" s="1" t="n">
        <v>45604</v>
      </c>
      <c r="C1612" s="1" t="n">
        <v>45762</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52197-2024</t>
        </is>
      </c>
      <c r="B1613" s="1" t="n">
        <v>45608</v>
      </c>
      <c r="C1613" s="1" t="n">
        <v>45762</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52094-2024</t>
        </is>
      </c>
      <c r="B1614" s="1" t="n">
        <v>45608</v>
      </c>
      <c r="C1614" s="1" t="n">
        <v>45762</v>
      </c>
      <c r="D1614" t="inlineStr">
        <is>
          <t>UPPSALA LÄN</t>
        </is>
      </c>
      <c r="E1614" t="inlineStr">
        <is>
          <t>UPPSALA</t>
        </is>
      </c>
      <c r="F1614" t="inlineStr">
        <is>
          <t>Bergvik skog öst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52093-2024</t>
        </is>
      </c>
      <c r="B1615" s="1" t="n">
        <v>45608</v>
      </c>
      <c r="C1615" s="1" t="n">
        <v>45762</v>
      </c>
      <c r="D1615" t="inlineStr">
        <is>
          <t>UPPSALA LÄN</t>
        </is>
      </c>
      <c r="E1615" t="inlineStr">
        <is>
          <t>UPPSALA</t>
        </is>
      </c>
      <c r="F1615" t="inlineStr">
        <is>
          <t>Bergvik skog öst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52456-2024</t>
        </is>
      </c>
      <c r="B1616" s="1" t="n">
        <v>45609</v>
      </c>
      <c r="C1616" s="1" t="n">
        <v>45762</v>
      </c>
      <c r="D1616" t="inlineStr">
        <is>
          <t>UPPSALA LÄN</t>
        </is>
      </c>
      <c r="E1616" t="inlineStr">
        <is>
          <t>UPPSALA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52466-2024</t>
        </is>
      </c>
      <c r="B1617" s="1" t="n">
        <v>45609</v>
      </c>
      <c r="C1617" s="1" t="n">
        <v>45762</v>
      </c>
      <c r="D1617" t="inlineStr">
        <is>
          <t>UPPSALA LÄN</t>
        </is>
      </c>
      <c r="E1617" t="inlineStr">
        <is>
          <t>UPPSALA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53614-2024</t>
        </is>
      </c>
      <c r="B1618" s="1" t="n">
        <v>45611</v>
      </c>
      <c r="C1618" s="1" t="n">
        <v>45762</v>
      </c>
      <c r="D1618" t="inlineStr">
        <is>
          <t>UPPSALA LÄN</t>
        </is>
      </c>
      <c r="E1618" t="inlineStr">
        <is>
          <t>UPPSALA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53058-2024</t>
        </is>
      </c>
      <c r="B1619" s="1" t="n">
        <v>45611</v>
      </c>
      <c r="C1619" s="1" t="n">
        <v>45762</v>
      </c>
      <c r="D1619" t="inlineStr">
        <is>
          <t>UPPSALA LÄN</t>
        </is>
      </c>
      <c r="E1619" t="inlineStr">
        <is>
          <t>UPPSALA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53615-2024</t>
        </is>
      </c>
      <c r="B1620" s="1" t="n">
        <v>45611</v>
      </c>
      <c r="C1620" s="1" t="n">
        <v>45762</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53365-2024</t>
        </is>
      </c>
      <c r="B1621" s="1" t="n">
        <v>45614</v>
      </c>
      <c r="C1621" s="1" t="n">
        <v>45762</v>
      </c>
      <c r="D1621" t="inlineStr">
        <is>
          <t>UPPSALA LÄN</t>
        </is>
      </c>
      <c r="E1621" t="inlineStr">
        <is>
          <t>UPPSALA</t>
        </is>
      </c>
      <c r="F1621" t="inlineStr">
        <is>
          <t>Allmännings- och besparingsskogar</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53588-2024</t>
        </is>
      </c>
      <c r="B1622" s="1" t="n">
        <v>45614</v>
      </c>
      <c r="C1622" s="1" t="n">
        <v>45762</v>
      </c>
      <c r="D1622" t="inlineStr">
        <is>
          <t>UPPSALA LÄN</t>
        </is>
      </c>
      <c r="E1622" t="inlineStr">
        <is>
          <t>UPPSALA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53589-2024</t>
        </is>
      </c>
      <c r="B1623" s="1" t="n">
        <v>45614</v>
      </c>
      <c r="C1623" s="1" t="n">
        <v>45762</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53569-2024</t>
        </is>
      </c>
      <c r="B1624" s="1" t="n">
        <v>45614</v>
      </c>
      <c r="C1624" s="1" t="n">
        <v>45762</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53384-2024</t>
        </is>
      </c>
      <c r="B1625" s="1" t="n">
        <v>45614</v>
      </c>
      <c r="C1625" s="1" t="n">
        <v>45762</v>
      </c>
      <c r="D1625" t="inlineStr">
        <is>
          <t>UPPSALA LÄN</t>
        </is>
      </c>
      <c r="E1625" t="inlineStr">
        <is>
          <t>UPPSALA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53266-2024</t>
        </is>
      </c>
      <c r="B1626" s="1" t="n">
        <v>45614</v>
      </c>
      <c r="C1626" s="1" t="n">
        <v>45762</v>
      </c>
      <c r="D1626" t="inlineStr">
        <is>
          <t>UPPSALA LÄN</t>
        </is>
      </c>
      <c r="E1626" t="inlineStr">
        <is>
          <t>UPPSALA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53921-2024</t>
        </is>
      </c>
      <c r="B1627" s="1" t="n">
        <v>45615</v>
      </c>
      <c r="C1627" s="1" t="n">
        <v>45762</v>
      </c>
      <c r="D1627" t="inlineStr">
        <is>
          <t>UPPSALA LÄN</t>
        </is>
      </c>
      <c r="E1627" t="inlineStr">
        <is>
          <t>UPPSALA</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54512-2024</t>
        </is>
      </c>
      <c r="B1628" s="1" t="n">
        <v>45617</v>
      </c>
      <c r="C1628" s="1" t="n">
        <v>45762</v>
      </c>
      <c r="D1628" t="inlineStr">
        <is>
          <t>UPPSALA LÄN</t>
        </is>
      </c>
      <c r="E1628" t="inlineStr">
        <is>
          <t>UPPSALA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54924-2024</t>
        </is>
      </c>
      <c r="B1629" s="1" t="n">
        <v>45618</v>
      </c>
      <c r="C1629" s="1" t="n">
        <v>45762</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56050-2024</t>
        </is>
      </c>
      <c r="B1630" s="1" t="n">
        <v>45624</v>
      </c>
      <c r="C1630" s="1" t="n">
        <v>45762</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56067-2024</t>
        </is>
      </c>
      <c r="B1631" s="1" t="n">
        <v>45624</v>
      </c>
      <c r="C1631" s="1" t="n">
        <v>45762</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56084-2024</t>
        </is>
      </c>
      <c r="B1632" s="1" t="n">
        <v>45624</v>
      </c>
      <c r="C1632" s="1" t="n">
        <v>45762</v>
      </c>
      <c r="D1632" t="inlineStr">
        <is>
          <t>UPPSALA LÄN</t>
        </is>
      </c>
      <c r="E1632" t="inlineStr">
        <is>
          <t>UPPSALA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56564-2024</t>
        </is>
      </c>
      <c r="B1633" s="1" t="n">
        <v>45625</v>
      </c>
      <c r="C1633" s="1" t="n">
        <v>45762</v>
      </c>
      <c r="D1633" t="inlineStr">
        <is>
          <t>UPPSALA LÄN</t>
        </is>
      </c>
      <c r="E1633" t="inlineStr">
        <is>
          <t>UPPSALA</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57614-2024</t>
        </is>
      </c>
      <c r="B1634" s="1" t="n">
        <v>45630</v>
      </c>
      <c r="C1634" s="1" t="n">
        <v>45762</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57618-2024</t>
        </is>
      </c>
      <c r="B1635" s="1" t="n">
        <v>45630</v>
      </c>
      <c r="C1635" s="1" t="n">
        <v>45762</v>
      </c>
      <c r="D1635" t="inlineStr">
        <is>
          <t>UPPSALA LÄN</t>
        </is>
      </c>
      <c r="E1635" t="inlineStr">
        <is>
          <t>UPPSALA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57643-2024</t>
        </is>
      </c>
      <c r="B1636" s="1" t="n">
        <v>45630</v>
      </c>
      <c r="C1636" s="1" t="n">
        <v>45762</v>
      </c>
      <c r="D1636" t="inlineStr">
        <is>
          <t>UPPSALA LÄN</t>
        </is>
      </c>
      <c r="E1636" t="inlineStr">
        <is>
          <t>UPPSALA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57871-2024</t>
        </is>
      </c>
      <c r="B1637" s="1" t="n">
        <v>45631</v>
      </c>
      <c r="C1637" s="1" t="n">
        <v>45762</v>
      </c>
      <c r="D1637" t="inlineStr">
        <is>
          <t>UPPSALA LÄN</t>
        </is>
      </c>
      <c r="E1637" t="inlineStr">
        <is>
          <t>UPPSALA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58187-2024</t>
        </is>
      </c>
      <c r="B1638" s="1" t="n">
        <v>45632</v>
      </c>
      <c r="C1638" s="1" t="n">
        <v>45762</v>
      </c>
      <c r="D1638" t="inlineStr">
        <is>
          <t>UPPSALA LÄN</t>
        </is>
      </c>
      <c r="E1638" t="inlineStr">
        <is>
          <t>UPPSALA</t>
        </is>
      </c>
      <c r="F1638" t="inlineStr">
        <is>
          <t>Bergvik skog väst AB</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58188-2024</t>
        </is>
      </c>
      <c r="B1639" s="1" t="n">
        <v>45632</v>
      </c>
      <c r="C1639" s="1" t="n">
        <v>45762</v>
      </c>
      <c r="D1639" t="inlineStr">
        <is>
          <t>UPPSALA LÄN</t>
        </is>
      </c>
      <c r="E1639" t="inlineStr">
        <is>
          <t>UPPSALA</t>
        </is>
      </c>
      <c r="F1639" t="inlineStr">
        <is>
          <t>Bergvik skog väst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59098-2024</t>
        </is>
      </c>
      <c r="B1640" s="1" t="n">
        <v>45636</v>
      </c>
      <c r="C1640" s="1" t="n">
        <v>45762</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59114-2024</t>
        </is>
      </c>
      <c r="B1641" s="1" t="n">
        <v>45637</v>
      </c>
      <c r="C1641" s="1" t="n">
        <v>45762</v>
      </c>
      <c r="D1641" t="inlineStr">
        <is>
          <t>UPPSALA LÄN</t>
        </is>
      </c>
      <c r="E1641" t="inlineStr">
        <is>
          <t>UPPSALA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59116-2024</t>
        </is>
      </c>
      <c r="B1642" s="1" t="n">
        <v>45637</v>
      </c>
      <c r="C1642" s="1" t="n">
        <v>45762</v>
      </c>
      <c r="D1642" t="inlineStr">
        <is>
          <t>UPPSALA LÄN</t>
        </is>
      </c>
      <c r="E1642" t="inlineStr">
        <is>
          <t>UPPSALA</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59158-2024</t>
        </is>
      </c>
      <c r="B1643" s="1" t="n">
        <v>45637</v>
      </c>
      <c r="C1643" s="1" t="n">
        <v>45762</v>
      </c>
      <c r="D1643" t="inlineStr">
        <is>
          <t>UPPSALA LÄN</t>
        </is>
      </c>
      <c r="E1643" t="inlineStr">
        <is>
          <t>UPPSALA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59358-2024</t>
        </is>
      </c>
      <c r="B1644" s="1" t="n">
        <v>45638</v>
      </c>
      <c r="C1644" s="1" t="n">
        <v>45762</v>
      </c>
      <c r="D1644" t="inlineStr">
        <is>
          <t>UPPSALA LÄN</t>
        </is>
      </c>
      <c r="E1644" t="inlineStr">
        <is>
          <t>UPPSALA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59549-2024</t>
        </is>
      </c>
      <c r="B1645" s="1" t="n">
        <v>45638</v>
      </c>
      <c r="C1645" s="1" t="n">
        <v>45762</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59562-2024</t>
        </is>
      </c>
      <c r="B1646" s="1" t="n">
        <v>45638</v>
      </c>
      <c r="C1646" s="1" t="n">
        <v>45762</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59547-2024</t>
        </is>
      </c>
      <c r="B1647" s="1" t="n">
        <v>45638</v>
      </c>
      <c r="C1647" s="1" t="n">
        <v>45762</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59587-2024</t>
        </is>
      </c>
      <c r="B1648" s="1" t="n">
        <v>45638</v>
      </c>
      <c r="C1648" s="1" t="n">
        <v>45762</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60167-2024</t>
        </is>
      </c>
      <c r="B1649" s="1" t="n">
        <v>45642</v>
      </c>
      <c r="C1649" s="1" t="n">
        <v>45762</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60003-2024</t>
        </is>
      </c>
      <c r="B1650" s="1" t="n">
        <v>45642</v>
      </c>
      <c r="C1650" s="1" t="n">
        <v>45762</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59996-2024</t>
        </is>
      </c>
      <c r="B1651" s="1" t="n">
        <v>45642</v>
      </c>
      <c r="C1651" s="1" t="n">
        <v>45762</v>
      </c>
      <c r="D1651" t="inlineStr">
        <is>
          <t>UPPSALA LÄN</t>
        </is>
      </c>
      <c r="E1651" t="inlineStr">
        <is>
          <t>UPPSALA</t>
        </is>
      </c>
      <c r="F1651" t="inlineStr">
        <is>
          <t>Bergvik skog väst AB</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60445-2024</t>
        </is>
      </c>
      <c r="B1652" s="1" t="n">
        <v>45643</v>
      </c>
      <c r="C1652" s="1" t="n">
        <v>45762</v>
      </c>
      <c r="D1652" t="inlineStr">
        <is>
          <t>UPPSALA LÄN</t>
        </is>
      </c>
      <c r="E1652" t="inlineStr">
        <is>
          <t>UPPSALA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60698-2024</t>
        </is>
      </c>
      <c r="B1653" s="1" t="n">
        <v>45644</v>
      </c>
      <c r="C1653" s="1" t="n">
        <v>45762</v>
      </c>
      <c r="D1653" t="inlineStr">
        <is>
          <t>UPPSALA LÄN</t>
        </is>
      </c>
      <c r="E1653" t="inlineStr">
        <is>
          <t>UPPSALA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60735-2024</t>
        </is>
      </c>
      <c r="B1654" s="1" t="n">
        <v>45644</v>
      </c>
      <c r="C1654" s="1" t="n">
        <v>45762</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60807-2024</t>
        </is>
      </c>
      <c r="B1655" s="1" t="n">
        <v>45644</v>
      </c>
      <c r="C1655" s="1" t="n">
        <v>45762</v>
      </c>
      <c r="D1655" t="inlineStr">
        <is>
          <t>UPPSALA LÄN</t>
        </is>
      </c>
      <c r="E1655" t="inlineStr">
        <is>
          <t>UPPSALA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60820-2024</t>
        </is>
      </c>
      <c r="B1656" s="1" t="n">
        <v>45644</v>
      </c>
      <c r="C1656" s="1" t="n">
        <v>45762</v>
      </c>
      <c r="D1656" t="inlineStr">
        <is>
          <t>UPPSALA LÄN</t>
        </is>
      </c>
      <c r="E1656" t="inlineStr">
        <is>
          <t>UPPSALA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60729-2024</t>
        </is>
      </c>
      <c r="B1657" s="1" t="n">
        <v>45644</v>
      </c>
      <c r="C1657" s="1" t="n">
        <v>45762</v>
      </c>
      <c r="D1657" t="inlineStr">
        <is>
          <t>UPPSALA LÄN</t>
        </is>
      </c>
      <c r="E1657" t="inlineStr">
        <is>
          <t>UPPSALA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60691-2024</t>
        </is>
      </c>
      <c r="B1658" s="1" t="n">
        <v>45644</v>
      </c>
      <c r="C1658" s="1" t="n">
        <v>45762</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60811-2024</t>
        </is>
      </c>
      <c r="B1659" s="1" t="n">
        <v>45644</v>
      </c>
      <c r="C1659" s="1" t="n">
        <v>45762</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60949-2024</t>
        </is>
      </c>
      <c r="B1660" s="1" t="n">
        <v>45645</v>
      </c>
      <c r="C1660" s="1" t="n">
        <v>45762</v>
      </c>
      <c r="D1660" t="inlineStr">
        <is>
          <t>UPPSALA LÄN</t>
        </is>
      </c>
      <c r="E1660" t="inlineStr">
        <is>
          <t>UPPSALA</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60954-2024</t>
        </is>
      </c>
      <c r="B1661" s="1" t="n">
        <v>45645</v>
      </c>
      <c r="C1661" s="1" t="n">
        <v>45762</v>
      </c>
      <c r="D1661" t="inlineStr">
        <is>
          <t>UPPSALA LÄN</t>
        </is>
      </c>
      <c r="E1661" t="inlineStr">
        <is>
          <t>UPPSALA</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61071-2024</t>
        </is>
      </c>
      <c r="B1662" s="1" t="n">
        <v>45645</v>
      </c>
      <c r="C1662" s="1" t="n">
        <v>45762</v>
      </c>
      <c r="D1662" t="inlineStr">
        <is>
          <t>UPPSALA LÄN</t>
        </is>
      </c>
      <c r="E1662" t="inlineStr">
        <is>
          <t>UPPSALA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61463-2024</t>
        </is>
      </c>
      <c r="B1663" s="1" t="n">
        <v>45646</v>
      </c>
      <c r="C1663" s="1" t="n">
        <v>45762</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61574-2024</t>
        </is>
      </c>
      <c r="B1664" s="1" t="n">
        <v>45646</v>
      </c>
      <c r="C1664" s="1" t="n">
        <v>45762</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62044-2024</t>
        </is>
      </c>
      <c r="B1665" s="1" t="n">
        <v>45656</v>
      </c>
      <c r="C1665" s="1" t="n">
        <v>45762</v>
      </c>
      <c r="D1665" t="inlineStr">
        <is>
          <t>UPPSALA LÄN</t>
        </is>
      </c>
      <c r="E1665" t="inlineStr">
        <is>
          <t>UPPSALA</t>
        </is>
      </c>
      <c r="F1665" t="inlineStr">
        <is>
          <t>Övriga statliga verk och myndigheter</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62054-2024</t>
        </is>
      </c>
      <c r="B1666" s="1" t="n">
        <v>45656</v>
      </c>
      <c r="C1666" s="1" t="n">
        <v>45762</v>
      </c>
      <c r="D1666" t="inlineStr">
        <is>
          <t>UPPSALA LÄN</t>
        </is>
      </c>
      <c r="E1666" t="inlineStr">
        <is>
          <t>UPPSALA</t>
        </is>
      </c>
      <c r="F1666" t="inlineStr">
        <is>
          <t>Övriga statliga verk och myndigheter</t>
        </is>
      </c>
      <c r="G1666" t="n">
        <v>29.3</v>
      </c>
      <c r="H1666" t="n">
        <v>0</v>
      </c>
      <c r="I1666" t="n">
        <v>0</v>
      </c>
      <c r="J1666" t="n">
        <v>0</v>
      </c>
      <c r="K1666" t="n">
        <v>0</v>
      </c>
      <c r="L1666" t="n">
        <v>0</v>
      </c>
      <c r="M1666" t="n">
        <v>0</v>
      </c>
      <c r="N1666" t="n">
        <v>0</v>
      </c>
      <c r="O1666" t="n">
        <v>0</v>
      </c>
      <c r="P1666" t="n">
        <v>0</v>
      </c>
      <c r="Q1666" t="n">
        <v>0</v>
      </c>
      <c r="R1666" s="2" t="inlineStr"/>
    </row>
    <row r="1667" ht="15" customHeight="1">
      <c r="A1667" t="inlineStr">
        <is>
          <t>A 668-2025</t>
        </is>
      </c>
      <c r="B1667" s="1" t="n">
        <v>45664</v>
      </c>
      <c r="C1667" s="1" t="n">
        <v>45762</v>
      </c>
      <c r="D1667" t="inlineStr">
        <is>
          <t>UPPSALA LÄN</t>
        </is>
      </c>
      <c r="E1667" t="inlineStr">
        <is>
          <t>UPPSALA</t>
        </is>
      </c>
      <c r="F1667" t="inlineStr">
        <is>
          <t>Bergvik skog öst AB</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842-2025</t>
        </is>
      </c>
      <c r="B1668" s="1" t="n">
        <v>45665</v>
      </c>
      <c r="C1668" s="1" t="n">
        <v>45762</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844-2025</t>
        </is>
      </c>
      <c r="B1669" s="1" t="n">
        <v>45665</v>
      </c>
      <c r="C1669" s="1" t="n">
        <v>45762</v>
      </c>
      <c r="D1669" t="inlineStr">
        <is>
          <t>UPPSALA LÄN</t>
        </is>
      </c>
      <c r="E1669" t="inlineStr">
        <is>
          <t>UPPSALA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1588-2025</t>
        </is>
      </c>
      <c r="B1670" s="1" t="n">
        <v>45670</v>
      </c>
      <c r="C1670" s="1" t="n">
        <v>45762</v>
      </c>
      <c r="D1670" t="inlineStr">
        <is>
          <t>UPPSALA LÄN</t>
        </is>
      </c>
      <c r="E1670" t="inlineStr">
        <is>
          <t>UPPSALA</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1592-2025</t>
        </is>
      </c>
      <c r="B1671" s="1" t="n">
        <v>45670</v>
      </c>
      <c r="C1671" s="1" t="n">
        <v>45762</v>
      </c>
      <c r="D1671" t="inlineStr">
        <is>
          <t>UPPSALA LÄN</t>
        </is>
      </c>
      <c r="E1671" t="inlineStr">
        <is>
          <t>UPPSALA</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2790-2025</t>
        </is>
      </c>
      <c r="B1672" s="1" t="n">
        <v>45677</v>
      </c>
      <c r="C1672" s="1" t="n">
        <v>45762</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2695-2025</t>
        </is>
      </c>
      <c r="B1673" s="1" t="n">
        <v>45677</v>
      </c>
      <c r="C1673" s="1" t="n">
        <v>45762</v>
      </c>
      <c r="D1673" t="inlineStr">
        <is>
          <t>UPPSALA LÄN</t>
        </is>
      </c>
      <c r="E1673" t="inlineStr">
        <is>
          <t>UPPSALA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2897-2025</t>
        </is>
      </c>
      <c r="B1674" s="1" t="n">
        <v>45677</v>
      </c>
      <c r="C1674" s="1" t="n">
        <v>45762</v>
      </c>
      <c r="D1674" t="inlineStr">
        <is>
          <t>UPPSALA LÄN</t>
        </is>
      </c>
      <c r="E1674" t="inlineStr">
        <is>
          <t>UPPSALA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3314-2025</t>
        </is>
      </c>
      <c r="B1675" s="1" t="n">
        <v>45679</v>
      </c>
      <c r="C1675" s="1" t="n">
        <v>45762</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3315-2025</t>
        </is>
      </c>
      <c r="B1676" s="1" t="n">
        <v>45679</v>
      </c>
      <c r="C1676" s="1" t="n">
        <v>45762</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3287-2025</t>
        </is>
      </c>
      <c r="B1677" s="1" t="n">
        <v>45679</v>
      </c>
      <c r="C1677" s="1" t="n">
        <v>45762</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3973-2025</t>
        </is>
      </c>
      <c r="B1678" s="1" t="n">
        <v>45684</v>
      </c>
      <c r="C1678" s="1" t="n">
        <v>45762</v>
      </c>
      <c r="D1678" t="inlineStr">
        <is>
          <t>UPPSALA LÄN</t>
        </is>
      </c>
      <c r="E1678" t="inlineStr">
        <is>
          <t>UPPSALA</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4014-2025</t>
        </is>
      </c>
      <c r="B1679" s="1" t="n">
        <v>45684</v>
      </c>
      <c r="C1679" s="1" t="n">
        <v>45762</v>
      </c>
      <c r="D1679" t="inlineStr">
        <is>
          <t>UPPSALA LÄN</t>
        </is>
      </c>
      <c r="E1679" t="inlineStr">
        <is>
          <t>UPPSALA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4293-2025</t>
        </is>
      </c>
      <c r="B1680" s="1" t="n">
        <v>45685</v>
      </c>
      <c r="C1680" s="1" t="n">
        <v>45762</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4242-2025</t>
        </is>
      </c>
      <c r="B1681" s="1" t="n">
        <v>45685</v>
      </c>
      <c r="C1681" s="1" t="n">
        <v>45762</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4244-2025</t>
        </is>
      </c>
      <c r="B1682" s="1" t="n">
        <v>45685</v>
      </c>
      <c r="C1682" s="1" t="n">
        <v>45762</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4240-2025</t>
        </is>
      </c>
      <c r="B1683" s="1" t="n">
        <v>45685</v>
      </c>
      <c r="C1683" s="1" t="n">
        <v>45762</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4569-2025</t>
        </is>
      </c>
      <c r="B1684" s="1" t="n">
        <v>45687</v>
      </c>
      <c r="C1684" s="1" t="n">
        <v>45762</v>
      </c>
      <c r="D1684" t="inlineStr">
        <is>
          <t>UPPSALA LÄN</t>
        </is>
      </c>
      <c r="E1684" t="inlineStr">
        <is>
          <t>UPPSALA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5068-2025</t>
        </is>
      </c>
      <c r="B1685" s="1" t="n">
        <v>45691</v>
      </c>
      <c r="C1685" s="1" t="n">
        <v>45762</v>
      </c>
      <c r="D1685" t="inlineStr">
        <is>
          <t>UPPSALA LÄN</t>
        </is>
      </c>
      <c r="E1685" t="inlineStr">
        <is>
          <t>UPPSALA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4993-2025</t>
        </is>
      </c>
      <c r="B1686" s="1" t="n">
        <v>45691</v>
      </c>
      <c r="C1686" s="1" t="n">
        <v>45762</v>
      </c>
      <c r="D1686" t="inlineStr">
        <is>
          <t>UPPSALA LÄN</t>
        </is>
      </c>
      <c r="E1686" t="inlineStr">
        <is>
          <t>UPPSALA</t>
        </is>
      </c>
      <c r="F1686" t="inlineStr">
        <is>
          <t>Kyrkan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5204-2025</t>
        </is>
      </c>
      <c r="B1687" s="1" t="n">
        <v>45691</v>
      </c>
      <c r="C1687" s="1" t="n">
        <v>45762</v>
      </c>
      <c r="D1687" t="inlineStr">
        <is>
          <t>UPPSALA LÄN</t>
        </is>
      </c>
      <c r="E1687" t="inlineStr">
        <is>
          <t>UPPSALA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5371-2025</t>
        </is>
      </c>
      <c r="B1688" s="1" t="n">
        <v>45692</v>
      </c>
      <c r="C1688" s="1" t="n">
        <v>45762</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5373-2025</t>
        </is>
      </c>
      <c r="B1689" s="1" t="n">
        <v>45692</v>
      </c>
      <c r="C1689" s="1" t="n">
        <v>45762</v>
      </c>
      <c r="D1689" t="inlineStr">
        <is>
          <t>UPPSALA LÄN</t>
        </is>
      </c>
      <c r="E1689" t="inlineStr">
        <is>
          <t>UPPSALA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5628-2025</t>
        </is>
      </c>
      <c r="B1690" s="1" t="n">
        <v>45693</v>
      </c>
      <c r="C1690" s="1" t="n">
        <v>45762</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6971-2025</t>
        </is>
      </c>
      <c r="B1691" s="1" t="n">
        <v>45693</v>
      </c>
      <c r="C1691" s="1" t="n">
        <v>45762</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6973-2025</t>
        </is>
      </c>
      <c r="B1692" s="1" t="n">
        <v>45693</v>
      </c>
      <c r="C1692" s="1" t="n">
        <v>45762</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5605-2025</t>
        </is>
      </c>
      <c r="B1693" s="1" t="n">
        <v>45693</v>
      </c>
      <c r="C1693" s="1" t="n">
        <v>45762</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6988-2025</t>
        </is>
      </c>
      <c r="B1694" s="1" t="n">
        <v>45693</v>
      </c>
      <c r="C1694" s="1" t="n">
        <v>45762</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6970-2025</t>
        </is>
      </c>
      <c r="B1695" s="1" t="n">
        <v>45693</v>
      </c>
      <c r="C1695" s="1" t="n">
        <v>45762</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5725-2025</t>
        </is>
      </c>
      <c r="B1696" s="1" t="n">
        <v>45694</v>
      </c>
      <c r="C1696" s="1" t="n">
        <v>45762</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5729-2025</t>
        </is>
      </c>
      <c r="B1697" s="1" t="n">
        <v>45694</v>
      </c>
      <c r="C1697" s="1" t="n">
        <v>45762</v>
      </c>
      <c r="D1697" t="inlineStr">
        <is>
          <t>UPPSALA LÄN</t>
        </is>
      </c>
      <c r="E1697" t="inlineStr">
        <is>
          <t>UPPSALA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5671-2025</t>
        </is>
      </c>
      <c r="B1698" s="1" t="n">
        <v>45694</v>
      </c>
      <c r="C1698" s="1" t="n">
        <v>45762</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5719-2025</t>
        </is>
      </c>
      <c r="B1699" s="1" t="n">
        <v>45694</v>
      </c>
      <c r="C1699" s="1" t="n">
        <v>45762</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45762</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5722-2025</t>
        </is>
      </c>
      <c r="B1701" s="1" t="n">
        <v>45694</v>
      </c>
      <c r="C1701" s="1" t="n">
        <v>45762</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5730-2025</t>
        </is>
      </c>
      <c r="B1702" s="1" t="n">
        <v>45694</v>
      </c>
      <c r="C1702" s="1" t="n">
        <v>45762</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5925-2025</t>
        </is>
      </c>
      <c r="B1703" s="1" t="n">
        <v>45695</v>
      </c>
      <c r="C1703" s="1" t="n">
        <v>45762</v>
      </c>
      <c r="D1703" t="inlineStr">
        <is>
          <t>UPPSALA LÄN</t>
        </is>
      </c>
      <c r="E1703" t="inlineStr">
        <is>
          <t>UPPSALA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6012-2025</t>
        </is>
      </c>
      <c r="B1704" s="1" t="n">
        <v>45695</v>
      </c>
      <c r="C1704" s="1" t="n">
        <v>45762</v>
      </c>
      <c r="D1704" t="inlineStr">
        <is>
          <t>UPPSALA LÄN</t>
        </is>
      </c>
      <c r="E1704" t="inlineStr">
        <is>
          <t>UPPSALA</t>
        </is>
      </c>
      <c r="F1704" t="inlineStr">
        <is>
          <t>Övriga Aktiebolag</t>
        </is>
      </c>
      <c r="G1704" t="n">
        <v>14.3</v>
      </c>
      <c r="H1704" t="n">
        <v>0</v>
      </c>
      <c r="I1704" t="n">
        <v>0</v>
      </c>
      <c r="J1704" t="n">
        <v>0</v>
      </c>
      <c r="K1704" t="n">
        <v>0</v>
      </c>
      <c r="L1704" t="n">
        <v>0</v>
      </c>
      <c r="M1704" t="n">
        <v>0</v>
      </c>
      <c r="N1704" t="n">
        <v>0</v>
      </c>
      <c r="O1704" t="n">
        <v>0</v>
      </c>
      <c r="P1704" t="n">
        <v>0</v>
      </c>
      <c r="Q1704" t="n">
        <v>0</v>
      </c>
      <c r="R1704" s="2" t="inlineStr"/>
    </row>
    <row r="1705" ht="15" customHeight="1">
      <c r="A1705" t="inlineStr">
        <is>
          <t>A 6060-2025</t>
        </is>
      </c>
      <c r="B1705" s="1" t="n">
        <v>45695</v>
      </c>
      <c r="C1705" s="1" t="n">
        <v>45762</v>
      </c>
      <c r="D1705" t="inlineStr">
        <is>
          <t>UPPSALA LÄN</t>
        </is>
      </c>
      <c r="E1705" t="inlineStr">
        <is>
          <t>UPPSALA</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6059-2025</t>
        </is>
      </c>
      <c r="B1706" s="1" t="n">
        <v>45695</v>
      </c>
      <c r="C1706" s="1" t="n">
        <v>45762</v>
      </c>
      <c r="D1706" t="inlineStr">
        <is>
          <t>UPPSALA LÄN</t>
        </is>
      </c>
      <c r="E1706" t="inlineStr">
        <is>
          <t>UPPSALA</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6006-2025</t>
        </is>
      </c>
      <c r="B1707" s="1" t="n">
        <v>45695</v>
      </c>
      <c r="C1707" s="1" t="n">
        <v>45762</v>
      </c>
      <c r="D1707" t="inlineStr">
        <is>
          <t>UPPSALA LÄN</t>
        </is>
      </c>
      <c r="E1707" t="inlineStr">
        <is>
          <t>UPPSALA</t>
        </is>
      </c>
      <c r="F1707" t="inlineStr">
        <is>
          <t>Övriga Aktiebolag</t>
        </is>
      </c>
      <c r="G1707" t="n">
        <v>13.8</v>
      </c>
      <c r="H1707" t="n">
        <v>0</v>
      </c>
      <c r="I1707" t="n">
        <v>0</v>
      </c>
      <c r="J1707" t="n">
        <v>0</v>
      </c>
      <c r="K1707" t="n">
        <v>0</v>
      </c>
      <c r="L1707" t="n">
        <v>0</v>
      </c>
      <c r="M1707" t="n">
        <v>0</v>
      </c>
      <c r="N1707" t="n">
        <v>0</v>
      </c>
      <c r="O1707" t="n">
        <v>0</v>
      </c>
      <c r="P1707" t="n">
        <v>0</v>
      </c>
      <c r="Q1707" t="n">
        <v>0</v>
      </c>
      <c r="R1707" s="2" t="inlineStr"/>
    </row>
    <row r="1708" ht="15" customHeight="1">
      <c r="A1708" t="inlineStr">
        <is>
          <t>A 6058-2025</t>
        </is>
      </c>
      <c r="B1708" s="1" t="n">
        <v>45695</v>
      </c>
      <c r="C1708" s="1" t="n">
        <v>45762</v>
      </c>
      <c r="D1708" t="inlineStr">
        <is>
          <t>UPPSALA LÄN</t>
        </is>
      </c>
      <c r="E1708" t="inlineStr">
        <is>
          <t>UPPSALA</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6290-2025</t>
        </is>
      </c>
      <c r="B1709" s="1" t="n">
        <v>45698</v>
      </c>
      <c r="C1709" s="1" t="n">
        <v>45762</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6541-2025</t>
        </is>
      </c>
      <c r="B1710" s="1" t="n">
        <v>45699</v>
      </c>
      <c r="C1710" s="1" t="n">
        <v>45762</v>
      </c>
      <c r="D1710" t="inlineStr">
        <is>
          <t>UPPSALA LÄN</t>
        </is>
      </c>
      <c r="E1710" t="inlineStr">
        <is>
          <t>UPPSALA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6549-2025</t>
        </is>
      </c>
      <c r="B1711" s="1" t="n">
        <v>45699</v>
      </c>
      <c r="C1711" s="1" t="n">
        <v>45762</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6550-2025</t>
        </is>
      </c>
      <c r="B1712" s="1" t="n">
        <v>45699</v>
      </c>
      <c r="C1712" s="1" t="n">
        <v>45762</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7346-2025</t>
        </is>
      </c>
      <c r="B1713" s="1" t="n">
        <v>45703</v>
      </c>
      <c r="C1713" s="1" t="n">
        <v>45762</v>
      </c>
      <c r="D1713" t="inlineStr">
        <is>
          <t>UPPSALA LÄN</t>
        </is>
      </c>
      <c r="E1713" t="inlineStr">
        <is>
          <t>UPPSALA</t>
        </is>
      </c>
      <c r="F1713" t="inlineStr">
        <is>
          <t>Bergvik skog öst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7645-2025</t>
        </is>
      </c>
      <c r="B1714" s="1" t="n">
        <v>45705</v>
      </c>
      <c r="C1714" s="1" t="n">
        <v>45762</v>
      </c>
      <c r="D1714" t="inlineStr">
        <is>
          <t>UPPSALA LÄN</t>
        </is>
      </c>
      <c r="E1714" t="inlineStr">
        <is>
          <t>UPPSALA</t>
        </is>
      </c>
      <c r="F1714" t="inlineStr">
        <is>
          <t>Bergvik skog öst AB</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7633-2025</t>
        </is>
      </c>
      <c r="B1715" s="1" t="n">
        <v>45705</v>
      </c>
      <c r="C1715" s="1" t="n">
        <v>45762</v>
      </c>
      <c r="D1715" t="inlineStr">
        <is>
          <t>UPPSALA LÄN</t>
        </is>
      </c>
      <c r="E1715" t="inlineStr">
        <is>
          <t>UPPSALA</t>
        </is>
      </c>
      <c r="F1715" t="inlineStr">
        <is>
          <t>Bergvik skog öst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7376-2025</t>
        </is>
      </c>
      <c r="B1716" s="1" t="n">
        <v>45705</v>
      </c>
      <c r="C1716" s="1" t="n">
        <v>45762</v>
      </c>
      <c r="D1716" t="inlineStr">
        <is>
          <t>UPPSALA LÄN</t>
        </is>
      </c>
      <c r="E1716" t="inlineStr">
        <is>
          <t>UPPSALA</t>
        </is>
      </c>
      <c r="F1716" t="inlineStr">
        <is>
          <t>Bergvik skog väst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7501-2025</t>
        </is>
      </c>
      <c r="B1717" s="1" t="n">
        <v>45705</v>
      </c>
      <c r="C1717" s="1" t="n">
        <v>45762</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8164-2025</t>
        </is>
      </c>
      <c r="B1718" s="1" t="n">
        <v>45707</v>
      </c>
      <c r="C1718" s="1" t="n">
        <v>45762</v>
      </c>
      <c r="D1718" t="inlineStr">
        <is>
          <t>UPPSALA LÄN</t>
        </is>
      </c>
      <c r="E1718" t="inlineStr">
        <is>
          <t>UPPSALA</t>
        </is>
      </c>
      <c r="F1718" t="inlineStr">
        <is>
          <t>Övriga Aktiebolag</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8162-2025</t>
        </is>
      </c>
      <c r="B1719" s="1" t="n">
        <v>45707</v>
      </c>
      <c r="C1719" s="1" t="n">
        <v>45762</v>
      </c>
      <c r="D1719" t="inlineStr">
        <is>
          <t>UPPSALA LÄN</t>
        </is>
      </c>
      <c r="E1719" t="inlineStr">
        <is>
          <t>UPPSALA</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8931-2025</t>
        </is>
      </c>
      <c r="B1720" s="1" t="n">
        <v>45713</v>
      </c>
      <c r="C1720" s="1" t="n">
        <v>45762</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9235-2025</t>
        </is>
      </c>
      <c r="B1721" s="1" t="n">
        <v>45714</v>
      </c>
      <c r="C1721" s="1" t="n">
        <v>45762</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9411-2025</t>
        </is>
      </c>
      <c r="B1722" s="1" t="n">
        <v>45715</v>
      </c>
      <c r="C1722" s="1" t="n">
        <v>45762</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9414-2025</t>
        </is>
      </c>
      <c r="B1723" s="1" t="n">
        <v>45715</v>
      </c>
      <c r="C1723" s="1" t="n">
        <v>45762</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45762</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45762</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v>
      </c>
      <c r="C1726" s="1" t="n">
        <v>45762</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9991-2025</t>
        </is>
      </c>
      <c r="B1727" s="1" t="n">
        <v>45719</v>
      </c>
      <c r="C1727" s="1" t="n">
        <v>45762</v>
      </c>
      <c r="D1727" t="inlineStr">
        <is>
          <t>UPPSALA LÄN</t>
        </is>
      </c>
      <c r="E1727" t="inlineStr">
        <is>
          <t>UPPSALA</t>
        </is>
      </c>
      <c r="F1727" t="inlineStr">
        <is>
          <t>Kyrkan</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9981-2025</t>
        </is>
      </c>
      <c r="B1728" s="1" t="n">
        <v>45719</v>
      </c>
      <c r="C1728" s="1" t="n">
        <v>45762</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9995-2025</t>
        </is>
      </c>
      <c r="B1729" s="1" t="n">
        <v>45719</v>
      </c>
      <c r="C1729" s="1" t="n">
        <v>45762</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10394-2025</t>
        </is>
      </c>
      <c r="B1730" s="1" t="n">
        <v>45720</v>
      </c>
      <c r="C1730" s="1" t="n">
        <v>45762</v>
      </c>
      <c r="D1730" t="inlineStr">
        <is>
          <t>UPPSALA LÄN</t>
        </is>
      </c>
      <c r="E1730" t="inlineStr">
        <is>
          <t>UPPSALA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45762</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10488-2025</t>
        </is>
      </c>
      <c r="B1732" s="1" t="n">
        <v>45721</v>
      </c>
      <c r="C1732" s="1" t="n">
        <v>45762</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10490-2025</t>
        </is>
      </c>
      <c r="B1733" s="1" t="n">
        <v>45721</v>
      </c>
      <c r="C1733" s="1" t="n">
        <v>45762</v>
      </c>
      <c r="D1733" t="inlineStr">
        <is>
          <t>UPPSALA LÄN</t>
        </is>
      </c>
      <c r="E1733" t="inlineStr">
        <is>
          <t>UPPSALA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10612-2025</t>
        </is>
      </c>
      <c r="B1734" s="1" t="n">
        <v>45721</v>
      </c>
      <c r="C1734" s="1" t="n">
        <v>45762</v>
      </c>
      <c r="D1734" t="inlineStr">
        <is>
          <t>UPPSALA LÄN</t>
        </is>
      </c>
      <c r="E1734" t="inlineStr">
        <is>
          <t>UPPSALA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11103-2025</t>
        </is>
      </c>
      <c r="B1735" s="1" t="n">
        <v>45723</v>
      </c>
      <c r="C1735" s="1" t="n">
        <v>45762</v>
      </c>
      <c r="D1735" t="inlineStr">
        <is>
          <t>UPPSALA LÄN</t>
        </is>
      </c>
      <c r="E1735" t="inlineStr">
        <is>
          <t>UPPSALA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11119-2025</t>
        </is>
      </c>
      <c r="B1736" s="1" t="n">
        <v>45723</v>
      </c>
      <c r="C1736" s="1" t="n">
        <v>45762</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11184-2025</t>
        </is>
      </c>
      <c r="B1737" s="1" t="n">
        <v>45725</v>
      </c>
      <c r="C1737" s="1" t="n">
        <v>45762</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11339-2025</t>
        </is>
      </c>
      <c r="B1738" s="1" t="n">
        <v>45726</v>
      </c>
      <c r="C1738" s="1" t="n">
        <v>45762</v>
      </c>
      <c r="D1738" t="inlineStr">
        <is>
          <t>UPPSALA LÄN</t>
        </is>
      </c>
      <c r="E1738" t="inlineStr">
        <is>
          <t>UPPSALA</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11409-2025</t>
        </is>
      </c>
      <c r="B1739" s="1" t="n">
        <v>45726</v>
      </c>
      <c r="C1739" s="1" t="n">
        <v>45762</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45762</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12211-2025</t>
        </is>
      </c>
      <c r="B1741" s="1" t="n">
        <v>45729</v>
      </c>
      <c r="C1741" s="1" t="n">
        <v>45762</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12209-2025</t>
        </is>
      </c>
      <c r="B1742" s="1" t="n">
        <v>45729</v>
      </c>
      <c r="C1742" s="1" t="n">
        <v>45762</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12287-2025</t>
        </is>
      </c>
      <c r="B1743" s="1" t="n">
        <v>45729</v>
      </c>
      <c r="C1743" s="1" t="n">
        <v>45762</v>
      </c>
      <c r="D1743" t="inlineStr">
        <is>
          <t>UPPSALA LÄN</t>
        </is>
      </c>
      <c r="E1743" t="inlineStr">
        <is>
          <t>UPPSALA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12284-2025</t>
        </is>
      </c>
      <c r="B1744" s="1" t="n">
        <v>45729</v>
      </c>
      <c r="C1744" s="1" t="n">
        <v>45762</v>
      </c>
      <c r="D1744" t="inlineStr">
        <is>
          <t>UPPSALA LÄN</t>
        </is>
      </c>
      <c r="E1744" t="inlineStr">
        <is>
          <t>UPPSALA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12414-2025</t>
        </is>
      </c>
      <c r="B1745" s="1" t="n">
        <v>45730</v>
      </c>
      <c r="C1745" s="1" t="n">
        <v>45762</v>
      </c>
      <c r="D1745" t="inlineStr">
        <is>
          <t>UPPSALA LÄN</t>
        </is>
      </c>
      <c r="E1745" t="inlineStr">
        <is>
          <t>UPPSALA</t>
        </is>
      </c>
      <c r="F1745" t="inlineStr">
        <is>
          <t>Övriga statliga verk och myndigheter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12828-2025</t>
        </is>
      </c>
      <c r="B1746" s="1" t="n">
        <v>45733</v>
      </c>
      <c r="C1746" s="1" t="n">
        <v>45762</v>
      </c>
      <c r="D1746" t="inlineStr">
        <is>
          <t>UPPSALA LÄN</t>
        </is>
      </c>
      <c r="E1746" t="inlineStr">
        <is>
          <t>UPPSALA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12830-2025</t>
        </is>
      </c>
      <c r="B1747" s="1" t="n">
        <v>45733</v>
      </c>
      <c r="C1747" s="1" t="n">
        <v>45762</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13491-2025</t>
        </is>
      </c>
      <c r="B1748" s="1" t="n">
        <v>45736</v>
      </c>
      <c r="C1748" s="1" t="n">
        <v>45762</v>
      </c>
      <c r="D1748" t="inlineStr">
        <is>
          <t>UPPSALA LÄN</t>
        </is>
      </c>
      <c r="E1748" t="inlineStr">
        <is>
          <t>UPPSALA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13492-2025</t>
        </is>
      </c>
      <c r="B1749" s="1" t="n">
        <v>45736</v>
      </c>
      <c r="C1749" s="1" t="n">
        <v>45762</v>
      </c>
      <c r="D1749" t="inlineStr">
        <is>
          <t>UPPSALA LÄN</t>
        </is>
      </c>
      <c r="E1749" t="inlineStr">
        <is>
          <t>UPPSALA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13590-2025</t>
        </is>
      </c>
      <c r="B1750" s="1" t="n">
        <v>45736</v>
      </c>
      <c r="C1750" s="1" t="n">
        <v>45762</v>
      </c>
      <c r="D1750" t="inlineStr">
        <is>
          <t>UPPSALA LÄN</t>
        </is>
      </c>
      <c r="E1750" t="inlineStr">
        <is>
          <t>UPPSALA</t>
        </is>
      </c>
      <c r="F1750" t="inlineStr">
        <is>
          <t>Allmännings- och besparingsskogar</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13502-2025</t>
        </is>
      </c>
      <c r="B1751" s="1" t="n">
        <v>45736</v>
      </c>
      <c r="C1751" s="1" t="n">
        <v>45762</v>
      </c>
      <c r="D1751" t="inlineStr">
        <is>
          <t>UPPSALA LÄN</t>
        </is>
      </c>
      <c r="E1751" t="inlineStr">
        <is>
          <t>UPPSALA</t>
        </is>
      </c>
      <c r="F1751" t="inlineStr">
        <is>
          <t>Allmännings- och besparingsskogar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13602-2025</t>
        </is>
      </c>
      <c r="B1752" s="1" t="n">
        <v>45736</v>
      </c>
      <c r="C1752" s="1" t="n">
        <v>45762</v>
      </c>
      <c r="D1752" t="inlineStr">
        <is>
          <t>UPPSALA LÄN</t>
        </is>
      </c>
      <c r="E1752" t="inlineStr">
        <is>
          <t>UPPSALA</t>
        </is>
      </c>
      <c r="F1752" t="inlineStr">
        <is>
          <t>Allmännings- och besparingsskogar</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13594-2025</t>
        </is>
      </c>
      <c r="B1753" s="1" t="n">
        <v>45736</v>
      </c>
      <c r="C1753" s="1" t="n">
        <v>45762</v>
      </c>
      <c r="D1753" t="inlineStr">
        <is>
          <t>UPPSALA LÄN</t>
        </is>
      </c>
      <c r="E1753" t="inlineStr">
        <is>
          <t>UPPSALA</t>
        </is>
      </c>
      <c r="F1753" t="inlineStr">
        <is>
          <t>Allmännings- och besparingsskogar</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13742-2025</t>
        </is>
      </c>
      <c r="B1754" s="1" t="n">
        <v>45737</v>
      </c>
      <c r="C1754" s="1" t="n">
        <v>45762</v>
      </c>
      <c r="D1754" t="inlineStr">
        <is>
          <t>UPPSALA LÄN</t>
        </is>
      </c>
      <c r="E1754" t="inlineStr">
        <is>
          <t>UPPSALA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13908-2025</t>
        </is>
      </c>
      <c r="B1755" s="1" t="n">
        <v>45737</v>
      </c>
      <c r="C1755" s="1" t="n">
        <v>45762</v>
      </c>
      <c r="D1755" t="inlineStr">
        <is>
          <t>UPPSALA LÄN</t>
        </is>
      </c>
      <c r="E1755" t="inlineStr">
        <is>
          <t>UPPSALA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13914-2025</t>
        </is>
      </c>
      <c r="B1756" s="1" t="n">
        <v>45737</v>
      </c>
      <c r="C1756" s="1" t="n">
        <v>45762</v>
      </c>
      <c r="D1756" t="inlineStr">
        <is>
          <t>UPPSALA LÄN</t>
        </is>
      </c>
      <c r="E1756" t="inlineStr">
        <is>
          <t>UPPSALA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14065-2025</t>
        </is>
      </c>
      <c r="B1757" s="1" t="n">
        <v>45740</v>
      </c>
      <c r="C1757" s="1" t="n">
        <v>45762</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14400-2025</t>
        </is>
      </c>
      <c r="B1758" s="1" t="n">
        <v>45741</v>
      </c>
      <c r="C1758" s="1" t="n">
        <v>45762</v>
      </c>
      <c r="D1758" t="inlineStr">
        <is>
          <t>UPPSALA LÄN</t>
        </is>
      </c>
      <c r="E1758" t="inlineStr">
        <is>
          <t>UPPSALA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14652-2025</t>
        </is>
      </c>
      <c r="B1759" s="1" t="n">
        <v>45742</v>
      </c>
      <c r="C1759" s="1" t="n">
        <v>45762</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14907-2025</t>
        </is>
      </c>
      <c r="B1760" s="1" t="n">
        <v>45743</v>
      </c>
      <c r="C1760" s="1" t="n">
        <v>45762</v>
      </c>
      <c r="D1760" t="inlineStr">
        <is>
          <t>UPPSALA LÄN</t>
        </is>
      </c>
      <c r="E1760" t="inlineStr">
        <is>
          <t>UPPSALA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15264-2025</t>
        </is>
      </c>
      <c r="B1761" s="1" t="n">
        <v>45744</v>
      </c>
      <c r="C1761" s="1" t="n">
        <v>45762</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15473-2025</t>
        </is>
      </c>
      <c r="B1762" s="1" t="n">
        <v>45747</v>
      </c>
      <c r="C1762" s="1" t="n">
        <v>45762</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15937-2025</t>
        </is>
      </c>
      <c r="B1763" s="1" t="n">
        <v>45749</v>
      </c>
      <c r="C1763" s="1" t="n">
        <v>45762</v>
      </c>
      <c r="D1763" t="inlineStr">
        <is>
          <t>UPPSALA LÄN</t>
        </is>
      </c>
      <c r="E1763" t="inlineStr">
        <is>
          <t>UPPSALA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16288-2025</t>
        </is>
      </c>
      <c r="B1764" s="1" t="n">
        <v>45751</v>
      </c>
      <c r="C1764" s="1" t="n">
        <v>45762</v>
      </c>
      <c r="D1764" t="inlineStr">
        <is>
          <t>UPPSALA LÄN</t>
        </is>
      </c>
      <c r="E1764" t="inlineStr">
        <is>
          <t>UPPSALA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17250-2025</t>
        </is>
      </c>
      <c r="B1765" s="1" t="n">
        <v>45756</v>
      </c>
      <c r="C1765" s="1" t="n">
        <v>45762</v>
      </c>
      <c r="D1765" t="inlineStr">
        <is>
          <t>UPPSALA LÄN</t>
        </is>
      </c>
      <c r="E1765" t="inlineStr">
        <is>
          <t>UPPSALA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17211-2025</t>
        </is>
      </c>
      <c r="B1766" s="1" t="n">
        <v>45756</v>
      </c>
      <c r="C1766" s="1" t="n">
        <v>45762</v>
      </c>
      <c r="D1766" t="inlineStr">
        <is>
          <t>UPPSALA LÄN</t>
        </is>
      </c>
      <c r="E1766" t="inlineStr">
        <is>
          <t>UPPSALA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17587-2025</t>
        </is>
      </c>
      <c r="B1767" s="1" t="n">
        <v>45757</v>
      </c>
      <c r="C1767" s="1" t="n">
        <v>45762</v>
      </c>
      <c r="D1767" t="inlineStr">
        <is>
          <t>UPPSALA LÄN</t>
        </is>
      </c>
      <c r="E1767" t="inlineStr">
        <is>
          <t>UPPSALA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17593-2025</t>
        </is>
      </c>
      <c r="B1768" s="1" t="n">
        <v>45757</v>
      </c>
      <c r="C1768" s="1" t="n">
        <v>45762</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17658-2025</t>
        </is>
      </c>
      <c r="B1769" s="1" t="n">
        <v>45758</v>
      </c>
      <c r="C1769" s="1" t="n">
        <v>45762</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18054-2025</t>
        </is>
      </c>
      <c r="B1770" s="1" t="n">
        <v>45761</v>
      </c>
      <c r="C1770" s="1" t="n">
        <v>45762</v>
      </c>
      <c r="D1770" t="inlineStr">
        <is>
          <t>UPPSALA LÄN</t>
        </is>
      </c>
      <c r="E1770" t="inlineStr">
        <is>
          <t>UPPSALA</t>
        </is>
      </c>
      <c r="G1770" t="n">
        <v>1.9</v>
      </c>
      <c r="H1770" t="n">
        <v>0</v>
      </c>
      <c r="I1770" t="n">
        <v>0</v>
      </c>
      <c r="J1770" t="n">
        <v>0</v>
      </c>
      <c r="K1770" t="n">
        <v>0</v>
      </c>
      <c r="L1770" t="n">
        <v>0</v>
      </c>
      <c r="M1770" t="n">
        <v>0</v>
      </c>
      <c r="N1770" t="n">
        <v>0</v>
      </c>
      <c r="O1770" t="n">
        <v>0</v>
      </c>
      <c r="P1770" t="n">
        <v>0</v>
      </c>
      <c r="Q1770" t="n">
        <v>0</v>
      </c>
      <c r="R1770" s="2" t="inlineStr"/>
    </row>
    <row r="1771">
      <c r="A1771" t="inlineStr">
        <is>
          <t>A 18058-2025</t>
        </is>
      </c>
      <c r="B1771" s="1" t="n">
        <v>45761</v>
      </c>
      <c r="C1771" s="1" t="n">
        <v>45762</v>
      </c>
      <c r="D1771" t="inlineStr">
        <is>
          <t>UPPSALA LÄN</t>
        </is>
      </c>
      <c r="E1771" t="inlineStr">
        <is>
          <t>UPPSALA</t>
        </is>
      </c>
      <c r="G1771" t="n">
        <v>0.8</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2025-04-15T16:12:39Z</dcterms:created>
  <dcterms:modified xmlns:dcterms="http://purl.org/dc/terms/" xmlns:xsi="http://www.w3.org/2001/XMLSchema-instance" xsi:type="dcterms:W3CDTF">2025-04-15T16:12:41Z</dcterms:modified>
</cp:coreProperties>
</file>