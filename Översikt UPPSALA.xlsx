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46134</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46134</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46134</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46134</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46134</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46134</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46134</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46134</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24492-2023</t>
        </is>
      </c>
      <c r="B14" s="1" t="n">
        <v>45082</v>
      </c>
      <c r="C14" s="1" t="n">
        <v>46134</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9409-2025</t>
        </is>
      </c>
      <c r="B15" s="1" t="n">
        <v>45715.38824074074</v>
      </c>
      <c r="C15" s="1" t="n">
        <v>46134</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46134</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46134</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46134</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46134</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46134</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46134</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46134</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46134</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62998-2025</t>
        </is>
      </c>
      <c r="B24" s="1" t="n">
        <v>46009.5597337963</v>
      </c>
      <c r="C24" s="1" t="n">
        <v>46134</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46134</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47453-2023</t>
        </is>
      </c>
      <c r="B26" s="1" t="n">
        <v>45202</v>
      </c>
      <c r="C26" s="1" t="n">
        <v>46134</v>
      </c>
      <c r="D26" t="inlineStr">
        <is>
          <t>UPPSALA LÄN</t>
        </is>
      </c>
      <c r="E26" t="inlineStr">
        <is>
          <t>UPPSALA</t>
        </is>
      </c>
      <c r="F26" t="inlineStr">
        <is>
          <t>Allmännings- och besparingsskogar</t>
        </is>
      </c>
      <c r="G26" t="n">
        <v>32.8</v>
      </c>
      <c r="H26" t="n">
        <v>3</v>
      </c>
      <c r="I26" t="n">
        <v>3</v>
      </c>
      <c r="J26" t="n">
        <v>5</v>
      </c>
      <c r="K26" t="n">
        <v>1</v>
      </c>
      <c r="L26" t="n">
        <v>0</v>
      </c>
      <c r="M26" t="n">
        <v>0</v>
      </c>
      <c r="N26" t="n">
        <v>0</v>
      </c>
      <c r="O26" t="n">
        <v>6</v>
      </c>
      <c r="P26" t="n">
        <v>1</v>
      </c>
      <c r="Q26" t="n">
        <v>11</v>
      </c>
      <c r="R26" s="2" t="inlineStr">
        <is>
          <t>Ostticka
Granticka
Större flatbagge
Tallticka
Tretåig hackspett
Vedtrappmossa
Bronshjon
Jättesvampmal
Thomsons trägnagare
Sparvuggla
Tjäder</t>
        </is>
      </c>
      <c r="S26">
        <f>HYPERLINK("https://klasma.github.io/Logging_0380/artfynd/A 47453-2023 artfynd.xlsx", "A 47453-2023")</f>
        <v/>
      </c>
      <c r="T26">
        <f>HYPERLINK("https://klasma.github.io/Logging_0380/kartor/A 47453-2023 karta.png", "A 47453-2023")</f>
        <v/>
      </c>
      <c r="U26">
        <f>HYPERLINK("https://klasma.github.io/Logging_0380/knärot/A 47453-2023 karta knärot.png", "A 47453-2023")</f>
        <v/>
      </c>
      <c r="V26">
        <f>HYPERLINK("https://klasma.github.io/Logging_0380/klagomål/A 47453-2023 FSC-klagomål.docx", "A 47453-2023")</f>
        <v/>
      </c>
      <c r="W26">
        <f>HYPERLINK("https://klasma.github.io/Logging_0380/klagomålsmail/A 47453-2023 FSC-klagomål mail.docx", "A 47453-2023")</f>
        <v/>
      </c>
      <c r="X26">
        <f>HYPERLINK("https://klasma.github.io/Logging_0380/tillsyn/A 47453-2023 tillsynsbegäran.docx", "A 47453-2023")</f>
        <v/>
      </c>
      <c r="Y26">
        <f>HYPERLINK("https://klasma.github.io/Logging_0380/tillsynsmail/A 47453-2023 tillsynsbegäran mail.docx", "A 47453-2023")</f>
        <v/>
      </c>
      <c r="Z26">
        <f>HYPERLINK("https://klasma.github.io/Logging_0380/fåglar/A 47453-2023 prioriterade fågelarter.docx", "A 47453-2023")</f>
        <v/>
      </c>
    </row>
    <row r="27" ht="15" customHeight="1">
      <c r="A27" t="inlineStr">
        <is>
          <t>A 10368-2022</t>
        </is>
      </c>
      <c r="B27" s="1" t="n">
        <v>44623</v>
      </c>
      <c r="C27" s="1" t="n">
        <v>46134</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2021-2022</t>
        </is>
      </c>
      <c r="B28" s="1" t="n">
        <v>44575</v>
      </c>
      <c r="C28" s="1" t="n">
        <v>46134</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46134</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46134</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46134</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46134</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46134</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46134</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46134</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26460-2023</t>
        </is>
      </c>
      <c r="B36" s="1" t="n">
        <v>45092</v>
      </c>
      <c r="C36" s="1" t="n">
        <v>46134</v>
      </c>
      <c r="D36" t="inlineStr">
        <is>
          <t>UPPSALA LÄN</t>
        </is>
      </c>
      <c r="E36" t="inlineStr">
        <is>
          <t>UPPSALA</t>
        </is>
      </c>
      <c r="G36" t="n">
        <v>6.3</v>
      </c>
      <c r="H36" t="n">
        <v>1</v>
      </c>
      <c r="I36" t="n">
        <v>6</v>
      </c>
      <c r="J36" t="n">
        <v>2</v>
      </c>
      <c r="K36" t="n">
        <v>0</v>
      </c>
      <c r="L36" t="n">
        <v>0</v>
      </c>
      <c r="M36" t="n">
        <v>0</v>
      </c>
      <c r="N36" t="n">
        <v>0</v>
      </c>
      <c r="O36" t="n">
        <v>2</v>
      </c>
      <c r="P36" t="n">
        <v>0</v>
      </c>
      <c r="Q36" t="n">
        <v>8</v>
      </c>
      <c r="R36" s="2" t="inlineStr">
        <is>
          <t>Blek fingersvamp
Grön aspvedbock
Granbarkgnagare
Grön sköldmossa
Jättesvampmal
Korallblylav
Skinnlav
Vedticka</t>
        </is>
      </c>
      <c r="S36">
        <f>HYPERLINK("https://klasma.github.io/Logging_0380/artfynd/A 26460-2023 artfynd.xlsx", "A 26460-2023")</f>
        <v/>
      </c>
      <c r="T36">
        <f>HYPERLINK("https://klasma.github.io/Logging_0380/kartor/A 26460-2023 karta.png", "A 26460-2023")</f>
        <v/>
      </c>
      <c r="U36">
        <f>HYPERLINK("https://klasma.github.io/Logging_0380/knärot/A 26460-2023 karta knärot.png", "A 26460-2023")</f>
        <v/>
      </c>
      <c r="V36">
        <f>HYPERLINK("https://klasma.github.io/Logging_0380/klagomål/A 26460-2023 FSC-klagomål.docx", "A 26460-2023")</f>
        <v/>
      </c>
      <c r="W36">
        <f>HYPERLINK("https://klasma.github.io/Logging_0380/klagomålsmail/A 26460-2023 FSC-klagomål mail.docx", "A 26460-2023")</f>
        <v/>
      </c>
      <c r="X36">
        <f>HYPERLINK("https://klasma.github.io/Logging_0380/tillsyn/A 26460-2023 tillsynsbegäran.docx", "A 26460-2023")</f>
        <v/>
      </c>
      <c r="Y36">
        <f>HYPERLINK("https://klasma.github.io/Logging_0380/tillsynsmail/A 26460-2023 tillsynsbegäran mail.docx", "A 26460-2023")</f>
        <v/>
      </c>
    </row>
    <row r="37" ht="15" customHeight="1">
      <c r="A37" t="inlineStr">
        <is>
          <t>A 61014-2021</t>
        </is>
      </c>
      <c r="B37" s="1" t="n">
        <v>44497</v>
      </c>
      <c r="C37" s="1" t="n">
        <v>46134</v>
      </c>
      <c r="D37" t="inlineStr">
        <is>
          <t>UPPSALA LÄN</t>
        </is>
      </c>
      <c r="E37" t="inlineStr">
        <is>
          <t>UPPSALA</t>
        </is>
      </c>
      <c r="G37" t="n">
        <v>6.6</v>
      </c>
      <c r="H37" t="n">
        <v>2</v>
      </c>
      <c r="I37" t="n">
        <v>2</v>
      </c>
      <c r="J37" t="n">
        <v>3</v>
      </c>
      <c r="K37" t="n">
        <v>3</v>
      </c>
      <c r="L37" t="n">
        <v>0</v>
      </c>
      <c r="M37" t="n">
        <v>0</v>
      </c>
      <c r="N37" t="n">
        <v>0</v>
      </c>
      <c r="O37" t="n">
        <v>6</v>
      </c>
      <c r="P37" t="n">
        <v>3</v>
      </c>
      <c r="Q37" t="n">
        <v>8</v>
      </c>
      <c r="R37" s="2" t="inlineStr">
        <is>
          <t>Knärot
Rynkskinn
Tallbit
Garnlav
Grönhjon
Ullticka
Brandticka
Vedticka</t>
        </is>
      </c>
      <c r="S37">
        <f>HYPERLINK("https://klasma.github.io/Logging_0380/artfynd/A 61014-2021 artfynd.xlsx", "A 61014-2021")</f>
        <v/>
      </c>
      <c r="T37">
        <f>HYPERLINK("https://klasma.github.io/Logging_0380/kartor/A 61014-2021 karta.png", "A 61014-2021")</f>
        <v/>
      </c>
      <c r="U37">
        <f>HYPERLINK("https://klasma.github.io/Logging_0380/knärot/A 61014-2021 karta knärot.png", "A 61014-2021")</f>
        <v/>
      </c>
      <c r="V37">
        <f>HYPERLINK("https://klasma.github.io/Logging_0380/klagomål/A 61014-2021 FSC-klagomål.docx", "A 61014-2021")</f>
        <v/>
      </c>
      <c r="W37">
        <f>HYPERLINK("https://klasma.github.io/Logging_0380/klagomålsmail/A 61014-2021 FSC-klagomål mail.docx", "A 61014-2021")</f>
        <v/>
      </c>
      <c r="X37">
        <f>HYPERLINK("https://klasma.github.io/Logging_0380/tillsyn/A 61014-2021 tillsynsbegäran.docx", "A 61014-2021")</f>
        <v/>
      </c>
      <c r="Y37">
        <f>HYPERLINK("https://klasma.github.io/Logging_0380/tillsynsmail/A 61014-2021 tillsynsbegäran mail.docx", "A 61014-2021")</f>
        <v/>
      </c>
      <c r="Z37">
        <f>HYPERLINK("https://klasma.github.io/Logging_0380/fåglar/A 61014-2021 prioriterade fågelarter.docx", "A 61014-2021")</f>
        <v/>
      </c>
    </row>
    <row r="38" ht="15" customHeight="1">
      <c r="A38" t="inlineStr">
        <is>
          <t>A 25608-2025</t>
        </is>
      </c>
      <c r="B38" s="1" t="n">
        <v>45803.55535879629</v>
      </c>
      <c r="C38" s="1" t="n">
        <v>46134</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21674-2024</t>
        </is>
      </c>
      <c r="B39" s="1" t="n">
        <v>45442</v>
      </c>
      <c r="C39" s="1" t="n">
        <v>46134</v>
      </c>
      <c r="D39" t="inlineStr">
        <is>
          <t>UPPSALA LÄN</t>
        </is>
      </c>
      <c r="E39" t="inlineStr">
        <is>
          <t>UPPSALA</t>
        </is>
      </c>
      <c r="G39" t="n">
        <v>0.9</v>
      </c>
      <c r="H39" t="n">
        <v>8</v>
      </c>
      <c r="I39" t="n">
        <v>0</v>
      </c>
      <c r="J39" t="n">
        <v>4</v>
      </c>
      <c r="K39" t="n">
        <v>1</v>
      </c>
      <c r="L39" t="n">
        <v>2</v>
      </c>
      <c r="M39" t="n">
        <v>0</v>
      </c>
      <c r="N39" t="n">
        <v>0</v>
      </c>
      <c r="O39" t="n">
        <v>7</v>
      </c>
      <c r="P39" t="n">
        <v>3</v>
      </c>
      <c r="Q39" t="n">
        <v>8</v>
      </c>
      <c r="R39" s="2" t="inlineStr">
        <is>
          <t>Grönfink
Tornseglare
Stare
Entita
Gulsparv
Kråka
Svartvit flugsnappare
Sångsvan</t>
        </is>
      </c>
      <c r="S39">
        <f>HYPERLINK("https://klasma.github.io/Logging_0380/artfynd/A 21674-2024 artfynd.xlsx", "A 21674-2024")</f>
        <v/>
      </c>
      <c r="T39">
        <f>HYPERLINK("https://klasma.github.io/Logging_0380/kartor/A 21674-2024 karta.png", "A 21674-2024")</f>
        <v/>
      </c>
      <c r="V39">
        <f>HYPERLINK("https://klasma.github.io/Logging_0380/klagomål/A 21674-2024 FSC-klagomål.docx", "A 21674-2024")</f>
        <v/>
      </c>
      <c r="W39">
        <f>HYPERLINK("https://klasma.github.io/Logging_0380/klagomålsmail/A 21674-2024 FSC-klagomål mail.docx", "A 21674-2024")</f>
        <v/>
      </c>
      <c r="X39">
        <f>HYPERLINK("https://klasma.github.io/Logging_0380/tillsyn/A 21674-2024 tillsynsbegäran.docx", "A 21674-2024")</f>
        <v/>
      </c>
      <c r="Y39">
        <f>HYPERLINK("https://klasma.github.io/Logging_0380/tillsynsmail/A 21674-2024 tillsynsbegäran mail.docx", "A 21674-2024")</f>
        <v/>
      </c>
      <c r="Z39">
        <f>HYPERLINK("https://klasma.github.io/Logging_0380/fåglar/A 21674-2024 prioriterade fågelarter.docx", "A 21674-2024")</f>
        <v/>
      </c>
    </row>
    <row r="40" ht="15" customHeight="1">
      <c r="A40" t="inlineStr">
        <is>
          <t>A 6180-2026</t>
        </is>
      </c>
      <c r="B40" s="1" t="n">
        <v>46055.35829861111</v>
      </c>
      <c r="C40" s="1" t="n">
        <v>46134</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46134</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33636-2025</t>
        </is>
      </c>
      <c r="B42" s="1" t="n">
        <v>45841.64539351852</v>
      </c>
      <c r="C42" s="1" t="n">
        <v>46134</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33707-2025</t>
        </is>
      </c>
      <c r="B43" s="1" t="n">
        <v>45841.80690972223</v>
      </c>
      <c r="C43" s="1" t="n">
        <v>46134</v>
      </c>
      <c r="D43" t="inlineStr">
        <is>
          <t>UPPSALA LÄN</t>
        </is>
      </c>
      <c r="E43" t="inlineStr">
        <is>
          <t>UPPSALA</t>
        </is>
      </c>
      <c r="F43" t="inlineStr">
        <is>
          <t>Holmen skog AB</t>
        </is>
      </c>
      <c r="G43" t="n">
        <v>7.9</v>
      </c>
      <c r="H43" t="n">
        <v>4</v>
      </c>
      <c r="I43" t="n">
        <v>2</v>
      </c>
      <c r="J43" t="n">
        <v>2</v>
      </c>
      <c r="K43" t="n">
        <v>0</v>
      </c>
      <c r="L43" t="n">
        <v>0</v>
      </c>
      <c r="M43" t="n">
        <v>0</v>
      </c>
      <c r="N43" t="n">
        <v>0</v>
      </c>
      <c r="O43" t="n">
        <v>2</v>
      </c>
      <c r="P43" t="n">
        <v>0</v>
      </c>
      <c r="Q43" t="n">
        <v>6</v>
      </c>
      <c r="R43" s="2" t="inlineStr">
        <is>
          <t>Buskskvätta
Gulsparv
Brandticka
Fjällig taggsvamp s.str.
Tjäder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56363-2025</t>
        </is>
      </c>
      <c r="B44" s="1" t="n">
        <v>45974.6671412037</v>
      </c>
      <c r="C44" s="1" t="n">
        <v>46134</v>
      </c>
      <c r="D44" t="inlineStr">
        <is>
          <t>UPPSALA LÄN</t>
        </is>
      </c>
      <c r="E44" t="inlineStr">
        <is>
          <t>UPPSALA</t>
        </is>
      </c>
      <c r="G44" t="n">
        <v>3.1</v>
      </c>
      <c r="H44" t="n">
        <v>2</v>
      </c>
      <c r="I44" t="n">
        <v>2</v>
      </c>
      <c r="J44" t="n">
        <v>3</v>
      </c>
      <c r="K44" t="n">
        <v>1</v>
      </c>
      <c r="L44" t="n">
        <v>0</v>
      </c>
      <c r="M44" t="n">
        <v>0</v>
      </c>
      <c r="N44" t="n">
        <v>0</v>
      </c>
      <c r="O44" t="n">
        <v>4</v>
      </c>
      <c r="P44" t="n">
        <v>1</v>
      </c>
      <c r="Q44" t="n">
        <v>6</v>
      </c>
      <c r="R44" s="2" t="inlineStr">
        <is>
          <t>Rynkskinn
Spillkråka
Talltita
Ullticka
Björksplintborre
Vågbandad barkbock</t>
        </is>
      </c>
      <c r="S44">
        <f>HYPERLINK("https://klasma.github.io/Logging_0380/artfynd/A 56363-2025 artfynd.xlsx", "A 56363-2025")</f>
        <v/>
      </c>
      <c r="T44">
        <f>HYPERLINK("https://klasma.github.io/Logging_0380/kartor/A 56363-2025 karta.png", "A 56363-2025")</f>
        <v/>
      </c>
      <c r="V44">
        <f>HYPERLINK("https://klasma.github.io/Logging_0380/klagomål/A 56363-2025 FSC-klagomål.docx", "A 56363-2025")</f>
        <v/>
      </c>
      <c r="W44">
        <f>HYPERLINK("https://klasma.github.io/Logging_0380/klagomålsmail/A 56363-2025 FSC-klagomål mail.docx", "A 56363-2025")</f>
        <v/>
      </c>
      <c r="X44">
        <f>HYPERLINK("https://klasma.github.io/Logging_0380/tillsyn/A 56363-2025 tillsynsbegäran.docx", "A 56363-2025")</f>
        <v/>
      </c>
      <c r="Y44">
        <f>HYPERLINK("https://klasma.github.io/Logging_0380/tillsynsmail/A 56363-2025 tillsynsbegäran mail.docx", "A 56363-2025")</f>
        <v/>
      </c>
      <c r="Z44">
        <f>HYPERLINK("https://klasma.github.io/Logging_0380/fåglar/A 56363-2025 prioriterade fågelarter.docx", "A 56363-2025")</f>
        <v/>
      </c>
    </row>
    <row r="45" ht="15" customHeight="1">
      <c r="A45" t="inlineStr">
        <is>
          <t>A 14466-2026</t>
        </is>
      </c>
      <c r="B45" s="1" t="n">
        <v>46100.55521990741</v>
      </c>
      <c r="C45" s="1" t="n">
        <v>46134</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46134</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46134</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46134</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46134</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46134</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46134</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21809-2024</t>
        </is>
      </c>
      <c r="B52" s="1" t="n">
        <v>45442</v>
      </c>
      <c r="C52" s="1" t="n">
        <v>46134</v>
      </c>
      <c r="D52" t="inlineStr">
        <is>
          <t>UPPSALA LÄN</t>
        </is>
      </c>
      <c r="E52" t="inlineStr">
        <is>
          <t>UPPSALA</t>
        </is>
      </c>
      <c r="F52" t="inlineStr">
        <is>
          <t>Övriga statliga verk och myndigheter</t>
        </is>
      </c>
      <c r="G52" t="n">
        <v>6.6</v>
      </c>
      <c r="H52" t="n">
        <v>3</v>
      </c>
      <c r="I52" t="n">
        <v>1</v>
      </c>
      <c r="J52" t="n">
        <v>2</v>
      </c>
      <c r="K52" t="n">
        <v>0</v>
      </c>
      <c r="L52" t="n">
        <v>0</v>
      </c>
      <c r="M52" t="n">
        <v>0</v>
      </c>
      <c r="N52" t="n">
        <v>0</v>
      </c>
      <c r="O52" t="n">
        <v>2</v>
      </c>
      <c r="P52" t="n">
        <v>0</v>
      </c>
      <c r="Q52" t="n">
        <v>5</v>
      </c>
      <c r="R52" s="2" t="inlineStr">
        <is>
          <t>Igelkott
Nordfladdermus
Vågbandad barkbock
Dvärgpipistrell
Blåsippa</t>
        </is>
      </c>
      <c r="S52">
        <f>HYPERLINK("https://klasma.github.io/Logging_0380/artfynd/A 21809-2024 artfynd.xlsx", "A 21809-2024")</f>
        <v/>
      </c>
      <c r="T52">
        <f>HYPERLINK("https://klasma.github.io/Logging_0380/kartor/A 21809-2024 karta.png", "A 21809-2024")</f>
        <v/>
      </c>
      <c r="V52">
        <f>HYPERLINK("https://klasma.github.io/Logging_0380/klagomål/A 21809-2024 FSC-klagomål.docx", "A 21809-2024")</f>
        <v/>
      </c>
      <c r="W52">
        <f>HYPERLINK("https://klasma.github.io/Logging_0380/klagomålsmail/A 21809-2024 FSC-klagomål mail.docx", "A 21809-2024")</f>
        <v/>
      </c>
      <c r="X52">
        <f>HYPERLINK("https://klasma.github.io/Logging_0380/tillsyn/A 21809-2024 tillsynsbegäran.docx", "A 21809-2024")</f>
        <v/>
      </c>
      <c r="Y52">
        <f>HYPERLINK("https://klasma.github.io/Logging_0380/tillsynsmail/A 21809-2024 tillsynsbegäran mail.docx", "A 21809-2024")</f>
        <v/>
      </c>
    </row>
    <row r="53" ht="15" customHeight="1">
      <c r="A53" t="inlineStr">
        <is>
          <t>A 29803-2023</t>
        </is>
      </c>
      <c r="B53" s="1" t="n">
        <v>45107</v>
      </c>
      <c r="C53" s="1" t="n">
        <v>46134</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44601-2025</t>
        </is>
      </c>
      <c r="B54" s="1" t="n">
        <v>45917.43857638889</v>
      </c>
      <c r="C54" s="1" t="n">
        <v>46134</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13546-2025</t>
        </is>
      </c>
      <c r="B55" s="1" t="n">
        <v>45736.53695601852</v>
      </c>
      <c r="C55" s="1" t="n">
        <v>46134</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53851-2025</t>
        </is>
      </c>
      <c r="B56" s="1" t="n">
        <v>45961.37217592593</v>
      </c>
      <c r="C56" s="1" t="n">
        <v>46134</v>
      </c>
      <c r="D56" t="inlineStr">
        <is>
          <t>UPPSALA LÄN</t>
        </is>
      </c>
      <c r="E56" t="inlineStr">
        <is>
          <t>UPPSALA</t>
        </is>
      </c>
      <c r="G56" t="n">
        <v>2.6</v>
      </c>
      <c r="H56" t="n">
        <v>3</v>
      </c>
      <c r="I56" t="n">
        <v>1</v>
      </c>
      <c r="J56" t="n">
        <v>2</v>
      </c>
      <c r="K56" t="n">
        <v>1</v>
      </c>
      <c r="L56" t="n">
        <v>0</v>
      </c>
      <c r="M56" t="n">
        <v>0</v>
      </c>
      <c r="N56" t="n">
        <v>0</v>
      </c>
      <c r="O56" t="n">
        <v>3</v>
      </c>
      <c r="P56" t="n">
        <v>1</v>
      </c>
      <c r="Q56" t="n">
        <v>5</v>
      </c>
      <c r="R56" s="2" t="inlineStr">
        <is>
          <t>Knärot
Spillkråka
Vedtrappmossa
Jättesvampmal
Revlummer</t>
        </is>
      </c>
      <c r="S56">
        <f>HYPERLINK("https://klasma.github.io/Logging_0380/artfynd/A 53851-2025 artfynd.xlsx", "A 53851-2025")</f>
        <v/>
      </c>
      <c r="T56">
        <f>HYPERLINK("https://klasma.github.io/Logging_0380/kartor/A 53851-2025 karta.png", "A 53851-2025")</f>
        <v/>
      </c>
      <c r="U56">
        <f>HYPERLINK("https://klasma.github.io/Logging_0380/knärot/A 53851-2025 karta knärot.png", "A 53851-2025")</f>
        <v/>
      </c>
      <c r="V56">
        <f>HYPERLINK("https://klasma.github.io/Logging_0380/klagomål/A 53851-2025 FSC-klagomål.docx", "A 53851-2025")</f>
        <v/>
      </c>
      <c r="W56">
        <f>HYPERLINK("https://klasma.github.io/Logging_0380/klagomålsmail/A 53851-2025 FSC-klagomål mail.docx", "A 53851-2025")</f>
        <v/>
      </c>
      <c r="X56">
        <f>HYPERLINK("https://klasma.github.io/Logging_0380/tillsyn/A 53851-2025 tillsynsbegäran.docx", "A 53851-2025")</f>
        <v/>
      </c>
      <c r="Y56">
        <f>HYPERLINK("https://klasma.github.io/Logging_0380/tillsynsmail/A 53851-2025 tillsynsbegäran mail.docx", "A 53851-2025")</f>
        <v/>
      </c>
      <c r="Z56">
        <f>HYPERLINK("https://klasma.github.io/Logging_0380/fåglar/A 53851-2025 prioriterade fågelarter.docx", "A 53851-2025")</f>
        <v/>
      </c>
    </row>
    <row r="57" ht="15" customHeight="1">
      <c r="A57" t="inlineStr">
        <is>
          <t>A 53870-2025</t>
        </is>
      </c>
      <c r="B57" s="1" t="n">
        <v>45961.38690972222</v>
      </c>
      <c r="C57" s="1" t="n">
        <v>46134</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3100-2024</t>
        </is>
      </c>
      <c r="B58" s="1" t="n">
        <v>45316</v>
      </c>
      <c r="C58" s="1" t="n">
        <v>46134</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43056-2025</t>
        </is>
      </c>
      <c r="B59" s="1" t="n">
        <v>45909.57565972222</v>
      </c>
      <c r="C59" s="1" t="n">
        <v>46134</v>
      </c>
      <c r="D59" t="inlineStr">
        <is>
          <t>UPPSALA LÄN</t>
        </is>
      </c>
      <c r="E59" t="inlineStr">
        <is>
          <t>UPPSALA</t>
        </is>
      </c>
      <c r="F59" t="inlineStr">
        <is>
          <t>Allmännings- och besparingsskogar</t>
        </is>
      </c>
      <c r="G59" t="n">
        <v>11.8</v>
      </c>
      <c r="H59" t="n">
        <v>2</v>
      </c>
      <c r="I59" t="n">
        <v>1</v>
      </c>
      <c r="J59" t="n">
        <v>2</v>
      </c>
      <c r="K59" t="n">
        <v>1</v>
      </c>
      <c r="L59" t="n">
        <v>0</v>
      </c>
      <c r="M59" t="n">
        <v>0</v>
      </c>
      <c r="N59" t="n">
        <v>0</v>
      </c>
      <c r="O59" t="n">
        <v>3</v>
      </c>
      <c r="P59" t="n">
        <v>1</v>
      </c>
      <c r="Q59" t="n">
        <v>5</v>
      </c>
      <c r="R59" s="2" t="inlineStr">
        <is>
          <t>Rynkskinn
Spillkråka
Ullticka
Trådticka
Sparvuggla</t>
        </is>
      </c>
      <c r="S59">
        <f>HYPERLINK("https://klasma.github.io/Logging_0380/artfynd/A 43056-2025 artfynd.xlsx", "A 43056-2025")</f>
        <v/>
      </c>
      <c r="T59">
        <f>HYPERLINK("https://klasma.github.io/Logging_0380/kartor/A 43056-2025 karta.png", "A 43056-2025")</f>
        <v/>
      </c>
      <c r="V59">
        <f>HYPERLINK("https://klasma.github.io/Logging_0380/klagomål/A 43056-2025 FSC-klagomål.docx", "A 43056-2025")</f>
        <v/>
      </c>
      <c r="W59">
        <f>HYPERLINK("https://klasma.github.io/Logging_0380/klagomålsmail/A 43056-2025 FSC-klagomål mail.docx", "A 43056-2025")</f>
        <v/>
      </c>
      <c r="X59">
        <f>HYPERLINK("https://klasma.github.io/Logging_0380/tillsyn/A 43056-2025 tillsynsbegäran.docx", "A 43056-2025")</f>
        <v/>
      </c>
      <c r="Y59">
        <f>HYPERLINK("https://klasma.github.io/Logging_0380/tillsynsmail/A 43056-2025 tillsynsbegäran mail.docx", "A 43056-2025")</f>
        <v/>
      </c>
      <c r="Z59">
        <f>HYPERLINK("https://klasma.github.io/Logging_0380/fåglar/A 43056-2025 prioriterade fågelarter.docx", "A 43056-2025")</f>
        <v/>
      </c>
    </row>
    <row r="60" ht="15" customHeight="1">
      <c r="A60" t="inlineStr">
        <is>
          <t>A 59538-2025</t>
        </is>
      </c>
      <c r="B60" s="1" t="n">
        <v>45989</v>
      </c>
      <c r="C60" s="1" t="n">
        <v>46134</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27625-2023</t>
        </is>
      </c>
      <c r="B61" s="1" t="n">
        <v>45097</v>
      </c>
      <c r="C61" s="1" t="n">
        <v>46134</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46134</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46134</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37004-2025</t>
        </is>
      </c>
      <c r="B64" s="1" t="n">
        <v>45874.69282407407</v>
      </c>
      <c r="C64" s="1" t="n">
        <v>46134</v>
      </c>
      <c r="D64" t="inlineStr">
        <is>
          <t>UPPSALA LÄN</t>
        </is>
      </c>
      <c r="E64" t="inlineStr">
        <is>
          <t>UPPSALA</t>
        </is>
      </c>
      <c r="G64" t="n">
        <v>15.8</v>
      </c>
      <c r="H64" t="n">
        <v>2</v>
      </c>
      <c r="I64" t="n">
        <v>1</v>
      </c>
      <c r="J64" t="n">
        <v>2</v>
      </c>
      <c r="K64" t="n">
        <v>0</v>
      </c>
      <c r="L64" t="n">
        <v>0</v>
      </c>
      <c r="M64" t="n">
        <v>0</v>
      </c>
      <c r="N64" t="n">
        <v>0</v>
      </c>
      <c r="O64" t="n">
        <v>2</v>
      </c>
      <c r="P64" t="n">
        <v>0</v>
      </c>
      <c r="Q64" t="n">
        <v>4</v>
      </c>
      <c r="R64" s="2" t="inlineStr">
        <is>
          <t>Gulsparv
Skogshare
Mindre märgborre
Vanlig padda</t>
        </is>
      </c>
      <c r="S64">
        <f>HYPERLINK("https://klasma.github.io/Logging_0380/artfynd/A 37004-2025 artfynd.xlsx", "A 37004-2025")</f>
        <v/>
      </c>
      <c r="T64">
        <f>HYPERLINK("https://klasma.github.io/Logging_0380/kartor/A 37004-2025 karta.png", "A 37004-2025")</f>
        <v/>
      </c>
      <c r="V64">
        <f>HYPERLINK("https://klasma.github.io/Logging_0380/klagomål/A 37004-2025 FSC-klagomål.docx", "A 37004-2025")</f>
        <v/>
      </c>
      <c r="W64">
        <f>HYPERLINK("https://klasma.github.io/Logging_0380/klagomålsmail/A 37004-2025 FSC-klagomål mail.docx", "A 37004-2025")</f>
        <v/>
      </c>
      <c r="X64">
        <f>HYPERLINK("https://klasma.github.io/Logging_0380/tillsyn/A 37004-2025 tillsynsbegäran.docx", "A 37004-2025")</f>
        <v/>
      </c>
      <c r="Y64">
        <f>HYPERLINK("https://klasma.github.io/Logging_0380/tillsynsmail/A 37004-2025 tillsynsbegäran mail.docx", "A 37004-2025")</f>
        <v/>
      </c>
      <c r="Z64">
        <f>HYPERLINK("https://klasma.github.io/Logging_0380/fåglar/A 37004-2025 prioriterade fågelarter.docx", "A 37004-2025")</f>
        <v/>
      </c>
    </row>
    <row r="65" ht="15" customHeight="1">
      <c r="A65" t="inlineStr">
        <is>
          <t>A 42581-2025</t>
        </is>
      </c>
      <c r="B65" s="1" t="n">
        <v>45905.62541666667</v>
      </c>
      <c r="C65" s="1" t="n">
        <v>46134</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46134</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8323-2023</t>
        </is>
      </c>
      <c r="B67" s="1" t="n">
        <v>44974</v>
      </c>
      <c r="C67" s="1" t="n">
        <v>46134</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26758-2022</t>
        </is>
      </c>
      <c r="B68" s="1" t="n">
        <v>44740</v>
      </c>
      <c r="C68" s="1" t="n">
        <v>46134</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51875-2025</t>
        </is>
      </c>
      <c r="B69" s="1" t="n">
        <v>45952.39770833333</v>
      </c>
      <c r="C69" s="1" t="n">
        <v>46134</v>
      </c>
      <c r="D69" t="inlineStr">
        <is>
          <t>UPPSALA LÄN</t>
        </is>
      </c>
      <c r="E69" t="inlineStr">
        <is>
          <t>UPPSALA</t>
        </is>
      </c>
      <c r="G69" t="n">
        <v>15.5</v>
      </c>
      <c r="H69" t="n">
        <v>0</v>
      </c>
      <c r="I69" t="n">
        <v>1</v>
      </c>
      <c r="J69" t="n">
        <v>3</v>
      </c>
      <c r="K69" t="n">
        <v>0</v>
      </c>
      <c r="L69" t="n">
        <v>0</v>
      </c>
      <c r="M69" t="n">
        <v>0</v>
      </c>
      <c r="N69" t="n">
        <v>0</v>
      </c>
      <c r="O69" t="n">
        <v>3</v>
      </c>
      <c r="P69" t="n">
        <v>0</v>
      </c>
      <c r="Q69" t="n">
        <v>4</v>
      </c>
      <c r="R69" s="2" t="inlineStr">
        <is>
          <t>Kortskaftad ärgspik
Orange taggsvamp
Vedtrappmossa
Källpraktmossa</t>
        </is>
      </c>
      <c r="S69">
        <f>HYPERLINK("https://klasma.github.io/Logging_0380/artfynd/A 51875-2025 artfynd.xlsx", "A 51875-2025")</f>
        <v/>
      </c>
      <c r="T69">
        <f>HYPERLINK("https://klasma.github.io/Logging_0380/kartor/A 51875-2025 karta.png", "A 51875-2025")</f>
        <v/>
      </c>
      <c r="V69">
        <f>HYPERLINK("https://klasma.github.io/Logging_0380/klagomål/A 51875-2025 FSC-klagomål.docx", "A 51875-2025")</f>
        <v/>
      </c>
      <c r="W69">
        <f>HYPERLINK("https://klasma.github.io/Logging_0380/klagomålsmail/A 51875-2025 FSC-klagomål mail.docx", "A 51875-2025")</f>
        <v/>
      </c>
      <c r="X69">
        <f>HYPERLINK("https://klasma.github.io/Logging_0380/tillsyn/A 51875-2025 tillsynsbegäran.docx", "A 51875-2025")</f>
        <v/>
      </c>
      <c r="Y69">
        <f>HYPERLINK("https://klasma.github.io/Logging_0380/tillsynsmail/A 51875-2025 tillsynsbegäran mail.docx", "A 51875-2025")</f>
        <v/>
      </c>
    </row>
    <row r="70" ht="15" customHeight="1">
      <c r="A70" t="inlineStr">
        <is>
          <t>A 62004-2025</t>
        </is>
      </c>
      <c r="B70" s="1" t="n">
        <v>46003.66043981481</v>
      </c>
      <c r="C70" s="1" t="n">
        <v>46134</v>
      </c>
      <c r="D70" t="inlineStr">
        <is>
          <t>UPPSALA LÄN</t>
        </is>
      </c>
      <c r="E70" t="inlineStr">
        <is>
          <t>UPPSALA</t>
        </is>
      </c>
      <c r="G70" t="n">
        <v>7.2</v>
      </c>
      <c r="H70" t="n">
        <v>3</v>
      </c>
      <c r="I70" t="n">
        <v>0</v>
      </c>
      <c r="J70" t="n">
        <v>2</v>
      </c>
      <c r="K70" t="n">
        <v>1</v>
      </c>
      <c r="L70" t="n">
        <v>0</v>
      </c>
      <c r="M70" t="n">
        <v>0</v>
      </c>
      <c r="N70" t="n">
        <v>0</v>
      </c>
      <c r="O70" t="n">
        <v>3</v>
      </c>
      <c r="P70" t="n">
        <v>1</v>
      </c>
      <c r="Q70" t="n">
        <v>4</v>
      </c>
      <c r="R70" s="2" t="inlineStr">
        <is>
          <t>Knärot
Spillkråka
Vedtrappmossa
Revlummer</t>
        </is>
      </c>
      <c r="S70">
        <f>HYPERLINK("https://klasma.github.io/Logging_0380/artfynd/A 62004-2025 artfynd.xlsx", "A 62004-2025")</f>
        <v/>
      </c>
      <c r="T70">
        <f>HYPERLINK("https://klasma.github.io/Logging_0380/kartor/A 62004-2025 karta.png", "A 62004-2025")</f>
        <v/>
      </c>
      <c r="U70">
        <f>HYPERLINK("https://klasma.github.io/Logging_0380/knärot/A 62004-2025 karta knärot.png", "A 62004-2025")</f>
        <v/>
      </c>
      <c r="V70">
        <f>HYPERLINK("https://klasma.github.io/Logging_0380/klagomål/A 62004-2025 FSC-klagomål.docx", "A 62004-2025")</f>
        <v/>
      </c>
      <c r="W70">
        <f>HYPERLINK("https://klasma.github.io/Logging_0380/klagomålsmail/A 62004-2025 FSC-klagomål mail.docx", "A 62004-2025")</f>
        <v/>
      </c>
      <c r="X70">
        <f>HYPERLINK("https://klasma.github.io/Logging_0380/tillsyn/A 62004-2025 tillsynsbegäran.docx", "A 62004-2025")</f>
        <v/>
      </c>
      <c r="Y70">
        <f>HYPERLINK("https://klasma.github.io/Logging_0380/tillsynsmail/A 62004-2025 tillsynsbegäran mail.docx", "A 62004-2025")</f>
        <v/>
      </c>
      <c r="Z70">
        <f>HYPERLINK("https://klasma.github.io/Logging_0380/fåglar/A 62004-2025 prioriterade fågelarter.docx", "A 62004-2025")</f>
        <v/>
      </c>
    </row>
    <row r="71" ht="15" customHeight="1">
      <c r="A71" t="inlineStr">
        <is>
          <t>A 2524-2026</t>
        </is>
      </c>
      <c r="B71" s="1" t="n">
        <v>46037.42877314815</v>
      </c>
      <c r="C71" s="1" t="n">
        <v>46134</v>
      </c>
      <c r="D71" t="inlineStr">
        <is>
          <t>UPPSALA LÄN</t>
        </is>
      </c>
      <c r="E71" t="inlineStr">
        <is>
          <t>UPPSALA</t>
        </is>
      </c>
      <c r="F71" t="inlineStr">
        <is>
          <t>Allmännings- och besparingsskogar</t>
        </is>
      </c>
      <c r="G71" t="n">
        <v>13.4</v>
      </c>
      <c r="H71" t="n">
        <v>2</v>
      </c>
      <c r="I71" t="n">
        <v>1</v>
      </c>
      <c r="J71" t="n">
        <v>1</v>
      </c>
      <c r="K71" t="n">
        <v>1</v>
      </c>
      <c r="L71" t="n">
        <v>0</v>
      </c>
      <c r="M71" t="n">
        <v>0</v>
      </c>
      <c r="N71" t="n">
        <v>0</v>
      </c>
      <c r="O71" t="n">
        <v>2</v>
      </c>
      <c r="P71" t="n">
        <v>1</v>
      </c>
      <c r="Q71" t="n">
        <v>4</v>
      </c>
      <c r="R71" s="2" t="inlineStr">
        <is>
          <t>Vågticka
Spillkråka
Blodticka
Tjäder</t>
        </is>
      </c>
      <c r="S71">
        <f>HYPERLINK("https://klasma.github.io/Logging_0380/artfynd/A 2524-2026 artfynd.xlsx", "A 2524-2026")</f>
        <v/>
      </c>
      <c r="T71">
        <f>HYPERLINK("https://klasma.github.io/Logging_0380/kartor/A 2524-2026 karta.png", "A 2524-2026")</f>
        <v/>
      </c>
      <c r="V71">
        <f>HYPERLINK("https://klasma.github.io/Logging_0380/klagomål/A 2524-2026 FSC-klagomål.docx", "A 2524-2026")</f>
        <v/>
      </c>
      <c r="W71">
        <f>HYPERLINK("https://klasma.github.io/Logging_0380/klagomålsmail/A 2524-2026 FSC-klagomål mail.docx", "A 2524-2026")</f>
        <v/>
      </c>
      <c r="X71">
        <f>HYPERLINK("https://klasma.github.io/Logging_0380/tillsyn/A 2524-2026 tillsynsbegäran.docx", "A 2524-2026")</f>
        <v/>
      </c>
      <c r="Y71">
        <f>HYPERLINK("https://klasma.github.io/Logging_0380/tillsynsmail/A 2524-2026 tillsynsbegäran mail.docx", "A 2524-2026")</f>
        <v/>
      </c>
      <c r="Z71">
        <f>HYPERLINK("https://klasma.github.io/Logging_0380/fåglar/A 2524-2026 prioriterade fågelarter.docx", "A 2524-2026")</f>
        <v/>
      </c>
    </row>
    <row r="72" ht="15" customHeight="1">
      <c r="A72" t="inlineStr">
        <is>
          <t>A 15297-2022</t>
        </is>
      </c>
      <c r="B72" s="1" t="n">
        <v>44659</v>
      </c>
      <c r="C72" s="1" t="n">
        <v>46134</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46134</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46134</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46134</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46134</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46134</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46134</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30716-2025</t>
        </is>
      </c>
      <c r="B79" s="1" t="n">
        <v>45831.55982638889</v>
      </c>
      <c r="C79" s="1" t="n">
        <v>46134</v>
      </c>
      <c r="D79" t="inlineStr">
        <is>
          <t>UPPSALA LÄN</t>
        </is>
      </c>
      <c r="E79" t="inlineStr">
        <is>
          <t>UPPSALA</t>
        </is>
      </c>
      <c r="G79" t="n">
        <v>2.3</v>
      </c>
      <c r="H79" t="n">
        <v>2</v>
      </c>
      <c r="I79" t="n">
        <v>1</v>
      </c>
      <c r="J79" t="n">
        <v>1</v>
      </c>
      <c r="K79" t="n">
        <v>1</v>
      </c>
      <c r="L79" t="n">
        <v>0</v>
      </c>
      <c r="M79" t="n">
        <v>0</v>
      </c>
      <c r="N79" t="n">
        <v>0</v>
      </c>
      <c r="O79" t="n">
        <v>2</v>
      </c>
      <c r="P79" t="n">
        <v>1</v>
      </c>
      <c r="Q79" t="n">
        <v>3</v>
      </c>
      <c r="R79" s="2" t="inlineStr">
        <is>
          <t>Knärot
Talltita
Skinnlav</t>
        </is>
      </c>
      <c r="S79">
        <f>HYPERLINK("https://klasma.github.io/Logging_0380/artfynd/A 30716-2025 artfynd.xlsx", "A 30716-2025")</f>
        <v/>
      </c>
      <c r="T79">
        <f>HYPERLINK("https://klasma.github.io/Logging_0380/kartor/A 30716-2025 karta.png", "A 30716-2025")</f>
        <v/>
      </c>
      <c r="U79">
        <f>HYPERLINK("https://klasma.github.io/Logging_0380/knärot/A 30716-2025 karta knärot.png", "A 30716-2025")</f>
        <v/>
      </c>
      <c r="V79">
        <f>HYPERLINK("https://klasma.github.io/Logging_0380/klagomål/A 30716-2025 FSC-klagomål.docx", "A 30716-2025")</f>
        <v/>
      </c>
      <c r="W79">
        <f>HYPERLINK("https://klasma.github.io/Logging_0380/klagomålsmail/A 30716-2025 FSC-klagomål mail.docx", "A 30716-2025")</f>
        <v/>
      </c>
      <c r="X79">
        <f>HYPERLINK("https://klasma.github.io/Logging_0380/tillsyn/A 30716-2025 tillsynsbegäran.docx", "A 30716-2025")</f>
        <v/>
      </c>
      <c r="Y79">
        <f>HYPERLINK("https://klasma.github.io/Logging_0380/tillsynsmail/A 30716-2025 tillsynsbegäran mail.docx", "A 30716-2025")</f>
        <v/>
      </c>
      <c r="Z79">
        <f>HYPERLINK("https://klasma.github.io/Logging_0380/fåglar/A 30716-2025 prioriterade fågelarter.docx", "A 30716-2025")</f>
        <v/>
      </c>
    </row>
    <row r="80" ht="15" customHeight="1">
      <c r="A80" t="inlineStr">
        <is>
          <t>A 45627-2025</t>
        </is>
      </c>
      <c r="B80" s="1" t="n">
        <v>45922.80255787037</v>
      </c>
      <c r="C80" s="1" t="n">
        <v>46134</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13085-2026</t>
        </is>
      </c>
      <c r="B81" s="1" t="n">
        <v>46093.38986111111</v>
      </c>
      <c r="C81" s="1" t="n">
        <v>46134</v>
      </c>
      <c r="D81" t="inlineStr">
        <is>
          <t>UPPSALA LÄN</t>
        </is>
      </c>
      <c r="E81" t="inlineStr">
        <is>
          <t>UPPSALA</t>
        </is>
      </c>
      <c r="G81" t="n">
        <v>2.2</v>
      </c>
      <c r="H81" t="n">
        <v>1</v>
      </c>
      <c r="I81" t="n">
        <v>2</v>
      </c>
      <c r="J81" t="n">
        <v>0</v>
      </c>
      <c r="K81" t="n">
        <v>0</v>
      </c>
      <c r="L81" t="n">
        <v>0</v>
      </c>
      <c r="M81" t="n">
        <v>0</v>
      </c>
      <c r="N81" t="n">
        <v>0</v>
      </c>
      <c r="O81" t="n">
        <v>0</v>
      </c>
      <c r="P81" t="n">
        <v>0</v>
      </c>
      <c r="Q81" t="n">
        <v>3</v>
      </c>
      <c r="R81" s="2" t="inlineStr">
        <is>
          <t>Svart trolldruva
Vårärt
Blåsippa</t>
        </is>
      </c>
      <c r="S81">
        <f>HYPERLINK("https://klasma.github.io/Logging_0380/artfynd/A 13085-2026 artfynd.xlsx", "A 13085-2026")</f>
        <v/>
      </c>
      <c r="T81">
        <f>HYPERLINK("https://klasma.github.io/Logging_0380/kartor/A 13085-2026 karta.png", "A 13085-2026")</f>
        <v/>
      </c>
      <c r="V81">
        <f>HYPERLINK("https://klasma.github.io/Logging_0380/klagomål/A 13085-2026 FSC-klagomål.docx", "A 13085-2026")</f>
        <v/>
      </c>
      <c r="W81">
        <f>HYPERLINK("https://klasma.github.io/Logging_0380/klagomålsmail/A 13085-2026 FSC-klagomål mail.docx", "A 13085-2026")</f>
        <v/>
      </c>
      <c r="X81">
        <f>HYPERLINK("https://klasma.github.io/Logging_0380/tillsyn/A 13085-2026 tillsynsbegäran.docx", "A 13085-2026")</f>
        <v/>
      </c>
      <c r="Y81">
        <f>HYPERLINK("https://klasma.github.io/Logging_0380/tillsynsmail/A 13085-2026 tillsynsbegäran mail.docx", "A 13085-2026")</f>
        <v/>
      </c>
    </row>
    <row r="82" ht="15" customHeight="1">
      <c r="A82" t="inlineStr">
        <is>
          <t>A 55788-2025</t>
        </is>
      </c>
      <c r="B82" s="1" t="n">
        <v>45972.64483796297</v>
      </c>
      <c r="C82" s="1" t="n">
        <v>46134</v>
      </c>
      <c r="D82" t="inlineStr">
        <is>
          <t>UPPSALA LÄN</t>
        </is>
      </c>
      <c r="E82" t="inlineStr">
        <is>
          <t>UPPSALA</t>
        </is>
      </c>
      <c r="F82" t="inlineStr">
        <is>
          <t>Holmen skog AB</t>
        </is>
      </c>
      <c r="G82" t="n">
        <v>6.9</v>
      </c>
      <c r="H82" t="n">
        <v>3</v>
      </c>
      <c r="I82" t="n">
        <v>0</v>
      </c>
      <c r="J82" t="n">
        <v>1</v>
      </c>
      <c r="K82" t="n">
        <v>0</v>
      </c>
      <c r="L82" t="n">
        <v>0</v>
      </c>
      <c r="M82" t="n">
        <v>0</v>
      </c>
      <c r="N82" t="n">
        <v>0</v>
      </c>
      <c r="O82" t="n">
        <v>1</v>
      </c>
      <c r="P82" t="n">
        <v>0</v>
      </c>
      <c r="Q82" t="n">
        <v>3</v>
      </c>
      <c r="R82" s="2" t="inlineStr">
        <is>
          <t>Talltita
Kungsfågel
Gullviva</t>
        </is>
      </c>
      <c r="S82">
        <f>HYPERLINK("https://klasma.github.io/Logging_0380/artfynd/A 55788-2025 artfynd.xlsx", "A 55788-2025")</f>
        <v/>
      </c>
      <c r="T82">
        <f>HYPERLINK("https://klasma.github.io/Logging_0380/kartor/A 55788-2025 karta.png", "A 55788-2025")</f>
        <v/>
      </c>
      <c r="V82">
        <f>HYPERLINK("https://klasma.github.io/Logging_0380/klagomål/A 55788-2025 FSC-klagomål.docx", "A 55788-2025")</f>
        <v/>
      </c>
      <c r="W82">
        <f>HYPERLINK("https://klasma.github.io/Logging_0380/klagomålsmail/A 55788-2025 FSC-klagomål mail.docx", "A 55788-2025")</f>
        <v/>
      </c>
      <c r="X82">
        <f>HYPERLINK("https://klasma.github.io/Logging_0380/tillsyn/A 55788-2025 tillsynsbegäran.docx", "A 55788-2025")</f>
        <v/>
      </c>
      <c r="Y82">
        <f>HYPERLINK("https://klasma.github.io/Logging_0380/tillsynsmail/A 55788-2025 tillsynsbegäran mail.docx", "A 55788-2025")</f>
        <v/>
      </c>
      <c r="Z82">
        <f>HYPERLINK("https://klasma.github.io/Logging_0380/fåglar/A 55788-2025 prioriterade fågelarter.docx", "A 55788-2025")</f>
        <v/>
      </c>
    </row>
    <row r="83" ht="15" customHeight="1">
      <c r="A83" t="inlineStr">
        <is>
          <t>A 17277-2023</t>
        </is>
      </c>
      <c r="B83" s="1" t="n">
        <v>45035.44672453704</v>
      </c>
      <c r="C83" s="1" t="n">
        <v>46134</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17679-2026</t>
        </is>
      </c>
      <c r="B84" s="1" t="n">
        <v>46121.6049537037</v>
      </c>
      <c r="C84" s="1" t="n">
        <v>46134</v>
      </c>
      <c r="D84" t="inlineStr">
        <is>
          <t>UPPSALA LÄN</t>
        </is>
      </c>
      <c r="E84" t="inlineStr">
        <is>
          <t>UPPSALA</t>
        </is>
      </c>
      <c r="G84" t="n">
        <v>2.4</v>
      </c>
      <c r="H84" t="n">
        <v>2</v>
      </c>
      <c r="I84" t="n">
        <v>0</v>
      </c>
      <c r="J84" t="n">
        <v>2</v>
      </c>
      <c r="K84" t="n">
        <v>0</v>
      </c>
      <c r="L84" t="n">
        <v>0</v>
      </c>
      <c r="M84" t="n">
        <v>0</v>
      </c>
      <c r="N84" t="n">
        <v>0</v>
      </c>
      <c r="O84" t="n">
        <v>2</v>
      </c>
      <c r="P84" t="n">
        <v>0</v>
      </c>
      <c r="Q84" t="n">
        <v>3</v>
      </c>
      <c r="R84" s="2" t="inlineStr">
        <is>
          <t>Nordfladdermus
Tallkötticka
Kungsfågel</t>
        </is>
      </c>
      <c r="S84">
        <f>HYPERLINK("https://klasma.github.io/Logging_0380/artfynd/A 17679-2026 artfynd.xlsx", "A 17679-2026")</f>
        <v/>
      </c>
      <c r="T84">
        <f>HYPERLINK("https://klasma.github.io/Logging_0380/kartor/A 17679-2026 karta.png", "A 17679-2026")</f>
        <v/>
      </c>
      <c r="V84">
        <f>HYPERLINK("https://klasma.github.io/Logging_0380/klagomål/A 17679-2026 FSC-klagomål.docx", "A 17679-2026")</f>
        <v/>
      </c>
      <c r="W84">
        <f>HYPERLINK("https://klasma.github.io/Logging_0380/klagomålsmail/A 17679-2026 FSC-klagomål mail.docx", "A 17679-2026")</f>
        <v/>
      </c>
      <c r="X84">
        <f>HYPERLINK("https://klasma.github.io/Logging_0380/tillsyn/A 17679-2026 tillsynsbegäran.docx", "A 17679-2026")</f>
        <v/>
      </c>
      <c r="Y84">
        <f>HYPERLINK("https://klasma.github.io/Logging_0380/tillsynsmail/A 17679-2026 tillsynsbegäran mail.docx", "A 17679-2026")</f>
        <v/>
      </c>
      <c r="Z84">
        <f>HYPERLINK("https://klasma.github.io/Logging_0380/fåglar/A 17679-2026 prioriterade fågelarter.docx", "A 17679-2026")</f>
        <v/>
      </c>
    </row>
    <row r="85" ht="15" customHeight="1">
      <c r="A85" t="inlineStr">
        <is>
          <t>A 18079-2022</t>
        </is>
      </c>
      <c r="B85" s="1" t="n">
        <v>44684</v>
      </c>
      <c r="C85" s="1" t="n">
        <v>46134</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46134</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46134</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46134</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25943-2023</t>
        </is>
      </c>
      <c r="B89" s="1" t="n">
        <v>45090</v>
      </c>
      <c r="C89" s="1" t="n">
        <v>46134</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51749-2023</t>
        </is>
      </c>
      <c r="B90" s="1" t="n">
        <v>45222</v>
      </c>
      <c r="C90" s="1" t="n">
        <v>46134</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25660-2025</t>
        </is>
      </c>
      <c r="B91" s="1" t="n">
        <v>45803.61554398148</v>
      </c>
      <c r="C91" s="1" t="n">
        <v>46134</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9401-2025</t>
        </is>
      </c>
      <c r="B92" s="1" t="n">
        <v>45715.38105324074</v>
      </c>
      <c r="C92" s="1" t="n">
        <v>46134</v>
      </c>
      <c r="D92" t="inlineStr">
        <is>
          <t>UPPSALA LÄN</t>
        </is>
      </c>
      <c r="E92" t="inlineStr">
        <is>
          <t>UPPSALA</t>
        </is>
      </c>
      <c r="G92" t="n">
        <v>3.1</v>
      </c>
      <c r="H92" t="n">
        <v>2</v>
      </c>
      <c r="I92" t="n">
        <v>0</v>
      </c>
      <c r="J92" t="n">
        <v>0</v>
      </c>
      <c r="K92" t="n">
        <v>0</v>
      </c>
      <c r="L92" t="n">
        <v>0</v>
      </c>
      <c r="M92" t="n">
        <v>0</v>
      </c>
      <c r="N92" t="n">
        <v>0</v>
      </c>
      <c r="O92" t="n">
        <v>0</v>
      </c>
      <c r="P92" t="n">
        <v>0</v>
      </c>
      <c r="Q92" t="n">
        <v>2</v>
      </c>
      <c r="R92" s="2" t="inlineStr">
        <is>
          <t>Vanlig padda
Blåsippa</t>
        </is>
      </c>
      <c r="S92">
        <f>HYPERLINK("https://klasma.github.io/Logging_0380/artfynd/A 9401-2025 artfynd.xlsx", "A 9401-2025")</f>
        <v/>
      </c>
      <c r="T92">
        <f>HYPERLINK("https://klasma.github.io/Logging_0380/kartor/A 9401-2025 karta.png", "A 9401-2025")</f>
        <v/>
      </c>
      <c r="V92">
        <f>HYPERLINK("https://klasma.github.io/Logging_0380/klagomål/A 9401-2025 FSC-klagomål.docx", "A 9401-2025")</f>
        <v/>
      </c>
      <c r="W92">
        <f>HYPERLINK("https://klasma.github.io/Logging_0380/klagomålsmail/A 9401-2025 FSC-klagomål mail.docx", "A 9401-2025")</f>
        <v/>
      </c>
      <c r="X92">
        <f>HYPERLINK("https://klasma.github.io/Logging_0380/tillsyn/A 9401-2025 tillsynsbegäran.docx", "A 9401-2025")</f>
        <v/>
      </c>
      <c r="Y92">
        <f>HYPERLINK("https://klasma.github.io/Logging_0380/tillsynsmail/A 9401-2025 tillsynsbegäran mail.docx", "A 9401-2025")</f>
        <v/>
      </c>
    </row>
    <row r="93" ht="15" customHeight="1">
      <c r="A93" t="inlineStr">
        <is>
          <t>A 41606-2025</t>
        </is>
      </c>
      <c r="B93" s="1" t="n">
        <v>45901.66702546296</v>
      </c>
      <c r="C93" s="1" t="n">
        <v>46134</v>
      </c>
      <c r="D93" t="inlineStr">
        <is>
          <t>UPPSALA LÄN</t>
        </is>
      </c>
      <c r="E93" t="inlineStr">
        <is>
          <t>UPPSALA</t>
        </is>
      </c>
      <c r="G93" t="n">
        <v>5.1</v>
      </c>
      <c r="H93" t="n">
        <v>1</v>
      </c>
      <c r="I93" t="n">
        <v>1</v>
      </c>
      <c r="J93" t="n">
        <v>0</v>
      </c>
      <c r="K93" t="n">
        <v>0</v>
      </c>
      <c r="L93" t="n">
        <v>0</v>
      </c>
      <c r="M93" t="n">
        <v>0</v>
      </c>
      <c r="N93" t="n">
        <v>0</v>
      </c>
      <c r="O93" t="n">
        <v>0</v>
      </c>
      <c r="P93" t="n">
        <v>0</v>
      </c>
      <c r="Q93" t="n">
        <v>2</v>
      </c>
      <c r="R93" s="2" t="inlineStr">
        <is>
          <t>Granbräken
Lopplummer (aggregat)</t>
        </is>
      </c>
      <c r="S93">
        <f>HYPERLINK("https://klasma.github.io/Logging_0380/artfynd/A 41606-2025 artfynd.xlsx", "A 41606-2025")</f>
        <v/>
      </c>
      <c r="T93">
        <f>HYPERLINK("https://klasma.github.io/Logging_0380/kartor/A 41606-2025 karta.png", "A 41606-2025")</f>
        <v/>
      </c>
      <c r="V93">
        <f>HYPERLINK("https://klasma.github.io/Logging_0380/klagomål/A 41606-2025 FSC-klagomål.docx", "A 41606-2025")</f>
        <v/>
      </c>
      <c r="W93">
        <f>HYPERLINK("https://klasma.github.io/Logging_0380/klagomålsmail/A 41606-2025 FSC-klagomål mail.docx", "A 41606-2025")</f>
        <v/>
      </c>
      <c r="X93">
        <f>HYPERLINK("https://klasma.github.io/Logging_0380/tillsyn/A 41606-2025 tillsynsbegäran.docx", "A 41606-2025")</f>
        <v/>
      </c>
      <c r="Y93">
        <f>HYPERLINK("https://klasma.github.io/Logging_0380/tillsynsmail/A 41606-2025 tillsynsbegäran mail.docx", "A 41606-2025")</f>
        <v/>
      </c>
    </row>
    <row r="94" ht="15" customHeight="1">
      <c r="A94" t="inlineStr">
        <is>
          <t>A 41921-2025</t>
        </is>
      </c>
      <c r="B94" s="1" t="n">
        <v>45903</v>
      </c>
      <c r="C94" s="1" t="n">
        <v>46134</v>
      </c>
      <c r="D94" t="inlineStr">
        <is>
          <t>UPPSALA LÄN</t>
        </is>
      </c>
      <c r="E94" t="inlineStr">
        <is>
          <t>UPPSALA</t>
        </is>
      </c>
      <c r="G94" t="n">
        <v>7.1</v>
      </c>
      <c r="H94" t="n">
        <v>2</v>
      </c>
      <c r="I94" t="n">
        <v>0</v>
      </c>
      <c r="J94" t="n">
        <v>0</v>
      </c>
      <c r="K94" t="n">
        <v>0</v>
      </c>
      <c r="L94" t="n">
        <v>0</v>
      </c>
      <c r="M94" t="n">
        <v>0</v>
      </c>
      <c r="N94" t="n">
        <v>0</v>
      </c>
      <c r="O94" t="n">
        <v>0</v>
      </c>
      <c r="P94" t="n">
        <v>0</v>
      </c>
      <c r="Q94" t="n">
        <v>2</v>
      </c>
      <c r="R94" s="2" t="inlineStr">
        <is>
          <t>Blåsippa
Revlummer</t>
        </is>
      </c>
      <c r="S94">
        <f>HYPERLINK("https://klasma.github.io/Logging_0380/artfynd/A 41921-2025 artfynd.xlsx", "A 41921-2025")</f>
        <v/>
      </c>
      <c r="T94">
        <f>HYPERLINK("https://klasma.github.io/Logging_0380/kartor/A 41921-2025 karta.png", "A 41921-2025")</f>
        <v/>
      </c>
      <c r="V94">
        <f>HYPERLINK("https://klasma.github.io/Logging_0380/klagomål/A 41921-2025 FSC-klagomål.docx", "A 41921-2025")</f>
        <v/>
      </c>
      <c r="W94">
        <f>HYPERLINK("https://klasma.github.io/Logging_0380/klagomålsmail/A 41921-2025 FSC-klagomål mail.docx", "A 41921-2025")</f>
        <v/>
      </c>
      <c r="X94">
        <f>HYPERLINK("https://klasma.github.io/Logging_0380/tillsyn/A 41921-2025 tillsynsbegäran.docx", "A 41921-2025")</f>
        <v/>
      </c>
      <c r="Y94">
        <f>HYPERLINK("https://klasma.github.io/Logging_0380/tillsynsmail/A 41921-2025 tillsynsbegäran mail.docx", "A 41921-2025")</f>
        <v/>
      </c>
    </row>
    <row r="95" ht="15" customHeight="1">
      <c r="A95" t="inlineStr">
        <is>
          <t>A 58906-2021</t>
        </is>
      </c>
      <c r="B95" s="1" t="n">
        <v>44489</v>
      </c>
      <c r="C95" s="1" t="n">
        <v>46134</v>
      </c>
      <c r="D95" t="inlineStr">
        <is>
          <t>UPPSALA LÄN</t>
        </is>
      </c>
      <c r="E95" t="inlineStr">
        <is>
          <t>UPPSALA</t>
        </is>
      </c>
      <c r="G95" t="n">
        <v>8.6</v>
      </c>
      <c r="H95" t="n">
        <v>1</v>
      </c>
      <c r="I95" t="n">
        <v>0</v>
      </c>
      <c r="J95" t="n">
        <v>1</v>
      </c>
      <c r="K95" t="n">
        <v>0</v>
      </c>
      <c r="L95" t="n">
        <v>0</v>
      </c>
      <c r="M95" t="n">
        <v>0</v>
      </c>
      <c r="N95" t="n">
        <v>0</v>
      </c>
      <c r="O95" t="n">
        <v>1</v>
      </c>
      <c r="P95" t="n">
        <v>0</v>
      </c>
      <c r="Q95" t="n">
        <v>2</v>
      </c>
      <c r="R95" s="2" t="inlineStr">
        <is>
          <t>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33708-2025</t>
        </is>
      </c>
      <c r="B96" s="1" t="n">
        <v>45841.81555555556</v>
      </c>
      <c r="C96" s="1" t="n">
        <v>46134</v>
      </c>
      <c r="D96" t="inlineStr">
        <is>
          <t>UPPSALA LÄN</t>
        </is>
      </c>
      <c r="E96" t="inlineStr">
        <is>
          <t>UPPSALA</t>
        </is>
      </c>
      <c r="F96" t="inlineStr">
        <is>
          <t>Holmen skog AB</t>
        </is>
      </c>
      <c r="G96" t="n">
        <v>2</v>
      </c>
      <c r="H96" t="n">
        <v>0</v>
      </c>
      <c r="I96" t="n">
        <v>1</v>
      </c>
      <c r="J96" t="n">
        <v>0</v>
      </c>
      <c r="K96" t="n">
        <v>0</v>
      </c>
      <c r="L96" t="n">
        <v>0</v>
      </c>
      <c r="M96" t="n">
        <v>1</v>
      </c>
      <c r="N96" t="n">
        <v>0</v>
      </c>
      <c r="O96" t="n">
        <v>1</v>
      </c>
      <c r="P96" t="n">
        <v>1</v>
      </c>
      <c r="Q96" t="n">
        <v>2</v>
      </c>
      <c r="R96" s="2" t="inlineStr">
        <is>
          <t>Skogsalm
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18425-2025</t>
        </is>
      </c>
      <c r="B97" s="1" t="n">
        <v>45762.62260416667</v>
      </c>
      <c r="C97" s="1" t="n">
        <v>46134</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44675-2023</t>
        </is>
      </c>
      <c r="B98" s="1" t="n">
        <v>45189</v>
      </c>
      <c r="C98" s="1" t="n">
        <v>46134</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53589-2025</t>
        </is>
      </c>
      <c r="B99" s="1" t="n">
        <v>45960.43780092592</v>
      </c>
      <c r="C99" s="1" t="n">
        <v>46134</v>
      </c>
      <c r="D99" t="inlineStr">
        <is>
          <t>UPPSALA LÄN</t>
        </is>
      </c>
      <c r="E99" t="inlineStr">
        <is>
          <t>UPPSALA</t>
        </is>
      </c>
      <c r="G99" t="n">
        <v>9.699999999999999</v>
      </c>
      <c r="H99" t="n">
        <v>1</v>
      </c>
      <c r="I99" t="n">
        <v>0</v>
      </c>
      <c r="J99" t="n">
        <v>2</v>
      </c>
      <c r="K99" t="n">
        <v>0</v>
      </c>
      <c r="L99" t="n">
        <v>0</v>
      </c>
      <c r="M99" t="n">
        <v>0</v>
      </c>
      <c r="N99" t="n">
        <v>0</v>
      </c>
      <c r="O99" t="n">
        <v>2</v>
      </c>
      <c r="P99" t="n">
        <v>0</v>
      </c>
      <c r="Q99" t="n">
        <v>2</v>
      </c>
      <c r="R99" s="2" t="inlineStr">
        <is>
          <t>Spillkråka
Vedtrappmossa</t>
        </is>
      </c>
      <c r="S99">
        <f>HYPERLINK("https://klasma.github.io/Logging_0380/artfynd/A 53589-2025 artfynd.xlsx", "A 53589-2025")</f>
        <v/>
      </c>
      <c r="T99">
        <f>HYPERLINK("https://klasma.github.io/Logging_0380/kartor/A 53589-2025 karta.png", "A 53589-2025")</f>
        <v/>
      </c>
      <c r="V99">
        <f>HYPERLINK("https://klasma.github.io/Logging_0380/klagomål/A 53589-2025 FSC-klagomål.docx", "A 53589-2025")</f>
        <v/>
      </c>
      <c r="W99">
        <f>HYPERLINK("https://klasma.github.io/Logging_0380/klagomålsmail/A 53589-2025 FSC-klagomål mail.docx", "A 53589-2025")</f>
        <v/>
      </c>
      <c r="X99">
        <f>HYPERLINK("https://klasma.github.io/Logging_0380/tillsyn/A 53589-2025 tillsynsbegäran.docx", "A 53589-2025")</f>
        <v/>
      </c>
      <c r="Y99">
        <f>HYPERLINK("https://klasma.github.io/Logging_0380/tillsynsmail/A 53589-2025 tillsynsbegäran mail.docx", "A 53589-2025")</f>
        <v/>
      </c>
      <c r="Z99">
        <f>HYPERLINK("https://klasma.github.io/Logging_0380/fåglar/A 53589-2025 prioriterade fågelarter.docx", "A 53589-2025")</f>
        <v/>
      </c>
    </row>
    <row r="100" ht="15" customHeight="1">
      <c r="A100" t="inlineStr">
        <is>
          <t>A 39933-2023</t>
        </is>
      </c>
      <c r="B100" s="1" t="n">
        <v>45168.50667824074</v>
      </c>
      <c r="C100" s="1" t="n">
        <v>46134</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52503-2025</t>
        </is>
      </c>
      <c r="B101" s="1" t="n">
        <v>45954.49768518518</v>
      </c>
      <c r="C101" s="1" t="n">
        <v>46134</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57715-2025</t>
        </is>
      </c>
      <c r="B102" s="1" t="n">
        <v>45981</v>
      </c>
      <c r="C102" s="1" t="n">
        <v>46134</v>
      </c>
      <c r="D102" t="inlineStr">
        <is>
          <t>UPPSALA LÄN</t>
        </is>
      </c>
      <c r="E102" t="inlineStr">
        <is>
          <t>UPPSALA</t>
        </is>
      </c>
      <c r="F102" t="inlineStr">
        <is>
          <t>Kommuner</t>
        </is>
      </c>
      <c r="G102" t="n">
        <v>2</v>
      </c>
      <c r="H102" t="n">
        <v>0</v>
      </c>
      <c r="I102" t="n">
        <v>1</v>
      </c>
      <c r="J102" t="n">
        <v>1</v>
      </c>
      <c r="K102" t="n">
        <v>0</v>
      </c>
      <c r="L102" t="n">
        <v>0</v>
      </c>
      <c r="M102" t="n">
        <v>0</v>
      </c>
      <c r="N102" t="n">
        <v>0</v>
      </c>
      <c r="O102" t="n">
        <v>1</v>
      </c>
      <c r="P102" t="n">
        <v>0</v>
      </c>
      <c r="Q102" t="n">
        <v>2</v>
      </c>
      <c r="R102" s="2" t="inlineStr">
        <is>
          <t>Ullticka
Bronshjon</t>
        </is>
      </c>
      <c r="S102">
        <f>HYPERLINK("https://klasma.github.io/Logging_0380/artfynd/A 57715-2025 artfynd.xlsx", "A 57715-2025")</f>
        <v/>
      </c>
      <c r="T102">
        <f>HYPERLINK("https://klasma.github.io/Logging_0380/kartor/A 57715-2025 karta.png", "A 57715-2025")</f>
        <v/>
      </c>
      <c r="V102">
        <f>HYPERLINK("https://klasma.github.io/Logging_0380/klagomål/A 57715-2025 FSC-klagomål.docx", "A 57715-2025")</f>
        <v/>
      </c>
      <c r="W102">
        <f>HYPERLINK("https://klasma.github.io/Logging_0380/klagomålsmail/A 57715-2025 FSC-klagomål mail.docx", "A 57715-2025")</f>
        <v/>
      </c>
      <c r="X102">
        <f>HYPERLINK("https://klasma.github.io/Logging_0380/tillsyn/A 57715-2025 tillsynsbegäran.docx", "A 57715-2025")</f>
        <v/>
      </c>
      <c r="Y102">
        <f>HYPERLINK("https://klasma.github.io/Logging_0380/tillsynsmail/A 57715-2025 tillsynsbegäran mail.docx", "A 57715-2025")</f>
        <v/>
      </c>
    </row>
    <row r="103" ht="15" customHeight="1">
      <c r="A103" t="inlineStr">
        <is>
          <t>A 63026-2025</t>
        </is>
      </c>
      <c r="B103" s="1" t="n">
        <v>46009.59555555556</v>
      </c>
      <c r="C103" s="1" t="n">
        <v>46134</v>
      </c>
      <c r="D103" t="inlineStr">
        <is>
          <t>UPPSALA LÄN</t>
        </is>
      </c>
      <c r="E103" t="inlineStr">
        <is>
          <t>UPPSALA</t>
        </is>
      </c>
      <c r="G103" t="n">
        <v>1.1</v>
      </c>
      <c r="H103" t="n">
        <v>1</v>
      </c>
      <c r="I103" t="n">
        <v>1</v>
      </c>
      <c r="J103" t="n">
        <v>1</v>
      </c>
      <c r="K103" t="n">
        <v>0</v>
      </c>
      <c r="L103" t="n">
        <v>0</v>
      </c>
      <c r="M103" t="n">
        <v>0</v>
      </c>
      <c r="N103" t="n">
        <v>0</v>
      </c>
      <c r="O103" t="n">
        <v>1</v>
      </c>
      <c r="P103" t="n">
        <v>0</v>
      </c>
      <c r="Q103" t="n">
        <v>2</v>
      </c>
      <c r="R103" s="2" t="inlineStr">
        <is>
          <t>Spillkråka
Jättesvampmal</t>
        </is>
      </c>
      <c r="S103">
        <f>HYPERLINK("https://klasma.github.io/Logging_0380/artfynd/A 63026-2025 artfynd.xlsx", "A 63026-2025")</f>
        <v/>
      </c>
      <c r="T103">
        <f>HYPERLINK("https://klasma.github.io/Logging_0380/kartor/A 63026-2025 karta.png", "A 63026-2025")</f>
        <v/>
      </c>
      <c r="V103">
        <f>HYPERLINK("https://klasma.github.io/Logging_0380/klagomål/A 63026-2025 FSC-klagomål.docx", "A 63026-2025")</f>
        <v/>
      </c>
      <c r="W103">
        <f>HYPERLINK("https://klasma.github.io/Logging_0380/klagomålsmail/A 63026-2025 FSC-klagomål mail.docx", "A 63026-2025")</f>
        <v/>
      </c>
      <c r="X103">
        <f>HYPERLINK("https://klasma.github.io/Logging_0380/tillsyn/A 63026-2025 tillsynsbegäran.docx", "A 63026-2025")</f>
        <v/>
      </c>
      <c r="Y103">
        <f>HYPERLINK("https://klasma.github.io/Logging_0380/tillsynsmail/A 63026-2025 tillsynsbegäran mail.docx", "A 63026-2025")</f>
        <v/>
      </c>
      <c r="Z103">
        <f>HYPERLINK("https://klasma.github.io/Logging_0380/fåglar/A 63026-2025 prioriterade fågelarter.docx", "A 63026-2025")</f>
        <v/>
      </c>
    </row>
    <row r="104" ht="15" customHeight="1">
      <c r="A104" t="inlineStr">
        <is>
          <t>A 58546-2025</t>
        </is>
      </c>
      <c r="B104" s="1" t="n">
        <v>45985</v>
      </c>
      <c r="C104" s="1" t="n">
        <v>46134</v>
      </c>
      <c r="D104" t="inlineStr">
        <is>
          <t>UPPSALA LÄN</t>
        </is>
      </c>
      <c r="E104" t="inlineStr">
        <is>
          <t>UPPSALA</t>
        </is>
      </c>
      <c r="G104" t="n">
        <v>0.6</v>
      </c>
      <c r="H104" t="n">
        <v>1</v>
      </c>
      <c r="I104" t="n">
        <v>0</v>
      </c>
      <c r="J104" t="n">
        <v>1</v>
      </c>
      <c r="K104" t="n">
        <v>0</v>
      </c>
      <c r="L104" t="n">
        <v>0</v>
      </c>
      <c r="M104" t="n">
        <v>0</v>
      </c>
      <c r="N104" t="n">
        <v>0</v>
      </c>
      <c r="O104" t="n">
        <v>1</v>
      </c>
      <c r="P104" t="n">
        <v>0</v>
      </c>
      <c r="Q104" t="n">
        <v>2</v>
      </c>
      <c r="R104" s="2" t="inlineStr">
        <is>
          <t>Vedtrappmossa
Revlummer</t>
        </is>
      </c>
      <c r="S104">
        <f>HYPERLINK("https://klasma.github.io/Logging_0380/artfynd/A 58546-2025 artfynd.xlsx", "A 58546-2025")</f>
        <v/>
      </c>
      <c r="T104">
        <f>HYPERLINK("https://klasma.github.io/Logging_0380/kartor/A 58546-2025 karta.png", "A 58546-2025")</f>
        <v/>
      </c>
      <c r="U104">
        <f>HYPERLINK("https://klasma.github.io/Logging_0380/knärot/A 58546-2025 karta knärot.png", "A 58546-2025")</f>
        <v/>
      </c>
      <c r="V104">
        <f>HYPERLINK("https://klasma.github.io/Logging_0380/klagomål/A 58546-2025 FSC-klagomål.docx", "A 58546-2025")</f>
        <v/>
      </c>
      <c r="W104">
        <f>HYPERLINK("https://klasma.github.io/Logging_0380/klagomålsmail/A 58546-2025 FSC-klagomål mail.docx", "A 58546-2025")</f>
        <v/>
      </c>
      <c r="X104">
        <f>HYPERLINK("https://klasma.github.io/Logging_0380/tillsyn/A 58546-2025 tillsynsbegäran.docx", "A 58546-2025")</f>
        <v/>
      </c>
      <c r="Y104">
        <f>HYPERLINK("https://klasma.github.io/Logging_0380/tillsynsmail/A 58546-2025 tillsynsbegäran mail.docx", "A 58546-2025")</f>
        <v/>
      </c>
    </row>
    <row r="105" ht="15" customHeight="1">
      <c r="A105" t="inlineStr">
        <is>
          <t>A 88-2024</t>
        </is>
      </c>
      <c r="B105" s="1" t="n">
        <v>45293</v>
      </c>
      <c r="C105" s="1" t="n">
        <v>46134</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46134</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46134</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46134</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46134</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46134</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42622-2022</t>
        </is>
      </c>
      <c r="B111" s="1" t="n">
        <v>44831</v>
      </c>
      <c r="C111" s="1" t="n">
        <v>46134</v>
      </c>
      <c r="D111" t="inlineStr">
        <is>
          <t>UPPSALA LÄN</t>
        </is>
      </c>
      <c r="E111" t="inlineStr">
        <is>
          <t>UPPSALA</t>
        </is>
      </c>
      <c r="G111" t="n">
        <v>2.4</v>
      </c>
      <c r="H111" t="n">
        <v>0</v>
      </c>
      <c r="I111" t="n">
        <v>0</v>
      </c>
      <c r="J111" t="n">
        <v>1</v>
      </c>
      <c r="K111" t="n">
        <v>0</v>
      </c>
      <c r="L111" t="n">
        <v>0</v>
      </c>
      <c r="M111" t="n">
        <v>0</v>
      </c>
      <c r="N111" t="n">
        <v>0</v>
      </c>
      <c r="O111" t="n">
        <v>1</v>
      </c>
      <c r="P111" t="n">
        <v>0</v>
      </c>
      <c r="Q111" t="n">
        <v>1</v>
      </c>
      <c r="R111" s="2" t="inlineStr">
        <is>
          <t>Motaggsvamp</t>
        </is>
      </c>
      <c r="S111">
        <f>HYPERLINK("https://klasma.github.io/Logging_0380/artfynd/A 42622-2022 artfynd.xlsx", "A 42622-2022")</f>
        <v/>
      </c>
      <c r="T111">
        <f>HYPERLINK("https://klasma.github.io/Logging_0380/kartor/A 42622-2022 karta.png", "A 42622-2022")</f>
        <v/>
      </c>
      <c r="V111">
        <f>HYPERLINK("https://klasma.github.io/Logging_0380/klagomål/A 42622-2022 FSC-klagomål.docx", "A 42622-2022")</f>
        <v/>
      </c>
      <c r="W111">
        <f>HYPERLINK("https://klasma.github.io/Logging_0380/klagomålsmail/A 42622-2022 FSC-klagomål mail.docx", "A 42622-2022")</f>
        <v/>
      </c>
      <c r="X111">
        <f>HYPERLINK("https://klasma.github.io/Logging_0380/tillsyn/A 42622-2022 tillsynsbegäran.docx", "A 42622-2022")</f>
        <v/>
      </c>
      <c r="Y111">
        <f>HYPERLINK("https://klasma.github.io/Logging_0380/tillsynsmail/A 42622-2022 tillsynsbegäran mail.docx", "A 42622-2022")</f>
        <v/>
      </c>
    </row>
    <row r="112" ht="15" customHeight="1">
      <c r="A112" t="inlineStr">
        <is>
          <t>A 5750-2023</t>
        </is>
      </c>
      <c r="B112" s="1" t="n">
        <v>44963</v>
      </c>
      <c r="C112" s="1" t="n">
        <v>46134</v>
      </c>
      <c r="D112" t="inlineStr">
        <is>
          <t>UPPSALA LÄN</t>
        </is>
      </c>
      <c r="E112" t="inlineStr">
        <is>
          <t>UPPSALA</t>
        </is>
      </c>
      <c r="G112" t="n">
        <v>13.8</v>
      </c>
      <c r="H112" t="n">
        <v>0</v>
      </c>
      <c r="I112" t="n">
        <v>0</v>
      </c>
      <c r="J112" t="n">
        <v>0</v>
      </c>
      <c r="K112" t="n">
        <v>1</v>
      </c>
      <c r="L112" t="n">
        <v>0</v>
      </c>
      <c r="M112" t="n">
        <v>0</v>
      </c>
      <c r="N112" t="n">
        <v>0</v>
      </c>
      <c r="O112" t="n">
        <v>1</v>
      </c>
      <c r="P112" t="n">
        <v>1</v>
      </c>
      <c r="Q112" t="n">
        <v>1</v>
      </c>
      <c r="R112" s="2" t="inlineStr">
        <is>
          <t>Raggbock</t>
        </is>
      </c>
      <c r="S112">
        <f>HYPERLINK("https://klasma.github.io/Logging_0380/artfynd/A 5750-2023 artfynd.xlsx", "A 5750-2023")</f>
        <v/>
      </c>
      <c r="T112">
        <f>HYPERLINK("https://klasma.github.io/Logging_0380/kartor/A 5750-2023 karta.png", "A 5750-2023")</f>
        <v/>
      </c>
      <c r="V112">
        <f>HYPERLINK("https://klasma.github.io/Logging_0380/klagomål/A 5750-2023 FSC-klagomål.docx", "A 5750-2023")</f>
        <v/>
      </c>
      <c r="W112">
        <f>HYPERLINK("https://klasma.github.io/Logging_0380/klagomålsmail/A 5750-2023 FSC-klagomål mail.docx", "A 5750-2023")</f>
        <v/>
      </c>
      <c r="X112">
        <f>HYPERLINK("https://klasma.github.io/Logging_0380/tillsyn/A 5750-2023 tillsynsbegäran.docx", "A 5750-2023")</f>
        <v/>
      </c>
      <c r="Y112">
        <f>HYPERLINK("https://klasma.github.io/Logging_0380/tillsynsmail/A 5750-2023 tillsynsbegäran mail.docx", "A 5750-2023")</f>
        <v/>
      </c>
    </row>
    <row r="113" ht="15" customHeight="1">
      <c r="A113" t="inlineStr">
        <is>
          <t>A 25729-2024</t>
        </is>
      </c>
      <c r="B113" s="1" t="n">
        <v>45464</v>
      </c>
      <c r="C113" s="1" t="n">
        <v>46134</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60055-2022</t>
        </is>
      </c>
      <c r="B114" s="1" t="n">
        <v>44909</v>
      </c>
      <c r="C114" s="1" t="n">
        <v>46134</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58050-2021</t>
        </is>
      </c>
      <c r="B115" s="1" t="n">
        <v>44487</v>
      </c>
      <c r="C115" s="1" t="n">
        <v>46134</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63172-2023</t>
        </is>
      </c>
      <c r="B116" s="1" t="n">
        <v>45273</v>
      </c>
      <c r="C116" s="1" t="n">
        <v>46134</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27848-2023</t>
        </is>
      </c>
      <c r="B117" s="1" t="n">
        <v>45098</v>
      </c>
      <c r="C117" s="1" t="n">
        <v>46134</v>
      </c>
      <c r="D117" t="inlineStr">
        <is>
          <t>UPPSALA LÄN</t>
        </is>
      </c>
      <c r="E117" t="inlineStr">
        <is>
          <t>UPPSALA</t>
        </is>
      </c>
      <c r="G117" t="n">
        <v>14.3</v>
      </c>
      <c r="H117" t="n">
        <v>0</v>
      </c>
      <c r="I117" t="n">
        <v>1</v>
      </c>
      <c r="J117" t="n">
        <v>0</v>
      </c>
      <c r="K117" t="n">
        <v>0</v>
      </c>
      <c r="L117" t="n">
        <v>0</v>
      </c>
      <c r="M117" t="n">
        <v>0</v>
      </c>
      <c r="N117" t="n">
        <v>0</v>
      </c>
      <c r="O117" t="n">
        <v>0</v>
      </c>
      <c r="P117" t="n">
        <v>0</v>
      </c>
      <c r="Q117" t="n">
        <v>1</v>
      </c>
      <c r="R117" s="2" t="inlineStr">
        <is>
          <t>Blåmossa</t>
        </is>
      </c>
      <c r="S117">
        <f>HYPERLINK("https://klasma.github.io/Logging_0380/artfynd/A 27848-2023 artfynd.xlsx", "A 27848-2023")</f>
        <v/>
      </c>
      <c r="T117">
        <f>HYPERLINK("https://klasma.github.io/Logging_0380/kartor/A 27848-2023 karta.png", "A 27848-2023")</f>
        <v/>
      </c>
      <c r="V117">
        <f>HYPERLINK("https://klasma.github.io/Logging_0380/klagomål/A 27848-2023 FSC-klagomål.docx", "A 27848-2023")</f>
        <v/>
      </c>
      <c r="W117">
        <f>HYPERLINK("https://klasma.github.io/Logging_0380/klagomålsmail/A 27848-2023 FSC-klagomål mail.docx", "A 27848-2023")</f>
        <v/>
      </c>
      <c r="X117">
        <f>HYPERLINK("https://klasma.github.io/Logging_0380/tillsyn/A 27848-2023 tillsynsbegäran.docx", "A 27848-2023")</f>
        <v/>
      </c>
      <c r="Y117">
        <f>HYPERLINK("https://klasma.github.io/Logging_0380/tillsynsmail/A 27848-2023 tillsynsbegäran mail.docx", "A 27848-2023")</f>
        <v/>
      </c>
    </row>
    <row r="118" ht="15" customHeight="1">
      <c r="A118" t="inlineStr">
        <is>
          <t>A 40568-2025</t>
        </is>
      </c>
      <c r="B118" s="1" t="n">
        <v>45896.47487268518</v>
      </c>
      <c r="C118" s="1" t="n">
        <v>46134</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26923-2025</t>
        </is>
      </c>
      <c r="B119" s="1" t="n">
        <v>45811.38710648148</v>
      </c>
      <c r="C119" s="1" t="n">
        <v>46134</v>
      </c>
      <c r="D119" t="inlineStr">
        <is>
          <t>UPPSALA LÄN</t>
        </is>
      </c>
      <c r="E119" t="inlineStr">
        <is>
          <t>UPPSALA</t>
        </is>
      </c>
      <c r="F119" t="inlineStr">
        <is>
          <t>Kyrkan</t>
        </is>
      </c>
      <c r="G119" t="n">
        <v>9.800000000000001</v>
      </c>
      <c r="H119" t="n">
        <v>1</v>
      </c>
      <c r="I119" t="n">
        <v>0</v>
      </c>
      <c r="J119" t="n">
        <v>0</v>
      </c>
      <c r="K119" t="n">
        <v>0</v>
      </c>
      <c r="L119" t="n">
        <v>0</v>
      </c>
      <c r="M119" t="n">
        <v>0</v>
      </c>
      <c r="N119" t="n">
        <v>0</v>
      </c>
      <c r="O119" t="n">
        <v>0</v>
      </c>
      <c r="P119" t="n">
        <v>0</v>
      </c>
      <c r="Q119" t="n">
        <v>1</v>
      </c>
      <c r="R119" s="2" t="inlineStr">
        <is>
          <t>Fläcknycklar</t>
        </is>
      </c>
      <c r="S119">
        <f>HYPERLINK("https://klasma.github.io/Logging_0380/artfynd/A 26923-2025 artfynd.xlsx", "A 26923-2025")</f>
        <v/>
      </c>
      <c r="T119">
        <f>HYPERLINK("https://klasma.github.io/Logging_0380/kartor/A 26923-2025 karta.png", "A 26923-2025")</f>
        <v/>
      </c>
      <c r="V119">
        <f>HYPERLINK("https://klasma.github.io/Logging_0380/klagomål/A 26923-2025 FSC-klagomål.docx", "A 26923-2025")</f>
        <v/>
      </c>
      <c r="W119">
        <f>HYPERLINK("https://klasma.github.io/Logging_0380/klagomålsmail/A 26923-2025 FSC-klagomål mail.docx", "A 26923-2025")</f>
        <v/>
      </c>
      <c r="X119">
        <f>HYPERLINK("https://klasma.github.io/Logging_0380/tillsyn/A 26923-2025 tillsynsbegäran.docx", "A 26923-2025")</f>
        <v/>
      </c>
      <c r="Y119">
        <f>HYPERLINK("https://klasma.github.io/Logging_0380/tillsynsmail/A 26923-2025 tillsynsbegäran mail.docx", "A 26923-2025")</f>
        <v/>
      </c>
    </row>
    <row r="120" ht="15" customHeight="1">
      <c r="A120" t="inlineStr">
        <is>
          <t>A 3304-2025</t>
        </is>
      </c>
      <c r="B120" s="1" t="n">
        <v>45679</v>
      </c>
      <c r="C120" s="1" t="n">
        <v>46134</v>
      </c>
      <c r="D120" t="inlineStr">
        <is>
          <t>UPPSALA LÄN</t>
        </is>
      </c>
      <c r="E120" t="inlineStr">
        <is>
          <t>UPPSALA</t>
        </is>
      </c>
      <c r="F120" t="inlineStr">
        <is>
          <t>Övriga statliga verk och myndigheter</t>
        </is>
      </c>
      <c r="G120" t="n">
        <v>3.8</v>
      </c>
      <c r="H120" t="n">
        <v>1</v>
      </c>
      <c r="I120" t="n">
        <v>0</v>
      </c>
      <c r="J120" t="n">
        <v>0</v>
      </c>
      <c r="K120" t="n">
        <v>0</v>
      </c>
      <c r="L120" t="n">
        <v>0</v>
      </c>
      <c r="M120" t="n">
        <v>0</v>
      </c>
      <c r="N120" t="n">
        <v>0</v>
      </c>
      <c r="O120" t="n">
        <v>0</v>
      </c>
      <c r="P120" t="n">
        <v>0</v>
      </c>
      <c r="Q120" t="n">
        <v>1</v>
      </c>
      <c r="R120" s="2" t="inlineStr">
        <is>
          <t>Blåsippa</t>
        </is>
      </c>
      <c r="S120">
        <f>HYPERLINK("https://klasma.github.io/Logging_0380/artfynd/A 3304-2025 artfynd.xlsx", "A 3304-2025")</f>
        <v/>
      </c>
      <c r="T120">
        <f>HYPERLINK("https://klasma.github.io/Logging_0380/kartor/A 3304-2025 karta.png", "A 3304-2025")</f>
        <v/>
      </c>
      <c r="V120">
        <f>HYPERLINK("https://klasma.github.io/Logging_0380/klagomål/A 3304-2025 FSC-klagomål.docx", "A 3304-2025")</f>
        <v/>
      </c>
      <c r="W120">
        <f>HYPERLINK("https://klasma.github.io/Logging_0380/klagomålsmail/A 3304-2025 FSC-klagomål mail.docx", "A 3304-2025")</f>
        <v/>
      </c>
      <c r="X120">
        <f>HYPERLINK("https://klasma.github.io/Logging_0380/tillsyn/A 3304-2025 tillsynsbegäran.docx", "A 3304-2025")</f>
        <v/>
      </c>
      <c r="Y120">
        <f>HYPERLINK("https://klasma.github.io/Logging_0380/tillsynsmail/A 3304-2025 tillsynsbegäran mail.docx", "A 3304-2025")</f>
        <v/>
      </c>
    </row>
    <row r="121" ht="15" customHeight="1">
      <c r="A121" t="inlineStr">
        <is>
          <t>A 28299-2025</t>
        </is>
      </c>
      <c r="B121" s="1" t="n">
        <v>45818.60254629629</v>
      </c>
      <c r="C121" s="1" t="n">
        <v>46134</v>
      </c>
      <c r="D121" t="inlineStr">
        <is>
          <t>UPPSALA LÄN</t>
        </is>
      </c>
      <c r="E121" t="inlineStr">
        <is>
          <t>UPPSALA</t>
        </is>
      </c>
      <c r="F121" t="inlineStr">
        <is>
          <t>Holmen skog AB</t>
        </is>
      </c>
      <c r="G121" t="n">
        <v>12</v>
      </c>
      <c r="H121" t="n">
        <v>0</v>
      </c>
      <c r="I121" t="n">
        <v>0</v>
      </c>
      <c r="J121" t="n">
        <v>1</v>
      </c>
      <c r="K121" t="n">
        <v>0</v>
      </c>
      <c r="L121" t="n">
        <v>0</v>
      </c>
      <c r="M121" t="n">
        <v>0</v>
      </c>
      <c r="N121" t="n">
        <v>0</v>
      </c>
      <c r="O121" t="n">
        <v>1</v>
      </c>
      <c r="P121" t="n">
        <v>0</v>
      </c>
      <c r="Q121" t="n">
        <v>1</v>
      </c>
      <c r="R121" s="2" t="inlineStr">
        <is>
          <t>Slåtterfibbla</t>
        </is>
      </c>
      <c r="S121">
        <f>HYPERLINK("https://klasma.github.io/Logging_0380/artfynd/A 28299-2025 artfynd.xlsx", "A 28299-2025")</f>
        <v/>
      </c>
      <c r="T121">
        <f>HYPERLINK("https://klasma.github.io/Logging_0380/kartor/A 28299-2025 karta.png", "A 28299-2025")</f>
        <v/>
      </c>
      <c r="V121">
        <f>HYPERLINK("https://klasma.github.io/Logging_0380/klagomål/A 28299-2025 FSC-klagomål.docx", "A 28299-2025")</f>
        <v/>
      </c>
      <c r="W121">
        <f>HYPERLINK("https://klasma.github.io/Logging_0380/klagomålsmail/A 28299-2025 FSC-klagomål mail.docx", "A 28299-2025")</f>
        <v/>
      </c>
      <c r="X121">
        <f>HYPERLINK("https://klasma.github.io/Logging_0380/tillsyn/A 28299-2025 tillsynsbegäran.docx", "A 28299-2025")</f>
        <v/>
      </c>
      <c r="Y121">
        <f>HYPERLINK("https://klasma.github.io/Logging_0380/tillsynsmail/A 28299-2025 tillsynsbegäran mail.docx", "A 28299-2025")</f>
        <v/>
      </c>
    </row>
    <row r="122" ht="15" customHeight="1">
      <c r="A122" t="inlineStr">
        <is>
          <t>A 16761-2022</t>
        </is>
      </c>
      <c r="B122" s="1" t="n">
        <v>44673.47858796296</v>
      </c>
      <c r="C122" s="1" t="n">
        <v>46134</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27824-2025</t>
        </is>
      </c>
      <c r="B123" s="1" t="n">
        <v>45817.34614583333</v>
      </c>
      <c r="C123" s="1" t="n">
        <v>46134</v>
      </c>
      <c r="D123" t="inlineStr">
        <is>
          <t>UPPSALA LÄN</t>
        </is>
      </c>
      <c r="E123" t="inlineStr">
        <is>
          <t>UPPSALA</t>
        </is>
      </c>
      <c r="F123" t="inlineStr">
        <is>
          <t>Kyrkan</t>
        </is>
      </c>
      <c r="G123" t="n">
        <v>3.3</v>
      </c>
      <c r="H123" t="n">
        <v>0</v>
      </c>
      <c r="I123" t="n">
        <v>1</v>
      </c>
      <c r="J123" t="n">
        <v>0</v>
      </c>
      <c r="K123" t="n">
        <v>0</v>
      </c>
      <c r="L123" t="n">
        <v>0</v>
      </c>
      <c r="M123" t="n">
        <v>0</v>
      </c>
      <c r="N123" t="n">
        <v>0</v>
      </c>
      <c r="O123" t="n">
        <v>0</v>
      </c>
      <c r="P123" t="n">
        <v>0</v>
      </c>
      <c r="Q123" t="n">
        <v>1</v>
      </c>
      <c r="R123" s="2" t="inlineStr">
        <is>
          <t>Sårläka</t>
        </is>
      </c>
      <c r="S123">
        <f>HYPERLINK("https://klasma.github.io/Logging_0380/artfynd/A 27824-2025 artfynd.xlsx", "A 27824-2025")</f>
        <v/>
      </c>
      <c r="T123">
        <f>HYPERLINK("https://klasma.github.io/Logging_0380/kartor/A 27824-2025 karta.png", "A 27824-2025")</f>
        <v/>
      </c>
      <c r="V123">
        <f>HYPERLINK("https://klasma.github.io/Logging_0380/klagomål/A 27824-2025 FSC-klagomål.docx", "A 27824-2025")</f>
        <v/>
      </c>
      <c r="W123">
        <f>HYPERLINK("https://klasma.github.io/Logging_0380/klagomålsmail/A 27824-2025 FSC-klagomål mail.docx", "A 27824-2025")</f>
        <v/>
      </c>
      <c r="X123">
        <f>HYPERLINK("https://klasma.github.io/Logging_0380/tillsyn/A 27824-2025 tillsynsbegäran.docx", "A 27824-2025")</f>
        <v/>
      </c>
      <c r="Y123">
        <f>HYPERLINK("https://klasma.github.io/Logging_0380/tillsynsmail/A 27824-2025 tillsynsbegäran mail.docx", "A 27824-2025")</f>
        <v/>
      </c>
    </row>
    <row r="124" ht="15" customHeight="1">
      <c r="A124" t="inlineStr">
        <is>
          <t>A 28056-2025</t>
        </is>
      </c>
      <c r="B124" s="1" t="n">
        <v>45817</v>
      </c>
      <c r="C124" s="1" t="n">
        <v>46134</v>
      </c>
      <c r="D124" t="inlineStr">
        <is>
          <t>UPPSALA LÄN</t>
        </is>
      </c>
      <c r="E124" t="inlineStr">
        <is>
          <t>UPPSALA</t>
        </is>
      </c>
      <c r="G124" t="n">
        <v>19.3</v>
      </c>
      <c r="H124" t="n">
        <v>1</v>
      </c>
      <c r="I124" t="n">
        <v>0</v>
      </c>
      <c r="J124" t="n">
        <v>0</v>
      </c>
      <c r="K124" t="n">
        <v>1</v>
      </c>
      <c r="L124" t="n">
        <v>0</v>
      </c>
      <c r="M124" t="n">
        <v>0</v>
      </c>
      <c r="N124" t="n">
        <v>0</v>
      </c>
      <c r="O124" t="n">
        <v>1</v>
      </c>
      <c r="P124" t="n">
        <v>1</v>
      </c>
      <c r="Q124" t="n">
        <v>1</v>
      </c>
      <c r="R124" s="2" t="inlineStr">
        <is>
          <t>Knärot</t>
        </is>
      </c>
      <c r="S124">
        <f>HYPERLINK("https://klasma.github.io/Logging_0380/artfynd/A 28056-2025 artfynd.xlsx", "A 28056-2025")</f>
        <v/>
      </c>
      <c r="T124">
        <f>HYPERLINK("https://klasma.github.io/Logging_0380/kartor/A 28056-2025 karta.png", "A 28056-2025")</f>
        <v/>
      </c>
      <c r="U124">
        <f>HYPERLINK("https://klasma.github.io/Logging_0380/knärot/A 28056-2025 karta knärot.png", "A 28056-2025")</f>
        <v/>
      </c>
      <c r="V124">
        <f>HYPERLINK("https://klasma.github.io/Logging_0380/klagomål/A 28056-2025 FSC-klagomål.docx", "A 28056-2025")</f>
        <v/>
      </c>
      <c r="W124">
        <f>HYPERLINK("https://klasma.github.io/Logging_0380/klagomålsmail/A 28056-2025 FSC-klagomål mail.docx", "A 28056-2025")</f>
        <v/>
      </c>
      <c r="X124">
        <f>HYPERLINK("https://klasma.github.io/Logging_0380/tillsyn/A 28056-2025 tillsynsbegäran.docx", "A 28056-2025")</f>
        <v/>
      </c>
      <c r="Y124">
        <f>HYPERLINK("https://klasma.github.io/Logging_0380/tillsynsmail/A 28056-2025 tillsynsbegäran mail.docx", "A 28056-2025")</f>
        <v/>
      </c>
    </row>
    <row r="125" ht="15" customHeight="1">
      <c r="A125" t="inlineStr">
        <is>
          <t>A 13526-2025</t>
        </is>
      </c>
      <c r="B125" s="1" t="n">
        <v>45736.49902777778</v>
      </c>
      <c r="C125" s="1" t="n">
        <v>46134</v>
      </c>
      <c r="D125" t="inlineStr">
        <is>
          <t>UPPSALA LÄN</t>
        </is>
      </c>
      <c r="E125" t="inlineStr">
        <is>
          <t>UPPSALA</t>
        </is>
      </c>
      <c r="F125" t="inlineStr">
        <is>
          <t>Allmännings- och besparingsskogar</t>
        </is>
      </c>
      <c r="G125" t="n">
        <v>3</v>
      </c>
      <c r="H125" t="n">
        <v>0</v>
      </c>
      <c r="I125" t="n">
        <v>0</v>
      </c>
      <c r="J125" t="n">
        <v>1</v>
      </c>
      <c r="K125" t="n">
        <v>0</v>
      </c>
      <c r="L125" t="n">
        <v>0</v>
      </c>
      <c r="M125" t="n">
        <v>0</v>
      </c>
      <c r="N125" t="n">
        <v>0</v>
      </c>
      <c r="O125" t="n">
        <v>1</v>
      </c>
      <c r="P125" t="n">
        <v>0</v>
      </c>
      <c r="Q125" t="n">
        <v>1</v>
      </c>
      <c r="R125" s="2" t="inlineStr">
        <is>
          <t>Vedtrappmossa</t>
        </is>
      </c>
      <c r="S125">
        <f>HYPERLINK("https://klasma.github.io/Logging_0380/artfynd/A 13526-2025 artfynd.xlsx", "A 13526-2025")</f>
        <v/>
      </c>
      <c r="T125">
        <f>HYPERLINK("https://klasma.github.io/Logging_0380/kartor/A 13526-2025 karta.png", "A 13526-2025")</f>
        <v/>
      </c>
      <c r="V125">
        <f>HYPERLINK("https://klasma.github.io/Logging_0380/klagomål/A 13526-2025 FSC-klagomål.docx", "A 13526-2025")</f>
        <v/>
      </c>
      <c r="W125">
        <f>HYPERLINK("https://klasma.github.io/Logging_0380/klagomålsmail/A 13526-2025 FSC-klagomål mail.docx", "A 13526-2025")</f>
        <v/>
      </c>
      <c r="X125">
        <f>HYPERLINK("https://klasma.github.io/Logging_0380/tillsyn/A 13526-2025 tillsynsbegäran.docx", "A 13526-2025")</f>
        <v/>
      </c>
      <c r="Y125">
        <f>HYPERLINK("https://klasma.github.io/Logging_0380/tillsynsmail/A 13526-2025 tillsynsbegäran mail.docx", "A 13526-2025")</f>
        <v/>
      </c>
    </row>
    <row r="126" ht="15" customHeight="1">
      <c r="A126" t="inlineStr">
        <is>
          <t>A 29664-2025</t>
        </is>
      </c>
      <c r="B126" s="1" t="n">
        <v>45825.49060185185</v>
      </c>
      <c r="C126" s="1" t="n">
        <v>46134</v>
      </c>
      <c r="D126" t="inlineStr">
        <is>
          <t>UPPSALA LÄN</t>
        </is>
      </c>
      <c r="E126" t="inlineStr">
        <is>
          <t>UPPSALA</t>
        </is>
      </c>
      <c r="F126" t="inlineStr">
        <is>
          <t>Holmen skog AB</t>
        </is>
      </c>
      <c r="G126" t="n">
        <v>16.8</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29664-2025 artfynd.xlsx", "A 29664-2025")</f>
        <v/>
      </c>
      <c r="T126">
        <f>HYPERLINK("https://klasma.github.io/Logging_0380/kartor/A 29664-2025 karta.png", "A 29664-2025")</f>
        <v/>
      </c>
      <c r="V126">
        <f>HYPERLINK("https://klasma.github.io/Logging_0380/klagomål/A 29664-2025 FSC-klagomål.docx", "A 29664-2025")</f>
        <v/>
      </c>
      <c r="W126">
        <f>HYPERLINK("https://klasma.github.io/Logging_0380/klagomålsmail/A 29664-2025 FSC-klagomål mail.docx", "A 29664-2025")</f>
        <v/>
      </c>
      <c r="X126">
        <f>HYPERLINK("https://klasma.github.io/Logging_0380/tillsyn/A 29664-2025 tillsynsbegäran.docx", "A 29664-2025")</f>
        <v/>
      </c>
      <c r="Y126">
        <f>HYPERLINK("https://klasma.github.io/Logging_0380/tillsynsmail/A 29664-2025 tillsynsbegäran mail.docx", "A 29664-2025")</f>
        <v/>
      </c>
    </row>
    <row r="127" ht="15" customHeight="1">
      <c r="A127" t="inlineStr">
        <is>
          <t>A 44385-2025</t>
        </is>
      </c>
      <c r="B127" s="1" t="n">
        <v>45916.48704861111</v>
      </c>
      <c r="C127" s="1" t="n">
        <v>46134</v>
      </c>
      <c r="D127" t="inlineStr">
        <is>
          <t>UPPSALA LÄN</t>
        </is>
      </c>
      <c r="E127" t="inlineStr">
        <is>
          <t>UPPSALA</t>
        </is>
      </c>
      <c r="F127" t="inlineStr">
        <is>
          <t>Bergvik skog öst AB</t>
        </is>
      </c>
      <c r="G127" t="n">
        <v>6.8</v>
      </c>
      <c r="H127" t="n">
        <v>1</v>
      </c>
      <c r="I127" t="n">
        <v>0</v>
      </c>
      <c r="J127" t="n">
        <v>0</v>
      </c>
      <c r="K127" t="n">
        <v>0</v>
      </c>
      <c r="L127" t="n">
        <v>0</v>
      </c>
      <c r="M127" t="n">
        <v>0</v>
      </c>
      <c r="N127" t="n">
        <v>0</v>
      </c>
      <c r="O127" t="n">
        <v>0</v>
      </c>
      <c r="P127" t="n">
        <v>0</v>
      </c>
      <c r="Q127" t="n">
        <v>1</v>
      </c>
      <c r="R127" s="2" t="inlineStr">
        <is>
          <t>Blåsippa</t>
        </is>
      </c>
      <c r="S127">
        <f>HYPERLINK("https://klasma.github.io/Logging_0380/artfynd/A 44385-2025 artfynd.xlsx", "A 44385-2025")</f>
        <v/>
      </c>
      <c r="T127">
        <f>HYPERLINK("https://klasma.github.io/Logging_0380/kartor/A 44385-2025 karta.png", "A 44385-2025")</f>
        <v/>
      </c>
      <c r="V127">
        <f>HYPERLINK("https://klasma.github.io/Logging_0380/klagomål/A 44385-2025 FSC-klagomål.docx", "A 44385-2025")</f>
        <v/>
      </c>
      <c r="W127">
        <f>HYPERLINK("https://klasma.github.io/Logging_0380/klagomålsmail/A 44385-2025 FSC-klagomål mail.docx", "A 44385-2025")</f>
        <v/>
      </c>
      <c r="X127">
        <f>HYPERLINK("https://klasma.github.io/Logging_0380/tillsyn/A 44385-2025 tillsynsbegäran.docx", "A 44385-2025")</f>
        <v/>
      </c>
      <c r="Y127">
        <f>HYPERLINK("https://klasma.github.io/Logging_0380/tillsynsmail/A 44385-2025 tillsynsbegäran mail.docx", "A 44385-2025")</f>
        <v/>
      </c>
    </row>
    <row r="128" ht="15" customHeight="1">
      <c r="A128" t="inlineStr">
        <is>
          <t>A 57793-2022</t>
        </is>
      </c>
      <c r="B128" s="1" t="n">
        <v>44897</v>
      </c>
      <c r="C128" s="1" t="n">
        <v>46134</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13363-2022</t>
        </is>
      </c>
      <c r="B129" s="1" t="n">
        <v>44645</v>
      </c>
      <c r="C129" s="1" t="n">
        <v>46134</v>
      </c>
      <c r="D129" t="inlineStr">
        <is>
          <t>UPPSALA LÄN</t>
        </is>
      </c>
      <c r="E129" t="inlineStr">
        <is>
          <t>UPPSALA</t>
        </is>
      </c>
      <c r="F129" t="inlineStr">
        <is>
          <t>Övriga Aktiebolag</t>
        </is>
      </c>
      <c r="G129" t="n">
        <v>9.4</v>
      </c>
      <c r="H129" t="n">
        <v>1</v>
      </c>
      <c r="I129" t="n">
        <v>0</v>
      </c>
      <c r="J129" t="n">
        <v>0</v>
      </c>
      <c r="K129" t="n">
        <v>0</v>
      </c>
      <c r="L129" t="n">
        <v>0</v>
      </c>
      <c r="M129" t="n">
        <v>0</v>
      </c>
      <c r="N129" t="n">
        <v>0</v>
      </c>
      <c r="O129" t="n">
        <v>0</v>
      </c>
      <c r="P129" t="n">
        <v>0</v>
      </c>
      <c r="Q129" t="n">
        <v>1</v>
      </c>
      <c r="R129" s="2" t="inlineStr">
        <is>
          <t>Huggorm</t>
        </is>
      </c>
      <c r="S129">
        <f>HYPERLINK("https://klasma.github.io/Logging_0380/artfynd/A 13363-2022 artfynd.xlsx", "A 13363-2022")</f>
        <v/>
      </c>
      <c r="T129">
        <f>HYPERLINK("https://klasma.github.io/Logging_0380/kartor/A 13363-2022 karta.png", "A 13363-2022")</f>
        <v/>
      </c>
      <c r="V129">
        <f>HYPERLINK("https://klasma.github.io/Logging_0380/klagomål/A 13363-2022 FSC-klagomål.docx", "A 13363-2022")</f>
        <v/>
      </c>
      <c r="W129">
        <f>HYPERLINK("https://klasma.github.io/Logging_0380/klagomålsmail/A 13363-2022 FSC-klagomål mail.docx", "A 13363-2022")</f>
        <v/>
      </c>
      <c r="X129">
        <f>HYPERLINK("https://klasma.github.io/Logging_0380/tillsyn/A 13363-2022 tillsynsbegäran.docx", "A 13363-2022")</f>
        <v/>
      </c>
      <c r="Y129">
        <f>HYPERLINK("https://klasma.github.io/Logging_0380/tillsynsmail/A 13363-2022 tillsynsbegäran mail.docx", "A 13363-2022")</f>
        <v/>
      </c>
    </row>
    <row r="130" ht="15" customHeight="1">
      <c r="A130" t="inlineStr">
        <is>
          <t>A 35260-2025</t>
        </is>
      </c>
      <c r="B130" s="1" t="n">
        <v>45853.76976851852</v>
      </c>
      <c r="C130" s="1" t="n">
        <v>46134</v>
      </c>
      <c r="D130" t="inlineStr">
        <is>
          <t>UPPSALA LÄN</t>
        </is>
      </c>
      <c r="E130" t="inlineStr">
        <is>
          <t>UPPSALA</t>
        </is>
      </c>
      <c r="G130" t="n">
        <v>7.3</v>
      </c>
      <c r="H130" t="n">
        <v>0</v>
      </c>
      <c r="I130" t="n">
        <v>1</v>
      </c>
      <c r="J130" t="n">
        <v>0</v>
      </c>
      <c r="K130" t="n">
        <v>0</v>
      </c>
      <c r="L130" t="n">
        <v>0</v>
      </c>
      <c r="M130" t="n">
        <v>0</v>
      </c>
      <c r="N130" t="n">
        <v>0</v>
      </c>
      <c r="O130" t="n">
        <v>0</v>
      </c>
      <c r="P130" t="n">
        <v>0</v>
      </c>
      <c r="Q130" t="n">
        <v>1</v>
      </c>
      <c r="R130" s="2" t="inlineStr">
        <is>
          <t>Svavelriska</t>
        </is>
      </c>
      <c r="S130">
        <f>HYPERLINK("https://klasma.github.io/Logging_0380/artfynd/A 35260-2025 artfynd.xlsx", "A 35260-2025")</f>
        <v/>
      </c>
      <c r="T130">
        <f>HYPERLINK("https://klasma.github.io/Logging_0380/kartor/A 35260-2025 karta.png", "A 35260-2025")</f>
        <v/>
      </c>
      <c r="V130">
        <f>HYPERLINK("https://klasma.github.io/Logging_0380/klagomål/A 35260-2025 FSC-klagomål.docx", "A 35260-2025")</f>
        <v/>
      </c>
      <c r="W130">
        <f>HYPERLINK("https://klasma.github.io/Logging_0380/klagomålsmail/A 35260-2025 FSC-klagomål mail.docx", "A 35260-2025")</f>
        <v/>
      </c>
      <c r="X130">
        <f>HYPERLINK("https://klasma.github.io/Logging_0380/tillsyn/A 35260-2025 tillsynsbegäran.docx", "A 35260-2025")</f>
        <v/>
      </c>
      <c r="Y130">
        <f>HYPERLINK("https://klasma.github.io/Logging_0380/tillsynsmail/A 35260-2025 tillsynsbegäran mail.docx", "A 35260-2025")</f>
        <v/>
      </c>
    </row>
    <row r="131" ht="15" customHeight="1">
      <c r="A131" t="inlineStr">
        <is>
          <t>A 5009-2023</t>
        </is>
      </c>
      <c r="B131" s="1" t="n">
        <v>44958</v>
      </c>
      <c r="C131" s="1" t="n">
        <v>46134</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26135-2025</t>
        </is>
      </c>
      <c r="B132" s="1" t="n">
        <v>45805.41232638889</v>
      </c>
      <c r="C132" s="1" t="n">
        <v>46134</v>
      </c>
      <c r="D132" t="inlineStr">
        <is>
          <t>UPPSALA LÄN</t>
        </is>
      </c>
      <c r="E132" t="inlineStr">
        <is>
          <t>UPPSALA</t>
        </is>
      </c>
      <c r="F132" t="inlineStr">
        <is>
          <t>Holmen skog AB</t>
        </is>
      </c>
      <c r="G132" t="n">
        <v>3.1</v>
      </c>
      <c r="H132" t="n">
        <v>0</v>
      </c>
      <c r="I132" t="n">
        <v>0</v>
      </c>
      <c r="J132" t="n">
        <v>1</v>
      </c>
      <c r="K132" t="n">
        <v>0</v>
      </c>
      <c r="L132" t="n">
        <v>0</v>
      </c>
      <c r="M132" t="n">
        <v>0</v>
      </c>
      <c r="N132" t="n">
        <v>0</v>
      </c>
      <c r="O132" t="n">
        <v>1</v>
      </c>
      <c r="P132" t="n">
        <v>0</v>
      </c>
      <c r="Q132" t="n">
        <v>1</v>
      </c>
      <c r="R132" s="2" t="inlineStr">
        <is>
          <t>Vedtrappmossa</t>
        </is>
      </c>
      <c r="S132">
        <f>HYPERLINK("https://klasma.github.io/Logging_0380/artfynd/A 26135-2025 artfynd.xlsx", "A 26135-2025")</f>
        <v/>
      </c>
      <c r="T132">
        <f>HYPERLINK("https://klasma.github.io/Logging_0380/kartor/A 26135-2025 karta.png", "A 26135-2025")</f>
        <v/>
      </c>
      <c r="V132">
        <f>HYPERLINK("https://klasma.github.io/Logging_0380/klagomål/A 26135-2025 FSC-klagomål.docx", "A 26135-2025")</f>
        <v/>
      </c>
      <c r="W132">
        <f>HYPERLINK("https://klasma.github.io/Logging_0380/klagomålsmail/A 26135-2025 FSC-klagomål mail.docx", "A 26135-2025")</f>
        <v/>
      </c>
      <c r="X132">
        <f>HYPERLINK("https://klasma.github.io/Logging_0380/tillsyn/A 26135-2025 tillsynsbegäran.docx", "A 26135-2025")</f>
        <v/>
      </c>
      <c r="Y132">
        <f>HYPERLINK("https://klasma.github.io/Logging_0380/tillsynsmail/A 26135-2025 tillsynsbegäran mail.docx", "A 26135-2025")</f>
        <v/>
      </c>
    </row>
    <row r="133" ht="15" customHeight="1">
      <c r="A133" t="inlineStr">
        <is>
          <t>A 51475-2025</t>
        </is>
      </c>
      <c r="B133" s="1" t="n">
        <v>45950</v>
      </c>
      <c r="C133" s="1" t="n">
        <v>46134</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21657-2024</t>
        </is>
      </c>
      <c r="B134" s="1" t="n">
        <v>45442</v>
      </c>
      <c r="C134" s="1" t="n">
        <v>46134</v>
      </c>
      <c r="D134" t="inlineStr">
        <is>
          <t>UPPSALA LÄN</t>
        </is>
      </c>
      <c r="E134" t="inlineStr">
        <is>
          <t>UPPSALA</t>
        </is>
      </c>
      <c r="G134" t="n">
        <v>5.7</v>
      </c>
      <c r="H134" t="n">
        <v>1</v>
      </c>
      <c r="I134" t="n">
        <v>0</v>
      </c>
      <c r="J134" t="n">
        <v>0</v>
      </c>
      <c r="K134" t="n">
        <v>0</v>
      </c>
      <c r="L134" t="n">
        <v>0</v>
      </c>
      <c r="M134" t="n">
        <v>0</v>
      </c>
      <c r="N134" t="n">
        <v>0</v>
      </c>
      <c r="O134" t="n">
        <v>0</v>
      </c>
      <c r="P134" t="n">
        <v>0</v>
      </c>
      <c r="Q134" t="n">
        <v>1</v>
      </c>
      <c r="R134" s="2" t="inlineStr">
        <is>
          <t>Kungsfågel</t>
        </is>
      </c>
      <c r="S134">
        <f>HYPERLINK("https://klasma.github.io/Logging_0380/artfynd/A 21657-2024 artfynd.xlsx", "A 21657-2024")</f>
        <v/>
      </c>
      <c r="T134">
        <f>HYPERLINK("https://klasma.github.io/Logging_0380/kartor/A 21657-2024 karta.png", "A 21657-2024")</f>
        <v/>
      </c>
      <c r="V134">
        <f>HYPERLINK("https://klasma.github.io/Logging_0380/klagomål/A 21657-2024 FSC-klagomål.docx", "A 21657-2024")</f>
        <v/>
      </c>
      <c r="W134">
        <f>HYPERLINK("https://klasma.github.io/Logging_0380/klagomålsmail/A 21657-2024 FSC-klagomål mail.docx", "A 21657-2024")</f>
        <v/>
      </c>
      <c r="X134">
        <f>HYPERLINK("https://klasma.github.io/Logging_0380/tillsyn/A 21657-2024 tillsynsbegäran.docx", "A 21657-2024")</f>
        <v/>
      </c>
      <c r="Y134">
        <f>HYPERLINK("https://klasma.github.io/Logging_0380/tillsynsmail/A 21657-2024 tillsynsbegäran mail.docx", "A 21657-2024")</f>
        <v/>
      </c>
      <c r="Z134">
        <f>HYPERLINK("https://klasma.github.io/Logging_0380/fåglar/A 21657-2024 prioriterade fågelarter.docx", "A 21657-2024")</f>
        <v/>
      </c>
    </row>
    <row r="135" ht="15" customHeight="1">
      <c r="A135" t="inlineStr">
        <is>
          <t>A 36842-2025</t>
        </is>
      </c>
      <c r="B135" s="1" t="n">
        <v>45874</v>
      </c>
      <c r="C135" s="1" t="n">
        <v>46134</v>
      </c>
      <c r="D135" t="inlineStr">
        <is>
          <t>UPPSALA LÄN</t>
        </is>
      </c>
      <c r="E135" t="inlineStr">
        <is>
          <t>UPPSALA</t>
        </is>
      </c>
      <c r="G135" t="n">
        <v>9.9</v>
      </c>
      <c r="H135" t="n">
        <v>0</v>
      </c>
      <c r="I135" t="n">
        <v>1</v>
      </c>
      <c r="J135" t="n">
        <v>0</v>
      </c>
      <c r="K135" t="n">
        <v>0</v>
      </c>
      <c r="L135" t="n">
        <v>0</v>
      </c>
      <c r="M135" t="n">
        <v>0</v>
      </c>
      <c r="N135" t="n">
        <v>0</v>
      </c>
      <c r="O135" t="n">
        <v>0</v>
      </c>
      <c r="P135" t="n">
        <v>0</v>
      </c>
      <c r="Q135" t="n">
        <v>1</v>
      </c>
      <c r="R135" s="2" t="inlineStr">
        <is>
          <t>Vedticka</t>
        </is>
      </c>
      <c r="S135">
        <f>HYPERLINK("https://klasma.github.io/Logging_0380/artfynd/A 36842-2025 artfynd.xlsx", "A 36842-2025")</f>
        <v/>
      </c>
      <c r="T135">
        <f>HYPERLINK("https://klasma.github.io/Logging_0380/kartor/A 36842-2025 karta.png", "A 36842-2025")</f>
        <v/>
      </c>
      <c r="V135">
        <f>HYPERLINK("https://klasma.github.io/Logging_0380/klagomål/A 36842-2025 FSC-klagomål.docx", "A 36842-2025")</f>
        <v/>
      </c>
      <c r="W135">
        <f>HYPERLINK("https://klasma.github.io/Logging_0380/klagomålsmail/A 36842-2025 FSC-klagomål mail.docx", "A 36842-2025")</f>
        <v/>
      </c>
      <c r="X135">
        <f>HYPERLINK("https://klasma.github.io/Logging_0380/tillsyn/A 36842-2025 tillsynsbegäran.docx", "A 36842-2025")</f>
        <v/>
      </c>
      <c r="Y135">
        <f>HYPERLINK("https://klasma.github.io/Logging_0380/tillsynsmail/A 36842-2025 tillsynsbegäran mail.docx", "A 36842-2025")</f>
        <v/>
      </c>
    </row>
    <row r="136" ht="15" customHeight="1">
      <c r="A136" t="inlineStr">
        <is>
          <t>A 52849-2021</t>
        </is>
      </c>
      <c r="B136" s="1" t="n">
        <v>44467</v>
      </c>
      <c r="C136" s="1" t="n">
        <v>46134</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17484-2025</t>
        </is>
      </c>
      <c r="B137" s="1" t="n">
        <v>45757.49934027778</v>
      </c>
      <c r="C137" s="1" t="n">
        <v>46134</v>
      </c>
      <c r="D137" t="inlineStr">
        <is>
          <t>UPPSALA LÄN</t>
        </is>
      </c>
      <c r="E137" t="inlineStr">
        <is>
          <t>UPPSALA</t>
        </is>
      </c>
      <c r="G137" t="n">
        <v>13.1</v>
      </c>
      <c r="H137" t="n">
        <v>1</v>
      </c>
      <c r="I137" t="n">
        <v>0</v>
      </c>
      <c r="J137" t="n">
        <v>0</v>
      </c>
      <c r="K137" t="n">
        <v>0</v>
      </c>
      <c r="L137" t="n">
        <v>0</v>
      </c>
      <c r="M137" t="n">
        <v>0</v>
      </c>
      <c r="N137" t="n">
        <v>0</v>
      </c>
      <c r="O137" t="n">
        <v>0</v>
      </c>
      <c r="P137" t="n">
        <v>0</v>
      </c>
      <c r="Q137" t="n">
        <v>1</v>
      </c>
      <c r="R137" s="2" t="inlineStr">
        <is>
          <t>Fläcknycklar</t>
        </is>
      </c>
      <c r="S137">
        <f>HYPERLINK("https://klasma.github.io/Logging_0380/artfynd/A 17484-2025 artfynd.xlsx", "A 17484-2025")</f>
        <v/>
      </c>
      <c r="T137">
        <f>HYPERLINK("https://klasma.github.io/Logging_0380/kartor/A 17484-2025 karta.png", "A 17484-2025")</f>
        <v/>
      </c>
      <c r="V137">
        <f>HYPERLINK("https://klasma.github.io/Logging_0380/klagomål/A 17484-2025 FSC-klagomål.docx", "A 17484-2025")</f>
        <v/>
      </c>
      <c r="W137">
        <f>HYPERLINK("https://klasma.github.io/Logging_0380/klagomålsmail/A 17484-2025 FSC-klagomål mail.docx", "A 17484-2025")</f>
        <v/>
      </c>
      <c r="X137">
        <f>HYPERLINK("https://klasma.github.io/Logging_0380/tillsyn/A 17484-2025 tillsynsbegäran.docx", "A 17484-2025")</f>
        <v/>
      </c>
      <c r="Y137">
        <f>HYPERLINK("https://klasma.github.io/Logging_0380/tillsynsmail/A 17484-2025 tillsynsbegäran mail.docx", "A 17484-2025")</f>
        <v/>
      </c>
    </row>
    <row r="138" ht="15" customHeight="1">
      <c r="A138" t="inlineStr">
        <is>
          <t>A 61818-2022</t>
        </is>
      </c>
      <c r="B138" s="1" t="n">
        <v>44917</v>
      </c>
      <c r="C138" s="1" t="n">
        <v>46134</v>
      </c>
      <c r="D138" t="inlineStr">
        <is>
          <t>UPPSALA LÄN</t>
        </is>
      </c>
      <c r="E138" t="inlineStr">
        <is>
          <t>UPPSALA</t>
        </is>
      </c>
      <c r="F138" t="inlineStr">
        <is>
          <t>Holmen skog AB</t>
        </is>
      </c>
      <c r="G138" t="n">
        <v>0.8</v>
      </c>
      <c r="H138" t="n">
        <v>0</v>
      </c>
      <c r="I138" t="n">
        <v>0</v>
      </c>
      <c r="J138" t="n">
        <v>1</v>
      </c>
      <c r="K138" t="n">
        <v>0</v>
      </c>
      <c r="L138" t="n">
        <v>0</v>
      </c>
      <c r="M138" t="n">
        <v>0</v>
      </c>
      <c r="N138" t="n">
        <v>0</v>
      </c>
      <c r="O138" t="n">
        <v>1</v>
      </c>
      <c r="P138" t="n">
        <v>0</v>
      </c>
      <c r="Q138" t="n">
        <v>1</v>
      </c>
      <c r="R138" s="2" t="inlineStr">
        <is>
          <t>Blekticka</t>
        </is>
      </c>
      <c r="S138">
        <f>HYPERLINK("https://klasma.github.io/Logging_0380/artfynd/A 61818-2022 artfynd.xlsx", "A 61818-2022")</f>
        <v/>
      </c>
      <c r="T138">
        <f>HYPERLINK("https://klasma.github.io/Logging_0380/kartor/A 61818-2022 karta.png", "A 61818-2022")</f>
        <v/>
      </c>
      <c r="V138">
        <f>HYPERLINK("https://klasma.github.io/Logging_0380/klagomål/A 61818-2022 FSC-klagomål.docx", "A 61818-2022")</f>
        <v/>
      </c>
      <c r="W138">
        <f>HYPERLINK("https://klasma.github.io/Logging_0380/klagomålsmail/A 61818-2022 FSC-klagomål mail.docx", "A 61818-2022")</f>
        <v/>
      </c>
      <c r="X138">
        <f>HYPERLINK("https://klasma.github.io/Logging_0380/tillsyn/A 61818-2022 tillsynsbegäran.docx", "A 61818-2022")</f>
        <v/>
      </c>
      <c r="Y138">
        <f>HYPERLINK("https://klasma.github.io/Logging_0380/tillsynsmail/A 61818-2022 tillsynsbegäran mail.docx", "A 61818-2022")</f>
        <v/>
      </c>
    </row>
    <row r="139" ht="15" customHeight="1">
      <c r="A139" t="inlineStr">
        <is>
          <t>A 49015-2022</t>
        </is>
      </c>
      <c r="B139" s="1" t="n">
        <v>44855</v>
      </c>
      <c r="C139" s="1" t="n">
        <v>46134</v>
      </c>
      <c r="D139" t="inlineStr">
        <is>
          <t>UPPSALA LÄN</t>
        </is>
      </c>
      <c r="E139" t="inlineStr">
        <is>
          <t>UPPSALA</t>
        </is>
      </c>
      <c r="F139" t="inlineStr">
        <is>
          <t>Kommuner</t>
        </is>
      </c>
      <c r="G139" t="n">
        <v>4.5</v>
      </c>
      <c r="H139" t="n">
        <v>0</v>
      </c>
      <c r="I139" t="n">
        <v>0</v>
      </c>
      <c r="J139" t="n">
        <v>1</v>
      </c>
      <c r="K139" t="n">
        <v>0</v>
      </c>
      <c r="L139" t="n">
        <v>0</v>
      </c>
      <c r="M139" t="n">
        <v>0</v>
      </c>
      <c r="N139" t="n">
        <v>0</v>
      </c>
      <c r="O139" t="n">
        <v>1</v>
      </c>
      <c r="P139" t="n">
        <v>0</v>
      </c>
      <c r="Q139" t="n">
        <v>1</v>
      </c>
      <c r="R139" s="2" t="inlineStr">
        <is>
          <t>Harticka</t>
        </is>
      </c>
      <c r="S139">
        <f>HYPERLINK("https://klasma.github.io/Logging_0380/artfynd/A 49015-2022 artfynd.xlsx", "A 49015-2022")</f>
        <v/>
      </c>
      <c r="T139">
        <f>HYPERLINK("https://klasma.github.io/Logging_0380/kartor/A 49015-2022 karta.png", "A 49015-2022")</f>
        <v/>
      </c>
      <c r="V139">
        <f>HYPERLINK("https://klasma.github.io/Logging_0380/klagomål/A 49015-2022 FSC-klagomål.docx", "A 49015-2022")</f>
        <v/>
      </c>
      <c r="W139">
        <f>HYPERLINK("https://klasma.github.io/Logging_0380/klagomålsmail/A 49015-2022 FSC-klagomål mail.docx", "A 49015-2022")</f>
        <v/>
      </c>
      <c r="X139">
        <f>HYPERLINK("https://klasma.github.io/Logging_0380/tillsyn/A 49015-2022 tillsynsbegäran.docx", "A 49015-2022")</f>
        <v/>
      </c>
      <c r="Y139">
        <f>HYPERLINK("https://klasma.github.io/Logging_0380/tillsynsmail/A 49015-2022 tillsynsbegäran mail.docx", "A 49015-2022")</f>
        <v/>
      </c>
    </row>
    <row r="140" ht="15" customHeight="1">
      <c r="A140" t="inlineStr">
        <is>
          <t>A 29902-2023</t>
        </is>
      </c>
      <c r="B140" s="1" t="n">
        <v>45107</v>
      </c>
      <c r="C140" s="1" t="n">
        <v>46134</v>
      </c>
      <c r="D140" t="inlineStr">
        <is>
          <t>UPPSALA LÄN</t>
        </is>
      </c>
      <c r="E140" t="inlineStr">
        <is>
          <t>UPPSALA</t>
        </is>
      </c>
      <c r="F140" t="inlineStr">
        <is>
          <t>Kyrkan</t>
        </is>
      </c>
      <c r="G140" t="n">
        <v>10.6</v>
      </c>
      <c r="H140" t="n">
        <v>1</v>
      </c>
      <c r="I140" t="n">
        <v>0</v>
      </c>
      <c r="J140" t="n">
        <v>1</v>
      </c>
      <c r="K140" t="n">
        <v>0</v>
      </c>
      <c r="L140" t="n">
        <v>0</v>
      </c>
      <c r="M140" t="n">
        <v>0</v>
      </c>
      <c r="N140" t="n">
        <v>0</v>
      </c>
      <c r="O140" t="n">
        <v>1</v>
      </c>
      <c r="P140" t="n">
        <v>0</v>
      </c>
      <c r="Q140" t="n">
        <v>1</v>
      </c>
      <c r="R140" s="2" t="inlineStr">
        <is>
          <t>Järpe</t>
        </is>
      </c>
      <c r="S140">
        <f>HYPERLINK("https://klasma.github.io/Logging_0380/artfynd/A 29902-2023 artfynd.xlsx", "A 29902-2023")</f>
        <v/>
      </c>
      <c r="T140">
        <f>HYPERLINK("https://klasma.github.io/Logging_0380/kartor/A 29902-2023 karta.png", "A 29902-2023")</f>
        <v/>
      </c>
      <c r="V140">
        <f>HYPERLINK("https://klasma.github.io/Logging_0380/klagomål/A 29902-2023 FSC-klagomål.docx", "A 29902-2023")</f>
        <v/>
      </c>
      <c r="W140">
        <f>HYPERLINK("https://klasma.github.io/Logging_0380/klagomålsmail/A 29902-2023 FSC-klagomål mail.docx", "A 29902-2023")</f>
        <v/>
      </c>
      <c r="X140">
        <f>HYPERLINK("https://klasma.github.io/Logging_0380/tillsyn/A 29902-2023 tillsynsbegäran.docx", "A 29902-2023")</f>
        <v/>
      </c>
      <c r="Y140">
        <f>HYPERLINK("https://klasma.github.io/Logging_0380/tillsynsmail/A 29902-2023 tillsynsbegäran mail.docx", "A 29902-2023")</f>
        <v/>
      </c>
      <c r="Z140">
        <f>HYPERLINK("https://klasma.github.io/Logging_0380/fåglar/A 29902-2023 prioriterade fågelarter.docx", "A 29902-2023")</f>
        <v/>
      </c>
    </row>
    <row r="141" ht="15" customHeight="1">
      <c r="A141" t="inlineStr">
        <is>
          <t>A 18373-2025</t>
        </is>
      </c>
      <c r="B141" s="1" t="n">
        <v>45762.57244212963</v>
      </c>
      <c r="C141" s="1" t="n">
        <v>46134</v>
      </c>
      <c r="D141" t="inlineStr">
        <is>
          <t>UPPSALA LÄN</t>
        </is>
      </c>
      <c r="E141" t="inlineStr">
        <is>
          <t>UPPSALA</t>
        </is>
      </c>
      <c r="G141" t="n">
        <v>9.5</v>
      </c>
      <c r="H141" t="n">
        <v>0</v>
      </c>
      <c r="I141" t="n">
        <v>0</v>
      </c>
      <c r="J141" t="n">
        <v>1</v>
      </c>
      <c r="K141" t="n">
        <v>0</v>
      </c>
      <c r="L141" t="n">
        <v>0</v>
      </c>
      <c r="M141" t="n">
        <v>0</v>
      </c>
      <c r="N141" t="n">
        <v>0</v>
      </c>
      <c r="O141" t="n">
        <v>1</v>
      </c>
      <c r="P141" t="n">
        <v>0</v>
      </c>
      <c r="Q141" t="n">
        <v>1</v>
      </c>
      <c r="R141" s="2" t="inlineStr">
        <is>
          <t>Ullticka</t>
        </is>
      </c>
      <c r="S141">
        <f>HYPERLINK("https://klasma.github.io/Logging_0380/artfynd/A 18373-2025 artfynd.xlsx", "A 18373-2025")</f>
        <v/>
      </c>
      <c r="T141">
        <f>HYPERLINK("https://klasma.github.io/Logging_0380/kartor/A 18373-2025 karta.png", "A 18373-2025")</f>
        <v/>
      </c>
      <c r="V141">
        <f>HYPERLINK("https://klasma.github.io/Logging_0380/klagomål/A 18373-2025 FSC-klagomål.docx", "A 18373-2025")</f>
        <v/>
      </c>
      <c r="W141">
        <f>HYPERLINK("https://klasma.github.io/Logging_0380/klagomålsmail/A 18373-2025 FSC-klagomål mail.docx", "A 18373-2025")</f>
        <v/>
      </c>
      <c r="X141">
        <f>HYPERLINK("https://klasma.github.io/Logging_0380/tillsyn/A 18373-2025 tillsynsbegäran.docx", "A 18373-2025")</f>
        <v/>
      </c>
      <c r="Y141">
        <f>HYPERLINK("https://klasma.github.io/Logging_0380/tillsynsmail/A 18373-2025 tillsynsbegäran mail.docx", "A 18373-2025")</f>
        <v/>
      </c>
    </row>
    <row r="142" ht="15" customHeight="1">
      <c r="A142" t="inlineStr">
        <is>
          <t>A 61374-2025</t>
        </is>
      </c>
      <c r="B142" s="1" t="n">
        <v>46001.44021990741</v>
      </c>
      <c r="C142" s="1" t="n">
        <v>46134</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63075-2025</t>
        </is>
      </c>
      <c r="B143" s="1" t="n">
        <v>46009</v>
      </c>
      <c r="C143" s="1" t="n">
        <v>46134</v>
      </c>
      <c r="D143" t="inlineStr">
        <is>
          <t>UPPSALA LÄN</t>
        </is>
      </c>
      <c r="E143" t="inlineStr">
        <is>
          <t>UPPSALA</t>
        </is>
      </c>
      <c r="F143" t="inlineStr">
        <is>
          <t>Övriga statliga verk och myndigheter</t>
        </is>
      </c>
      <c r="G143" t="n">
        <v>4</v>
      </c>
      <c r="H143" t="n">
        <v>1</v>
      </c>
      <c r="I143" t="n">
        <v>0</v>
      </c>
      <c r="J143" t="n">
        <v>1</v>
      </c>
      <c r="K143" t="n">
        <v>0</v>
      </c>
      <c r="L143" t="n">
        <v>0</v>
      </c>
      <c r="M143" t="n">
        <v>0</v>
      </c>
      <c r="N143" t="n">
        <v>0</v>
      </c>
      <c r="O143" t="n">
        <v>1</v>
      </c>
      <c r="P143" t="n">
        <v>0</v>
      </c>
      <c r="Q143" t="n">
        <v>1</v>
      </c>
      <c r="R143" s="2" t="inlineStr">
        <is>
          <t>Talltita</t>
        </is>
      </c>
      <c r="S143">
        <f>HYPERLINK("https://klasma.github.io/Logging_0380/artfynd/A 63075-2025 artfynd.xlsx", "A 63075-2025")</f>
        <v/>
      </c>
      <c r="T143">
        <f>HYPERLINK("https://klasma.github.io/Logging_0380/kartor/A 63075-2025 karta.png", "A 63075-2025")</f>
        <v/>
      </c>
      <c r="V143">
        <f>HYPERLINK("https://klasma.github.io/Logging_0380/klagomål/A 63075-2025 FSC-klagomål.docx", "A 63075-2025")</f>
        <v/>
      </c>
      <c r="W143">
        <f>HYPERLINK("https://klasma.github.io/Logging_0380/klagomålsmail/A 63075-2025 FSC-klagomål mail.docx", "A 63075-2025")</f>
        <v/>
      </c>
      <c r="X143">
        <f>HYPERLINK("https://klasma.github.io/Logging_0380/tillsyn/A 63075-2025 tillsynsbegäran.docx", "A 63075-2025")</f>
        <v/>
      </c>
      <c r="Y143">
        <f>HYPERLINK("https://klasma.github.io/Logging_0380/tillsynsmail/A 63075-2025 tillsynsbegäran mail.docx", "A 63075-2025")</f>
        <v/>
      </c>
      <c r="Z143">
        <f>HYPERLINK("https://klasma.github.io/Logging_0380/fåglar/A 63075-2025 prioriterade fågelarter.docx", "A 63075-2025")</f>
        <v/>
      </c>
    </row>
    <row r="144" ht="15" customHeight="1">
      <c r="A144" t="inlineStr">
        <is>
          <t>A 29906-2023</t>
        </is>
      </c>
      <c r="B144" s="1" t="n">
        <v>45107</v>
      </c>
      <c r="C144" s="1" t="n">
        <v>46134</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39741-2023</t>
        </is>
      </c>
      <c r="B145" s="1" t="n">
        <v>45167</v>
      </c>
      <c r="C145" s="1" t="n">
        <v>46134</v>
      </c>
      <c r="D145" t="inlineStr">
        <is>
          <t>UPPSALA LÄN</t>
        </is>
      </c>
      <c r="E145" t="inlineStr">
        <is>
          <t>UPPSALA</t>
        </is>
      </c>
      <c r="G145" t="n">
        <v>5.6</v>
      </c>
      <c r="H145" t="n">
        <v>1</v>
      </c>
      <c r="I145" t="n">
        <v>0</v>
      </c>
      <c r="J145" t="n">
        <v>1</v>
      </c>
      <c r="K145" t="n">
        <v>0</v>
      </c>
      <c r="L145" t="n">
        <v>0</v>
      </c>
      <c r="M145" t="n">
        <v>0</v>
      </c>
      <c r="N145" t="n">
        <v>0</v>
      </c>
      <c r="O145" t="n">
        <v>1</v>
      </c>
      <c r="P145" t="n">
        <v>0</v>
      </c>
      <c r="Q145" t="n">
        <v>1</v>
      </c>
      <c r="R145" s="2" t="inlineStr">
        <is>
          <t>Entita</t>
        </is>
      </c>
      <c r="S145">
        <f>HYPERLINK("https://klasma.github.io/Logging_0380/artfynd/A 39741-2023 artfynd.xlsx", "A 39741-2023")</f>
        <v/>
      </c>
      <c r="T145">
        <f>HYPERLINK("https://klasma.github.io/Logging_0380/kartor/A 39741-2023 karta.png", "A 39741-2023")</f>
        <v/>
      </c>
      <c r="V145">
        <f>HYPERLINK("https://klasma.github.io/Logging_0380/klagomål/A 39741-2023 FSC-klagomål.docx", "A 39741-2023")</f>
        <v/>
      </c>
      <c r="W145">
        <f>HYPERLINK("https://klasma.github.io/Logging_0380/klagomålsmail/A 39741-2023 FSC-klagomål mail.docx", "A 39741-2023")</f>
        <v/>
      </c>
      <c r="X145">
        <f>HYPERLINK("https://klasma.github.io/Logging_0380/tillsyn/A 39741-2023 tillsynsbegäran.docx", "A 39741-2023")</f>
        <v/>
      </c>
      <c r="Y145">
        <f>HYPERLINK("https://klasma.github.io/Logging_0380/tillsynsmail/A 39741-2023 tillsynsbegäran mail.docx", "A 39741-2023")</f>
        <v/>
      </c>
      <c r="Z145">
        <f>HYPERLINK("https://klasma.github.io/Logging_0380/fåglar/A 39741-2023 prioriterade fågelarter.docx", "A 39741-2023")</f>
        <v/>
      </c>
    </row>
    <row r="146" ht="15" customHeight="1">
      <c r="A146" t="inlineStr">
        <is>
          <t>A 844-2025</t>
        </is>
      </c>
      <c r="B146" s="1" t="n">
        <v>45665</v>
      </c>
      <c r="C146" s="1" t="n">
        <v>46134</v>
      </c>
      <c r="D146" t="inlineStr">
        <is>
          <t>UPPSALA LÄN</t>
        </is>
      </c>
      <c r="E146" t="inlineStr">
        <is>
          <t>UPPSALA</t>
        </is>
      </c>
      <c r="G146" t="n">
        <v>2.6</v>
      </c>
      <c r="H146" t="n">
        <v>1</v>
      </c>
      <c r="I146" t="n">
        <v>0</v>
      </c>
      <c r="J146" t="n">
        <v>0</v>
      </c>
      <c r="K146" t="n">
        <v>0</v>
      </c>
      <c r="L146" t="n">
        <v>0</v>
      </c>
      <c r="M146" t="n">
        <v>0</v>
      </c>
      <c r="N146" t="n">
        <v>0</v>
      </c>
      <c r="O146" t="n">
        <v>0</v>
      </c>
      <c r="P146" t="n">
        <v>0</v>
      </c>
      <c r="Q146" t="n">
        <v>1</v>
      </c>
      <c r="R146" s="2" t="inlineStr">
        <is>
          <t>Tjäder</t>
        </is>
      </c>
      <c r="S146">
        <f>HYPERLINK("https://klasma.github.io/Logging_0380/artfynd/A 844-2025 artfynd.xlsx", "A 844-2025")</f>
        <v/>
      </c>
      <c r="T146">
        <f>HYPERLINK("https://klasma.github.io/Logging_0380/kartor/A 844-2025 karta.png", "A 844-2025")</f>
        <v/>
      </c>
      <c r="V146">
        <f>HYPERLINK("https://klasma.github.io/Logging_0380/klagomål/A 844-2025 FSC-klagomål.docx", "A 844-2025")</f>
        <v/>
      </c>
      <c r="W146">
        <f>HYPERLINK("https://klasma.github.io/Logging_0380/klagomålsmail/A 844-2025 FSC-klagomål mail.docx", "A 844-2025")</f>
        <v/>
      </c>
      <c r="X146">
        <f>HYPERLINK("https://klasma.github.io/Logging_0380/tillsyn/A 844-2025 tillsynsbegäran.docx", "A 844-2025")</f>
        <v/>
      </c>
      <c r="Y146">
        <f>HYPERLINK("https://klasma.github.io/Logging_0380/tillsynsmail/A 844-2025 tillsynsbegäran mail.docx", "A 844-2025")</f>
        <v/>
      </c>
      <c r="Z146">
        <f>HYPERLINK("https://klasma.github.io/Logging_0380/fåglar/A 844-2025 prioriterade fågelarter.docx", "A 844-2025")</f>
        <v/>
      </c>
    </row>
    <row r="147" ht="15" customHeight="1">
      <c r="A147" t="inlineStr">
        <is>
          <t>A 61830-2022</t>
        </is>
      </c>
      <c r="B147" s="1" t="n">
        <v>44917.59298611111</v>
      </c>
      <c r="C147" s="1" t="n">
        <v>46134</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2729-2024</t>
        </is>
      </c>
      <c r="B148" s="1" t="n">
        <v>45314.55579861111</v>
      </c>
      <c r="C148" s="1" t="n">
        <v>46134</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46634-2022</t>
        </is>
      </c>
      <c r="B149" s="1" t="n">
        <v>44849</v>
      </c>
      <c r="C149" s="1" t="n">
        <v>46134</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13093-2024</t>
        </is>
      </c>
      <c r="B150" s="1" t="n">
        <v>45385</v>
      </c>
      <c r="C150" s="1" t="n">
        <v>46134</v>
      </c>
      <c r="D150" t="inlineStr">
        <is>
          <t>UPPSALA LÄN</t>
        </is>
      </c>
      <c r="E150" t="inlineStr">
        <is>
          <t>UPPSALA</t>
        </is>
      </c>
      <c r="G150" t="n">
        <v>1.1</v>
      </c>
      <c r="H150" t="n">
        <v>1</v>
      </c>
      <c r="I150" t="n">
        <v>1</v>
      </c>
      <c r="J150" t="n">
        <v>0</v>
      </c>
      <c r="K150" t="n">
        <v>0</v>
      </c>
      <c r="L150" t="n">
        <v>0</v>
      </c>
      <c r="M150" t="n">
        <v>0</v>
      </c>
      <c r="N150" t="n">
        <v>0</v>
      </c>
      <c r="O150" t="n">
        <v>0</v>
      </c>
      <c r="P150" t="n">
        <v>0</v>
      </c>
      <c r="Q150" t="n">
        <v>1</v>
      </c>
      <c r="R150" s="2" t="inlineStr">
        <is>
          <t>Skogsknipprot</t>
        </is>
      </c>
      <c r="S150">
        <f>HYPERLINK("https://klasma.github.io/Logging_0380/artfynd/A 13093-2024 artfynd.xlsx", "A 13093-2024")</f>
        <v/>
      </c>
      <c r="T150">
        <f>HYPERLINK("https://klasma.github.io/Logging_0380/kartor/A 13093-2024 karta.png", "A 13093-2024")</f>
        <v/>
      </c>
      <c r="V150">
        <f>HYPERLINK("https://klasma.github.io/Logging_0380/klagomål/A 13093-2024 FSC-klagomål.docx", "A 13093-2024")</f>
        <v/>
      </c>
      <c r="W150">
        <f>HYPERLINK("https://klasma.github.io/Logging_0380/klagomålsmail/A 13093-2024 FSC-klagomål mail.docx", "A 13093-2024")</f>
        <v/>
      </c>
      <c r="X150">
        <f>HYPERLINK("https://klasma.github.io/Logging_0380/tillsyn/A 13093-2024 tillsynsbegäran.docx", "A 13093-2024")</f>
        <v/>
      </c>
      <c r="Y150">
        <f>HYPERLINK("https://klasma.github.io/Logging_0380/tillsynsmail/A 13093-2024 tillsynsbegäran mail.docx", "A 13093-2024")</f>
        <v/>
      </c>
    </row>
    <row r="151" ht="15" customHeight="1">
      <c r="A151" t="inlineStr">
        <is>
          <t>A 5732-2025</t>
        </is>
      </c>
      <c r="B151" s="1" t="n">
        <v>45694.49650462963</v>
      </c>
      <c r="C151" s="1" t="n">
        <v>46134</v>
      </c>
      <c r="D151" t="inlineStr">
        <is>
          <t>UPPSALA LÄN</t>
        </is>
      </c>
      <c r="E151" t="inlineStr">
        <is>
          <t>UPPSALA</t>
        </is>
      </c>
      <c r="G151" t="n">
        <v>1.9</v>
      </c>
      <c r="H151" t="n">
        <v>0</v>
      </c>
      <c r="I151" t="n">
        <v>1</v>
      </c>
      <c r="J151" t="n">
        <v>0</v>
      </c>
      <c r="K151" t="n">
        <v>0</v>
      </c>
      <c r="L151" t="n">
        <v>0</v>
      </c>
      <c r="M151" t="n">
        <v>0</v>
      </c>
      <c r="N151" t="n">
        <v>0</v>
      </c>
      <c r="O151" t="n">
        <v>0</v>
      </c>
      <c r="P151" t="n">
        <v>0</v>
      </c>
      <c r="Q151" t="n">
        <v>1</v>
      </c>
      <c r="R151" s="2" t="inlineStr">
        <is>
          <t>Fällmossa</t>
        </is>
      </c>
      <c r="S151">
        <f>HYPERLINK("https://klasma.github.io/Logging_0380/artfynd/A 5732-2025 artfynd.xlsx", "A 5732-2025")</f>
        <v/>
      </c>
      <c r="T151">
        <f>HYPERLINK("https://klasma.github.io/Logging_0380/kartor/A 5732-2025 karta.png", "A 5732-2025")</f>
        <v/>
      </c>
      <c r="V151">
        <f>HYPERLINK("https://klasma.github.io/Logging_0380/klagomål/A 5732-2025 FSC-klagomål.docx", "A 5732-2025")</f>
        <v/>
      </c>
      <c r="W151">
        <f>HYPERLINK("https://klasma.github.io/Logging_0380/klagomålsmail/A 5732-2025 FSC-klagomål mail.docx", "A 5732-2025")</f>
        <v/>
      </c>
      <c r="X151">
        <f>HYPERLINK("https://klasma.github.io/Logging_0380/tillsyn/A 5732-2025 tillsynsbegäran.docx", "A 5732-2025")</f>
        <v/>
      </c>
      <c r="Y151">
        <f>HYPERLINK("https://klasma.github.io/Logging_0380/tillsynsmail/A 5732-2025 tillsynsbegäran mail.docx", "A 5732-2025")</f>
        <v/>
      </c>
    </row>
    <row r="152" ht="15" customHeight="1">
      <c r="A152" t="inlineStr">
        <is>
          <t>A 21801-2025</t>
        </is>
      </c>
      <c r="B152" s="1" t="n">
        <v>45783</v>
      </c>
      <c r="C152" s="1" t="n">
        <v>46134</v>
      </c>
      <c r="D152" t="inlineStr">
        <is>
          <t>UPPSALA LÄN</t>
        </is>
      </c>
      <c r="E152" t="inlineStr">
        <is>
          <t>UPPSALA</t>
        </is>
      </c>
      <c r="G152" t="n">
        <v>7.9</v>
      </c>
      <c r="H152" t="n">
        <v>1</v>
      </c>
      <c r="I152" t="n">
        <v>0</v>
      </c>
      <c r="J152" t="n">
        <v>0</v>
      </c>
      <c r="K152" t="n">
        <v>0</v>
      </c>
      <c r="L152" t="n">
        <v>0</v>
      </c>
      <c r="M152" t="n">
        <v>0</v>
      </c>
      <c r="N152" t="n">
        <v>0</v>
      </c>
      <c r="O152" t="n">
        <v>0</v>
      </c>
      <c r="P152" t="n">
        <v>0</v>
      </c>
      <c r="Q152" t="n">
        <v>1</v>
      </c>
      <c r="R152" s="2" t="inlineStr">
        <is>
          <t>Mattlummer</t>
        </is>
      </c>
      <c r="S152">
        <f>HYPERLINK("https://klasma.github.io/Logging_0380/artfynd/A 21801-2025 artfynd.xlsx", "A 21801-2025")</f>
        <v/>
      </c>
      <c r="T152">
        <f>HYPERLINK("https://klasma.github.io/Logging_0380/kartor/A 21801-2025 karta.png", "A 21801-2025")</f>
        <v/>
      </c>
      <c r="V152">
        <f>HYPERLINK("https://klasma.github.io/Logging_0380/klagomål/A 21801-2025 FSC-klagomål.docx", "A 21801-2025")</f>
        <v/>
      </c>
      <c r="W152">
        <f>HYPERLINK("https://klasma.github.io/Logging_0380/klagomålsmail/A 21801-2025 FSC-klagomål mail.docx", "A 21801-2025")</f>
        <v/>
      </c>
      <c r="X152">
        <f>HYPERLINK("https://klasma.github.io/Logging_0380/tillsyn/A 21801-2025 tillsynsbegäran.docx", "A 21801-2025")</f>
        <v/>
      </c>
      <c r="Y152">
        <f>HYPERLINK("https://klasma.github.io/Logging_0380/tillsynsmail/A 21801-2025 tillsynsbegäran mail.docx", "A 21801-2025")</f>
        <v/>
      </c>
    </row>
    <row r="153" ht="15" customHeight="1">
      <c r="A153" t="inlineStr">
        <is>
          <t>A 4657-2025</t>
        </is>
      </c>
      <c r="B153" s="1" t="n">
        <v>45687</v>
      </c>
      <c r="C153" s="1" t="n">
        <v>46134</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Grönsångare</t>
        </is>
      </c>
      <c r="S153">
        <f>HYPERLINK("https://klasma.github.io/Logging_0380/artfynd/A 4657-2025 artfynd.xlsx", "A 4657-2025")</f>
        <v/>
      </c>
      <c r="T153">
        <f>HYPERLINK("https://klasma.github.io/Logging_0380/kartor/A 4657-2025 karta.png", "A 4657-2025")</f>
        <v/>
      </c>
      <c r="V153">
        <f>HYPERLINK("https://klasma.github.io/Logging_0380/klagomål/A 4657-2025 FSC-klagomål.docx", "A 4657-2025")</f>
        <v/>
      </c>
      <c r="W153">
        <f>HYPERLINK("https://klasma.github.io/Logging_0380/klagomålsmail/A 4657-2025 FSC-klagomål mail.docx", "A 4657-2025")</f>
        <v/>
      </c>
      <c r="X153">
        <f>HYPERLINK("https://klasma.github.io/Logging_0380/tillsyn/A 4657-2025 tillsynsbegäran.docx", "A 4657-2025")</f>
        <v/>
      </c>
      <c r="Y153">
        <f>HYPERLINK("https://klasma.github.io/Logging_0380/tillsynsmail/A 4657-2025 tillsynsbegäran mail.docx", "A 4657-2025")</f>
        <v/>
      </c>
      <c r="Z153">
        <f>HYPERLINK("https://klasma.github.io/Logging_0380/fåglar/A 4657-2025 prioriterade fågelarter.docx", "A 4657-2025")</f>
        <v/>
      </c>
    </row>
    <row r="154" ht="15" customHeight="1">
      <c r="A154" t="inlineStr">
        <is>
          <t>A 6853-2022</t>
        </is>
      </c>
      <c r="B154" s="1" t="n">
        <v>44602</v>
      </c>
      <c r="C154" s="1" t="n">
        <v>46134</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46134</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3260-2022</t>
        </is>
      </c>
      <c r="B156" s="1" t="n">
        <v>44583.61803240741</v>
      </c>
      <c r="C156" s="1" t="n">
        <v>46134</v>
      </c>
      <c r="D156" t="inlineStr">
        <is>
          <t>UPPSALA LÄN</t>
        </is>
      </c>
      <c r="E156" t="inlineStr">
        <is>
          <t>UPPSALA</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46134</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46134</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46134</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46134</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72225-2021</t>
        </is>
      </c>
      <c r="B161" s="1" t="n">
        <v>44544</v>
      </c>
      <c r="C161" s="1" t="n">
        <v>46134</v>
      </c>
      <c r="D161" t="inlineStr">
        <is>
          <t>UPPSALA LÄN</t>
        </is>
      </c>
      <c r="E161" t="inlineStr">
        <is>
          <t>UPPSALA</t>
        </is>
      </c>
      <c r="G161" t="n">
        <v>6.2</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46134</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46134</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46134</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46134</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46134</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46134</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46134</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46134</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46134</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46134</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46134</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59881-2021</t>
        </is>
      </c>
      <c r="B173" s="1" t="n">
        <v>44494</v>
      </c>
      <c r="C173" s="1" t="n">
        <v>46134</v>
      </c>
      <c r="D173" t="inlineStr">
        <is>
          <t>UPPSALA LÄN</t>
        </is>
      </c>
      <c r="E173" t="inlineStr">
        <is>
          <t>UPPSALA</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46134</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46134</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46134</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46134</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46134</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46134</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46134</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46134</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46134</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46134</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46134</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46134</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46134</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21228-2022</t>
        </is>
      </c>
      <c r="B187" s="1" t="n">
        <v>44704</v>
      </c>
      <c r="C187" s="1" t="n">
        <v>46134</v>
      </c>
      <c r="D187" t="inlineStr">
        <is>
          <t>UPPSALA LÄN</t>
        </is>
      </c>
      <c r="E187" t="inlineStr">
        <is>
          <t>UPPSALA</t>
        </is>
      </c>
      <c r="G187" t="n">
        <v>0.2</v>
      </c>
      <c r="H187" t="n">
        <v>0</v>
      </c>
      <c r="I187" t="n">
        <v>0</v>
      </c>
      <c r="J187" t="n">
        <v>0</v>
      </c>
      <c r="K187" t="n">
        <v>0</v>
      </c>
      <c r="L187" t="n">
        <v>0</v>
      </c>
      <c r="M187" t="n">
        <v>0</v>
      </c>
      <c r="N187" t="n">
        <v>0</v>
      </c>
      <c r="O187" t="n">
        <v>0</v>
      </c>
      <c r="P187" t="n">
        <v>0</v>
      </c>
      <c r="Q187" t="n">
        <v>0</v>
      </c>
      <c r="R187" s="2" t="inlineStr"/>
    </row>
    <row r="188" ht="15" customHeight="1">
      <c r="A188" t="inlineStr">
        <is>
          <t>A 27390-2022</t>
        </is>
      </c>
      <c r="B188" s="1" t="n">
        <v>44742</v>
      </c>
      <c r="C188" s="1" t="n">
        <v>46134</v>
      </c>
      <c r="D188" t="inlineStr">
        <is>
          <t>UPPSALA LÄN</t>
        </is>
      </c>
      <c r="E188" t="inlineStr">
        <is>
          <t>UPPSALA</t>
        </is>
      </c>
      <c r="G188" t="n">
        <v>3.3</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46134</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46134</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46134</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46134</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46134</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46134</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46134</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46134</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46134</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46134</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46134</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46134</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21387-2022</t>
        </is>
      </c>
      <c r="B201" s="1" t="n">
        <v>44705.78475694444</v>
      </c>
      <c r="C201" s="1" t="n">
        <v>46134</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21391-2022</t>
        </is>
      </c>
      <c r="B202" s="1" t="n">
        <v>44705.83326388889</v>
      </c>
      <c r="C202" s="1" t="n">
        <v>46134</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23713-2022</t>
        </is>
      </c>
      <c r="B203" s="1" t="n">
        <v>44722.30703703704</v>
      </c>
      <c r="C203" s="1" t="n">
        <v>46134</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46134</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46134</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46134</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51821-2021</t>
        </is>
      </c>
      <c r="B207" s="1" t="n">
        <v>44461</v>
      </c>
      <c r="C207" s="1" t="n">
        <v>46134</v>
      </c>
      <c r="D207" t="inlineStr">
        <is>
          <t>UPPSALA LÄN</t>
        </is>
      </c>
      <c r="E207" t="inlineStr">
        <is>
          <t>UPPSALA</t>
        </is>
      </c>
      <c r="F207" t="inlineStr">
        <is>
          <t>Övriga Aktiebolag</t>
        </is>
      </c>
      <c r="G207" t="n">
        <v>5.3</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46134</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46134</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46134</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46134</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46134</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46134</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46134</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46134</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46134</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46134</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46134</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46134</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46134</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46134</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46134</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46134</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46134</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46134</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46134</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46134</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46134</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46134</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46134</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46134</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46134</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46134</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46134</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46134</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46134</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46134</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46134</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46134</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46134</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46134</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46134</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46134</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46134</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46134</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46134</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46134</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46134</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46134</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46134</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46134</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46134</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46134</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46134</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46134</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46134</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46134</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46134</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46134</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46134</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46134</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46134</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46134</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46134</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46134</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46134</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46069-2022</t>
        </is>
      </c>
      <c r="B267" s="1" t="n">
        <v>44847</v>
      </c>
      <c r="C267" s="1" t="n">
        <v>46134</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60444-2023</t>
        </is>
      </c>
      <c r="B268" s="1" t="n">
        <v>45259.52809027778</v>
      </c>
      <c r="C268" s="1" t="n">
        <v>46134</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46920-2021</t>
        </is>
      </c>
      <c r="B269" s="1" t="n">
        <v>44446</v>
      </c>
      <c r="C269" s="1" t="n">
        <v>46134</v>
      </c>
      <c r="D269" t="inlineStr">
        <is>
          <t>UPPSALA LÄN</t>
        </is>
      </c>
      <c r="E269" t="inlineStr">
        <is>
          <t>UPPSALA</t>
        </is>
      </c>
      <c r="G269" t="n">
        <v>1.6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46134</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27068-2023</t>
        </is>
      </c>
      <c r="B271" s="1" t="n">
        <v>45096</v>
      </c>
      <c r="C271" s="1" t="n">
        <v>46134</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46134</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46134</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32276-2021</t>
        </is>
      </c>
      <c r="B274" s="1" t="n">
        <v>44371.49178240741</v>
      </c>
      <c r="C274" s="1" t="n">
        <v>46134</v>
      </c>
      <c r="D274" t="inlineStr">
        <is>
          <t>UPPSALA LÄN</t>
        </is>
      </c>
      <c r="E274" t="inlineStr">
        <is>
          <t>UPPSALA</t>
        </is>
      </c>
      <c r="G274" t="n">
        <v>3.7</v>
      </c>
      <c r="H274" t="n">
        <v>0</v>
      </c>
      <c r="I274" t="n">
        <v>0</v>
      </c>
      <c r="J274" t="n">
        <v>0</v>
      </c>
      <c r="K274" t="n">
        <v>0</v>
      </c>
      <c r="L274" t="n">
        <v>0</v>
      </c>
      <c r="M274" t="n">
        <v>0</v>
      </c>
      <c r="N274" t="n">
        <v>0</v>
      </c>
      <c r="O274" t="n">
        <v>0</v>
      </c>
      <c r="P274" t="n">
        <v>0</v>
      </c>
      <c r="Q274" t="n">
        <v>0</v>
      </c>
      <c r="R274" s="2" t="inlineStr"/>
    </row>
    <row r="275" ht="15" customHeight="1">
      <c r="A275" t="inlineStr">
        <is>
          <t>A 37162-2021</t>
        </is>
      </c>
      <c r="B275" s="1" t="n">
        <v>44395</v>
      </c>
      <c r="C275" s="1" t="n">
        <v>46134</v>
      </c>
      <c r="D275" t="inlineStr">
        <is>
          <t>UPPSALA LÄN</t>
        </is>
      </c>
      <c r="E275" t="inlineStr">
        <is>
          <t>UPPSALA</t>
        </is>
      </c>
      <c r="G275" t="n">
        <v>3.5</v>
      </c>
      <c r="H275" t="n">
        <v>0</v>
      </c>
      <c r="I275" t="n">
        <v>0</v>
      </c>
      <c r="J275" t="n">
        <v>0</v>
      </c>
      <c r="K275" t="n">
        <v>0</v>
      </c>
      <c r="L275" t="n">
        <v>0</v>
      </c>
      <c r="M275" t="n">
        <v>0</v>
      </c>
      <c r="N275" t="n">
        <v>0</v>
      </c>
      <c r="O275" t="n">
        <v>0</v>
      </c>
      <c r="P275" t="n">
        <v>0</v>
      </c>
      <c r="Q275" t="n">
        <v>0</v>
      </c>
      <c r="R275" s="2" t="inlineStr"/>
    </row>
    <row r="276" ht="15" customHeight="1">
      <c r="A276" t="inlineStr">
        <is>
          <t>A 73531-2021</t>
        </is>
      </c>
      <c r="B276" s="1" t="n">
        <v>44551.76711805556</v>
      </c>
      <c r="C276" s="1" t="n">
        <v>46134</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4509-2024</t>
        </is>
      </c>
      <c r="B277" s="1" t="n">
        <v>45327</v>
      </c>
      <c r="C277" s="1" t="n">
        <v>46134</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53900-2023</t>
        </is>
      </c>
      <c r="B278" s="1" t="n">
        <v>45231.54601851852</v>
      </c>
      <c r="C278" s="1" t="n">
        <v>46134</v>
      </c>
      <c r="D278" t="inlineStr">
        <is>
          <t>UPPSALA LÄN</t>
        </is>
      </c>
      <c r="E278" t="inlineStr">
        <is>
          <t>UPPSALA</t>
        </is>
      </c>
      <c r="G278" t="n">
        <v>2.1</v>
      </c>
      <c r="H278" t="n">
        <v>0</v>
      </c>
      <c r="I278" t="n">
        <v>0</v>
      </c>
      <c r="J278" t="n">
        <v>0</v>
      </c>
      <c r="K278" t="n">
        <v>0</v>
      </c>
      <c r="L278" t="n">
        <v>0</v>
      </c>
      <c r="M278" t="n">
        <v>0</v>
      </c>
      <c r="N278" t="n">
        <v>0</v>
      </c>
      <c r="O278" t="n">
        <v>0</v>
      </c>
      <c r="P278" t="n">
        <v>0</v>
      </c>
      <c r="Q278" t="n">
        <v>0</v>
      </c>
      <c r="R278" s="2" t="inlineStr"/>
    </row>
    <row r="279" ht="15" customHeight="1">
      <c r="A279" t="inlineStr">
        <is>
          <t>A 60781-2023</t>
        </is>
      </c>
      <c r="B279" s="1" t="n">
        <v>45259</v>
      </c>
      <c r="C279" s="1" t="n">
        <v>46134</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60714-2023</t>
        </is>
      </c>
      <c r="B280" s="1" t="n">
        <v>45259</v>
      </c>
      <c r="C280" s="1" t="n">
        <v>46134</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54813-2022</t>
        </is>
      </c>
      <c r="B281" s="1" t="n">
        <v>44883</v>
      </c>
      <c r="C281" s="1" t="n">
        <v>46134</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46635-2022</t>
        </is>
      </c>
      <c r="B282" s="1" t="n">
        <v>44849</v>
      </c>
      <c r="C282" s="1" t="n">
        <v>46134</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38469-2025</t>
        </is>
      </c>
      <c r="B283" s="1" t="n">
        <v>45884</v>
      </c>
      <c r="C283" s="1" t="n">
        <v>46134</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5876-2024</t>
        </is>
      </c>
      <c r="B284" s="1" t="n">
        <v>45335.66331018518</v>
      </c>
      <c r="C284" s="1" t="n">
        <v>46134</v>
      </c>
      <c r="D284" t="inlineStr">
        <is>
          <t>UPPSALA LÄN</t>
        </is>
      </c>
      <c r="E284" t="inlineStr">
        <is>
          <t>UPPSALA</t>
        </is>
      </c>
      <c r="F284" t="inlineStr">
        <is>
          <t>Kyrkan</t>
        </is>
      </c>
      <c r="G284" t="n">
        <v>1.7</v>
      </c>
      <c r="H284" t="n">
        <v>0</v>
      </c>
      <c r="I284" t="n">
        <v>0</v>
      </c>
      <c r="J284" t="n">
        <v>0</v>
      </c>
      <c r="K284" t="n">
        <v>0</v>
      </c>
      <c r="L284" t="n">
        <v>0</v>
      </c>
      <c r="M284" t="n">
        <v>0</v>
      </c>
      <c r="N284" t="n">
        <v>0</v>
      </c>
      <c r="O284" t="n">
        <v>0</v>
      </c>
      <c r="P284" t="n">
        <v>0</v>
      </c>
      <c r="Q284" t="n">
        <v>0</v>
      </c>
      <c r="R284" s="2" t="inlineStr"/>
    </row>
    <row r="285" ht="15" customHeight="1">
      <c r="A285" t="inlineStr">
        <is>
          <t>A 45885-2023</t>
        </is>
      </c>
      <c r="B285" s="1" t="n">
        <v>45195.64807870371</v>
      </c>
      <c r="C285" s="1" t="n">
        <v>46134</v>
      </c>
      <c r="D285" t="inlineStr">
        <is>
          <t>UPPSALA LÄN</t>
        </is>
      </c>
      <c r="E285" t="inlineStr">
        <is>
          <t>UPPSALA</t>
        </is>
      </c>
      <c r="G285" t="n">
        <v>6.5</v>
      </c>
      <c r="H285" t="n">
        <v>0</v>
      </c>
      <c r="I285" t="n">
        <v>0</v>
      </c>
      <c r="J285" t="n">
        <v>0</v>
      </c>
      <c r="K285" t="n">
        <v>0</v>
      </c>
      <c r="L285" t="n">
        <v>0</v>
      </c>
      <c r="M285" t="n">
        <v>0</v>
      </c>
      <c r="N285" t="n">
        <v>0</v>
      </c>
      <c r="O285" t="n">
        <v>0</v>
      </c>
      <c r="P285" t="n">
        <v>0</v>
      </c>
      <c r="Q285" t="n">
        <v>0</v>
      </c>
      <c r="R285" s="2" t="inlineStr"/>
    </row>
    <row r="286" ht="15" customHeight="1">
      <c r="A286" t="inlineStr">
        <is>
          <t>A 59098-2024</t>
        </is>
      </c>
      <c r="B286" s="1" t="n">
        <v>45636</v>
      </c>
      <c r="C286" s="1" t="n">
        <v>46134</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56889-2022</t>
        </is>
      </c>
      <c r="B287" s="1" t="n">
        <v>44894.57065972222</v>
      </c>
      <c r="C287" s="1" t="n">
        <v>46134</v>
      </c>
      <c r="D287" t="inlineStr">
        <is>
          <t>UPPSALA LÄN</t>
        </is>
      </c>
      <c r="E287" t="inlineStr">
        <is>
          <t>UPPSALA</t>
        </is>
      </c>
      <c r="F287" t="inlineStr">
        <is>
          <t>Övriga Aktiebolag</t>
        </is>
      </c>
      <c r="G287" t="n">
        <v>21.6</v>
      </c>
      <c r="H287" t="n">
        <v>0</v>
      </c>
      <c r="I287" t="n">
        <v>0</v>
      </c>
      <c r="J287" t="n">
        <v>0</v>
      </c>
      <c r="K287" t="n">
        <v>0</v>
      </c>
      <c r="L287" t="n">
        <v>0</v>
      </c>
      <c r="M287" t="n">
        <v>0</v>
      </c>
      <c r="N287" t="n">
        <v>0</v>
      </c>
      <c r="O287" t="n">
        <v>0</v>
      </c>
      <c r="P287" t="n">
        <v>0</v>
      </c>
      <c r="Q287" t="n">
        <v>0</v>
      </c>
      <c r="R287" s="2" t="inlineStr"/>
    </row>
    <row r="288" ht="15" customHeight="1">
      <c r="A288" t="inlineStr">
        <is>
          <t>A 30319-2024</t>
        </is>
      </c>
      <c r="B288" s="1" t="n">
        <v>45490</v>
      </c>
      <c r="C288" s="1" t="n">
        <v>46134</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63389-2025</t>
        </is>
      </c>
      <c r="B289" s="1" t="n">
        <v>46011.70635416666</v>
      </c>
      <c r="C289" s="1" t="n">
        <v>46134</v>
      </c>
      <c r="D289" t="inlineStr">
        <is>
          <t>UPPSALA LÄN</t>
        </is>
      </c>
      <c r="E289" t="inlineStr">
        <is>
          <t>UPPSALA</t>
        </is>
      </c>
      <c r="G289" t="n">
        <v>1.8</v>
      </c>
      <c r="H289" t="n">
        <v>0</v>
      </c>
      <c r="I289" t="n">
        <v>0</v>
      </c>
      <c r="J289" t="n">
        <v>0</v>
      </c>
      <c r="K289" t="n">
        <v>0</v>
      </c>
      <c r="L289" t="n">
        <v>0</v>
      </c>
      <c r="M289" t="n">
        <v>0</v>
      </c>
      <c r="N289" t="n">
        <v>0</v>
      </c>
      <c r="O289" t="n">
        <v>0</v>
      </c>
      <c r="P289" t="n">
        <v>0</v>
      </c>
      <c r="Q289" t="n">
        <v>0</v>
      </c>
      <c r="R289" s="2" t="inlineStr"/>
    </row>
    <row r="290" ht="15" customHeight="1">
      <c r="A290" t="inlineStr">
        <is>
          <t>A 63530-2025</t>
        </is>
      </c>
      <c r="B290" s="1" t="n">
        <v>46013.56292824074</v>
      </c>
      <c r="C290" s="1" t="n">
        <v>46134</v>
      </c>
      <c r="D290" t="inlineStr">
        <is>
          <t>UPPSALA LÄN</t>
        </is>
      </c>
      <c r="E290" t="inlineStr">
        <is>
          <t>UPPSALA</t>
        </is>
      </c>
      <c r="G290" t="n">
        <v>1.9</v>
      </c>
      <c r="H290" t="n">
        <v>0</v>
      </c>
      <c r="I290" t="n">
        <v>0</v>
      </c>
      <c r="J290" t="n">
        <v>0</v>
      </c>
      <c r="K290" t="n">
        <v>0</v>
      </c>
      <c r="L290" t="n">
        <v>0</v>
      </c>
      <c r="M290" t="n">
        <v>0</v>
      </c>
      <c r="N290" t="n">
        <v>0</v>
      </c>
      <c r="O290" t="n">
        <v>0</v>
      </c>
      <c r="P290" t="n">
        <v>0</v>
      </c>
      <c r="Q290" t="n">
        <v>0</v>
      </c>
      <c r="R290" s="2" t="inlineStr"/>
    </row>
    <row r="291" ht="15" customHeight="1">
      <c r="A291" t="inlineStr">
        <is>
          <t>A 6677-2024</t>
        </is>
      </c>
      <c r="B291" s="1" t="n">
        <v>45341</v>
      </c>
      <c r="C291" s="1" t="n">
        <v>46134</v>
      </c>
      <c r="D291" t="inlineStr">
        <is>
          <t>UPPSALA LÄN</t>
        </is>
      </c>
      <c r="E291" t="inlineStr">
        <is>
          <t>UPPSALA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20903-2024</t>
        </is>
      </c>
      <c r="B292" s="1" t="n">
        <v>45439</v>
      </c>
      <c r="C292" s="1" t="n">
        <v>46134</v>
      </c>
      <c r="D292" t="inlineStr">
        <is>
          <t>UPPSALA LÄN</t>
        </is>
      </c>
      <c r="E292" t="inlineStr">
        <is>
          <t>UPPSALA</t>
        </is>
      </c>
      <c r="F292" t="inlineStr">
        <is>
          <t>Holmen skog AB</t>
        </is>
      </c>
      <c r="G292" t="n">
        <v>2.7</v>
      </c>
      <c r="H292" t="n">
        <v>0</v>
      </c>
      <c r="I292" t="n">
        <v>0</v>
      </c>
      <c r="J292" t="n">
        <v>0</v>
      </c>
      <c r="K292" t="n">
        <v>0</v>
      </c>
      <c r="L292" t="n">
        <v>0</v>
      </c>
      <c r="M292" t="n">
        <v>0</v>
      </c>
      <c r="N292" t="n">
        <v>0</v>
      </c>
      <c r="O292" t="n">
        <v>0</v>
      </c>
      <c r="P292" t="n">
        <v>0</v>
      </c>
      <c r="Q292" t="n">
        <v>0</v>
      </c>
      <c r="R292" s="2" t="inlineStr"/>
    </row>
    <row r="293" ht="15" customHeight="1">
      <c r="A293" t="inlineStr">
        <is>
          <t>A 63532-2025</t>
        </is>
      </c>
      <c r="B293" s="1" t="n">
        <v>46013.56641203703</v>
      </c>
      <c r="C293" s="1" t="n">
        <v>46134</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19539-2024</t>
        </is>
      </c>
      <c r="B294" s="1" t="n">
        <v>45429</v>
      </c>
      <c r="C294" s="1" t="n">
        <v>46134</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6630-2024</t>
        </is>
      </c>
      <c r="B295" s="1" t="n">
        <v>45341.63811342593</v>
      </c>
      <c r="C295" s="1" t="n">
        <v>46134</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24284-2025</t>
        </is>
      </c>
      <c r="B296" s="1" t="n">
        <v>45797.45900462963</v>
      </c>
      <c r="C296" s="1" t="n">
        <v>46134</v>
      </c>
      <c r="D296" t="inlineStr">
        <is>
          <t>UPPSALA LÄN</t>
        </is>
      </c>
      <c r="E296" t="inlineStr">
        <is>
          <t>UPPSALA</t>
        </is>
      </c>
      <c r="F296" t="inlineStr">
        <is>
          <t>Holmen skog AB</t>
        </is>
      </c>
      <c r="G296" t="n">
        <v>12.7</v>
      </c>
      <c r="H296" t="n">
        <v>0</v>
      </c>
      <c r="I296" t="n">
        <v>0</v>
      </c>
      <c r="J296" t="n">
        <v>0</v>
      </c>
      <c r="K296" t="n">
        <v>0</v>
      </c>
      <c r="L296" t="n">
        <v>0</v>
      </c>
      <c r="M296" t="n">
        <v>0</v>
      </c>
      <c r="N296" t="n">
        <v>0</v>
      </c>
      <c r="O296" t="n">
        <v>0</v>
      </c>
      <c r="P296" t="n">
        <v>0</v>
      </c>
      <c r="Q296" t="n">
        <v>0</v>
      </c>
      <c r="R296" s="2" t="inlineStr"/>
    </row>
    <row r="297" ht="15" customHeight="1">
      <c r="A297" t="inlineStr">
        <is>
          <t>A 1032-2023</t>
        </is>
      </c>
      <c r="B297" s="1" t="n">
        <v>44935</v>
      </c>
      <c r="C297" s="1" t="n">
        <v>46134</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53569-2024</t>
        </is>
      </c>
      <c r="B298" s="1" t="n">
        <v>45614.65928240741</v>
      </c>
      <c r="C298" s="1" t="n">
        <v>46134</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63621-2025</t>
        </is>
      </c>
      <c r="B299" s="1" t="n">
        <v>46014.35287037037</v>
      </c>
      <c r="C299" s="1" t="n">
        <v>46134</v>
      </c>
      <c r="D299" t="inlineStr">
        <is>
          <t>UPPSALA LÄN</t>
        </is>
      </c>
      <c r="E299" t="inlineStr">
        <is>
          <t>UPPSALA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63669-2025</t>
        </is>
      </c>
      <c r="B300" s="1" t="n">
        <v>46014.45854166667</v>
      </c>
      <c r="C300" s="1" t="n">
        <v>46134</v>
      </c>
      <c r="D300" t="inlineStr">
        <is>
          <t>UPPSALA LÄN</t>
        </is>
      </c>
      <c r="E300" t="inlineStr">
        <is>
          <t>UPPSALA</t>
        </is>
      </c>
      <c r="G300" t="n">
        <v>5.4</v>
      </c>
      <c r="H300" t="n">
        <v>0</v>
      </c>
      <c r="I300" t="n">
        <v>0</v>
      </c>
      <c r="J300" t="n">
        <v>0</v>
      </c>
      <c r="K300" t="n">
        <v>0</v>
      </c>
      <c r="L300" t="n">
        <v>0</v>
      </c>
      <c r="M300" t="n">
        <v>0</v>
      </c>
      <c r="N300" t="n">
        <v>0</v>
      </c>
      <c r="O300" t="n">
        <v>0</v>
      </c>
      <c r="P300" t="n">
        <v>0</v>
      </c>
      <c r="Q300" t="n">
        <v>0</v>
      </c>
      <c r="R300" s="2" t="inlineStr"/>
    </row>
    <row r="301" ht="15" customHeight="1">
      <c r="A301" t="inlineStr">
        <is>
          <t>A 24525-2025</t>
        </is>
      </c>
      <c r="B301" s="1" t="n">
        <v>45798.42252314815</v>
      </c>
      <c r="C301" s="1" t="n">
        <v>46134</v>
      </c>
      <c r="D301" t="inlineStr">
        <is>
          <t>UPPSALA LÄN</t>
        </is>
      </c>
      <c r="E301" t="inlineStr">
        <is>
          <t>UPPSALA</t>
        </is>
      </c>
      <c r="G301" t="n">
        <v>3.2</v>
      </c>
      <c r="H301" t="n">
        <v>0</v>
      </c>
      <c r="I301" t="n">
        <v>0</v>
      </c>
      <c r="J301" t="n">
        <v>0</v>
      </c>
      <c r="K301" t="n">
        <v>0</v>
      </c>
      <c r="L301" t="n">
        <v>0</v>
      </c>
      <c r="M301" t="n">
        <v>0</v>
      </c>
      <c r="N301" t="n">
        <v>0</v>
      </c>
      <c r="O301" t="n">
        <v>0</v>
      </c>
      <c r="P301" t="n">
        <v>0</v>
      </c>
      <c r="Q301" t="n">
        <v>0</v>
      </c>
      <c r="R301" s="2" t="inlineStr"/>
    </row>
    <row r="302" ht="15" customHeight="1">
      <c r="A302" t="inlineStr">
        <is>
          <t>A 63011-2021</t>
        </is>
      </c>
      <c r="B302" s="1" t="n">
        <v>44504</v>
      </c>
      <c r="C302" s="1" t="n">
        <v>46134</v>
      </c>
      <c r="D302" t="inlineStr">
        <is>
          <t>UPPSALA LÄN</t>
        </is>
      </c>
      <c r="E302" t="inlineStr">
        <is>
          <t>UPPSALA</t>
        </is>
      </c>
      <c r="G302" t="n">
        <v>11.2</v>
      </c>
      <c r="H302" t="n">
        <v>0</v>
      </c>
      <c r="I302" t="n">
        <v>0</v>
      </c>
      <c r="J302" t="n">
        <v>0</v>
      </c>
      <c r="K302" t="n">
        <v>0</v>
      </c>
      <c r="L302" t="n">
        <v>0</v>
      </c>
      <c r="M302" t="n">
        <v>0</v>
      </c>
      <c r="N302" t="n">
        <v>0</v>
      </c>
      <c r="O302" t="n">
        <v>0</v>
      </c>
      <c r="P302" t="n">
        <v>0</v>
      </c>
      <c r="Q302" t="n">
        <v>0</v>
      </c>
      <c r="R302" s="2" t="inlineStr"/>
    </row>
    <row r="303" ht="15" customHeight="1">
      <c r="A303" t="inlineStr">
        <is>
          <t>A 55275-2025</t>
        </is>
      </c>
      <c r="B303" s="1" t="n">
        <v>45968.76021990741</v>
      </c>
      <c r="C303" s="1" t="n">
        <v>46134</v>
      </c>
      <c r="D303" t="inlineStr">
        <is>
          <t>UPPSALA LÄN</t>
        </is>
      </c>
      <c r="E303" t="inlineStr">
        <is>
          <t>UPPSALA</t>
        </is>
      </c>
      <c r="F303" t="inlineStr">
        <is>
          <t>Allmännings- och besparingsskogar</t>
        </is>
      </c>
      <c r="G303" t="n">
        <v>13.2</v>
      </c>
      <c r="H303" t="n">
        <v>0</v>
      </c>
      <c r="I303" t="n">
        <v>0</v>
      </c>
      <c r="J303" t="n">
        <v>0</v>
      </c>
      <c r="K303" t="n">
        <v>0</v>
      </c>
      <c r="L303" t="n">
        <v>0</v>
      </c>
      <c r="M303" t="n">
        <v>0</v>
      </c>
      <c r="N303" t="n">
        <v>0</v>
      </c>
      <c r="O303" t="n">
        <v>0</v>
      </c>
      <c r="P303" t="n">
        <v>0</v>
      </c>
      <c r="Q303" t="n">
        <v>0</v>
      </c>
      <c r="R303" s="2" t="inlineStr"/>
    </row>
    <row r="304" ht="15" customHeight="1">
      <c r="A304" t="inlineStr">
        <is>
          <t>A 24268-2025</t>
        </is>
      </c>
      <c r="B304" s="1" t="n">
        <v>45797.42777777778</v>
      </c>
      <c r="C304" s="1" t="n">
        <v>46134</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44315-2021</t>
        </is>
      </c>
      <c r="B305" s="1" t="n">
        <v>44435.38657407407</v>
      </c>
      <c r="C305" s="1" t="n">
        <v>46134</v>
      </c>
      <c r="D305" t="inlineStr">
        <is>
          <t>UPPSALA LÄN</t>
        </is>
      </c>
      <c r="E305" t="inlineStr">
        <is>
          <t>UPPSALA</t>
        </is>
      </c>
      <c r="G305" t="n">
        <v>5.2</v>
      </c>
      <c r="H305" t="n">
        <v>0</v>
      </c>
      <c r="I305" t="n">
        <v>0</v>
      </c>
      <c r="J305" t="n">
        <v>0</v>
      </c>
      <c r="K305" t="n">
        <v>0</v>
      </c>
      <c r="L305" t="n">
        <v>0</v>
      </c>
      <c r="M305" t="n">
        <v>0</v>
      </c>
      <c r="N305" t="n">
        <v>0</v>
      </c>
      <c r="O305" t="n">
        <v>0</v>
      </c>
      <c r="P305" t="n">
        <v>0</v>
      </c>
      <c r="Q305" t="n">
        <v>0</v>
      </c>
      <c r="R305" s="2" t="inlineStr"/>
    </row>
    <row r="306" ht="15" customHeight="1">
      <c r="A306" t="inlineStr">
        <is>
          <t>A 6988-2025</t>
        </is>
      </c>
      <c r="B306" s="1" t="n">
        <v>45693</v>
      </c>
      <c r="C306" s="1" t="n">
        <v>46134</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6851-2022</t>
        </is>
      </c>
      <c r="B307" s="1" t="n">
        <v>44602</v>
      </c>
      <c r="C307" s="1" t="n">
        <v>46134</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24912-2025</t>
        </is>
      </c>
      <c r="B308" s="1" t="n">
        <v>45799.53803240741</v>
      </c>
      <c r="C308" s="1" t="n">
        <v>46134</v>
      </c>
      <c r="D308" t="inlineStr">
        <is>
          <t>UPPSALA LÄN</t>
        </is>
      </c>
      <c r="E308" t="inlineStr">
        <is>
          <t>UPPSALA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24916-2025</t>
        </is>
      </c>
      <c r="B309" s="1" t="n">
        <v>45799.5421875</v>
      </c>
      <c r="C309" s="1" t="n">
        <v>46134</v>
      </c>
      <c r="D309" t="inlineStr">
        <is>
          <t>UPPSALA LÄN</t>
        </is>
      </c>
      <c r="E309" t="inlineStr">
        <is>
          <t>UPPSALA</t>
        </is>
      </c>
      <c r="F309" t="inlineStr">
        <is>
          <t>Sveaskog</t>
        </is>
      </c>
      <c r="G309" t="n">
        <v>3.4</v>
      </c>
      <c r="H309" t="n">
        <v>0</v>
      </c>
      <c r="I309" t="n">
        <v>0</v>
      </c>
      <c r="J309" t="n">
        <v>0</v>
      </c>
      <c r="K309" t="n">
        <v>0</v>
      </c>
      <c r="L309" t="n">
        <v>0</v>
      </c>
      <c r="M309" t="n">
        <v>0</v>
      </c>
      <c r="N309" t="n">
        <v>0</v>
      </c>
      <c r="O309" t="n">
        <v>0</v>
      </c>
      <c r="P309" t="n">
        <v>0</v>
      </c>
      <c r="Q309" t="n">
        <v>0</v>
      </c>
      <c r="R309" s="2" t="inlineStr"/>
    </row>
    <row r="310" ht="15" customHeight="1">
      <c r="A310" t="inlineStr">
        <is>
          <t>A 24961-2025</t>
        </is>
      </c>
      <c r="B310" s="1" t="n">
        <v>45799.57714120371</v>
      </c>
      <c r="C310" s="1" t="n">
        <v>46134</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5006-2022</t>
        </is>
      </c>
      <c r="B311" s="1" t="n">
        <v>44593</v>
      </c>
      <c r="C311" s="1" t="n">
        <v>46134</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25025-2025</t>
        </is>
      </c>
      <c r="B312" s="1" t="n">
        <v>45799.64877314815</v>
      </c>
      <c r="C312" s="1" t="n">
        <v>46134</v>
      </c>
      <c r="D312" t="inlineStr">
        <is>
          <t>UPPSALA LÄN</t>
        </is>
      </c>
      <c r="E312" t="inlineStr">
        <is>
          <t>UPPSALA</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12828-2025</t>
        </is>
      </c>
      <c r="B313" s="1" t="n">
        <v>45733.62903935185</v>
      </c>
      <c r="C313" s="1" t="n">
        <v>46134</v>
      </c>
      <c r="D313" t="inlineStr">
        <is>
          <t>UPPSALA LÄN</t>
        </is>
      </c>
      <c r="E313" t="inlineStr">
        <is>
          <t>UPPSALA</t>
        </is>
      </c>
      <c r="G313" t="n">
        <v>5.3</v>
      </c>
      <c r="H313" t="n">
        <v>0</v>
      </c>
      <c r="I313" t="n">
        <v>0</v>
      </c>
      <c r="J313" t="n">
        <v>0</v>
      </c>
      <c r="K313" t="n">
        <v>0</v>
      </c>
      <c r="L313" t="n">
        <v>0</v>
      </c>
      <c r="M313" t="n">
        <v>0</v>
      </c>
      <c r="N313" t="n">
        <v>0</v>
      </c>
      <c r="O313" t="n">
        <v>0</v>
      </c>
      <c r="P313" t="n">
        <v>0</v>
      </c>
      <c r="Q313" t="n">
        <v>0</v>
      </c>
      <c r="R313" s="2" t="inlineStr"/>
    </row>
    <row r="314" ht="15" customHeight="1">
      <c r="A314" t="inlineStr">
        <is>
          <t>A 24913-2025</t>
        </is>
      </c>
      <c r="B314" s="1" t="n">
        <v>45799.53947916667</v>
      </c>
      <c r="C314" s="1" t="n">
        <v>46134</v>
      </c>
      <c r="D314" t="inlineStr">
        <is>
          <t>UPPSALA LÄN</t>
        </is>
      </c>
      <c r="E314" t="inlineStr">
        <is>
          <t>UPPSALA</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24915-2025</t>
        </is>
      </c>
      <c r="B315" s="1" t="n">
        <v>45799.54104166666</v>
      </c>
      <c r="C315" s="1" t="n">
        <v>46134</v>
      </c>
      <c r="D315" t="inlineStr">
        <is>
          <t>UPPSALA LÄN</t>
        </is>
      </c>
      <c r="E315" t="inlineStr">
        <is>
          <t>UPPSALA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13742-2025</t>
        </is>
      </c>
      <c r="B316" s="1" t="n">
        <v>45737.40503472222</v>
      </c>
      <c r="C316" s="1" t="n">
        <v>46134</v>
      </c>
      <c r="D316" t="inlineStr">
        <is>
          <t>UPPSALA LÄN</t>
        </is>
      </c>
      <c r="E316" t="inlineStr">
        <is>
          <t>UPPSALA</t>
        </is>
      </c>
      <c r="G316" t="n">
        <v>5.1</v>
      </c>
      <c r="H316" t="n">
        <v>0</v>
      </c>
      <c r="I316" t="n">
        <v>0</v>
      </c>
      <c r="J316" t="n">
        <v>0</v>
      </c>
      <c r="K316" t="n">
        <v>0</v>
      </c>
      <c r="L316" t="n">
        <v>0</v>
      </c>
      <c r="M316" t="n">
        <v>0</v>
      </c>
      <c r="N316" t="n">
        <v>0</v>
      </c>
      <c r="O316" t="n">
        <v>0</v>
      </c>
      <c r="P316" t="n">
        <v>0</v>
      </c>
      <c r="Q316" t="n">
        <v>0</v>
      </c>
      <c r="R316" s="2" t="inlineStr"/>
    </row>
    <row r="317" ht="15" customHeight="1">
      <c r="A317" t="inlineStr">
        <is>
          <t>A 25026-2025</t>
        </is>
      </c>
      <c r="B317" s="1" t="n">
        <v>45799.65021990741</v>
      </c>
      <c r="C317" s="1" t="n">
        <v>46134</v>
      </c>
      <c r="D317" t="inlineStr">
        <is>
          <t>UPPSALA LÄN</t>
        </is>
      </c>
      <c r="E317" t="inlineStr">
        <is>
          <t>UPPSALA</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25030-2025</t>
        </is>
      </c>
      <c r="B318" s="1" t="n">
        <v>45799.6527199074</v>
      </c>
      <c r="C318" s="1" t="n">
        <v>46134</v>
      </c>
      <c r="D318" t="inlineStr">
        <is>
          <t>UPPSALA LÄN</t>
        </is>
      </c>
      <c r="E318" t="inlineStr">
        <is>
          <t>UPPSALA</t>
        </is>
      </c>
      <c r="F318" t="inlineStr">
        <is>
          <t>Sveaskog</t>
        </is>
      </c>
      <c r="G318" t="n">
        <v>6</v>
      </c>
      <c r="H318" t="n">
        <v>0</v>
      </c>
      <c r="I318" t="n">
        <v>0</v>
      </c>
      <c r="J318" t="n">
        <v>0</v>
      </c>
      <c r="K318" t="n">
        <v>0</v>
      </c>
      <c r="L318" t="n">
        <v>0</v>
      </c>
      <c r="M318" t="n">
        <v>0</v>
      </c>
      <c r="N318" t="n">
        <v>0</v>
      </c>
      <c r="O318" t="n">
        <v>0</v>
      </c>
      <c r="P318" t="n">
        <v>0</v>
      </c>
      <c r="Q318" t="n">
        <v>0</v>
      </c>
      <c r="R318" s="2" t="inlineStr"/>
    </row>
    <row r="319" ht="15" customHeight="1">
      <c r="A319" t="inlineStr">
        <is>
          <t>A 9398-2023</t>
        </is>
      </c>
      <c r="B319" s="1" t="n">
        <v>44977</v>
      </c>
      <c r="C319" s="1" t="n">
        <v>46134</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24794-2025</t>
        </is>
      </c>
      <c r="B320" s="1" t="n">
        <v>45799.43496527777</v>
      </c>
      <c r="C320" s="1" t="n">
        <v>46134</v>
      </c>
      <c r="D320" t="inlineStr">
        <is>
          <t>UPPSALA LÄN</t>
        </is>
      </c>
      <c r="E320" t="inlineStr">
        <is>
          <t>UPPSALA</t>
        </is>
      </c>
      <c r="F320" t="inlineStr">
        <is>
          <t>BillerudKorsnäs AB</t>
        </is>
      </c>
      <c r="G320" t="n">
        <v>1.4</v>
      </c>
      <c r="H320" t="n">
        <v>0</v>
      </c>
      <c r="I320" t="n">
        <v>0</v>
      </c>
      <c r="J320" t="n">
        <v>0</v>
      </c>
      <c r="K320" t="n">
        <v>0</v>
      </c>
      <c r="L320" t="n">
        <v>0</v>
      </c>
      <c r="M320" t="n">
        <v>0</v>
      </c>
      <c r="N320" t="n">
        <v>0</v>
      </c>
      <c r="O320" t="n">
        <v>0</v>
      </c>
      <c r="P320" t="n">
        <v>0</v>
      </c>
      <c r="Q320" t="n">
        <v>0</v>
      </c>
      <c r="R320" s="2" t="inlineStr"/>
    </row>
    <row r="321" ht="15" customHeight="1">
      <c r="A321" t="inlineStr">
        <is>
          <t>A 918-2026</t>
        </is>
      </c>
      <c r="B321" s="1" t="n">
        <v>46030</v>
      </c>
      <c r="C321" s="1" t="n">
        <v>46134</v>
      </c>
      <c r="D321" t="inlineStr">
        <is>
          <t>UPPSALA LÄN</t>
        </is>
      </c>
      <c r="E321" t="inlineStr">
        <is>
          <t>UPPSALA</t>
        </is>
      </c>
      <c r="F321" t="inlineStr">
        <is>
          <t>Övriga statliga verk och myndigheter</t>
        </is>
      </c>
      <c r="G321" t="n">
        <v>15.1</v>
      </c>
      <c r="H321" t="n">
        <v>0</v>
      </c>
      <c r="I321" t="n">
        <v>0</v>
      </c>
      <c r="J321" t="n">
        <v>0</v>
      </c>
      <c r="K321" t="n">
        <v>0</v>
      </c>
      <c r="L321" t="n">
        <v>0</v>
      </c>
      <c r="M321" t="n">
        <v>0</v>
      </c>
      <c r="N321" t="n">
        <v>0</v>
      </c>
      <c r="O321" t="n">
        <v>0</v>
      </c>
      <c r="P321" t="n">
        <v>0</v>
      </c>
      <c r="Q321" t="n">
        <v>0</v>
      </c>
      <c r="R321" s="2" t="inlineStr"/>
    </row>
    <row r="322" ht="15" customHeight="1">
      <c r="A322" t="inlineStr">
        <is>
          <t>A 25280-2023</t>
        </is>
      </c>
      <c r="B322" s="1" t="n">
        <v>45086.7037037037</v>
      </c>
      <c r="C322" s="1" t="n">
        <v>46134</v>
      </c>
      <c r="D322" t="inlineStr">
        <is>
          <t>UPPSALA LÄN</t>
        </is>
      </c>
      <c r="E322" t="inlineStr">
        <is>
          <t>UPPSALA</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17595-2025</t>
        </is>
      </c>
      <c r="B323" s="1" t="n">
        <v>45757</v>
      </c>
      <c r="C323" s="1" t="n">
        <v>46134</v>
      </c>
      <c r="D323" t="inlineStr">
        <is>
          <t>UPPSALA LÄN</t>
        </is>
      </c>
      <c r="E323" t="inlineStr">
        <is>
          <t>UPPSALA</t>
        </is>
      </c>
      <c r="G323" t="n">
        <v>2.7</v>
      </c>
      <c r="H323" t="n">
        <v>0</v>
      </c>
      <c r="I323" t="n">
        <v>0</v>
      </c>
      <c r="J323" t="n">
        <v>0</v>
      </c>
      <c r="K323" t="n">
        <v>0</v>
      </c>
      <c r="L323" t="n">
        <v>0</v>
      </c>
      <c r="M323" t="n">
        <v>0</v>
      </c>
      <c r="N323" t="n">
        <v>0</v>
      </c>
      <c r="O323" t="n">
        <v>0</v>
      </c>
      <c r="P323" t="n">
        <v>0</v>
      </c>
      <c r="Q323" t="n">
        <v>0</v>
      </c>
      <c r="R323" s="2" t="inlineStr"/>
    </row>
    <row r="324" ht="15" customHeight="1">
      <c r="A324" t="inlineStr">
        <is>
          <t>A 32928-2025</t>
        </is>
      </c>
      <c r="B324" s="1" t="n">
        <v>45839</v>
      </c>
      <c r="C324" s="1" t="n">
        <v>46134</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15264-2025</t>
        </is>
      </c>
      <c r="B325" s="1" t="n">
        <v>45744</v>
      </c>
      <c r="C325" s="1" t="n">
        <v>46134</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6628-2024</t>
        </is>
      </c>
      <c r="B326" s="1" t="n">
        <v>45341</v>
      </c>
      <c r="C326" s="1" t="n">
        <v>46134</v>
      </c>
      <c r="D326" t="inlineStr">
        <is>
          <t>UPPSALA LÄN</t>
        </is>
      </c>
      <c r="E326" t="inlineStr">
        <is>
          <t>UPPSALA</t>
        </is>
      </c>
      <c r="G326" t="n">
        <v>4.3</v>
      </c>
      <c r="H326" t="n">
        <v>0</v>
      </c>
      <c r="I326" t="n">
        <v>0</v>
      </c>
      <c r="J326" t="n">
        <v>0</v>
      </c>
      <c r="K326" t="n">
        <v>0</v>
      </c>
      <c r="L326" t="n">
        <v>0</v>
      </c>
      <c r="M326" t="n">
        <v>0</v>
      </c>
      <c r="N326" t="n">
        <v>0</v>
      </c>
      <c r="O326" t="n">
        <v>0</v>
      </c>
      <c r="P326" t="n">
        <v>0</v>
      </c>
      <c r="Q326" t="n">
        <v>0</v>
      </c>
      <c r="R326" s="2" t="inlineStr"/>
    </row>
    <row r="327" ht="15" customHeight="1">
      <c r="A327" t="inlineStr">
        <is>
          <t>A 52197-2024</t>
        </is>
      </c>
      <c r="B327" s="1" t="n">
        <v>45608</v>
      </c>
      <c r="C327" s="1" t="n">
        <v>46134</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25513-2025</t>
        </is>
      </c>
      <c r="B328" s="1" t="n">
        <v>45803.36384259259</v>
      </c>
      <c r="C328" s="1" t="n">
        <v>46134</v>
      </c>
      <c r="D328" t="inlineStr">
        <is>
          <t>UPPSALA LÄN</t>
        </is>
      </c>
      <c r="E328" t="inlineStr">
        <is>
          <t>UPPSALA</t>
        </is>
      </c>
      <c r="F328" t="inlineStr">
        <is>
          <t>Bergvik skog öst AB</t>
        </is>
      </c>
      <c r="G328" t="n">
        <v>8.9</v>
      </c>
      <c r="H328" t="n">
        <v>0</v>
      </c>
      <c r="I328" t="n">
        <v>0</v>
      </c>
      <c r="J328" t="n">
        <v>0</v>
      </c>
      <c r="K328" t="n">
        <v>0</v>
      </c>
      <c r="L328" t="n">
        <v>0</v>
      </c>
      <c r="M328" t="n">
        <v>0</v>
      </c>
      <c r="N328" t="n">
        <v>0</v>
      </c>
      <c r="O328" t="n">
        <v>0</v>
      </c>
      <c r="P328" t="n">
        <v>0</v>
      </c>
      <c r="Q328" t="n">
        <v>0</v>
      </c>
      <c r="R328" s="2" t="inlineStr"/>
    </row>
    <row r="329" ht="15" customHeight="1">
      <c r="A329" t="inlineStr">
        <is>
          <t>A 968-2026</t>
        </is>
      </c>
      <c r="B329" s="1" t="n">
        <v>46030.56152777778</v>
      </c>
      <c r="C329" s="1" t="n">
        <v>46134</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10674-2022</t>
        </is>
      </c>
      <c r="B330" s="1" t="n">
        <v>44624.64538194444</v>
      </c>
      <c r="C330" s="1" t="n">
        <v>46134</v>
      </c>
      <c r="D330" t="inlineStr">
        <is>
          <t>UPPSALA LÄN</t>
        </is>
      </c>
      <c r="E330" t="inlineStr">
        <is>
          <t>UPPSALA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54924-2024</t>
        </is>
      </c>
      <c r="B331" s="1" t="n">
        <v>45618.71140046296</v>
      </c>
      <c r="C331" s="1" t="n">
        <v>46134</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482-2026</t>
        </is>
      </c>
      <c r="B332" s="1" t="n">
        <v>46029.40886574074</v>
      </c>
      <c r="C332" s="1" t="n">
        <v>46134</v>
      </c>
      <c r="D332" t="inlineStr">
        <is>
          <t>UPPSALA LÄN</t>
        </is>
      </c>
      <c r="E332" t="inlineStr">
        <is>
          <t>UPPSALA</t>
        </is>
      </c>
      <c r="G332" t="n">
        <v>3.4</v>
      </c>
      <c r="H332" t="n">
        <v>0</v>
      </c>
      <c r="I332" t="n">
        <v>0</v>
      </c>
      <c r="J332" t="n">
        <v>0</v>
      </c>
      <c r="K332" t="n">
        <v>0</v>
      </c>
      <c r="L332" t="n">
        <v>0</v>
      </c>
      <c r="M332" t="n">
        <v>0</v>
      </c>
      <c r="N332" t="n">
        <v>0</v>
      </c>
      <c r="O332" t="n">
        <v>0</v>
      </c>
      <c r="P332" t="n">
        <v>0</v>
      </c>
      <c r="Q332" t="n">
        <v>0</v>
      </c>
      <c r="R332" s="2" t="inlineStr"/>
    </row>
    <row r="333" ht="15" customHeight="1">
      <c r="A333" t="inlineStr">
        <is>
          <t>A 25674-2025</t>
        </is>
      </c>
      <c r="B333" s="1" t="n">
        <v>45803.63395833333</v>
      </c>
      <c r="C333" s="1" t="n">
        <v>46134</v>
      </c>
      <c r="D333" t="inlineStr">
        <is>
          <t>UPPSALA LÄN</t>
        </is>
      </c>
      <c r="E333" t="inlineStr">
        <is>
          <t>UPPSALA</t>
        </is>
      </c>
      <c r="G333" t="n">
        <v>0.9</v>
      </c>
      <c r="H333" t="n">
        <v>0</v>
      </c>
      <c r="I333" t="n">
        <v>0</v>
      </c>
      <c r="J333" t="n">
        <v>0</v>
      </c>
      <c r="K333" t="n">
        <v>0</v>
      </c>
      <c r="L333" t="n">
        <v>0</v>
      </c>
      <c r="M333" t="n">
        <v>0</v>
      </c>
      <c r="N333" t="n">
        <v>0</v>
      </c>
      <c r="O333" t="n">
        <v>0</v>
      </c>
      <c r="P333" t="n">
        <v>0</v>
      </c>
      <c r="Q333" t="n">
        <v>0</v>
      </c>
      <c r="R333" s="2" t="inlineStr"/>
    </row>
    <row r="334" ht="15" customHeight="1">
      <c r="A334" t="inlineStr">
        <is>
          <t>A 12293-2022</t>
        </is>
      </c>
      <c r="B334" s="1" t="n">
        <v>44637.56178240741</v>
      </c>
      <c r="C334" s="1" t="n">
        <v>46134</v>
      </c>
      <c r="D334" t="inlineStr">
        <is>
          <t>UPPSALA LÄN</t>
        </is>
      </c>
      <c r="E334" t="inlineStr">
        <is>
          <t>UPPSALA</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39529-2025</t>
        </is>
      </c>
      <c r="B335" s="1" t="n">
        <v>45890</v>
      </c>
      <c r="C335" s="1" t="n">
        <v>46134</v>
      </c>
      <c r="D335" t="inlineStr">
        <is>
          <t>UPPSALA LÄN</t>
        </is>
      </c>
      <c r="E335" t="inlineStr">
        <is>
          <t>UPPSALA</t>
        </is>
      </c>
      <c r="F335" t="inlineStr">
        <is>
          <t>Allmännings- och besparingsskogar</t>
        </is>
      </c>
      <c r="G335" t="n">
        <v>3.9</v>
      </c>
      <c r="H335" t="n">
        <v>0</v>
      </c>
      <c r="I335" t="n">
        <v>0</v>
      </c>
      <c r="J335" t="n">
        <v>0</v>
      </c>
      <c r="K335" t="n">
        <v>0</v>
      </c>
      <c r="L335" t="n">
        <v>0</v>
      </c>
      <c r="M335" t="n">
        <v>0</v>
      </c>
      <c r="N335" t="n">
        <v>0</v>
      </c>
      <c r="O335" t="n">
        <v>0</v>
      </c>
      <c r="P335" t="n">
        <v>0</v>
      </c>
      <c r="Q335" t="n">
        <v>0</v>
      </c>
      <c r="R335" s="2" t="inlineStr"/>
    </row>
    <row r="336" ht="15" customHeight="1">
      <c r="A336" t="inlineStr">
        <is>
          <t>A 26130-2025</t>
        </is>
      </c>
      <c r="B336" s="1" t="n">
        <v>45805.4094675926</v>
      </c>
      <c r="C336" s="1" t="n">
        <v>46134</v>
      </c>
      <c r="D336" t="inlineStr">
        <is>
          <t>UPPSALA LÄN</t>
        </is>
      </c>
      <c r="E336" t="inlineStr">
        <is>
          <t>UPPSALA</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26131-2025</t>
        </is>
      </c>
      <c r="B337" s="1" t="n">
        <v>45805.41010416667</v>
      </c>
      <c r="C337" s="1" t="n">
        <v>46134</v>
      </c>
      <c r="D337" t="inlineStr">
        <is>
          <t>UPPSALA LÄN</t>
        </is>
      </c>
      <c r="E337" t="inlineStr">
        <is>
          <t>UPPSALA</t>
        </is>
      </c>
      <c r="F337" t="inlineStr">
        <is>
          <t>Bergvik skog öst AB</t>
        </is>
      </c>
      <c r="G337" t="n">
        <v>3.8</v>
      </c>
      <c r="H337" t="n">
        <v>0</v>
      </c>
      <c r="I337" t="n">
        <v>0</v>
      </c>
      <c r="J337" t="n">
        <v>0</v>
      </c>
      <c r="K337" t="n">
        <v>0</v>
      </c>
      <c r="L337" t="n">
        <v>0</v>
      </c>
      <c r="M337" t="n">
        <v>0</v>
      </c>
      <c r="N337" t="n">
        <v>0</v>
      </c>
      <c r="O337" t="n">
        <v>0</v>
      </c>
      <c r="P337" t="n">
        <v>0</v>
      </c>
      <c r="Q337" t="n">
        <v>0</v>
      </c>
      <c r="R337" s="2" t="inlineStr"/>
    </row>
    <row r="338" ht="15" customHeight="1">
      <c r="A338" t="inlineStr">
        <is>
          <t>A 23291-2024</t>
        </is>
      </c>
      <c r="B338" s="1" t="n">
        <v>45453</v>
      </c>
      <c r="C338" s="1" t="n">
        <v>46134</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26139-2025</t>
        </is>
      </c>
      <c r="B339" s="1" t="n">
        <v>45805.41813657407</v>
      </c>
      <c r="C339" s="1" t="n">
        <v>46134</v>
      </c>
      <c r="D339" t="inlineStr">
        <is>
          <t>UPPSALA LÄN</t>
        </is>
      </c>
      <c r="E339" t="inlineStr">
        <is>
          <t>UPPSALA</t>
        </is>
      </c>
      <c r="F339" t="inlineStr">
        <is>
          <t>Holmen skog AB</t>
        </is>
      </c>
      <c r="G339" t="n">
        <v>0.7</v>
      </c>
      <c r="H339" t="n">
        <v>0</v>
      </c>
      <c r="I339" t="n">
        <v>0</v>
      </c>
      <c r="J339" t="n">
        <v>0</v>
      </c>
      <c r="K339" t="n">
        <v>0</v>
      </c>
      <c r="L339" t="n">
        <v>0</v>
      </c>
      <c r="M339" t="n">
        <v>0</v>
      </c>
      <c r="N339" t="n">
        <v>0</v>
      </c>
      <c r="O339" t="n">
        <v>0</v>
      </c>
      <c r="P339" t="n">
        <v>0</v>
      </c>
      <c r="Q339" t="n">
        <v>0</v>
      </c>
      <c r="R339" s="2" t="inlineStr"/>
    </row>
    <row r="340" ht="15" customHeight="1">
      <c r="A340" t="inlineStr">
        <is>
          <t>A 26155-2025</t>
        </is>
      </c>
      <c r="B340" s="1" t="n">
        <v>45805.43402777778</v>
      </c>
      <c r="C340" s="1" t="n">
        <v>46134</v>
      </c>
      <c r="D340" t="inlineStr">
        <is>
          <t>UPPSALA LÄN</t>
        </is>
      </c>
      <c r="E340" t="inlineStr">
        <is>
          <t>UPPSALA</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34114-2024</t>
        </is>
      </c>
      <c r="B341" s="1" t="n">
        <v>45524</v>
      </c>
      <c r="C341" s="1" t="n">
        <v>46134</v>
      </c>
      <c r="D341" t="inlineStr">
        <is>
          <t>UPPSALA LÄN</t>
        </is>
      </c>
      <c r="E341" t="inlineStr">
        <is>
          <t>UPPSALA</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26141-2025</t>
        </is>
      </c>
      <c r="B342" s="1" t="n">
        <v>45805.4255787037</v>
      </c>
      <c r="C342" s="1" t="n">
        <v>46134</v>
      </c>
      <c r="D342" t="inlineStr">
        <is>
          <t>UPPSALA LÄN</t>
        </is>
      </c>
      <c r="E342" t="inlineStr">
        <is>
          <t>UPPSALA</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7611-2023</t>
        </is>
      </c>
      <c r="B343" s="1" t="n">
        <v>44967</v>
      </c>
      <c r="C343" s="1" t="n">
        <v>46134</v>
      </c>
      <c r="D343" t="inlineStr">
        <is>
          <t>UPPSALA LÄN</t>
        </is>
      </c>
      <c r="E343" t="inlineStr">
        <is>
          <t>UPPSALA</t>
        </is>
      </c>
      <c r="G343" t="n">
        <v>3.5</v>
      </c>
      <c r="H343" t="n">
        <v>0</v>
      </c>
      <c r="I343" t="n">
        <v>0</v>
      </c>
      <c r="J343" t="n">
        <v>0</v>
      </c>
      <c r="K343" t="n">
        <v>0</v>
      </c>
      <c r="L343" t="n">
        <v>0</v>
      </c>
      <c r="M343" t="n">
        <v>0</v>
      </c>
      <c r="N343" t="n">
        <v>0</v>
      </c>
      <c r="O343" t="n">
        <v>0</v>
      </c>
      <c r="P343" t="n">
        <v>0</v>
      </c>
      <c r="Q343" t="n">
        <v>0</v>
      </c>
      <c r="R343" s="2" t="inlineStr"/>
    </row>
    <row r="344" ht="15" customHeight="1">
      <c r="A344" t="inlineStr">
        <is>
          <t>A 32127-2024</t>
        </is>
      </c>
      <c r="B344" s="1" t="n">
        <v>45511</v>
      </c>
      <c r="C344" s="1" t="n">
        <v>46134</v>
      </c>
      <c r="D344" t="inlineStr">
        <is>
          <t>UPPSALA LÄN</t>
        </is>
      </c>
      <c r="E344" t="inlineStr">
        <is>
          <t>UPPSALA</t>
        </is>
      </c>
      <c r="G344" t="n">
        <v>3.7</v>
      </c>
      <c r="H344" t="n">
        <v>0</v>
      </c>
      <c r="I344" t="n">
        <v>0</v>
      </c>
      <c r="J344" t="n">
        <v>0</v>
      </c>
      <c r="K344" t="n">
        <v>0</v>
      </c>
      <c r="L344" t="n">
        <v>0</v>
      </c>
      <c r="M344" t="n">
        <v>0</v>
      </c>
      <c r="N344" t="n">
        <v>0</v>
      </c>
      <c r="O344" t="n">
        <v>0</v>
      </c>
      <c r="P344" t="n">
        <v>0</v>
      </c>
      <c r="Q344" t="n">
        <v>0</v>
      </c>
      <c r="R344" s="2" t="inlineStr"/>
    </row>
    <row r="345" ht="15" customHeight="1">
      <c r="A345" t="inlineStr">
        <is>
          <t>A 60056-2022</t>
        </is>
      </c>
      <c r="B345" s="1" t="n">
        <v>44909</v>
      </c>
      <c r="C345" s="1" t="n">
        <v>46134</v>
      </c>
      <c r="D345" t="inlineStr">
        <is>
          <t>UPPSALA LÄN</t>
        </is>
      </c>
      <c r="E345" t="inlineStr">
        <is>
          <t>UPPSALA</t>
        </is>
      </c>
      <c r="G345" t="n">
        <v>1.2</v>
      </c>
      <c r="H345" t="n">
        <v>0</v>
      </c>
      <c r="I345" t="n">
        <v>0</v>
      </c>
      <c r="J345" t="n">
        <v>0</v>
      </c>
      <c r="K345" t="n">
        <v>0</v>
      </c>
      <c r="L345" t="n">
        <v>0</v>
      </c>
      <c r="M345" t="n">
        <v>0</v>
      </c>
      <c r="N345" t="n">
        <v>0</v>
      </c>
      <c r="O345" t="n">
        <v>0</v>
      </c>
      <c r="P345" t="n">
        <v>0</v>
      </c>
      <c r="Q345" t="n">
        <v>0</v>
      </c>
      <c r="R345" s="2" t="inlineStr"/>
    </row>
    <row r="346" ht="15" customHeight="1">
      <c r="A346" t="inlineStr">
        <is>
          <t>A 5989-2022</t>
        </is>
      </c>
      <c r="B346" s="1" t="n">
        <v>44599.42277777778</v>
      </c>
      <c r="C346" s="1" t="n">
        <v>46134</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39792-2025</t>
        </is>
      </c>
      <c r="B347" s="1" t="n">
        <v>45891.4865625</v>
      </c>
      <c r="C347" s="1" t="n">
        <v>46134</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5006-2022</t>
        </is>
      </c>
      <c r="B348" s="1" t="n">
        <v>44593</v>
      </c>
      <c r="C348" s="1" t="n">
        <v>46134</v>
      </c>
      <c r="D348" t="inlineStr">
        <is>
          <t>UPPSALA LÄN</t>
        </is>
      </c>
      <c r="E348" t="inlineStr">
        <is>
          <t>UPPSALA</t>
        </is>
      </c>
      <c r="F348" t="inlineStr">
        <is>
          <t>BillerudKorsnäs AB</t>
        </is>
      </c>
      <c r="G348" t="n">
        <v>1.4</v>
      </c>
      <c r="H348" t="n">
        <v>0</v>
      </c>
      <c r="I348" t="n">
        <v>0</v>
      </c>
      <c r="J348" t="n">
        <v>0</v>
      </c>
      <c r="K348" t="n">
        <v>0</v>
      </c>
      <c r="L348" t="n">
        <v>0</v>
      </c>
      <c r="M348" t="n">
        <v>0</v>
      </c>
      <c r="N348" t="n">
        <v>0</v>
      </c>
      <c r="O348" t="n">
        <v>0</v>
      </c>
      <c r="P348" t="n">
        <v>0</v>
      </c>
      <c r="Q348" t="n">
        <v>0</v>
      </c>
      <c r="R348" s="2" t="inlineStr"/>
    </row>
    <row r="349" ht="15" customHeight="1">
      <c r="A349" t="inlineStr">
        <is>
          <t>A 5007-2022</t>
        </is>
      </c>
      <c r="B349" s="1" t="n">
        <v>44593.61355324074</v>
      </c>
      <c r="C349" s="1" t="n">
        <v>46134</v>
      </c>
      <c r="D349" t="inlineStr">
        <is>
          <t>UPPSALA LÄN</t>
        </is>
      </c>
      <c r="E349" t="inlineStr">
        <is>
          <t>UPPSALA</t>
        </is>
      </c>
      <c r="F349" t="inlineStr">
        <is>
          <t>BillerudKorsnäs AB</t>
        </is>
      </c>
      <c r="G349" t="n">
        <v>3.6</v>
      </c>
      <c r="H349" t="n">
        <v>0</v>
      </c>
      <c r="I349" t="n">
        <v>0</v>
      </c>
      <c r="J349" t="n">
        <v>0</v>
      </c>
      <c r="K349" t="n">
        <v>0</v>
      </c>
      <c r="L349" t="n">
        <v>0</v>
      </c>
      <c r="M349" t="n">
        <v>0</v>
      </c>
      <c r="N349" t="n">
        <v>0</v>
      </c>
      <c r="O349" t="n">
        <v>0</v>
      </c>
      <c r="P349" t="n">
        <v>0</v>
      </c>
      <c r="Q349" t="n">
        <v>0</v>
      </c>
      <c r="R349" s="2" t="inlineStr"/>
    </row>
    <row r="350" ht="15" customHeight="1">
      <c r="A350" t="inlineStr">
        <is>
          <t>A 26697-2025</t>
        </is>
      </c>
      <c r="B350" s="1" t="n">
        <v>45810.44339120371</v>
      </c>
      <c r="C350" s="1" t="n">
        <v>46134</v>
      </c>
      <c r="D350" t="inlineStr">
        <is>
          <t>UPPSALA LÄN</t>
        </is>
      </c>
      <c r="E350" t="inlineStr">
        <is>
          <t>UPPSALA</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7276-2024</t>
        </is>
      </c>
      <c r="B351" s="1" t="n">
        <v>45344</v>
      </c>
      <c r="C351" s="1" t="n">
        <v>46134</v>
      </c>
      <c r="D351" t="inlineStr">
        <is>
          <t>UPPSALA LÄN</t>
        </is>
      </c>
      <c r="E351" t="inlineStr">
        <is>
          <t>UPPSALA</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49996-2023</t>
        </is>
      </c>
      <c r="B352" s="1" t="n">
        <v>45215.44233796297</v>
      </c>
      <c r="C352" s="1" t="n">
        <v>46134</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39721-2025</t>
        </is>
      </c>
      <c r="B353" s="1" t="n">
        <v>45891.33204861111</v>
      </c>
      <c r="C353" s="1" t="n">
        <v>46134</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3040-2023</t>
        </is>
      </c>
      <c r="B354" s="1" t="n">
        <v>44946</v>
      </c>
      <c r="C354" s="1" t="n">
        <v>46134</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18607-2024</t>
        </is>
      </c>
      <c r="B355" s="1" t="n">
        <v>45425.94947916667</v>
      </c>
      <c r="C355" s="1" t="n">
        <v>46134</v>
      </c>
      <c r="D355" t="inlineStr">
        <is>
          <t>UPPSALA LÄN</t>
        </is>
      </c>
      <c r="E355" t="inlineStr">
        <is>
          <t>UPPSALA</t>
        </is>
      </c>
      <c r="G355" t="n">
        <v>4.3</v>
      </c>
      <c r="H355" t="n">
        <v>0</v>
      </c>
      <c r="I355" t="n">
        <v>0</v>
      </c>
      <c r="J355" t="n">
        <v>0</v>
      </c>
      <c r="K355" t="n">
        <v>0</v>
      </c>
      <c r="L355" t="n">
        <v>0</v>
      </c>
      <c r="M355" t="n">
        <v>0</v>
      </c>
      <c r="N355" t="n">
        <v>0</v>
      </c>
      <c r="O355" t="n">
        <v>0</v>
      </c>
      <c r="P355" t="n">
        <v>0</v>
      </c>
      <c r="Q355" t="n">
        <v>0</v>
      </c>
      <c r="R355" s="2" t="inlineStr"/>
    </row>
    <row r="356" ht="15" customHeight="1">
      <c r="A356" t="inlineStr">
        <is>
          <t>A 39777-2025</t>
        </is>
      </c>
      <c r="B356" s="1" t="n">
        <v>45891.46827546296</v>
      </c>
      <c r="C356" s="1" t="n">
        <v>46134</v>
      </c>
      <c r="D356" t="inlineStr">
        <is>
          <t>UPPSALA LÄN</t>
        </is>
      </c>
      <c r="E356" t="inlineStr">
        <is>
          <t>UPPSALA</t>
        </is>
      </c>
      <c r="G356" t="n">
        <v>6.5</v>
      </c>
      <c r="H356" t="n">
        <v>0</v>
      </c>
      <c r="I356" t="n">
        <v>0</v>
      </c>
      <c r="J356" t="n">
        <v>0</v>
      </c>
      <c r="K356" t="n">
        <v>0</v>
      </c>
      <c r="L356" t="n">
        <v>0</v>
      </c>
      <c r="M356" t="n">
        <v>0</v>
      </c>
      <c r="N356" t="n">
        <v>0</v>
      </c>
      <c r="O356" t="n">
        <v>0</v>
      </c>
      <c r="P356" t="n">
        <v>0</v>
      </c>
      <c r="Q356" t="n">
        <v>0</v>
      </c>
      <c r="R356" s="2" t="inlineStr"/>
    </row>
    <row r="357" ht="15" customHeight="1">
      <c r="A357" t="inlineStr">
        <is>
          <t>A 668-2025</t>
        </is>
      </c>
      <c r="B357" s="1" t="n">
        <v>45664</v>
      </c>
      <c r="C357" s="1" t="n">
        <v>46134</v>
      </c>
      <c r="D357" t="inlineStr">
        <is>
          <t>UPPSALA LÄN</t>
        </is>
      </c>
      <c r="E357" t="inlineStr">
        <is>
          <t>UPPSALA</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45592-2023</t>
        </is>
      </c>
      <c r="B358" s="1" t="n">
        <v>45194.63479166666</v>
      </c>
      <c r="C358" s="1" t="n">
        <v>46134</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26740-2025</t>
        </is>
      </c>
      <c r="B359" s="1" t="n">
        <v>45809</v>
      </c>
      <c r="C359" s="1" t="n">
        <v>46134</v>
      </c>
      <c r="D359" t="inlineStr">
        <is>
          <t>UPPSALA LÄN</t>
        </is>
      </c>
      <c r="E359" t="inlineStr">
        <is>
          <t>UPPSALA</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23494-2024</t>
        </is>
      </c>
      <c r="B360" s="1" t="n">
        <v>45453.69339120371</v>
      </c>
      <c r="C360" s="1" t="n">
        <v>46134</v>
      </c>
      <c r="D360" t="inlineStr">
        <is>
          <t>UPPSALA LÄN</t>
        </is>
      </c>
      <c r="E360" t="inlineStr">
        <is>
          <t>UPPSALA</t>
        </is>
      </c>
      <c r="F360" t="inlineStr">
        <is>
          <t>Kyrkan</t>
        </is>
      </c>
      <c r="G360" t="n">
        <v>0.8</v>
      </c>
      <c r="H360" t="n">
        <v>0</v>
      </c>
      <c r="I360" t="n">
        <v>0</v>
      </c>
      <c r="J360" t="n">
        <v>0</v>
      </c>
      <c r="K360" t="n">
        <v>0</v>
      </c>
      <c r="L360" t="n">
        <v>0</v>
      </c>
      <c r="M360" t="n">
        <v>0</v>
      </c>
      <c r="N360" t="n">
        <v>0</v>
      </c>
      <c r="O360" t="n">
        <v>0</v>
      </c>
      <c r="P360" t="n">
        <v>0</v>
      </c>
      <c r="Q360" t="n">
        <v>0</v>
      </c>
      <c r="R360" s="2" t="inlineStr"/>
    </row>
    <row r="361" ht="15" customHeight="1">
      <c r="A361" t="inlineStr">
        <is>
          <t>A 40639-2025</t>
        </is>
      </c>
      <c r="B361" s="1" t="n">
        <v>45896.61050925926</v>
      </c>
      <c r="C361" s="1" t="n">
        <v>46134</v>
      </c>
      <c r="D361" t="inlineStr">
        <is>
          <t>UPPSALA LÄN</t>
        </is>
      </c>
      <c r="E361" t="inlineStr">
        <is>
          <t>UPPSALA</t>
        </is>
      </c>
      <c r="G361" t="n">
        <v>6.9</v>
      </c>
      <c r="H361" t="n">
        <v>0</v>
      </c>
      <c r="I361" t="n">
        <v>0</v>
      </c>
      <c r="J361" t="n">
        <v>0</v>
      </c>
      <c r="K361" t="n">
        <v>0</v>
      </c>
      <c r="L361" t="n">
        <v>0</v>
      </c>
      <c r="M361" t="n">
        <v>0</v>
      </c>
      <c r="N361" t="n">
        <v>0</v>
      </c>
      <c r="O361" t="n">
        <v>0</v>
      </c>
      <c r="P361" t="n">
        <v>0</v>
      </c>
      <c r="Q361" t="n">
        <v>0</v>
      </c>
      <c r="R361" s="2" t="inlineStr"/>
    </row>
    <row r="362" ht="15" customHeight="1">
      <c r="A362" t="inlineStr">
        <is>
          <t>A 40501-2025</t>
        </is>
      </c>
      <c r="B362" s="1" t="n">
        <v>45896</v>
      </c>
      <c r="C362" s="1" t="n">
        <v>46134</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26696-2025</t>
        </is>
      </c>
      <c r="B363" s="1" t="n">
        <v>45810.44299768518</v>
      </c>
      <c r="C363" s="1" t="n">
        <v>46134</v>
      </c>
      <c r="D363" t="inlineStr">
        <is>
          <t>UPPSALA LÄN</t>
        </is>
      </c>
      <c r="E363" t="inlineStr">
        <is>
          <t>UPPSALA</t>
        </is>
      </c>
      <c r="F363" t="inlineStr">
        <is>
          <t>Bergvik skog öst AB</t>
        </is>
      </c>
      <c r="G363" t="n">
        <v>7.1</v>
      </c>
      <c r="H363" t="n">
        <v>0</v>
      </c>
      <c r="I363" t="n">
        <v>0</v>
      </c>
      <c r="J363" t="n">
        <v>0</v>
      </c>
      <c r="K363" t="n">
        <v>0</v>
      </c>
      <c r="L363" t="n">
        <v>0</v>
      </c>
      <c r="M363" t="n">
        <v>0</v>
      </c>
      <c r="N363" t="n">
        <v>0</v>
      </c>
      <c r="O363" t="n">
        <v>0</v>
      </c>
      <c r="P363" t="n">
        <v>0</v>
      </c>
      <c r="Q363" t="n">
        <v>0</v>
      </c>
      <c r="R363" s="2" t="inlineStr"/>
    </row>
    <row r="364" ht="15" customHeight="1">
      <c r="A364" t="inlineStr">
        <is>
          <t>A 26713-2025</t>
        </is>
      </c>
      <c r="B364" s="1" t="n">
        <v>45809</v>
      </c>
      <c r="C364" s="1" t="n">
        <v>46134</v>
      </c>
      <c r="D364" t="inlineStr">
        <is>
          <t>UPPSALA LÄN</t>
        </is>
      </c>
      <c r="E364" t="inlineStr">
        <is>
          <t>UPPSALA</t>
        </is>
      </c>
      <c r="G364" t="n">
        <v>3.8</v>
      </c>
      <c r="H364" t="n">
        <v>0</v>
      </c>
      <c r="I364" t="n">
        <v>0</v>
      </c>
      <c r="J364" t="n">
        <v>0</v>
      </c>
      <c r="K364" t="n">
        <v>0</v>
      </c>
      <c r="L364" t="n">
        <v>0</v>
      </c>
      <c r="M364" t="n">
        <v>0</v>
      </c>
      <c r="N364" t="n">
        <v>0</v>
      </c>
      <c r="O364" t="n">
        <v>0</v>
      </c>
      <c r="P364" t="n">
        <v>0</v>
      </c>
      <c r="Q364" t="n">
        <v>0</v>
      </c>
      <c r="R364" s="2" t="inlineStr"/>
    </row>
    <row r="365" ht="15" customHeight="1">
      <c r="A365" t="inlineStr">
        <is>
          <t>A 42124-2021</t>
        </is>
      </c>
      <c r="B365" s="1" t="n">
        <v>44426</v>
      </c>
      <c r="C365" s="1" t="n">
        <v>46134</v>
      </c>
      <c r="D365" t="inlineStr">
        <is>
          <t>UPPSALA LÄN</t>
        </is>
      </c>
      <c r="E365" t="inlineStr">
        <is>
          <t>UPPSALA</t>
        </is>
      </c>
      <c r="G365" t="n">
        <v>6.3</v>
      </c>
      <c r="H365" t="n">
        <v>0</v>
      </c>
      <c r="I365" t="n">
        <v>0</v>
      </c>
      <c r="J365" t="n">
        <v>0</v>
      </c>
      <c r="K365" t="n">
        <v>0</v>
      </c>
      <c r="L365" t="n">
        <v>0</v>
      </c>
      <c r="M365" t="n">
        <v>0</v>
      </c>
      <c r="N365" t="n">
        <v>0</v>
      </c>
      <c r="O365" t="n">
        <v>0</v>
      </c>
      <c r="P365" t="n">
        <v>0</v>
      </c>
      <c r="Q365" t="n">
        <v>0</v>
      </c>
      <c r="R365" s="2" t="inlineStr"/>
    </row>
    <row r="366" ht="15" customHeight="1">
      <c r="A366" t="inlineStr">
        <is>
          <t>A 40504-2025</t>
        </is>
      </c>
      <c r="B366" s="1" t="n">
        <v>45896</v>
      </c>
      <c r="C366" s="1" t="n">
        <v>46134</v>
      </c>
      <c r="D366" t="inlineStr">
        <is>
          <t>UPPSALA LÄN</t>
        </is>
      </c>
      <c r="E366" t="inlineStr">
        <is>
          <t>UPPSALA</t>
        </is>
      </c>
      <c r="G366" t="n">
        <v>4.4</v>
      </c>
      <c r="H366" t="n">
        <v>0</v>
      </c>
      <c r="I366" t="n">
        <v>0</v>
      </c>
      <c r="J366" t="n">
        <v>0</v>
      </c>
      <c r="K366" t="n">
        <v>0</v>
      </c>
      <c r="L366" t="n">
        <v>0</v>
      </c>
      <c r="M366" t="n">
        <v>0</v>
      </c>
      <c r="N366" t="n">
        <v>0</v>
      </c>
      <c r="O366" t="n">
        <v>0</v>
      </c>
      <c r="P366" t="n">
        <v>0</v>
      </c>
      <c r="Q366" t="n">
        <v>0</v>
      </c>
      <c r="R366" s="2" t="inlineStr"/>
    </row>
    <row r="367" ht="15" customHeight="1">
      <c r="A367" t="inlineStr">
        <is>
          <t>A 40606-2025</t>
        </is>
      </c>
      <c r="B367" s="1" t="n">
        <v>45896.57171296296</v>
      </c>
      <c r="C367" s="1" t="n">
        <v>46134</v>
      </c>
      <c r="D367" t="inlineStr">
        <is>
          <t>UPPSALA LÄN</t>
        </is>
      </c>
      <c r="E367" t="inlineStr">
        <is>
          <t>UPPSALA</t>
        </is>
      </c>
      <c r="G367" t="n">
        <v>3.2</v>
      </c>
      <c r="H367" t="n">
        <v>0</v>
      </c>
      <c r="I367" t="n">
        <v>0</v>
      </c>
      <c r="J367" t="n">
        <v>0</v>
      </c>
      <c r="K367" t="n">
        <v>0</v>
      </c>
      <c r="L367" t="n">
        <v>0</v>
      </c>
      <c r="M367" t="n">
        <v>0</v>
      </c>
      <c r="N367" t="n">
        <v>0</v>
      </c>
      <c r="O367" t="n">
        <v>0</v>
      </c>
      <c r="P367" t="n">
        <v>0</v>
      </c>
      <c r="Q367" t="n">
        <v>0</v>
      </c>
      <c r="R367" s="2" t="inlineStr"/>
    </row>
    <row r="368" ht="15" customHeight="1">
      <c r="A368" t="inlineStr">
        <is>
          <t>A 27265-2025</t>
        </is>
      </c>
      <c r="B368" s="1" t="n">
        <v>45812.48032407407</v>
      </c>
      <c r="C368" s="1" t="n">
        <v>46134</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7899-2022</t>
        </is>
      </c>
      <c r="B369" s="1" t="n">
        <v>44608</v>
      </c>
      <c r="C369" s="1" t="n">
        <v>46134</v>
      </c>
      <c r="D369" t="inlineStr">
        <is>
          <t>UPPSALA LÄN</t>
        </is>
      </c>
      <c r="E369" t="inlineStr">
        <is>
          <t>UPPSALA</t>
        </is>
      </c>
      <c r="F369" t="inlineStr">
        <is>
          <t>Övriga Aktiebolag</t>
        </is>
      </c>
      <c r="G369" t="n">
        <v>7.1</v>
      </c>
      <c r="H369" t="n">
        <v>0</v>
      </c>
      <c r="I369" t="n">
        <v>0</v>
      </c>
      <c r="J369" t="n">
        <v>0</v>
      </c>
      <c r="K369" t="n">
        <v>0</v>
      </c>
      <c r="L369" t="n">
        <v>0</v>
      </c>
      <c r="M369" t="n">
        <v>0</v>
      </c>
      <c r="N369" t="n">
        <v>0</v>
      </c>
      <c r="O369" t="n">
        <v>0</v>
      </c>
      <c r="P369" t="n">
        <v>0</v>
      </c>
      <c r="Q369" t="n">
        <v>0</v>
      </c>
      <c r="R369" s="2" t="inlineStr"/>
    </row>
    <row r="370" ht="15" customHeight="1">
      <c r="A370" t="inlineStr">
        <is>
          <t>A 40610-2025</t>
        </is>
      </c>
      <c r="B370" s="1" t="n">
        <v>45896.57368055556</v>
      </c>
      <c r="C370" s="1" t="n">
        <v>46134</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47316-2023</t>
        </is>
      </c>
      <c r="B371" s="1" t="n">
        <v>45202.4997337963</v>
      </c>
      <c r="C371" s="1" t="n">
        <v>46134</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40855-2025</t>
        </is>
      </c>
      <c r="B372" s="1" t="n">
        <v>45897</v>
      </c>
      <c r="C372" s="1" t="n">
        <v>46134</v>
      </c>
      <c r="D372" t="inlineStr">
        <is>
          <t>UPPSALA LÄN</t>
        </is>
      </c>
      <c r="E372" t="inlineStr">
        <is>
          <t>UPPSALA</t>
        </is>
      </c>
      <c r="G372" t="n">
        <v>2.9</v>
      </c>
      <c r="H372" t="n">
        <v>0</v>
      </c>
      <c r="I372" t="n">
        <v>0</v>
      </c>
      <c r="J372" t="n">
        <v>0</v>
      </c>
      <c r="K372" t="n">
        <v>0</v>
      </c>
      <c r="L372" t="n">
        <v>0</v>
      </c>
      <c r="M372" t="n">
        <v>0</v>
      </c>
      <c r="N372" t="n">
        <v>0</v>
      </c>
      <c r="O372" t="n">
        <v>0</v>
      </c>
      <c r="P372" t="n">
        <v>0</v>
      </c>
      <c r="Q372" t="n">
        <v>0</v>
      </c>
      <c r="R372" s="2" t="inlineStr"/>
    </row>
    <row r="373" ht="15" customHeight="1">
      <c r="A373" t="inlineStr">
        <is>
          <t>A 10489-2025</t>
        </is>
      </c>
      <c r="B373" s="1" t="n">
        <v>45721.34715277778</v>
      </c>
      <c r="C373" s="1" t="n">
        <v>46134</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39818-2024</t>
        </is>
      </c>
      <c r="B374" s="1" t="n">
        <v>45552</v>
      </c>
      <c r="C374" s="1" t="n">
        <v>46134</v>
      </c>
      <c r="D374" t="inlineStr">
        <is>
          <t>UPPSALA LÄN</t>
        </is>
      </c>
      <c r="E374" t="inlineStr">
        <is>
          <t>UPPSALA</t>
        </is>
      </c>
      <c r="G374" t="n">
        <v>1.9</v>
      </c>
      <c r="H374" t="n">
        <v>0</v>
      </c>
      <c r="I374" t="n">
        <v>0</v>
      </c>
      <c r="J374" t="n">
        <v>0</v>
      </c>
      <c r="K374" t="n">
        <v>0</v>
      </c>
      <c r="L374" t="n">
        <v>0</v>
      </c>
      <c r="M374" t="n">
        <v>0</v>
      </c>
      <c r="N374" t="n">
        <v>0</v>
      </c>
      <c r="O374" t="n">
        <v>0</v>
      </c>
      <c r="P374" t="n">
        <v>0</v>
      </c>
      <c r="Q374" t="n">
        <v>0</v>
      </c>
      <c r="R374" s="2" t="inlineStr"/>
    </row>
    <row r="375" ht="15" customHeight="1">
      <c r="A375" t="inlineStr">
        <is>
          <t>A 27917-2025</t>
        </is>
      </c>
      <c r="B375" s="1" t="n">
        <v>45814</v>
      </c>
      <c r="C375" s="1" t="n">
        <v>46134</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27538-2025</t>
        </is>
      </c>
      <c r="B376" s="1" t="n">
        <v>45813.46034722222</v>
      </c>
      <c r="C376" s="1" t="n">
        <v>46134</v>
      </c>
      <c r="D376" t="inlineStr">
        <is>
          <t>UPPSALA LÄN</t>
        </is>
      </c>
      <c r="E376" t="inlineStr">
        <is>
          <t>UPPSALA</t>
        </is>
      </c>
      <c r="G376" t="n">
        <v>3.1</v>
      </c>
      <c r="H376" t="n">
        <v>0</v>
      </c>
      <c r="I376" t="n">
        <v>0</v>
      </c>
      <c r="J376" t="n">
        <v>0</v>
      </c>
      <c r="K376" t="n">
        <v>0</v>
      </c>
      <c r="L376" t="n">
        <v>0</v>
      </c>
      <c r="M376" t="n">
        <v>0</v>
      </c>
      <c r="N376" t="n">
        <v>0</v>
      </c>
      <c r="O376" t="n">
        <v>0</v>
      </c>
      <c r="P376" t="n">
        <v>0</v>
      </c>
      <c r="Q376" t="n">
        <v>0</v>
      </c>
      <c r="R376" s="2" t="inlineStr"/>
    </row>
    <row r="377" ht="15" customHeight="1">
      <c r="A377" t="inlineStr">
        <is>
          <t>A 5663-2023</t>
        </is>
      </c>
      <c r="B377" s="1" t="n">
        <v>44960</v>
      </c>
      <c r="C377" s="1" t="n">
        <v>46134</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5675-2023</t>
        </is>
      </c>
      <c r="B378" s="1" t="n">
        <v>44960.66233796296</v>
      </c>
      <c r="C378" s="1" t="n">
        <v>46134</v>
      </c>
      <c r="D378" t="inlineStr">
        <is>
          <t>UPPSALA LÄN</t>
        </is>
      </c>
      <c r="E378" t="inlineStr">
        <is>
          <t>UPPSALA</t>
        </is>
      </c>
      <c r="G378" t="n">
        <v>1.1</v>
      </c>
      <c r="H378" t="n">
        <v>0</v>
      </c>
      <c r="I378" t="n">
        <v>0</v>
      </c>
      <c r="J378" t="n">
        <v>0</v>
      </c>
      <c r="K378" t="n">
        <v>0</v>
      </c>
      <c r="L378" t="n">
        <v>0</v>
      </c>
      <c r="M378" t="n">
        <v>0</v>
      </c>
      <c r="N378" t="n">
        <v>0</v>
      </c>
      <c r="O378" t="n">
        <v>0</v>
      </c>
      <c r="P378" t="n">
        <v>0</v>
      </c>
      <c r="Q378" t="n">
        <v>0</v>
      </c>
      <c r="R378" s="2" t="inlineStr"/>
    </row>
    <row r="379" ht="15" customHeight="1">
      <c r="A379" t="inlineStr">
        <is>
          <t>A 28275-2025</t>
        </is>
      </c>
      <c r="B379" s="1" t="n">
        <v>45818.57910879629</v>
      </c>
      <c r="C379" s="1" t="n">
        <v>46134</v>
      </c>
      <c r="D379" t="inlineStr">
        <is>
          <t>UPPSALA LÄN</t>
        </is>
      </c>
      <c r="E379" t="inlineStr">
        <is>
          <t>UPPSALA</t>
        </is>
      </c>
      <c r="F379" t="inlineStr">
        <is>
          <t>Holmen skog AB</t>
        </is>
      </c>
      <c r="G379" t="n">
        <v>6.5</v>
      </c>
      <c r="H379" t="n">
        <v>0</v>
      </c>
      <c r="I379" t="n">
        <v>0</v>
      </c>
      <c r="J379" t="n">
        <v>0</v>
      </c>
      <c r="K379" t="n">
        <v>0</v>
      </c>
      <c r="L379" t="n">
        <v>0</v>
      </c>
      <c r="M379" t="n">
        <v>0</v>
      </c>
      <c r="N379" t="n">
        <v>0</v>
      </c>
      <c r="O379" t="n">
        <v>0</v>
      </c>
      <c r="P379" t="n">
        <v>0</v>
      </c>
      <c r="Q379" t="n">
        <v>0</v>
      </c>
      <c r="R379" s="2" t="inlineStr"/>
    </row>
    <row r="380" ht="15" customHeight="1">
      <c r="A380" t="inlineStr">
        <is>
          <t>A 11409-2025</t>
        </is>
      </c>
      <c r="B380" s="1" t="n">
        <v>45726</v>
      </c>
      <c r="C380" s="1" t="n">
        <v>46134</v>
      </c>
      <c r="D380" t="inlineStr">
        <is>
          <t>UPPSALA LÄN</t>
        </is>
      </c>
      <c r="E380" t="inlineStr">
        <is>
          <t>UPPSALA</t>
        </is>
      </c>
      <c r="G380" t="n">
        <v>0.3</v>
      </c>
      <c r="H380" t="n">
        <v>0</v>
      </c>
      <c r="I380" t="n">
        <v>0</v>
      </c>
      <c r="J380" t="n">
        <v>0</v>
      </c>
      <c r="K380" t="n">
        <v>0</v>
      </c>
      <c r="L380" t="n">
        <v>0</v>
      </c>
      <c r="M380" t="n">
        <v>0</v>
      </c>
      <c r="N380" t="n">
        <v>0</v>
      </c>
      <c r="O380" t="n">
        <v>0</v>
      </c>
      <c r="P380" t="n">
        <v>0</v>
      </c>
      <c r="Q380" t="n">
        <v>0</v>
      </c>
      <c r="R380" s="2" t="inlineStr"/>
    </row>
    <row r="381" ht="15" customHeight="1">
      <c r="A381" t="inlineStr">
        <is>
          <t>A 1390-2026</t>
        </is>
      </c>
      <c r="B381" s="1" t="n">
        <v>46031.63210648148</v>
      </c>
      <c r="C381" s="1" t="n">
        <v>46134</v>
      </c>
      <c r="D381" t="inlineStr">
        <is>
          <t>UPPSALA LÄN</t>
        </is>
      </c>
      <c r="E381" t="inlineStr">
        <is>
          <t>UPPSALA</t>
        </is>
      </c>
      <c r="G381" t="n">
        <v>7.9</v>
      </c>
      <c r="H381" t="n">
        <v>0</v>
      </c>
      <c r="I381" t="n">
        <v>0</v>
      </c>
      <c r="J381" t="n">
        <v>0</v>
      </c>
      <c r="K381" t="n">
        <v>0</v>
      </c>
      <c r="L381" t="n">
        <v>0</v>
      </c>
      <c r="M381" t="n">
        <v>0</v>
      </c>
      <c r="N381" t="n">
        <v>0</v>
      </c>
      <c r="O381" t="n">
        <v>0</v>
      </c>
      <c r="P381" t="n">
        <v>0</v>
      </c>
      <c r="Q381" t="n">
        <v>0</v>
      </c>
      <c r="R381" s="2" t="inlineStr"/>
    </row>
    <row r="382" ht="15" customHeight="1">
      <c r="A382" t="inlineStr">
        <is>
          <t>A 41444-2025</t>
        </is>
      </c>
      <c r="B382" s="1" t="n">
        <v>45901.41756944444</v>
      </c>
      <c r="C382" s="1" t="n">
        <v>46134</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41707-2025</t>
        </is>
      </c>
      <c r="B383" s="1" t="n">
        <v>45902.42243055555</v>
      </c>
      <c r="C383" s="1" t="n">
        <v>46134</v>
      </c>
      <c r="D383" t="inlineStr">
        <is>
          <t>UPPSALA LÄN</t>
        </is>
      </c>
      <c r="E383" t="inlineStr">
        <is>
          <t>UPPSALA</t>
        </is>
      </c>
      <c r="F383" t="inlineStr">
        <is>
          <t>Allmännings- och besparingsskogar</t>
        </is>
      </c>
      <c r="G383" t="n">
        <v>3.3</v>
      </c>
      <c r="H383" t="n">
        <v>0</v>
      </c>
      <c r="I383" t="n">
        <v>0</v>
      </c>
      <c r="J383" t="n">
        <v>0</v>
      </c>
      <c r="K383" t="n">
        <v>0</v>
      </c>
      <c r="L383" t="n">
        <v>0</v>
      </c>
      <c r="M383" t="n">
        <v>0</v>
      </c>
      <c r="N383" t="n">
        <v>0</v>
      </c>
      <c r="O383" t="n">
        <v>0</v>
      </c>
      <c r="P383" t="n">
        <v>0</v>
      </c>
      <c r="Q383" t="n">
        <v>0</v>
      </c>
      <c r="R383" s="2" t="inlineStr"/>
    </row>
    <row r="384" ht="15" customHeight="1">
      <c r="A384" t="inlineStr">
        <is>
          <t>A 41445-2025</t>
        </is>
      </c>
      <c r="B384" s="1" t="n">
        <v>45901.41853009259</v>
      </c>
      <c r="C384" s="1" t="n">
        <v>46134</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28121-2025</t>
        </is>
      </c>
      <c r="B385" s="1" t="n">
        <v>45817</v>
      </c>
      <c r="C385" s="1" t="n">
        <v>46134</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28871-2025</t>
        </is>
      </c>
      <c r="B386" s="1" t="n">
        <v>45820</v>
      </c>
      <c r="C386" s="1" t="n">
        <v>46134</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28878-2025</t>
        </is>
      </c>
      <c r="B387" s="1" t="n">
        <v>45820</v>
      </c>
      <c r="C387" s="1" t="n">
        <v>46134</v>
      </c>
      <c r="D387" t="inlineStr">
        <is>
          <t>UPPSALA LÄN</t>
        </is>
      </c>
      <c r="E387" t="inlineStr">
        <is>
          <t>UPPSALA</t>
        </is>
      </c>
      <c r="G387" t="n">
        <v>5.5</v>
      </c>
      <c r="H387" t="n">
        <v>0</v>
      </c>
      <c r="I387" t="n">
        <v>0</v>
      </c>
      <c r="J387" t="n">
        <v>0</v>
      </c>
      <c r="K387" t="n">
        <v>0</v>
      </c>
      <c r="L387" t="n">
        <v>0</v>
      </c>
      <c r="M387" t="n">
        <v>0</v>
      </c>
      <c r="N387" t="n">
        <v>0</v>
      </c>
      <c r="O387" t="n">
        <v>0</v>
      </c>
      <c r="P387" t="n">
        <v>0</v>
      </c>
      <c r="Q387" t="n">
        <v>0</v>
      </c>
      <c r="R387" s="2" t="inlineStr"/>
    </row>
    <row r="388" ht="15" customHeight="1">
      <c r="A388" t="inlineStr">
        <is>
          <t>A 27922-2025</t>
        </is>
      </c>
      <c r="B388" s="1" t="n">
        <v>45817</v>
      </c>
      <c r="C388" s="1" t="n">
        <v>46134</v>
      </c>
      <c r="D388" t="inlineStr">
        <is>
          <t>UPPSALA LÄN</t>
        </is>
      </c>
      <c r="E388" t="inlineStr">
        <is>
          <t>UPPSALA</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42084-2025</t>
        </is>
      </c>
      <c r="B389" s="1" t="n">
        <v>45903.69096064815</v>
      </c>
      <c r="C389" s="1" t="n">
        <v>46134</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42085-2025</t>
        </is>
      </c>
      <c r="B390" s="1" t="n">
        <v>45903.69358796296</v>
      </c>
      <c r="C390" s="1" t="n">
        <v>46134</v>
      </c>
      <c r="D390" t="inlineStr">
        <is>
          <t>UPPSALA LÄN</t>
        </is>
      </c>
      <c r="E390" t="inlineStr">
        <is>
          <t>UPPSALA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12211-2025</t>
        </is>
      </c>
      <c r="B391" s="1" t="n">
        <v>45729</v>
      </c>
      <c r="C391" s="1" t="n">
        <v>46134</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74019-2021</t>
        </is>
      </c>
      <c r="B392" s="1" t="n">
        <v>44553</v>
      </c>
      <c r="C392" s="1" t="n">
        <v>46134</v>
      </c>
      <c r="D392" t="inlineStr">
        <is>
          <t>UPPSALA LÄN</t>
        </is>
      </c>
      <c r="E392" t="inlineStr">
        <is>
          <t>UPPSALA</t>
        </is>
      </c>
      <c r="G392" t="n">
        <v>3</v>
      </c>
      <c r="H392" t="n">
        <v>0</v>
      </c>
      <c r="I392" t="n">
        <v>0</v>
      </c>
      <c r="J392" t="n">
        <v>0</v>
      </c>
      <c r="K392" t="n">
        <v>0</v>
      </c>
      <c r="L392" t="n">
        <v>0</v>
      </c>
      <c r="M392" t="n">
        <v>0</v>
      </c>
      <c r="N392" t="n">
        <v>0</v>
      </c>
      <c r="O392" t="n">
        <v>0</v>
      </c>
      <c r="P392" t="n">
        <v>0</v>
      </c>
      <c r="Q392" t="n">
        <v>0</v>
      </c>
      <c r="R392" s="2" t="inlineStr"/>
    </row>
    <row r="393" ht="15" customHeight="1">
      <c r="A393" t="inlineStr">
        <is>
          <t>A 28876-2025</t>
        </is>
      </c>
      <c r="B393" s="1" t="n">
        <v>45820</v>
      </c>
      <c r="C393" s="1" t="n">
        <v>46134</v>
      </c>
      <c r="D393" t="inlineStr">
        <is>
          <t>UPPSALA LÄN</t>
        </is>
      </c>
      <c r="E393" t="inlineStr">
        <is>
          <t>UPPSALA</t>
        </is>
      </c>
      <c r="G393" t="n">
        <v>4</v>
      </c>
      <c r="H393" t="n">
        <v>0</v>
      </c>
      <c r="I393" t="n">
        <v>0</v>
      </c>
      <c r="J393" t="n">
        <v>0</v>
      </c>
      <c r="K393" t="n">
        <v>0</v>
      </c>
      <c r="L393" t="n">
        <v>0</v>
      </c>
      <c r="M393" t="n">
        <v>0</v>
      </c>
      <c r="N393" t="n">
        <v>0</v>
      </c>
      <c r="O393" t="n">
        <v>0</v>
      </c>
      <c r="P393" t="n">
        <v>0</v>
      </c>
      <c r="Q393" t="n">
        <v>0</v>
      </c>
      <c r="R393" s="2" t="inlineStr"/>
    </row>
    <row r="394" ht="15" customHeight="1">
      <c r="A394" t="inlineStr">
        <is>
          <t>A 26738-2025</t>
        </is>
      </c>
      <c r="B394" s="1" t="n">
        <v>45809</v>
      </c>
      <c r="C394" s="1" t="n">
        <v>46134</v>
      </c>
      <c r="D394" t="inlineStr">
        <is>
          <t>UPPSALA LÄN</t>
        </is>
      </c>
      <c r="E394" t="inlineStr">
        <is>
          <t>UPPSALA</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26739-2025</t>
        </is>
      </c>
      <c r="B395" s="1" t="n">
        <v>45809</v>
      </c>
      <c r="C395" s="1" t="n">
        <v>46134</v>
      </c>
      <c r="D395" t="inlineStr">
        <is>
          <t>UPPSALA LÄN</t>
        </is>
      </c>
      <c r="E395" t="inlineStr">
        <is>
          <t>UPPSALA</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46134</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42134-2025</t>
        </is>
      </c>
      <c r="B397" s="1" t="n">
        <v>45904</v>
      </c>
      <c r="C397" s="1" t="n">
        <v>46134</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41954-2025</t>
        </is>
      </c>
      <c r="B398" s="1" t="n">
        <v>45903</v>
      </c>
      <c r="C398" s="1" t="n">
        <v>46134</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53906-2023</t>
        </is>
      </c>
      <c r="B399" s="1" t="n">
        <v>45231</v>
      </c>
      <c r="C399" s="1" t="n">
        <v>46134</v>
      </c>
      <c r="D399" t="inlineStr">
        <is>
          <t>UPPSALA LÄN</t>
        </is>
      </c>
      <c r="E399" t="inlineStr">
        <is>
          <t>UPPSALA</t>
        </is>
      </c>
      <c r="G399" t="n">
        <v>13.2</v>
      </c>
      <c r="H399" t="n">
        <v>0</v>
      </c>
      <c r="I399" t="n">
        <v>0</v>
      </c>
      <c r="J399" t="n">
        <v>0</v>
      </c>
      <c r="K399" t="n">
        <v>0</v>
      </c>
      <c r="L399" t="n">
        <v>0</v>
      </c>
      <c r="M399" t="n">
        <v>0</v>
      </c>
      <c r="N399" t="n">
        <v>0</v>
      </c>
      <c r="O399" t="n">
        <v>0</v>
      </c>
      <c r="P399" t="n">
        <v>0</v>
      </c>
      <c r="Q399" t="n">
        <v>0</v>
      </c>
      <c r="R399" s="2" t="inlineStr"/>
    </row>
    <row r="400" ht="15" customHeight="1">
      <c r="A400" t="inlineStr">
        <is>
          <t>A 1975-2022</t>
        </is>
      </c>
      <c r="B400" s="1" t="n">
        <v>44575</v>
      </c>
      <c r="C400" s="1" t="n">
        <v>46134</v>
      </c>
      <c r="D400" t="inlineStr">
        <is>
          <t>UPPSALA LÄN</t>
        </is>
      </c>
      <c r="E400" t="inlineStr">
        <is>
          <t>UPPSALA</t>
        </is>
      </c>
      <c r="G400" t="n">
        <v>3.9</v>
      </c>
      <c r="H400" t="n">
        <v>0</v>
      </c>
      <c r="I400" t="n">
        <v>0</v>
      </c>
      <c r="J400" t="n">
        <v>0</v>
      </c>
      <c r="K400" t="n">
        <v>0</v>
      </c>
      <c r="L400" t="n">
        <v>0</v>
      </c>
      <c r="M400" t="n">
        <v>0</v>
      </c>
      <c r="N400" t="n">
        <v>0</v>
      </c>
      <c r="O400" t="n">
        <v>0</v>
      </c>
      <c r="P400" t="n">
        <v>0</v>
      </c>
      <c r="Q400" t="n">
        <v>0</v>
      </c>
      <c r="R400" s="2" t="inlineStr"/>
    </row>
    <row r="401" ht="15" customHeight="1">
      <c r="A401" t="inlineStr">
        <is>
          <t>A 29047-2025</t>
        </is>
      </c>
      <c r="B401" s="1" t="n">
        <v>45821.45905092593</v>
      </c>
      <c r="C401" s="1" t="n">
        <v>46134</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29287-2025</t>
        </is>
      </c>
      <c r="B402" s="1" t="n">
        <v>45824.43798611111</v>
      </c>
      <c r="C402" s="1" t="n">
        <v>46134</v>
      </c>
      <c r="D402" t="inlineStr">
        <is>
          <t>UPPSALA LÄN</t>
        </is>
      </c>
      <c r="E402" t="inlineStr">
        <is>
          <t>UPPSALA</t>
        </is>
      </c>
      <c r="F402" t="inlineStr">
        <is>
          <t>Kyrkan</t>
        </is>
      </c>
      <c r="G402" t="n">
        <v>5.2</v>
      </c>
      <c r="H402" t="n">
        <v>0</v>
      </c>
      <c r="I402" t="n">
        <v>0</v>
      </c>
      <c r="J402" t="n">
        <v>0</v>
      </c>
      <c r="K402" t="n">
        <v>0</v>
      </c>
      <c r="L402" t="n">
        <v>0</v>
      </c>
      <c r="M402" t="n">
        <v>0</v>
      </c>
      <c r="N402" t="n">
        <v>0</v>
      </c>
      <c r="O402" t="n">
        <v>0</v>
      </c>
      <c r="P402" t="n">
        <v>0</v>
      </c>
      <c r="Q402" t="n">
        <v>0</v>
      </c>
      <c r="R402" s="2" t="inlineStr"/>
    </row>
    <row r="403" ht="15" customHeight="1">
      <c r="A403" t="inlineStr">
        <is>
          <t>A 27622-2023</t>
        </is>
      </c>
      <c r="B403" s="1" t="n">
        <v>45097</v>
      </c>
      <c r="C403" s="1" t="n">
        <v>46134</v>
      </c>
      <c r="D403" t="inlineStr">
        <is>
          <t>UPPSALA LÄN</t>
        </is>
      </c>
      <c r="E403" t="inlineStr">
        <is>
          <t>UPPSALA</t>
        </is>
      </c>
      <c r="G403" t="n">
        <v>3.2</v>
      </c>
      <c r="H403" t="n">
        <v>0</v>
      </c>
      <c r="I403" t="n">
        <v>0</v>
      </c>
      <c r="J403" t="n">
        <v>0</v>
      </c>
      <c r="K403" t="n">
        <v>0</v>
      </c>
      <c r="L403" t="n">
        <v>0</v>
      </c>
      <c r="M403" t="n">
        <v>0</v>
      </c>
      <c r="N403" t="n">
        <v>0</v>
      </c>
      <c r="O403" t="n">
        <v>0</v>
      </c>
      <c r="P403" t="n">
        <v>0</v>
      </c>
      <c r="Q403" t="n">
        <v>0</v>
      </c>
      <c r="R403" s="2" t="inlineStr"/>
    </row>
    <row r="404" ht="15" customHeight="1">
      <c r="A404" t="inlineStr">
        <is>
          <t>A 29030-2025</t>
        </is>
      </c>
      <c r="B404" s="1" t="n">
        <v>45821.44101851852</v>
      </c>
      <c r="C404" s="1" t="n">
        <v>46134</v>
      </c>
      <c r="D404" t="inlineStr">
        <is>
          <t>UPPSALA LÄN</t>
        </is>
      </c>
      <c r="E404" t="inlineStr">
        <is>
          <t>UPPSALA</t>
        </is>
      </c>
      <c r="G404" t="n">
        <v>3.9</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46134</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56679-2022</t>
        </is>
      </c>
      <c r="B406" s="1" t="n">
        <v>44893</v>
      </c>
      <c r="C406" s="1" t="n">
        <v>46134</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46134</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42593-2025</t>
        </is>
      </c>
      <c r="B408" s="1" t="n">
        <v>45905.64862268518</v>
      </c>
      <c r="C408" s="1" t="n">
        <v>46134</v>
      </c>
      <c r="D408" t="inlineStr">
        <is>
          <t>UPPSALA LÄN</t>
        </is>
      </c>
      <c r="E408" t="inlineStr">
        <is>
          <t>UPPSALA</t>
        </is>
      </c>
      <c r="G408" t="n">
        <v>2.1</v>
      </c>
      <c r="H408" t="n">
        <v>0</v>
      </c>
      <c r="I408" t="n">
        <v>0</v>
      </c>
      <c r="J408" t="n">
        <v>0</v>
      </c>
      <c r="K408" t="n">
        <v>0</v>
      </c>
      <c r="L408" t="n">
        <v>0</v>
      </c>
      <c r="M408" t="n">
        <v>0</v>
      </c>
      <c r="N408" t="n">
        <v>0</v>
      </c>
      <c r="O408" t="n">
        <v>0</v>
      </c>
      <c r="P408" t="n">
        <v>0</v>
      </c>
      <c r="Q408" t="n">
        <v>0</v>
      </c>
      <c r="R408" s="2" t="inlineStr"/>
    </row>
    <row r="409" ht="15" customHeight="1">
      <c r="A409" t="inlineStr">
        <is>
          <t>A 59133-2022</t>
        </is>
      </c>
      <c r="B409" s="1" t="n">
        <v>44904</v>
      </c>
      <c r="C409" s="1" t="n">
        <v>46134</v>
      </c>
      <c r="D409" t="inlineStr">
        <is>
          <t>UPPSALA LÄN</t>
        </is>
      </c>
      <c r="E409" t="inlineStr">
        <is>
          <t>UPPSALA</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42541-2025</t>
        </is>
      </c>
      <c r="B410" s="1" t="n">
        <v>45905.5756712963</v>
      </c>
      <c r="C410" s="1" t="n">
        <v>46134</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15310-2022</t>
        </is>
      </c>
      <c r="B411" s="1" t="n">
        <v>44659</v>
      </c>
      <c r="C411" s="1" t="n">
        <v>46134</v>
      </c>
      <c r="D411" t="inlineStr">
        <is>
          <t>UPPSALA LÄN</t>
        </is>
      </c>
      <c r="E411" t="inlineStr">
        <is>
          <t>UPPSALA</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29627-2025</t>
        </is>
      </c>
      <c r="B412" s="1" t="n">
        <v>45825.44482638889</v>
      </c>
      <c r="C412" s="1" t="n">
        <v>46134</v>
      </c>
      <c r="D412" t="inlineStr">
        <is>
          <t>UPPSALA LÄN</t>
        </is>
      </c>
      <c r="E412" t="inlineStr">
        <is>
          <t>UPPSALA</t>
        </is>
      </c>
      <c r="F412" t="inlineStr">
        <is>
          <t>Kommuner</t>
        </is>
      </c>
      <c r="G412" t="n">
        <v>1.6</v>
      </c>
      <c r="H412" t="n">
        <v>0</v>
      </c>
      <c r="I412" t="n">
        <v>0</v>
      </c>
      <c r="J412" t="n">
        <v>0</v>
      </c>
      <c r="K412" t="n">
        <v>0</v>
      </c>
      <c r="L412" t="n">
        <v>0</v>
      </c>
      <c r="M412" t="n">
        <v>0</v>
      </c>
      <c r="N412" t="n">
        <v>0</v>
      </c>
      <c r="O412" t="n">
        <v>0</v>
      </c>
      <c r="P412" t="n">
        <v>0</v>
      </c>
      <c r="Q412" t="n">
        <v>0</v>
      </c>
      <c r="R412" s="2" t="inlineStr"/>
    </row>
    <row r="413" ht="15" customHeight="1">
      <c r="A413" t="inlineStr">
        <is>
          <t>A 30429-2025</t>
        </is>
      </c>
      <c r="B413" s="1" t="n">
        <v>45827.62096064815</v>
      </c>
      <c r="C413" s="1" t="n">
        <v>46134</v>
      </c>
      <c r="D413" t="inlineStr">
        <is>
          <t>UPPSALA LÄN</t>
        </is>
      </c>
      <c r="E413" t="inlineStr">
        <is>
          <t>UPPSALA</t>
        </is>
      </c>
      <c r="G413" t="n">
        <v>0.6</v>
      </c>
      <c r="H413" t="n">
        <v>0</v>
      </c>
      <c r="I413" t="n">
        <v>0</v>
      </c>
      <c r="J413" t="n">
        <v>0</v>
      </c>
      <c r="K413" t="n">
        <v>0</v>
      </c>
      <c r="L413" t="n">
        <v>0</v>
      </c>
      <c r="M413" t="n">
        <v>0</v>
      </c>
      <c r="N413" t="n">
        <v>0</v>
      </c>
      <c r="O413" t="n">
        <v>0</v>
      </c>
      <c r="P413" t="n">
        <v>0</v>
      </c>
      <c r="Q413" t="n">
        <v>0</v>
      </c>
      <c r="R413" s="2" t="inlineStr"/>
    </row>
    <row r="414" ht="15" customHeight="1">
      <c r="A414" t="inlineStr">
        <is>
          <t>A 9201-2024</t>
        </is>
      </c>
      <c r="B414" s="1" t="n">
        <v>45358</v>
      </c>
      <c r="C414" s="1" t="n">
        <v>46134</v>
      </c>
      <c r="D414" t="inlineStr">
        <is>
          <t>UPPSALA LÄN</t>
        </is>
      </c>
      <c r="E414" t="inlineStr">
        <is>
          <t>UPPSALA</t>
        </is>
      </c>
      <c r="F414" t="inlineStr">
        <is>
          <t>Allmännings- och besparingsskogar</t>
        </is>
      </c>
      <c r="G414" t="n">
        <v>6.5</v>
      </c>
      <c r="H414" t="n">
        <v>0</v>
      </c>
      <c r="I414" t="n">
        <v>0</v>
      </c>
      <c r="J414" t="n">
        <v>0</v>
      </c>
      <c r="K414" t="n">
        <v>0</v>
      </c>
      <c r="L414" t="n">
        <v>0</v>
      </c>
      <c r="M414" t="n">
        <v>0</v>
      </c>
      <c r="N414" t="n">
        <v>0</v>
      </c>
      <c r="O414" t="n">
        <v>0</v>
      </c>
      <c r="P414" t="n">
        <v>0</v>
      </c>
      <c r="Q414" t="n">
        <v>0</v>
      </c>
      <c r="R414" s="2" t="inlineStr"/>
    </row>
    <row r="415" ht="15" customHeight="1">
      <c r="A415" t="inlineStr">
        <is>
          <t>A 12507-2024</t>
        </is>
      </c>
      <c r="B415" s="1" t="n">
        <v>45379</v>
      </c>
      <c r="C415" s="1" t="n">
        <v>46134</v>
      </c>
      <c r="D415" t="inlineStr">
        <is>
          <t>UPPSALA LÄN</t>
        </is>
      </c>
      <c r="E415" t="inlineStr">
        <is>
          <t>UPPSALA</t>
        </is>
      </c>
      <c r="G415" t="n">
        <v>4.6</v>
      </c>
      <c r="H415" t="n">
        <v>0</v>
      </c>
      <c r="I415" t="n">
        <v>0</v>
      </c>
      <c r="J415" t="n">
        <v>0</v>
      </c>
      <c r="K415" t="n">
        <v>0</v>
      </c>
      <c r="L415" t="n">
        <v>0</v>
      </c>
      <c r="M415" t="n">
        <v>0</v>
      </c>
      <c r="N415" t="n">
        <v>0</v>
      </c>
      <c r="O415" t="n">
        <v>0</v>
      </c>
      <c r="P415" t="n">
        <v>0</v>
      </c>
      <c r="Q415" t="n">
        <v>0</v>
      </c>
      <c r="R415" s="2" t="inlineStr"/>
    </row>
    <row r="416" ht="15" customHeight="1">
      <c r="A416" t="inlineStr">
        <is>
          <t>A 60702-2022</t>
        </is>
      </c>
      <c r="B416" s="1" t="n">
        <v>44912.29869212963</v>
      </c>
      <c r="C416" s="1" t="n">
        <v>46134</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30437-2025</t>
        </is>
      </c>
      <c r="B417" s="1" t="n">
        <v>45827.64092592592</v>
      </c>
      <c r="C417" s="1" t="n">
        <v>46134</v>
      </c>
      <c r="D417" t="inlineStr">
        <is>
          <t>UPPSALA LÄN</t>
        </is>
      </c>
      <c r="E417" t="inlineStr">
        <is>
          <t>UPPSALA</t>
        </is>
      </c>
      <c r="G417" t="n">
        <v>3.6</v>
      </c>
      <c r="H417" t="n">
        <v>0</v>
      </c>
      <c r="I417" t="n">
        <v>0</v>
      </c>
      <c r="J417" t="n">
        <v>0</v>
      </c>
      <c r="K417" t="n">
        <v>0</v>
      </c>
      <c r="L417" t="n">
        <v>0</v>
      </c>
      <c r="M417" t="n">
        <v>0</v>
      </c>
      <c r="N417" t="n">
        <v>0</v>
      </c>
      <c r="O417" t="n">
        <v>0</v>
      </c>
      <c r="P417" t="n">
        <v>0</v>
      </c>
      <c r="Q417" t="n">
        <v>0</v>
      </c>
      <c r="R417" s="2" t="inlineStr"/>
    </row>
    <row r="418" ht="15" customHeight="1">
      <c r="A418" t="inlineStr">
        <is>
          <t>A 8933-2022</t>
        </is>
      </c>
      <c r="B418" s="1" t="n">
        <v>44614.69730324074</v>
      </c>
      <c r="C418" s="1" t="n">
        <v>46134</v>
      </c>
      <c r="D418" t="inlineStr">
        <is>
          <t>UPPSALA LÄN</t>
        </is>
      </c>
      <c r="E418" t="inlineStr">
        <is>
          <t>UPPSALA</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21859-2024</t>
        </is>
      </c>
      <c r="B419" s="1" t="n">
        <v>45443</v>
      </c>
      <c r="C419" s="1" t="n">
        <v>46134</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6930-2023</t>
        </is>
      </c>
      <c r="B420" s="1" t="n">
        <v>44967.55960648148</v>
      </c>
      <c r="C420" s="1" t="n">
        <v>46134</v>
      </c>
      <c r="D420" t="inlineStr">
        <is>
          <t>UPPSALA LÄN</t>
        </is>
      </c>
      <c r="E420" t="inlineStr">
        <is>
          <t>UPPSALA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30282-2025</t>
        </is>
      </c>
      <c r="B421" s="1" t="n">
        <v>45827.46288194445</v>
      </c>
      <c r="C421" s="1" t="n">
        <v>46134</v>
      </c>
      <c r="D421" t="inlineStr">
        <is>
          <t>UPPSALA LÄN</t>
        </is>
      </c>
      <c r="E421" t="inlineStr">
        <is>
          <t>UPPSALA</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10394-2025</t>
        </is>
      </c>
      <c r="B422" s="1" t="n">
        <v>45720.60410879629</v>
      </c>
      <c r="C422" s="1" t="n">
        <v>46134</v>
      </c>
      <c r="D422" t="inlineStr">
        <is>
          <t>UPPSALA LÄN</t>
        </is>
      </c>
      <c r="E422" t="inlineStr">
        <is>
          <t>UPPSALA</t>
        </is>
      </c>
      <c r="G422" t="n">
        <v>3.4</v>
      </c>
      <c r="H422" t="n">
        <v>0</v>
      </c>
      <c r="I422" t="n">
        <v>0</v>
      </c>
      <c r="J422" t="n">
        <v>0</v>
      </c>
      <c r="K422" t="n">
        <v>0</v>
      </c>
      <c r="L422" t="n">
        <v>0</v>
      </c>
      <c r="M422" t="n">
        <v>0</v>
      </c>
      <c r="N422" t="n">
        <v>0</v>
      </c>
      <c r="O422" t="n">
        <v>0</v>
      </c>
      <c r="P422" t="n">
        <v>0</v>
      </c>
      <c r="Q422" t="n">
        <v>0</v>
      </c>
      <c r="R422" s="2" t="inlineStr"/>
    </row>
    <row r="423" ht="15" customHeight="1">
      <c r="A423" t="inlineStr">
        <is>
          <t>A 33939-2024</t>
        </is>
      </c>
      <c r="B423" s="1" t="n">
        <v>45523</v>
      </c>
      <c r="C423" s="1" t="n">
        <v>46134</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30585-2025</t>
        </is>
      </c>
      <c r="B424" s="1" t="n">
        <v>45831.42616898148</v>
      </c>
      <c r="C424" s="1" t="n">
        <v>46134</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30839-2025</t>
        </is>
      </c>
      <c r="B425" s="1" t="n">
        <v>45831.73</v>
      </c>
      <c r="C425" s="1" t="n">
        <v>46134</v>
      </c>
      <c r="D425" t="inlineStr">
        <is>
          <t>UPPSALA LÄN</t>
        </is>
      </c>
      <c r="E425" t="inlineStr">
        <is>
          <t>UPPSALA</t>
        </is>
      </c>
      <c r="F425" t="inlineStr">
        <is>
          <t>Kyrkan</t>
        </is>
      </c>
      <c r="G425" t="n">
        <v>2.2</v>
      </c>
      <c r="H425" t="n">
        <v>0</v>
      </c>
      <c r="I425" t="n">
        <v>0</v>
      </c>
      <c r="J425" t="n">
        <v>0</v>
      </c>
      <c r="K425" t="n">
        <v>0</v>
      </c>
      <c r="L425" t="n">
        <v>0</v>
      </c>
      <c r="M425" t="n">
        <v>0</v>
      </c>
      <c r="N425" t="n">
        <v>0</v>
      </c>
      <c r="O425" t="n">
        <v>0</v>
      </c>
      <c r="P425" t="n">
        <v>0</v>
      </c>
      <c r="Q425" t="n">
        <v>0</v>
      </c>
      <c r="R425" s="2" t="inlineStr"/>
    </row>
    <row r="426" ht="15" customHeight="1">
      <c r="A426" t="inlineStr">
        <is>
          <t>A 43893-2025</t>
        </is>
      </c>
      <c r="B426" s="1" t="n">
        <v>45912.7097337963</v>
      </c>
      <c r="C426" s="1" t="n">
        <v>46134</v>
      </c>
      <c r="D426" t="inlineStr">
        <is>
          <t>UPPSALA LÄN</t>
        </is>
      </c>
      <c r="E426" t="inlineStr">
        <is>
          <t>UPPSALA</t>
        </is>
      </c>
      <c r="F426" t="inlineStr">
        <is>
          <t>Kyrkan</t>
        </is>
      </c>
      <c r="G426" t="n">
        <v>5.7</v>
      </c>
      <c r="H426" t="n">
        <v>0</v>
      </c>
      <c r="I426" t="n">
        <v>0</v>
      </c>
      <c r="J426" t="n">
        <v>0</v>
      </c>
      <c r="K426" t="n">
        <v>0</v>
      </c>
      <c r="L426" t="n">
        <v>0</v>
      </c>
      <c r="M426" t="n">
        <v>0</v>
      </c>
      <c r="N426" t="n">
        <v>0</v>
      </c>
      <c r="O426" t="n">
        <v>0</v>
      </c>
      <c r="P426" t="n">
        <v>0</v>
      </c>
      <c r="Q426" t="n">
        <v>0</v>
      </c>
      <c r="R426" s="2" t="inlineStr"/>
    </row>
    <row r="427" ht="15" customHeight="1">
      <c r="A427" t="inlineStr">
        <is>
          <t>A 10612-2025</t>
        </is>
      </c>
      <c r="B427" s="1" t="n">
        <v>45721.60894675926</v>
      </c>
      <c r="C427" s="1" t="n">
        <v>46134</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59489-2023</t>
        </is>
      </c>
      <c r="B428" s="1" t="n">
        <v>45254</v>
      </c>
      <c r="C428" s="1" t="n">
        <v>46134</v>
      </c>
      <c r="D428" t="inlineStr">
        <is>
          <t>UPPSALA LÄN</t>
        </is>
      </c>
      <c r="E428" t="inlineStr">
        <is>
          <t>UPPSALA</t>
        </is>
      </c>
      <c r="G428" t="n">
        <v>6.5</v>
      </c>
      <c r="H428" t="n">
        <v>0</v>
      </c>
      <c r="I428" t="n">
        <v>0</v>
      </c>
      <c r="J428" t="n">
        <v>0</v>
      </c>
      <c r="K428" t="n">
        <v>0</v>
      </c>
      <c r="L428" t="n">
        <v>0</v>
      </c>
      <c r="M428" t="n">
        <v>0</v>
      </c>
      <c r="N428" t="n">
        <v>0</v>
      </c>
      <c r="O428" t="n">
        <v>0</v>
      </c>
      <c r="P428" t="n">
        <v>0</v>
      </c>
      <c r="Q428" t="n">
        <v>0</v>
      </c>
      <c r="R428" s="2" t="inlineStr"/>
    </row>
    <row r="429" ht="15" customHeight="1">
      <c r="A429" t="inlineStr">
        <is>
          <t>A 30898-2025</t>
        </is>
      </c>
      <c r="B429" s="1" t="n">
        <v>45832.35590277778</v>
      </c>
      <c r="C429" s="1" t="n">
        <v>46134</v>
      </c>
      <c r="D429" t="inlineStr">
        <is>
          <t>UPPSALA LÄN</t>
        </is>
      </c>
      <c r="E429" t="inlineStr">
        <is>
          <t>UPPSALA</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30567-2025</t>
        </is>
      </c>
      <c r="B430" s="1" t="n">
        <v>45831.40671296296</v>
      </c>
      <c r="C430" s="1" t="n">
        <v>46134</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30897-2025</t>
        </is>
      </c>
      <c r="B431" s="1" t="n">
        <v>45832.35545138889</v>
      </c>
      <c r="C431" s="1" t="n">
        <v>46134</v>
      </c>
      <c r="D431" t="inlineStr">
        <is>
          <t>UPPSALA LÄN</t>
        </is>
      </c>
      <c r="E431" t="inlineStr">
        <is>
          <t>UPPSALA</t>
        </is>
      </c>
      <c r="F431" t="inlineStr">
        <is>
          <t>Kyrkan</t>
        </is>
      </c>
      <c r="G431" t="n">
        <v>2.8</v>
      </c>
      <c r="H431" t="n">
        <v>0</v>
      </c>
      <c r="I431" t="n">
        <v>0</v>
      </c>
      <c r="J431" t="n">
        <v>0</v>
      </c>
      <c r="K431" t="n">
        <v>0</v>
      </c>
      <c r="L431" t="n">
        <v>0</v>
      </c>
      <c r="M431" t="n">
        <v>0</v>
      </c>
      <c r="N431" t="n">
        <v>0</v>
      </c>
      <c r="O431" t="n">
        <v>0</v>
      </c>
      <c r="P431" t="n">
        <v>0</v>
      </c>
      <c r="Q431" t="n">
        <v>0</v>
      </c>
      <c r="R431" s="2" t="inlineStr"/>
    </row>
    <row r="432" ht="15" customHeight="1">
      <c r="A432" t="inlineStr">
        <is>
          <t>A 47287-2023</t>
        </is>
      </c>
      <c r="B432" s="1" t="n">
        <v>45202</v>
      </c>
      <c r="C432" s="1" t="n">
        <v>46134</v>
      </c>
      <c r="D432" t="inlineStr">
        <is>
          <t>UPPSALA LÄN</t>
        </is>
      </c>
      <c r="E432" t="inlineStr">
        <is>
          <t>UPPSALA</t>
        </is>
      </c>
      <c r="F432" t="inlineStr">
        <is>
          <t>Holmen skog AB</t>
        </is>
      </c>
      <c r="G432" t="n">
        <v>0.4</v>
      </c>
      <c r="H432" t="n">
        <v>0</v>
      </c>
      <c r="I432" t="n">
        <v>0</v>
      </c>
      <c r="J432" t="n">
        <v>0</v>
      </c>
      <c r="K432" t="n">
        <v>0</v>
      </c>
      <c r="L432" t="n">
        <v>0</v>
      </c>
      <c r="M432" t="n">
        <v>0</v>
      </c>
      <c r="N432" t="n">
        <v>0</v>
      </c>
      <c r="O432" t="n">
        <v>0</v>
      </c>
      <c r="P432" t="n">
        <v>0</v>
      </c>
      <c r="Q432" t="n">
        <v>0</v>
      </c>
      <c r="R432" s="2" t="inlineStr"/>
    </row>
    <row r="433" ht="15" customHeight="1">
      <c r="A433" t="inlineStr">
        <is>
          <t>A 30838-2025</t>
        </is>
      </c>
      <c r="B433" s="1" t="n">
        <v>45831.72686342592</v>
      </c>
      <c r="C433" s="1" t="n">
        <v>46134</v>
      </c>
      <c r="D433" t="inlineStr">
        <is>
          <t>UPPSALA LÄN</t>
        </is>
      </c>
      <c r="E433" t="inlineStr">
        <is>
          <t>UPPSALA</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44226-2025</t>
        </is>
      </c>
      <c r="B434" s="1" t="n">
        <v>45915.64064814815</v>
      </c>
      <c r="C434" s="1" t="n">
        <v>46134</v>
      </c>
      <c r="D434" t="inlineStr">
        <is>
          <t>UPPSALA LÄN</t>
        </is>
      </c>
      <c r="E434" t="inlineStr">
        <is>
          <t>UPPSALA</t>
        </is>
      </c>
      <c r="F434" t="inlineStr">
        <is>
          <t>Kyrkan</t>
        </is>
      </c>
      <c r="G434" t="n">
        <v>2.5</v>
      </c>
      <c r="H434" t="n">
        <v>0</v>
      </c>
      <c r="I434" t="n">
        <v>0</v>
      </c>
      <c r="J434" t="n">
        <v>0</v>
      </c>
      <c r="K434" t="n">
        <v>0</v>
      </c>
      <c r="L434" t="n">
        <v>0</v>
      </c>
      <c r="M434" t="n">
        <v>0</v>
      </c>
      <c r="N434" t="n">
        <v>0</v>
      </c>
      <c r="O434" t="n">
        <v>0</v>
      </c>
      <c r="P434" t="n">
        <v>0</v>
      </c>
      <c r="Q434" t="n">
        <v>0</v>
      </c>
      <c r="R434" s="2" t="inlineStr"/>
    </row>
    <row r="435" ht="15" customHeight="1">
      <c r="A435" t="inlineStr">
        <is>
          <t>A 43903-2025</t>
        </is>
      </c>
      <c r="B435" s="1" t="n">
        <v>45913.39467592593</v>
      </c>
      <c r="C435" s="1" t="n">
        <v>46134</v>
      </c>
      <c r="D435" t="inlineStr">
        <is>
          <t>UPPSALA LÄN</t>
        </is>
      </c>
      <c r="E435" t="inlineStr">
        <is>
          <t>UPPSALA</t>
        </is>
      </c>
      <c r="F435" t="inlineStr">
        <is>
          <t>Bergvik skog öst AB</t>
        </is>
      </c>
      <c r="G435" t="n">
        <v>3.5</v>
      </c>
      <c r="H435" t="n">
        <v>0</v>
      </c>
      <c r="I435" t="n">
        <v>0</v>
      </c>
      <c r="J435" t="n">
        <v>0</v>
      </c>
      <c r="K435" t="n">
        <v>0</v>
      </c>
      <c r="L435" t="n">
        <v>0</v>
      </c>
      <c r="M435" t="n">
        <v>0</v>
      </c>
      <c r="N435" t="n">
        <v>0</v>
      </c>
      <c r="O435" t="n">
        <v>0</v>
      </c>
      <c r="P435" t="n">
        <v>0</v>
      </c>
      <c r="Q435" t="n">
        <v>0</v>
      </c>
      <c r="R435" s="2" t="inlineStr"/>
    </row>
    <row r="436" ht="15" customHeight="1">
      <c r="A436" t="inlineStr">
        <is>
          <t>A 44470-2025</t>
        </is>
      </c>
      <c r="B436" s="1" t="n">
        <v>45916</v>
      </c>
      <c r="C436" s="1" t="n">
        <v>46134</v>
      </c>
      <c r="D436" t="inlineStr">
        <is>
          <t>UPPSALA LÄN</t>
        </is>
      </c>
      <c r="E436" t="inlineStr">
        <is>
          <t>UPPSALA</t>
        </is>
      </c>
      <c r="G436" t="n">
        <v>0.5</v>
      </c>
      <c r="H436" t="n">
        <v>0</v>
      </c>
      <c r="I436" t="n">
        <v>0</v>
      </c>
      <c r="J436" t="n">
        <v>0</v>
      </c>
      <c r="K436" t="n">
        <v>0</v>
      </c>
      <c r="L436" t="n">
        <v>0</v>
      </c>
      <c r="M436" t="n">
        <v>0</v>
      </c>
      <c r="N436" t="n">
        <v>0</v>
      </c>
      <c r="O436" t="n">
        <v>0</v>
      </c>
      <c r="P436" t="n">
        <v>0</v>
      </c>
      <c r="Q436" t="n">
        <v>0</v>
      </c>
      <c r="R436" s="2" t="inlineStr"/>
    </row>
    <row r="437" ht="15" customHeight="1">
      <c r="A437" t="inlineStr">
        <is>
          <t>A 30583-2025</t>
        </is>
      </c>
      <c r="B437" s="1" t="n">
        <v>45831.42365740741</v>
      </c>
      <c r="C437" s="1" t="n">
        <v>46134</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64855-2021</t>
        </is>
      </c>
      <c r="B438" s="1" t="n">
        <v>44512</v>
      </c>
      <c r="C438" s="1" t="n">
        <v>46134</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44813-2025</t>
        </is>
      </c>
      <c r="B439" s="1" t="n">
        <v>45918.37322916667</v>
      </c>
      <c r="C439" s="1" t="n">
        <v>46134</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32252-2025</t>
        </is>
      </c>
      <c r="B440" s="1" t="n">
        <v>45835.62752314815</v>
      </c>
      <c r="C440" s="1" t="n">
        <v>46134</v>
      </c>
      <c r="D440" t="inlineStr">
        <is>
          <t>UPPSALA LÄN</t>
        </is>
      </c>
      <c r="E440" t="inlineStr">
        <is>
          <t>UPPSALA</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13644-2024</t>
        </is>
      </c>
      <c r="B441" s="1" t="n">
        <v>45390</v>
      </c>
      <c r="C441" s="1" t="n">
        <v>46134</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9592-2022</t>
        </is>
      </c>
      <c r="B442" s="1" t="n">
        <v>44617.48311342593</v>
      </c>
      <c r="C442" s="1" t="n">
        <v>46134</v>
      </c>
      <c r="D442" t="inlineStr">
        <is>
          <t>UPPSALA LÄN</t>
        </is>
      </c>
      <c r="E442" t="inlineStr">
        <is>
          <t>UPPSALA</t>
        </is>
      </c>
      <c r="G442" t="n">
        <v>7.5</v>
      </c>
      <c r="H442" t="n">
        <v>0</v>
      </c>
      <c r="I442" t="n">
        <v>0</v>
      </c>
      <c r="J442" t="n">
        <v>0</v>
      </c>
      <c r="K442" t="n">
        <v>0</v>
      </c>
      <c r="L442" t="n">
        <v>0</v>
      </c>
      <c r="M442" t="n">
        <v>0</v>
      </c>
      <c r="N442" t="n">
        <v>0</v>
      </c>
      <c r="O442" t="n">
        <v>0</v>
      </c>
      <c r="P442" t="n">
        <v>0</v>
      </c>
      <c r="Q442" t="n">
        <v>0</v>
      </c>
      <c r="R442" s="2" t="inlineStr"/>
    </row>
    <row r="443" ht="15" customHeight="1">
      <c r="A443" t="inlineStr">
        <is>
          <t>A 8473-2023</t>
        </is>
      </c>
      <c r="B443" s="1" t="n">
        <v>44977</v>
      </c>
      <c r="C443" s="1" t="n">
        <v>46134</v>
      </c>
      <c r="D443" t="inlineStr">
        <is>
          <t>UPPSALA LÄN</t>
        </is>
      </c>
      <c r="E443" t="inlineStr">
        <is>
          <t>UPPSALA</t>
        </is>
      </c>
      <c r="F443" t="inlineStr">
        <is>
          <t>Holmen skog AB</t>
        </is>
      </c>
      <c r="G443" t="n">
        <v>3.6</v>
      </c>
      <c r="H443" t="n">
        <v>0</v>
      </c>
      <c r="I443" t="n">
        <v>0</v>
      </c>
      <c r="J443" t="n">
        <v>0</v>
      </c>
      <c r="K443" t="n">
        <v>0</v>
      </c>
      <c r="L443" t="n">
        <v>0</v>
      </c>
      <c r="M443" t="n">
        <v>0</v>
      </c>
      <c r="N443" t="n">
        <v>0</v>
      </c>
      <c r="O443" t="n">
        <v>0</v>
      </c>
      <c r="P443" t="n">
        <v>0</v>
      </c>
      <c r="Q443" t="n">
        <v>0</v>
      </c>
      <c r="R443" s="2" t="inlineStr"/>
    </row>
    <row r="444" ht="15" customHeight="1">
      <c r="A444" t="inlineStr">
        <is>
          <t>A 45405-2025</t>
        </is>
      </c>
      <c r="B444" s="1" t="n">
        <v>45922.42865740741</v>
      </c>
      <c r="C444" s="1" t="n">
        <v>46134</v>
      </c>
      <c r="D444" t="inlineStr">
        <is>
          <t>UPPSALA LÄN</t>
        </is>
      </c>
      <c r="E444" t="inlineStr">
        <is>
          <t>UPPSALA</t>
        </is>
      </c>
      <c r="G444" t="n">
        <v>1.6</v>
      </c>
      <c r="H444" t="n">
        <v>0</v>
      </c>
      <c r="I444" t="n">
        <v>0</v>
      </c>
      <c r="J444" t="n">
        <v>0</v>
      </c>
      <c r="K444" t="n">
        <v>0</v>
      </c>
      <c r="L444" t="n">
        <v>0</v>
      </c>
      <c r="M444" t="n">
        <v>0</v>
      </c>
      <c r="N444" t="n">
        <v>0</v>
      </c>
      <c r="O444" t="n">
        <v>0</v>
      </c>
      <c r="P444" t="n">
        <v>0</v>
      </c>
      <c r="Q444" t="n">
        <v>0</v>
      </c>
      <c r="R444" s="2" t="inlineStr"/>
    </row>
    <row r="445" ht="15" customHeight="1">
      <c r="A445" t="inlineStr">
        <is>
          <t>A 22431-2024</t>
        </is>
      </c>
      <c r="B445" s="1" t="n">
        <v>45446.78256944445</v>
      </c>
      <c r="C445" s="1" t="n">
        <v>46134</v>
      </c>
      <c r="D445" t="inlineStr">
        <is>
          <t>UPPSALA LÄN</t>
        </is>
      </c>
      <c r="E445" t="inlineStr">
        <is>
          <t>UPPSALA</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45447-2025</t>
        </is>
      </c>
      <c r="B446" s="1" t="n">
        <v>45922.48148148148</v>
      </c>
      <c r="C446" s="1" t="n">
        <v>46134</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c r="U446">
        <f>HYPERLINK("https://klasma.github.io/Logging_0380/knärot/A 45447-2025 karta knärot.png", "A 45447-2025")</f>
        <v/>
      </c>
      <c r="V446">
        <f>HYPERLINK("https://klasma.github.io/Logging_0380/klagomål/A 45447-2025 FSC-klagomål.docx", "A 45447-2025")</f>
        <v/>
      </c>
      <c r="W446">
        <f>HYPERLINK("https://klasma.github.io/Logging_0380/klagomålsmail/A 45447-2025 FSC-klagomål mail.docx", "A 45447-2025")</f>
        <v/>
      </c>
      <c r="X446">
        <f>HYPERLINK("https://klasma.github.io/Logging_0380/tillsyn/A 45447-2025 tillsynsbegäran.docx", "A 45447-2025")</f>
        <v/>
      </c>
      <c r="Y446">
        <f>HYPERLINK("https://klasma.github.io/Logging_0380/tillsynsmail/A 45447-2025 tillsynsbegäran mail.docx", "A 45447-2025")</f>
        <v/>
      </c>
    </row>
    <row r="447" ht="15" customHeight="1">
      <c r="A447" t="inlineStr">
        <is>
          <t>A 45436-2025</t>
        </is>
      </c>
      <c r="B447" s="1" t="n">
        <v>45922.46763888889</v>
      </c>
      <c r="C447" s="1" t="n">
        <v>46134</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45519-2025</t>
        </is>
      </c>
      <c r="B448" s="1" t="n">
        <v>45922</v>
      </c>
      <c r="C448" s="1" t="n">
        <v>46134</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19345-2025</t>
        </is>
      </c>
      <c r="B449" s="1" t="n">
        <v>45769.6009375</v>
      </c>
      <c r="C449" s="1" t="n">
        <v>46134</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6970-2025</t>
        </is>
      </c>
      <c r="B450" s="1" t="n">
        <v>45693</v>
      </c>
      <c r="C450" s="1" t="n">
        <v>46134</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32711-2025</t>
        </is>
      </c>
      <c r="B451" s="1" t="n">
        <v>45839</v>
      </c>
      <c r="C451" s="1" t="n">
        <v>46134</v>
      </c>
      <c r="D451" t="inlineStr">
        <is>
          <t>UPPSALA LÄN</t>
        </is>
      </c>
      <c r="E451" t="inlineStr">
        <is>
          <t>UPPSALA</t>
        </is>
      </c>
      <c r="G451" t="n">
        <v>0.8</v>
      </c>
      <c r="H451" t="n">
        <v>0</v>
      </c>
      <c r="I451" t="n">
        <v>0</v>
      </c>
      <c r="J451" t="n">
        <v>0</v>
      </c>
      <c r="K451" t="n">
        <v>0</v>
      </c>
      <c r="L451" t="n">
        <v>0</v>
      </c>
      <c r="M451" t="n">
        <v>0</v>
      </c>
      <c r="N451" t="n">
        <v>0</v>
      </c>
      <c r="O451" t="n">
        <v>0</v>
      </c>
      <c r="P451" t="n">
        <v>0</v>
      </c>
      <c r="Q451" t="n">
        <v>0</v>
      </c>
      <c r="R451" s="2" t="inlineStr"/>
      <c r="U451">
        <f>HYPERLINK("https://klasma.github.io/Logging_0380/knärot/A 32711-2025 karta knärot.png", "A 32711-2025")</f>
        <v/>
      </c>
      <c r="V451">
        <f>HYPERLINK("https://klasma.github.io/Logging_0380/klagomål/A 32711-2025 FSC-klagomål.docx", "A 32711-2025")</f>
        <v/>
      </c>
      <c r="W451">
        <f>HYPERLINK("https://klasma.github.io/Logging_0380/klagomålsmail/A 32711-2025 FSC-klagomål mail.docx", "A 32711-2025")</f>
        <v/>
      </c>
      <c r="X451">
        <f>HYPERLINK("https://klasma.github.io/Logging_0380/tillsyn/A 32711-2025 tillsynsbegäran.docx", "A 32711-2025")</f>
        <v/>
      </c>
      <c r="Y451">
        <f>HYPERLINK("https://klasma.github.io/Logging_0380/tillsynsmail/A 32711-2025 tillsynsbegäran mail.docx", "A 32711-2025")</f>
        <v/>
      </c>
    </row>
    <row r="452" ht="15" customHeight="1">
      <c r="A452" t="inlineStr">
        <is>
          <t>A 45588-2025</t>
        </is>
      </c>
      <c r="B452" s="1" t="n">
        <v>45922</v>
      </c>
      <c r="C452" s="1" t="n">
        <v>46134</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18677-2024</t>
        </is>
      </c>
      <c r="B453" s="1" t="n">
        <v>45426</v>
      </c>
      <c r="C453" s="1" t="n">
        <v>46134</v>
      </c>
      <c r="D453" t="inlineStr">
        <is>
          <t>UPPSALA LÄN</t>
        </is>
      </c>
      <c r="E453" t="inlineStr">
        <is>
          <t>UPPSALA</t>
        </is>
      </c>
      <c r="G453" t="n">
        <v>2.8</v>
      </c>
      <c r="H453" t="n">
        <v>0</v>
      </c>
      <c r="I453" t="n">
        <v>0</v>
      </c>
      <c r="J453" t="n">
        <v>0</v>
      </c>
      <c r="K453" t="n">
        <v>0</v>
      </c>
      <c r="L453" t="n">
        <v>0</v>
      </c>
      <c r="M453" t="n">
        <v>0</v>
      </c>
      <c r="N453" t="n">
        <v>0</v>
      </c>
      <c r="O453" t="n">
        <v>0</v>
      </c>
      <c r="P453" t="n">
        <v>0</v>
      </c>
      <c r="Q453" t="n">
        <v>0</v>
      </c>
      <c r="R453" s="2" t="inlineStr"/>
    </row>
    <row r="454" ht="15" customHeight="1">
      <c r="A454" t="inlineStr">
        <is>
          <t>A 11739-2023</t>
        </is>
      </c>
      <c r="B454" s="1" t="n">
        <v>44993</v>
      </c>
      <c r="C454" s="1" t="n">
        <v>46134</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32923-2025</t>
        </is>
      </c>
      <c r="B455" s="1" t="n">
        <v>45839</v>
      </c>
      <c r="C455" s="1" t="n">
        <v>46134</v>
      </c>
      <c r="D455" t="inlineStr">
        <is>
          <t>UPPSALA LÄN</t>
        </is>
      </c>
      <c r="E455" t="inlineStr">
        <is>
          <t>UPPSALA</t>
        </is>
      </c>
      <c r="G455" t="n">
        <v>5.1</v>
      </c>
      <c r="H455" t="n">
        <v>0</v>
      </c>
      <c r="I455" t="n">
        <v>0</v>
      </c>
      <c r="J455" t="n">
        <v>0</v>
      </c>
      <c r="K455" t="n">
        <v>0</v>
      </c>
      <c r="L455" t="n">
        <v>0</v>
      </c>
      <c r="M455" t="n">
        <v>0</v>
      </c>
      <c r="N455" t="n">
        <v>0</v>
      </c>
      <c r="O455" t="n">
        <v>0</v>
      </c>
      <c r="P455" t="n">
        <v>0</v>
      </c>
      <c r="Q455" t="n">
        <v>0</v>
      </c>
      <c r="R455" s="2" t="inlineStr"/>
    </row>
    <row r="456" ht="15" customHeight="1">
      <c r="A456" t="inlineStr">
        <is>
          <t>A 28958-2025</t>
        </is>
      </c>
      <c r="B456" s="1" t="n">
        <v>45821.31292824074</v>
      </c>
      <c r="C456" s="1" t="n">
        <v>46134</v>
      </c>
      <c r="D456" t="inlineStr">
        <is>
          <t>UPPSALA LÄN</t>
        </is>
      </c>
      <c r="E456" t="inlineStr">
        <is>
          <t>UPPSALA</t>
        </is>
      </c>
      <c r="G456" t="n">
        <v>4.6</v>
      </c>
      <c r="H456" t="n">
        <v>0</v>
      </c>
      <c r="I456" t="n">
        <v>0</v>
      </c>
      <c r="J456" t="n">
        <v>0</v>
      </c>
      <c r="K456" t="n">
        <v>0</v>
      </c>
      <c r="L456" t="n">
        <v>0</v>
      </c>
      <c r="M456" t="n">
        <v>0</v>
      </c>
      <c r="N456" t="n">
        <v>0</v>
      </c>
      <c r="O456" t="n">
        <v>0</v>
      </c>
      <c r="P456" t="n">
        <v>0</v>
      </c>
      <c r="Q456" t="n">
        <v>0</v>
      </c>
      <c r="R456" s="2" t="inlineStr"/>
    </row>
    <row r="457" ht="15" customHeight="1">
      <c r="A457" t="inlineStr">
        <is>
          <t>A 45904-2025</t>
        </is>
      </c>
      <c r="B457" s="1" t="n">
        <v>45923.70230324074</v>
      </c>
      <c r="C457" s="1" t="n">
        <v>46134</v>
      </c>
      <c r="D457" t="inlineStr">
        <is>
          <t>UPPSALA LÄN</t>
        </is>
      </c>
      <c r="E457" t="inlineStr">
        <is>
          <t>UPPSALA</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33261-2025</t>
        </is>
      </c>
      <c r="B458" s="1" t="n">
        <v>45840</v>
      </c>
      <c r="C458" s="1" t="n">
        <v>46134</v>
      </c>
      <c r="D458" t="inlineStr">
        <is>
          <t>UPPSALA LÄN</t>
        </is>
      </c>
      <c r="E458" t="inlineStr">
        <is>
          <t>UPPSALA</t>
        </is>
      </c>
      <c r="G458" t="n">
        <v>3.4</v>
      </c>
      <c r="H458" t="n">
        <v>0</v>
      </c>
      <c r="I458" t="n">
        <v>0</v>
      </c>
      <c r="J458" t="n">
        <v>0</v>
      </c>
      <c r="K458" t="n">
        <v>0</v>
      </c>
      <c r="L458" t="n">
        <v>0</v>
      </c>
      <c r="M458" t="n">
        <v>0</v>
      </c>
      <c r="N458" t="n">
        <v>0</v>
      </c>
      <c r="O458" t="n">
        <v>0</v>
      </c>
      <c r="P458" t="n">
        <v>0</v>
      </c>
      <c r="Q458" t="n">
        <v>0</v>
      </c>
      <c r="R458" s="2" t="inlineStr"/>
    </row>
    <row r="459" ht="15" customHeight="1">
      <c r="A459" t="inlineStr">
        <is>
          <t>A 33571-2025</t>
        </is>
      </c>
      <c r="B459" s="1" t="n">
        <v>45841.5847337963</v>
      </c>
      <c r="C459" s="1" t="n">
        <v>46134</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25776-2022</t>
        </is>
      </c>
      <c r="B460" s="1" t="n">
        <v>44733</v>
      </c>
      <c r="C460" s="1" t="n">
        <v>46134</v>
      </c>
      <c r="D460" t="inlineStr">
        <is>
          <t>UPPSALA LÄN</t>
        </is>
      </c>
      <c r="E460" t="inlineStr">
        <is>
          <t>UPPSALA</t>
        </is>
      </c>
      <c r="G460" t="n">
        <v>0.7</v>
      </c>
      <c r="H460" t="n">
        <v>0</v>
      </c>
      <c r="I460" t="n">
        <v>0</v>
      </c>
      <c r="J460" t="n">
        <v>0</v>
      </c>
      <c r="K460" t="n">
        <v>0</v>
      </c>
      <c r="L460" t="n">
        <v>0</v>
      </c>
      <c r="M460" t="n">
        <v>0</v>
      </c>
      <c r="N460" t="n">
        <v>0</v>
      </c>
      <c r="O460" t="n">
        <v>0</v>
      </c>
      <c r="P460" t="n">
        <v>0</v>
      </c>
      <c r="Q460" t="n">
        <v>0</v>
      </c>
      <c r="R460" s="2" t="inlineStr"/>
    </row>
    <row r="461" ht="15" customHeight="1">
      <c r="A461" t="inlineStr">
        <is>
          <t>A 45903-2025</t>
        </is>
      </c>
      <c r="B461" s="1" t="n">
        <v>45923.70146990741</v>
      </c>
      <c r="C461" s="1" t="n">
        <v>46134</v>
      </c>
      <c r="D461" t="inlineStr">
        <is>
          <t>UPPSALA LÄN</t>
        </is>
      </c>
      <c r="E461" t="inlineStr">
        <is>
          <t>UPPSALA</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46773-2025</t>
        </is>
      </c>
      <c r="B462" s="1" t="n">
        <v>45926.63290509259</v>
      </c>
      <c r="C462" s="1" t="n">
        <v>46134</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46632-2025</t>
        </is>
      </c>
      <c r="B463" s="1" t="n">
        <v>45926.45846064815</v>
      </c>
      <c r="C463" s="1" t="n">
        <v>46134</v>
      </c>
      <c r="D463" t="inlineStr">
        <is>
          <t>UPPSALA LÄN</t>
        </is>
      </c>
      <c r="E463" t="inlineStr">
        <is>
          <t>UPPSALA</t>
        </is>
      </c>
      <c r="F463" t="inlineStr">
        <is>
          <t>Bergvik skog öst AB</t>
        </is>
      </c>
      <c r="G463" t="n">
        <v>2.9</v>
      </c>
      <c r="H463" t="n">
        <v>0</v>
      </c>
      <c r="I463" t="n">
        <v>0</v>
      </c>
      <c r="J463" t="n">
        <v>0</v>
      </c>
      <c r="K463" t="n">
        <v>0</v>
      </c>
      <c r="L463" t="n">
        <v>0</v>
      </c>
      <c r="M463" t="n">
        <v>0</v>
      </c>
      <c r="N463" t="n">
        <v>0</v>
      </c>
      <c r="O463" t="n">
        <v>0</v>
      </c>
      <c r="P463" t="n">
        <v>0</v>
      </c>
      <c r="Q463" t="n">
        <v>0</v>
      </c>
      <c r="R463" s="2" t="inlineStr"/>
    </row>
    <row r="464" ht="15" customHeight="1">
      <c r="A464" t="inlineStr">
        <is>
          <t>A 11568-2023</t>
        </is>
      </c>
      <c r="B464" s="1" t="n">
        <v>44994</v>
      </c>
      <c r="C464" s="1" t="n">
        <v>46134</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row>
    <row r="465" ht="15" customHeight="1">
      <c r="A465" t="inlineStr">
        <is>
          <t>A 46571-2025</t>
        </is>
      </c>
      <c r="B465" s="1" t="n">
        <v>45926.366875</v>
      </c>
      <c r="C465" s="1" t="n">
        <v>46134</v>
      </c>
      <c r="D465" t="inlineStr">
        <is>
          <t>UPPSALA LÄN</t>
        </is>
      </c>
      <c r="E465" t="inlineStr">
        <is>
          <t>UPPSALA</t>
        </is>
      </c>
      <c r="F465" t="inlineStr">
        <is>
          <t>Bergvik skog öst AB</t>
        </is>
      </c>
      <c r="G465" t="n">
        <v>11.1</v>
      </c>
      <c r="H465" t="n">
        <v>0</v>
      </c>
      <c r="I465" t="n">
        <v>0</v>
      </c>
      <c r="J465" t="n">
        <v>0</v>
      </c>
      <c r="K465" t="n">
        <v>0</v>
      </c>
      <c r="L465" t="n">
        <v>0</v>
      </c>
      <c r="M465" t="n">
        <v>0</v>
      </c>
      <c r="N465" t="n">
        <v>0</v>
      </c>
      <c r="O465" t="n">
        <v>0</v>
      </c>
      <c r="P465" t="n">
        <v>0</v>
      </c>
      <c r="Q465" t="n">
        <v>0</v>
      </c>
      <c r="R465" s="2" t="inlineStr"/>
    </row>
    <row r="466" ht="15" customHeight="1">
      <c r="A466" t="inlineStr">
        <is>
          <t>A 33964-2025</t>
        </is>
      </c>
      <c r="B466" s="1" t="n">
        <v>45842.74049768518</v>
      </c>
      <c r="C466" s="1" t="n">
        <v>46134</v>
      </c>
      <c r="D466" t="inlineStr">
        <is>
          <t>UPPSALA LÄN</t>
        </is>
      </c>
      <c r="E466" t="inlineStr">
        <is>
          <t>UPPSALA</t>
        </is>
      </c>
      <c r="G466" t="n">
        <v>2.7</v>
      </c>
      <c r="H466" t="n">
        <v>0</v>
      </c>
      <c r="I466" t="n">
        <v>0</v>
      </c>
      <c r="J466" t="n">
        <v>0</v>
      </c>
      <c r="K466" t="n">
        <v>0</v>
      </c>
      <c r="L466" t="n">
        <v>0</v>
      </c>
      <c r="M466" t="n">
        <v>0</v>
      </c>
      <c r="N466" t="n">
        <v>0</v>
      </c>
      <c r="O466" t="n">
        <v>0</v>
      </c>
      <c r="P466" t="n">
        <v>0</v>
      </c>
      <c r="Q466" t="n">
        <v>0</v>
      </c>
      <c r="R466" s="2" t="inlineStr"/>
    </row>
    <row r="467" ht="15" customHeight="1">
      <c r="A467" t="inlineStr">
        <is>
          <t>A 46564-2025</t>
        </is>
      </c>
      <c r="B467" s="1" t="n">
        <v>45926.35917824074</v>
      </c>
      <c r="C467" s="1" t="n">
        <v>46134</v>
      </c>
      <c r="D467" t="inlineStr">
        <is>
          <t>UPPSALA LÄN</t>
        </is>
      </c>
      <c r="E467" t="inlineStr">
        <is>
          <t>UPPSALA</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46565-2025</t>
        </is>
      </c>
      <c r="B468" s="1" t="n">
        <v>45926.35998842592</v>
      </c>
      <c r="C468" s="1" t="n">
        <v>46134</v>
      </c>
      <c r="D468" t="inlineStr">
        <is>
          <t>UPPSALA LÄN</t>
        </is>
      </c>
      <c r="E468" t="inlineStr">
        <is>
          <t>UPPSALA</t>
        </is>
      </c>
      <c r="F468" t="inlineStr">
        <is>
          <t>Bergvik skog öst AB</t>
        </is>
      </c>
      <c r="G468" t="n">
        <v>1.4</v>
      </c>
      <c r="H468" t="n">
        <v>0</v>
      </c>
      <c r="I468" t="n">
        <v>0</v>
      </c>
      <c r="J468" t="n">
        <v>0</v>
      </c>
      <c r="K468" t="n">
        <v>0</v>
      </c>
      <c r="L468" t="n">
        <v>0</v>
      </c>
      <c r="M468" t="n">
        <v>0</v>
      </c>
      <c r="N468" t="n">
        <v>0</v>
      </c>
      <c r="O468" t="n">
        <v>0</v>
      </c>
      <c r="P468" t="n">
        <v>0</v>
      </c>
      <c r="Q468" t="n">
        <v>0</v>
      </c>
      <c r="R468" s="2" t="inlineStr"/>
    </row>
    <row r="469" ht="15" customHeight="1">
      <c r="A469" t="inlineStr">
        <is>
          <t>A 16126-2022</t>
        </is>
      </c>
      <c r="B469" s="1" t="n">
        <v>44665</v>
      </c>
      <c r="C469" s="1" t="n">
        <v>46134</v>
      </c>
      <c r="D469" t="inlineStr">
        <is>
          <t>UPPSALA LÄN</t>
        </is>
      </c>
      <c r="E469" t="inlineStr">
        <is>
          <t>UPPSALA</t>
        </is>
      </c>
      <c r="F469" t="inlineStr">
        <is>
          <t>Bergvik skog öst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53384-2024</t>
        </is>
      </c>
      <c r="B470" s="1" t="n">
        <v>45614</v>
      </c>
      <c r="C470" s="1" t="n">
        <v>46134</v>
      </c>
      <c r="D470" t="inlineStr">
        <is>
          <t>UPPSALA LÄN</t>
        </is>
      </c>
      <c r="E470" t="inlineStr">
        <is>
          <t>UPPSALA</t>
        </is>
      </c>
      <c r="G470" t="n">
        <v>3.7</v>
      </c>
      <c r="H470" t="n">
        <v>0</v>
      </c>
      <c r="I470" t="n">
        <v>0</v>
      </c>
      <c r="J470" t="n">
        <v>0</v>
      </c>
      <c r="K470" t="n">
        <v>0</v>
      </c>
      <c r="L470" t="n">
        <v>0</v>
      </c>
      <c r="M470" t="n">
        <v>0</v>
      </c>
      <c r="N470" t="n">
        <v>0</v>
      </c>
      <c r="O470" t="n">
        <v>0</v>
      </c>
      <c r="P470" t="n">
        <v>0</v>
      </c>
      <c r="Q470" t="n">
        <v>0</v>
      </c>
      <c r="R470" s="2" t="inlineStr"/>
    </row>
    <row r="471" ht="15" customHeight="1">
      <c r="A471" t="inlineStr">
        <is>
          <t>A 21935-2023</t>
        </is>
      </c>
      <c r="B471" s="1" t="n">
        <v>45068.58563657408</v>
      </c>
      <c r="C471" s="1" t="n">
        <v>46134</v>
      </c>
      <c r="D471" t="inlineStr">
        <is>
          <t>UPPSALA LÄN</t>
        </is>
      </c>
      <c r="E471" t="inlineStr">
        <is>
          <t>UPPSALA</t>
        </is>
      </c>
      <c r="G471" t="n">
        <v>2.6</v>
      </c>
      <c r="H471" t="n">
        <v>0</v>
      </c>
      <c r="I471" t="n">
        <v>0</v>
      </c>
      <c r="J471" t="n">
        <v>0</v>
      </c>
      <c r="K471" t="n">
        <v>0</v>
      </c>
      <c r="L471" t="n">
        <v>0</v>
      </c>
      <c r="M471" t="n">
        <v>0</v>
      </c>
      <c r="N471" t="n">
        <v>0</v>
      </c>
      <c r="O471" t="n">
        <v>0</v>
      </c>
      <c r="P471" t="n">
        <v>0</v>
      </c>
      <c r="Q471" t="n">
        <v>0</v>
      </c>
      <c r="R471" s="2" t="inlineStr"/>
    </row>
    <row r="472" ht="15" customHeight="1">
      <c r="A472" t="inlineStr">
        <is>
          <t>A 46775-2025</t>
        </is>
      </c>
      <c r="B472" s="1" t="n">
        <v>45926.63366898148</v>
      </c>
      <c r="C472" s="1" t="n">
        <v>46134</v>
      </c>
      <c r="D472" t="inlineStr">
        <is>
          <t>UPPSALA LÄN</t>
        </is>
      </c>
      <c r="E472" t="inlineStr">
        <is>
          <t>UPPSALA</t>
        </is>
      </c>
      <c r="F472" t="inlineStr">
        <is>
          <t>Kyrkan</t>
        </is>
      </c>
      <c r="G472" t="n">
        <v>0.9</v>
      </c>
      <c r="H472" t="n">
        <v>0</v>
      </c>
      <c r="I472" t="n">
        <v>0</v>
      </c>
      <c r="J472" t="n">
        <v>0</v>
      </c>
      <c r="K472" t="n">
        <v>0</v>
      </c>
      <c r="L472" t="n">
        <v>0</v>
      </c>
      <c r="M472" t="n">
        <v>0</v>
      </c>
      <c r="N472" t="n">
        <v>0</v>
      </c>
      <c r="O472" t="n">
        <v>0</v>
      </c>
      <c r="P472" t="n">
        <v>0</v>
      </c>
      <c r="Q472" t="n">
        <v>0</v>
      </c>
      <c r="R472" s="2" t="inlineStr"/>
    </row>
    <row r="473" ht="15" customHeight="1">
      <c r="A473" t="inlineStr">
        <is>
          <t>A 18668-2024</t>
        </is>
      </c>
      <c r="B473" s="1" t="n">
        <v>45426.34148148148</v>
      </c>
      <c r="C473" s="1" t="n">
        <v>46134</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46772-2025</t>
        </is>
      </c>
      <c r="B474" s="1" t="n">
        <v>45926.63232638889</v>
      </c>
      <c r="C474" s="1" t="n">
        <v>46134</v>
      </c>
      <c r="D474" t="inlineStr">
        <is>
          <t>UPPSALA LÄN</t>
        </is>
      </c>
      <c r="E474" t="inlineStr">
        <is>
          <t>UPPSALA</t>
        </is>
      </c>
      <c r="F474" t="inlineStr">
        <is>
          <t>Kyrkan</t>
        </is>
      </c>
      <c r="G474" t="n">
        <v>0.9</v>
      </c>
      <c r="H474" t="n">
        <v>0</v>
      </c>
      <c r="I474" t="n">
        <v>0</v>
      </c>
      <c r="J474" t="n">
        <v>0</v>
      </c>
      <c r="K474" t="n">
        <v>0</v>
      </c>
      <c r="L474" t="n">
        <v>0</v>
      </c>
      <c r="M474" t="n">
        <v>0</v>
      </c>
      <c r="N474" t="n">
        <v>0</v>
      </c>
      <c r="O474" t="n">
        <v>0</v>
      </c>
      <c r="P474" t="n">
        <v>0</v>
      </c>
      <c r="Q474" t="n">
        <v>0</v>
      </c>
      <c r="R474" s="2" t="inlineStr"/>
    </row>
    <row r="475" ht="15" customHeight="1">
      <c r="A475" t="inlineStr">
        <is>
          <t>A 3314-2025</t>
        </is>
      </c>
      <c r="B475" s="1" t="n">
        <v>45679</v>
      </c>
      <c r="C475" s="1" t="n">
        <v>46134</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18625-2025</t>
        </is>
      </c>
      <c r="B476" s="1" t="n">
        <v>45763.52744212963</v>
      </c>
      <c r="C476" s="1" t="n">
        <v>46134</v>
      </c>
      <c r="D476" t="inlineStr">
        <is>
          <t>UPPSALA LÄN</t>
        </is>
      </c>
      <c r="E476" t="inlineStr">
        <is>
          <t>UPPSALA</t>
        </is>
      </c>
      <c r="G476" t="n">
        <v>1.8</v>
      </c>
      <c r="H476" t="n">
        <v>0</v>
      </c>
      <c r="I476" t="n">
        <v>0</v>
      </c>
      <c r="J476" t="n">
        <v>0</v>
      </c>
      <c r="K476" t="n">
        <v>0</v>
      </c>
      <c r="L476" t="n">
        <v>0</v>
      </c>
      <c r="M476" t="n">
        <v>0</v>
      </c>
      <c r="N476" t="n">
        <v>0</v>
      </c>
      <c r="O476" t="n">
        <v>0</v>
      </c>
      <c r="P476" t="n">
        <v>0</v>
      </c>
      <c r="Q476" t="n">
        <v>0</v>
      </c>
      <c r="R476" s="2" t="inlineStr"/>
    </row>
    <row r="477" ht="15" customHeight="1">
      <c r="A477" t="inlineStr">
        <is>
          <t>A 36478-2023</t>
        </is>
      </c>
      <c r="B477" s="1" t="n">
        <v>45152</v>
      </c>
      <c r="C477" s="1" t="n">
        <v>46134</v>
      </c>
      <c r="D477" t="inlineStr">
        <is>
          <t>UPPSALA LÄN</t>
        </is>
      </c>
      <c r="E477" t="inlineStr">
        <is>
          <t>UPPSALA</t>
        </is>
      </c>
      <c r="F477" t="inlineStr">
        <is>
          <t>Allmännings- och besparingsskogar</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9914-2024</t>
        </is>
      </c>
      <c r="B478" s="1" t="n">
        <v>45363.54878472222</v>
      </c>
      <c r="C478" s="1" t="n">
        <v>46134</v>
      </c>
      <c r="D478" t="inlineStr">
        <is>
          <t>UPPSALA LÄN</t>
        </is>
      </c>
      <c r="E478" t="inlineStr">
        <is>
          <t>UPPSALA</t>
        </is>
      </c>
      <c r="F478" t="inlineStr">
        <is>
          <t>Bergvik skog väst AB</t>
        </is>
      </c>
      <c r="G478" t="n">
        <v>1.6</v>
      </c>
      <c r="H478" t="n">
        <v>0</v>
      </c>
      <c r="I478" t="n">
        <v>0</v>
      </c>
      <c r="J478" t="n">
        <v>0</v>
      </c>
      <c r="K478" t="n">
        <v>0</v>
      </c>
      <c r="L478" t="n">
        <v>0</v>
      </c>
      <c r="M478" t="n">
        <v>0</v>
      </c>
      <c r="N478" t="n">
        <v>0</v>
      </c>
      <c r="O478" t="n">
        <v>0</v>
      </c>
      <c r="P478" t="n">
        <v>0</v>
      </c>
      <c r="Q478" t="n">
        <v>0</v>
      </c>
      <c r="R478" s="2" t="inlineStr"/>
    </row>
    <row r="479" ht="15" customHeight="1">
      <c r="A479" t="inlineStr">
        <is>
          <t>A 47316-2025</t>
        </is>
      </c>
      <c r="B479" s="1" t="n">
        <v>45930.55024305556</v>
      </c>
      <c r="C479" s="1" t="n">
        <v>46134</v>
      </c>
      <c r="D479" t="inlineStr">
        <is>
          <t>UPPSALA LÄN</t>
        </is>
      </c>
      <c r="E479" t="inlineStr">
        <is>
          <t>UPPSALA</t>
        </is>
      </c>
      <c r="G479" t="n">
        <v>1.5</v>
      </c>
      <c r="H479" t="n">
        <v>0</v>
      </c>
      <c r="I479" t="n">
        <v>0</v>
      </c>
      <c r="J479" t="n">
        <v>0</v>
      </c>
      <c r="K479" t="n">
        <v>0</v>
      </c>
      <c r="L479" t="n">
        <v>0</v>
      </c>
      <c r="M479" t="n">
        <v>0</v>
      </c>
      <c r="N479" t="n">
        <v>0</v>
      </c>
      <c r="O479" t="n">
        <v>0</v>
      </c>
      <c r="P479" t="n">
        <v>0</v>
      </c>
      <c r="Q479" t="n">
        <v>0</v>
      </c>
      <c r="R479" s="2" t="inlineStr"/>
    </row>
    <row r="480" ht="15" customHeight="1">
      <c r="A480" t="inlineStr">
        <is>
          <t>A 6999-2023</t>
        </is>
      </c>
      <c r="B480" s="1" t="n">
        <v>44967.80034722222</v>
      </c>
      <c r="C480" s="1" t="n">
        <v>46134</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7002-2023</t>
        </is>
      </c>
      <c r="B481" s="1" t="n">
        <v>44967</v>
      </c>
      <c r="C481" s="1" t="n">
        <v>46134</v>
      </c>
      <c r="D481" t="inlineStr">
        <is>
          <t>UPPSALA LÄN</t>
        </is>
      </c>
      <c r="E481" t="inlineStr">
        <is>
          <t>UPPSALA</t>
        </is>
      </c>
      <c r="G481" t="n">
        <v>5</v>
      </c>
      <c r="H481" t="n">
        <v>0</v>
      </c>
      <c r="I481" t="n">
        <v>0</v>
      </c>
      <c r="J481" t="n">
        <v>0</v>
      </c>
      <c r="K481" t="n">
        <v>0</v>
      </c>
      <c r="L481" t="n">
        <v>0</v>
      </c>
      <c r="M481" t="n">
        <v>0</v>
      </c>
      <c r="N481" t="n">
        <v>0</v>
      </c>
      <c r="O481" t="n">
        <v>0</v>
      </c>
      <c r="P481" t="n">
        <v>0</v>
      </c>
      <c r="Q481" t="n">
        <v>0</v>
      </c>
      <c r="R481" s="2" t="inlineStr"/>
    </row>
    <row r="482" ht="15" customHeight="1">
      <c r="A482" t="inlineStr">
        <is>
          <t>A 46983-2025</t>
        </is>
      </c>
      <c r="B482" s="1" t="n">
        <v>45929.53203703704</v>
      </c>
      <c r="C482" s="1" t="n">
        <v>46134</v>
      </c>
      <c r="D482" t="inlineStr">
        <is>
          <t>UPPSALA LÄN</t>
        </is>
      </c>
      <c r="E482" t="inlineStr">
        <is>
          <t>UPPSALA</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34132-2025</t>
        </is>
      </c>
      <c r="B483" s="1" t="n">
        <v>45845.53202546296</v>
      </c>
      <c r="C483" s="1" t="n">
        <v>46134</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367-2023</t>
        </is>
      </c>
      <c r="B484" s="1" t="n">
        <v>44929</v>
      </c>
      <c r="C484" s="1" t="n">
        <v>46134</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12414-2025</t>
        </is>
      </c>
      <c r="B485" s="1" t="n">
        <v>45730.43966435185</v>
      </c>
      <c r="C485" s="1" t="n">
        <v>46134</v>
      </c>
      <c r="D485" t="inlineStr">
        <is>
          <t>UPPSALA LÄN</t>
        </is>
      </c>
      <c r="E485" t="inlineStr">
        <is>
          <t>UPPSALA</t>
        </is>
      </c>
      <c r="F485" t="inlineStr">
        <is>
          <t>Övriga statliga verk och myndigheter</t>
        </is>
      </c>
      <c r="G485" t="n">
        <v>6.8</v>
      </c>
      <c r="H485" t="n">
        <v>0</v>
      </c>
      <c r="I485" t="n">
        <v>0</v>
      </c>
      <c r="J485" t="n">
        <v>0</v>
      </c>
      <c r="K485" t="n">
        <v>0</v>
      </c>
      <c r="L485" t="n">
        <v>0</v>
      </c>
      <c r="M485" t="n">
        <v>0</v>
      </c>
      <c r="N485" t="n">
        <v>0</v>
      </c>
      <c r="O485" t="n">
        <v>0</v>
      </c>
      <c r="P485" t="n">
        <v>0</v>
      </c>
      <c r="Q485" t="n">
        <v>0</v>
      </c>
      <c r="R485" s="2" t="inlineStr"/>
    </row>
    <row r="486" ht="15" customHeight="1">
      <c r="A486" t="inlineStr">
        <is>
          <t>A 47131-2025</t>
        </is>
      </c>
      <c r="B486" s="1" t="n">
        <v>45929.69553240741</v>
      </c>
      <c r="C486" s="1" t="n">
        <v>46134</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47132-2025</t>
        </is>
      </c>
      <c r="B487" s="1" t="n">
        <v>45929.6965162037</v>
      </c>
      <c r="C487" s="1" t="n">
        <v>46134</v>
      </c>
      <c r="D487" t="inlineStr">
        <is>
          <t>UPPSALA LÄN</t>
        </is>
      </c>
      <c r="E487" t="inlineStr">
        <is>
          <t>UPPSALA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53365-2024</t>
        </is>
      </c>
      <c r="B488" s="1" t="n">
        <v>45614</v>
      </c>
      <c r="C488" s="1" t="n">
        <v>46134</v>
      </c>
      <c r="D488" t="inlineStr">
        <is>
          <t>UPPSALA LÄN</t>
        </is>
      </c>
      <c r="E488" t="inlineStr">
        <is>
          <t>UPPSALA</t>
        </is>
      </c>
      <c r="F488" t="inlineStr">
        <is>
          <t>Allmännings- och besparingsskogar</t>
        </is>
      </c>
      <c r="G488" t="n">
        <v>6.6</v>
      </c>
      <c r="H488" t="n">
        <v>0</v>
      </c>
      <c r="I488" t="n">
        <v>0</v>
      </c>
      <c r="J488" t="n">
        <v>0</v>
      </c>
      <c r="K488" t="n">
        <v>0</v>
      </c>
      <c r="L488" t="n">
        <v>0</v>
      </c>
      <c r="M488" t="n">
        <v>0</v>
      </c>
      <c r="N488" t="n">
        <v>0</v>
      </c>
      <c r="O488" t="n">
        <v>0</v>
      </c>
      <c r="P488" t="n">
        <v>0</v>
      </c>
      <c r="Q488" t="n">
        <v>0</v>
      </c>
      <c r="R488" s="2" t="inlineStr"/>
    </row>
    <row r="489" ht="15" customHeight="1">
      <c r="A489" t="inlineStr">
        <is>
          <t>A 43795-2023</t>
        </is>
      </c>
      <c r="B489" s="1" t="n">
        <v>45182</v>
      </c>
      <c r="C489" s="1" t="n">
        <v>46134</v>
      </c>
      <c r="D489" t="inlineStr">
        <is>
          <t>UPPSALA LÄN</t>
        </is>
      </c>
      <c r="E489" t="inlineStr">
        <is>
          <t>UPPSALA</t>
        </is>
      </c>
      <c r="G489" t="n">
        <v>4.7</v>
      </c>
      <c r="H489" t="n">
        <v>0</v>
      </c>
      <c r="I489" t="n">
        <v>0</v>
      </c>
      <c r="J489" t="n">
        <v>0</v>
      </c>
      <c r="K489" t="n">
        <v>0</v>
      </c>
      <c r="L489" t="n">
        <v>0</v>
      </c>
      <c r="M489" t="n">
        <v>0</v>
      </c>
      <c r="N489" t="n">
        <v>0</v>
      </c>
      <c r="O489" t="n">
        <v>0</v>
      </c>
      <c r="P489" t="n">
        <v>0</v>
      </c>
      <c r="Q489" t="n">
        <v>0</v>
      </c>
      <c r="R489" s="2" t="inlineStr"/>
    </row>
    <row r="490" ht="15" customHeight="1">
      <c r="A490" t="inlineStr">
        <is>
          <t>A 47688-2025</t>
        </is>
      </c>
      <c r="B490" s="1" t="n">
        <v>45931.59091435185</v>
      </c>
      <c r="C490" s="1" t="n">
        <v>46134</v>
      </c>
      <c r="D490" t="inlineStr">
        <is>
          <t>UPPSALA LÄN</t>
        </is>
      </c>
      <c r="E490" t="inlineStr">
        <is>
          <t>UPPSALA</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47649-2025</t>
        </is>
      </c>
      <c r="B491" s="1" t="n">
        <v>45931.52792824074</v>
      </c>
      <c r="C491" s="1" t="n">
        <v>46134</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47840-2025</t>
        </is>
      </c>
      <c r="B492" s="1" t="n">
        <v>45932.37375</v>
      </c>
      <c r="C492" s="1" t="n">
        <v>46134</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47557-2025</t>
        </is>
      </c>
      <c r="B493" s="1" t="n">
        <v>45931.37734953704</v>
      </c>
      <c r="C493" s="1" t="n">
        <v>46134</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47961-2025</t>
        </is>
      </c>
      <c r="B494" s="1" t="n">
        <v>45932.59373842592</v>
      </c>
      <c r="C494" s="1" t="n">
        <v>46134</v>
      </c>
      <c r="D494" t="inlineStr">
        <is>
          <t>UPPSALA LÄN</t>
        </is>
      </c>
      <c r="E494" t="inlineStr">
        <is>
          <t>UPPSALA</t>
        </is>
      </c>
      <c r="F494" t="inlineStr">
        <is>
          <t>Allmännings- och besparingsskogar</t>
        </is>
      </c>
      <c r="G494" t="n">
        <v>1.5</v>
      </c>
      <c r="H494" t="n">
        <v>0</v>
      </c>
      <c r="I494" t="n">
        <v>0</v>
      </c>
      <c r="J494" t="n">
        <v>0</v>
      </c>
      <c r="K494" t="n">
        <v>0</v>
      </c>
      <c r="L494" t="n">
        <v>0</v>
      </c>
      <c r="M494" t="n">
        <v>0</v>
      </c>
      <c r="N494" t="n">
        <v>0</v>
      </c>
      <c r="O494" t="n">
        <v>0</v>
      </c>
      <c r="P494" t="n">
        <v>0</v>
      </c>
      <c r="Q494" t="n">
        <v>0</v>
      </c>
      <c r="R494" s="2" t="inlineStr"/>
    </row>
    <row r="495" ht="15" customHeight="1">
      <c r="A495" t="inlineStr">
        <is>
          <t>A 47978-2025</t>
        </is>
      </c>
      <c r="B495" s="1" t="n">
        <v>45932.61177083333</v>
      </c>
      <c r="C495" s="1" t="n">
        <v>46134</v>
      </c>
      <c r="D495" t="inlineStr">
        <is>
          <t>UPPSALA LÄN</t>
        </is>
      </c>
      <c r="E495" t="inlineStr">
        <is>
          <t>UPPSALA</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35014-2025</t>
        </is>
      </c>
      <c r="B496" s="1" t="n">
        <v>45851.60097222222</v>
      </c>
      <c r="C496" s="1" t="n">
        <v>46134</v>
      </c>
      <c r="D496" t="inlineStr">
        <is>
          <t>UPPSALA LÄN</t>
        </is>
      </c>
      <c r="E496" t="inlineStr">
        <is>
          <t>UPPSALA</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47558-2025</t>
        </is>
      </c>
      <c r="B497" s="1" t="n">
        <v>45931.37796296296</v>
      </c>
      <c r="C497" s="1" t="n">
        <v>46134</v>
      </c>
      <c r="D497" t="inlineStr">
        <is>
          <t>UPPSALA LÄN</t>
        </is>
      </c>
      <c r="E497" t="inlineStr">
        <is>
          <t>UPPSALA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35015-2025</t>
        </is>
      </c>
      <c r="B498" s="1" t="n">
        <v>45851.62018518519</v>
      </c>
      <c r="C498" s="1" t="n">
        <v>46134</v>
      </c>
      <c r="D498" t="inlineStr">
        <is>
          <t>UPPSALA LÄN</t>
        </is>
      </c>
      <c r="E498" t="inlineStr">
        <is>
          <t>UPPSALA</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60820-2024</t>
        </is>
      </c>
      <c r="B499" s="1" t="n">
        <v>45644.62677083333</v>
      </c>
      <c r="C499" s="1" t="n">
        <v>46134</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18675-2024</t>
        </is>
      </c>
      <c r="B500" s="1" t="n">
        <v>45426</v>
      </c>
      <c r="C500" s="1" t="n">
        <v>46134</v>
      </c>
      <c r="D500" t="inlineStr">
        <is>
          <t>UPPSALA LÄN</t>
        </is>
      </c>
      <c r="E500" t="inlineStr">
        <is>
          <t>UPPSALA</t>
        </is>
      </c>
      <c r="G500" t="n">
        <v>8.1</v>
      </c>
      <c r="H500" t="n">
        <v>0</v>
      </c>
      <c r="I500" t="n">
        <v>0</v>
      </c>
      <c r="J500" t="n">
        <v>0</v>
      </c>
      <c r="K500" t="n">
        <v>0</v>
      </c>
      <c r="L500" t="n">
        <v>0</v>
      </c>
      <c r="M500" t="n">
        <v>0</v>
      </c>
      <c r="N500" t="n">
        <v>0</v>
      </c>
      <c r="O500" t="n">
        <v>0</v>
      </c>
      <c r="P500" t="n">
        <v>0</v>
      </c>
      <c r="Q500" t="n">
        <v>0</v>
      </c>
      <c r="R500" s="2" t="inlineStr"/>
    </row>
    <row r="501" ht="15" customHeight="1">
      <c r="A501" t="inlineStr">
        <is>
          <t>A 34893-2025</t>
        </is>
      </c>
      <c r="B501" s="1" t="n">
        <v>45849.49259259259</v>
      </c>
      <c r="C501" s="1" t="n">
        <v>46134</v>
      </c>
      <c r="D501" t="inlineStr">
        <is>
          <t>UPPSALA LÄN</t>
        </is>
      </c>
      <c r="E501" t="inlineStr">
        <is>
          <t>UPPSALA</t>
        </is>
      </c>
      <c r="G501" t="n">
        <v>1.5</v>
      </c>
      <c r="H501" t="n">
        <v>0</v>
      </c>
      <c r="I501" t="n">
        <v>0</v>
      </c>
      <c r="J501" t="n">
        <v>0</v>
      </c>
      <c r="K501" t="n">
        <v>0</v>
      </c>
      <c r="L501" t="n">
        <v>0</v>
      </c>
      <c r="M501" t="n">
        <v>0</v>
      </c>
      <c r="N501" t="n">
        <v>0</v>
      </c>
      <c r="O501" t="n">
        <v>0</v>
      </c>
      <c r="P501" t="n">
        <v>0</v>
      </c>
      <c r="Q501" t="n">
        <v>0</v>
      </c>
      <c r="R501" s="2" t="inlineStr"/>
    </row>
    <row r="502" ht="15" customHeight="1">
      <c r="A502" t="inlineStr">
        <is>
          <t>A 47999-2025</t>
        </is>
      </c>
      <c r="B502" s="1" t="n">
        <v>45932.62907407407</v>
      </c>
      <c r="C502" s="1" t="n">
        <v>46134</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46796-2024</t>
        </is>
      </c>
      <c r="B503" s="1" t="n">
        <v>45583</v>
      </c>
      <c r="C503" s="1" t="n">
        <v>46134</v>
      </c>
      <c r="D503" t="inlineStr">
        <is>
          <t>UPPSALA LÄN</t>
        </is>
      </c>
      <c r="E503" t="inlineStr">
        <is>
          <t>UPPSALA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35148-2025</t>
        </is>
      </c>
      <c r="B504" s="1" t="n">
        <v>45852.67366898148</v>
      </c>
      <c r="C504" s="1" t="n">
        <v>46134</v>
      </c>
      <c r="D504" t="inlineStr">
        <is>
          <t>UPPSALA LÄN</t>
        </is>
      </c>
      <c r="E504" t="inlineStr">
        <is>
          <t>UPPSALA</t>
        </is>
      </c>
      <c r="F504" t="inlineStr">
        <is>
          <t>Holmen skog AB</t>
        </is>
      </c>
      <c r="G504" t="n">
        <v>2.2</v>
      </c>
      <c r="H504" t="n">
        <v>0</v>
      </c>
      <c r="I504" t="n">
        <v>0</v>
      </c>
      <c r="J504" t="n">
        <v>0</v>
      </c>
      <c r="K504" t="n">
        <v>0</v>
      </c>
      <c r="L504" t="n">
        <v>0</v>
      </c>
      <c r="M504" t="n">
        <v>0</v>
      </c>
      <c r="N504" t="n">
        <v>0</v>
      </c>
      <c r="O504" t="n">
        <v>0</v>
      </c>
      <c r="P504" t="n">
        <v>0</v>
      </c>
      <c r="Q504" t="n">
        <v>0</v>
      </c>
      <c r="R504" s="2" t="inlineStr"/>
    </row>
    <row r="505" ht="15" customHeight="1">
      <c r="A505" t="inlineStr">
        <is>
          <t>A 35056-2025</t>
        </is>
      </c>
      <c r="B505" s="1" t="n">
        <v>45852.39642361111</v>
      </c>
      <c r="C505" s="1" t="n">
        <v>46134</v>
      </c>
      <c r="D505" t="inlineStr">
        <is>
          <t>UPPSALA LÄN</t>
        </is>
      </c>
      <c r="E505" t="inlineStr">
        <is>
          <t>UPPSALA</t>
        </is>
      </c>
      <c r="G505" t="n">
        <v>2.6</v>
      </c>
      <c r="H505" t="n">
        <v>0</v>
      </c>
      <c r="I505" t="n">
        <v>0</v>
      </c>
      <c r="J505" t="n">
        <v>0</v>
      </c>
      <c r="K505" t="n">
        <v>0</v>
      </c>
      <c r="L505" t="n">
        <v>0</v>
      </c>
      <c r="M505" t="n">
        <v>0</v>
      </c>
      <c r="N505" t="n">
        <v>0</v>
      </c>
      <c r="O505" t="n">
        <v>0</v>
      </c>
      <c r="P505" t="n">
        <v>0</v>
      </c>
      <c r="Q505" t="n">
        <v>0</v>
      </c>
      <c r="R505" s="2" t="inlineStr"/>
    </row>
    <row r="506" ht="15" customHeight="1">
      <c r="A506" t="inlineStr">
        <is>
          <t>A 35053-2025</t>
        </is>
      </c>
      <c r="B506" s="1" t="n">
        <v>45852.36871527778</v>
      </c>
      <c r="C506" s="1" t="n">
        <v>46134</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32479-2025</t>
        </is>
      </c>
      <c r="B507" s="1" t="n">
        <v>45838</v>
      </c>
      <c r="C507" s="1" t="n">
        <v>46134</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35155-2025</t>
        </is>
      </c>
      <c r="B508" s="1" t="n">
        <v>45852.68978009259</v>
      </c>
      <c r="C508" s="1" t="n">
        <v>46134</v>
      </c>
      <c r="D508" t="inlineStr">
        <is>
          <t>UPPSALA LÄN</t>
        </is>
      </c>
      <c r="E508" t="inlineStr">
        <is>
          <t>UPPSALA</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35150-2025</t>
        </is>
      </c>
      <c r="B509" s="1" t="n">
        <v>45852</v>
      </c>
      <c r="C509" s="1" t="n">
        <v>46134</v>
      </c>
      <c r="D509" t="inlineStr">
        <is>
          <t>UPPSALA LÄN</t>
        </is>
      </c>
      <c r="E509" t="inlineStr">
        <is>
          <t>UPPSALA</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35167-2025</t>
        </is>
      </c>
      <c r="B510" s="1" t="n">
        <v>45852.72965277778</v>
      </c>
      <c r="C510" s="1" t="n">
        <v>46134</v>
      </c>
      <c r="D510" t="inlineStr">
        <is>
          <t>UPPSALA LÄN</t>
        </is>
      </c>
      <c r="E510" t="inlineStr">
        <is>
          <t>UPPSALA</t>
        </is>
      </c>
      <c r="F510" t="inlineStr">
        <is>
          <t>Holmen skog AB</t>
        </is>
      </c>
      <c r="G510" t="n">
        <v>10</v>
      </c>
      <c r="H510" t="n">
        <v>0</v>
      </c>
      <c r="I510" t="n">
        <v>0</v>
      </c>
      <c r="J510" t="n">
        <v>0</v>
      </c>
      <c r="K510" t="n">
        <v>0</v>
      </c>
      <c r="L510" t="n">
        <v>0</v>
      </c>
      <c r="M510" t="n">
        <v>0</v>
      </c>
      <c r="N510" t="n">
        <v>0</v>
      </c>
      <c r="O510" t="n">
        <v>0</v>
      </c>
      <c r="P510" t="n">
        <v>0</v>
      </c>
      <c r="Q510" t="n">
        <v>0</v>
      </c>
      <c r="R510" s="2" t="inlineStr"/>
    </row>
    <row r="511" ht="15" customHeight="1">
      <c r="A511" t="inlineStr">
        <is>
          <t>A 18443-2023</t>
        </is>
      </c>
      <c r="B511" s="1" t="n">
        <v>45042</v>
      </c>
      <c r="C511" s="1" t="n">
        <v>46134</v>
      </c>
      <c r="D511" t="inlineStr">
        <is>
          <t>UPPSALA LÄN</t>
        </is>
      </c>
      <c r="E511" t="inlineStr">
        <is>
          <t>UPPSALA</t>
        </is>
      </c>
      <c r="G511" t="n">
        <v>0.4</v>
      </c>
      <c r="H511" t="n">
        <v>0</v>
      </c>
      <c r="I511" t="n">
        <v>0</v>
      </c>
      <c r="J511" t="n">
        <v>0</v>
      </c>
      <c r="K511" t="n">
        <v>0</v>
      </c>
      <c r="L511" t="n">
        <v>0</v>
      </c>
      <c r="M511" t="n">
        <v>0</v>
      </c>
      <c r="N511" t="n">
        <v>0</v>
      </c>
      <c r="O511" t="n">
        <v>0</v>
      </c>
      <c r="P511" t="n">
        <v>0</v>
      </c>
      <c r="Q511" t="n">
        <v>0</v>
      </c>
      <c r="R511" s="2" t="inlineStr"/>
    </row>
    <row r="512" ht="15" customHeight="1">
      <c r="A512" t="inlineStr">
        <is>
          <t>A 35305-2025</t>
        </is>
      </c>
      <c r="B512" s="1" t="n">
        <v>45854.44017361111</v>
      </c>
      <c r="C512" s="1" t="n">
        <v>46134</v>
      </c>
      <c r="D512" t="inlineStr">
        <is>
          <t>UPPSALA LÄN</t>
        </is>
      </c>
      <c r="E512" t="inlineStr">
        <is>
          <t>UPPSALA</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8090-2022</t>
        </is>
      </c>
      <c r="B513" s="1" t="n">
        <v>44608</v>
      </c>
      <c r="C513" s="1" t="n">
        <v>46134</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47690-2025</t>
        </is>
      </c>
      <c r="B514" s="1" t="n">
        <v>45931.59373842592</v>
      </c>
      <c r="C514" s="1" t="n">
        <v>46134</v>
      </c>
      <c r="D514" t="inlineStr">
        <is>
          <t>UPPSALA LÄN</t>
        </is>
      </c>
      <c r="E514" t="inlineStr">
        <is>
          <t>UPPSALA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60047-2022</t>
        </is>
      </c>
      <c r="B515" s="1" t="n">
        <v>44909.51885416666</v>
      </c>
      <c r="C515" s="1" t="n">
        <v>46134</v>
      </c>
      <c r="D515" t="inlineStr">
        <is>
          <t>UPPSALA LÄN</t>
        </is>
      </c>
      <c r="E515" t="inlineStr">
        <is>
          <t>UPPSALA</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35509-2025</t>
        </is>
      </c>
      <c r="B516" s="1" t="n">
        <v>45856.34959490741</v>
      </c>
      <c r="C516" s="1" t="n">
        <v>46134</v>
      </c>
      <c r="D516" t="inlineStr">
        <is>
          <t>UPPSALA LÄN</t>
        </is>
      </c>
      <c r="E516" t="inlineStr">
        <is>
          <t>UPPSALA</t>
        </is>
      </c>
      <c r="F516" t="inlineStr">
        <is>
          <t>Bergvik skog öst AB</t>
        </is>
      </c>
      <c r="G516" t="n">
        <v>1.6</v>
      </c>
      <c r="H516" t="n">
        <v>0</v>
      </c>
      <c r="I516" t="n">
        <v>0</v>
      </c>
      <c r="J516" t="n">
        <v>0</v>
      </c>
      <c r="K516" t="n">
        <v>0</v>
      </c>
      <c r="L516" t="n">
        <v>0</v>
      </c>
      <c r="M516" t="n">
        <v>0</v>
      </c>
      <c r="N516" t="n">
        <v>0</v>
      </c>
      <c r="O516" t="n">
        <v>0</v>
      </c>
      <c r="P516" t="n">
        <v>0</v>
      </c>
      <c r="Q516" t="n">
        <v>0</v>
      </c>
      <c r="R516" s="2" t="inlineStr"/>
    </row>
    <row r="517" ht="15" customHeight="1">
      <c r="A517" t="inlineStr">
        <is>
          <t>A 35510-2025</t>
        </is>
      </c>
      <c r="B517" s="1" t="n">
        <v>45856</v>
      </c>
      <c r="C517" s="1" t="n">
        <v>46134</v>
      </c>
      <c r="D517" t="inlineStr">
        <is>
          <t>UPPSALA LÄN</t>
        </is>
      </c>
      <c r="E517" t="inlineStr">
        <is>
          <t>UPPSALA</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50535-2024</t>
        </is>
      </c>
      <c r="B518" s="1" t="n">
        <v>45600</v>
      </c>
      <c r="C518" s="1" t="n">
        <v>46134</v>
      </c>
      <c r="D518" t="inlineStr">
        <is>
          <t>UPPSALA LÄN</t>
        </is>
      </c>
      <c r="E518" t="inlineStr">
        <is>
          <t>UPPSALA</t>
        </is>
      </c>
      <c r="F518" t="inlineStr">
        <is>
          <t>Övriga statliga verk och myndigheter</t>
        </is>
      </c>
      <c r="G518" t="n">
        <v>3.2</v>
      </c>
      <c r="H518" t="n">
        <v>0</v>
      </c>
      <c r="I518" t="n">
        <v>0</v>
      </c>
      <c r="J518" t="n">
        <v>0</v>
      </c>
      <c r="K518" t="n">
        <v>0</v>
      </c>
      <c r="L518" t="n">
        <v>0</v>
      </c>
      <c r="M518" t="n">
        <v>0</v>
      </c>
      <c r="N518" t="n">
        <v>0</v>
      </c>
      <c r="O518" t="n">
        <v>0</v>
      </c>
      <c r="P518" t="n">
        <v>0</v>
      </c>
      <c r="Q518" t="n">
        <v>0</v>
      </c>
      <c r="R518" s="2" t="inlineStr"/>
    </row>
    <row r="519" ht="15" customHeight="1">
      <c r="A519" t="inlineStr">
        <is>
          <t>A 4866-2026</t>
        </is>
      </c>
      <c r="B519" s="1" t="n">
        <v>46045</v>
      </c>
      <c r="C519" s="1" t="n">
        <v>46134</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29799-2023</t>
        </is>
      </c>
      <c r="B520" s="1" t="n">
        <v>45107.53688657407</v>
      </c>
      <c r="C520" s="1" t="n">
        <v>46134</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24098-2024</t>
        </is>
      </c>
      <c r="B521" s="1" t="n">
        <v>45456.59535879629</v>
      </c>
      <c r="C521" s="1" t="n">
        <v>46134</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35504-2025</t>
        </is>
      </c>
      <c r="B522" s="1" t="n">
        <v>45856.34034722222</v>
      </c>
      <c r="C522" s="1" t="n">
        <v>46134</v>
      </c>
      <c r="D522" t="inlineStr">
        <is>
          <t>UPPSALA LÄN</t>
        </is>
      </c>
      <c r="E522" t="inlineStr">
        <is>
          <t>UPPSALA</t>
        </is>
      </c>
      <c r="F522" t="inlineStr">
        <is>
          <t>Bergvik skog öst AB</t>
        </is>
      </c>
      <c r="G522" t="n">
        <v>6.7</v>
      </c>
      <c r="H522" t="n">
        <v>0</v>
      </c>
      <c r="I522" t="n">
        <v>0</v>
      </c>
      <c r="J522" t="n">
        <v>0</v>
      </c>
      <c r="K522" t="n">
        <v>0</v>
      </c>
      <c r="L522" t="n">
        <v>0</v>
      </c>
      <c r="M522" t="n">
        <v>0</v>
      </c>
      <c r="N522" t="n">
        <v>0</v>
      </c>
      <c r="O522" t="n">
        <v>0</v>
      </c>
      <c r="P522" t="n">
        <v>0</v>
      </c>
      <c r="Q522" t="n">
        <v>0</v>
      </c>
      <c r="R522" s="2" t="inlineStr"/>
    </row>
    <row r="523" ht="15" customHeight="1">
      <c r="A523" t="inlineStr">
        <is>
          <t>A 35505-2025</t>
        </is>
      </c>
      <c r="B523" s="1" t="n">
        <v>45856.34231481481</v>
      </c>
      <c r="C523" s="1" t="n">
        <v>46134</v>
      </c>
      <c r="D523" t="inlineStr">
        <is>
          <t>UPPSALA LÄN</t>
        </is>
      </c>
      <c r="E523" t="inlineStr">
        <is>
          <t>UPPSALA</t>
        </is>
      </c>
      <c r="F523" t="inlineStr">
        <is>
          <t>Bergvik skog öst AB</t>
        </is>
      </c>
      <c r="G523" t="n">
        <v>7.9</v>
      </c>
      <c r="H523" t="n">
        <v>0</v>
      </c>
      <c r="I523" t="n">
        <v>0</v>
      </c>
      <c r="J523" t="n">
        <v>0</v>
      </c>
      <c r="K523" t="n">
        <v>0</v>
      </c>
      <c r="L523" t="n">
        <v>0</v>
      </c>
      <c r="M523" t="n">
        <v>0</v>
      </c>
      <c r="N523" t="n">
        <v>0</v>
      </c>
      <c r="O523" t="n">
        <v>0</v>
      </c>
      <c r="P523" t="n">
        <v>0</v>
      </c>
      <c r="Q523" t="n">
        <v>0</v>
      </c>
      <c r="R523" s="2" t="inlineStr"/>
    </row>
    <row r="524" ht="15" customHeight="1">
      <c r="A524" t="inlineStr">
        <is>
          <t>A 32475-2025</t>
        </is>
      </c>
      <c r="B524" s="1" t="n">
        <v>45838</v>
      </c>
      <c r="C524" s="1" t="n">
        <v>46134</v>
      </c>
      <c r="D524" t="inlineStr">
        <is>
          <t>UPPSALA LÄN</t>
        </is>
      </c>
      <c r="E524" t="inlineStr">
        <is>
          <t>UPPSALA</t>
        </is>
      </c>
      <c r="G524" t="n">
        <v>3</v>
      </c>
      <c r="H524" t="n">
        <v>0</v>
      </c>
      <c r="I524" t="n">
        <v>0</v>
      </c>
      <c r="J524" t="n">
        <v>0</v>
      </c>
      <c r="K524" t="n">
        <v>0</v>
      </c>
      <c r="L524" t="n">
        <v>0</v>
      </c>
      <c r="M524" t="n">
        <v>0</v>
      </c>
      <c r="N524" t="n">
        <v>0</v>
      </c>
      <c r="O524" t="n">
        <v>0</v>
      </c>
      <c r="P524" t="n">
        <v>0</v>
      </c>
      <c r="Q524" t="n">
        <v>0</v>
      </c>
      <c r="R524" s="2" t="inlineStr"/>
    </row>
    <row r="525" ht="15" customHeight="1">
      <c r="A525" t="inlineStr">
        <is>
          <t>A 32484-2025</t>
        </is>
      </c>
      <c r="B525" s="1" t="n">
        <v>45838</v>
      </c>
      <c r="C525" s="1" t="n">
        <v>46134</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25462-2023</t>
        </is>
      </c>
      <c r="B526" s="1" t="n">
        <v>45089</v>
      </c>
      <c r="C526" s="1" t="n">
        <v>46134</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48418-2025</t>
        </is>
      </c>
      <c r="B527" s="1" t="n">
        <v>45934.55967592593</v>
      </c>
      <c r="C527" s="1" t="n">
        <v>46134</v>
      </c>
      <c r="D527" t="inlineStr">
        <is>
          <t>UPPSALA LÄN</t>
        </is>
      </c>
      <c r="E527" t="inlineStr">
        <is>
          <t>UPPSALA</t>
        </is>
      </c>
      <c r="F527" t="inlineStr">
        <is>
          <t>Bergvik skog öst AB</t>
        </is>
      </c>
      <c r="G527" t="n">
        <v>5.2</v>
      </c>
      <c r="H527" t="n">
        <v>0</v>
      </c>
      <c r="I527" t="n">
        <v>0</v>
      </c>
      <c r="J527" t="n">
        <v>0</v>
      </c>
      <c r="K527" t="n">
        <v>0</v>
      </c>
      <c r="L527" t="n">
        <v>0</v>
      </c>
      <c r="M527" t="n">
        <v>0</v>
      </c>
      <c r="N527" t="n">
        <v>0</v>
      </c>
      <c r="O527" t="n">
        <v>0</v>
      </c>
      <c r="P527" t="n">
        <v>0</v>
      </c>
      <c r="Q527" t="n">
        <v>0</v>
      </c>
      <c r="R527" s="2" t="inlineStr"/>
    </row>
    <row r="528" ht="15" customHeight="1">
      <c r="A528" t="inlineStr">
        <is>
          <t>A 33622-2024</t>
        </is>
      </c>
      <c r="B528" s="1" t="n">
        <v>45520</v>
      </c>
      <c r="C528" s="1" t="n">
        <v>46134</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7727-2024</t>
        </is>
      </c>
      <c r="B529" s="1" t="n">
        <v>45349</v>
      </c>
      <c r="C529" s="1" t="n">
        <v>46134</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35978-2025</t>
        </is>
      </c>
      <c r="B530" s="1" t="n">
        <v>45863.44648148148</v>
      </c>
      <c r="C530" s="1" t="n">
        <v>46134</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35984-2025</t>
        </is>
      </c>
      <c r="B531" s="1" t="n">
        <v>45863.45355324074</v>
      </c>
      <c r="C531" s="1" t="n">
        <v>46134</v>
      </c>
      <c r="D531" t="inlineStr">
        <is>
          <t>UPPSALA LÄN</t>
        </is>
      </c>
      <c r="E531" t="inlineStr">
        <is>
          <t>UPPSALA</t>
        </is>
      </c>
      <c r="G531" t="n">
        <v>6.1</v>
      </c>
      <c r="H531" t="n">
        <v>0</v>
      </c>
      <c r="I531" t="n">
        <v>0</v>
      </c>
      <c r="J531" t="n">
        <v>0</v>
      </c>
      <c r="K531" t="n">
        <v>0</v>
      </c>
      <c r="L531" t="n">
        <v>0</v>
      </c>
      <c r="M531" t="n">
        <v>0</v>
      </c>
      <c r="N531" t="n">
        <v>0</v>
      </c>
      <c r="O531" t="n">
        <v>0</v>
      </c>
      <c r="P531" t="n">
        <v>0</v>
      </c>
      <c r="Q531" t="n">
        <v>0</v>
      </c>
      <c r="R531" s="2" t="inlineStr"/>
    </row>
    <row r="532" ht="15" customHeight="1">
      <c r="A532" t="inlineStr">
        <is>
          <t>A 49164-2025</t>
        </is>
      </c>
      <c r="B532" s="1" t="n">
        <v>45938.3615625</v>
      </c>
      <c r="C532" s="1" t="n">
        <v>46134</v>
      </c>
      <c r="D532" t="inlineStr">
        <is>
          <t>UPPSALA LÄN</t>
        </is>
      </c>
      <c r="E532" t="inlineStr">
        <is>
          <t>UPPSALA</t>
        </is>
      </c>
      <c r="F532" t="inlineStr">
        <is>
          <t>Kyrkan</t>
        </is>
      </c>
      <c r="G532" t="n">
        <v>1</v>
      </c>
      <c r="H532" t="n">
        <v>0</v>
      </c>
      <c r="I532" t="n">
        <v>0</v>
      </c>
      <c r="J532" t="n">
        <v>0</v>
      </c>
      <c r="K532" t="n">
        <v>0</v>
      </c>
      <c r="L532" t="n">
        <v>0</v>
      </c>
      <c r="M532" t="n">
        <v>0</v>
      </c>
      <c r="N532" t="n">
        <v>0</v>
      </c>
      <c r="O532" t="n">
        <v>0</v>
      </c>
      <c r="P532" t="n">
        <v>0</v>
      </c>
      <c r="Q532" t="n">
        <v>0</v>
      </c>
      <c r="R532" s="2" t="inlineStr"/>
    </row>
    <row r="533" ht="15" customHeight="1">
      <c r="A533" t="inlineStr">
        <is>
          <t>A 49094-2025</t>
        </is>
      </c>
      <c r="B533" s="1" t="n">
        <v>45937.68865740741</v>
      </c>
      <c r="C533" s="1" t="n">
        <v>46134</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49080-2025</t>
        </is>
      </c>
      <c r="B534" s="1" t="n">
        <v>45937</v>
      </c>
      <c r="C534" s="1" t="n">
        <v>46134</v>
      </c>
      <c r="D534" t="inlineStr">
        <is>
          <t>UPPSALA LÄN</t>
        </is>
      </c>
      <c r="E534" t="inlineStr">
        <is>
          <t>UPPSALA</t>
        </is>
      </c>
      <c r="G534" t="n">
        <v>0.6</v>
      </c>
      <c r="H534" t="n">
        <v>0</v>
      </c>
      <c r="I534" t="n">
        <v>0</v>
      </c>
      <c r="J534" t="n">
        <v>0</v>
      </c>
      <c r="K534" t="n">
        <v>0</v>
      </c>
      <c r="L534" t="n">
        <v>0</v>
      </c>
      <c r="M534" t="n">
        <v>0</v>
      </c>
      <c r="N534" t="n">
        <v>0</v>
      </c>
      <c r="O534" t="n">
        <v>0</v>
      </c>
      <c r="P534" t="n">
        <v>0</v>
      </c>
      <c r="Q534" t="n">
        <v>0</v>
      </c>
      <c r="R534" s="2" t="inlineStr"/>
    </row>
    <row r="535" ht="15" customHeight="1">
      <c r="A535" t="inlineStr">
        <is>
          <t>A 49098-2025</t>
        </is>
      </c>
      <c r="B535" s="1" t="n">
        <v>45937</v>
      </c>
      <c r="C535" s="1" t="n">
        <v>46134</v>
      </c>
      <c r="D535" t="inlineStr">
        <is>
          <t>UPPSALA LÄN</t>
        </is>
      </c>
      <c r="E535" t="inlineStr">
        <is>
          <t>UPPSALA</t>
        </is>
      </c>
      <c r="G535" t="n">
        <v>0.5</v>
      </c>
      <c r="H535" t="n">
        <v>0</v>
      </c>
      <c r="I535" t="n">
        <v>0</v>
      </c>
      <c r="J535" t="n">
        <v>0</v>
      </c>
      <c r="K535" t="n">
        <v>0</v>
      </c>
      <c r="L535" t="n">
        <v>0</v>
      </c>
      <c r="M535" t="n">
        <v>0</v>
      </c>
      <c r="N535" t="n">
        <v>0</v>
      </c>
      <c r="O535" t="n">
        <v>0</v>
      </c>
      <c r="P535" t="n">
        <v>0</v>
      </c>
      <c r="Q535" t="n">
        <v>0</v>
      </c>
      <c r="R535" s="2" t="inlineStr"/>
    </row>
    <row r="536" ht="15" customHeight="1">
      <c r="A536" t="inlineStr">
        <is>
          <t>A 36253-2025</t>
        </is>
      </c>
      <c r="B536" s="1" t="n">
        <v>45867.58056712963</v>
      </c>
      <c r="C536" s="1" t="n">
        <v>46134</v>
      </c>
      <c r="D536" t="inlineStr">
        <is>
          <t>UPPSALA LÄN</t>
        </is>
      </c>
      <c r="E536" t="inlineStr">
        <is>
          <t>UPPSALA</t>
        </is>
      </c>
      <c r="G536" t="n">
        <v>1.7</v>
      </c>
      <c r="H536" t="n">
        <v>0</v>
      </c>
      <c r="I536" t="n">
        <v>0</v>
      </c>
      <c r="J536" t="n">
        <v>0</v>
      </c>
      <c r="K536" t="n">
        <v>0</v>
      </c>
      <c r="L536" t="n">
        <v>0</v>
      </c>
      <c r="M536" t="n">
        <v>0</v>
      </c>
      <c r="N536" t="n">
        <v>0</v>
      </c>
      <c r="O536" t="n">
        <v>0</v>
      </c>
      <c r="P536" t="n">
        <v>0</v>
      </c>
      <c r="Q536" t="n">
        <v>0</v>
      </c>
      <c r="R536" s="2" t="inlineStr"/>
    </row>
    <row r="537" ht="15" customHeight="1">
      <c r="A537" t="inlineStr">
        <is>
          <t>A 49160-2025</t>
        </is>
      </c>
      <c r="B537" s="1" t="n">
        <v>45938.35063657408</v>
      </c>
      <c r="C537" s="1" t="n">
        <v>46134</v>
      </c>
      <c r="D537" t="inlineStr">
        <is>
          <t>UPPSALA LÄN</t>
        </is>
      </c>
      <c r="E537" t="inlineStr">
        <is>
          <t>UPPSALA</t>
        </is>
      </c>
      <c r="F537" t="inlineStr">
        <is>
          <t>Kyrkan</t>
        </is>
      </c>
      <c r="G537" t="n">
        <v>1.4</v>
      </c>
      <c r="H537" t="n">
        <v>0</v>
      </c>
      <c r="I537" t="n">
        <v>0</v>
      </c>
      <c r="J537" t="n">
        <v>0</v>
      </c>
      <c r="K537" t="n">
        <v>0</v>
      </c>
      <c r="L537" t="n">
        <v>0</v>
      </c>
      <c r="M537" t="n">
        <v>0</v>
      </c>
      <c r="N537" t="n">
        <v>0</v>
      </c>
      <c r="O537" t="n">
        <v>0</v>
      </c>
      <c r="P537" t="n">
        <v>0</v>
      </c>
      <c r="Q537" t="n">
        <v>0</v>
      </c>
      <c r="R537" s="2" t="inlineStr"/>
    </row>
    <row r="538" ht="15" customHeight="1">
      <c r="A538" t="inlineStr">
        <is>
          <t>A 49829-2025</t>
        </is>
      </c>
      <c r="B538" s="1" t="n">
        <v>45940.45038194444</v>
      </c>
      <c r="C538" s="1" t="n">
        <v>46134</v>
      </c>
      <c r="D538" t="inlineStr">
        <is>
          <t>UPPSALA LÄN</t>
        </is>
      </c>
      <c r="E538" t="inlineStr">
        <is>
          <t>UPPSALA</t>
        </is>
      </c>
      <c r="F538" t="inlineStr">
        <is>
          <t>Bergvik skog öst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30616-2025</t>
        </is>
      </c>
      <c r="B539" s="1" t="n">
        <v>45831.46731481481</v>
      </c>
      <c r="C539" s="1" t="n">
        <v>46134</v>
      </c>
      <c r="D539" t="inlineStr">
        <is>
          <t>UPPSALA LÄN</t>
        </is>
      </c>
      <c r="E539" t="inlineStr">
        <is>
          <t>UPPSALA</t>
        </is>
      </c>
      <c r="G539" t="n">
        <v>2.1</v>
      </c>
      <c r="H539" t="n">
        <v>0</v>
      </c>
      <c r="I539" t="n">
        <v>0</v>
      </c>
      <c r="J539" t="n">
        <v>0</v>
      </c>
      <c r="K539" t="n">
        <v>0</v>
      </c>
      <c r="L539" t="n">
        <v>0</v>
      </c>
      <c r="M539" t="n">
        <v>0</v>
      </c>
      <c r="N539" t="n">
        <v>0</v>
      </c>
      <c r="O539" t="n">
        <v>0</v>
      </c>
      <c r="P539" t="n">
        <v>0</v>
      </c>
      <c r="Q539" t="n">
        <v>0</v>
      </c>
      <c r="R539" s="2" t="inlineStr"/>
    </row>
    <row r="540" ht="15" customHeight="1">
      <c r="A540" t="inlineStr">
        <is>
          <t>A 49463-2025</t>
        </is>
      </c>
      <c r="B540" s="1" t="n">
        <v>45939.32621527778</v>
      </c>
      <c r="C540" s="1" t="n">
        <v>46134</v>
      </c>
      <c r="D540" t="inlineStr">
        <is>
          <t>UPPSALA LÄN</t>
        </is>
      </c>
      <c r="E540" t="inlineStr">
        <is>
          <t>UPPSALA</t>
        </is>
      </c>
      <c r="G540" t="n">
        <v>3.4</v>
      </c>
      <c r="H540" t="n">
        <v>0</v>
      </c>
      <c r="I540" t="n">
        <v>0</v>
      </c>
      <c r="J540" t="n">
        <v>0</v>
      </c>
      <c r="K540" t="n">
        <v>0</v>
      </c>
      <c r="L540" t="n">
        <v>0</v>
      </c>
      <c r="M540" t="n">
        <v>0</v>
      </c>
      <c r="N540" t="n">
        <v>0</v>
      </c>
      <c r="O540" t="n">
        <v>0</v>
      </c>
      <c r="P540" t="n">
        <v>0</v>
      </c>
      <c r="Q540" t="n">
        <v>0</v>
      </c>
      <c r="R540" s="2" t="inlineStr"/>
    </row>
    <row r="541" ht="15" customHeight="1">
      <c r="A541" t="inlineStr">
        <is>
          <t>A 49937-2025</t>
        </is>
      </c>
      <c r="B541" s="1" t="n">
        <v>45940.67084490741</v>
      </c>
      <c r="C541" s="1" t="n">
        <v>46134</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49940-2025</t>
        </is>
      </c>
      <c r="B542" s="1" t="n">
        <v>45940.67305555556</v>
      </c>
      <c r="C542" s="1" t="n">
        <v>46134</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27442-2024</t>
        </is>
      </c>
      <c r="B543" s="1" t="n">
        <v>45474.41729166666</v>
      </c>
      <c r="C543" s="1" t="n">
        <v>46134</v>
      </c>
      <c r="D543" t="inlineStr">
        <is>
          <t>UPPSALA LÄN</t>
        </is>
      </c>
      <c r="E543" t="inlineStr">
        <is>
          <t>UPPSALA</t>
        </is>
      </c>
      <c r="F543" t="inlineStr">
        <is>
          <t>Holmen skog AB</t>
        </is>
      </c>
      <c r="G543" t="n">
        <v>2.6</v>
      </c>
      <c r="H543" t="n">
        <v>0</v>
      </c>
      <c r="I543" t="n">
        <v>0</v>
      </c>
      <c r="J543" t="n">
        <v>0</v>
      </c>
      <c r="K543" t="n">
        <v>0</v>
      </c>
      <c r="L543" t="n">
        <v>0</v>
      </c>
      <c r="M543" t="n">
        <v>0</v>
      </c>
      <c r="N543" t="n">
        <v>0</v>
      </c>
      <c r="O543" t="n">
        <v>0</v>
      </c>
      <c r="P543" t="n">
        <v>0</v>
      </c>
      <c r="Q543" t="n">
        <v>0</v>
      </c>
      <c r="R543" s="2" t="inlineStr"/>
    </row>
    <row r="544" ht="15" customHeight="1">
      <c r="A544" t="inlineStr">
        <is>
          <t>A 49990-2025</t>
        </is>
      </c>
      <c r="B544" s="1" t="n">
        <v>45942.84414351852</v>
      </c>
      <c r="C544" s="1" t="n">
        <v>46134</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49987-2025</t>
        </is>
      </c>
      <c r="B545" s="1" t="n">
        <v>45942.80185185185</v>
      </c>
      <c r="C545" s="1" t="n">
        <v>46134</v>
      </c>
      <c r="D545" t="inlineStr">
        <is>
          <t>UPPSALA LÄN</t>
        </is>
      </c>
      <c r="E545" t="inlineStr">
        <is>
          <t>UPPSALA</t>
        </is>
      </c>
      <c r="F545" t="inlineStr">
        <is>
          <t>Bergvik skog öst AB</t>
        </is>
      </c>
      <c r="G545" t="n">
        <v>3.4</v>
      </c>
      <c r="H545" t="n">
        <v>0</v>
      </c>
      <c r="I545" t="n">
        <v>0</v>
      </c>
      <c r="J545" t="n">
        <v>0</v>
      </c>
      <c r="K545" t="n">
        <v>0</v>
      </c>
      <c r="L545" t="n">
        <v>0</v>
      </c>
      <c r="M545" t="n">
        <v>0</v>
      </c>
      <c r="N545" t="n">
        <v>0</v>
      </c>
      <c r="O545" t="n">
        <v>0</v>
      </c>
      <c r="P545" t="n">
        <v>0</v>
      </c>
      <c r="Q545" t="n">
        <v>0</v>
      </c>
      <c r="R545" s="2" t="inlineStr"/>
    </row>
    <row r="546" ht="15" customHeight="1">
      <c r="A546" t="inlineStr">
        <is>
          <t>A 49988-2025</t>
        </is>
      </c>
      <c r="B546" s="1" t="n">
        <v>45942.80318287037</v>
      </c>
      <c r="C546" s="1" t="n">
        <v>46134</v>
      </c>
      <c r="D546" t="inlineStr">
        <is>
          <t>UPPSALA LÄN</t>
        </is>
      </c>
      <c r="E546" t="inlineStr">
        <is>
          <t>UPPSALA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50591-2025</t>
        </is>
      </c>
      <c r="B547" s="1" t="n">
        <v>45944</v>
      </c>
      <c r="C547" s="1" t="n">
        <v>46134</v>
      </c>
      <c r="D547" t="inlineStr">
        <is>
          <t>UPPSALA LÄN</t>
        </is>
      </c>
      <c r="E547" t="inlineStr">
        <is>
          <t>UPPSALA</t>
        </is>
      </c>
      <c r="G547" t="n">
        <v>4.2</v>
      </c>
      <c r="H547" t="n">
        <v>0</v>
      </c>
      <c r="I547" t="n">
        <v>0</v>
      </c>
      <c r="J547" t="n">
        <v>0</v>
      </c>
      <c r="K547" t="n">
        <v>0</v>
      </c>
      <c r="L547" t="n">
        <v>0</v>
      </c>
      <c r="M547" t="n">
        <v>0</v>
      </c>
      <c r="N547" t="n">
        <v>0</v>
      </c>
      <c r="O547" t="n">
        <v>0</v>
      </c>
      <c r="P547" t="n">
        <v>0</v>
      </c>
      <c r="Q547" t="n">
        <v>0</v>
      </c>
      <c r="R547" s="2" t="inlineStr"/>
    </row>
    <row r="548" ht="15" customHeight="1">
      <c r="A548" t="inlineStr">
        <is>
          <t>A 49986-2025</t>
        </is>
      </c>
      <c r="B548" s="1" t="n">
        <v>45942.79476851852</v>
      </c>
      <c r="C548" s="1" t="n">
        <v>46134</v>
      </c>
      <c r="D548" t="inlineStr">
        <is>
          <t>UPPSALA LÄN</t>
        </is>
      </c>
      <c r="E548" t="inlineStr">
        <is>
          <t>UPPSALA</t>
        </is>
      </c>
      <c r="F548" t="inlineStr">
        <is>
          <t>Bergvik skog öst AB</t>
        </is>
      </c>
      <c r="G548" t="n">
        <v>4.5</v>
      </c>
      <c r="H548" t="n">
        <v>0</v>
      </c>
      <c r="I548" t="n">
        <v>0</v>
      </c>
      <c r="J548" t="n">
        <v>0</v>
      </c>
      <c r="K548" t="n">
        <v>0</v>
      </c>
      <c r="L548" t="n">
        <v>0</v>
      </c>
      <c r="M548" t="n">
        <v>0</v>
      </c>
      <c r="N548" t="n">
        <v>0</v>
      </c>
      <c r="O548" t="n">
        <v>0</v>
      </c>
      <c r="P548" t="n">
        <v>0</v>
      </c>
      <c r="Q548" t="n">
        <v>0</v>
      </c>
      <c r="R548" s="2" t="inlineStr"/>
    </row>
    <row r="549" ht="15" customHeight="1">
      <c r="A549" t="inlineStr">
        <is>
          <t>A 50232-2025</t>
        </is>
      </c>
      <c r="B549" s="1" t="n">
        <v>45943.70756944444</v>
      </c>
      <c r="C549" s="1" t="n">
        <v>46134</v>
      </c>
      <c r="D549" t="inlineStr">
        <is>
          <t>UPPSALA LÄN</t>
        </is>
      </c>
      <c r="E549" t="inlineStr">
        <is>
          <t>UPPSALA</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49989-2025</t>
        </is>
      </c>
      <c r="B550" s="1" t="n">
        <v>45942.8396412037</v>
      </c>
      <c r="C550" s="1" t="n">
        <v>46134</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36913-2025</t>
        </is>
      </c>
      <c r="B551" s="1" t="n">
        <v>45874</v>
      </c>
      <c r="C551" s="1" t="n">
        <v>46134</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37010-2025</t>
        </is>
      </c>
      <c r="B552" s="1" t="n">
        <v>45874.705</v>
      </c>
      <c r="C552" s="1" t="n">
        <v>46134</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37352-2025</t>
        </is>
      </c>
      <c r="B553" s="1" t="n">
        <v>45876</v>
      </c>
      <c r="C553" s="1" t="n">
        <v>46134</v>
      </c>
      <c r="D553" t="inlineStr">
        <is>
          <t>UPPSALA LÄN</t>
        </is>
      </c>
      <c r="E553" t="inlineStr">
        <is>
          <t>UPPSALA</t>
        </is>
      </c>
      <c r="G553" t="n">
        <v>2.6</v>
      </c>
      <c r="H553" t="n">
        <v>0</v>
      </c>
      <c r="I553" t="n">
        <v>0</v>
      </c>
      <c r="J553" t="n">
        <v>0</v>
      </c>
      <c r="K553" t="n">
        <v>0</v>
      </c>
      <c r="L553" t="n">
        <v>0</v>
      </c>
      <c r="M553" t="n">
        <v>0</v>
      </c>
      <c r="N553" t="n">
        <v>0</v>
      </c>
      <c r="O553" t="n">
        <v>0</v>
      </c>
      <c r="P553" t="n">
        <v>0</v>
      </c>
      <c r="Q553" t="n">
        <v>0</v>
      </c>
      <c r="R553" s="2" t="inlineStr"/>
    </row>
    <row r="554" ht="15" customHeight="1">
      <c r="A554" t="inlineStr">
        <is>
          <t>A 60003-2024</t>
        </is>
      </c>
      <c r="B554" s="1" t="n">
        <v>45642</v>
      </c>
      <c r="C554" s="1" t="n">
        <v>46134</v>
      </c>
      <c r="D554" t="inlineStr">
        <is>
          <t>UPPSALA LÄN</t>
        </is>
      </c>
      <c r="E554" t="inlineStr">
        <is>
          <t>UPPSALA</t>
        </is>
      </c>
      <c r="F554" t="inlineStr">
        <is>
          <t>Bergvik skog väst AB</t>
        </is>
      </c>
      <c r="G554" t="n">
        <v>14.5</v>
      </c>
      <c r="H554" t="n">
        <v>0</v>
      </c>
      <c r="I554" t="n">
        <v>0</v>
      </c>
      <c r="J554" t="n">
        <v>0</v>
      </c>
      <c r="K554" t="n">
        <v>0</v>
      </c>
      <c r="L554" t="n">
        <v>0</v>
      </c>
      <c r="M554" t="n">
        <v>0</v>
      </c>
      <c r="N554" t="n">
        <v>0</v>
      </c>
      <c r="O554" t="n">
        <v>0</v>
      </c>
      <c r="P554" t="n">
        <v>0</v>
      </c>
      <c r="Q554" t="n">
        <v>0</v>
      </c>
      <c r="R554" s="2" t="inlineStr"/>
    </row>
    <row r="555" ht="15" customHeight="1">
      <c r="A555" t="inlineStr">
        <is>
          <t>A 6058-2025</t>
        </is>
      </c>
      <c r="B555" s="1" t="n">
        <v>45695.83655092592</v>
      </c>
      <c r="C555" s="1" t="n">
        <v>46134</v>
      </c>
      <c r="D555" t="inlineStr">
        <is>
          <t>UPPSALA LÄN</t>
        </is>
      </c>
      <c r="E555" t="inlineStr">
        <is>
          <t>UPPSALA</t>
        </is>
      </c>
      <c r="F555" t="inlineStr">
        <is>
          <t>Bergvik skog öst AB</t>
        </is>
      </c>
      <c r="G555" t="n">
        <v>1.3</v>
      </c>
      <c r="H555" t="n">
        <v>0</v>
      </c>
      <c r="I555" t="n">
        <v>0</v>
      </c>
      <c r="J555" t="n">
        <v>0</v>
      </c>
      <c r="K555" t="n">
        <v>0</v>
      </c>
      <c r="L555" t="n">
        <v>0</v>
      </c>
      <c r="M555" t="n">
        <v>0</v>
      </c>
      <c r="N555" t="n">
        <v>0</v>
      </c>
      <c r="O555" t="n">
        <v>0</v>
      </c>
      <c r="P555" t="n">
        <v>0</v>
      </c>
      <c r="Q555" t="n">
        <v>0</v>
      </c>
      <c r="R555" s="2" t="inlineStr"/>
    </row>
    <row r="556" ht="15" customHeight="1">
      <c r="A556" t="inlineStr">
        <is>
          <t>A 50897-2025</t>
        </is>
      </c>
      <c r="B556" s="1" t="n">
        <v>45946.64121527778</v>
      </c>
      <c r="C556" s="1" t="n">
        <v>46134</v>
      </c>
      <c r="D556" t="inlineStr">
        <is>
          <t>UPPSALA LÄN</t>
        </is>
      </c>
      <c r="E556" t="inlineStr">
        <is>
          <t>UPPSALA</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8164-2025</t>
        </is>
      </c>
      <c r="B557" s="1" t="n">
        <v>45707</v>
      </c>
      <c r="C557" s="1" t="n">
        <v>46134</v>
      </c>
      <c r="D557" t="inlineStr">
        <is>
          <t>UPPSALA LÄN</t>
        </is>
      </c>
      <c r="E557" t="inlineStr">
        <is>
          <t>UPPSALA</t>
        </is>
      </c>
      <c r="F557" t="inlineStr">
        <is>
          <t>Övriga Aktiebolag</t>
        </is>
      </c>
      <c r="G557" t="n">
        <v>12.2</v>
      </c>
      <c r="H557" t="n">
        <v>0</v>
      </c>
      <c r="I557" t="n">
        <v>0</v>
      </c>
      <c r="J557" t="n">
        <v>0</v>
      </c>
      <c r="K557" t="n">
        <v>0</v>
      </c>
      <c r="L557" t="n">
        <v>0</v>
      </c>
      <c r="M557" t="n">
        <v>0</v>
      </c>
      <c r="N557" t="n">
        <v>0</v>
      </c>
      <c r="O557" t="n">
        <v>0</v>
      </c>
      <c r="P557" t="n">
        <v>0</v>
      </c>
      <c r="Q557" t="n">
        <v>0</v>
      </c>
      <c r="R557" s="2" t="inlineStr"/>
    </row>
    <row r="558" ht="15" customHeight="1">
      <c r="A558" t="inlineStr">
        <is>
          <t>A 60954-2024</t>
        </is>
      </c>
      <c r="B558" s="1" t="n">
        <v>45645</v>
      </c>
      <c r="C558" s="1" t="n">
        <v>46134</v>
      </c>
      <c r="D558" t="inlineStr">
        <is>
          <t>UPPSALA LÄN</t>
        </is>
      </c>
      <c r="E558" t="inlineStr">
        <is>
          <t>UPPSALA</t>
        </is>
      </c>
      <c r="F558" t="inlineStr">
        <is>
          <t>Kommuner</t>
        </is>
      </c>
      <c r="G558" t="n">
        <v>1</v>
      </c>
      <c r="H558" t="n">
        <v>0</v>
      </c>
      <c r="I558" t="n">
        <v>0</v>
      </c>
      <c r="J558" t="n">
        <v>0</v>
      </c>
      <c r="K558" t="n">
        <v>0</v>
      </c>
      <c r="L558" t="n">
        <v>0</v>
      </c>
      <c r="M558" t="n">
        <v>0</v>
      </c>
      <c r="N558" t="n">
        <v>0</v>
      </c>
      <c r="O558" t="n">
        <v>0</v>
      </c>
      <c r="P558" t="n">
        <v>0</v>
      </c>
      <c r="Q558" t="n">
        <v>0</v>
      </c>
      <c r="R558" s="2" t="inlineStr"/>
    </row>
    <row r="559" ht="15" customHeight="1">
      <c r="A559" t="inlineStr">
        <is>
          <t>A 37351-2025</t>
        </is>
      </c>
      <c r="B559" s="1" t="n">
        <v>45876</v>
      </c>
      <c r="C559" s="1" t="n">
        <v>46134</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41112-2025</t>
        </is>
      </c>
      <c r="B560" s="1" t="n">
        <v>45898.46040509259</v>
      </c>
      <c r="C560" s="1" t="n">
        <v>46134</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31157-2023</t>
        </is>
      </c>
      <c r="B561" s="1" t="n">
        <v>45113</v>
      </c>
      <c r="C561" s="1" t="n">
        <v>46134</v>
      </c>
      <c r="D561" t="inlineStr">
        <is>
          <t>UPPSALA LÄN</t>
        </is>
      </c>
      <c r="E561" t="inlineStr">
        <is>
          <t>UPPSALA</t>
        </is>
      </c>
      <c r="G561" t="n">
        <v>1.6</v>
      </c>
      <c r="H561" t="n">
        <v>0</v>
      </c>
      <c r="I561" t="n">
        <v>0</v>
      </c>
      <c r="J561" t="n">
        <v>0</v>
      </c>
      <c r="K561" t="n">
        <v>0</v>
      </c>
      <c r="L561" t="n">
        <v>0</v>
      </c>
      <c r="M561" t="n">
        <v>0</v>
      </c>
      <c r="N561" t="n">
        <v>0</v>
      </c>
      <c r="O561" t="n">
        <v>0</v>
      </c>
      <c r="P561" t="n">
        <v>0</v>
      </c>
      <c r="Q561" t="n">
        <v>0</v>
      </c>
      <c r="R561" s="2" t="inlineStr"/>
    </row>
    <row r="562" ht="15" customHeight="1">
      <c r="A562" t="inlineStr">
        <is>
          <t>A 31161-2023</t>
        </is>
      </c>
      <c r="B562" s="1" t="n">
        <v>45113.80170138889</v>
      </c>
      <c r="C562" s="1" t="n">
        <v>46134</v>
      </c>
      <c r="D562" t="inlineStr">
        <is>
          <t>UPPSALA LÄN</t>
        </is>
      </c>
      <c r="E562" t="inlineStr">
        <is>
          <t>UPPSALA</t>
        </is>
      </c>
      <c r="G562" t="n">
        <v>0.6</v>
      </c>
      <c r="H562" t="n">
        <v>0</v>
      </c>
      <c r="I562" t="n">
        <v>0</v>
      </c>
      <c r="J562" t="n">
        <v>0</v>
      </c>
      <c r="K562" t="n">
        <v>0</v>
      </c>
      <c r="L562" t="n">
        <v>0</v>
      </c>
      <c r="M562" t="n">
        <v>0</v>
      </c>
      <c r="N562" t="n">
        <v>0</v>
      </c>
      <c r="O562" t="n">
        <v>0</v>
      </c>
      <c r="P562" t="n">
        <v>0</v>
      </c>
      <c r="Q562" t="n">
        <v>0</v>
      </c>
      <c r="R562" s="2" t="inlineStr"/>
    </row>
    <row r="563" ht="15" customHeight="1">
      <c r="A563" t="inlineStr">
        <is>
          <t>A 37468-2025</t>
        </is>
      </c>
      <c r="B563" s="1" t="n">
        <v>45877.57847222222</v>
      </c>
      <c r="C563" s="1" t="n">
        <v>46134</v>
      </c>
      <c r="D563" t="inlineStr">
        <is>
          <t>UPPSALA LÄN</t>
        </is>
      </c>
      <c r="E563" t="inlineStr">
        <is>
          <t>UPPSALA</t>
        </is>
      </c>
      <c r="G563" t="n">
        <v>2.9</v>
      </c>
      <c r="H563" t="n">
        <v>0</v>
      </c>
      <c r="I563" t="n">
        <v>0</v>
      </c>
      <c r="J563" t="n">
        <v>0</v>
      </c>
      <c r="K563" t="n">
        <v>0</v>
      </c>
      <c r="L563" t="n">
        <v>0</v>
      </c>
      <c r="M563" t="n">
        <v>0</v>
      </c>
      <c r="N563" t="n">
        <v>0</v>
      </c>
      <c r="O563" t="n">
        <v>0</v>
      </c>
      <c r="P563" t="n">
        <v>0</v>
      </c>
      <c r="Q563" t="n">
        <v>0</v>
      </c>
      <c r="R563" s="2" t="inlineStr"/>
    </row>
    <row r="564" ht="15" customHeight="1">
      <c r="A564" t="inlineStr">
        <is>
          <t>A 37557-2025</t>
        </is>
      </c>
      <c r="B564" s="1" t="n">
        <v>45880.32907407408</v>
      </c>
      <c r="C564" s="1" t="n">
        <v>46134</v>
      </c>
      <c r="D564" t="inlineStr">
        <is>
          <t>UPPSALA LÄN</t>
        </is>
      </c>
      <c r="E564" t="inlineStr">
        <is>
          <t>UPPSALA</t>
        </is>
      </c>
      <c r="G564" t="n">
        <v>1.6</v>
      </c>
      <c r="H564" t="n">
        <v>0</v>
      </c>
      <c r="I564" t="n">
        <v>0</v>
      </c>
      <c r="J564" t="n">
        <v>0</v>
      </c>
      <c r="K564" t="n">
        <v>0</v>
      </c>
      <c r="L564" t="n">
        <v>0</v>
      </c>
      <c r="M564" t="n">
        <v>0</v>
      </c>
      <c r="N564" t="n">
        <v>0</v>
      </c>
      <c r="O564" t="n">
        <v>0</v>
      </c>
      <c r="P564" t="n">
        <v>0</v>
      </c>
      <c r="Q564" t="n">
        <v>0</v>
      </c>
      <c r="R564" s="2" t="inlineStr"/>
    </row>
    <row r="565" ht="15" customHeight="1">
      <c r="A565" t="inlineStr">
        <is>
          <t>A 17593-2025</t>
        </is>
      </c>
      <c r="B565" s="1" t="n">
        <v>45757.6997337963</v>
      </c>
      <c r="C565" s="1" t="n">
        <v>46134</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17596-2025</t>
        </is>
      </c>
      <c r="B566" s="1" t="n">
        <v>45757</v>
      </c>
      <c r="C566" s="1" t="n">
        <v>46134</v>
      </c>
      <c r="D566" t="inlineStr">
        <is>
          <t>UPPSALA LÄN</t>
        </is>
      </c>
      <c r="E566" t="inlineStr">
        <is>
          <t>UPPSALA</t>
        </is>
      </c>
      <c r="G566" t="n">
        <v>4.8</v>
      </c>
      <c r="H566" t="n">
        <v>0</v>
      </c>
      <c r="I566" t="n">
        <v>0</v>
      </c>
      <c r="J566" t="n">
        <v>0</v>
      </c>
      <c r="K566" t="n">
        <v>0</v>
      </c>
      <c r="L566" t="n">
        <v>0</v>
      </c>
      <c r="M566" t="n">
        <v>0</v>
      </c>
      <c r="N566" t="n">
        <v>0</v>
      </c>
      <c r="O566" t="n">
        <v>0</v>
      </c>
      <c r="P566" t="n">
        <v>0</v>
      </c>
      <c r="Q566" t="n">
        <v>0</v>
      </c>
      <c r="R566" s="2" t="inlineStr"/>
    </row>
    <row r="567" ht="15" customHeight="1">
      <c r="A567" t="inlineStr">
        <is>
          <t>A 35016-2025</t>
        </is>
      </c>
      <c r="B567" s="1" t="n">
        <v>45851.62179398148</v>
      </c>
      <c r="C567" s="1" t="n">
        <v>46134</v>
      </c>
      <c r="D567" t="inlineStr">
        <is>
          <t>UPPSALA LÄN</t>
        </is>
      </c>
      <c r="E567" t="inlineStr">
        <is>
          <t>UPPSALA</t>
        </is>
      </c>
      <c r="F567" t="inlineStr">
        <is>
          <t>Bergvik skog öst AB</t>
        </is>
      </c>
      <c r="G567" t="n">
        <v>7</v>
      </c>
      <c r="H567" t="n">
        <v>0</v>
      </c>
      <c r="I567" t="n">
        <v>0</v>
      </c>
      <c r="J567" t="n">
        <v>0</v>
      </c>
      <c r="K567" t="n">
        <v>0</v>
      </c>
      <c r="L567" t="n">
        <v>0</v>
      </c>
      <c r="M567" t="n">
        <v>0</v>
      </c>
      <c r="N567" t="n">
        <v>0</v>
      </c>
      <c r="O567" t="n">
        <v>0</v>
      </c>
      <c r="P567" t="n">
        <v>0</v>
      </c>
      <c r="Q567" t="n">
        <v>0</v>
      </c>
      <c r="R567" s="2" t="inlineStr"/>
    </row>
    <row r="568" ht="15" customHeight="1">
      <c r="A568" t="inlineStr">
        <is>
          <t>A 50706-2025</t>
        </is>
      </c>
      <c r="B568" s="1" t="n">
        <v>45946.30063657407</v>
      </c>
      <c r="C568" s="1" t="n">
        <v>46134</v>
      </c>
      <c r="D568" t="inlineStr">
        <is>
          <t>UPPSALA LÄN</t>
        </is>
      </c>
      <c r="E568" t="inlineStr">
        <is>
          <t>UPPSALA</t>
        </is>
      </c>
      <c r="G568" t="n">
        <v>3.6</v>
      </c>
      <c r="H568" t="n">
        <v>0</v>
      </c>
      <c r="I568" t="n">
        <v>0</v>
      </c>
      <c r="J568" t="n">
        <v>0</v>
      </c>
      <c r="K568" t="n">
        <v>0</v>
      </c>
      <c r="L568" t="n">
        <v>0</v>
      </c>
      <c r="M568" t="n">
        <v>0</v>
      </c>
      <c r="N568" t="n">
        <v>0</v>
      </c>
      <c r="O568" t="n">
        <v>0</v>
      </c>
      <c r="P568" t="n">
        <v>0</v>
      </c>
      <c r="Q568" t="n">
        <v>0</v>
      </c>
      <c r="R568" s="2" t="inlineStr"/>
    </row>
    <row r="569" ht="15" customHeight="1">
      <c r="A569" t="inlineStr">
        <is>
          <t>A 50708-2025</t>
        </is>
      </c>
      <c r="B569" s="1" t="n">
        <v>45946.31299768519</v>
      </c>
      <c r="C569" s="1" t="n">
        <v>46134</v>
      </c>
      <c r="D569" t="inlineStr">
        <is>
          <t>UPPSALA LÄN</t>
        </is>
      </c>
      <c r="E569" t="inlineStr">
        <is>
          <t>UPPSALA</t>
        </is>
      </c>
      <c r="G569" t="n">
        <v>6.7</v>
      </c>
      <c r="H569" t="n">
        <v>0</v>
      </c>
      <c r="I569" t="n">
        <v>0</v>
      </c>
      <c r="J569" t="n">
        <v>0</v>
      </c>
      <c r="K569" t="n">
        <v>0</v>
      </c>
      <c r="L569" t="n">
        <v>0</v>
      </c>
      <c r="M569" t="n">
        <v>0</v>
      </c>
      <c r="N569" t="n">
        <v>0</v>
      </c>
      <c r="O569" t="n">
        <v>0</v>
      </c>
      <c r="P569" t="n">
        <v>0</v>
      </c>
      <c r="Q569" t="n">
        <v>0</v>
      </c>
      <c r="R569" s="2" t="inlineStr"/>
    </row>
    <row r="570" ht="15" customHeight="1">
      <c r="A570" t="inlineStr">
        <is>
          <t>A 57871-2024</t>
        </is>
      </c>
      <c r="B570" s="1" t="n">
        <v>45631.44464120371</v>
      </c>
      <c r="C570" s="1" t="n">
        <v>46134</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51433-2025</t>
        </is>
      </c>
      <c r="B571" s="1" t="n">
        <v>45950.55603009259</v>
      </c>
      <c r="C571" s="1" t="n">
        <v>46134</v>
      </c>
      <c r="D571" t="inlineStr">
        <is>
          <t>UPPSALA LÄN</t>
        </is>
      </c>
      <c r="E571" t="inlineStr">
        <is>
          <t>UPPSALA</t>
        </is>
      </c>
      <c r="F571" t="inlineStr">
        <is>
          <t>Bergvik skog öst AB</t>
        </is>
      </c>
      <c r="G571" t="n">
        <v>14.7</v>
      </c>
      <c r="H571" t="n">
        <v>0</v>
      </c>
      <c r="I571" t="n">
        <v>0</v>
      </c>
      <c r="J571" t="n">
        <v>0</v>
      </c>
      <c r="K571" t="n">
        <v>0</v>
      </c>
      <c r="L571" t="n">
        <v>0</v>
      </c>
      <c r="M571" t="n">
        <v>0</v>
      </c>
      <c r="N571" t="n">
        <v>0</v>
      </c>
      <c r="O571" t="n">
        <v>0</v>
      </c>
      <c r="P571" t="n">
        <v>0</v>
      </c>
      <c r="Q571" t="n">
        <v>0</v>
      </c>
      <c r="R571" s="2" t="inlineStr"/>
    </row>
    <row r="572" ht="15" customHeight="1">
      <c r="A572" t="inlineStr">
        <is>
          <t>A 37561-2025</t>
        </is>
      </c>
      <c r="B572" s="1" t="n">
        <v>45880.34064814815</v>
      </c>
      <c r="C572" s="1" t="n">
        <v>46134</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37611-2025</t>
        </is>
      </c>
      <c r="B573" s="1" t="n">
        <v>45880</v>
      </c>
      <c r="C573" s="1" t="n">
        <v>46134</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37486-2025</t>
        </is>
      </c>
      <c r="B574" s="1" t="n">
        <v>45877.62969907407</v>
      </c>
      <c r="C574" s="1" t="n">
        <v>46134</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51090-2025</t>
        </is>
      </c>
      <c r="B575" s="1" t="n">
        <v>45947.4724537037</v>
      </c>
      <c r="C575" s="1" t="n">
        <v>46134</v>
      </c>
      <c r="D575" t="inlineStr">
        <is>
          <t>UPPSALA LÄN</t>
        </is>
      </c>
      <c r="E575" t="inlineStr">
        <is>
          <t>UPPSALA</t>
        </is>
      </c>
      <c r="F575" t="inlineStr">
        <is>
          <t>Övriga Aktiebolag</t>
        </is>
      </c>
      <c r="G575" t="n">
        <v>17.5</v>
      </c>
      <c r="H575" t="n">
        <v>0</v>
      </c>
      <c r="I575" t="n">
        <v>0</v>
      </c>
      <c r="J575" t="n">
        <v>0</v>
      </c>
      <c r="K575" t="n">
        <v>0</v>
      </c>
      <c r="L575" t="n">
        <v>0</v>
      </c>
      <c r="M575" t="n">
        <v>0</v>
      </c>
      <c r="N575" t="n">
        <v>0</v>
      </c>
      <c r="O575" t="n">
        <v>0</v>
      </c>
      <c r="P575" t="n">
        <v>0</v>
      </c>
      <c r="Q575" t="n">
        <v>0</v>
      </c>
      <c r="R575" s="2" t="inlineStr"/>
    </row>
    <row r="576" ht="15" customHeight="1">
      <c r="A576" t="inlineStr">
        <is>
          <t>A 6971-2025</t>
        </is>
      </c>
      <c r="B576" s="1" t="n">
        <v>45693</v>
      </c>
      <c r="C576" s="1" t="n">
        <v>46134</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56084-2024</t>
        </is>
      </c>
      <c r="B577" s="1" t="n">
        <v>45624</v>
      </c>
      <c r="C577" s="1" t="n">
        <v>46134</v>
      </c>
      <c r="D577" t="inlineStr">
        <is>
          <t>UPPSALA LÄN</t>
        </is>
      </c>
      <c r="E577" t="inlineStr">
        <is>
          <t>UPPSALA</t>
        </is>
      </c>
      <c r="G577" t="n">
        <v>3.8</v>
      </c>
      <c r="H577" t="n">
        <v>0</v>
      </c>
      <c r="I577" t="n">
        <v>0</v>
      </c>
      <c r="J577" t="n">
        <v>0</v>
      </c>
      <c r="K577" t="n">
        <v>0</v>
      </c>
      <c r="L577" t="n">
        <v>0</v>
      </c>
      <c r="M577" t="n">
        <v>0</v>
      </c>
      <c r="N577" t="n">
        <v>0</v>
      </c>
      <c r="O577" t="n">
        <v>0</v>
      </c>
      <c r="P577" t="n">
        <v>0</v>
      </c>
      <c r="Q577" t="n">
        <v>0</v>
      </c>
      <c r="R577" s="2" t="inlineStr"/>
    </row>
    <row r="578" ht="15" customHeight="1">
      <c r="A578" t="inlineStr">
        <is>
          <t>A 9982-2025</t>
        </is>
      </c>
      <c r="B578" s="1" t="n">
        <v>45719.4094212963</v>
      </c>
      <c r="C578" s="1" t="n">
        <v>46134</v>
      </c>
      <c r="D578" t="inlineStr">
        <is>
          <t>UPPSALA LÄN</t>
        </is>
      </c>
      <c r="E578" t="inlineStr">
        <is>
          <t>UPPSALA</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37759-2025</t>
        </is>
      </c>
      <c r="B579" s="1" t="n">
        <v>45880.68200231482</v>
      </c>
      <c r="C579" s="1" t="n">
        <v>46134</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4993-2025</t>
        </is>
      </c>
      <c r="B580" s="1" t="n">
        <v>45691</v>
      </c>
      <c r="C580" s="1" t="n">
        <v>46134</v>
      </c>
      <c r="D580" t="inlineStr">
        <is>
          <t>UPPSALA LÄN</t>
        </is>
      </c>
      <c r="E580" t="inlineStr">
        <is>
          <t>UPPSALA</t>
        </is>
      </c>
      <c r="F580" t="inlineStr">
        <is>
          <t>Kyrkan</t>
        </is>
      </c>
      <c r="G580" t="n">
        <v>6.7</v>
      </c>
      <c r="H580" t="n">
        <v>0</v>
      </c>
      <c r="I580" t="n">
        <v>0</v>
      </c>
      <c r="J580" t="n">
        <v>0</v>
      </c>
      <c r="K580" t="n">
        <v>0</v>
      </c>
      <c r="L580" t="n">
        <v>0</v>
      </c>
      <c r="M580" t="n">
        <v>0</v>
      </c>
      <c r="N580" t="n">
        <v>0</v>
      </c>
      <c r="O580" t="n">
        <v>0</v>
      </c>
      <c r="P580" t="n">
        <v>0</v>
      </c>
      <c r="Q580" t="n">
        <v>0</v>
      </c>
      <c r="R580" s="2" t="inlineStr"/>
    </row>
    <row r="581" ht="15" customHeight="1">
      <c r="A581" t="inlineStr">
        <is>
          <t>A 37856-2025</t>
        </is>
      </c>
      <c r="B581" s="1" t="n">
        <v>45881.45898148148</v>
      </c>
      <c r="C581" s="1" t="n">
        <v>46134</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3287-2025</t>
        </is>
      </c>
      <c r="B582" s="1" t="n">
        <v>45679</v>
      </c>
      <c r="C582" s="1" t="n">
        <v>46134</v>
      </c>
      <c r="D582" t="inlineStr">
        <is>
          <t>UPPSALA LÄN</t>
        </is>
      </c>
      <c r="E582" t="inlineStr">
        <is>
          <t>UPPSALA</t>
        </is>
      </c>
      <c r="F582" t="inlineStr">
        <is>
          <t>Kyrkan</t>
        </is>
      </c>
      <c r="G582" t="n">
        <v>6.7</v>
      </c>
      <c r="H582" t="n">
        <v>0</v>
      </c>
      <c r="I582" t="n">
        <v>0</v>
      </c>
      <c r="J582" t="n">
        <v>0</v>
      </c>
      <c r="K582" t="n">
        <v>0</v>
      </c>
      <c r="L582" t="n">
        <v>0</v>
      </c>
      <c r="M582" t="n">
        <v>0</v>
      </c>
      <c r="N582" t="n">
        <v>0</v>
      </c>
      <c r="O582" t="n">
        <v>0</v>
      </c>
      <c r="P582" t="n">
        <v>0</v>
      </c>
      <c r="Q582" t="n">
        <v>0</v>
      </c>
      <c r="R582" s="2" t="inlineStr"/>
    </row>
    <row r="583" ht="15" customHeight="1">
      <c r="A583" t="inlineStr">
        <is>
          <t>A 50949-2025</t>
        </is>
      </c>
      <c r="B583" s="1" t="n">
        <v>45946.75140046296</v>
      </c>
      <c r="C583" s="1" t="n">
        <v>46134</v>
      </c>
      <c r="D583" t="inlineStr">
        <is>
          <t>UPPSALA LÄN</t>
        </is>
      </c>
      <c r="E583" t="inlineStr">
        <is>
          <t>UPPSALA</t>
        </is>
      </c>
      <c r="G583" t="n">
        <v>0.8</v>
      </c>
      <c r="H583" t="n">
        <v>0</v>
      </c>
      <c r="I583" t="n">
        <v>0</v>
      </c>
      <c r="J583" t="n">
        <v>0</v>
      </c>
      <c r="K583" t="n">
        <v>0</v>
      </c>
      <c r="L583" t="n">
        <v>0</v>
      </c>
      <c r="M583" t="n">
        <v>0</v>
      </c>
      <c r="N583" t="n">
        <v>0</v>
      </c>
      <c r="O583" t="n">
        <v>0</v>
      </c>
      <c r="P583" t="n">
        <v>0</v>
      </c>
      <c r="Q583" t="n">
        <v>0</v>
      </c>
      <c r="R583" s="2" t="inlineStr"/>
    </row>
    <row r="584" ht="15" customHeight="1">
      <c r="A584" t="inlineStr">
        <is>
          <t>A 50951-2025</t>
        </is>
      </c>
      <c r="B584" s="1" t="n">
        <v>45946.76038194444</v>
      </c>
      <c r="C584" s="1" t="n">
        <v>46134</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51505-2025</t>
        </is>
      </c>
      <c r="B585" s="1" t="n">
        <v>45950</v>
      </c>
      <c r="C585" s="1" t="n">
        <v>46134</v>
      </c>
      <c r="D585" t="inlineStr">
        <is>
          <t>UPPSALA LÄN</t>
        </is>
      </c>
      <c r="E585" t="inlineStr">
        <is>
          <t>UPPSALA</t>
        </is>
      </c>
      <c r="G585" t="n">
        <v>6.7</v>
      </c>
      <c r="H585" t="n">
        <v>0</v>
      </c>
      <c r="I585" t="n">
        <v>0</v>
      </c>
      <c r="J585" t="n">
        <v>0</v>
      </c>
      <c r="K585" t="n">
        <v>0</v>
      </c>
      <c r="L585" t="n">
        <v>0</v>
      </c>
      <c r="M585" t="n">
        <v>0</v>
      </c>
      <c r="N585" t="n">
        <v>0</v>
      </c>
      <c r="O585" t="n">
        <v>0</v>
      </c>
      <c r="P585" t="n">
        <v>0</v>
      </c>
      <c r="Q585" t="n">
        <v>0</v>
      </c>
      <c r="R585" s="2" t="inlineStr"/>
    </row>
    <row r="586" ht="15" customHeight="1">
      <c r="A586" t="inlineStr">
        <is>
          <t>A 51275-2025</t>
        </is>
      </c>
      <c r="B586" s="1" t="n">
        <v>45949</v>
      </c>
      <c r="C586" s="1" t="n">
        <v>46134</v>
      </c>
      <c r="D586" t="inlineStr">
        <is>
          <t>UPPSALA LÄN</t>
        </is>
      </c>
      <c r="E586" t="inlineStr">
        <is>
          <t>UPPSALA</t>
        </is>
      </c>
      <c r="G586" t="n">
        <v>0.3</v>
      </c>
      <c r="H586" t="n">
        <v>0</v>
      </c>
      <c r="I586" t="n">
        <v>0</v>
      </c>
      <c r="J586" t="n">
        <v>0</v>
      </c>
      <c r="K586" t="n">
        <v>0</v>
      </c>
      <c r="L586" t="n">
        <v>0</v>
      </c>
      <c r="M586" t="n">
        <v>0</v>
      </c>
      <c r="N586" t="n">
        <v>0</v>
      </c>
      <c r="O586" t="n">
        <v>0</v>
      </c>
      <c r="P586" t="n">
        <v>0</v>
      </c>
      <c r="Q586" t="n">
        <v>0</v>
      </c>
      <c r="R586" s="2" t="inlineStr"/>
    </row>
    <row r="587" ht="15" customHeight="1">
      <c r="A587" t="inlineStr">
        <is>
          <t>A 9995-2025</t>
        </is>
      </c>
      <c r="B587" s="1" t="n">
        <v>45719.43872685185</v>
      </c>
      <c r="C587" s="1" t="n">
        <v>46134</v>
      </c>
      <c r="D587" t="inlineStr">
        <is>
          <t>UPPSALA LÄN</t>
        </is>
      </c>
      <c r="E587" t="inlineStr">
        <is>
          <t>UPPSALA</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38113-2025</t>
        </is>
      </c>
      <c r="B588" s="1" t="n">
        <v>45882.52290509259</v>
      </c>
      <c r="C588" s="1" t="n">
        <v>46134</v>
      </c>
      <c r="D588" t="inlineStr">
        <is>
          <t>UPPSALA LÄN</t>
        </is>
      </c>
      <c r="E588" t="inlineStr">
        <is>
          <t>UPPSALA</t>
        </is>
      </c>
      <c r="G588" t="n">
        <v>5.8</v>
      </c>
      <c r="H588" t="n">
        <v>0</v>
      </c>
      <c r="I588" t="n">
        <v>0</v>
      </c>
      <c r="J588" t="n">
        <v>0</v>
      </c>
      <c r="K588" t="n">
        <v>0</v>
      </c>
      <c r="L588" t="n">
        <v>0</v>
      </c>
      <c r="M588" t="n">
        <v>0</v>
      </c>
      <c r="N588" t="n">
        <v>0</v>
      </c>
      <c r="O588" t="n">
        <v>0</v>
      </c>
      <c r="P588" t="n">
        <v>0</v>
      </c>
      <c r="Q588" t="n">
        <v>0</v>
      </c>
      <c r="R588" s="2" t="inlineStr"/>
    </row>
    <row r="589" ht="15" customHeight="1">
      <c r="A589" t="inlineStr">
        <is>
          <t>A 51158-2025</t>
        </is>
      </c>
      <c r="B589" s="1" t="n">
        <v>45947.58105324074</v>
      </c>
      <c r="C589" s="1" t="n">
        <v>46134</v>
      </c>
      <c r="D589" t="inlineStr">
        <is>
          <t>UPPSALA LÄN</t>
        </is>
      </c>
      <c r="E589" t="inlineStr">
        <is>
          <t>UPPSALA</t>
        </is>
      </c>
      <c r="F589" t="inlineStr">
        <is>
          <t>Övriga Aktiebolag</t>
        </is>
      </c>
      <c r="G589" t="n">
        <v>12.1</v>
      </c>
      <c r="H589" t="n">
        <v>0</v>
      </c>
      <c r="I589" t="n">
        <v>0</v>
      </c>
      <c r="J589" t="n">
        <v>0</v>
      </c>
      <c r="K589" t="n">
        <v>0</v>
      </c>
      <c r="L589" t="n">
        <v>0</v>
      </c>
      <c r="M589" t="n">
        <v>0</v>
      </c>
      <c r="N589" t="n">
        <v>0</v>
      </c>
      <c r="O589" t="n">
        <v>0</v>
      </c>
      <c r="P589" t="n">
        <v>0</v>
      </c>
      <c r="Q589" t="n">
        <v>0</v>
      </c>
      <c r="R589" s="2" t="inlineStr"/>
    </row>
    <row r="590" ht="15" customHeight="1">
      <c r="A590" t="inlineStr">
        <is>
          <t>A 38034-2025</t>
        </is>
      </c>
      <c r="B590" s="1" t="n">
        <v>45882.37202546297</v>
      </c>
      <c r="C590" s="1" t="n">
        <v>46134</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51493-2025</t>
        </is>
      </c>
      <c r="B591" s="1" t="n">
        <v>45950</v>
      </c>
      <c r="C591" s="1" t="n">
        <v>46134</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13128-2022</t>
        </is>
      </c>
      <c r="B592" s="1" t="n">
        <v>44644.37548611111</v>
      </c>
      <c r="C592" s="1" t="n">
        <v>46134</v>
      </c>
      <c r="D592" t="inlineStr">
        <is>
          <t>UPPSALA LÄN</t>
        </is>
      </c>
      <c r="E592" t="inlineStr">
        <is>
          <t>UPPSALA</t>
        </is>
      </c>
      <c r="F592" t="inlineStr">
        <is>
          <t>Övriga Aktiebolag</t>
        </is>
      </c>
      <c r="G592" t="n">
        <v>3.7</v>
      </c>
      <c r="H592" t="n">
        <v>0</v>
      </c>
      <c r="I592" t="n">
        <v>0</v>
      </c>
      <c r="J592" t="n">
        <v>0</v>
      </c>
      <c r="K592" t="n">
        <v>0</v>
      </c>
      <c r="L592" t="n">
        <v>0</v>
      </c>
      <c r="M592" t="n">
        <v>0</v>
      </c>
      <c r="N592" t="n">
        <v>0</v>
      </c>
      <c r="O592" t="n">
        <v>0</v>
      </c>
      <c r="P592" t="n">
        <v>0</v>
      </c>
      <c r="Q592" t="n">
        <v>0</v>
      </c>
      <c r="R592" s="2" t="inlineStr"/>
    </row>
    <row r="593" ht="15" customHeight="1">
      <c r="A593" t="inlineStr">
        <is>
          <t>A 37851-2025</t>
        </is>
      </c>
      <c r="B593" s="1" t="n">
        <v>45881.44938657407</v>
      </c>
      <c r="C593" s="1" t="n">
        <v>46134</v>
      </c>
      <c r="D593" t="inlineStr">
        <is>
          <t>UPPSALA LÄN</t>
        </is>
      </c>
      <c r="E593" t="inlineStr">
        <is>
          <t>UPPSALA</t>
        </is>
      </c>
      <c r="G593" t="n">
        <v>2.3</v>
      </c>
      <c r="H593" t="n">
        <v>0</v>
      </c>
      <c r="I593" t="n">
        <v>0</v>
      </c>
      <c r="J593" t="n">
        <v>0</v>
      </c>
      <c r="K593" t="n">
        <v>0</v>
      </c>
      <c r="L593" t="n">
        <v>0</v>
      </c>
      <c r="M593" t="n">
        <v>0</v>
      </c>
      <c r="N593" t="n">
        <v>0</v>
      </c>
      <c r="O593" t="n">
        <v>0</v>
      </c>
      <c r="P593" t="n">
        <v>0</v>
      </c>
      <c r="Q593" t="n">
        <v>0</v>
      </c>
      <c r="R593" s="2" t="inlineStr"/>
    </row>
    <row r="594" ht="15" customHeight="1">
      <c r="A594" t="inlineStr">
        <is>
          <t>A 37763-2021</t>
        </is>
      </c>
      <c r="B594" s="1" t="n">
        <v>44400.6750925926</v>
      </c>
      <c r="C594" s="1" t="n">
        <v>46134</v>
      </c>
      <c r="D594" t="inlineStr">
        <is>
          <t>UPPSALA LÄN</t>
        </is>
      </c>
      <c r="E594" t="inlineStr">
        <is>
          <t>UPPSALA</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37820-2021</t>
        </is>
      </c>
      <c r="B595" s="1" t="n">
        <v>44403.3119212963</v>
      </c>
      <c r="C595" s="1" t="n">
        <v>46134</v>
      </c>
      <c r="D595" t="inlineStr">
        <is>
          <t>UPPSALA LÄN</t>
        </is>
      </c>
      <c r="E595" t="inlineStr">
        <is>
          <t>UPPSALA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13433-2026</t>
        </is>
      </c>
      <c r="B596" s="1" t="n">
        <v>46094.48731481482</v>
      </c>
      <c r="C596" s="1" t="n">
        <v>46134</v>
      </c>
      <c r="D596" t="inlineStr">
        <is>
          <t>UPPSALA LÄN</t>
        </is>
      </c>
      <c r="E596" t="inlineStr">
        <is>
          <t>UPPSALA</t>
        </is>
      </c>
      <c r="G596" t="n">
        <v>1.1</v>
      </c>
      <c r="H596" t="n">
        <v>0</v>
      </c>
      <c r="I596" t="n">
        <v>0</v>
      </c>
      <c r="J596" t="n">
        <v>0</v>
      </c>
      <c r="K596" t="n">
        <v>0</v>
      </c>
      <c r="L596" t="n">
        <v>0</v>
      </c>
      <c r="M596" t="n">
        <v>0</v>
      </c>
      <c r="N596" t="n">
        <v>0</v>
      </c>
      <c r="O596" t="n">
        <v>0</v>
      </c>
      <c r="P596" t="n">
        <v>0</v>
      </c>
      <c r="Q596" t="n">
        <v>0</v>
      </c>
      <c r="R596" s="2" t="inlineStr"/>
    </row>
    <row r="597" ht="15" customHeight="1">
      <c r="A597" t="inlineStr">
        <is>
          <t>A 9295-2023</t>
        </is>
      </c>
      <c r="B597" s="1" t="n">
        <v>44980</v>
      </c>
      <c r="C597" s="1" t="n">
        <v>46134</v>
      </c>
      <c r="D597" t="inlineStr">
        <is>
          <t>UPPSALA LÄN</t>
        </is>
      </c>
      <c r="E597" t="inlineStr">
        <is>
          <t>UPPSALA</t>
        </is>
      </c>
      <c r="G597" t="n">
        <v>2.1</v>
      </c>
      <c r="H597" t="n">
        <v>0</v>
      </c>
      <c r="I597" t="n">
        <v>0</v>
      </c>
      <c r="J597" t="n">
        <v>0</v>
      </c>
      <c r="K597" t="n">
        <v>0</v>
      </c>
      <c r="L597" t="n">
        <v>0</v>
      </c>
      <c r="M597" t="n">
        <v>0</v>
      </c>
      <c r="N597" t="n">
        <v>0</v>
      </c>
      <c r="O597" t="n">
        <v>0</v>
      </c>
      <c r="P597" t="n">
        <v>0</v>
      </c>
      <c r="Q597" t="n">
        <v>0</v>
      </c>
      <c r="R597" s="2" t="inlineStr"/>
    </row>
    <row r="598" ht="15" customHeight="1">
      <c r="A598" t="inlineStr">
        <is>
          <t>A 52267-2025</t>
        </is>
      </c>
      <c r="B598" s="1" t="n">
        <v>45953.53460648148</v>
      </c>
      <c r="C598" s="1" t="n">
        <v>46134</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63307-2021</t>
        </is>
      </c>
      <c r="B599" s="1" t="n">
        <v>44508.44033564815</v>
      </c>
      <c r="C599" s="1" t="n">
        <v>46134</v>
      </c>
      <c r="D599" t="inlineStr">
        <is>
          <t>UPPSALA LÄN</t>
        </is>
      </c>
      <c r="E599" t="inlineStr">
        <is>
          <t>UPPSALA</t>
        </is>
      </c>
      <c r="F599" t="inlineStr">
        <is>
          <t>Bergvik skog öst AB</t>
        </is>
      </c>
      <c r="G599" t="n">
        <v>2.8</v>
      </c>
      <c r="H599" t="n">
        <v>0</v>
      </c>
      <c r="I599" t="n">
        <v>0</v>
      </c>
      <c r="J599" t="n">
        <v>0</v>
      </c>
      <c r="K599" t="n">
        <v>0</v>
      </c>
      <c r="L599" t="n">
        <v>0</v>
      </c>
      <c r="M599" t="n">
        <v>0</v>
      </c>
      <c r="N599" t="n">
        <v>0</v>
      </c>
      <c r="O599" t="n">
        <v>0</v>
      </c>
      <c r="P599" t="n">
        <v>0</v>
      </c>
      <c r="Q599" t="n">
        <v>0</v>
      </c>
      <c r="R599" s="2" t="inlineStr"/>
    </row>
    <row r="600" ht="15" customHeight="1">
      <c r="A600" t="inlineStr">
        <is>
          <t>A 5629-2026</t>
        </is>
      </c>
      <c r="B600" s="1" t="n">
        <v>46051</v>
      </c>
      <c r="C600" s="1" t="n">
        <v>46134</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13404-2026</t>
        </is>
      </c>
      <c r="B601" s="1" t="n">
        <v>46094.45079861111</v>
      </c>
      <c r="C601" s="1" t="n">
        <v>46134</v>
      </c>
      <c r="D601" t="inlineStr">
        <is>
          <t>UPPSALA LÄN</t>
        </is>
      </c>
      <c r="E601" t="inlineStr">
        <is>
          <t>UPPSALA</t>
        </is>
      </c>
      <c r="G601" t="n">
        <v>5.3</v>
      </c>
      <c r="H601" t="n">
        <v>0</v>
      </c>
      <c r="I601" t="n">
        <v>0</v>
      </c>
      <c r="J601" t="n">
        <v>0</v>
      </c>
      <c r="K601" t="n">
        <v>0</v>
      </c>
      <c r="L601" t="n">
        <v>0</v>
      </c>
      <c r="M601" t="n">
        <v>0</v>
      </c>
      <c r="N601" t="n">
        <v>0</v>
      </c>
      <c r="O601" t="n">
        <v>0</v>
      </c>
      <c r="P601" t="n">
        <v>0</v>
      </c>
      <c r="Q601" t="n">
        <v>0</v>
      </c>
      <c r="R601" s="2" t="inlineStr"/>
    </row>
    <row r="602" ht="15" customHeight="1">
      <c r="A602" t="inlineStr">
        <is>
          <t>A 52269-2025</t>
        </is>
      </c>
      <c r="B602" s="1" t="n">
        <v>45953.53765046296</v>
      </c>
      <c r="C602" s="1" t="n">
        <v>46134</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52517-2025</t>
        </is>
      </c>
      <c r="B603" s="1" t="n">
        <v>45954.51438657408</v>
      </c>
      <c r="C603" s="1" t="n">
        <v>46134</v>
      </c>
      <c r="D603" t="inlineStr">
        <is>
          <t>UPPSALA LÄN</t>
        </is>
      </c>
      <c r="E603" t="inlineStr">
        <is>
          <t>UPPSALA</t>
        </is>
      </c>
      <c r="G603" t="n">
        <v>10.3</v>
      </c>
      <c r="H603" t="n">
        <v>0</v>
      </c>
      <c r="I603" t="n">
        <v>0</v>
      </c>
      <c r="J603" t="n">
        <v>0</v>
      </c>
      <c r="K603" t="n">
        <v>0</v>
      </c>
      <c r="L603" t="n">
        <v>0</v>
      </c>
      <c r="M603" t="n">
        <v>0</v>
      </c>
      <c r="N603" t="n">
        <v>0</v>
      </c>
      <c r="O603" t="n">
        <v>0</v>
      </c>
      <c r="P603" t="n">
        <v>0</v>
      </c>
      <c r="Q603" t="n">
        <v>0</v>
      </c>
      <c r="R603" s="2" t="inlineStr"/>
    </row>
    <row r="604" ht="15" customHeight="1">
      <c r="A604" t="inlineStr">
        <is>
          <t>A 66690-2021</t>
        </is>
      </c>
      <c r="B604" s="1" t="n">
        <v>44519.64902777778</v>
      </c>
      <c r="C604" s="1" t="n">
        <v>46134</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52523-2025</t>
        </is>
      </c>
      <c r="B605" s="1" t="n">
        <v>45954.528125</v>
      </c>
      <c r="C605" s="1" t="n">
        <v>46134</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52429-2025</t>
        </is>
      </c>
      <c r="B606" s="1" t="n">
        <v>45954.38475694445</v>
      </c>
      <c r="C606" s="1" t="n">
        <v>46134</v>
      </c>
      <c r="D606" t="inlineStr">
        <is>
          <t>UPPSALA LÄN</t>
        </is>
      </c>
      <c r="E606" t="inlineStr">
        <is>
          <t>UPPSALA</t>
        </is>
      </c>
      <c r="G606" t="n">
        <v>16.6</v>
      </c>
      <c r="H606" t="n">
        <v>0</v>
      </c>
      <c r="I606" t="n">
        <v>0</v>
      </c>
      <c r="J606" t="n">
        <v>0</v>
      </c>
      <c r="K606" t="n">
        <v>0</v>
      </c>
      <c r="L606" t="n">
        <v>0</v>
      </c>
      <c r="M606" t="n">
        <v>0</v>
      </c>
      <c r="N606" t="n">
        <v>0</v>
      </c>
      <c r="O606" t="n">
        <v>0</v>
      </c>
      <c r="P606" t="n">
        <v>0</v>
      </c>
      <c r="Q606" t="n">
        <v>0</v>
      </c>
      <c r="R606" s="2" t="inlineStr"/>
    </row>
    <row r="607" ht="15" customHeight="1">
      <c r="A607" t="inlineStr">
        <is>
          <t>A 53161-2025</t>
        </is>
      </c>
      <c r="B607" s="1" t="n">
        <v>45958.49162037037</v>
      </c>
      <c r="C607" s="1" t="n">
        <v>46134</v>
      </c>
      <c r="D607" t="inlineStr">
        <is>
          <t>UPPSALA LÄN</t>
        </is>
      </c>
      <c r="E607" t="inlineStr">
        <is>
          <t>UPPSALA</t>
        </is>
      </c>
      <c r="F607" t="inlineStr">
        <is>
          <t>Bergvik skog väst AB</t>
        </is>
      </c>
      <c r="G607" t="n">
        <v>14.5</v>
      </c>
      <c r="H607" t="n">
        <v>0</v>
      </c>
      <c r="I607" t="n">
        <v>0</v>
      </c>
      <c r="J607" t="n">
        <v>0</v>
      </c>
      <c r="K607" t="n">
        <v>0</v>
      </c>
      <c r="L607" t="n">
        <v>0</v>
      </c>
      <c r="M607" t="n">
        <v>0</v>
      </c>
      <c r="N607" t="n">
        <v>0</v>
      </c>
      <c r="O607" t="n">
        <v>0</v>
      </c>
      <c r="P607" t="n">
        <v>0</v>
      </c>
      <c r="Q607" t="n">
        <v>0</v>
      </c>
      <c r="R607" s="2" t="inlineStr"/>
    </row>
    <row r="608" ht="15" customHeight="1">
      <c r="A608" t="inlineStr">
        <is>
          <t>A 13485-2026</t>
        </is>
      </c>
      <c r="B608" s="1" t="n">
        <v>46094.58113425926</v>
      </c>
      <c r="C608" s="1" t="n">
        <v>46134</v>
      </c>
      <c r="D608" t="inlineStr">
        <is>
          <t>UPPSALA LÄN</t>
        </is>
      </c>
      <c r="E608" t="inlineStr">
        <is>
          <t>UPPSALA</t>
        </is>
      </c>
      <c r="G608" t="n">
        <v>0.7</v>
      </c>
      <c r="H608" t="n">
        <v>0</v>
      </c>
      <c r="I608" t="n">
        <v>0</v>
      </c>
      <c r="J608" t="n">
        <v>0</v>
      </c>
      <c r="K608" t="n">
        <v>0</v>
      </c>
      <c r="L608" t="n">
        <v>0</v>
      </c>
      <c r="M608" t="n">
        <v>0</v>
      </c>
      <c r="N608" t="n">
        <v>0</v>
      </c>
      <c r="O608" t="n">
        <v>0</v>
      </c>
      <c r="P608" t="n">
        <v>0</v>
      </c>
      <c r="Q608" t="n">
        <v>0</v>
      </c>
      <c r="R608" s="2" t="inlineStr"/>
    </row>
    <row r="609" ht="15" customHeight="1">
      <c r="A609" t="inlineStr">
        <is>
          <t>A 13536-2026</t>
        </is>
      </c>
      <c r="B609" s="1" t="n">
        <v>46094.66190972222</v>
      </c>
      <c r="C609" s="1" t="n">
        <v>46134</v>
      </c>
      <c r="D609" t="inlineStr">
        <is>
          <t>UPPSALA LÄN</t>
        </is>
      </c>
      <c r="E609" t="inlineStr">
        <is>
          <t>UPPSALA</t>
        </is>
      </c>
      <c r="G609" t="n">
        <v>1.2</v>
      </c>
      <c r="H609" t="n">
        <v>0</v>
      </c>
      <c r="I609" t="n">
        <v>0</v>
      </c>
      <c r="J609" t="n">
        <v>0</v>
      </c>
      <c r="K609" t="n">
        <v>0</v>
      </c>
      <c r="L609" t="n">
        <v>0</v>
      </c>
      <c r="M609" t="n">
        <v>0</v>
      </c>
      <c r="N609" t="n">
        <v>0</v>
      </c>
      <c r="O609" t="n">
        <v>0</v>
      </c>
      <c r="P609" t="n">
        <v>0</v>
      </c>
      <c r="Q609" t="n">
        <v>0</v>
      </c>
      <c r="R609" s="2" t="inlineStr"/>
    </row>
    <row r="610" ht="15" customHeight="1">
      <c r="A610" t="inlineStr">
        <is>
          <t>A 53248-2025</t>
        </is>
      </c>
      <c r="B610" s="1" t="n">
        <v>45958.6516087963</v>
      </c>
      <c r="C610" s="1" t="n">
        <v>46134</v>
      </c>
      <c r="D610" t="inlineStr">
        <is>
          <t>UPPSALA LÄN</t>
        </is>
      </c>
      <c r="E610" t="inlineStr">
        <is>
          <t>UPPSALA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62044-2024</t>
        </is>
      </c>
      <c r="B611" s="1" t="n">
        <v>45656</v>
      </c>
      <c r="C611" s="1" t="n">
        <v>46134</v>
      </c>
      <c r="D611" t="inlineStr">
        <is>
          <t>UPPSALA LÄN</t>
        </is>
      </c>
      <c r="E611" t="inlineStr">
        <is>
          <t>UPPSALA</t>
        </is>
      </c>
      <c r="F611" t="inlineStr">
        <is>
          <t>Övriga statliga verk och myndigheter</t>
        </is>
      </c>
      <c r="G611" t="n">
        <v>11.6</v>
      </c>
      <c r="H611" t="n">
        <v>0</v>
      </c>
      <c r="I611" t="n">
        <v>0</v>
      </c>
      <c r="J611" t="n">
        <v>0</v>
      </c>
      <c r="K611" t="n">
        <v>0</v>
      </c>
      <c r="L611" t="n">
        <v>0</v>
      </c>
      <c r="M611" t="n">
        <v>0</v>
      </c>
      <c r="N611" t="n">
        <v>0</v>
      </c>
      <c r="O611" t="n">
        <v>0</v>
      </c>
      <c r="P611" t="n">
        <v>0</v>
      </c>
      <c r="Q611" t="n">
        <v>0</v>
      </c>
      <c r="R611" s="2" t="inlineStr"/>
    </row>
    <row r="612" ht="15" customHeight="1">
      <c r="A612" t="inlineStr">
        <is>
          <t>A 27912-2023</t>
        </is>
      </c>
      <c r="B612" s="1" t="n">
        <v>45098.63572916666</v>
      </c>
      <c r="C612" s="1" t="n">
        <v>46134</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53021-2025</t>
        </is>
      </c>
      <c r="B613" s="1" t="n">
        <v>45957.95233796296</v>
      </c>
      <c r="C613" s="1" t="n">
        <v>46134</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5764-2025</t>
        </is>
      </c>
      <c r="B614" s="1" t="n">
        <v>45694</v>
      </c>
      <c r="C614" s="1" t="n">
        <v>46134</v>
      </c>
      <c r="D614" t="inlineStr">
        <is>
          <t>UPPSALA LÄN</t>
        </is>
      </c>
      <c r="E614" t="inlineStr">
        <is>
          <t>UPPSALA</t>
        </is>
      </c>
      <c r="G614" t="n">
        <v>0.9</v>
      </c>
      <c r="H614" t="n">
        <v>0</v>
      </c>
      <c r="I614" t="n">
        <v>0</v>
      </c>
      <c r="J614" t="n">
        <v>0</v>
      </c>
      <c r="K614" t="n">
        <v>0</v>
      </c>
      <c r="L614" t="n">
        <v>0</v>
      </c>
      <c r="M614" t="n">
        <v>0</v>
      </c>
      <c r="N614" t="n">
        <v>0</v>
      </c>
      <c r="O614" t="n">
        <v>0</v>
      </c>
      <c r="P614" t="n">
        <v>0</v>
      </c>
      <c r="Q614" t="n">
        <v>0</v>
      </c>
      <c r="R614" s="2" t="inlineStr"/>
    </row>
    <row r="615" ht="15" customHeight="1">
      <c r="A615" t="inlineStr">
        <is>
          <t>A 53062-2025</t>
        </is>
      </c>
      <c r="B615" s="1" t="n">
        <v>45958.37273148148</v>
      </c>
      <c r="C615" s="1" t="n">
        <v>46134</v>
      </c>
      <c r="D615" t="inlineStr">
        <is>
          <t>UPPSALA LÄN</t>
        </is>
      </c>
      <c r="E615" t="inlineStr">
        <is>
          <t>UPPSALA</t>
        </is>
      </c>
      <c r="G615" t="n">
        <v>2.1</v>
      </c>
      <c r="H615" t="n">
        <v>0</v>
      </c>
      <c r="I615" t="n">
        <v>0</v>
      </c>
      <c r="J615" t="n">
        <v>0</v>
      </c>
      <c r="K615" t="n">
        <v>0</v>
      </c>
      <c r="L615" t="n">
        <v>0</v>
      </c>
      <c r="M615" t="n">
        <v>0</v>
      </c>
      <c r="N615" t="n">
        <v>0</v>
      </c>
      <c r="O615" t="n">
        <v>0</v>
      </c>
      <c r="P615" t="n">
        <v>0</v>
      </c>
      <c r="Q615" t="n">
        <v>0</v>
      </c>
      <c r="R615" s="2" t="inlineStr"/>
    </row>
    <row r="616" ht="15" customHeight="1">
      <c r="A616" t="inlineStr">
        <is>
          <t>A 53224-2025</t>
        </is>
      </c>
      <c r="B616" s="1" t="n">
        <v>45958.60826388889</v>
      </c>
      <c r="C616" s="1" t="n">
        <v>46134</v>
      </c>
      <c r="D616" t="inlineStr">
        <is>
          <t>UPPSALA LÄN</t>
        </is>
      </c>
      <c r="E616" t="inlineStr">
        <is>
          <t>UPPSALA</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53230-2025</t>
        </is>
      </c>
      <c r="B617" s="1" t="n">
        <v>45958.62303240741</v>
      </c>
      <c r="C617" s="1" t="n">
        <v>46134</v>
      </c>
      <c r="D617" t="inlineStr">
        <is>
          <t>UPPSALA LÄN</t>
        </is>
      </c>
      <c r="E617" t="inlineStr">
        <is>
          <t>UPPSALA</t>
        </is>
      </c>
      <c r="F617" t="inlineStr">
        <is>
          <t>Bergvik skog väst AB</t>
        </is>
      </c>
      <c r="G617" t="n">
        <v>2.2</v>
      </c>
      <c r="H617" t="n">
        <v>0</v>
      </c>
      <c r="I617" t="n">
        <v>0</v>
      </c>
      <c r="J617" t="n">
        <v>0</v>
      </c>
      <c r="K617" t="n">
        <v>0</v>
      </c>
      <c r="L617" t="n">
        <v>0</v>
      </c>
      <c r="M617" t="n">
        <v>0</v>
      </c>
      <c r="N617" t="n">
        <v>0</v>
      </c>
      <c r="O617" t="n">
        <v>0</v>
      </c>
      <c r="P617" t="n">
        <v>0</v>
      </c>
      <c r="Q617" t="n">
        <v>0</v>
      </c>
      <c r="R617" s="2" t="inlineStr"/>
    </row>
    <row r="618" ht="15" customHeight="1">
      <c r="A618" t="inlineStr">
        <is>
          <t>A 53242-2025</t>
        </is>
      </c>
      <c r="B618" s="1" t="n">
        <v>45958.64146990741</v>
      </c>
      <c r="C618" s="1" t="n">
        <v>46134</v>
      </c>
      <c r="D618" t="inlineStr">
        <is>
          <t>UPPSALA LÄN</t>
        </is>
      </c>
      <c r="E618" t="inlineStr">
        <is>
          <t>UPPSALA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53244-2025</t>
        </is>
      </c>
      <c r="B619" s="1" t="n">
        <v>45957</v>
      </c>
      <c r="C619" s="1" t="n">
        <v>46134</v>
      </c>
      <c r="D619" t="inlineStr">
        <is>
          <t>UPPSALA LÄN</t>
        </is>
      </c>
      <c r="E619" t="inlineStr">
        <is>
          <t>UPPSALA</t>
        </is>
      </c>
      <c r="G619" t="n">
        <v>2.6</v>
      </c>
      <c r="H619" t="n">
        <v>0</v>
      </c>
      <c r="I619" t="n">
        <v>0</v>
      </c>
      <c r="J619" t="n">
        <v>0</v>
      </c>
      <c r="K619" t="n">
        <v>0</v>
      </c>
      <c r="L619" t="n">
        <v>0</v>
      </c>
      <c r="M619" t="n">
        <v>0</v>
      </c>
      <c r="N619" t="n">
        <v>0</v>
      </c>
      <c r="O619" t="n">
        <v>0</v>
      </c>
      <c r="P619" t="n">
        <v>0</v>
      </c>
      <c r="Q619" t="n">
        <v>0</v>
      </c>
      <c r="R619" s="2" t="inlineStr"/>
    </row>
    <row r="620" ht="15" customHeight="1">
      <c r="A620" t="inlineStr">
        <is>
          <t>A 53234-2025</t>
        </is>
      </c>
      <c r="B620" s="1" t="n">
        <v>45958.62765046296</v>
      </c>
      <c r="C620" s="1" t="n">
        <v>46134</v>
      </c>
      <c r="D620" t="inlineStr">
        <is>
          <t>UPPSALA LÄN</t>
        </is>
      </c>
      <c r="E620" t="inlineStr">
        <is>
          <t>UPPSALA</t>
        </is>
      </c>
      <c r="F620" t="inlineStr">
        <is>
          <t>Bergvik skog väst AB</t>
        </is>
      </c>
      <c r="G620" t="n">
        <v>1.6</v>
      </c>
      <c r="H620" t="n">
        <v>0</v>
      </c>
      <c r="I620" t="n">
        <v>0</v>
      </c>
      <c r="J620" t="n">
        <v>0</v>
      </c>
      <c r="K620" t="n">
        <v>0</v>
      </c>
      <c r="L620" t="n">
        <v>0</v>
      </c>
      <c r="M620" t="n">
        <v>0</v>
      </c>
      <c r="N620" t="n">
        <v>0</v>
      </c>
      <c r="O620" t="n">
        <v>0</v>
      </c>
      <c r="P620" t="n">
        <v>0</v>
      </c>
      <c r="Q620" t="n">
        <v>0</v>
      </c>
      <c r="R620" s="2" t="inlineStr"/>
    </row>
    <row r="621" ht="15" customHeight="1">
      <c r="A621" t="inlineStr">
        <is>
          <t>A 53235-2025</t>
        </is>
      </c>
      <c r="B621" s="1" t="n">
        <v>45958.62983796297</v>
      </c>
      <c r="C621" s="1" t="n">
        <v>46134</v>
      </c>
      <c r="D621" t="inlineStr">
        <is>
          <t>UPPSALA LÄN</t>
        </is>
      </c>
      <c r="E621" t="inlineStr">
        <is>
          <t>UPPSALA</t>
        </is>
      </c>
      <c r="F621" t="inlineStr">
        <is>
          <t>Bergvik skog väst AB</t>
        </is>
      </c>
      <c r="G621" t="n">
        <v>0.8</v>
      </c>
      <c r="H621" t="n">
        <v>0</v>
      </c>
      <c r="I621" t="n">
        <v>0</v>
      </c>
      <c r="J621" t="n">
        <v>0</v>
      </c>
      <c r="K621" t="n">
        <v>0</v>
      </c>
      <c r="L621" t="n">
        <v>0</v>
      </c>
      <c r="M621" t="n">
        <v>0</v>
      </c>
      <c r="N621" t="n">
        <v>0</v>
      </c>
      <c r="O621" t="n">
        <v>0</v>
      </c>
      <c r="P621" t="n">
        <v>0</v>
      </c>
      <c r="Q621" t="n">
        <v>0</v>
      </c>
      <c r="R621" s="2" t="inlineStr"/>
    </row>
    <row r="622" ht="15" customHeight="1">
      <c r="A622" t="inlineStr">
        <is>
          <t>A 52963-2025</t>
        </is>
      </c>
      <c r="B622" s="1" t="n">
        <v>45957.66506944445</v>
      </c>
      <c r="C622" s="1" t="n">
        <v>46134</v>
      </c>
      <c r="D622" t="inlineStr">
        <is>
          <t>UPPSALA LÄN</t>
        </is>
      </c>
      <c r="E622" t="inlineStr">
        <is>
          <t>UPPSALA</t>
        </is>
      </c>
      <c r="G622" t="n">
        <v>1.3</v>
      </c>
      <c r="H622" t="n">
        <v>0</v>
      </c>
      <c r="I622" t="n">
        <v>0</v>
      </c>
      <c r="J622" t="n">
        <v>0</v>
      </c>
      <c r="K622" t="n">
        <v>0</v>
      </c>
      <c r="L622" t="n">
        <v>0</v>
      </c>
      <c r="M622" t="n">
        <v>0</v>
      </c>
      <c r="N622" t="n">
        <v>0</v>
      </c>
      <c r="O622" t="n">
        <v>0</v>
      </c>
      <c r="P622" t="n">
        <v>0</v>
      </c>
      <c r="Q622" t="n">
        <v>0</v>
      </c>
      <c r="R622" s="2" t="inlineStr"/>
    </row>
    <row r="623" ht="15" customHeight="1">
      <c r="A623" t="inlineStr">
        <is>
          <t>A 53228-2025</t>
        </is>
      </c>
      <c r="B623" s="1" t="n">
        <v>45958.61577546296</v>
      </c>
      <c r="C623" s="1" t="n">
        <v>46134</v>
      </c>
      <c r="D623" t="inlineStr">
        <is>
          <t>UPPSALA LÄN</t>
        </is>
      </c>
      <c r="E623" t="inlineStr">
        <is>
          <t>UPPSALA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53238-2025</t>
        </is>
      </c>
      <c r="B624" s="1" t="n">
        <v>45958.63368055555</v>
      </c>
      <c r="C624" s="1" t="n">
        <v>46134</v>
      </c>
      <c r="D624" t="inlineStr">
        <is>
          <t>UPPSALA LÄN</t>
        </is>
      </c>
      <c r="E624" t="inlineStr">
        <is>
          <t>UPPSALA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40100-2022</t>
        </is>
      </c>
      <c r="B625" s="1" t="n">
        <v>44820.47935185185</v>
      </c>
      <c r="C625" s="1" t="n">
        <v>46134</v>
      </c>
      <c r="D625" t="inlineStr">
        <is>
          <t>UPPSALA LÄN</t>
        </is>
      </c>
      <c r="E625" t="inlineStr">
        <is>
          <t>UPPSALA</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13075-2026</t>
        </is>
      </c>
      <c r="B626" s="1" t="n">
        <v>46093.37692129629</v>
      </c>
      <c r="C626" s="1" t="n">
        <v>46134</v>
      </c>
      <c r="D626" t="inlineStr">
        <is>
          <t>UPPSALA LÄN</t>
        </is>
      </c>
      <c r="E626" t="inlineStr">
        <is>
          <t>UPPSALA</t>
        </is>
      </c>
      <c r="G626" t="n">
        <v>2.7</v>
      </c>
      <c r="H626" t="n">
        <v>0</v>
      </c>
      <c r="I626" t="n">
        <v>0</v>
      </c>
      <c r="J626" t="n">
        <v>0</v>
      </c>
      <c r="K626" t="n">
        <v>0</v>
      </c>
      <c r="L626" t="n">
        <v>0</v>
      </c>
      <c r="M626" t="n">
        <v>0</v>
      </c>
      <c r="N626" t="n">
        <v>0</v>
      </c>
      <c r="O626" t="n">
        <v>0</v>
      </c>
      <c r="P626" t="n">
        <v>0</v>
      </c>
      <c r="Q626" t="n">
        <v>0</v>
      </c>
      <c r="R626" s="2" t="inlineStr"/>
    </row>
    <row r="627" ht="15" customHeight="1">
      <c r="A627" t="inlineStr">
        <is>
          <t>A 53582-2025</t>
        </is>
      </c>
      <c r="B627" s="1" t="n">
        <v>45960.43065972222</v>
      </c>
      <c r="C627" s="1" t="n">
        <v>46134</v>
      </c>
      <c r="D627" t="inlineStr">
        <is>
          <t>UPPSALA LÄN</t>
        </is>
      </c>
      <c r="E627" t="inlineStr">
        <is>
          <t>UPPSALA</t>
        </is>
      </c>
      <c r="G627" t="n">
        <v>12.2</v>
      </c>
      <c r="H627" t="n">
        <v>0</v>
      </c>
      <c r="I627" t="n">
        <v>0</v>
      </c>
      <c r="J627" t="n">
        <v>0</v>
      </c>
      <c r="K627" t="n">
        <v>0</v>
      </c>
      <c r="L627" t="n">
        <v>0</v>
      </c>
      <c r="M627" t="n">
        <v>0</v>
      </c>
      <c r="N627" t="n">
        <v>0</v>
      </c>
      <c r="O627" t="n">
        <v>0</v>
      </c>
      <c r="P627" t="n">
        <v>0</v>
      </c>
      <c r="Q627" t="n">
        <v>0</v>
      </c>
      <c r="R627" s="2" t="inlineStr"/>
    </row>
    <row r="628" ht="15" customHeight="1">
      <c r="A628" t="inlineStr">
        <is>
          <t>A 21727-2023</t>
        </is>
      </c>
      <c r="B628" s="1" t="n">
        <v>45065.43013888889</v>
      </c>
      <c r="C628" s="1" t="n">
        <v>46134</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5814-2026</t>
        </is>
      </c>
      <c r="B629" s="1" t="n">
        <v>46051.88001157407</v>
      </c>
      <c r="C629" s="1" t="n">
        <v>46134</v>
      </c>
      <c r="D629" t="inlineStr">
        <is>
          <t>UPPSALA LÄN</t>
        </is>
      </c>
      <c r="E629" t="inlineStr">
        <is>
          <t>UPPSALA</t>
        </is>
      </c>
      <c r="F629" t="inlineStr">
        <is>
          <t>Kommuner</t>
        </is>
      </c>
      <c r="G629" t="n">
        <v>3.4</v>
      </c>
      <c r="H629" t="n">
        <v>0</v>
      </c>
      <c r="I629" t="n">
        <v>0</v>
      </c>
      <c r="J629" t="n">
        <v>0</v>
      </c>
      <c r="K629" t="n">
        <v>0</v>
      </c>
      <c r="L629" t="n">
        <v>0</v>
      </c>
      <c r="M629" t="n">
        <v>0</v>
      </c>
      <c r="N629" t="n">
        <v>0</v>
      </c>
      <c r="O629" t="n">
        <v>0</v>
      </c>
      <c r="P629" t="n">
        <v>0</v>
      </c>
      <c r="Q629" t="n">
        <v>0</v>
      </c>
      <c r="R629" s="2" t="inlineStr"/>
    </row>
    <row r="630" ht="15" customHeight="1">
      <c r="A630" t="inlineStr">
        <is>
          <t>A 13434-2026</t>
        </is>
      </c>
      <c r="B630" s="1" t="n">
        <v>46094.48894675926</v>
      </c>
      <c r="C630" s="1" t="n">
        <v>46134</v>
      </c>
      <c r="D630" t="inlineStr">
        <is>
          <t>UPPSALA LÄN</t>
        </is>
      </c>
      <c r="E630" t="inlineStr">
        <is>
          <t>UPPSALA</t>
        </is>
      </c>
      <c r="G630" t="n">
        <v>0.3</v>
      </c>
      <c r="H630" t="n">
        <v>0</v>
      </c>
      <c r="I630" t="n">
        <v>0</v>
      </c>
      <c r="J630" t="n">
        <v>0</v>
      </c>
      <c r="K630" t="n">
        <v>0</v>
      </c>
      <c r="L630" t="n">
        <v>0</v>
      </c>
      <c r="M630" t="n">
        <v>0</v>
      </c>
      <c r="N630" t="n">
        <v>0</v>
      </c>
      <c r="O630" t="n">
        <v>0</v>
      </c>
      <c r="P630" t="n">
        <v>0</v>
      </c>
      <c r="Q630" t="n">
        <v>0</v>
      </c>
      <c r="R630" s="2" t="inlineStr"/>
    </row>
    <row r="631" ht="15" customHeight="1">
      <c r="A631" t="inlineStr">
        <is>
          <t>A 59116-2024</t>
        </is>
      </c>
      <c r="B631" s="1" t="n">
        <v>45637</v>
      </c>
      <c r="C631" s="1" t="n">
        <v>46134</v>
      </c>
      <c r="D631" t="inlineStr">
        <is>
          <t>UPPSALA LÄN</t>
        </is>
      </c>
      <c r="E631" t="inlineStr">
        <is>
          <t>UPPSALA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69698-2021</t>
        </is>
      </c>
      <c r="B632" s="1" t="n">
        <v>44532</v>
      </c>
      <c r="C632" s="1" t="n">
        <v>46134</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5068-2025</t>
        </is>
      </c>
      <c r="B633" s="1" t="n">
        <v>45691</v>
      </c>
      <c r="C633" s="1" t="n">
        <v>46134</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53324-2025</t>
        </is>
      </c>
      <c r="B634" s="1" t="n">
        <v>45959.36146990741</v>
      </c>
      <c r="C634" s="1" t="n">
        <v>46134</v>
      </c>
      <c r="D634" t="inlineStr">
        <is>
          <t>UPPSALA LÄN</t>
        </is>
      </c>
      <c r="E634" t="inlineStr">
        <is>
          <t>UPPSALA</t>
        </is>
      </c>
      <c r="F634" t="inlineStr">
        <is>
          <t>Bergvik skog öst AB</t>
        </is>
      </c>
      <c r="G634" t="n">
        <v>1.2</v>
      </c>
      <c r="H634" t="n">
        <v>0</v>
      </c>
      <c r="I634" t="n">
        <v>0</v>
      </c>
      <c r="J634" t="n">
        <v>0</v>
      </c>
      <c r="K634" t="n">
        <v>0</v>
      </c>
      <c r="L634" t="n">
        <v>0</v>
      </c>
      <c r="M634" t="n">
        <v>0</v>
      </c>
      <c r="N634" t="n">
        <v>0</v>
      </c>
      <c r="O634" t="n">
        <v>0</v>
      </c>
      <c r="P634" t="n">
        <v>0</v>
      </c>
      <c r="Q634" t="n">
        <v>0</v>
      </c>
      <c r="R634" s="2" t="inlineStr"/>
    </row>
    <row r="635" ht="15" customHeight="1">
      <c r="A635" t="inlineStr">
        <is>
          <t>A 53322-2025</t>
        </is>
      </c>
      <c r="B635" s="1" t="n">
        <v>45959.35965277778</v>
      </c>
      <c r="C635" s="1" t="n">
        <v>46134</v>
      </c>
      <c r="D635" t="inlineStr">
        <is>
          <t>UPPSALA LÄN</t>
        </is>
      </c>
      <c r="E635" t="inlineStr">
        <is>
          <t>UPPSALA</t>
        </is>
      </c>
      <c r="F635" t="inlineStr">
        <is>
          <t>Bergvik skog öst AB</t>
        </is>
      </c>
      <c r="G635" t="n">
        <v>2.4</v>
      </c>
      <c r="H635" t="n">
        <v>0</v>
      </c>
      <c r="I635" t="n">
        <v>0</v>
      </c>
      <c r="J635" t="n">
        <v>0</v>
      </c>
      <c r="K635" t="n">
        <v>0</v>
      </c>
      <c r="L635" t="n">
        <v>0</v>
      </c>
      <c r="M635" t="n">
        <v>0</v>
      </c>
      <c r="N635" t="n">
        <v>0</v>
      </c>
      <c r="O635" t="n">
        <v>0</v>
      </c>
      <c r="P635" t="n">
        <v>0</v>
      </c>
      <c r="Q635" t="n">
        <v>0</v>
      </c>
      <c r="R635" s="2" t="inlineStr"/>
    </row>
    <row r="636" ht="15" customHeight="1">
      <c r="A636" t="inlineStr">
        <is>
          <t>A 53423-2025</t>
        </is>
      </c>
      <c r="B636" s="1" t="n">
        <v>45959.60851851852</v>
      </c>
      <c r="C636" s="1" t="n">
        <v>46134</v>
      </c>
      <c r="D636" t="inlineStr">
        <is>
          <t>UPPSALA LÄN</t>
        </is>
      </c>
      <c r="E636" t="inlineStr">
        <is>
          <t>UPPSALA</t>
        </is>
      </c>
      <c r="F636" t="inlineStr">
        <is>
          <t>Övriga Aktiebolag</t>
        </is>
      </c>
      <c r="G636" t="n">
        <v>23.6</v>
      </c>
      <c r="H636" t="n">
        <v>0</v>
      </c>
      <c r="I636" t="n">
        <v>0</v>
      </c>
      <c r="J636" t="n">
        <v>0</v>
      </c>
      <c r="K636" t="n">
        <v>0</v>
      </c>
      <c r="L636" t="n">
        <v>0</v>
      </c>
      <c r="M636" t="n">
        <v>0</v>
      </c>
      <c r="N636" t="n">
        <v>0</v>
      </c>
      <c r="O636" t="n">
        <v>0</v>
      </c>
      <c r="P636" t="n">
        <v>0</v>
      </c>
      <c r="Q636" t="n">
        <v>0</v>
      </c>
      <c r="R636" s="2" t="inlineStr"/>
    </row>
    <row r="637" ht="15" customHeight="1">
      <c r="A637" t="inlineStr">
        <is>
          <t>A 5687-2026</t>
        </is>
      </c>
      <c r="B637" s="1" t="n">
        <v>46051.48957175926</v>
      </c>
      <c r="C637" s="1" t="n">
        <v>46134</v>
      </c>
      <c r="D637" t="inlineStr">
        <is>
          <t>UPPSALA LÄN</t>
        </is>
      </c>
      <c r="E637" t="inlineStr">
        <is>
          <t>UPPSALA</t>
        </is>
      </c>
      <c r="G637" t="n">
        <v>1.2</v>
      </c>
      <c r="H637" t="n">
        <v>0</v>
      </c>
      <c r="I637" t="n">
        <v>0</v>
      </c>
      <c r="J637" t="n">
        <v>0</v>
      </c>
      <c r="K637" t="n">
        <v>0</v>
      </c>
      <c r="L637" t="n">
        <v>0</v>
      </c>
      <c r="M637" t="n">
        <v>0</v>
      </c>
      <c r="N637" t="n">
        <v>0</v>
      </c>
      <c r="O637" t="n">
        <v>0</v>
      </c>
      <c r="P637" t="n">
        <v>0</v>
      </c>
      <c r="Q637" t="n">
        <v>0</v>
      </c>
      <c r="R637" s="2" t="inlineStr"/>
    </row>
    <row r="638" ht="15" customHeight="1">
      <c r="A638" t="inlineStr">
        <is>
          <t>A 13607-2026</t>
        </is>
      </c>
      <c r="B638" s="1" t="n">
        <v>46097.33173611111</v>
      </c>
      <c r="C638" s="1" t="n">
        <v>46134</v>
      </c>
      <c r="D638" t="inlineStr">
        <is>
          <t>UPPSALA LÄN</t>
        </is>
      </c>
      <c r="E638" t="inlineStr">
        <is>
          <t>UPPSALA</t>
        </is>
      </c>
      <c r="G638" t="n">
        <v>3.3</v>
      </c>
      <c r="H638" t="n">
        <v>0</v>
      </c>
      <c r="I638" t="n">
        <v>0</v>
      </c>
      <c r="J638" t="n">
        <v>0</v>
      </c>
      <c r="K638" t="n">
        <v>0</v>
      </c>
      <c r="L638" t="n">
        <v>0</v>
      </c>
      <c r="M638" t="n">
        <v>0</v>
      </c>
      <c r="N638" t="n">
        <v>0</v>
      </c>
      <c r="O638" t="n">
        <v>0</v>
      </c>
      <c r="P638" t="n">
        <v>0</v>
      </c>
      <c r="Q638" t="n">
        <v>0</v>
      </c>
      <c r="R638" s="2" t="inlineStr"/>
    </row>
    <row r="639" ht="15" customHeight="1">
      <c r="A639" t="inlineStr">
        <is>
          <t>A 5204-2025</t>
        </is>
      </c>
      <c r="B639" s="1" t="n">
        <v>45691</v>
      </c>
      <c r="C639" s="1" t="n">
        <v>46134</v>
      </c>
      <c r="D639" t="inlineStr">
        <is>
          <t>UPPSALA LÄN</t>
        </is>
      </c>
      <c r="E639" t="inlineStr">
        <is>
          <t>UPPSALA</t>
        </is>
      </c>
      <c r="G639" t="n">
        <v>3.7</v>
      </c>
      <c r="H639" t="n">
        <v>0</v>
      </c>
      <c r="I639" t="n">
        <v>0</v>
      </c>
      <c r="J639" t="n">
        <v>0</v>
      </c>
      <c r="K639" t="n">
        <v>0</v>
      </c>
      <c r="L639" t="n">
        <v>0</v>
      </c>
      <c r="M639" t="n">
        <v>0</v>
      </c>
      <c r="N639" t="n">
        <v>0</v>
      </c>
      <c r="O639" t="n">
        <v>0</v>
      </c>
      <c r="P639" t="n">
        <v>0</v>
      </c>
      <c r="Q639" t="n">
        <v>0</v>
      </c>
      <c r="R639" s="2" t="inlineStr"/>
    </row>
    <row r="640" ht="15" customHeight="1">
      <c r="A640" t="inlineStr">
        <is>
          <t>A 9993-2025</t>
        </is>
      </c>
      <c r="B640" s="1" t="n">
        <v>45719.43755787037</v>
      </c>
      <c r="C640" s="1" t="n">
        <v>46134</v>
      </c>
      <c r="D640" t="inlineStr">
        <is>
          <t>UPPSALA LÄN</t>
        </is>
      </c>
      <c r="E640" t="inlineStr">
        <is>
          <t>UPPSALA</t>
        </is>
      </c>
      <c r="F640" t="inlineStr">
        <is>
          <t>Kyrkan</t>
        </is>
      </c>
      <c r="G640" t="n">
        <v>6.1</v>
      </c>
      <c r="H640" t="n">
        <v>0</v>
      </c>
      <c r="I640" t="n">
        <v>0</v>
      </c>
      <c r="J640" t="n">
        <v>0</v>
      </c>
      <c r="K640" t="n">
        <v>0</v>
      </c>
      <c r="L640" t="n">
        <v>0</v>
      </c>
      <c r="M640" t="n">
        <v>0</v>
      </c>
      <c r="N640" t="n">
        <v>0</v>
      </c>
      <c r="O640" t="n">
        <v>0</v>
      </c>
      <c r="P640" t="n">
        <v>0</v>
      </c>
      <c r="Q640" t="n">
        <v>0</v>
      </c>
      <c r="R640" s="2" t="inlineStr"/>
    </row>
    <row r="641" ht="15" customHeight="1">
      <c r="A641" t="inlineStr">
        <is>
          <t>A 13934-2026</t>
        </is>
      </c>
      <c r="B641" s="1" t="n">
        <v>46098.51678240741</v>
      </c>
      <c r="C641" s="1" t="n">
        <v>46134</v>
      </c>
      <c r="D641" t="inlineStr">
        <is>
          <t>UPPSALA LÄN</t>
        </is>
      </c>
      <c r="E641" t="inlineStr">
        <is>
          <t>UPPSALA</t>
        </is>
      </c>
      <c r="G641" t="n">
        <v>1</v>
      </c>
      <c r="H641" t="n">
        <v>0</v>
      </c>
      <c r="I641" t="n">
        <v>0</v>
      </c>
      <c r="J641" t="n">
        <v>0</v>
      </c>
      <c r="K641" t="n">
        <v>0</v>
      </c>
      <c r="L641" t="n">
        <v>0</v>
      </c>
      <c r="M641" t="n">
        <v>0</v>
      </c>
      <c r="N641" t="n">
        <v>0</v>
      </c>
      <c r="O641" t="n">
        <v>0</v>
      </c>
      <c r="P641" t="n">
        <v>0</v>
      </c>
      <c r="Q641" t="n">
        <v>0</v>
      </c>
      <c r="R641" s="2" t="inlineStr"/>
    </row>
    <row r="642" ht="15" customHeight="1">
      <c r="A642" t="inlineStr">
        <is>
          <t>A 20102-2023</t>
        </is>
      </c>
      <c r="B642" s="1" t="n">
        <v>45054.95675925926</v>
      </c>
      <c r="C642" s="1" t="n">
        <v>46134</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53891-2025</t>
        </is>
      </c>
      <c r="B643" s="1" t="n">
        <v>45961.41853009259</v>
      </c>
      <c r="C643" s="1" t="n">
        <v>46134</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53886-2025</t>
        </is>
      </c>
      <c r="B644" s="1" t="n">
        <v>45961.40716435185</v>
      </c>
      <c r="C644" s="1" t="n">
        <v>46134</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54601-2025</t>
        </is>
      </c>
      <c r="B645" s="1" t="n">
        <v>45965.82398148148</v>
      </c>
      <c r="C645" s="1" t="n">
        <v>46134</v>
      </c>
      <c r="D645" t="inlineStr">
        <is>
          <t>UPPSALA LÄN</t>
        </is>
      </c>
      <c r="E645" t="inlineStr">
        <is>
          <t>UPPSALA</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6360-2026</t>
        </is>
      </c>
      <c r="B646" s="1" t="n">
        <v>46055.61907407407</v>
      </c>
      <c r="C646" s="1" t="n">
        <v>46134</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19017-2023</t>
        </is>
      </c>
      <c r="B647" s="1" t="n">
        <v>45047.31793981481</v>
      </c>
      <c r="C647" s="1" t="n">
        <v>46134</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54723-2025</t>
        </is>
      </c>
      <c r="B648" s="1" t="n">
        <v>45966.53721064814</v>
      </c>
      <c r="C648" s="1" t="n">
        <v>46134</v>
      </c>
      <c r="D648" t="inlineStr">
        <is>
          <t>UPPSALA LÄN</t>
        </is>
      </c>
      <c r="E648" t="inlineStr">
        <is>
          <t>UPPSALA</t>
        </is>
      </c>
      <c r="F648" t="inlineStr">
        <is>
          <t>Bergvik skog öst AB</t>
        </is>
      </c>
      <c r="G648" t="n">
        <v>4.7</v>
      </c>
      <c r="H648" t="n">
        <v>0</v>
      </c>
      <c r="I648" t="n">
        <v>0</v>
      </c>
      <c r="J648" t="n">
        <v>0</v>
      </c>
      <c r="K648" t="n">
        <v>0</v>
      </c>
      <c r="L648" t="n">
        <v>0</v>
      </c>
      <c r="M648" t="n">
        <v>0</v>
      </c>
      <c r="N648" t="n">
        <v>0</v>
      </c>
      <c r="O648" t="n">
        <v>0</v>
      </c>
      <c r="P648" t="n">
        <v>0</v>
      </c>
      <c r="Q648" t="n">
        <v>0</v>
      </c>
      <c r="R648" s="2" t="inlineStr"/>
    </row>
    <row r="649" ht="15" customHeight="1">
      <c r="A649" t="inlineStr">
        <is>
          <t>A 55862-2022</t>
        </is>
      </c>
      <c r="B649" s="1" t="n">
        <v>44888</v>
      </c>
      <c r="C649" s="1" t="n">
        <v>46134</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54284-2025</t>
        </is>
      </c>
      <c r="B650" s="1" t="n">
        <v>45964.76486111111</v>
      </c>
      <c r="C650" s="1" t="n">
        <v>46134</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54724-2025</t>
        </is>
      </c>
      <c r="B651" s="1" t="n">
        <v>45966.53849537037</v>
      </c>
      <c r="C651" s="1" t="n">
        <v>46134</v>
      </c>
      <c r="D651" t="inlineStr">
        <is>
          <t>UPPSALA LÄN</t>
        </is>
      </c>
      <c r="E651" t="inlineStr">
        <is>
          <t>UPPSALA</t>
        </is>
      </c>
      <c r="F651" t="inlineStr">
        <is>
          <t>Bergvik skog öst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33191-2023</t>
        </is>
      </c>
      <c r="B652" s="1" t="n">
        <v>45127</v>
      </c>
      <c r="C652" s="1" t="n">
        <v>46134</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34265-2021</t>
        </is>
      </c>
      <c r="B653" s="1" t="n">
        <v>44379.5745949074</v>
      </c>
      <c r="C653" s="1" t="n">
        <v>46134</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54507-2025</t>
        </is>
      </c>
      <c r="B654" s="1" t="n">
        <v>45965.61792824074</v>
      </c>
      <c r="C654" s="1" t="n">
        <v>46134</v>
      </c>
      <c r="D654" t="inlineStr">
        <is>
          <t>UPPSALA LÄN</t>
        </is>
      </c>
      <c r="E654" t="inlineStr">
        <is>
          <t>UPPSALA</t>
        </is>
      </c>
      <c r="G654" t="n">
        <v>7.7</v>
      </c>
      <c r="H654" t="n">
        <v>0</v>
      </c>
      <c r="I654" t="n">
        <v>0</v>
      </c>
      <c r="J654" t="n">
        <v>0</v>
      </c>
      <c r="K654" t="n">
        <v>0</v>
      </c>
      <c r="L654" t="n">
        <v>0</v>
      </c>
      <c r="M654" t="n">
        <v>0</v>
      </c>
      <c r="N654" t="n">
        <v>0</v>
      </c>
      <c r="O654" t="n">
        <v>0</v>
      </c>
      <c r="P654" t="n">
        <v>0</v>
      </c>
      <c r="Q654" t="n">
        <v>0</v>
      </c>
      <c r="R654" s="2" t="inlineStr"/>
    </row>
    <row r="655" ht="15" customHeight="1">
      <c r="A655" t="inlineStr">
        <is>
          <t>A 54393-2025</t>
        </is>
      </c>
      <c r="B655" s="1" t="n">
        <v>45965</v>
      </c>
      <c r="C655" s="1" t="n">
        <v>46134</v>
      </c>
      <c r="D655" t="inlineStr">
        <is>
          <t>UPPSALA LÄN</t>
        </is>
      </c>
      <c r="E655" t="inlineStr">
        <is>
          <t>UPPSALA</t>
        </is>
      </c>
      <c r="F655" t="inlineStr">
        <is>
          <t>Kyrkan</t>
        </is>
      </c>
      <c r="G655" t="n">
        <v>1</v>
      </c>
      <c r="H655" t="n">
        <v>0</v>
      </c>
      <c r="I655" t="n">
        <v>0</v>
      </c>
      <c r="J655" t="n">
        <v>0</v>
      </c>
      <c r="K655" t="n">
        <v>0</v>
      </c>
      <c r="L655" t="n">
        <v>0</v>
      </c>
      <c r="M655" t="n">
        <v>0</v>
      </c>
      <c r="N655" t="n">
        <v>0</v>
      </c>
      <c r="O655" t="n">
        <v>0</v>
      </c>
      <c r="P655" t="n">
        <v>0</v>
      </c>
      <c r="Q655" t="n">
        <v>0</v>
      </c>
      <c r="R655" s="2" t="inlineStr"/>
    </row>
    <row r="656" ht="15" customHeight="1">
      <c r="A656" t="inlineStr">
        <is>
          <t>A 54600-2025</t>
        </is>
      </c>
      <c r="B656" s="1" t="n">
        <v>45965.81543981482</v>
      </c>
      <c r="C656" s="1" t="n">
        <v>46134</v>
      </c>
      <c r="D656" t="inlineStr">
        <is>
          <t>UPPSALA LÄN</t>
        </is>
      </c>
      <c r="E656" t="inlineStr">
        <is>
          <t>UPPSALA</t>
        </is>
      </c>
      <c r="F656" t="inlineStr">
        <is>
          <t>Bergvik skog öst AB</t>
        </is>
      </c>
      <c r="G656" t="n">
        <v>4.7</v>
      </c>
      <c r="H656" t="n">
        <v>0</v>
      </c>
      <c r="I656" t="n">
        <v>0</v>
      </c>
      <c r="J656" t="n">
        <v>0</v>
      </c>
      <c r="K656" t="n">
        <v>0</v>
      </c>
      <c r="L656" t="n">
        <v>0</v>
      </c>
      <c r="M656" t="n">
        <v>0</v>
      </c>
      <c r="N656" t="n">
        <v>0</v>
      </c>
      <c r="O656" t="n">
        <v>0</v>
      </c>
      <c r="P656" t="n">
        <v>0</v>
      </c>
      <c r="Q656" t="n">
        <v>0</v>
      </c>
      <c r="R656" s="2" t="inlineStr"/>
    </row>
    <row r="657" ht="15" customHeight="1">
      <c r="A657" t="inlineStr">
        <is>
          <t>A 19139-2023</t>
        </is>
      </c>
      <c r="B657" s="1" t="n">
        <v>45048.55349537037</v>
      </c>
      <c r="C657" s="1" t="n">
        <v>46134</v>
      </c>
      <c r="D657" t="inlineStr">
        <is>
          <t>UPPSALA LÄN</t>
        </is>
      </c>
      <c r="E657" t="inlineStr">
        <is>
          <t>UPPSALA</t>
        </is>
      </c>
      <c r="G657" t="n">
        <v>3</v>
      </c>
      <c r="H657" t="n">
        <v>0</v>
      </c>
      <c r="I657" t="n">
        <v>0</v>
      </c>
      <c r="J657" t="n">
        <v>0</v>
      </c>
      <c r="K657" t="n">
        <v>0</v>
      </c>
      <c r="L657" t="n">
        <v>0</v>
      </c>
      <c r="M657" t="n">
        <v>0</v>
      </c>
      <c r="N657" t="n">
        <v>0</v>
      </c>
      <c r="O657" t="n">
        <v>0</v>
      </c>
      <c r="P657" t="n">
        <v>0</v>
      </c>
      <c r="Q657" t="n">
        <v>0</v>
      </c>
      <c r="R657" s="2" t="inlineStr"/>
    </row>
    <row r="658" ht="15" customHeight="1">
      <c r="A658" t="inlineStr">
        <is>
          <t>A 6187-2026</t>
        </is>
      </c>
      <c r="B658" s="1" t="n">
        <v>46055.36872685186</v>
      </c>
      <c r="C658" s="1" t="n">
        <v>46134</v>
      </c>
      <c r="D658" t="inlineStr">
        <is>
          <t>UPPSALA LÄN</t>
        </is>
      </c>
      <c r="E658" t="inlineStr">
        <is>
          <t>UPPSALA</t>
        </is>
      </c>
      <c r="F658" t="inlineStr">
        <is>
          <t>Allmännings- och besparingsskogar</t>
        </is>
      </c>
      <c r="G658" t="n">
        <v>10.6</v>
      </c>
      <c r="H658" t="n">
        <v>0</v>
      </c>
      <c r="I658" t="n">
        <v>0</v>
      </c>
      <c r="J658" t="n">
        <v>0</v>
      </c>
      <c r="K658" t="n">
        <v>0</v>
      </c>
      <c r="L658" t="n">
        <v>0</v>
      </c>
      <c r="M658" t="n">
        <v>0</v>
      </c>
      <c r="N658" t="n">
        <v>0</v>
      </c>
      <c r="O658" t="n">
        <v>0</v>
      </c>
      <c r="P658" t="n">
        <v>0</v>
      </c>
      <c r="Q658" t="n">
        <v>0</v>
      </c>
      <c r="R658" s="2" t="inlineStr"/>
    </row>
    <row r="659" ht="15" customHeight="1">
      <c r="A659" t="inlineStr">
        <is>
          <t>A 55357-2025</t>
        </is>
      </c>
      <c r="B659" s="1" t="n">
        <v>45971.37480324074</v>
      </c>
      <c r="C659" s="1" t="n">
        <v>46134</v>
      </c>
      <c r="D659" t="inlineStr">
        <is>
          <t>UPPSALA LÄN</t>
        </is>
      </c>
      <c r="E659" t="inlineStr">
        <is>
          <t>UPPSALA</t>
        </is>
      </c>
      <c r="G659" t="n">
        <v>6</v>
      </c>
      <c r="H659" t="n">
        <v>0</v>
      </c>
      <c r="I659" t="n">
        <v>0</v>
      </c>
      <c r="J659" t="n">
        <v>0</v>
      </c>
      <c r="K659" t="n">
        <v>0</v>
      </c>
      <c r="L659" t="n">
        <v>0</v>
      </c>
      <c r="M659" t="n">
        <v>0</v>
      </c>
      <c r="N659" t="n">
        <v>0</v>
      </c>
      <c r="O659" t="n">
        <v>0</v>
      </c>
      <c r="P659" t="n">
        <v>0</v>
      </c>
      <c r="Q659" t="n">
        <v>0</v>
      </c>
      <c r="R659" s="2" t="inlineStr"/>
    </row>
    <row r="660" ht="15" customHeight="1">
      <c r="A660" t="inlineStr">
        <is>
          <t>A 46807-2022</t>
        </is>
      </c>
      <c r="B660" s="1" t="n">
        <v>44848</v>
      </c>
      <c r="C660" s="1" t="n">
        <v>46134</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33272-2025</t>
        </is>
      </c>
      <c r="B661" s="1" t="n">
        <v>45840.68518518518</v>
      </c>
      <c r="C661" s="1" t="n">
        <v>46134</v>
      </c>
      <c r="D661" t="inlineStr">
        <is>
          <t>UPPSALA LÄN</t>
        </is>
      </c>
      <c r="E661" t="inlineStr">
        <is>
          <t>UPPSALA</t>
        </is>
      </c>
      <c r="G661" t="n">
        <v>4.7</v>
      </c>
      <c r="H661" t="n">
        <v>0</v>
      </c>
      <c r="I661" t="n">
        <v>0</v>
      </c>
      <c r="J661" t="n">
        <v>0</v>
      </c>
      <c r="K661" t="n">
        <v>0</v>
      </c>
      <c r="L661" t="n">
        <v>0</v>
      </c>
      <c r="M661" t="n">
        <v>0</v>
      </c>
      <c r="N661" t="n">
        <v>0</v>
      </c>
      <c r="O661" t="n">
        <v>0</v>
      </c>
      <c r="P661" t="n">
        <v>0</v>
      </c>
      <c r="Q661" t="n">
        <v>0</v>
      </c>
      <c r="R661" s="2" t="inlineStr"/>
    </row>
    <row r="662" ht="15" customHeight="1">
      <c r="A662" t="inlineStr">
        <is>
          <t>A 60814-2023</t>
        </is>
      </c>
      <c r="B662" s="1" t="n">
        <v>45259</v>
      </c>
      <c r="C662" s="1" t="n">
        <v>46134</v>
      </c>
      <c r="D662" t="inlineStr">
        <is>
          <t>UPPSALA LÄN</t>
        </is>
      </c>
      <c r="E662" t="inlineStr">
        <is>
          <t>UPPSALA</t>
        </is>
      </c>
      <c r="G662" t="n">
        <v>5.9</v>
      </c>
      <c r="H662" t="n">
        <v>0</v>
      </c>
      <c r="I662" t="n">
        <v>0</v>
      </c>
      <c r="J662" t="n">
        <v>0</v>
      </c>
      <c r="K662" t="n">
        <v>0</v>
      </c>
      <c r="L662" t="n">
        <v>0</v>
      </c>
      <c r="M662" t="n">
        <v>0</v>
      </c>
      <c r="N662" t="n">
        <v>0</v>
      </c>
      <c r="O662" t="n">
        <v>0</v>
      </c>
      <c r="P662" t="n">
        <v>0</v>
      </c>
      <c r="Q662" t="n">
        <v>0</v>
      </c>
      <c r="R662" s="2" t="inlineStr"/>
    </row>
    <row r="663" ht="15" customHeight="1">
      <c r="A663" t="inlineStr">
        <is>
          <t>A 55594-2025</t>
        </is>
      </c>
      <c r="B663" s="1" t="n">
        <v>45971.70613425926</v>
      </c>
      <c r="C663" s="1" t="n">
        <v>46134</v>
      </c>
      <c r="D663" t="inlineStr">
        <is>
          <t>UPPSALA LÄN</t>
        </is>
      </c>
      <c r="E663" t="inlineStr">
        <is>
          <t>UPPSALA</t>
        </is>
      </c>
      <c r="F663" t="inlineStr">
        <is>
          <t>Allmännings- och besparingsskogar</t>
        </is>
      </c>
      <c r="G663" t="n">
        <v>3.2</v>
      </c>
      <c r="H663" t="n">
        <v>0</v>
      </c>
      <c r="I663" t="n">
        <v>0</v>
      </c>
      <c r="J663" t="n">
        <v>0</v>
      </c>
      <c r="K663" t="n">
        <v>0</v>
      </c>
      <c r="L663" t="n">
        <v>0</v>
      </c>
      <c r="M663" t="n">
        <v>0</v>
      </c>
      <c r="N663" t="n">
        <v>0</v>
      </c>
      <c r="O663" t="n">
        <v>0</v>
      </c>
      <c r="P663" t="n">
        <v>0</v>
      </c>
      <c r="Q663" t="n">
        <v>0</v>
      </c>
      <c r="R663" s="2" t="inlineStr"/>
    </row>
    <row r="664" ht="15" customHeight="1">
      <c r="A664" t="inlineStr">
        <is>
          <t>A 48757-2025</t>
        </is>
      </c>
      <c r="B664" s="1" t="n">
        <v>45936.73660879629</v>
      </c>
      <c r="C664" s="1" t="n">
        <v>46134</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55732-2025</t>
        </is>
      </c>
      <c r="B665" s="1" t="n">
        <v>45972</v>
      </c>
      <c r="C665" s="1" t="n">
        <v>46134</v>
      </c>
      <c r="D665" t="inlineStr">
        <is>
          <t>UPPSALA LÄN</t>
        </is>
      </c>
      <c r="E665" t="inlineStr">
        <is>
          <t>UPPSALA</t>
        </is>
      </c>
      <c r="G665" t="n">
        <v>10.9</v>
      </c>
      <c r="H665" t="n">
        <v>0</v>
      </c>
      <c r="I665" t="n">
        <v>0</v>
      </c>
      <c r="J665" t="n">
        <v>0</v>
      </c>
      <c r="K665" t="n">
        <v>0</v>
      </c>
      <c r="L665" t="n">
        <v>0</v>
      </c>
      <c r="M665" t="n">
        <v>0</v>
      </c>
      <c r="N665" t="n">
        <v>0</v>
      </c>
      <c r="O665" t="n">
        <v>0</v>
      </c>
      <c r="P665" t="n">
        <v>0</v>
      </c>
      <c r="Q665" t="n">
        <v>0</v>
      </c>
      <c r="R665" s="2" t="inlineStr"/>
    </row>
    <row r="666" ht="15" customHeight="1">
      <c r="A666" t="inlineStr">
        <is>
          <t>A 51935-2023</t>
        </is>
      </c>
      <c r="B666" s="1" t="n">
        <v>45223</v>
      </c>
      <c r="C666" s="1" t="n">
        <v>46134</v>
      </c>
      <c r="D666" t="inlineStr">
        <is>
          <t>UPPSALA LÄN</t>
        </is>
      </c>
      <c r="E666" t="inlineStr">
        <is>
          <t>UPPSALA</t>
        </is>
      </c>
      <c r="G666" t="n">
        <v>4.8</v>
      </c>
      <c r="H666" t="n">
        <v>0</v>
      </c>
      <c r="I666" t="n">
        <v>0</v>
      </c>
      <c r="J666" t="n">
        <v>0</v>
      </c>
      <c r="K666" t="n">
        <v>0</v>
      </c>
      <c r="L666" t="n">
        <v>0</v>
      </c>
      <c r="M666" t="n">
        <v>0</v>
      </c>
      <c r="N666" t="n">
        <v>0</v>
      </c>
      <c r="O666" t="n">
        <v>0</v>
      </c>
      <c r="P666" t="n">
        <v>0</v>
      </c>
      <c r="Q666" t="n">
        <v>0</v>
      </c>
      <c r="R666" s="2" t="inlineStr"/>
    </row>
    <row r="667" ht="15" customHeight="1">
      <c r="A667" t="inlineStr">
        <is>
          <t>A 40507-2021</t>
        </is>
      </c>
      <c r="B667" s="1" t="n">
        <v>44420</v>
      </c>
      <c r="C667" s="1" t="n">
        <v>46134</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11744-2023</t>
        </is>
      </c>
      <c r="B668" s="1" t="n">
        <v>44993</v>
      </c>
      <c r="C668" s="1" t="n">
        <v>46134</v>
      </c>
      <c r="D668" t="inlineStr">
        <is>
          <t>UPPSALA LÄN</t>
        </is>
      </c>
      <c r="E668" t="inlineStr">
        <is>
          <t>UPPSALA</t>
        </is>
      </c>
      <c r="G668" t="n">
        <v>1.4</v>
      </c>
      <c r="H668" t="n">
        <v>0</v>
      </c>
      <c r="I668" t="n">
        <v>0</v>
      </c>
      <c r="J668" t="n">
        <v>0</v>
      </c>
      <c r="K668" t="n">
        <v>0</v>
      </c>
      <c r="L668" t="n">
        <v>0</v>
      </c>
      <c r="M668" t="n">
        <v>0</v>
      </c>
      <c r="N668" t="n">
        <v>0</v>
      </c>
      <c r="O668" t="n">
        <v>0</v>
      </c>
      <c r="P668" t="n">
        <v>0</v>
      </c>
      <c r="Q668" t="n">
        <v>0</v>
      </c>
      <c r="R668" s="2" t="inlineStr"/>
    </row>
    <row r="669" ht="15" customHeight="1">
      <c r="A669" t="inlineStr">
        <is>
          <t>A 9235-2025</t>
        </is>
      </c>
      <c r="B669" s="1" t="n">
        <v>45714.55368055555</v>
      </c>
      <c r="C669" s="1" t="n">
        <v>46134</v>
      </c>
      <c r="D669" t="inlineStr">
        <is>
          <t>UPPSALA LÄN</t>
        </is>
      </c>
      <c r="E669" t="inlineStr">
        <is>
          <t>UPPSALA</t>
        </is>
      </c>
      <c r="G669" t="n">
        <v>1.3</v>
      </c>
      <c r="H669" t="n">
        <v>0</v>
      </c>
      <c r="I669" t="n">
        <v>0</v>
      </c>
      <c r="J669" t="n">
        <v>0</v>
      </c>
      <c r="K669" t="n">
        <v>0</v>
      </c>
      <c r="L669" t="n">
        <v>0</v>
      </c>
      <c r="M669" t="n">
        <v>0</v>
      </c>
      <c r="N669" t="n">
        <v>0</v>
      </c>
      <c r="O669" t="n">
        <v>0</v>
      </c>
      <c r="P669" t="n">
        <v>0</v>
      </c>
      <c r="Q669" t="n">
        <v>0</v>
      </c>
      <c r="R669" s="2" t="inlineStr"/>
    </row>
    <row r="670" ht="15" customHeight="1">
      <c r="A670" t="inlineStr">
        <is>
          <t>A 56577-2025</t>
        </is>
      </c>
      <c r="B670" s="1" t="n">
        <v>45975.5341550926</v>
      </c>
      <c r="C670" s="1" t="n">
        <v>46134</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56620-2025</t>
        </is>
      </c>
      <c r="B671" s="1" t="n">
        <v>45975.59520833333</v>
      </c>
      <c r="C671" s="1" t="n">
        <v>46134</v>
      </c>
      <c r="D671" t="inlineStr">
        <is>
          <t>UPPSALA LÄN</t>
        </is>
      </c>
      <c r="E671" t="inlineStr">
        <is>
          <t>UPPSALA</t>
        </is>
      </c>
      <c r="G671" t="n">
        <v>3.6</v>
      </c>
      <c r="H671" t="n">
        <v>0</v>
      </c>
      <c r="I671" t="n">
        <v>0</v>
      </c>
      <c r="J671" t="n">
        <v>0</v>
      </c>
      <c r="K671" t="n">
        <v>0</v>
      </c>
      <c r="L671" t="n">
        <v>0</v>
      </c>
      <c r="M671" t="n">
        <v>0</v>
      </c>
      <c r="N671" t="n">
        <v>0</v>
      </c>
      <c r="O671" t="n">
        <v>0</v>
      </c>
      <c r="P671" t="n">
        <v>0</v>
      </c>
      <c r="Q671" t="n">
        <v>0</v>
      </c>
      <c r="R671" s="2" t="inlineStr"/>
    </row>
    <row r="672" ht="15" customHeight="1">
      <c r="A672" t="inlineStr">
        <is>
          <t>A 18626-2025</t>
        </is>
      </c>
      <c r="B672" s="1" t="n">
        <v>45763.52995370371</v>
      </c>
      <c r="C672" s="1" t="n">
        <v>46134</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69432-2021</t>
        </is>
      </c>
      <c r="B673" s="1" t="n">
        <v>44531</v>
      </c>
      <c r="C673" s="1" t="n">
        <v>46134</v>
      </c>
      <c r="D673" t="inlineStr">
        <is>
          <t>UPPSALA LÄN</t>
        </is>
      </c>
      <c r="E673" t="inlineStr">
        <is>
          <t>UPPSALA</t>
        </is>
      </c>
      <c r="G673" t="n">
        <v>1.7</v>
      </c>
      <c r="H673" t="n">
        <v>0</v>
      </c>
      <c r="I673" t="n">
        <v>0</v>
      </c>
      <c r="J673" t="n">
        <v>0</v>
      </c>
      <c r="K673" t="n">
        <v>0</v>
      </c>
      <c r="L673" t="n">
        <v>0</v>
      </c>
      <c r="M673" t="n">
        <v>0</v>
      </c>
      <c r="N673" t="n">
        <v>0</v>
      </c>
      <c r="O673" t="n">
        <v>0</v>
      </c>
      <c r="P673" t="n">
        <v>0</v>
      </c>
      <c r="Q673" t="n">
        <v>0</v>
      </c>
      <c r="R673" s="2" t="inlineStr"/>
    </row>
    <row r="674" ht="15" customHeight="1">
      <c r="A674" t="inlineStr">
        <is>
          <t>A 56656-2025</t>
        </is>
      </c>
      <c r="B674" s="1" t="n">
        <v>45975.65054398148</v>
      </c>
      <c r="C674" s="1" t="n">
        <v>46134</v>
      </c>
      <c r="D674" t="inlineStr">
        <is>
          <t>UPPSALA LÄN</t>
        </is>
      </c>
      <c r="E674" t="inlineStr">
        <is>
          <t>UPPSALA</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56493-2025</t>
        </is>
      </c>
      <c r="B675" s="1" t="n">
        <v>45975.424375</v>
      </c>
      <c r="C675" s="1" t="n">
        <v>46134</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56466-2025</t>
        </is>
      </c>
      <c r="B676" s="1" t="n">
        <v>45975.37621527778</v>
      </c>
      <c r="C676" s="1" t="n">
        <v>46134</v>
      </c>
      <c r="D676" t="inlineStr">
        <is>
          <t>UPPSALA LÄN</t>
        </is>
      </c>
      <c r="E676" t="inlineStr">
        <is>
          <t>UPPSALA</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69691-2021</t>
        </is>
      </c>
      <c r="B677" s="1" t="n">
        <v>44532</v>
      </c>
      <c r="C677" s="1" t="n">
        <v>46134</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7002-2026</t>
        </is>
      </c>
      <c r="B678" s="1" t="n">
        <v>46057.6280787037</v>
      </c>
      <c r="C678" s="1" t="n">
        <v>46134</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57410-2025</t>
        </is>
      </c>
      <c r="B679" s="1" t="n">
        <v>45980.4484837963</v>
      </c>
      <c r="C679" s="1" t="n">
        <v>46134</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6991-2026</t>
        </is>
      </c>
      <c r="B680" s="1" t="n">
        <v>46057.60431712963</v>
      </c>
      <c r="C680" s="1" t="n">
        <v>46134</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57709-2025</t>
        </is>
      </c>
      <c r="B681" s="1" t="n">
        <v>45981</v>
      </c>
      <c r="C681" s="1" t="n">
        <v>46134</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58104-2025</t>
        </is>
      </c>
      <c r="B682" s="1" t="n">
        <v>45982</v>
      </c>
      <c r="C682" s="1" t="n">
        <v>46134</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57796-2025</t>
        </is>
      </c>
      <c r="B683" s="1" t="n">
        <v>45981.58204861111</v>
      </c>
      <c r="C683" s="1" t="n">
        <v>46134</v>
      </c>
      <c r="D683" t="inlineStr">
        <is>
          <t>UPPSALA LÄN</t>
        </is>
      </c>
      <c r="E683" t="inlineStr">
        <is>
          <t>UPPSALA</t>
        </is>
      </c>
      <c r="G683" t="n">
        <v>2.6</v>
      </c>
      <c r="H683" t="n">
        <v>0</v>
      </c>
      <c r="I683" t="n">
        <v>0</v>
      </c>
      <c r="J683" t="n">
        <v>0</v>
      </c>
      <c r="K683" t="n">
        <v>0</v>
      </c>
      <c r="L683" t="n">
        <v>0</v>
      </c>
      <c r="M683" t="n">
        <v>0</v>
      </c>
      <c r="N683" t="n">
        <v>0</v>
      </c>
      <c r="O683" t="n">
        <v>0</v>
      </c>
      <c r="P683" t="n">
        <v>0</v>
      </c>
      <c r="Q683" t="n">
        <v>0</v>
      </c>
      <c r="R683" s="2" t="inlineStr"/>
    </row>
    <row r="684" ht="15" customHeight="1">
      <c r="A684" t="inlineStr">
        <is>
          <t>A 57736-2025</t>
        </is>
      </c>
      <c r="B684" s="1" t="n">
        <v>45981</v>
      </c>
      <c r="C684" s="1" t="n">
        <v>46134</v>
      </c>
      <c r="D684" t="inlineStr">
        <is>
          <t>UPPSALA LÄN</t>
        </is>
      </c>
      <c r="E684" t="inlineStr">
        <is>
          <t>UPPSALA</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17587-2025</t>
        </is>
      </c>
      <c r="B685" s="1" t="n">
        <v>45757.67611111111</v>
      </c>
      <c r="C685" s="1" t="n">
        <v>46134</v>
      </c>
      <c r="D685" t="inlineStr">
        <is>
          <t>UPPSALA LÄN</t>
        </is>
      </c>
      <c r="E685" t="inlineStr">
        <is>
          <t>UPPSALA</t>
        </is>
      </c>
      <c r="G685" t="n">
        <v>2.4</v>
      </c>
      <c r="H685" t="n">
        <v>0</v>
      </c>
      <c r="I685" t="n">
        <v>0</v>
      </c>
      <c r="J685" t="n">
        <v>0</v>
      </c>
      <c r="K685" t="n">
        <v>0</v>
      </c>
      <c r="L685" t="n">
        <v>0</v>
      </c>
      <c r="M685" t="n">
        <v>0</v>
      </c>
      <c r="N685" t="n">
        <v>0</v>
      </c>
      <c r="O685" t="n">
        <v>0</v>
      </c>
      <c r="P685" t="n">
        <v>0</v>
      </c>
      <c r="Q685" t="n">
        <v>0</v>
      </c>
      <c r="R685" s="2" t="inlineStr"/>
    </row>
    <row r="686" ht="15" customHeight="1">
      <c r="A686" t="inlineStr">
        <is>
          <t>A 57827-2025</t>
        </is>
      </c>
      <c r="B686" s="1" t="n">
        <v>45981.60923611111</v>
      </c>
      <c r="C686" s="1" t="n">
        <v>46134</v>
      </c>
      <c r="D686" t="inlineStr">
        <is>
          <t>UPPSALA LÄN</t>
        </is>
      </c>
      <c r="E686" t="inlineStr">
        <is>
          <t>UPPSALA</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24012-2023</t>
        </is>
      </c>
      <c r="B687" s="1" t="n">
        <v>45078</v>
      </c>
      <c r="C687" s="1" t="n">
        <v>46134</v>
      </c>
      <c r="D687" t="inlineStr">
        <is>
          <t>UPPSALA LÄN</t>
        </is>
      </c>
      <c r="E687" t="inlineStr">
        <is>
          <t>UPPSALA</t>
        </is>
      </c>
      <c r="F687" t="inlineStr">
        <is>
          <t>Kyrkan</t>
        </is>
      </c>
      <c r="G687" t="n">
        <v>1.6</v>
      </c>
      <c r="H687" t="n">
        <v>0</v>
      </c>
      <c r="I687" t="n">
        <v>0</v>
      </c>
      <c r="J687" t="n">
        <v>0</v>
      </c>
      <c r="K687" t="n">
        <v>0</v>
      </c>
      <c r="L687" t="n">
        <v>0</v>
      </c>
      <c r="M687" t="n">
        <v>0</v>
      </c>
      <c r="N687" t="n">
        <v>0</v>
      </c>
      <c r="O687" t="n">
        <v>0</v>
      </c>
      <c r="P687" t="n">
        <v>0</v>
      </c>
      <c r="Q687" t="n">
        <v>0</v>
      </c>
      <c r="R687" s="2" t="inlineStr"/>
    </row>
    <row r="688" ht="15" customHeight="1">
      <c r="A688" t="inlineStr">
        <is>
          <t>A 57836-2025</t>
        </is>
      </c>
      <c r="B688" s="1" t="n">
        <v>45981.61822916667</v>
      </c>
      <c r="C688" s="1" t="n">
        <v>46134</v>
      </c>
      <c r="D688" t="inlineStr">
        <is>
          <t>UPPSALA LÄN</t>
        </is>
      </c>
      <c r="E688" t="inlineStr">
        <is>
          <t>UPPSALA</t>
        </is>
      </c>
      <c r="F688" t="inlineStr">
        <is>
          <t>Kyrkan</t>
        </is>
      </c>
      <c r="G688" t="n">
        <v>0.8</v>
      </c>
      <c r="H688" t="n">
        <v>0</v>
      </c>
      <c r="I688" t="n">
        <v>0</v>
      </c>
      <c r="J688" t="n">
        <v>0</v>
      </c>
      <c r="K688" t="n">
        <v>0</v>
      </c>
      <c r="L688" t="n">
        <v>0</v>
      </c>
      <c r="M688" t="n">
        <v>0</v>
      </c>
      <c r="N688" t="n">
        <v>0</v>
      </c>
      <c r="O688" t="n">
        <v>0</v>
      </c>
      <c r="P688" t="n">
        <v>0</v>
      </c>
      <c r="Q688" t="n">
        <v>0</v>
      </c>
      <c r="R688" s="2" t="inlineStr"/>
    </row>
    <row r="689" ht="15" customHeight="1">
      <c r="A689" t="inlineStr">
        <is>
          <t>A 33797-2021</t>
        </is>
      </c>
      <c r="B689" s="1" t="n">
        <v>44378.56137731481</v>
      </c>
      <c r="C689" s="1" t="n">
        <v>46134</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53206-2025</t>
        </is>
      </c>
      <c r="B690" s="1" t="n">
        <v>45958.58711805556</v>
      </c>
      <c r="C690" s="1" t="n">
        <v>46134</v>
      </c>
      <c r="D690" t="inlineStr">
        <is>
          <t>UPPSALA LÄN</t>
        </is>
      </c>
      <c r="E690" t="inlineStr">
        <is>
          <t>UPPSALA</t>
        </is>
      </c>
      <c r="F690" t="inlineStr">
        <is>
          <t>Bergvik skog väst AB</t>
        </is>
      </c>
      <c r="G690" t="n">
        <v>18.6</v>
      </c>
      <c r="H690" t="n">
        <v>0</v>
      </c>
      <c r="I690" t="n">
        <v>0</v>
      </c>
      <c r="J690" t="n">
        <v>0</v>
      </c>
      <c r="K690" t="n">
        <v>0</v>
      </c>
      <c r="L690" t="n">
        <v>0</v>
      </c>
      <c r="M690" t="n">
        <v>0</v>
      </c>
      <c r="N690" t="n">
        <v>0</v>
      </c>
      <c r="O690" t="n">
        <v>0</v>
      </c>
      <c r="P690" t="n">
        <v>0</v>
      </c>
      <c r="Q690" t="n">
        <v>0</v>
      </c>
      <c r="R690" s="2" t="inlineStr"/>
    </row>
    <row r="691" ht="15" customHeight="1">
      <c r="A691" t="inlineStr">
        <is>
          <t>A 57789-2025</t>
        </is>
      </c>
      <c r="B691" s="1" t="n">
        <v>45981.57793981482</v>
      </c>
      <c r="C691" s="1" t="n">
        <v>46134</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58193-2025</t>
        </is>
      </c>
      <c r="B692" s="1" t="n">
        <v>45983.85069444445</v>
      </c>
      <c r="C692" s="1" t="n">
        <v>46134</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7429-2026</t>
        </is>
      </c>
      <c r="B693" s="1" t="n">
        <v>46059.43493055556</v>
      </c>
      <c r="C693" s="1" t="n">
        <v>46134</v>
      </c>
      <c r="D693" t="inlineStr">
        <is>
          <t>UPPSALA LÄN</t>
        </is>
      </c>
      <c r="E693" t="inlineStr">
        <is>
          <t>UPPSALA</t>
        </is>
      </c>
      <c r="F693" t="inlineStr">
        <is>
          <t>Bergvik skog öst AB</t>
        </is>
      </c>
      <c r="G693" t="n">
        <v>2.4</v>
      </c>
      <c r="H693" t="n">
        <v>0</v>
      </c>
      <c r="I693" t="n">
        <v>0</v>
      </c>
      <c r="J693" t="n">
        <v>0</v>
      </c>
      <c r="K693" t="n">
        <v>0</v>
      </c>
      <c r="L693" t="n">
        <v>0</v>
      </c>
      <c r="M693" t="n">
        <v>0</v>
      </c>
      <c r="N693" t="n">
        <v>0</v>
      </c>
      <c r="O693" t="n">
        <v>0</v>
      </c>
      <c r="P693" t="n">
        <v>0</v>
      </c>
      <c r="Q693" t="n">
        <v>0</v>
      </c>
      <c r="R693" s="2" t="inlineStr"/>
    </row>
    <row r="694" ht="15" customHeight="1">
      <c r="A694" t="inlineStr">
        <is>
          <t>A 7555-2026</t>
        </is>
      </c>
      <c r="B694" s="1" t="n">
        <v>46059.76059027778</v>
      </c>
      <c r="C694" s="1" t="n">
        <v>46134</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50103-2025</t>
        </is>
      </c>
      <c r="B695" s="1" t="n">
        <v>45943.53451388889</v>
      </c>
      <c r="C695" s="1" t="n">
        <v>46134</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50104-2025</t>
        </is>
      </c>
      <c r="B696" s="1" t="n">
        <v>45943.5354050926</v>
      </c>
      <c r="C696" s="1" t="n">
        <v>46134</v>
      </c>
      <c r="D696" t="inlineStr">
        <is>
          <t>UPPSALA LÄN</t>
        </is>
      </c>
      <c r="E696" t="inlineStr">
        <is>
          <t>UPPSALA</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50102-2025</t>
        </is>
      </c>
      <c r="B697" s="1" t="n">
        <v>45943.53341435185</v>
      </c>
      <c r="C697" s="1" t="n">
        <v>46134</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7739-2026</t>
        </is>
      </c>
      <c r="B698" s="1" t="n">
        <v>46062.53357638889</v>
      </c>
      <c r="C698" s="1" t="n">
        <v>46134</v>
      </c>
      <c r="D698" t="inlineStr">
        <is>
          <t>UPPSALA LÄN</t>
        </is>
      </c>
      <c r="E698" t="inlineStr">
        <is>
          <t>UPPSALA</t>
        </is>
      </c>
      <c r="G698" t="n">
        <v>7.2</v>
      </c>
      <c r="H698" t="n">
        <v>0</v>
      </c>
      <c r="I698" t="n">
        <v>0</v>
      </c>
      <c r="J698" t="n">
        <v>0</v>
      </c>
      <c r="K698" t="n">
        <v>0</v>
      </c>
      <c r="L698" t="n">
        <v>0</v>
      </c>
      <c r="M698" t="n">
        <v>0</v>
      </c>
      <c r="N698" t="n">
        <v>0</v>
      </c>
      <c r="O698" t="n">
        <v>0</v>
      </c>
      <c r="P698" t="n">
        <v>0</v>
      </c>
      <c r="Q698" t="n">
        <v>0</v>
      </c>
      <c r="R698" s="2" t="inlineStr"/>
    </row>
    <row r="699" ht="15" customHeight="1">
      <c r="A699" t="inlineStr">
        <is>
          <t>A 59207-2025</t>
        </is>
      </c>
      <c r="B699" s="1" t="n">
        <v>45988.61304398148</v>
      </c>
      <c r="C699" s="1" t="n">
        <v>46134</v>
      </c>
      <c r="D699" t="inlineStr">
        <is>
          <t>UPPSALA LÄN</t>
        </is>
      </c>
      <c r="E699" t="inlineStr">
        <is>
          <t>UPPSALA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50106-2025</t>
        </is>
      </c>
      <c r="B700" s="1" t="n">
        <v>45943.53659722222</v>
      </c>
      <c r="C700" s="1" t="n">
        <v>46134</v>
      </c>
      <c r="D700" t="inlineStr">
        <is>
          <t>UPPSALA LÄN</t>
        </is>
      </c>
      <c r="E700" t="inlineStr">
        <is>
          <t>UPPSALA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7865-2026</t>
        </is>
      </c>
      <c r="B701" s="1" t="n">
        <v>46062.73762731482</v>
      </c>
      <c r="C701" s="1" t="n">
        <v>46134</v>
      </c>
      <c r="D701" t="inlineStr">
        <is>
          <t>UPPSALA LÄN</t>
        </is>
      </c>
      <c r="E701" t="inlineStr">
        <is>
          <t>UPPSALA</t>
        </is>
      </c>
      <c r="F701" t="inlineStr">
        <is>
          <t>Bergvik skog öst AB</t>
        </is>
      </c>
      <c r="G701" t="n">
        <v>4.4</v>
      </c>
      <c r="H701" t="n">
        <v>0</v>
      </c>
      <c r="I701" t="n">
        <v>0</v>
      </c>
      <c r="J701" t="n">
        <v>0</v>
      </c>
      <c r="K701" t="n">
        <v>0</v>
      </c>
      <c r="L701" t="n">
        <v>0</v>
      </c>
      <c r="M701" t="n">
        <v>0</v>
      </c>
      <c r="N701" t="n">
        <v>0</v>
      </c>
      <c r="O701" t="n">
        <v>0</v>
      </c>
      <c r="P701" t="n">
        <v>0</v>
      </c>
      <c r="Q701" t="n">
        <v>0</v>
      </c>
      <c r="R701" s="2" t="inlineStr"/>
    </row>
    <row r="702" ht="15" customHeight="1">
      <c r="A702" t="inlineStr">
        <is>
          <t>A 7866-2026</t>
        </is>
      </c>
      <c r="B702" s="1" t="n">
        <v>46062.73936342593</v>
      </c>
      <c r="C702" s="1" t="n">
        <v>46134</v>
      </c>
      <c r="D702" t="inlineStr">
        <is>
          <t>UPPSALA LÄN</t>
        </is>
      </c>
      <c r="E702" t="inlineStr">
        <is>
          <t>UPPSALA</t>
        </is>
      </c>
      <c r="F702" t="inlineStr">
        <is>
          <t>Bergvik skog öst AB</t>
        </is>
      </c>
      <c r="G702" t="n">
        <v>1.4</v>
      </c>
      <c r="H702" t="n">
        <v>0</v>
      </c>
      <c r="I702" t="n">
        <v>0</v>
      </c>
      <c r="J702" t="n">
        <v>0</v>
      </c>
      <c r="K702" t="n">
        <v>0</v>
      </c>
      <c r="L702" t="n">
        <v>0</v>
      </c>
      <c r="M702" t="n">
        <v>0</v>
      </c>
      <c r="N702" t="n">
        <v>0</v>
      </c>
      <c r="O702" t="n">
        <v>0</v>
      </c>
      <c r="P702" t="n">
        <v>0</v>
      </c>
      <c r="Q702" t="n">
        <v>0</v>
      </c>
      <c r="R702" s="2" t="inlineStr"/>
    </row>
    <row r="703" ht="15" customHeight="1">
      <c r="A703" t="inlineStr">
        <is>
          <t>A 59779-2025</t>
        </is>
      </c>
      <c r="B703" s="1" t="n">
        <v>45992.60832175926</v>
      </c>
      <c r="C703" s="1" t="n">
        <v>46134</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59688-2025</t>
        </is>
      </c>
      <c r="B704" s="1" t="n">
        <v>45992.47825231482</v>
      </c>
      <c r="C704" s="1" t="n">
        <v>46134</v>
      </c>
      <c r="D704" t="inlineStr">
        <is>
          <t>UPPSALA LÄN</t>
        </is>
      </c>
      <c r="E704" t="inlineStr">
        <is>
          <t>UPPSALA</t>
        </is>
      </c>
      <c r="G704" t="n">
        <v>2.8</v>
      </c>
      <c r="H704" t="n">
        <v>0</v>
      </c>
      <c r="I704" t="n">
        <v>0</v>
      </c>
      <c r="J704" t="n">
        <v>0</v>
      </c>
      <c r="K704" t="n">
        <v>0</v>
      </c>
      <c r="L704" t="n">
        <v>0</v>
      </c>
      <c r="M704" t="n">
        <v>0</v>
      </c>
      <c r="N704" t="n">
        <v>0</v>
      </c>
      <c r="O704" t="n">
        <v>0</v>
      </c>
      <c r="P704" t="n">
        <v>0</v>
      </c>
      <c r="Q704" t="n">
        <v>0</v>
      </c>
      <c r="R704" s="2" t="inlineStr"/>
    </row>
    <row r="705" ht="15" customHeight="1">
      <c r="A705" t="inlineStr">
        <is>
          <t>A 47221-2023</t>
        </is>
      </c>
      <c r="B705" s="1" t="n">
        <v>45202</v>
      </c>
      <c r="C705" s="1" t="n">
        <v>46134</v>
      </c>
      <c r="D705" t="inlineStr">
        <is>
          <t>UPPSALA LÄN</t>
        </is>
      </c>
      <c r="E705" t="inlineStr">
        <is>
          <t>UPPSALA</t>
        </is>
      </c>
      <c r="G705" t="n">
        <v>8.6</v>
      </c>
      <c r="H705" t="n">
        <v>0</v>
      </c>
      <c r="I705" t="n">
        <v>0</v>
      </c>
      <c r="J705" t="n">
        <v>0</v>
      </c>
      <c r="K705" t="n">
        <v>0</v>
      </c>
      <c r="L705" t="n">
        <v>0</v>
      </c>
      <c r="M705" t="n">
        <v>0</v>
      </c>
      <c r="N705" t="n">
        <v>0</v>
      </c>
      <c r="O705" t="n">
        <v>0</v>
      </c>
      <c r="P705" t="n">
        <v>0</v>
      </c>
      <c r="Q705" t="n">
        <v>0</v>
      </c>
      <c r="R705" s="2" t="inlineStr"/>
    </row>
    <row r="706" ht="15" customHeight="1">
      <c r="A706" t="inlineStr">
        <is>
          <t>A 7436-2026</t>
        </is>
      </c>
      <c r="B706" s="1" t="n">
        <v>46059.4413425926</v>
      </c>
      <c r="C706" s="1" t="n">
        <v>46134</v>
      </c>
      <c r="D706" t="inlineStr">
        <is>
          <t>UPPSALA LÄN</t>
        </is>
      </c>
      <c r="E706" t="inlineStr">
        <is>
          <t>UPPSALA</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59358-2024</t>
        </is>
      </c>
      <c r="B707" s="1" t="n">
        <v>45638</v>
      </c>
      <c r="C707" s="1" t="n">
        <v>46134</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58023-2022</t>
        </is>
      </c>
      <c r="B708" s="1" t="n">
        <v>44900.54711805555</v>
      </c>
      <c r="C708" s="1" t="n">
        <v>46134</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45878-2024</t>
        </is>
      </c>
      <c r="B709" s="1" t="n">
        <v>45580</v>
      </c>
      <c r="C709" s="1" t="n">
        <v>46134</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7867-2026</t>
        </is>
      </c>
      <c r="B710" s="1" t="n">
        <v>46062.74180555555</v>
      </c>
      <c r="C710" s="1" t="n">
        <v>46134</v>
      </c>
      <c r="D710" t="inlineStr">
        <is>
          <t>UPPSALA LÄN</t>
        </is>
      </c>
      <c r="E710" t="inlineStr">
        <is>
          <t>UPPSALA</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5374-2023</t>
        </is>
      </c>
      <c r="B711" s="1" t="n">
        <v>44944</v>
      </c>
      <c r="C711" s="1" t="n">
        <v>46134</v>
      </c>
      <c r="D711" t="inlineStr">
        <is>
          <t>UPPSALA LÄN</t>
        </is>
      </c>
      <c r="E711" t="inlineStr">
        <is>
          <t>UPPSALA</t>
        </is>
      </c>
      <c r="G711" t="n">
        <v>3.5</v>
      </c>
      <c r="H711" t="n">
        <v>0</v>
      </c>
      <c r="I711" t="n">
        <v>0</v>
      </c>
      <c r="J711" t="n">
        <v>0</v>
      </c>
      <c r="K711" t="n">
        <v>0</v>
      </c>
      <c r="L711" t="n">
        <v>0</v>
      </c>
      <c r="M711" t="n">
        <v>0</v>
      </c>
      <c r="N711" t="n">
        <v>0</v>
      </c>
      <c r="O711" t="n">
        <v>0</v>
      </c>
      <c r="P711" t="n">
        <v>0</v>
      </c>
      <c r="Q711" t="n">
        <v>0</v>
      </c>
      <c r="R711" s="2" t="inlineStr"/>
    </row>
    <row r="712" ht="15" customHeight="1">
      <c r="A712" t="inlineStr">
        <is>
          <t>A 40503-2024</t>
        </is>
      </c>
      <c r="B712" s="1" t="n">
        <v>45555.5727662037</v>
      </c>
      <c r="C712" s="1" t="n">
        <v>46134</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341-2024</t>
        </is>
      </c>
      <c r="B713" s="1" t="n">
        <v>45295</v>
      </c>
      <c r="C713" s="1" t="n">
        <v>46134</v>
      </c>
      <c r="D713" t="inlineStr">
        <is>
          <t>UPPSALA LÄN</t>
        </is>
      </c>
      <c r="E713" t="inlineStr">
        <is>
          <t>UPPSALA</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49938-2025</t>
        </is>
      </c>
      <c r="B714" s="1" t="n">
        <v>45940</v>
      </c>
      <c r="C714" s="1" t="n">
        <v>46134</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60357-2025</t>
        </is>
      </c>
      <c r="B715" s="1" t="n">
        <v>45995.31793981481</v>
      </c>
      <c r="C715" s="1" t="n">
        <v>46134</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60356-2025</t>
        </is>
      </c>
      <c r="B716" s="1" t="n">
        <v>45995.31737268518</v>
      </c>
      <c r="C716" s="1" t="n">
        <v>46134</v>
      </c>
      <c r="D716" t="inlineStr">
        <is>
          <t>UPPSALA LÄN</t>
        </is>
      </c>
      <c r="E716" t="inlineStr">
        <is>
          <t>UPPSALA</t>
        </is>
      </c>
      <c r="G716" t="n">
        <v>1</v>
      </c>
      <c r="H716" t="n">
        <v>0</v>
      </c>
      <c r="I716" t="n">
        <v>0</v>
      </c>
      <c r="J716" t="n">
        <v>0</v>
      </c>
      <c r="K716" t="n">
        <v>0</v>
      </c>
      <c r="L716" t="n">
        <v>0</v>
      </c>
      <c r="M716" t="n">
        <v>0</v>
      </c>
      <c r="N716" t="n">
        <v>0</v>
      </c>
      <c r="O716" t="n">
        <v>0</v>
      </c>
      <c r="P716" t="n">
        <v>0</v>
      </c>
      <c r="Q716" t="n">
        <v>0</v>
      </c>
      <c r="R716" s="2" t="inlineStr"/>
    </row>
    <row r="717" ht="15" customHeight="1">
      <c r="A717" t="inlineStr">
        <is>
          <t>A 40111-2024</t>
        </is>
      </c>
      <c r="B717" s="1" t="n">
        <v>45554</v>
      </c>
      <c r="C717" s="1" t="n">
        <v>46134</v>
      </c>
      <c r="D717" t="inlineStr">
        <is>
          <t>UPPSALA LÄN</t>
        </is>
      </c>
      <c r="E717" t="inlineStr">
        <is>
          <t>UPPSALA</t>
        </is>
      </c>
      <c r="G717" t="n">
        <v>3.7</v>
      </c>
      <c r="H717" t="n">
        <v>0</v>
      </c>
      <c r="I717" t="n">
        <v>0</v>
      </c>
      <c r="J717" t="n">
        <v>0</v>
      </c>
      <c r="K717" t="n">
        <v>0</v>
      </c>
      <c r="L717" t="n">
        <v>0</v>
      </c>
      <c r="M717" t="n">
        <v>0</v>
      </c>
      <c r="N717" t="n">
        <v>0</v>
      </c>
      <c r="O717" t="n">
        <v>0</v>
      </c>
      <c r="P717" t="n">
        <v>0</v>
      </c>
      <c r="Q717" t="n">
        <v>0</v>
      </c>
      <c r="R717" s="2" t="inlineStr"/>
    </row>
    <row r="718" ht="15" customHeight="1">
      <c r="A718" t="inlineStr">
        <is>
          <t>A 46202-2024</t>
        </is>
      </c>
      <c r="B718" s="1" t="n">
        <v>45581</v>
      </c>
      <c r="C718" s="1" t="n">
        <v>46134</v>
      </c>
      <c r="D718" t="inlineStr">
        <is>
          <t>UPPSALA LÄN</t>
        </is>
      </c>
      <c r="E718" t="inlineStr">
        <is>
          <t>UPPSALA</t>
        </is>
      </c>
      <c r="G718" t="n">
        <v>3.2</v>
      </c>
      <c r="H718" t="n">
        <v>0</v>
      </c>
      <c r="I718" t="n">
        <v>0</v>
      </c>
      <c r="J718" t="n">
        <v>0</v>
      </c>
      <c r="K718" t="n">
        <v>0</v>
      </c>
      <c r="L718" t="n">
        <v>0</v>
      </c>
      <c r="M718" t="n">
        <v>0</v>
      </c>
      <c r="N718" t="n">
        <v>0</v>
      </c>
      <c r="O718" t="n">
        <v>0</v>
      </c>
      <c r="P718" t="n">
        <v>0</v>
      </c>
      <c r="Q718" t="n">
        <v>0</v>
      </c>
      <c r="R718" s="2" t="inlineStr"/>
    </row>
    <row r="719" ht="15" customHeight="1">
      <c r="A719" t="inlineStr">
        <is>
          <t>A 60512-2025</t>
        </is>
      </c>
      <c r="B719" s="1" t="n">
        <v>45995.63483796296</v>
      </c>
      <c r="C719" s="1" t="n">
        <v>46134</v>
      </c>
      <c r="D719" t="inlineStr">
        <is>
          <t>UPPSALA LÄN</t>
        </is>
      </c>
      <c r="E719" t="inlineStr">
        <is>
          <t>UPPSALA</t>
        </is>
      </c>
      <c r="G719" t="n">
        <v>2.6</v>
      </c>
      <c r="H719" t="n">
        <v>0</v>
      </c>
      <c r="I719" t="n">
        <v>0</v>
      </c>
      <c r="J719" t="n">
        <v>0</v>
      </c>
      <c r="K719" t="n">
        <v>0</v>
      </c>
      <c r="L719" t="n">
        <v>0</v>
      </c>
      <c r="M719" t="n">
        <v>0</v>
      </c>
      <c r="N719" t="n">
        <v>0</v>
      </c>
      <c r="O719" t="n">
        <v>0</v>
      </c>
      <c r="P719" t="n">
        <v>0</v>
      </c>
      <c r="Q719" t="n">
        <v>0</v>
      </c>
      <c r="R719" s="2" t="inlineStr"/>
    </row>
    <row r="720" ht="15" customHeight="1">
      <c r="A720" t="inlineStr">
        <is>
          <t>A 38865-2022</t>
        </is>
      </c>
      <c r="B720" s="1" t="n">
        <v>44816</v>
      </c>
      <c r="C720" s="1" t="n">
        <v>46134</v>
      </c>
      <c r="D720" t="inlineStr">
        <is>
          <t>UPPSALA LÄN</t>
        </is>
      </c>
      <c r="E720" t="inlineStr">
        <is>
          <t>UPPSALA</t>
        </is>
      </c>
      <c r="G720" t="n">
        <v>14.6</v>
      </c>
      <c r="H720" t="n">
        <v>0</v>
      </c>
      <c r="I720" t="n">
        <v>0</v>
      </c>
      <c r="J720" t="n">
        <v>0</v>
      </c>
      <c r="K720" t="n">
        <v>0</v>
      </c>
      <c r="L720" t="n">
        <v>0</v>
      </c>
      <c r="M720" t="n">
        <v>0</v>
      </c>
      <c r="N720" t="n">
        <v>0</v>
      </c>
      <c r="O720" t="n">
        <v>0</v>
      </c>
      <c r="P720" t="n">
        <v>0</v>
      </c>
      <c r="Q720" t="n">
        <v>0</v>
      </c>
      <c r="R720" s="2" t="inlineStr"/>
    </row>
    <row r="721" ht="15" customHeight="1">
      <c r="A721" t="inlineStr">
        <is>
          <t>A 18717-2025</t>
        </is>
      </c>
      <c r="B721" s="1" t="n">
        <v>45763.6503125</v>
      </c>
      <c r="C721" s="1" t="n">
        <v>46134</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3183-2024</t>
        </is>
      </c>
      <c r="B722" s="1" t="n">
        <v>45316</v>
      </c>
      <c r="C722" s="1" t="n">
        <v>46134</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3261-2024</t>
        </is>
      </c>
      <c r="B723" s="1" t="n">
        <v>45317</v>
      </c>
      <c r="C723" s="1" t="n">
        <v>46134</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1838-2024</t>
        </is>
      </c>
      <c r="B724" s="1" t="n">
        <v>45307</v>
      </c>
      <c r="C724" s="1" t="n">
        <v>46134</v>
      </c>
      <c r="D724" t="inlineStr">
        <is>
          <t>UPPSALA LÄN</t>
        </is>
      </c>
      <c r="E724" t="inlineStr">
        <is>
          <t>UPPSALA</t>
        </is>
      </c>
      <c r="G724" t="n">
        <v>1.8</v>
      </c>
      <c r="H724" t="n">
        <v>0</v>
      </c>
      <c r="I724" t="n">
        <v>0</v>
      </c>
      <c r="J724" t="n">
        <v>0</v>
      </c>
      <c r="K724" t="n">
        <v>0</v>
      </c>
      <c r="L724" t="n">
        <v>0</v>
      </c>
      <c r="M724" t="n">
        <v>0</v>
      </c>
      <c r="N724" t="n">
        <v>0</v>
      </c>
      <c r="O724" t="n">
        <v>0</v>
      </c>
      <c r="P724" t="n">
        <v>0</v>
      </c>
      <c r="Q724" t="n">
        <v>0</v>
      </c>
      <c r="R724" s="2" t="inlineStr"/>
    </row>
    <row r="725" ht="15" customHeight="1">
      <c r="A725" t="inlineStr">
        <is>
          <t>A 29019-2023</t>
        </is>
      </c>
      <c r="B725" s="1" t="n">
        <v>45104.6828125</v>
      </c>
      <c r="C725" s="1" t="n">
        <v>46134</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59996-2024</t>
        </is>
      </c>
      <c r="B726" s="1" t="n">
        <v>45642</v>
      </c>
      <c r="C726" s="1" t="n">
        <v>46134</v>
      </c>
      <c r="D726" t="inlineStr">
        <is>
          <t>UPPSALA LÄN</t>
        </is>
      </c>
      <c r="E726" t="inlineStr">
        <is>
          <t>UPPSALA</t>
        </is>
      </c>
      <c r="F726" t="inlineStr">
        <is>
          <t>Bergvik skog väst AB</t>
        </is>
      </c>
      <c r="G726" t="n">
        <v>14.5</v>
      </c>
      <c r="H726" t="n">
        <v>0</v>
      </c>
      <c r="I726" t="n">
        <v>0</v>
      </c>
      <c r="J726" t="n">
        <v>0</v>
      </c>
      <c r="K726" t="n">
        <v>0</v>
      </c>
      <c r="L726" t="n">
        <v>0</v>
      </c>
      <c r="M726" t="n">
        <v>0</v>
      </c>
      <c r="N726" t="n">
        <v>0</v>
      </c>
      <c r="O726" t="n">
        <v>0</v>
      </c>
      <c r="P726" t="n">
        <v>0</v>
      </c>
      <c r="Q726" t="n">
        <v>0</v>
      </c>
      <c r="R726" s="2" t="inlineStr"/>
    </row>
    <row r="727" ht="15" customHeight="1">
      <c r="A727" t="inlineStr">
        <is>
          <t>A 61245-2025</t>
        </is>
      </c>
      <c r="B727" s="1" t="n">
        <v>45999</v>
      </c>
      <c r="C727" s="1" t="n">
        <v>46134</v>
      </c>
      <c r="D727" t="inlineStr">
        <is>
          <t>UPPSALA LÄN</t>
        </is>
      </c>
      <c r="E727" t="inlineStr">
        <is>
          <t>UPPSALA</t>
        </is>
      </c>
      <c r="G727" t="n">
        <v>3.4</v>
      </c>
      <c r="H727" t="n">
        <v>0</v>
      </c>
      <c r="I727" t="n">
        <v>0</v>
      </c>
      <c r="J727" t="n">
        <v>0</v>
      </c>
      <c r="K727" t="n">
        <v>0</v>
      </c>
      <c r="L727" t="n">
        <v>0</v>
      </c>
      <c r="M727" t="n">
        <v>0</v>
      </c>
      <c r="N727" t="n">
        <v>0</v>
      </c>
      <c r="O727" t="n">
        <v>0</v>
      </c>
      <c r="P727" t="n">
        <v>0</v>
      </c>
      <c r="Q727" t="n">
        <v>0</v>
      </c>
      <c r="R727" s="2" t="inlineStr"/>
    </row>
    <row r="728" ht="15" customHeight="1">
      <c r="A728" t="inlineStr">
        <is>
          <t>A 8364-2026</t>
        </is>
      </c>
      <c r="B728" s="1" t="n">
        <v>46064</v>
      </c>
      <c r="C728" s="1" t="n">
        <v>46134</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33689-2023</t>
        </is>
      </c>
      <c r="B729" s="1" t="n">
        <v>45119</v>
      </c>
      <c r="C729" s="1" t="n">
        <v>46134</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58965-2025</t>
        </is>
      </c>
      <c r="B730" s="1" t="n">
        <v>45987</v>
      </c>
      <c r="C730" s="1" t="n">
        <v>46134</v>
      </c>
      <c r="D730" t="inlineStr">
        <is>
          <t>UPPSALA LÄN</t>
        </is>
      </c>
      <c r="E730" t="inlineStr">
        <is>
          <t>UPPSALA</t>
        </is>
      </c>
      <c r="G730" t="n">
        <v>7.7</v>
      </c>
      <c r="H730" t="n">
        <v>0</v>
      </c>
      <c r="I730" t="n">
        <v>0</v>
      </c>
      <c r="J730" t="n">
        <v>0</v>
      </c>
      <c r="K730" t="n">
        <v>0</v>
      </c>
      <c r="L730" t="n">
        <v>0</v>
      </c>
      <c r="M730" t="n">
        <v>0</v>
      </c>
      <c r="N730" t="n">
        <v>0</v>
      </c>
      <c r="O730" t="n">
        <v>0</v>
      </c>
      <c r="P730" t="n">
        <v>0</v>
      </c>
      <c r="Q730" t="n">
        <v>0</v>
      </c>
      <c r="R730" s="2" t="inlineStr"/>
    </row>
    <row r="731" ht="15" customHeight="1">
      <c r="A731" t="inlineStr">
        <is>
          <t>A 6602-2023</t>
        </is>
      </c>
      <c r="B731" s="1" t="n">
        <v>44966</v>
      </c>
      <c r="C731" s="1" t="n">
        <v>46134</v>
      </c>
      <c r="D731" t="inlineStr">
        <is>
          <t>UPPSALA LÄN</t>
        </is>
      </c>
      <c r="E731" t="inlineStr">
        <is>
          <t>UPPSALA</t>
        </is>
      </c>
      <c r="F731" t="inlineStr">
        <is>
          <t>Allmännings- och besparingsskogar</t>
        </is>
      </c>
      <c r="G731" t="n">
        <v>20.2</v>
      </c>
      <c r="H731" t="n">
        <v>0</v>
      </c>
      <c r="I731" t="n">
        <v>0</v>
      </c>
      <c r="J731" t="n">
        <v>0</v>
      </c>
      <c r="K731" t="n">
        <v>0</v>
      </c>
      <c r="L731" t="n">
        <v>0</v>
      </c>
      <c r="M731" t="n">
        <v>0</v>
      </c>
      <c r="N731" t="n">
        <v>0</v>
      </c>
      <c r="O731" t="n">
        <v>0</v>
      </c>
      <c r="P731" t="n">
        <v>0</v>
      </c>
      <c r="Q731" t="n">
        <v>0</v>
      </c>
      <c r="R731" s="2" t="inlineStr"/>
    </row>
    <row r="732" ht="15" customHeight="1">
      <c r="A732" t="inlineStr">
        <is>
          <t>A 61805-2021</t>
        </is>
      </c>
      <c r="B732" s="1" t="n">
        <v>44501.71344907407</v>
      </c>
      <c r="C732" s="1" t="n">
        <v>46134</v>
      </c>
      <c r="D732" t="inlineStr">
        <is>
          <t>UPPSALA LÄN</t>
        </is>
      </c>
      <c r="E732" t="inlineStr">
        <is>
          <t>UPPSALA</t>
        </is>
      </c>
      <c r="F732" t="inlineStr">
        <is>
          <t>Bergvik skog öst AB</t>
        </is>
      </c>
      <c r="G732" t="n">
        <v>3.8</v>
      </c>
      <c r="H732" t="n">
        <v>0</v>
      </c>
      <c r="I732" t="n">
        <v>0</v>
      </c>
      <c r="J732" t="n">
        <v>0</v>
      </c>
      <c r="K732" t="n">
        <v>0</v>
      </c>
      <c r="L732" t="n">
        <v>0</v>
      </c>
      <c r="M732" t="n">
        <v>0</v>
      </c>
      <c r="N732" t="n">
        <v>0</v>
      </c>
      <c r="O732" t="n">
        <v>0</v>
      </c>
      <c r="P732" t="n">
        <v>0</v>
      </c>
      <c r="Q732" t="n">
        <v>0</v>
      </c>
      <c r="R732" s="2" t="inlineStr"/>
    </row>
    <row r="733" ht="15" customHeight="1">
      <c r="A733" t="inlineStr">
        <is>
          <t>A 17211-2025</t>
        </is>
      </c>
      <c r="B733" s="1" t="n">
        <v>45756.44024305556</v>
      </c>
      <c r="C733" s="1" t="n">
        <v>46134</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17250-2025</t>
        </is>
      </c>
      <c r="B734" s="1" t="n">
        <v>45756.50738425926</v>
      </c>
      <c r="C734" s="1" t="n">
        <v>46134</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60729-2024</t>
        </is>
      </c>
      <c r="B735" s="1" t="n">
        <v>45644</v>
      </c>
      <c r="C735" s="1" t="n">
        <v>46134</v>
      </c>
      <c r="D735" t="inlineStr">
        <is>
          <t>UPPSALA LÄN</t>
        </is>
      </c>
      <c r="E735" t="inlineStr">
        <is>
          <t>UPPSALA</t>
        </is>
      </c>
      <c r="G735" t="n">
        <v>1.9</v>
      </c>
      <c r="H735" t="n">
        <v>0</v>
      </c>
      <c r="I735" t="n">
        <v>0</v>
      </c>
      <c r="J735" t="n">
        <v>0</v>
      </c>
      <c r="K735" t="n">
        <v>0</v>
      </c>
      <c r="L735" t="n">
        <v>0</v>
      </c>
      <c r="M735" t="n">
        <v>0</v>
      </c>
      <c r="N735" t="n">
        <v>0</v>
      </c>
      <c r="O735" t="n">
        <v>0</v>
      </c>
      <c r="P735" t="n">
        <v>0</v>
      </c>
      <c r="Q735" t="n">
        <v>0</v>
      </c>
      <c r="R735" s="2" t="inlineStr"/>
    </row>
    <row r="736" ht="15" customHeight="1">
      <c r="A736" t="inlineStr">
        <is>
          <t>A 73326-2021</t>
        </is>
      </c>
      <c r="B736" s="1" t="n">
        <v>44548</v>
      </c>
      <c r="C736" s="1" t="n">
        <v>46134</v>
      </c>
      <c r="D736" t="inlineStr">
        <is>
          <t>UPPSALA LÄN</t>
        </is>
      </c>
      <c r="E736" t="inlineStr">
        <is>
          <t>UPPSALA</t>
        </is>
      </c>
      <c r="G736" t="n">
        <v>4</v>
      </c>
      <c r="H736" t="n">
        <v>0</v>
      </c>
      <c r="I736" t="n">
        <v>0</v>
      </c>
      <c r="J736" t="n">
        <v>0</v>
      </c>
      <c r="K736" t="n">
        <v>0</v>
      </c>
      <c r="L736" t="n">
        <v>0</v>
      </c>
      <c r="M736" t="n">
        <v>0</v>
      </c>
      <c r="N736" t="n">
        <v>0</v>
      </c>
      <c r="O736" t="n">
        <v>0</v>
      </c>
      <c r="P736" t="n">
        <v>0</v>
      </c>
      <c r="Q736" t="n">
        <v>0</v>
      </c>
      <c r="R736" s="2" t="inlineStr"/>
    </row>
    <row r="737" ht="15" customHeight="1">
      <c r="A737" t="inlineStr">
        <is>
          <t>A 73044-2021</t>
        </is>
      </c>
      <c r="B737" s="1" t="n">
        <v>44550.37994212963</v>
      </c>
      <c r="C737" s="1" t="n">
        <v>46134</v>
      </c>
      <c r="D737" t="inlineStr">
        <is>
          <t>UPPSALA LÄN</t>
        </is>
      </c>
      <c r="E737" t="inlineStr">
        <is>
          <t>UPPSALA</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9313-2023</t>
        </is>
      </c>
      <c r="B738" s="1" t="n">
        <v>44980</v>
      </c>
      <c r="C738" s="1" t="n">
        <v>46134</v>
      </c>
      <c r="D738" t="inlineStr">
        <is>
          <t>UPPSALA LÄN</t>
        </is>
      </c>
      <c r="E738" t="inlineStr">
        <is>
          <t>UPPSALA</t>
        </is>
      </c>
      <c r="G738" t="n">
        <v>2.6</v>
      </c>
      <c r="H738" t="n">
        <v>0</v>
      </c>
      <c r="I738" t="n">
        <v>0</v>
      </c>
      <c r="J738" t="n">
        <v>0</v>
      </c>
      <c r="K738" t="n">
        <v>0</v>
      </c>
      <c r="L738" t="n">
        <v>0</v>
      </c>
      <c r="M738" t="n">
        <v>0</v>
      </c>
      <c r="N738" t="n">
        <v>0</v>
      </c>
      <c r="O738" t="n">
        <v>0</v>
      </c>
      <c r="P738" t="n">
        <v>0</v>
      </c>
      <c r="Q738" t="n">
        <v>0</v>
      </c>
      <c r="R738" s="2" t="inlineStr"/>
    </row>
    <row r="739" ht="15" customHeight="1">
      <c r="A739" t="inlineStr">
        <is>
          <t>A 15603-2026</t>
        </is>
      </c>
      <c r="B739" s="1" t="n">
        <v>46106.59421296296</v>
      </c>
      <c r="C739" s="1" t="n">
        <v>46134</v>
      </c>
      <c r="D739" t="inlineStr">
        <is>
          <t>UPPSALA LÄN</t>
        </is>
      </c>
      <c r="E739" t="inlineStr">
        <is>
          <t>UPPSALA</t>
        </is>
      </c>
      <c r="G739" t="n">
        <v>3.4</v>
      </c>
      <c r="H739" t="n">
        <v>0</v>
      </c>
      <c r="I739" t="n">
        <v>0</v>
      </c>
      <c r="J739" t="n">
        <v>0</v>
      </c>
      <c r="K739" t="n">
        <v>0</v>
      </c>
      <c r="L739" t="n">
        <v>0</v>
      </c>
      <c r="M739" t="n">
        <v>0</v>
      </c>
      <c r="N739" t="n">
        <v>0</v>
      </c>
      <c r="O739" t="n">
        <v>0</v>
      </c>
      <c r="P739" t="n">
        <v>0</v>
      </c>
      <c r="Q739" t="n">
        <v>0</v>
      </c>
      <c r="R739" s="2" t="inlineStr"/>
    </row>
    <row r="740" ht="15" customHeight="1">
      <c r="A740" t="inlineStr">
        <is>
          <t>A 57770-2025</t>
        </is>
      </c>
      <c r="B740" s="1" t="n">
        <v>45981</v>
      </c>
      <c r="C740" s="1" t="n">
        <v>46134</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59521-2023</t>
        </is>
      </c>
      <c r="B741" s="1" t="n">
        <v>45254.49552083333</v>
      </c>
      <c r="C741" s="1" t="n">
        <v>46134</v>
      </c>
      <c r="D741" t="inlineStr">
        <is>
          <t>UPPSALA LÄN</t>
        </is>
      </c>
      <c r="E741" t="inlineStr">
        <is>
          <t>UPPSALA</t>
        </is>
      </c>
      <c r="G741" t="n">
        <v>1.7</v>
      </c>
      <c r="H741" t="n">
        <v>0</v>
      </c>
      <c r="I741" t="n">
        <v>0</v>
      </c>
      <c r="J741" t="n">
        <v>0</v>
      </c>
      <c r="K741" t="n">
        <v>0</v>
      </c>
      <c r="L741" t="n">
        <v>0</v>
      </c>
      <c r="M741" t="n">
        <v>0</v>
      </c>
      <c r="N741" t="n">
        <v>0</v>
      </c>
      <c r="O741" t="n">
        <v>0</v>
      </c>
      <c r="P741" t="n">
        <v>0</v>
      </c>
      <c r="Q741" t="n">
        <v>0</v>
      </c>
      <c r="R741" s="2" t="inlineStr"/>
    </row>
    <row r="742" ht="15" customHeight="1">
      <c r="A742" t="inlineStr">
        <is>
          <t>A 53615-2024</t>
        </is>
      </c>
      <c r="B742" s="1" t="n">
        <v>45611</v>
      </c>
      <c r="C742" s="1" t="n">
        <v>46134</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7226-2024</t>
        </is>
      </c>
      <c r="B743" s="1" t="n">
        <v>45344.64759259259</v>
      </c>
      <c r="C743" s="1" t="n">
        <v>46134</v>
      </c>
      <c r="D743" t="inlineStr">
        <is>
          <t>UPPSALA LÄN</t>
        </is>
      </c>
      <c r="E743" t="inlineStr">
        <is>
          <t>UPPSALA</t>
        </is>
      </c>
      <c r="F743" t="inlineStr">
        <is>
          <t>Kyrkan</t>
        </is>
      </c>
      <c r="G743" t="n">
        <v>1.2</v>
      </c>
      <c r="H743" t="n">
        <v>0</v>
      </c>
      <c r="I743" t="n">
        <v>0</v>
      </c>
      <c r="J743" t="n">
        <v>0</v>
      </c>
      <c r="K743" t="n">
        <v>0</v>
      </c>
      <c r="L743" t="n">
        <v>0</v>
      </c>
      <c r="M743" t="n">
        <v>0</v>
      </c>
      <c r="N743" t="n">
        <v>0</v>
      </c>
      <c r="O743" t="n">
        <v>0</v>
      </c>
      <c r="P743" t="n">
        <v>0</v>
      </c>
      <c r="Q743" t="n">
        <v>0</v>
      </c>
      <c r="R743" s="2" t="inlineStr"/>
    </row>
    <row r="744" ht="15" customHeight="1">
      <c r="A744" t="inlineStr">
        <is>
          <t>A 29901-2023</t>
        </is>
      </c>
      <c r="B744" s="1" t="n">
        <v>45107</v>
      </c>
      <c r="C744" s="1" t="n">
        <v>46134</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29926-2023</t>
        </is>
      </c>
      <c r="B745" s="1" t="n">
        <v>45107</v>
      </c>
      <c r="C745" s="1" t="n">
        <v>46134</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29927-2023</t>
        </is>
      </c>
      <c r="B746" s="1" t="n">
        <v>45107</v>
      </c>
      <c r="C746" s="1" t="n">
        <v>46134</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7253-2024</t>
        </is>
      </c>
      <c r="B747" s="1" t="n">
        <v>45344.69567129629</v>
      </c>
      <c r="C747" s="1" t="n">
        <v>46134</v>
      </c>
      <c r="D747" t="inlineStr">
        <is>
          <t>UPPSALA LÄN</t>
        </is>
      </c>
      <c r="E747" t="inlineStr">
        <is>
          <t>UPPSALA</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39148-2022</t>
        </is>
      </c>
      <c r="B748" s="1" t="n">
        <v>44816</v>
      </c>
      <c r="C748" s="1" t="n">
        <v>46134</v>
      </c>
      <c r="D748" t="inlineStr">
        <is>
          <t>UPPSALA LÄN</t>
        </is>
      </c>
      <c r="E748" t="inlineStr">
        <is>
          <t>UPPSALA</t>
        </is>
      </c>
      <c r="F748" t="inlineStr">
        <is>
          <t>Övriga statliga verk och myndigheter</t>
        </is>
      </c>
      <c r="G748" t="n">
        <v>1.7</v>
      </c>
      <c r="H748" t="n">
        <v>0</v>
      </c>
      <c r="I748" t="n">
        <v>0</v>
      </c>
      <c r="J748" t="n">
        <v>0</v>
      </c>
      <c r="K748" t="n">
        <v>0</v>
      </c>
      <c r="L748" t="n">
        <v>0</v>
      </c>
      <c r="M748" t="n">
        <v>0</v>
      </c>
      <c r="N748" t="n">
        <v>0</v>
      </c>
      <c r="O748" t="n">
        <v>0</v>
      </c>
      <c r="P748" t="n">
        <v>0</v>
      </c>
      <c r="Q748" t="n">
        <v>0</v>
      </c>
      <c r="R748" s="2" t="inlineStr"/>
    </row>
    <row r="749" ht="15" customHeight="1">
      <c r="A749" t="inlineStr">
        <is>
          <t>A 34509-2023</t>
        </is>
      </c>
      <c r="B749" s="1" t="n">
        <v>45133</v>
      </c>
      <c r="C749" s="1" t="n">
        <v>46134</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27119-2023</t>
        </is>
      </c>
      <c r="B750" s="1" t="n">
        <v>45096</v>
      </c>
      <c r="C750" s="1" t="n">
        <v>46134</v>
      </c>
      <c r="D750" t="inlineStr">
        <is>
          <t>UPPSALA LÄN</t>
        </is>
      </c>
      <c r="E750" t="inlineStr">
        <is>
          <t>UPPSALA</t>
        </is>
      </c>
      <c r="G750" t="n">
        <v>3.1</v>
      </c>
      <c r="H750" t="n">
        <v>0</v>
      </c>
      <c r="I750" t="n">
        <v>0</v>
      </c>
      <c r="J750" t="n">
        <v>0</v>
      </c>
      <c r="K750" t="n">
        <v>0</v>
      </c>
      <c r="L750" t="n">
        <v>0</v>
      </c>
      <c r="M750" t="n">
        <v>0</v>
      </c>
      <c r="N750" t="n">
        <v>0</v>
      </c>
      <c r="O750" t="n">
        <v>0</v>
      </c>
      <c r="P750" t="n">
        <v>0</v>
      </c>
      <c r="Q750" t="n">
        <v>0</v>
      </c>
      <c r="R750" s="2" t="inlineStr"/>
    </row>
    <row r="751" ht="15" customHeight="1">
      <c r="A751" t="inlineStr">
        <is>
          <t>A 27903-2023</t>
        </is>
      </c>
      <c r="B751" s="1" t="n">
        <v>45098.62966435185</v>
      </c>
      <c r="C751" s="1" t="n">
        <v>46134</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63059-2025</t>
        </is>
      </c>
      <c r="B752" s="1" t="n">
        <v>46009.63920138889</v>
      </c>
      <c r="C752" s="1" t="n">
        <v>46134</v>
      </c>
      <c r="D752" t="inlineStr">
        <is>
          <t>UPPSALA LÄN</t>
        </is>
      </c>
      <c r="E752" t="inlineStr">
        <is>
          <t>UPPSALA</t>
        </is>
      </c>
      <c r="G752" t="n">
        <v>15.4</v>
      </c>
      <c r="H752" t="n">
        <v>0</v>
      </c>
      <c r="I752" t="n">
        <v>0</v>
      </c>
      <c r="J752" t="n">
        <v>0</v>
      </c>
      <c r="K752" t="n">
        <v>0</v>
      </c>
      <c r="L752" t="n">
        <v>0</v>
      </c>
      <c r="M752" t="n">
        <v>0</v>
      </c>
      <c r="N752" t="n">
        <v>0</v>
      </c>
      <c r="O752" t="n">
        <v>0</v>
      </c>
      <c r="P752" t="n">
        <v>0</v>
      </c>
      <c r="Q752" t="n">
        <v>0</v>
      </c>
      <c r="R752" s="2" t="inlineStr"/>
    </row>
    <row r="753" ht="15" customHeight="1">
      <c r="A753" t="inlineStr">
        <is>
          <t>A 72224-2021</t>
        </is>
      </c>
      <c r="B753" s="1" t="n">
        <v>44544</v>
      </c>
      <c r="C753" s="1" t="n">
        <v>46134</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66686-2021</t>
        </is>
      </c>
      <c r="B754" s="1" t="n">
        <v>44519</v>
      </c>
      <c r="C754" s="1" t="n">
        <v>46134</v>
      </c>
      <c r="D754" t="inlineStr">
        <is>
          <t>UPPSALA LÄN</t>
        </is>
      </c>
      <c r="E754" t="inlineStr">
        <is>
          <t>UPPSALA</t>
        </is>
      </c>
      <c r="G754" t="n">
        <v>6.4</v>
      </c>
      <c r="H754" t="n">
        <v>0</v>
      </c>
      <c r="I754" t="n">
        <v>0</v>
      </c>
      <c r="J754" t="n">
        <v>0</v>
      </c>
      <c r="K754" t="n">
        <v>0</v>
      </c>
      <c r="L754" t="n">
        <v>0</v>
      </c>
      <c r="M754" t="n">
        <v>0</v>
      </c>
      <c r="N754" t="n">
        <v>0</v>
      </c>
      <c r="O754" t="n">
        <v>0</v>
      </c>
      <c r="P754" t="n">
        <v>0</v>
      </c>
      <c r="Q754" t="n">
        <v>0</v>
      </c>
      <c r="R754" s="2" t="inlineStr"/>
    </row>
    <row r="755" ht="15" customHeight="1">
      <c r="A755" t="inlineStr">
        <is>
          <t>A 8582-2026</t>
        </is>
      </c>
      <c r="B755" s="1" t="n">
        <v>46065.72112268519</v>
      </c>
      <c r="C755" s="1" t="n">
        <v>46134</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5899-2024</t>
        </is>
      </c>
      <c r="B756" s="1" t="n">
        <v>45335</v>
      </c>
      <c r="C756" s="1" t="n">
        <v>46134</v>
      </c>
      <c r="D756" t="inlineStr">
        <is>
          <t>UPPSALA LÄN</t>
        </is>
      </c>
      <c r="E756" t="inlineStr">
        <is>
          <t>UPPSALA</t>
        </is>
      </c>
      <c r="F756" t="inlineStr">
        <is>
          <t>Allmännings- och besparingsskogar</t>
        </is>
      </c>
      <c r="G756" t="n">
        <v>3.7</v>
      </c>
      <c r="H756" t="n">
        <v>0</v>
      </c>
      <c r="I756" t="n">
        <v>0</v>
      </c>
      <c r="J756" t="n">
        <v>0</v>
      </c>
      <c r="K756" t="n">
        <v>0</v>
      </c>
      <c r="L756" t="n">
        <v>0</v>
      </c>
      <c r="M756" t="n">
        <v>0</v>
      </c>
      <c r="N756" t="n">
        <v>0</v>
      </c>
      <c r="O756" t="n">
        <v>0</v>
      </c>
      <c r="P756" t="n">
        <v>0</v>
      </c>
      <c r="Q756" t="n">
        <v>0</v>
      </c>
      <c r="R756" s="2" t="inlineStr"/>
    </row>
    <row r="757" ht="15" customHeight="1">
      <c r="A757" t="inlineStr">
        <is>
          <t>A 45-2024</t>
        </is>
      </c>
      <c r="B757" s="1" t="n">
        <v>45293</v>
      </c>
      <c r="C757" s="1" t="n">
        <v>46134</v>
      </c>
      <c r="D757" t="inlineStr">
        <is>
          <t>UPPSALA LÄN</t>
        </is>
      </c>
      <c r="E757" t="inlineStr">
        <is>
          <t>UPPSALA</t>
        </is>
      </c>
      <c r="G757" t="n">
        <v>12.5</v>
      </c>
      <c r="H757" t="n">
        <v>0</v>
      </c>
      <c r="I757" t="n">
        <v>0</v>
      </c>
      <c r="J757" t="n">
        <v>0</v>
      </c>
      <c r="K757" t="n">
        <v>0</v>
      </c>
      <c r="L757" t="n">
        <v>0</v>
      </c>
      <c r="M757" t="n">
        <v>0</v>
      </c>
      <c r="N757" t="n">
        <v>0</v>
      </c>
      <c r="O757" t="n">
        <v>0</v>
      </c>
      <c r="P757" t="n">
        <v>0</v>
      </c>
      <c r="Q757" t="n">
        <v>0</v>
      </c>
      <c r="R757" s="2" t="inlineStr"/>
    </row>
    <row r="758" ht="15" customHeight="1">
      <c r="A758" t="inlineStr">
        <is>
          <t>A 38934-2023</t>
        </is>
      </c>
      <c r="B758" s="1" t="n">
        <v>45163.59913194444</v>
      </c>
      <c r="C758" s="1" t="n">
        <v>46134</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63527-2025</t>
        </is>
      </c>
      <c r="B759" s="1" t="n">
        <v>46013.55923611111</v>
      </c>
      <c r="C759" s="1" t="n">
        <v>46134</v>
      </c>
      <c r="D759" t="inlineStr">
        <is>
          <t>UPPSALA LÄN</t>
        </is>
      </c>
      <c r="E759" t="inlineStr">
        <is>
          <t>UPPSALA</t>
        </is>
      </c>
      <c r="G759" t="n">
        <v>6.3</v>
      </c>
      <c r="H759" t="n">
        <v>0</v>
      </c>
      <c r="I759" t="n">
        <v>0</v>
      </c>
      <c r="J759" t="n">
        <v>0</v>
      </c>
      <c r="K759" t="n">
        <v>0</v>
      </c>
      <c r="L759" t="n">
        <v>0</v>
      </c>
      <c r="M759" t="n">
        <v>0</v>
      </c>
      <c r="N759" t="n">
        <v>0</v>
      </c>
      <c r="O759" t="n">
        <v>0</v>
      </c>
      <c r="P759" t="n">
        <v>0</v>
      </c>
      <c r="Q759" t="n">
        <v>0</v>
      </c>
      <c r="R759" s="2" t="inlineStr"/>
    </row>
    <row r="760" ht="15" customHeight="1">
      <c r="A760" t="inlineStr">
        <is>
          <t>A 63534-2025</t>
        </is>
      </c>
      <c r="B760" s="1" t="n">
        <v>46013.57037037037</v>
      </c>
      <c r="C760" s="1" t="n">
        <v>46134</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15940-2026</t>
        </is>
      </c>
      <c r="B761" s="1" t="n">
        <v>46107.690625</v>
      </c>
      <c r="C761" s="1" t="n">
        <v>46134</v>
      </c>
      <c r="D761" t="inlineStr">
        <is>
          <t>UPPSALA LÄN</t>
        </is>
      </c>
      <c r="E761" t="inlineStr">
        <is>
          <t>UPPSALA</t>
        </is>
      </c>
      <c r="G761" t="n">
        <v>19.9</v>
      </c>
      <c r="H761" t="n">
        <v>0</v>
      </c>
      <c r="I761" t="n">
        <v>0</v>
      </c>
      <c r="J761" t="n">
        <v>0</v>
      </c>
      <c r="K761" t="n">
        <v>0</v>
      </c>
      <c r="L761" t="n">
        <v>0</v>
      </c>
      <c r="M761" t="n">
        <v>0</v>
      </c>
      <c r="N761" t="n">
        <v>0</v>
      </c>
      <c r="O761" t="n">
        <v>0</v>
      </c>
      <c r="P761" t="n">
        <v>0</v>
      </c>
      <c r="Q761" t="n">
        <v>0</v>
      </c>
      <c r="R761" s="2" t="inlineStr"/>
    </row>
    <row r="762" ht="15" customHeight="1">
      <c r="A762" t="inlineStr">
        <is>
          <t>A 27125-2023</t>
        </is>
      </c>
      <c r="B762" s="1" t="n">
        <v>45096</v>
      </c>
      <c r="C762" s="1" t="n">
        <v>46134</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179-2024</t>
        </is>
      </c>
      <c r="B763" s="1" t="n">
        <v>45294.5666550926</v>
      </c>
      <c r="C763" s="1" t="n">
        <v>46134</v>
      </c>
      <c r="D763" t="inlineStr">
        <is>
          <t>UPPSALA LÄN</t>
        </is>
      </c>
      <c r="E763" t="inlineStr">
        <is>
          <t>UPPSALA</t>
        </is>
      </c>
      <c r="F763" t="inlineStr">
        <is>
          <t>Bergvik skog öst AB</t>
        </is>
      </c>
      <c r="G763" t="n">
        <v>12.7</v>
      </c>
      <c r="H763" t="n">
        <v>0</v>
      </c>
      <c r="I763" t="n">
        <v>0</v>
      </c>
      <c r="J763" t="n">
        <v>0</v>
      </c>
      <c r="K763" t="n">
        <v>0</v>
      </c>
      <c r="L763" t="n">
        <v>0</v>
      </c>
      <c r="M763" t="n">
        <v>0</v>
      </c>
      <c r="N763" t="n">
        <v>0</v>
      </c>
      <c r="O763" t="n">
        <v>0</v>
      </c>
      <c r="P763" t="n">
        <v>0</v>
      </c>
      <c r="Q763" t="n">
        <v>0</v>
      </c>
      <c r="R763" s="2" t="inlineStr"/>
    </row>
    <row r="764" ht="15" customHeight="1">
      <c r="A764" t="inlineStr">
        <is>
          <t>A 13337-2026</t>
        </is>
      </c>
      <c r="B764" s="1" t="n">
        <v>46094</v>
      </c>
      <c r="C764" s="1" t="n">
        <v>46134</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15753-2026</t>
        </is>
      </c>
      <c r="B765" s="1" t="n">
        <v>46107.42894675926</v>
      </c>
      <c r="C765" s="1" t="n">
        <v>46134</v>
      </c>
      <c r="D765" t="inlineStr">
        <is>
          <t>UPPSALA LÄN</t>
        </is>
      </c>
      <c r="E765" t="inlineStr">
        <is>
          <t>UPPSALA</t>
        </is>
      </c>
      <c r="F765" t="inlineStr">
        <is>
          <t>Allmännings- och besparingsskogar</t>
        </is>
      </c>
      <c r="G765" t="n">
        <v>2.7</v>
      </c>
      <c r="H765" t="n">
        <v>0</v>
      </c>
      <c r="I765" t="n">
        <v>0</v>
      </c>
      <c r="J765" t="n">
        <v>0</v>
      </c>
      <c r="K765" t="n">
        <v>0</v>
      </c>
      <c r="L765" t="n">
        <v>0</v>
      </c>
      <c r="M765" t="n">
        <v>0</v>
      </c>
      <c r="N765" t="n">
        <v>0</v>
      </c>
      <c r="O765" t="n">
        <v>0</v>
      </c>
      <c r="P765" t="n">
        <v>0</v>
      </c>
      <c r="Q765" t="n">
        <v>0</v>
      </c>
      <c r="R765" s="2" t="inlineStr"/>
      <c r="U765">
        <f>HYPERLINK("https://klasma.github.io/Logging_0380/knärot/A 15753-2026 karta knärot.png", "A 15753-2026")</f>
        <v/>
      </c>
      <c r="V765">
        <f>HYPERLINK("https://klasma.github.io/Logging_0380/klagomål/A 15753-2026 FSC-klagomål.docx", "A 15753-2026")</f>
        <v/>
      </c>
      <c r="W765">
        <f>HYPERLINK("https://klasma.github.io/Logging_0380/klagomålsmail/A 15753-2026 FSC-klagomål mail.docx", "A 15753-2026")</f>
        <v/>
      </c>
      <c r="X765">
        <f>HYPERLINK("https://klasma.github.io/Logging_0380/tillsyn/A 15753-2026 tillsynsbegäran.docx", "A 15753-2026")</f>
        <v/>
      </c>
      <c r="Y765">
        <f>HYPERLINK("https://klasma.github.io/Logging_0380/tillsynsmail/A 15753-2026 tillsynsbegäran mail.docx", "A 15753-2026")</f>
        <v/>
      </c>
    </row>
    <row r="766" ht="15" customHeight="1">
      <c r="A766" t="inlineStr">
        <is>
          <t>A 74023-2021</t>
        </is>
      </c>
      <c r="B766" s="1" t="n">
        <v>44553</v>
      </c>
      <c r="C766" s="1" t="n">
        <v>46134</v>
      </c>
      <c r="D766" t="inlineStr">
        <is>
          <t>UPPSALA LÄN</t>
        </is>
      </c>
      <c r="E766" t="inlineStr">
        <is>
          <t>UPPSALA</t>
        </is>
      </c>
      <c r="G766" t="n">
        <v>5.4</v>
      </c>
      <c r="H766" t="n">
        <v>0</v>
      </c>
      <c r="I766" t="n">
        <v>0</v>
      </c>
      <c r="J766" t="n">
        <v>0</v>
      </c>
      <c r="K766" t="n">
        <v>0</v>
      </c>
      <c r="L766" t="n">
        <v>0</v>
      </c>
      <c r="M766" t="n">
        <v>0</v>
      </c>
      <c r="N766" t="n">
        <v>0</v>
      </c>
      <c r="O766" t="n">
        <v>0</v>
      </c>
      <c r="P766" t="n">
        <v>0</v>
      </c>
      <c r="Q766" t="n">
        <v>0</v>
      </c>
      <c r="R766" s="2" t="inlineStr"/>
    </row>
    <row r="767" ht="15" customHeight="1">
      <c r="A767" t="inlineStr">
        <is>
          <t>A 15935-2026</t>
        </is>
      </c>
      <c r="B767" s="1" t="n">
        <v>46107.67354166666</v>
      </c>
      <c r="C767" s="1" t="n">
        <v>46134</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16139-2026</t>
        </is>
      </c>
      <c r="B768" s="1" t="n">
        <v>46108.65554398148</v>
      </c>
      <c r="C768" s="1" t="n">
        <v>46134</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8377-2026</t>
        </is>
      </c>
      <c r="B769" s="1" t="n">
        <v>46064.78336805556</v>
      </c>
      <c r="C769" s="1" t="n">
        <v>46134</v>
      </c>
      <c r="D769" t="inlineStr">
        <is>
          <t>UPPSALA LÄN</t>
        </is>
      </c>
      <c r="E769" t="inlineStr">
        <is>
          <t>UPPSALA</t>
        </is>
      </c>
      <c r="G769" t="n">
        <v>1.4</v>
      </c>
      <c r="H769" t="n">
        <v>0</v>
      </c>
      <c r="I769" t="n">
        <v>0</v>
      </c>
      <c r="J769" t="n">
        <v>0</v>
      </c>
      <c r="K769" t="n">
        <v>0</v>
      </c>
      <c r="L769" t="n">
        <v>0</v>
      </c>
      <c r="M769" t="n">
        <v>0</v>
      </c>
      <c r="N769" t="n">
        <v>0</v>
      </c>
      <c r="O769" t="n">
        <v>0</v>
      </c>
      <c r="P769" t="n">
        <v>0</v>
      </c>
      <c r="Q769" t="n">
        <v>0</v>
      </c>
      <c r="R769" s="2" t="inlineStr"/>
    </row>
    <row r="770" ht="15" customHeight="1">
      <c r="A770" t="inlineStr">
        <is>
          <t>A 6989-2022</t>
        </is>
      </c>
      <c r="B770" s="1" t="n">
        <v>44603</v>
      </c>
      <c r="C770" s="1" t="n">
        <v>46134</v>
      </c>
      <c r="D770" t="inlineStr">
        <is>
          <t>UPPSALA LÄN</t>
        </is>
      </c>
      <c r="E770" t="inlineStr">
        <is>
          <t>UPPSALA</t>
        </is>
      </c>
      <c r="G770" t="n">
        <v>3.1</v>
      </c>
      <c r="H770" t="n">
        <v>0</v>
      </c>
      <c r="I770" t="n">
        <v>0</v>
      </c>
      <c r="J770" t="n">
        <v>0</v>
      </c>
      <c r="K770" t="n">
        <v>0</v>
      </c>
      <c r="L770" t="n">
        <v>0</v>
      </c>
      <c r="M770" t="n">
        <v>0</v>
      </c>
      <c r="N770" t="n">
        <v>0</v>
      </c>
      <c r="O770" t="n">
        <v>0</v>
      </c>
      <c r="P770" t="n">
        <v>0</v>
      </c>
      <c r="Q770" t="n">
        <v>0</v>
      </c>
      <c r="R770" s="2" t="inlineStr"/>
    </row>
    <row r="771" ht="15" customHeight="1">
      <c r="A771" t="inlineStr">
        <is>
          <t>A 38190-2023</t>
        </is>
      </c>
      <c r="B771" s="1" t="n">
        <v>45161</v>
      </c>
      <c r="C771" s="1" t="n">
        <v>46134</v>
      </c>
      <c r="D771" t="inlineStr">
        <is>
          <t>UPPSALA LÄN</t>
        </is>
      </c>
      <c r="E771" t="inlineStr">
        <is>
          <t>UPPSALA</t>
        </is>
      </c>
      <c r="G771" t="n">
        <v>0.4</v>
      </c>
      <c r="H771" t="n">
        <v>0</v>
      </c>
      <c r="I771" t="n">
        <v>0</v>
      </c>
      <c r="J771" t="n">
        <v>0</v>
      </c>
      <c r="K771" t="n">
        <v>0</v>
      </c>
      <c r="L771" t="n">
        <v>0</v>
      </c>
      <c r="M771" t="n">
        <v>0</v>
      </c>
      <c r="N771" t="n">
        <v>0</v>
      </c>
      <c r="O771" t="n">
        <v>0</v>
      </c>
      <c r="P771" t="n">
        <v>0</v>
      </c>
      <c r="Q771" t="n">
        <v>0</v>
      </c>
      <c r="R771" s="2" t="inlineStr"/>
    </row>
    <row r="772" ht="15" customHeight="1">
      <c r="A772" t="inlineStr">
        <is>
          <t>A 8500-2026</t>
        </is>
      </c>
      <c r="B772" s="1" t="n">
        <v>46065.50152777778</v>
      </c>
      <c r="C772" s="1" t="n">
        <v>46134</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34147-2024</t>
        </is>
      </c>
      <c r="B773" s="1" t="n">
        <v>45524</v>
      </c>
      <c r="C773" s="1" t="n">
        <v>46134</v>
      </c>
      <c r="D773" t="inlineStr">
        <is>
          <t>UPPSALA LÄN</t>
        </is>
      </c>
      <c r="E773" t="inlineStr">
        <is>
          <t>UPPSALA</t>
        </is>
      </c>
      <c r="F773" t="inlineStr">
        <is>
          <t>Allmännings- och besparingsskogar</t>
        </is>
      </c>
      <c r="G773" t="n">
        <v>0.2</v>
      </c>
      <c r="H773" t="n">
        <v>0</v>
      </c>
      <c r="I773" t="n">
        <v>0</v>
      </c>
      <c r="J773" t="n">
        <v>0</v>
      </c>
      <c r="K773" t="n">
        <v>0</v>
      </c>
      <c r="L773" t="n">
        <v>0</v>
      </c>
      <c r="M773" t="n">
        <v>0</v>
      </c>
      <c r="N773" t="n">
        <v>0</v>
      </c>
      <c r="O773" t="n">
        <v>0</v>
      </c>
      <c r="P773" t="n">
        <v>0</v>
      </c>
      <c r="Q773" t="n">
        <v>0</v>
      </c>
      <c r="R773" s="2" t="inlineStr"/>
    </row>
    <row r="774" ht="15" customHeight="1">
      <c r="A774" t="inlineStr">
        <is>
          <t>A 11224-2022</t>
        </is>
      </c>
      <c r="B774" s="1" t="n">
        <v>44629.57741898148</v>
      </c>
      <c r="C774" s="1" t="n">
        <v>46134</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26099-2024</t>
        </is>
      </c>
      <c r="B775" s="1" t="n">
        <v>45468</v>
      </c>
      <c r="C775" s="1" t="n">
        <v>46134</v>
      </c>
      <c r="D775" t="inlineStr">
        <is>
          <t>UPPSALA LÄN</t>
        </is>
      </c>
      <c r="E775" t="inlineStr">
        <is>
          <t>UPPSALA</t>
        </is>
      </c>
      <c r="G775" t="n">
        <v>0.3</v>
      </c>
      <c r="H775" t="n">
        <v>0</v>
      </c>
      <c r="I775" t="n">
        <v>0</v>
      </c>
      <c r="J775" t="n">
        <v>0</v>
      </c>
      <c r="K775" t="n">
        <v>0</v>
      </c>
      <c r="L775" t="n">
        <v>0</v>
      </c>
      <c r="M775" t="n">
        <v>0</v>
      </c>
      <c r="N775" t="n">
        <v>0</v>
      </c>
      <c r="O775" t="n">
        <v>0</v>
      </c>
      <c r="P775" t="n">
        <v>0</v>
      </c>
      <c r="Q775" t="n">
        <v>0</v>
      </c>
      <c r="R775" s="2" t="inlineStr"/>
    </row>
    <row r="776" ht="15" customHeight="1">
      <c r="A776" t="inlineStr">
        <is>
          <t>A 17788-2023</t>
        </is>
      </c>
      <c r="B776" s="1" t="n">
        <v>45037</v>
      </c>
      <c r="C776" s="1" t="n">
        <v>46134</v>
      </c>
      <c r="D776" t="inlineStr">
        <is>
          <t>UPPSALA LÄN</t>
        </is>
      </c>
      <c r="E776" t="inlineStr">
        <is>
          <t>UPPSALA</t>
        </is>
      </c>
      <c r="F776" t="inlineStr">
        <is>
          <t>Övriga Aktiebolag</t>
        </is>
      </c>
      <c r="G776" t="n">
        <v>3.7</v>
      </c>
      <c r="H776" t="n">
        <v>0</v>
      </c>
      <c r="I776" t="n">
        <v>0</v>
      </c>
      <c r="J776" t="n">
        <v>0</v>
      </c>
      <c r="K776" t="n">
        <v>0</v>
      </c>
      <c r="L776" t="n">
        <v>0</v>
      </c>
      <c r="M776" t="n">
        <v>0</v>
      </c>
      <c r="N776" t="n">
        <v>0</v>
      </c>
      <c r="O776" t="n">
        <v>0</v>
      </c>
      <c r="P776" t="n">
        <v>0</v>
      </c>
      <c r="Q776" t="n">
        <v>0</v>
      </c>
      <c r="R776" s="2" t="inlineStr"/>
    </row>
    <row r="777" ht="15" customHeight="1">
      <c r="A777" t="inlineStr">
        <is>
          <t>A 16676-2026</t>
        </is>
      </c>
      <c r="B777" s="1" t="n">
        <v>46112.6831712963</v>
      </c>
      <c r="C777" s="1" t="n">
        <v>46134</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33941-2023</t>
        </is>
      </c>
      <c r="B778" s="1" t="n">
        <v>45134.57021990741</v>
      </c>
      <c r="C778" s="1" t="n">
        <v>46134</v>
      </c>
      <c r="D778" t="inlineStr">
        <is>
          <t>UPPSALA LÄN</t>
        </is>
      </c>
      <c r="E778" t="inlineStr">
        <is>
          <t>UPPSALA</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9069-2026</t>
        </is>
      </c>
      <c r="B779" s="1" t="n">
        <v>46069.57407407407</v>
      </c>
      <c r="C779" s="1" t="n">
        <v>46134</v>
      </c>
      <c r="D779" t="inlineStr">
        <is>
          <t>UPPSALA LÄN</t>
        </is>
      </c>
      <c r="E779" t="inlineStr">
        <is>
          <t>UPPSALA</t>
        </is>
      </c>
      <c r="F779" t="inlineStr">
        <is>
          <t>Holmen skog AB</t>
        </is>
      </c>
      <c r="G779" t="n">
        <v>4.9</v>
      </c>
      <c r="H779" t="n">
        <v>0</v>
      </c>
      <c r="I779" t="n">
        <v>0</v>
      </c>
      <c r="J779" t="n">
        <v>0</v>
      </c>
      <c r="K779" t="n">
        <v>0</v>
      </c>
      <c r="L779" t="n">
        <v>0</v>
      </c>
      <c r="M779" t="n">
        <v>0</v>
      </c>
      <c r="N779" t="n">
        <v>0</v>
      </c>
      <c r="O779" t="n">
        <v>0</v>
      </c>
      <c r="P779" t="n">
        <v>0</v>
      </c>
      <c r="Q779" t="n">
        <v>0</v>
      </c>
      <c r="R779" s="2" t="inlineStr"/>
    </row>
    <row r="780" ht="15" customHeight="1">
      <c r="A780" t="inlineStr">
        <is>
          <t>A 70031-2021</t>
        </is>
      </c>
      <c r="B780" s="1" t="n">
        <v>44533.46665509259</v>
      </c>
      <c r="C780" s="1" t="n">
        <v>46134</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15629-2023</t>
        </is>
      </c>
      <c r="B781" s="1" t="n">
        <v>45021.29524305555</v>
      </c>
      <c r="C781" s="1" t="n">
        <v>46134</v>
      </c>
      <c r="D781" t="inlineStr">
        <is>
          <t>UPPSALA LÄN</t>
        </is>
      </c>
      <c r="E781" t="inlineStr">
        <is>
          <t>UPPSALA</t>
        </is>
      </c>
      <c r="F781" t="inlineStr">
        <is>
          <t>Övriga Aktiebolag</t>
        </is>
      </c>
      <c r="G781" t="n">
        <v>7</v>
      </c>
      <c r="H781" t="n">
        <v>0</v>
      </c>
      <c r="I781" t="n">
        <v>0</v>
      </c>
      <c r="J781" t="n">
        <v>0</v>
      </c>
      <c r="K781" t="n">
        <v>0</v>
      </c>
      <c r="L781" t="n">
        <v>0</v>
      </c>
      <c r="M781" t="n">
        <v>0</v>
      </c>
      <c r="N781" t="n">
        <v>0</v>
      </c>
      <c r="O781" t="n">
        <v>0</v>
      </c>
      <c r="P781" t="n">
        <v>0</v>
      </c>
      <c r="Q781" t="n">
        <v>0</v>
      </c>
      <c r="R781" s="2" t="inlineStr"/>
    </row>
    <row r="782" ht="15" customHeight="1">
      <c r="A782" t="inlineStr">
        <is>
          <t>A 16396-2026</t>
        </is>
      </c>
      <c r="B782" s="1" t="n">
        <v>46111.63601851852</v>
      </c>
      <c r="C782" s="1" t="n">
        <v>46134</v>
      </c>
      <c r="D782" t="inlineStr">
        <is>
          <t>UPPSALA LÄN</t>
        </is>
      </c>
      <c r="E782" t="inlineStr">
        <is>
          <t>UPPSALA</t>
        </is>
      </c>
      <c r="G782" t="n">
        <v>2</v>
      </c>
      <c r="H782" t="n">
        <v>0</v>
      </c>
      <c r="I782" t="n">
        <v>0</v>
      </c>
      <c r="J782" t="n">
        <v>0</v>
      </c>
      <c r="K782" t="n">
        <v>0</v>
      </c>
      <c r="L782" t="n">
        <v>0</v>
      </c>
      <c r="M782" t="n">
        <v>0</v>
      </c>
      <c r="N782" t="n">
        <v>0</v>
      </c>
      <c r="O782" t="n">
        <v>0</v>
      </c>
      <c r="P782" t="n">
        <v>0</v>
      </c>
      <c r="Q782" t="n">
        <v>0</v>
      </c>
      <c r="R782" s="2" t="inlineStr"/>
    </row>
    <row r="783" ht="15" customHeight="1">
      <c r="A783" t="inlineStr">
        <is>
          <t>A 16403-2026</t>
        </is>
      </c>
      <c r="B783" s="1" t="n">
        <v>46111.64125</v>
      </c>
      <c r="C783" s="1" t="n">
        <v>46134</v>
      </c>
      <c r="D783" t="inlineStr">
        <is>
          <t>UPPSALA LÄN</t>
        </is>
      </c>
      <c r="E783" t="inlineStr">
        <is>
          <t>UPPSALA</t>
        </is>
      </c>
      <c r="G783" t="n">
        <v>4.5</v>
      </c>
      <c r="H783" t="n">
        <v>0</v>
      </c>
      <c r="I783" t="n">
        <v>0</v>
      </c>
      <c r="J783" t="n">
        <v>0</v>
      </c>
      <c r="K783" t="n">
        <v>0</v>
      </c>
      <c r="L783" t="n">
        <v>0</v>
      </c>
      <c r="M783" t="n">
        <v>0</v>
      </c>
      <c r="N783" t="n">
        <v>0</v>
      </c>
      <c r="O783" t="n">
        <v>0</v>
      </c>
      <c r="P783" t="n">
        <v>0</v>
      </c>
      <c r="Q783" t="n">
        <v>0</v>
      </c>
      <c r="R783" s="2" t="inlineStr"/>
    </row>
    <row r="784" ht="15" customHeight="1">
      <c r="A784" t="inlineStr">
        <is>
          <t>A 46745-2024</t>
        </is>
      </c>
      <c r="B784" s="1" t="n">
        <v>45583</v>
      </c>
      <c r="C784" s="1" t="n">
        <v>46134</v>
      </c>
      <c r="D784" t="inlineStr">
        <is>
          <t>UPPSALA LÄN</t>
        </is>
      </c>
      <c r="E784" t="inlineStr">
        <is>
          <t>UPPSALA</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46748-2024</t>
        </is>
      </c>
      <c r="B785" s="1" t="n">
        <v>45583</v>
      </c>
      <c r="C785" s="1" t="n">
        <v>46134</v>
      </c>
      <c r="D785" t="inlineStr">
        <is>
          <t>UPPSALA LÄN</t>
        </is>
      </c>
      <c r="E785" t="inlineStr">
        <is>
          <t>UPPSALA</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70228-2021</t>
        </is>
      </c>
      <c r="B786" s="1" t="n">
        <v>44535</v>
      </c>
      <c r="C786" s="1" t="n">
        <v>46134</v>
      </c>
      <c r="D786" t="inlineStr">
        <is>
          <t>UPPSALA LÄN</t>
        </is>
      </c>
      <c r="E786" t="inlineStr">
        <is>
          <t>UPPSALA</t>
        </is>
      </c>
      <c r="G786" t="n">
        <v>1.8</v>
      </c>
      <c r="H786" t="n">
        <v>0</v>
      </c>
      <c r="I786" t="n">
        <v>0</v>
      </c>
      <c r="J786" t="n">
        <v>0</v>
      </c>
      <c r="K786" t="n">
        <v>0</v>
      </c>
      <c r="L786" t="n">
        <v>0</v>
      </c>
      <c r="M786" t="n">
        <v>0</v>
      </c>
      <c r="N786" t="n">
        <v>0</v>
      </c>
      <c r="O786" t="n">
        <v>0</v>
      </c>
      <c r="P786" t="n">
        <v>0</v>
      </c>
      <c r="Q786" t="n">
        <v>0</v>
      </c>
      <c r="R786" s="2" t="inlineStr"/>
    </row>
    <row r="787" ht="15" customHeight="1">
      <c r="A787" t="inlineStr">
        <is>
          <t>A 12221-2022</t>
        </is>
      </c>
      <c r="B787" s="1" t="n">
        <v>44637.35744212963</v>
      </c>
      <c r="C787" s="1" t="n">
        <v>46134</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17481-2023</t>
        </is>
      </c>
      <c r="B788" s="1" t="n">
        <v>45036</v>
      </c>
      <c r="C788" s="1" t="n">
        <v>46134</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56067-2024</t>
        </is>
      </c>
      <c r="B789" s="1" t="n">
        <v>45624</v>
      </c>
      <c r="C789" s="1" t="n">
        <v>46134</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16673-2026</t>
        </is>
      </c>
      <c r="B790" s="1" t="n">
        <v>46112.67483796296</v>
      </c>
      <c r="C790" s="1" t="n">
        <v>46134</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38493-2023</t>
        </is>
      </c>
      <c r="B791" s="1" t="n">
        <v>45162</v>
      </c>
      <c r="C791" s="1" t="n">
        <v>46134</v>
      </c>
      <c r="D791" t="inlineStr">
        <is>
          <t>UPPSALA LÄN</t>
        </is>
      </c>
      <c r="E791" t="inlineStr">
        <is>
          <t>UPPSALA</t>
        </is>
      </c>
      <c r="F791" t="inlineStr">
        <is>
          <t>Allmännings- och besparingsskogar</t>
        </is>
      </c>
      <c r="G791" t="n">
        <v>3.5</v>
      </c>
      <c r="H791" t="n">
        <v>0</v>
      </c>
      <c r="I791" t="n">
        <v>0</v>
      </c>
      <c r="J791" t="n">
        <v>0</v>
      </c>
      <c r="K791" t="n">
        <v>0</v>
      </c>
      <c r="L791" t="n">
        <v>0</v>
      </c>
      <c r="M791" t="n">
        <v>0</v>
      </c>
      <c r="N791" t="n">
        <v>0</v>
      </c>
      <c r="O791" t="n">
        <v>0</v>
      </c>
      <c r="P791" t="n">
        <v>0</v>
      </c>
      <c r="Q791" t="n">
        <v>0</v>
      </c>
      <c r="R791" s="2" t="inlineStr"/>
    </row>
    <row r="792" ht="15" customHeight="1">
      <c r="A792" t="inlineStr">
        <is>
          <t>A 37618-2023</t>
        </is>
      </c>
      <c r="B792" s="1" t="n">
        <v>45159.44694444445</v>
      </c>
      <c r="C792" s="1" t="n">
        <v>46134</v>
      </c>
      <c r="D792" t="inlineStr">
        <is>
          <t>UPPSALA LÄN</t>
        </is>
      </c>
      <c r="E792" t="inlineStr">
        <is>
          <t>UPPSALA</t>
        </is>
      </c>
      <c r="G792" t="n">
        <v>2.6</v>
      </c>
      <c r="H792" t="n">
        <v>0</v>
      </c>
      <c r="I792" t="n">
        <v>0</v>
      </c>
      <c r="J792" t="n">
        <v>0</v>
      </c>
      <c r="K792" t="n">
        <v>0</v>
      </c>
      <c r="L792" t="n">
        <v>0</v>
      </c>
      <c r="M792" t="n">
        <v>0</v>
      </c>
      <c r="N792" t="n">
        <v>0</v>
      </c>
      <c r="O792" t="n">
        <v>0</v>
      </c>
      <c r="P792" t="n">
        <v>0</v>
      </c>
      <c r="Q792" t="n">
        <v>0</v>
      </c>
      <c r="R792" s="2" t="inlineStr"/>
    </row>
    <row r="793" ht="15" customHeight="1">
      <c r="A793" t="inlineStr">
        <is>
          <t>A 17127-2026</t>
        </is>
      </c>
      <c r="B793" s="1" t="n">
        <v>46114.67155092592</v>
      </c>
      <c r="C793" s="1" t="n">
        <v>46134</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35142-2023</t>
        </is>
      </c>
      <c r="B794" s="1" t="n">
        <v>45145</v>
      </c>
      <c r="C794" s="1" t="n">
        <v>46134</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17073-2026</t>
        </is>
      </c>
      <c r="B795" s="1" t="n">
        <v>46114.54997685185</v>
      </c>
      <c r="C795" s="1" t="n">
        <v>46134</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17080-2026</t>
        </is>
      </c>
      <c r="B796" s="1" t="n">
        <v>46114.55930555556</v>
      </c>
      <c r="C796" s="1" t="n">
        <v>46134</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47083-2023</t>
        </is>
      </c>
      <c r="B797" s="1" t="n">
        <v>45201.62318287037</v>
      </c>
      <c r="C797" s="1" t="n">
        <v>46134</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9255-2024</t>
        </is>
      </c>
      <c r="B798" s="1" t="n">
        <v>45358</v>
      </c>
      <c r="C798" s="1" t="n">
        <v>46134</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17133-2026</t>
        </is>
      </c>
      <c r="B799" s="1" t="n">
        <v>46114.67729166667</v>
      </c>
      <c r="C799" s="1" t="n">
        <v>46134</v>
      </c>
      <c r="D799" t="inlineStr">
        <is>
          <t>UPPSALA LÄN</t>
        </is>
      </c>
      <c r="E799" t="inlineStr">
        <is>
          <t>UPPSALA</t>
        </is>
      </c>
      <c r="F799" t="inlineStr">
        <is>
          <t>Bergvik skog öst AB</t>
        </is>
      </c>
      <c r="G799" t="n">
        <v>1</v>
      </c>
      <c r="H799" t="n">
        <v>0</v>
      </c>
      <c r="I799" t="n">
        <v>0</v>
      </c>
      <c r="J799" t="n">
        <v>0</v>
      </c>
      <c r="K799" t="n">
        <v>0</v>
      </c>
      <c r="L799" t="n">
        <v>0</v>
      </c>
      <c r="M799" t="n">
        <v>0</v>
      </c>
      <c r="N799" t="n">
        <v>0</v>
      </c>
      <c r="O799" t="n">
        <v>0</v>
      </c>
      <c r="P799" t="n">
        <v>0</v>
      </c>
      <c r="Q799" t="n">
        <v>0</v>
      </c>
      <c r="R799" s="2" t="inlineStr"/>
    </row>
    <row r="800" ht="15" customHeight="1">
      <c r="A800" t="inlineStr">
        <is>
          <t>A 66983-2021</t>
        </is>
      </c>
      <c r="B800" s="1" t="n">
        <v>44522</v>
      </c>
      <c r="C800" s="1" t="n">
        <v>46134</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9242-2022</t>
        </is>
      </c>
      <c r="B801" s="1" t="n">
        <v>44616</v>
      </c>
      <c r="C801" s="1" t="n">
        <v>46134</v>
      </c>
      <c r="D801" t="inlineStr">
        <is>
          <t>UPPSALA LÄN</t>
        </is>
      </c>
      <c r="E801" t="inlineStr">
        <is>
          <t>UPPSALA</t>
        </is>
      </c>
      <c r="F801" t="inlineStr">
        <is>
          <t>Övriga Aktiebolag</t>
        </is>
      </c>
      <c r="G801" t="n">
        <v>5.9</v>
      </c>
      <c r="H801" t="n">
        <v>0</v>
      </c>
      <c r="I801" t="n">
        <v>0</v>
      </c>
      <c r="J801" t="n">
        <v>0</v>
      </c>
      <c r="K801" t="n">
        <v>0</v>
      </c>
      <c r="L801" t="n">
        <v>0</v>
      </c>
      <c r="M801" t="n">
        <v>0</v>
      </c>
      <c r="N801" t="n">
        <v>0</v>
      </c>
      <c r="O801" t="n">
        <v>0</v>
      </c>
      <c r="P801" t="n">
        <v>0</v>
      </c>
      <c r="Q801" t="n">
        <v>0</v>
      </c>
      <c r="R801" s="2" t="inlineStr"/>
    </row>
    <row r="802" ht="15" customHeight="1">
      <c r="A802" t="inlineStr">
        <is>
          <t>A 42528-2023</t>
        </is>
      </c>
      <c r="B802" s="1" t="n">
        <v>45181.33571759259</v>
      </c>
      <c r="C802" s="1" t="n">
        <v>46134</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17131-2026</t>
        </is>
      </c>
      <c r="B803" s="1" t="n">
        <v>46114.67606481481</v>
      </c>
      <c r="C803" s="1" t="n">
        <v>46134</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65659-2021</t>
        </is>
      </c>
      <c r="B804" s="1" t="n">
        <v>44516</v>
      </c>
      <c r="C804" s="1" t="n">
        <v>46134</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17125-2026</t>
        </is>
      </c>
      <c r="B805" s="1" t="n">
        <v>46114.66987268518</v>
      </c>
      <c r="C805" s="1" t="n">
        <v>46134</v>
      </c>
      <c r="D805" t="inlineStr">
        <is>
          <t>UPPSALA LÄN</t>
        </is>
      </c>
      <c r="E805" t="inlineStr">
        <is>
          <t>UPPSALA</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42063-2023</t>
        </is>
      </c>
      <c r="B806" s="1" t="n">
        <v>45177.56940972222</v>
      </c>
      <c r="C806" s="1" t="n">
        <v>46134</v>
      </c>
      <c r="D806" t="inlineStr">
        <is>
          <t>UPPSALA LÄN</t>
        </is>
      </c>
      <c r="E806" t="inlineStr">
        <is>
          <t>UPPSALA</t>
        </is>
      </c>
      <c r="G806" t="n">
        <v>5.6</v>
      </c>
      <c r="H806" t="n">
        <v>0</v>
      </c>
      <c r="I806" t="n">
        <v>0</v>
      </c>
      <c r="J806" t="n">
        <v>0</v>
      </c>
      <c r="K806" t="n">
        <v>0</v>
      </c>
      <c r="L806" t="n">
        <v>0</v>
      </c>
      <c r="M806" t="n">
        <v>0</v>
      </c>
      <c r="N806" t="n">
        <v>0</v>
      </c>
      <c r="O806" t="n">
        <v>0</v>
      </c>
      <c r="P806" t="n">
        <v>0</v>
      </c>
      <c r="Q806" t="n">
        <v>0</v>
      </c>
      <c r="R806" s="2" t="inlineStr"/>
    </row>
    <row r="807" ht="15" customHeight="1">
      <c r="A807" t="inlineStr">
        <is>
          <t>A 13602-2025</t>
        </is>
      </c>
      <c r="B807" s="1" t="n">
        <v>45736.60863425926</v>
      </c>
      <c r="C807" s="1" t="n">
        <v>46134</v>
      </c>
      <c r="D807" t="inlineStr">
        <is>
          <t>UPPSALA LÄN</t>
        </is>
      </c>
      <c r="E807" t="inlineStr">
        <is>
          <t>UPPSALA</t>
        </is>
      </c>
      <c r="F807" t="inlineStr">
        <is>
          <t>Allmännings- och besparingsskogar</t>
        </is>
      </c>
      <c r="G807" t="n">
        <v>9.5</v>
      </c>
      <c r="H807" t="n">
        <v>0</v>
      </c>
      <c r="I807" t="n">
        <v>0</v>
      </c>
      <c r="J807" t="n">
        <v>0</v>
      </c>
      <c r="K807" t="n">
        <v>0</v>
      </c>
      <c r="L807" t="n">
        <v>0</v>
      </c>
      <c r="M807" t="n">
        <v>0</v>
      </c>
      <c r="N807" t="n">
        <v>0</v>
      </c>
      <c r="O807" t="n">
        <v>0</v>
      </c>
      <c r="P807" t="n">
        <v>0</v>
      </c>
      <c r="Q807" t="n">
        <v>0</v>
      </c>
      <c r="R807" s="2" t="inlineStr"/>
    </row>
    <row r="808" ht="15" customHeight="1">
      <c r="A808" t="inlineStr">
        <is>
          <t>A 10223-2026</t>
        </is>
      </c>
      <c r="B808" s="1" t="n">
        <v>46076.50559027777</v>
      </c>
      <c r="C808" s="1" t="n">
        <v>46134</v>
      </c>
      <c r="D808" t="inlineStr">
        <is>
          <t>UPPSALA LÄN</t>
        </is>
      </c>
      <c r="E808" t="inlineStr">
        <is>
          <t>UPPSALA</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18781-2025</t>
        </is>
      </c>
      <c r="B809" s="1" t="n">
        <v>45763</v>
      </c>
      <c r="C809" s="1" t="n">
        <v>46134</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10587-2026</t>
        </is>
      </c>
      <c r="B810" s="1" t="n">
        <v>46077.68528935185</v>
      </c>
      <c r="C810" s="1" t="n">
        <v>46134</v>
      </c>
      <c r="D810" t="inlineStr">
        <is>
          <t>UPPSALA LÄN</t>
        </is>
      </c>
      <c r="E810" t="inlineStr">
        <is>
          <t>UPPSALA</t>
        </is>
      </c>
      <c r="F810" t="inlineStr">
        <is>
          <t>Bergvik skog öst AB</t>
        </is>
      </c>
      <c r="G810" t="n">
        <v>5.8</v>
      </c>
      <c r="H810" t="n">
        <v>0</v>
      </c>
      <c r="I810" t="n">
        <v>0</v>
      </c>
      <c r="J810" t="n">
        <v>0</v>
      </c>
      <c r="K810" t="n">
        <v>0</v>
      </c>
      <c r="L810" t="n">
        <v>0</v>
      </c>
      <c r="M810" t="n">
        <v>0</v>
      </c>
      <c r="N810" t="n">
        <v>0</v>
      </c>
      <c r="O810" t="n">
        <v>0</v>
      </c>
      <c r="P810" t="n">
        <v>0</v>
      </c>
      <c r="Q810" t="n">
        <v>0</v>
      </c>
      <c r="R810" s="2" t="inlineStr"/>
    </row>
    <row r="811" ht="15" customHeight="1">
      <c r="A811" t="inlineStr">
        <is>
          <t>A 60735-2024</t>
        </is>
      </c>
      <c r="B811" s="1" t="n">
        <v>45644</v>
      </c>
      <c r="C811" s="1" t="n">
        <v>46134</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37626-2023</t>
        </is>
      </c>
      <c r="B812" s="1" t="n">
        <v>45159.45748842593</v>
      </c>
      <c r="C812" s="1" t="n">
        <v>46134</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17218-2026</t>
        </is>
      </c>
      <c r="B813" s="1" t="n">
        <v>46119.37065972222</v>
      </c>
      <c r="C813" s="1" t="n">
        <v>46134</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60445-2024</t>
        </is>
      </c>
      <c r="B814" s="1" t="n">
        <v>45643</v>
      </c>
      <c r="C814" s="1" t="n">
        <v>46134</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17217-2026</t>
        </is>
      </c>
      <c r="B815" s="1" t="n">
        <v>46119.3684375</v>
      </c>
      <c r="C815" s="1" t="n">
        <v>46134</v>
      </c>
      <c r="D815" t="inlineStr">
        <is>
          <t>UPPSALA LÄN</t>
        </is>
      </c>
      <c r="E815" t="inlineStr">
        <is>
          <t>UPPSALA</t>
        </is>
      </c>
      <c r="G815" t="n">
        <v>2.5</v>
      </c>
      <c r="H815" t="n">
        <v>0</v>
      </c>
      <c r="I815" t="n">
        <v>0</v>
      </c>
      <c r="J815" t="n">
        <v>0</v>
      </c>
      <c r="K815" t="n">
        <v>0</v>
      </c>
      <c r="L815" t="n">
        <v>0</v>
      </c>
      <c r="M815" t="n">
        <v>0</v>
      </c>
      <c r="N815" t="n">
        <v>0</v>
      </c>
      <c r="O815" t="n">
        <v>0</v>
      </c>
      <c r="P815" t="n">
        <v>0</v>
      </c>
      <c r="Q815" t="n">
        <v>0</v>
      </c>
      <c r="R815" s="2" t="inlineStr"/>
    </row>
    <row r="816" ht="15" customHeight="1">
      <c r="A816" t="inlineStr">
        <is>
          <t>A 17232-2022</t>
        </is>
      </c>
      <c r="B816" s="1" t="n">
        <v>44678.3315625</v>
      </c>
      <c r="C816" s="1" t="n">
        <v>46134</v>
      </c>
      <c r="D816" t="inlineStr">
        <is>
          <t>UPPSALA LÄN</t>
        </is>
      </c>
      <c r="E816" t="inlineStr">
        <is>
          <t>UPPSALA</t>
        </is>
      </c>
      <c r="F816" t="inlineStr">
        <is>
          <t>Övriga Aktiebolag</t>
        </is>
      </c>
      <c r="G816" t="n">
        <v>7.4</v>
      </c>
      <c r="H816" t="n">
        <v>0</v>
      </c>
      <c r="I816" t="n">
        <v>0</v>
      </c>
      <c r="J816" t="n">
        <v>0</v>
      </c>
      <c r="K816" t="n">
        <v>0</v>
      </c>
      <c r="L816" t="n">
        <v>0</v>
      </c>
      <c r="M816" t="n">
        <v>0</v>
      </c>
      <c r="N816" t="n">
        <v>0</v>
      </c>
      <c r="O816" t="n">
        <v>0</v>
      </c>
      <c r="P816" t="n">
        <v>0</v>
      </c>
      <c r="Q816" t="n">
        <v>0</v>
      </c>
      <c r="R816" s="2" t="inlineStr"/>
    </row>
    <row r="817" ht="15" customHeight="1">
      <c r="A817" t="inlineStr">
        <is>
          <t>A 8404-2022</t>
        </is>
      </c>
      <c r="B817" s="1" t="n">
        <v>44610</v>
      </c>
      <c r="C817" s="1" t="n">
        <v>46134</v>
      </c>
      <c r="D817" t="inlineStr">
        <is>
          <t>UPPSALA LÄN</t>
        </is>
      </c>
      <c r="E817" t="inlineStr">
        <is>
          <t>UPPSALA</t>
        </is>
      </c>
      <c r="F817" t="inlineStr">
        <is>
          <t>Allmännings- och besparingsskogar</t>
        </is>
      </c>
      <c r="G817" t="n">
        <v>5.4</v>
      </c>
      <c r="H817" t="n">
        <v>0</v>
      </c>
      <c r="I817" t="n">
        <v>0</v>
      </c>
      <c r="J817" t="n">
        <v>0</v>
      </c>
      <c r="K817" t="n">
        <v>0</v>
      </c>
      <c r="L817" t="n">
        <v>0</v>
      </c>
      <c r="M817" t="n">
        <v>0</v>
      </c>
      <c r="N817" t="n">
        <v>0</v>
      </c>
      <c r="O817" t="n">
        <v>0</v>
      </c>
      <c r="P817" t="n">
        <v>0</v>
      </c>
      <c r="Q817" t="n">
        <v>0</v>
      </c>
      <c r="R817" s="2" t="inlineStr"/>
    </row>
    <row r="818" ht="15" customHeight="1">
      <c r="A818" t="inlineStr">
        <is>
          <t>A 53921-2024</t>
        </is>
      </c>
      <c r="B818" s="1" t="n">
        <v>45615</v>
      </c>
      <c r="C818" s="1" t="n">
        <v>46134</v>
      </c>
      <c r="D818" t="inlineStr">
        <is>
          <t>UPPSALA LÄN</t>
        </is>
      </c>
      <c r="E818" t="inlineStr">
        <is>
          <t>UPPSALA</t>
        </is>
      </c>
      <c r="G818" t="n">
        <v>8.1</v>
      </c>
      <c r="H818" t="n">
        <v>0</v>
      </c>
      <c r="I818" t="n">
        <v>0</v>
      </c>
      <c r="J818" t="n">
        <v>0</v>
      </c>
      <c r="K818" t="n">
        <v>0</v>
      </c>
      <c r="L818" t="n">
        <v>0</v>
      </c>
      <c r="M818" t="n">
        <v>0</v>
      </c>
      <c r="N818" t="n">
        <v>0</v>
      </c>
      <c r="O818" t="n">
        <v>0</v>
      </c>
      <c r="P818" t="n">
        <v>0</v>
      </c>
      <c r="Q818" t="n">
        <v>0</v>
      </c>
      <c r="R818" s="2" t="inlineStr"/>
    </row>
    <row r="819" ht="15" customHeight="1">
      <c r="A819" t="inlineStr">
        <is>
          <t>A 10584-2026</t>
        </is>
      </c>
      <c r="B819" s="1" t="n">
        <v>46077.67903935185</v>
      </c>
      <c r="C819" s="1" t="n">
        <v>46134</v>
      </c>
      <c r="D819" t="inlineStr">
        <is>
          <t>UPPSALA LÄN</t>
        </is>
      </c>
      <c r="E819" t="inlineStr">
        <is>
          <t>UPPSALA</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10585-2026</t>
        </is>
      </c>
      <c r="B820" s="1" t="n">
        <v>46077.68155092592</v>
      </c>
      <c r="C820" s="1" t="n">
        <v>46134</v>
      </c>
      <c r="D820" t="inlineStr">
        <is>
          <t>UPPSALA LÄN</t>
        </is>
      </c>
      <c r="E820" t="inlineStr">
        <is>
          <t>UPPSALA</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59562-2024</t>
        </is>
      </c>
      <c r="B821" s="1" t="n">
        <v>45638</v>
      </c>
      <c r="C821" s="1" t="n">
        <v>46134</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60698-2024</t>
        </is>
      </c>
      <c r="B822" s="1" t="n">
        <v>45644</v>
      </c>
      <c r="C822" s="1" t="n">
        <v>46134</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44115-2023</t>
        </is>
      </c>
      <c r="B823" s="1" t="n">
        <v>45188</v>
      </c>
      <c r="C823" s="1" t="n">
        <v>46134</v>
      </c>
      <c r="D823" t="inlineStr">
        <is>
          <t>UPPSALA LÄN</t>
        </is>
      </c>
      <c r="E823" t="inlineStr">
        <is>
          <t>UPPSALA</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42772-2022</t>
        </is>
      </c>
      <c r="B824" s="1" t="n">
        <v>44832.49594907407</v>
      </c>
      <c r="C824" s="1" t="n">
        <v>46134</v>
      </c>
      <c r="D824" t="inlineStr">
        <is>
          <t>UPPSALA LÄN</t>
        </is>
      </c>
      <c r="E824" t="inlineStr">
        <is>
          <t>UPPSALA</t>
        </is>
      </c>
      <c r="G824" t="n">
        <v>17.7</v>
      </c>
      <c r="H824" t="n">
        <v>0</v>
      </c>
      <c r="I824" t="n">
        <v>0</v>
      </c>
      <c r="J824" t="n">
        <v>0</v>
      </c>
      <c r="K824" t="n">
        <v>0</v>
      </c>
      <c r="L824" t="n">
        <v>0</v>
      </c>
      <c r="M824" t="n">
        <v>0</v>
      </c>
      <c r="N824" t="n">
        <v>0</v>
      </c>
      <c r="O824" t="n">
        <v>0</v>
      </c>
      <c r="P824" t="n">
        <v>0</v>
      </c>
      <c r="Q824" t="n">
        <v>0</v>
      </c>
      <c r="R824" s="2" t="inlineStr"/>
    </row>
    <row r="825" ht="15" customHeight="1">
      <c r="A825" t="inlineStr">
        <is>
          <t>A 6363-2024</t>
        </is>
      </c>
      <c r="B825" s="1" t="n">
        <v>45338.49412037037</v>
      </c>
      <c r="C825" s="1" t="n">
        <v>46134</v>
      </c>
      <c r="D825" t="inlineStr">
        <is>
          <t>UPPSALA LÄN</t>
        </is>
      </c>
      <c r="E825" t="inlineStr">
        <is>
          <t>UPPSALA</t>
        </is>
      </c>
      <c r="G825" t="n">
        <v>1.3</v>
      </c>
      <c r="H825" t="n">
        <v>0</v>
      </c>
      <c r="I825" t="n">
        <v>0</v>
      </c>
      <c r="J825" t="n">
        <v>0</v>
      </c>
      <c r="K825" t="n">
        <v>0</v>
      </c>
      <c r="L825" t="n">
        <v>0</v>
      </c>
      <c r="M825" t="n">
        <v>0</v>
      </c>
      <c r="N825" t="n">
        <v>0</v>
      </c>
      <c r="O825" t="n">
        <v>0</v>
      </c>
      <c r="P825" t="n">
        <v>0</v>
      </c>
      <c r="Q825" t="n">
        <v>0</v>
      </c>
      <c r="R825" s="2" t="inlineStr"/>
    </row>
    <row r="826" ht="15" customHeight="1">
      <c r="A826" t="inlineStr">
        <is>
          <t>A 10490-2025</t>
        </is>
      </c>
      <c r="B826" s="1" t="n">
        <v>45721.35173611111</v>
      </c>
      <c r="C826" s="1" t="n">
        <v>46134</v>
      </c>
      <c r="D826" t="inlineStr">
        <is>
          <t>UPPSALA LÄN</t>
        </is>
      </c>
      <c r="E826" t="inlineStr">
        <is>
          <t>UPPSALA</t>
        </is>
      </c>
      <c r="G826" t="n">
        <v>1.8</v>
      </c>
      <c r="H826" t="n">
        <v>0</v>
      </c>
      <c r="I826" t="n">
        <v>0</v>
      </c>
      <c r="J826" t="n">
        <v>0</v>
      </c>
      <c r="K826" t="n">
        <v>0</v>
      </c>
      <c r="L826" t="n">
        <v>0</v>
      </c>
      <c r="M826" t="n">
        <v>0</v>
      </c>
      <c r="N826" t="n">
        <v>0</v>
      </c>
      <c r="O826" t="n">
        <v>0</v>
      </c>
      <c r="P826" t="n">
        <v>0</v>
      </c>
      <c r="Q826" t="n">
        <v>0</v>
      </c>
      <c r="R826" s="2" t="inlineStr"/>
    </row>
    <row r="827" ht="15" customHeight="1">
      <c r="A827" t="inlineStr">
        <is>
          <t>A 17899-2026</t>
        </is>
      </c>
      <c r="B827" s="1" t="n">
        <v>46122.5830787037</v>
      </c>
      <c r="C827" s="1" t="n">
        <v>46134</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46134</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35914-2023</t>
        </is>
      </c>
      <c r="B829" s="1" t="n">
        <v>45148</v>
      </c>
      <c r="C829" s="1" t="n">
        <v>46134</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17737-2026</t>
        </is>
      </c>
      <c r="B830" s="1" t="n">
        <v>46122.2915625</v>
      </c>
      <c r="C830" s="1" t="n">
        <v>46134</v>
      </c>
      <c r="D830" t="inlineStr">
        <is>
          <t>UPPSALA LÄN</t>
        </is>
      </c>
      <c r="E830" t="inlineStr">
        <is>
          <t>UPPSALA</t>
        </is>
      </c>
      <c r="F830" t="inlineStr">
        <is>
          <t>Bergvik skog öst AB</t>
        </is>
      </c>
      <c r="G830" t="n">
        <v>2.9</v>
      </c>
      <c r="H830" t="n">
        <v>0</v>
      </c>
      <c r="I830" t="n">
        <v>0</v>
      </c>
      <c r="J830" t="n">
        <v>0</v>
      </c>
      <c r="K830" t="n">
        <v>0</v>
      </c>
      <c r="L830" t="n">
        <v>0</v>
      </c>
      <c r="M830" t="n">
        <v>0</v>
      </c>
      <c r="N830" t="n">
        <v>0</v>
      </c>
      <c r="O830" t="n">
        <v>0</v>
      </c>
      <c r="P830" t="n">
        <v>0</v>
      </c>
      <c r="Q830" t="n">
        <v>0</v>
      </c>
      <c r="R830" s="2" t="inlineStr"/>
    </row>
    <row r="831" ht="15" customHeight="1">
      <c r="A831" t="inlineStr">
        <is>
          <t>A 35916-2023</t>
        </is>
      </c>
      <c r="B831" s="1" t="n">
        <v>45148</v>
      </c>
      <c r="C831" s="1" t="n">
        <v>46134</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4312-2022</t>
        </is>
      </c>
      <c r="B832" s="1" t="n">
        <v>44588</v>
      </c>
      <c r="C832" s="1" t="n">
        <v>46134</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11276-2026</t>
        </is>
      </c>
      <c r="B833" s="1" t="n">
        <v>46080.58021990741</v>
      </c>
      <c r="C833" s="1" t="n">
        <v>46134</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17786-2026</t>
        </is>
      </c>
      <c r="B834" s="1" t="n">
        <v>46122.38054398148</v>
      </c>
      <c r="C834" s="1" t="n">
        <v>46134</v>
      </c>
      <c r="D834" t="inlineStr">
        <is>
          <t>UPPSALA LÄN</t>
        </is>
      </c>
      <c r="E834" t="inlineStr">
        <is>
          <t>UPPSALA</t>
        </is>
      </c>
      <c r="F834" t="inlineStr">
        <is>
          <t>Bergvik skog öst AB</t>
        </is>
      </c>
      <c r="G834" t="n">
        <v>4.3</v>
      </c>
      <c r="H834" t="n">
        <v>0</v>
      </c>
      <c r="I834" t="n">
        <v>0</v>
      </c>
      <c r="J834" t="n">
        <v>0</v>
      </c>
      <c r="K834" t="n">
        <v>0</v>
      </c>
      <c r="L834" t="n">
        <v>0</v>
      </c>
      <c r="M834" t="n">
        <v>0</v>
      </c>
      <c r="N834" t="n">
        <v>0</v>
      </c>
      <c r="O834" t="n">
        <v>0</v>
      </c>
      <c r="P834" t="n">
        <v>0</v>
      </c>
      <c r="Q834" t="n">
        <v>0</v>
      </c>
      <c r="R834" s="2" t="inlineStr"/>
    </row>
    <row r="835" ht="15" customHeight="1">
      <c r="A835" t="inlineStr">
        <is>
          <t>A 4065-2024</t>
        </is>
      </c>
      <c r="B835" s="1" t="n">
        <v>45323.55914351852</v>
      </c>
      <c r="C835" s="1" t="n">
        <v>46134</v>
      </c>
      <c r="D835" t="inlineStr">
        <is>
          <t>UPPSALA LÄN</t>
        </is>
      </c>
      <c r="E835" t="inlineStr">
        <is>
          <t>UPPSALA</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17898-2026</t>
        </is>
      </c>
      <c r="B836" s="1" t="n">
        <v>46122.58079861111</v>
      </c>
      <c r="C836" s="1" t="n">
        <v>46134</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45662-2023</t>
        </is>
      </c>
      <c r="B837" s="1" t="n">
        <v>45194</v>
      </c>
      <c r="C837" s="1" t="n">
        <v>46134</v>
      </c>
      <c r="D837" t="inlineStr">
        <is>
          <t>UPPSALA LÄN</t>
        </is>
      </c>
      <c r="E837" t="inlineStr">
        <is>
          <t>UPPSALA</t>
        </is>
      </c>
      <c r="F837" t="inlineStr">
        <is>
          <t>Bergvik skog öst AB</t>
        </is>
      </c>
      <c r="G837" t="n">
        <v>2.8</v>
      </c>
      <c r="H837" t="n">
        <v>0</v>
      </c>
      <c r="I837" t="n">
        <v>0</v>
      </c>
      <c r="J837" t="n">
        <v>0</v>
      </c>
      <c r="K837" t="n">
        <v>0</v>
      </c>
      <c r="L837" t="n">
        <v>0</v>
      </c>
      <c r="M837" t="n">
        <v>0</v>
      </c>
      <c r="N837" t="n">
        <v>0</v>
      </c>
      <c r="O837" t="n">
        <v>0</v>
      </c>
      <c r="P837" t="n">
        <v>0</v>
      </c>
      <c r="Q837" t="n">
        <v>0</v>
      </c>
      <c r="R837" s="2" t="inlineStr"/>
    </row>
    <row r="838" ht="15" customHeight="1">
      <c r="A838" t="inlineStr">
        <is>
          <t>A 50463-2024</t>
        </is>
      </c>
      <c r="B838" s="1" t="n">
        <v>45601</v>
      </c>
      <c r="C838" s="1" t="n">
        <v>46134</v>
      </c>
      <c r="D838" t="inlineStr">
        <is>
          <t>UPPSALA LÄN</t>
        </is>
      </c>
      <c r="E838" t="inlineStr">
        <is>
          <t>UPPSALA</t>
        </is>
      </c>
      <c r="F838" t="inlineStr">
        <is>
          <t>Allmännings- och besparingsskogar</t>
        </is>
      </c>
      <c r="G838" t="n">
        <v>12.6</v>
      </c>
      <c r="H838" t="n">
        <v>0</v>
      </c>
      <c r="I838" t="n">
        <v>0</v>
      </c>
      <c r="J838" t="n">
        <v>0</v>
      </c>
      <c r="K838" t="n">
        <v>0</v>
      </c>
      <c r="L838" t="n">
        <v>0</v>
      </c>
      <c r="M838" t="n">
        <v>0</v>
      </c>
      <c r="N838" t="n">
        <v>0</v>
      </c>
      <c r="O838" t="n">
        <v>0</v>
      </c>
      <c r="P838" t="n">
        <v>0</v>
      </c>
      <c r="Q838" t="n">
        <v>0</v>
      </c>
      <c r="R838" s="2" t="inlineStr"/>
    </row>
    <row r="839" ht="15" customHeight="1">
      <c r="A839" t="inlineStr">
        <is>
          <t>A 11915-2026</t>
        </is>
      </c>
      <c r="B839" s="1" t="n">
        <v>46085.55482638889</v>
      </c>
      <c r="C839" s="1" t="n">
        <v>46134</v>
      </c>
      <c r="D839" t="inlineStr">
        <is>
          <t>UPPSALA LÄN</t>
        </is>
      </c>
      <c r="E839" t="inlineStr">
        <is>
          <t>UPPSALA</t>
        </is>
      </c>
      <c r="G839" t="n">
        <v>7.3</v>
      </c>
      <c r="H839" t="n">
        <v>0</v>
      </c>
      <c r="I839" t="n">
        <v>0</v>
      </c>
      <c r="J839" t="n">
        <v>0</v>
      </c>
      <c r="K839" t="n">
        <v>0</v>
      </c>
      <c r="L839" t="n">
        <v>0</v>
      </c>
      <c r="M839" t="n">
        <v>0</v>
      </c>
      <c r="N839" t="n">
        <v>0</v>
      </c>
      <c r="O839" t="n">
        <v>0</v>
      </c>
      <c r="P839" t="n">
        <v>0</v>
      </c>
      <c r="Q839" t="n">
        <v>0</v>
      </c>
      <c r="R839" s="2" t="inlineStr"/>
    </row>
    <row r="840" ht="15" customHeight="1">
      <c r="A840" t="inlineStr">
        <is>
          <t>A 5189-2022</t>
        </is>
      </c>
      <c r="B840" s="1" t="n">
        <v>44594</v>
      </c>
      <c r="C840" s="1" t="n">
        <v>46134</v>
      </c>
      <c r="D840" t="inlineStr">
        <is>
          <t>UPPSALA LÄN</t>
        </is>
      </c>
      <c r="E840" t="inlineStr">
        <is>
          <t>UPPSALA</t>
        </is>
      </c>
      <c r="G840" t="n">
        <v>5.9</v>
      </c>
      <c r="H840" t="n">
        <v>0</v>
      </c>
      <c r="I840" t="n">
        <v>0</v>
      </c>
      <c r="J840" t="n">
        <v>0</v>
      </c>
      <c r="K840" t="n">
        <v>0</v>
      </c>
      <c r="L840" t="n">
        <v>0</v>
      </c>
      <c r="M840" t="n">
        <v>0</v>
      </c>
      <c r="N840" t="n">
        <v>0</v>
      </c>
      <c r="O840" t="n">
        <v>0</v>
      </c>
      <c r="P840" t="n">
        <v>0</v>
      </c>
      <c r="Q840" t="n">
        <v>0</v>
      </c>
      <c r="R840" s="2" t="inlineStr"/>
    </row>
    <row r="841" ht="15" customHeight="1">
      <c r="A841" t="inlineStr">
        <is>
          <t>A 59547-2024</t>
        </is>
      </c>
      <c r="B841" s="1" t="n">
        <v>45638</v>
      </c>
      <c r="C841" s="1" t="n">
        <v>46134</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11201-2024</t>
        </is>
      </c>
      <c r="B842" s="1" t="n">
        <v>45371</v>
      </c>
      <c r="C842" s="1" t="n">
        <v>46134</v>
      </c>
      <c r="D842" t="inlineStr">
        <is>
          <t>UPPSALA LÄN</t>
        </is>
      </c>
      <c r="E842" t="inlineStr">
        <is>
          <t>UPPSALA</t>
        </is>
      </c>
      <c r="F842" t="inlineStr">
        <is>
          <t>Kommuner</t>
        </is>
      </c>
      <c r="G842" t="n">
        <v>0.5</v>
      </c>
      <c r="H842" t="n">
        <v>0</v>
      </c>
      <c r="I842" t="n">
        <v>0</v>
      </c>
      <c r="J842" t="n">
        <v>0</v>
      </c>
      <c r="K842" t="n">
        <v>0</v>
      </c>
      <c r="L842" t="n">
        <v>0</v>
      </c>
      <c r="M842" t="n">
        <v>0</v>
      </c>
      <c r="N842" t="n">
        <v>0</v>
      </c>
      <c r="O842" t="n">
        <v>0</v>
      </c>
      <c r="P842" t="n">
        <v>0</v>
      </c>
      <c r="Q842" t="n">
        <v>0</v>
      </c>
      <c r="R842" s="2" t="inlineStr"/>
    </row>
    <row r="843" ht="15" customHeight="1">
      <c r="A843" t="inlineStr">
        <is>
          <t>A 2790-2025</t>
        </is>
      </c>
      <c r="B843" s="1" t="n">
        <v>45677</v>
      </c>
      <c r="C843" s="1" t="n">
        <v>46134</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44815-2023</t>
        </is>
      </c>
      <c r="B844" s="1" t="n">
        <v>45190</v>
      </c>
      <c r="C844" s="1" t="n">
        <v>46134</v>
      </c>
      <c r="D844" t="inlineStr">
        <is>
          <t>UPPSALA LÄN</t>
        </is>
      </c>
      <c r="E844" t="inlineStr">
        <is>
          <t>UPPSALA</t>
        </is>
      </c>
      <c r="G844" t="n">
        <v>2.3</v>
      </c>
      <c r="H844" t="n">
        <v>0</v>
      </c>
      <c r="I844" t="n">
        <v>0</v>
      </c>
      <c r="J844" t="n">
        <v>0</v>
      </c>
      <c r="K844" t="n">
        <v>0</v>
      </c>
      <c r="L844" t="n">
        <v>0</v>
      </c>
      <c r="M844" t="n">
        <v>0</v>
      </c>
      <c r="N844" t="n">
        <v>0</v>
      </c>
      <c r="O844" t="n">
        <v>0</v>
      </c>
      <c r="P844" t="n">
        <v>0</v>
      </c>
      <c r="Q844" t="n">
        <v>0</v>
      </c>
      <c r="R844" s="2" t="inlineStr"/>
    </row>
    <row r="845" ht="15" customHeight="1">
      <c r="A845" t="inlineStr">
        <is>
          <t>A 11162-2022</t>
        </is>
      </c>
      <c r="B845" s="1" t="n">
        <v>44629.42423611111</v>
      </c>
      <c r="C845" s="1" t="n">
        <v>46134</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8498-2026</t>
        </is>
      </c>
      <c r="B846" s="1" t="n">
        <v>46065.49472222223</v>
      </c>
      <c r="C846" s="1" t="n">
        <v>46134</v>
      </c>
      <c r="D846" t="inlineStr">
        <is>
          <t>UPPSALA LÄN</t>
        </is>
      </c>
      <c r="E846" t="inlineStr">
        <is>
          <t>UPPSALA</t>
        </is>
      </c>
      <c r="G846" t="n">
        <v>1.9</v>
      </c>
      <c r="H846" t="n">
        <v>0</v>
      </c>
      <c r="I846" t="n">
        <v>0</v>
      </c>
      <c r="J846" t="n">
        <v>0</v>
      </c>
      <c r="K846" t="n">
        <v>0</v>
      </c>
      <c r="L846" t="n">
        <v>0</v>
      </c>
      <c r="M846" t="n">
        <v>0</v>
      </c>
      <c r="N846" t="n">
        <v>0</v>
      </c>
      <c r="O846" t="n">
        <v>0</v>
      </c>
      <c r="P846" t="n">
        <v>0</v>
      </c>
      <c r="Q846" t="n">
        <v>0</v>
      </c>
      <c r="R846" s="2" t="inlineStr"/>
    </row>
    <row r="847" ht="15" customHeight="1">
      <c r="A847" t="inlineStr">
        <is>
          <t>A 5129-2026</t>
        </is>
      </c>
      <c r="B847" s="1" t="n">
        <v>46049.58660879629</v>
      </c>
      <c r="C847" s="1" t="n">
        <v>46134</v>
      </c>
      <c r="D847" t="inlineStr">
        <is>
          <t>UPPSALA LÄN</t>
        </is>
      </c>
      <c r="E847" t="inlineStr">
        <is>
          <t>UPPSALA</t>
        </is>
      </c>
      <c r="G847" t="n">
        <v>4.4</v>
      </c>
      <c r="H847" t="n">
        <v>0</v>
      </c>
      <c r="I847" t="n">
        <v>0</v>
      </c>
      <c r="J847" t="n">
        <v>0</v>
      </c>
      <c r="K847" t="n">
        <v>0</v>
      </c>
      <c r="L847" t="n">
        <v>0</v>
      </c>
      <c r="M847" t="n">
        <v>0</v>
      </c>
      <c r="N847" t="n">
        <v>0</v>
      </c>
      <c r="O847" t="n">
        <v>0</v>
      </c>
      <c r="P847" t="n">
        <v>0</v>
      </c>
      <c r="Q847" t="n">
        <v>0</v>
      </c>
      <c r="R847" s="2" t="inlineStr"/>
    </row>
    <row r="848" ht="15" customHeight="1">
      <c r="A848" t="inlineStr">
        <is>
          <t>A 8132-2024</t>
        </is>
      </c>
      <c r="B848" s="1" t="n">
        <v>45351.54596064815</v>
      </c>
      <c r="C848" s="1" t="n">
        <v>46134</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20087-2023</t>
        </is>
      </c>
      <c r="B849" s="1" t="n">
        <v>45054.9271875</v>
      </c>
      <c r="C849" s="1" t="n">
        <v>46134</v>
      </c>
      <c r="D849" t="inlineStr">
        <is>
          <t>UPPSALA LÄN</t>
        </is>
      </c>
      <c r="E849" t="inlineStr">
        <is>
          <t>UPPSALA</t>
        </is>
      </c>
      <c r="G849" t="n">
        <v>1</v>
      </c>
      <c r="H849" t="n">
        <v>0</v>
      </c>
      <c r="I849" t="n">
        <v>0</v>
      </c>
      <c r="J849" t="n">
        <v>0</v>
      </c>
      <c r="K849" t="n">
        <v>0</v>
      </c>
      <c r="L849" t="n">
        <v>0</v>
      </c>
      <c r="M849" t="n">
        <v>0</v>
      </c>
      <c r="N849" t="n">
        <v>0</v>
      </c>
      <c r="O849" t="n">
        <v>0</v>
      </c>
      <c r="P849" t="n">
        <v>0</v>
      </c>
      <c r="Q849" t="n">
        <v>0</v>
      </c>
      <c r="R849" s="2" t="inlineStr"/>
    </row>
    <row r="850" ht="15" customHeight="1">
      <c r="A850" t="inlineStr">
        <is>
          <t>A 12416-2026</t>
        </is>
      </c>
      <c r="B850" s="1" t="n">
        <v>46090.43864583333</v>
      </c>
      <c r="C850" s="1" t="n">
        <v>46134</v>
      </c>
      <c r="D850" t="inlineStr">
        <is>
          <t>UPPSALA LÄN</t>
        </is>
      </c>
      <c r="E850" t="inlineStr">
        <is>
          <t>UPPSALA</t>
        </is>
      </c>
      <c r="G850" t="n">
        <v>0.5</v>
      </c>
      <c r="H850" t="n">
        <v>0</v>
      </c>
      <c r="I850" t="n">
        <v>0</v>
      </c>
      <c r="J850" t="n">
        <v>0</v>
      </c>
      <c r="K850" t="n">
        <v>0</v>
      </c>
      <c r="L850" t="n">
        <v>0</v>
      </c>
      <c r="M850" t="n">
        <v>0</v>
      </c>
      <c r="N850" t="n">
        <v>0</v>
      </c>
      <c r="O850" t="n">
        <v>0</v>
      </c>
      <c r="P850" t="n">
        <v>0</v>
      </c>
      <c r="Q850" t="n">
        <v>0</v>
      </c>
      <c r="R850" s="2" t="inlineStr"/>
    </row>
    <row r="851" ht="15" customHeight="1">
      <c r="A851" t="inlineStr">
        <is>
          <t>A 61463-2024</t>
        </is>
      </c>
      <c r="B851" s="1" t="n">
        <v>45646.50211805556</v>
      </c>
      <c r="C851" s="1" t="n">
        <v>46134</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19329-2026</t>
        </is>
      </c>
      <c r="B852" s="1" t="n">
        <v>46133.41142361111</v>
      </c>
      <c r="C852" s="1" t="n">
        <v>46134</v>
      </c>
      <c r="D852" t="inlineStr">
        <is>
          <t>UPPSALA LÄN</t>
        </is>
      </c>
      <c r="E852" t="inlineStr">
        <is>
          <t>UPPSALA</t>
        </is>
      </c>
      <c r="F852" t="inlineStr">
        <is>
          <t>Bergvik skog öst AB</t>
        </is>
      </c>
      <c r="G852" t="n">
        <v>7.8</v>
      </c>
      <c r="H852" t="n">
        <v>0</v>
      </c>
      <c r="I852" t="n">
        <v>0</v>
      </c>
      <c r="J852" t="n">
        <v>0</v>
      </c>
      <c r="K852" t="n">
        <v>0</v>
      </c>
      <c r="L852" t="n">
        <v>0</v>
      </c>
      <c r="M852" t="n">
        <v>0</v>
      </c>
      <c r="N852" t="n">
        <v>0</v>
      </c>
      <c r="O852" t="n">
        <v>0</v>
      </c>
      <c r="P852" t="n">
        <v>0</v>
      </c>
      <c r="Q852" t="n">
        <v>0</v>
      </c>
      <c r="R852" s="2" t="inlineStr"/>
    </row>
    <row r="853" ht="15" customHeight="1">
      <c r="A853" t="inlineStr">
        <is>
          <t>A 40872-2023</t>
        </is>
      </c>
      <c r="B853" s="1" t="n">
        <v>45173</v>
      </c>
      <c r="C853" s="1" t="n">
        <v>46134</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12770-2026</t>
        </is>
      </c>
      <c r="B854" s="1" t="n">
        <v>46091.68695601852</v>
      </c>
      <c r="C854" s="1" t="n">
        <v>46134</v>
      </c>
      <c r="D854" t="inlineStr">
        <is>
          <t>UPPSALA LÄN</t>
        </is>
      </c>
      <c r="E854" t="inlineStr">
        <is>
          <t>UPPSALA</t>
        </is>
      </c>
      <c r="G854" t="n">
        <v>0.8</v>
      </c>
      <c r="H854" t="n">
        <v>0</v>
      </c>
      <c r="I854" t="n">
        <v>0</v>
      </c>
      <c r="J854" t="n">
        <v>0</v>
      </c>
      <c r="K854" t="n">
        <v>0</v>
      </c>
      <c r="L854" t="n">
        <v>0</v>
      </c>
      <c r="M854" t="n">
        <v>0</v>
      </c>
      <c r="N854" t="n">
        <v>0</v>
      </c>
      <c r="O854" t="n">
        <v>0</v>
      </c>
      <c r="P854" t="n">
        <v>0</v>
      </c>
      <c r="Q854" t="n">
        <v>0</v>
      </c>
      <c r="R854" s="2" t="inlineStr"/>
    </row>
    <row r="855" ht="15" customHeight="1">
      <c r="A855" t="inlineStr">
        <is>
          <t>A 12772-2026</t>
        </is>
      </c>
      <c r="B855" s="1" t="n">
        <v>46091.69060185185</v>
      </c>
      <c r="C855" s="1" t="n">
        <v>46134</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19263-2026</t>
        </is>
      </c>
      <c r="B856" s="1" t="n">
        <v>46132.84266203704</v>
      </c>
      <c r="C856" s="1" t="n">
        <v>46134</v>
      </c>
      <c r="D856" t="inlineStr">
        <is>
          <t>UPPSALA LÄN</t>
        </is>
      </c>
      <c r="E856" t="inlineStr">
        <is>
          <t>UPPSALA</t>
        </is>
      </c>
      <c r="F856" t="inlineStr">
        <is>
          <t>Bergvik skog öst AB</t>
        </is>
      </c>
      <c r="G856" t="n">
        <v>2.4</v>
      </c>
      <c r="H856" t="n">
        <v>0</v>
      </c>
      <c r="I856" t="n">
        <v>0</v>
      </c>
      <c r="J856" t="n">
        <v>0</v>
      </c>
      <c r="K856" t="n">
        <v>0</v>
      </c>
      <c r="L856" t="n">
        <v>0</v>
      </c>
      <c r="M856" t="n">
        <v>0</v>
      </c>
      <c r="N856" t="n">
        <v>0</v>
      </c>
      <c r="O856" t="n">
        <v>0</v>
      </c>
      <c r="P856" t="n">
        <v>0</v>
      </c>
      <c r="Q856" t="n">
        <v>0</v>
      </c>
      <c r="R856" s="2" t="inlineStr"/>
    </row>
    <row r="857" ht="15" customHeight="1">
      <c r="A857" t="inlineStr">
        <is>
          <t>A 5309-2022</t>
        </is>
      </c>
      <c r="B857" s="1" t="n">
        <v>44594</v>
      </c>
      <c r="C857" s="1" t="n">
        <v>46134</v>
      </c>
      <c r="D857" t="inlineStr">
        <is>
          <t>UPPSALA LÄN</t>
        </is>
      </c>
      <c r="E857" t="inlineStr">
        <is>
          <t>UPPSALA</t>
        </is>
      </c>
      <c r="G857" t="n">
        <v>4.8</v>
      </c>
      <c r="H857" t="n">
        <v>0</v>
      </c>
      <c r="I857" t="n">
        <v>0</v>
      </c>
      <c r="J857" t="n">
        <v>0</v>
      </c>
      <c r="K857" t="n">
        <v>0</v>
      </c>
      <c r="L857" t="n">
        <v>0</v>
      </c>
      <c r="M857" t="n">
        <v>0</v>
      </c>
      <c r="N857" t="n">
        <v>0</v>
      </c>
      <c r="O857" t="n">
        <v>0</v>
      </c>
      <c r="P857" t="n">
        <v>0</v>
      </c>
      <c r="Q857" t="n">
        <v>0</v>
      </c>
      <c r="R857" s="2" t="inlineStr"/>
    </row>
    <row r="858" ht="15" customHeight="1">
      <c r="A858" t="inlineStr">
        <is>
          <t>A 45575-2023</t>
        </is>
      </c>
      <c r="B858" s="1" t="n">
        <v>45194.60876157408</v>
      </c>
      <c r="C858" s="1" t="n">
        <v>46134</v>
      </c>
      <c r="D858" t="inlineStr">
        <is>
          <t>UPPSALA LÄN</t>
        </is>
      </c>
      <c r="E858" t="inlineStr">
        <is>
          <t>UPPSALA</t>
        </is>
      </c>
      <c r="F858" t="inlineStr">
        <is>
          <t>Bergvik skog öst AB</t>
        </is>
      </c>
      <c r="G858" t="n">
        <v>2.2</v>
      </c>
      <c r="H858" t="n">
        <v>0</v>
      </c>
      <c r="I858" t="n">
        <v>0</v>
      </c>
      <c r="J858" t="n">
        <v>0</v>
      </c>
      <c r="K858" t="n">
        <v>0</v>
      </c>
      <c r="L858" t="n">
        <v>0</v>
      </c>
      <c r="M858" t="n">
        <v>0</v>
      </c>
      <c r="N858" t="n">
        <v>0</v>
      </c>
      <c r="O858" t="n">
        <v>0</v>
      </c>
      <c r="P858" t="n">
        <v>0</v>
      </c>
      <c r="Q858" t="n">
        <v>0</v>
      </c>
      <c r="R858" s="2" t="inlineStr"/>
    </row>
    <row r="859" ht="15" customHeight="1">
      <c r="A859" t="inlineStr">
        <is>
          <t>A 39865-2022</t>
        </is>
      </c>
      <c r="B859" s="1" t="n">
        <v>44819.62</v>
      </c>
      <c r="C859" s="1" t="n">
        <v>46134</v>
      </c>
      <c r="D859" t="inlineStr">
        <is>
          <t>UPPSALA LÄN</t>
        </is>
      </c>
      <c r="E859" t="inlineStr">
        <is>
          <t>UPPSALA</t>
        </is>
      </c>
      <c r="G859" t="n">
        <v>2.5</v>
      </c>
      <c r="H859" t="n">
        <v>0</v>
      </c>
      <c r="I859" t="n">
        <v>0</v>
      </c>
      <c r="J859" t="n">
        <v>0</v>
      </c>
      <c r="K859" t="n">
        <v>0</v>
      </c>
      <c r="L859" t="n">
        <v>0</v>
      </c>
      <c r="M859" t="n">
        <v>0</v>
      </c>
      <c r="N859" t="n">
        <v>0</v>
      </c>
      <c r="O859" t="n">
        <v>0</v>
      </c>
      <c r="P859" t="n">
        <v>0</v>
      </c>
      <c r="Q859" t="n">
        <v>0</v>
      </c>
      <c r="R859" s="2" t="inlineStr"/>
    </row>
    <row r="860" ht="15" customHeight="1">
      <c r="A860" t="inlineStr">
        <is>
          <t>A 20206-2023</t>
        </is>
      </c>
      <c r="B860" s="1" t="n">
        <v>45055</v>
      </c>
      <c r="C860" s="1" t="n">
        <v>46134</v>
      </c>
      <c r="D860" t="inlineStr">
        <is>
          <t>UPPSALA LÄN</t>
        </is>
      </c>
      <c r="E860" t="inlineStr">
        <is>
          <t>UPPSALA</t>
        </is>
      </c>
      <c r="G860" t="n">
        <v>5.7</v>
      </c>
      <c r="H860" t="n">
        <v>0</v>
      </c>
      <c r="I860" t="n">
        <v>0</v>
      </c>
      <c r="J860" t="n">
        <v>0</v>
      </c>
      <c r="K860" t="n">
        <v>0</v>
      </c>
      <c r="L860" t="n">
        <v>0</v>
      </c>
      <c r="M860" t="n">
        <v>0</v>
      </c>
      <c r="N860" t="n">
        <v>0</v>
      </c>
      <c r="O860" t="n">
        <v>0</v>
      </c>
      <c r="P860" t="n">
        <v>0</v>
      </c>
      <c r="Q860" t="n">
        <v>0</v>
      </c>
      <c r="R860" s="2" t="inlineStr"/>
    </row>
    <row r="861" ht="15" customHeight="1">
      <c r="A861" t="inlineStr">
        <is>
          <t>A 7556-2026</t>
        </is>
      </c>
      <c r="B861" s="1" t="n">
        <v>46059.76631944445</v>
      </c>
      <c r="C861" s="1" t="n">
        <v>46134</v>
      </c>
      <c r="D861" t="inlineStr">
        <is>
          <t>UPPSALA LÄN</t>
        </is>
      </c>
      <c r="E861" t="inlineStr">
        <is>
          <t>UPPSALA</t>
        </is>
      </c>
      <c r="F861" t="inlineStr">
        <is>
          <t>Bergvik skog öst AB</t>
        </is>
      </c>
      <c r="G861" t="n">
        <v>1.5</v>
      </c>
      <c r="H861" t="n">
        <v>0</v>
      </c>
      <c r="I861" t="n">
        <v>0</v>
      </c>
      <c r="J861" t="n">
        <v>0</v>
      </c>
      <c r="K861" t="n">
        <v>0</v>
      </c>
      <c r="L861" t="n">
        <v>0</v>
      </c>
      <c r="M861" t="n">
        <v>0</v>
      </c>
      <c r="N861" t="n">
        <v>0</v>
      </c>
      <c r="O861" t="n">
        <v>0</v>
      </c>
      <c r="P861" t="n">
        <v>0</v>
      </c>
      <c r="Q861" t="n">
        <v>0</v>
      </c>
      <c r="R861" s="2" t="inlineStr"/>
    </row>
    <row r="862" ht="15" customHeight="1">
      <c r="A862" t="inlineStr">
        <is>
          <t>A 43029-2023</t>
        </is>
      </c>
      <c r="B862" s="1" t="n">
        <v>45182</v>
      </c>
      <c r="C862" s="1" t="n">
        <v>46134</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43031-2023</t>
        </is>
      </c>
      <c r="B863" s="1" t="n">
        <v>45182</v>
      </c>
      <c r="C863" s="1" t="n">
        <v>46134</v>
      </c>
      <c r="D863" t="inlineStr">
        <is>
          <t>UPPSALA LÄN</t>
        </is>
      </c>
      <c r="E863" t="inlineStr">
        <is>
          <t>UPPSALA</t>
        </is>
      </c>
      <c r="G863" t="n">
        <v>2.3</v>
      </c>
      <c r="H863" t="n">
        <v>0</v>
      </c>
      <c r="I863" t="n">
        <v>0</v>
      </c>
      <c r="J863" t="n">
        <v>0</v>
      </c>
      <c r="K863" t="n">
        <v>0</v>
      </c>
      <c r="L863" t="n">
        <v>0</v>
      </c>
      <c r="M863" t="n">
        <v>0</v>
      </c>
      <c r="N863" t="n">
        <v>0</v>
      </c>
      <c r="O863" t="n">
        <v>0</v>
      </c>
      <c r="P863" t="n">
        <v>0</v>
      </c>
      <c r="Q863" t="n">
        <v>0</v>
      </c>
      <c r="R863" s="2" t="inlineStr"/>
    </row>
    <row r="864" ht="15" customHeight="1">
      <c r="A864" t="inlineStr">
        <is>
          <t>A 19342-2026</t>
        </is>
      </c>
      <c r="B864" s="1" t="n">
        <v>46133.43844907408</v>
      </c>
      <c r="C864" s="1" t="n">
        <v>46134</v>
      </c>
      <c r="D864" t="inlineStr">
        <is>
          <t>UPPSALA LÄN</t>
        </is>
      </c>
      <c r="E864" t="inlineStr">
        <is>
          <t>UPPSALA</t>
        </is>
      </c>
      <c r="G864" t="n">
        <v>6</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46134</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19229-2026</t>
        </is>
      </c>
      <c r="B866" s="1" t="n">
        <v>46132.6503125</v>
      </c>
      <c r="C866" s="1" t="n">
        <v>46134</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19257-2026</t>
        </is>
      </c>
      <c r="B867" s="1" t="n">
        <v>46132.7003587963</v>
      </c>
      <c r="C867" s="1" t="n">
        <v>46134</v>
      </c>
      <c r="D867" t="inlineStr">
        <is>
          <t>UPPSALA LÄN</t>
        </is>
      </c>
      <c r="E867" t="inlineStr">
        <is>
          <t>UPPSALA</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19265-2026</t>
        </is>
      </c>
      <c r="B868" s="1" t="n">
        <v>46132.84594907407</v>
      </c>
      <c r="C868" s="1" t="n">
        <v>46134</v>
      </c>
      <c r="D868" t="inlineStr">
        <is>
          <t>UPPSALA LÄN</t>
        </is>
      </c>
      <c r="E868" t="inlineStr">
        <is>
          <t>UPPSALA</t>
        </is>
      </c>
      <c r="F868" t="inlineStr">
        <is>
          <t>Bergvik skog öst AB</t>
        </is>
      </c>
      <c r="G868" t="n">
        <v>1.5</v>
      </c>
      <c r="H868" t="n">
        <v>0</v>
      </c>
      <c r="I868" t="n">
        <v>0</v>
      </c>
      <c r="J868" t="n">
        <v>0</v>
      </c>
      <c r="K868" t="n">
        <v>0</v>
      </c>
      <c r="L868" t="n">
        <v>0</v>
      </c>
      <c r="M868" t="n">
        <v>0</v>
      </c>
      <c r="N868" t="n">
        <v>0</v>
      </c>
      <c r="O868" t="n">
        <v>0</v>
      </c>
      <c r="P868" t="n">
        <v>0</v>
      </c>
      <c r="Q868" t="n">
        <v>0</v>
      </c>
      <c r="R868" s="2" t="inlineStr"/>
    </row>
    <row r="869" ht="15" customHeight="1">
      <c r="A869" t="inlineStr">
        <is>
          <t>A 12409-2026</t>
        </is>
      </c>
      <c r="B869" s="1" t="n">
        <v>46090.42486111111</v>
      </c>
      <c r="C869" s="1" t="n">
        <v>46134</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16434-2024</t>
        </is>
      </c>
      <c r="B870" s="1" t="n">
        <v>45407.69575231482</v>
      </c>
      <c r="C870" s="1" t="n">
        <v>46134</v>
      </c>
      <c r="D870" t="inlineStr">
        <is>
          <t>UPPSALA LÄN</t>
        </is>
      </c>
      <c r="E870" t="inlineStr">
        <is>
          <t>UPPSALA</t>
        </is>
      </c>
      <c r="G870" t="n">
        <v>1.7</v>
      </c>
      <c r="H870" t="n">
        <v>0</v>
      </c>
      <c r="I870" t="n">
        <v>0</v>
      </c>
      <c r="J870" t="n">
        <v>0</v>
      </c>
      <c r="K870" t="n">
        <v>0</v>
      </c>
      <c r="L870" t="n">
        <v>0</v>
      </c>
      <c r="M870" t="n">
        <v>0</v>
      </c>
      <c r="N870" t="n">
        <v>0</v>
      </c>
      <c r="O870" t="n">
        <v>0</v>
      </c>
      <c r="P870" t="n">
        <v>0</v>
      </c>
      <c r="Q870" t="n">
        <v>0</v>
      </c>
      <c r="R870" s="2" t="inlineStr"/>
    </row>
    <row r="871" ht="15" customHeight="1">
      <c r="A871" t="inlineStr">
        <is>
          <t>A 44080-2023</t>
        </is>
      </c>
      <c r="B871" s="1" t="n">
        <v>45188.42052083334</v>
      </c>
      <c r="C871" s="1" t="n">
        <v>46134</v>
      </c>
      <c r="D871" t="inlineStr">
        <is>
          <t>UPPSALA LÄN</t>
        </is>
      </c>
      <c r="E871" t="inlineStr">
        <is>
          <t>UPPSALA</t>
        </is>
      </c>
      <c r="G871" t="n">
        <v>13.3</v>
      </c>
      <c r="H871" t="n">
        <v>0</v>
      </c>
      <c r="I871" t="n">
        <v>0</v>
      </c>
      <c r="J871" t="n">
        <v>0</v>
      </c>
      <c r="K871" t="n">
        <v>0</v>
      </c>
      <c r="L871" t="n">
        <v>0</v>
      </c>
      <c r="M871" t="n">
        <v>0</v>
      </c>
      <c r="N871" t="n">
        <v>0</v>
      </c>
      <c r="O871" t="n">
        <v>0</v>
      </c>
      <c r="P871" t="n">
        <v>0</v>
      </c>
      <c r="Q871" t="n">
        <v>0</v>
      </c>
      <c r="R871" s="2" t="inlineStr"/>
    </row>
    <row r="872" ht="15" customHeight="1">
      <c r="A872" t="inlineStr">
        <is>
          <t>A 12702-2026</t>
        </is>
      </c>
      <c r="B872" s="1" t="n">
        <v>46091.58174768519</v>
      </c>
      <c r="C872" s="1" t="n">
        <v>46134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53963-2023</t>
        </is>
      </c>
      <c r="B873" s="1" t="n">
        <v>45231.62840277778</v>
      </c>
      <c r="C873" s="1" t="n">
        <v>46134</v>
      </c>
      <c r="D873" t="inlineStr">
        <is>
          <t>UPPSALA LÄN</t>
        </is>
      </c>
      <c r="E873" t="inlineStr">
        <is>
          <t>UPPSALA</t>
        </is>
      </c>
      <c r="G873" t="n">
        <v>1.9</v>
      </c>
      <c r="H873" t="n">
        <v>0</v>
      </c>
      <c r="I873" t="n">
        <v>0</v>
      </c>
      <c r="J873" t="n">
        <v>0</v>
      </c>
      <c r="K873" t="n">
        <v>0</v>
      </c>
      <c r="L873" t="n">
        <v>0</v>
      </c>
      <c r="M873" t="n">
        <v>0</v>
      </c>
      <c r="N873" t="n">
        <v>0</v>
      </c>
      <c r="O873" t="n">
        <v>0</v>
      </c>
      <c r="P873" t="n">
        <v>0</v>
      </c>
      <c r="Q873" t="n">
        <v>0</v>
      </c>
      <c r="R873" s="2" t="inlineStr"/>
    </row>
    <row r="874" ht="15" customHeight="1">
      <c r="A874" t="inlineStr">
        <is>
          <t>A 2897-2025</t>
        </is>
      </c>
      <c r="B874" s="1" t="n">
        <v>45677</v>
      </c>
      <c r="C874" s="1" t="n">
        <v>46134</v>
      </c>
      <c r="D874" t="inlineStr">
        <is>
          <t>UPPSALA LÄN</t>
        </is>
      </c>
      <c r="E874" t="inlineStr">
        <is>
          <t>UPPSALA</t>
        </is>
      </c>
      <c r="G874" t="n">
        <v>2.7</v>
      </c>
      <c r="H874" t="n">
        <v>0</v>
      </c>
      <c r="I874" t="n">
        <v>0</v>
      </c>
      <c r="J874" t="n">
        <v>0</v>
      </c>
      <c r="K874" t="n">
        <v>0</v>
      </c>
      <c r="L874" t="n">
        <v>0</v>
      </c>
      <c r="M874" t="n">
        <v>0</v>
      </c>
      <c r="N874" t="n">
        <v>0</v>
      </c>
      <c r="O874" t="n">
        <v>0</v>
      </c>
      <c r="P874" t="n">
        <v>0</v>
      </c>
      <c r="Q874" t="n">
        <v>0</v>
      </c>
      <c r="R874" s="2" t="inlineStr"/>
    </row>
    <row r="875" ht="15" customHeight="1">
      <c r="A875" t="inlineStr">
        <is>
          <t>A 19264-2026</t>
        </is>
      </c>
      <c r="B875" s="1" t="n">
        <v>46132.84394675926</v>
      </c>
      <c r="C875" s="1" t="n">
        <v>46134</v>
      </c>
      <c r="D875" t="inlineStr">
        <is>
          <t>UPPSALA LÄN</t>
        </is>
      </c>
      <c r="E875" t="inlineStr">
        <is>
          <t>UPPSALA</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6059-2025</t>
        </is>
      </c>
      <c r="B876" s="1" t="n">
        <v>45695.8391550926</v>
      </c>
      <c r="C876" s="1" t="n">
        <v>46134</v>
      </c>
      <c r="D876" t="inlineStr">
        <is>
          <t>UPPSALA LÄN</t>
        </is>
      </c>
      <c r="E876" t="inlineStr">
        <is>
          <t>UPPSALA</t>
        </is>
      </c>
      <c r="F876" t="inlineStr">
        <is>
          <t>Bergvik skog öst AB</t>
        </is>
      </c>
      <c r="G876" t="n">
        <v>0.4</v>
      </c>
      <c r="H876" t="n">
        <v>0</v>
      </c>
      <c r="I876" t="n">
        <v>0</v>
      </c>
      <c r="J876" t="n">
        <v>0</v>
      </c>
      <c r="K876" t="n">
        <v>0</v>
      </c>
      <c r="L876" t="n">
        <v>0</v>
      </c>
      <c r="M876" t="n">
        <v>0</v>
      </c>
      <c r="N876" t="n">
        <v>0</v>
      </c>
      <c r="O876" t="n">
        <v>0</v>
      </c>
      <c r="P876" t="n">
        <v>0</v>
      </c>
      <c r="Q876" t="n">
        <v>0</v>
      </c>
      <c r="R876" s="2" t="inlineStr"/>
    </row>
    <row r="877" ht="15" customHeight="1">
      <c r="A877" t="inlineStr">
        <is>
          <t>A 6060-2025</t>
        </is>
      </c>
      <c r="B877" s="1" t="n">
        <v>45695.84078703704</v>
      </c>
      <c r="C877" s="1" t="n">
        <v>46134</v>
      </c>
      <c r="D877" t="inlineStr">
        <is>
          <t>UPPSALA LÄN</t>
        </is>
      </c>
      <c r="E877" t="inlineStr">
        <is>
          <t>UPPSALA</t>
        </is>
      </c>
      <c r="F877" t="inlineStr">
        <is>
          <t>Bergvik skog öst AB</t>
        </is>
      </c>
      <c r="G877" t="n">
        <v>0.6</v>
      </c>
      <c r="H877" t="n">
        <v>0</v>
      </c>
      <c r="I877" t="n">
        <v>0</v>
      </c>
      <c r="J877" t="n">
        <v>0</v>
      </c>
      <c r="K877" t="n">
        <v>0</v>
      </c>
      <c r="L877" t="n">
        <v>0</v>
      </c>
      <c r="M877" t="n">
        <v>0</v>
      </c>
      <c r="N877" t="n">
        <v>0</v>
      </c>
      <c r="O877" t="n">
        <v>0</v>
      </c>
      <c r="P877" t="n">
        <v>0</v>
      </c>
      <c r="Q877" t="n">
        <v>0</v>
      </c>
      <c r="R877" s="2" t="inlineStr"/>
    </row>
    <row r="878" ht="15" customHeight="1">
      <c r="A878" t="inlineStr">
        <is>
          <t>A 16390-2026</t>
        </is>
      </c>
      <c r="B878" s="1" t="n">
        <v>46111.63358796296</v>
      </c>
      <c r="C878" s="1" t="n">
        <v>46134</v>
      </c>
      <c r="D878" t="inlineStr">
        <is>
          <t>UPPSALA LÄN</t>
        </is>
      </c>
      <c r="E878" t="inlineStr">
        <is>
          <t>UPPSALA</t>
        </is>
      </c>
      <c r="G878" t="n">
        <v>4.5</v>
      </c>
      <c r="H878" t="n">
        <v>0</v>
      </c>
      <c r="I878" t="n">
        <v>0</v>
      </c>
      <c r="J878" t="n">
        <v>0</v>
      </c>
      <c r="K878" t="n">
        <v>0</v>
      </c>
      <c r="L878" t="n">
        <v>0</v>
      </c>
      <c r="M878" t="n">
        <v>0</v>
      </c>
      <c r="N878" t="n">
        <v>0</v>
      </c>
      <c r="O878" t="n">
        <v>0</v>
      </c>
      <c r="P878" t="n">
        <v>0</v>
      </c>
      <c r="Q878" t="n">
        <v>0</v>
      </c>
      <c r="R878" s="2" t="inlineStr"/>
    </row>
    <row r="879" ht="15" customHeight="1">
      <c r="A879" t="inlineStr">
        <is>
          <t>A 12769-2026</t>
        </is>
      </c>
      <c r="B879" s="1" t="n">
        <v>46091.68390046297</v>
      </c>
      <c r="C879" s="1" t="n">
        <v>46134</v>
      </c>
      <c r="D879" t="inlineStr">
        <is>
          <t>UPPSALA LÄN</t>
        </is>
      </c>
      <c r="E879" t="inlineStr">
        <is>
          <t>UPPSALA</t>
        </is>
      </c>
      <c r="G879" t="n">
        <v>1.9</v>
      </c>
      <c r="H879" t="n">
        <v>0</v>
      </c>
      <c r="I879" t="n">
        <v>0</v>
      </c>
      <c r="J879" t="n">
        <v>0</v>
      </c>
      <c r="K879" t="n">
        <v>0</v>
      </c>
      <c r="L879" t="n">
        <v>0</v>
      </c>
      <c r="M879" t="n">
        <v>0</v>
      </c>
      <c r="N879" t="n">
        <v>0</v>
      </c>
      <c r="O879" t="n">
        <v>0</v>
      </c>
      <c r="P879" t="n">
        <v>0</v>
      </c>
      <c r="Q879" t="n">
        <v>0</v>
      </c>
      <c r="R879" s="2" t="inlineStr"/>
    </row>
    <row r="880" ht="15" customHeight="1">
      <c r="A880" t="inlineStr">
        <is>
          <t>A 12771-2026</t>
        </is>
      </c>
      <c r="B880" s="1" t="n">
        <v>46091.68879629629</v>
      </c>
      <c r="C880" s="1" t="n">
        <v>46134</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12697-2026</t>
        </is>
      </c>
      <c r="B881" s="1" t="n">
        <v>46091.58021990741</v>
      </c>
      <c r="C881" s="1" t="n">
        <v>46134</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50395-2023</t>
        </is>
      </c>
      <c r="B882" s="1" t="n">
        <v>45216</v>
      </c>
      <c r="C882" s="1" t="n">
        <v>46134</v>
      </c>
      <c r="D882" t="inlineStr">
        <is>
          <t>UPPSALA LÄN</t>
        </is>
      </c>
      <c r="E882" t="inlineStr">
        <is>
          <t>UPPSALA</t>
        </is>
      </c>
      <c r="G882" t="n">
        <v>2.3</v>
      </c>
      <c r="H882" t="n">
        <v>0</v>
      </c>
      <c r="I882" t="n">
        <v>0</v>
      </c>
      <c r="J882" t="n">
        <v>0</v>
      </c>
      <c r="K882" t="n">
        <v>0</v>
      </c>
      <c r="L882" t="n">
        <v>0</v>
      </c>
      <c r="M882" t="n">
        <v>0</v>
      </c>
      <c r="N882" t="n">
        <v>0</v>
      </c>
      <c r="O882" t="n">
        <v>0</v>
      </c>
      <c r="P882" t="n">
        <v>0</v>
      </c>
      <c r="Q882" t="n">
        <v>0</v>
      </c>
      <c r="R882" s="2" t="inlineStr"/>
    </row>
    <row r="883" ht="15" customHeight="1">
      <c r="A883" t="inlineStr">
        <is>
          <t>A 50473-2023</t>
        </is>
      </c>
      <c r="B883" s="1" t="n">
        <v>45216</v>
      </c>
      <c r="C883" s="1" t="n">
        <v>46134</v>
      </c>
      <c r="D883" t="inlineStr">
        <is>
          <t>UPPSALA LÄN</t>
        </is>
      </c>
      <c r="E883" t="inlineStr">
        <is>
          <t>UPPSALA</t>
        </is>
      </c>
      <c r="F883" t="inlineStr">
        <is>
          <t>Allmännings- och besparingsskogar</t>
        </is>
      </c>
      <c r="G883" t="n">
        <v>7.6</v>
      </c>
      <c r="H883" t="n">
        <v>0</v>
      </c>
      <c r="I883" t="n">
        <v>0</v>
      </c>
      <c r="J883" t="n">
        <v>0</v>
      </c>
      <c r="K883" t="n">
        <v>0</v>
      </c>
      <c r="L883" t="n">
        <v>0</v>
      </c>
      <c r="M883" t="n">
        <v>0</v>
      </c>
      <c r="N883" t="n">
        <v>0</v>
      </c>
      <c r="O883" t="n">
        <v>0</v>
      </c>
      <c r="P883" t="n">
        <v>0</v>
      </c>
      <c r="Q883" t="n">
        <v>0</v>
      </c>
      <c r="R883" s="2" t="inlineStr"/>
    </row>
    <row r="884" ht="15" customHeight="1">
      <c r="A884" t="inlineStr">
        <is>
          <t>A 41002-2023</t>
        </is>
      </c>
      <c r="B884" s="1" t="n">
        <v>45173</v>
      </c>
      <c r="C884" s="1" t="n">
        <v>46134</v>
      </c>
      <c r="D884" t="inlineStr">
        <is>
          <t>UPPSALA LÄN</t>
        </is>
      </c>
      <c r="E884" t="inlineStr">
        <is>
          <t>UPPSALA</t>
        </is>
      </c>
      <c r="G884" t="n">
        <v>6.2</v>
      </c>
      <c r="H884" t="n">
        <v>0</v>
      </c>
      <c r="I884" t="n">
        <v>0</v>
      </c>
      <c r="J884" t="n">
        <v>0</v>
      </c>
      <c r="K884" t="n">
        <v>0</v>
      </c>
      <c r="L884" t="n">
        <v>0</v>
      </c>
      <c r="M884" t="n">
        <v>0</v>
      </c>
      <c r="N884" t="n">
        <v>0</v>
      </c>
      <c r="O884" t="n">
        <v>0</v>
      </c>
      <c r="P884" t="n">
        <v>0</v>
      </c>
      <c r="Q884" t="n">
        <v>0</v>
      </c>
      <c r="R884" s="2" t="inlineStr"/>
    </row>
    <row r="885" ht="15" customHeight="1">
      <c r="A885" t="inlineStr">
        <is>
          <t>A 5725-2025</t>
        </is>
      </c>
      <c r="B885" s="1" t="n">
        <v>45694</v>
      </c>
      <c r="C885" s="1" t="n">
        <v>46134</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4059-2022</t>
        </is>
      </c>
      <c r="B886" s="1" t="n">
        <v>44588</v>
      </c>
      <c r="C886" s="1" t="n">
        <v>46134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12209-2025</t>
        </is>
      </c>
      <c r="B887" s="1" t="n">
        <v>45729</v>
      </c>
      <c r="C887" s="1" t="n">
        <v>46134</v>
      </c>
      <c r="D887" t="inlineStr">
        <is>
          <t>UPPSALA LÄN</t>
        </is>
      </c>
      <c r="E887" t="inlineStr">
        <is>
          <t>UPPSALA</t>
        </is>
      </c>
      <c r="G887" t="n">
        <v>1.5</v>
      </c>
      <c r="H887" t="n">
        <v>0</v>
      </c>
      <c r="I887" t="n">
        <v>0</v>
      </c>
      <c r="J887" t="n">
        <v>0</v>
      </c>
      <c r="K887" t="n">
        <v>0</v>
      </c>
      <c r="L887" t="n">
        <v>0</v>
      </c>
      <c r="M887" t="n">
        <v>0</v>
      </c>
      <c r="N887" t="n">
        <v>0</v>
      </c>
      <c r="O887" t="n">
        <v>0</v>
      </c>
      <c r="P887" t="n">
        <v>0</v>
      </c>
      <c r="Q887" t="n">
        <v>0</v>
      </c>
      <c r="R887" s="2" t="inlineStr"/>
    </row>
    <row r="888" ht="15" customHeight="1">
      <c r="A888" t="inlineStr">
        <is>
          <t>A 48564-2023</t>
        </is>
      </c>
      <c r="B888" s="1" t="n">
        <v>45208.4350462963</v>
      </c>
      <c r="C888" s="1" t="n">
        <v>46134</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7501-2025</t>
        </is>
      </c>
      <c r="B889" s="1" t="n">
        <v>45705</v>
      </c>
      <c r="C889" s="1" t="n">
        <v>46134</v>
      </c>
      <c r="D889" t="inlineStr">
        <is>
          <t>UPPSALA LÄN</t>
        </is>
      </c>
      <c r="E889" t="inlineStr">
        <is>
          <t>UPPSALA</t>
        </is>
      </c>
      <c r="G889" t="n">
        <v>4.2</v>
      </c>
      <c r="H889" t="n">
        <v>0</v>
      </c>
      <c r="I889" t="n">
        <v>0</v>
      </c>
      <c r="J889" t="n">
        <v>0</v>
      </c>
      <c r="K889" t="n">
        <v>0</v>
      </c>
      <c r="L889" t="n">
        <v>0</v>
      </c>
      <c r="M889" t="n">
        <v>0</v>
      </c>
      <c r="N889" t="n">
        <v>0</v>
      </c>
      <c r="O889" t="n">
        <v>0</v>
      </c>
      <c r="P889" t="n">
        <v>0</v>
      </c>
      <c r="Q889" t="n">
        <v>0</v>
      </c>
      <c r="R889" s="2" t="inlineStr"/>
    </row>
    <row r="890" ht="15" customHeight="1">
      <c r="A890" t="inlineStr">
        <is>
          <t>A 42273-2023</t>
        </is>
      </c>
      <c r="B890" s="1" t="n">
        <v>45180.40255787037</v>
      </c>
      <c r="C890" s="1" t="n">
        <v>46134</v>
      </c>
      <c r="D890" t="inlineStr">
        <is>
          <t>UPPSALA LÄN</t>
        </is>
      </c>
      <c r="E890" t="inlineStr">
        <is>
          <t>UPPSALA</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8877-2022</t>
        </is>
      </c>
      <c r="B891" s="1" t="n">
        <v>44614.59027777778</v>
      </c>
      <c r="C891" s="1" t="n">
        <v>46134</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17562-2022</t>
        </is>
      </c>
      <c r="B892" s="1" t="n">
        <v>44679.68706018518</v>
      </c>
      <c r="C892" s="1" t="n">
        <v>46134</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36123-2023</t>
        </is>
      </c>
      <c r="B893" s="1" t="n">
        <v>45149.56928240741</v>
      </c>
      <c r="C893" s="1" t="n">
        <v>46134</v>
      </c>
      <c r="D893" t="inlineStr">
        <is>
          <t>UPPSALA LÄN</t>
        </is>
      </c>
      <c r="E893" t="inlineStr">
        <is>
          <t>UPPSALA</t>
        </is>
      </c>
      <c r="F893" t="inlineStr">
        <is>
          <t>Allmännings- och besparingsskogar</t>
        </is>
      </c>
      <c r="G893" t="n">
        <v>4.2</v>
      </c>
      <c r="H893" t="n">
        <v>0</v>
      </c>
      <c r="I893" t="n">
        <v>0</v>
      </c>
      <c r="J893" t="n">
        <v>0</v>
      </c>
      <c r="K893" t="n">
        <v>0</v>
      </c>
      <c r="L893" t="n">
        <v>0</v>
      </c>
      <c r="M893" t="n">
        <v>0</v>
      </c>
      <c r="N893" t="n">
        <v>0</v>
      </c>
      <c r="O893" t="n">
        <v>0</v>
      </c>
      <c r="P893" t="n">
        <v>0</v>
      </c>
      <c r="Q893" t="n">
        <v>0</v>
      </c>
      <c r="R893" s="2" t="inlineStr"/>
    </row>
    <row r="894" ht="15" customHeight="1">
      <c r="A894" t="inlineStr">
        <is>
          <t>A 42543-2023</t>
        </is>
      </c>
      <c r="B894" s="1" t="n">
        <v>45181.36815972222</v>
      </c>
      <c r="C894" s="1" t="n">
        <v>46134</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17558-2022</t>
        </is>
      </c>
      <c r="B895" s="1" t="n">
        <v>44679.66694444444</v>
      </c>
      <c r="C895" s="1" t="n">
        <v>46134</v>
      </c>
      <c r="D895" t="inlineStr">
        <is>
          <t>UPPSALA LÄN</t>
        </is>
      </c>
      <c r="E895" t="inlineStr">
        <is>
          <t>UPPSALA</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43818-2023</t>
        </is>
      </c>
      <c r="B896" s="1" t="n">
        <v>45182</v>
      </c>
      <c r="C896" s="1" t="n">
        <v>46134</v>
      </c>
      <c r="D896" t="inlineStr">
        <is>
          <t>UPPSALA LÄN</t>
        </is>
      </c>
      <c r="E896" t="inlineStr">
        <is>
          <t>UPPSALA</t>
        </is>
      </c>
      <c r="G896" t="n">
        <v>10.8</v>
      </c>
      <c r="H896" t="n">
        <v>0</v>
      </c>
      <c r="I896" t="n">
        <v>0</v>
      </c>
      <c r="J896" t="n">
        <v>0</v>
      </c>
      <c r="K896" t="n">
        <v>0</v>
      </c>
      <c r="L896" t="n">
        <v>0</v>
      </c>
      <c r="M896" t="n">
        <v>0</v>
      </c>
      <c r="N896" t="n">
        <v>0</v>
      </c>
      <c r="O896" t="n">
        <v>0</v>
      </c>
      <c r="P896" t="n">
        <v>0</v>
      </c>
      <c r="Q896" t="n">
        <v>0</v>
      </c>
      <c r="R896" s="2" t="inlineStr"/>
    </row>
    <row r="897" ht="15" customHeight="1">
      <c r="A897" t="inlineStr">
        <is>
          <t>A 41422-2023</t>
        </is>
      </c>
      <c r="B897" s="1" t="n">
        <v>45175</v>
      </c>
      <c r="C897" s="1" t="n">
        <v>46134</v>
      </c>
      <c r="D897" t="inlineStr">
        <is>
          <t>UPPSALA LÄN</t>
        </is>
      </c>
      <c r="E897" t="inlineStr">
        <is>
          <t>UPPSALA</t>
        </is>
      </c>
      <c r="F897" t="inlineStr">
        <is>
          <t>Kyrkan</t>
        </is>
      </c>
      <c r="G897" t="n">
        <v>5.2</v>
      </c>
      <c r="H897" t="n">
        <v>0</v>
      </c>
      <c r="I897" t="n">
        <v>0</v>
      </c>
      <c r="J897" t="n">
        <v>0</v>
      </c>
      <c r="K897" t="n">
        <v>0</v>
      </c>
      <c r="L897" t="n">
        <v>0</v>
      </c>
      <c r="M897" t="n">
        <v>0</v>
      </c>
      <c r="N897" t="n">
        <v>0</v>
      </c>
      <c r="O897" t="n">
        <v>0</v>
      </c>
      <c r="P897" t="n">
        <v>0</v>
      </c>
      <c r="Q897" t="n">
        <v>0</v>
      </c>
      <c r="R897" s="2" t="inlineStr"/>
    </row>
    <row r="898" ht="15" customHeight="1">
      <c r="A898" t="inlineStr">
        <is>
          <t>A 6541-2025</t>
        </is>
      </c>
      <c r="B898" s="1" t="n">
        <v>45699</v>
      </c>
      <c r="C898" s="1" t="n">
        <v>46134</v>
      </c>
      <c r="D898" t="inlineStr">
        <is>
          <t>UPPSALA LÄN</t>
        </is>
      </c>
      <c r="E898" t="inlineStr">
        <is>
          <t>UPPSALA</t>
        </is>
      </c>
      <c r="G898" t="n">
        <v>1.5</v>
      </c>
      <c r="H898" t="n">
        <v>0</v>
      </c>
      <c r="I898" t="n">
        <v>0</v>
      </c>
      <c r="J898" t="n">
        <v>0</v>
      </c>
      <c r="K898" t="n">
        <v>0</v>
      </c>
      <c r="L898" t="n">
        <v>0</v>
      </c>
      <c r="M898" t="n">
        <v>0</v>
      </c>
      <c r="N898" t="n">
        <v>0</v>
      </c>
      <c r="O898" t="n">
        <v>0</v>
      </c>
      <c r="P898" t="n">
        <v>0</v>
      </c>
      <c r="Q898" t="n">
        <v>0</v>
      </c>
      <c r="R898" s="2" t="inlineStr"/>
    </row>
    <row r="899" ht="15" customHeight="1">
      <c r="A899" t="inlineStr">
        <is>
          <t>A 36479-2023</t>
        </is>
      </c>
      <c r="B899" s="1" t="n">
        <v>45152</v>
      </c>
      <c r="C899" s="1" t="n">
        <v>46134</v>
      </c>
      <c r="D899" t="inlineStr">
        <is>
          <t>UPPSALA LÄN</t>
        </is>
      </c>
      <c r="E899" t="inlineStr">
        <is>
          <t>UPPSALA</t>
        </is>
      </c>
      <c r="F899" t="inlineStr">
        <is>
          <t>Allmännings- och besparingsskogar</t>
        </is>
      </c>
      <c r="G899" t="n">
        <v>3.4</v>
      </c>
      <c r="H899" t="n">
        <v>0</v>
      </c>
      <c r="I899" t="n">
        <v>0</v>
      </c>
      <c r="J899" t="n">
        <v>0</v>
      </c>
      <c r="K899" t="n">
        <v>0</v>
      </c>
      <c r="L899" t="n">
        <v>0</v>
      </c>
      <c r="M899" t="n">
        <v>0</v>
      </c>
      <c r="N899" t="n">
        <v>0</v>
      </c>
      <c r="O899" t="n">
        <v>0</v>
      </c>
      <c r="P899" t="n">
        <v>0</v>
      </c>
      <c r="Q899" t="n">
        <v>0</v>
      </c>
      <c r="R899" s="2" t="inlineStr"/>
    </row>
    <row r="900" ht="15" customHeight="1">
      <c r="A900" t="inlineStr">
        <is>
          <t>A 5729-2025</t>
        </is>
      </c>
      <c r="B900" s="1" t="n">
        <v>45694.49037037037</v>
      </c>
      <c r="C900" s="1" t="n">
        <v>46134</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20497-2022</t>
        </is>
      </c>
      <c r="B901" s="1" t="n">
        <v>44699</v>
      </c>
      <c r="C901" s="1" t="n">
        <v>46134</v>
      </c>
      <c r="D901" t="inlineStr">
        <is>
          <t>UPPSALA LÄN</t>
        </is>
      </c>
      <c r="E901" t="inlineStr">
        <is>
          <t>UPPSALA</t>
        </is>
      </c>
      <c r="F901" t="inlineStr">
        <is>
          <t>Övriga statliga verk och myndigheter</t>
        </is>
      </c>
      <c r="G901" t="n">
        <v>1</v>
      </c>
      <c r="H901" t="n">
        <v>0</v>
      </c>
      <c r="I901" t="n">
        <v>0</v>
      </c>
      <c r="J901" t="n">
        <v>0</v>
      </c>
      <c r="K901" t="n">
        <v>0</v>
      </c>
      <c r="L901" t="n">
        <v>0</v>
      </c>
      <c r="M901" t="n">
        <v>0</v>
      </c>
      <c r="N901" t="n">
        <v>0</v>
      </c>
      <c r="O901" t="n">
        <v>0</v>
      </c>
      <c r="P901" t="n">
        <v>0</v>
      </c>
      <c r="Q901" t="n">
        <v>0</v>
      </c>
      <c r="R901" s="2" t="inlineStr"/>
    </row>
    <row r="902" ht="15" customHeight="1">
      <c r="A902" t="inlineStr">
        <is>
          <t>A 52503-2023</t>
        </is>
      </c>
      <c r="B902" s="1" t="n">
        <v>45225.46480324074</v>
      </c>
      <c r="C902" s="1" t="n">
        <v>46134</v>
      </c>
      <c r="D902" t="inlineStr">
        <is>
          <t>UPPSALA LÄN</t>
        </is>
      </c>
      <c r="E902" t="inlineStr">
        <is>
          <t>UPPSALA</t>
        </is>
      </c>
      <c r="G902" t="n">
        <v>1.7</v>
      </c>
      <c r="H902" t="n">
        <v>0</v>
      </c>
      <c r="I902" t="n">
        <v>0</v>
      </c>
      <c r="J902" t="n">
        <v>0</v>
      </c>
      <c r="K902" t="n">
        <v>0</v>
      </c>
      <c r="L902" t="n">
        <v>0</v>
      </c>
      <c r="M902" t="n">
        <v>0</v>
      </c>
      <c r="N902" t="n">
        <v>0</v>
      </c>
      <c r="O902" t="n">
        <v>0</v>
      </c>
      <c r="P902" t="n">
        <v>0</v>
      </c>
      <c r="Q902" t="n">
        <v>0</v>
      </c>
      <c r="R902" s="2" t="inlineStr"/>
    </row>
    <row r="903" ht="15" customHeight="1">
      <c r="A903" t="inlineStr">
        <is>
          <t>A 33562-2023</t>
        </is>
      </c>
      <c r="B903" s="1" t="n">
        <v>45131</v>
      </c>
      <c r="C903" s="1" t="n">
        <v>46134</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60447-2023</t>
        </is>
      </c>
      <c r="B904" s="1" t="n">
        <v>45259</v>
      </c>
      <c r="C904" s="1" t="n">
        <v>46134</v>
      </c>
      <c r="D904" t="inlineStr">
        <is>
          <t>UPPSALA LÄN</t>
        </is>
      </c>
      <c r="E904" t="inlineStr">
        <is>
          <t>UPPSALA</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54783-2023</t>
        </is>
      </c>
      <c r="B905" s="1" t="n">
        <v>45236.47697916667</v>
      </c>
      <c r="C905" s="1" t="n">
        <v>46134</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600-2024</t>
        </is>
      </c>
      <c r="B906" s="1" t="n">
        <v>45299</v>
      </c>
      <c r="C906" s="1" t="n">
        <v>46134</v>
      </c>
      <c r="D906" t="inlineStr">
        <is>
          <t>UPPSALA LÄN</t>
        </is>
      </c>
      <c r="E906" t="inlineStr">
        <is>
          <t>UPPSALA</t>
        </is>
      </c>
      <c r="G906" t="n">
        <v>0.6</v>
      </c>
      <c r="H906" t="n">
        <v>0</v>
      </c>
      <c r="I906" t="n">
        <v>0</v>
      </c>
      <c r="J906" t="n">
        <v>0</v>
      </c>
      <c r="K906" t="n">
        <v>0</v>
      </c>
      <c r="L906" t="n">
        <v>0</v>
      </c>
      <c r="M906" t="n">
        <v>0</v>
      </c>
      <c r="N906" t="n">
        <v>0</v>
      </c>
      <c r="O906" t="n">
        <v>0</v>
      </c>
      <c r="P906" t="n">
        <v>0</v>
      </c>
      <c r="Q906" t="n">
        <v>0</v>
      </c>
      <c r="R906" s="2" t="inlineStr"/>
    </row>
    <row r="907" ht="15" customHeight="1">
      <c r="A907" t="inlineStr">
        <is>
          <t>A 62287-2023</t>
        </is>
      </c>
      <c r="B907" s="1" t="n">
        <v>45267</v>
      </c>
      <c r="C907" s="1" t="n">
        <v>46134</v>
      </c>
      <c r="D907" t="inlineStr">
        <is>
          <t>UPPSALA LÄN</t>
        </is>
      </c>
      <c r="E907" t="inlineStr">
        <is>
          <t>UPPSALA</t>
        </is>
      </c>
      <c r="F907" t="inlineStr">
        <is>
          <t>Allmännings- och besparingsskogar</t>
        </is>
      </c>
      <c r="G907" t="n">
        <v>2.8</v>
      </c>
      <c r="H907" t="n">
        <v>0</v>
      </c>
      <c r="I907" t="n">
        <v>0</v>
      </c>
      <c r="J907" t="n">
        <v>0</v>
      </c>
      <c r="K907" t="n">
        <v>0</v>
      </c>
      <c r="L907" t="n">
        <v>0</v>
      </c>
      <c r="M907" t="n">
        <v>0</v>
      </c>
      <c r="N907" t="n">
        <v>0</v>
      </c>
      <c r="O907" t="n">
        <v>0</v>
      </c>
      <c r="P907" t="n">
        <v>0</v>
      </c>
      <c r="Q907" t="n">
        <v>0</v>
      </c>
      <c r="R907" s="2" t="inlineStr"/>
    </row>
    <row r="908" ht="15" customHeight="1">
      <c r="A908" t="inlineStr">
        <is>
          <t>A 54808-2023</t>
        </is>
      </c>
      <c r="B908" s="1" t="n">
        <v>45236</v>
      </c>
      <c r="C908" s="1" t="n">
        <v>46134</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9984-2025</t>
        </is>
      </c>
      <c r="B909" s="1" t="n">
        <v>45719.42197916667</v>
      </c>
      <c r="C909" s="1" t="n">
        <v>46134</v>
      </c>
      <c r="D909" t="inlineStr">
        <is>
          <t>UPPSALA LÄN</t>
        </is>
      </c>
      <c r="E909" t="inlineStr">
        <is>
          <t>UPPSALA</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9991-2025</t>
        </is>
      </c>
      <c r="B910" s="1" t="n">
        <v>45719.43646990741</v>
      </c>
      <c r="C910" s="1" t="n">
        <v>46134</v>
      </c>
      <c r="D910" t="inlineStr">
        <is>
          <t>UPPSALA LÄN</t>
        </is>
      </c>
      <c r="E910" t="inlineStr">
        <is>
          <t>UPPSALA</t>
        </is>
      </c>
      <c r="F910" t="inlineStr">
        <is>
          <t>Kyrkan</t>
        </is>
      </c>
      <c r="G910" t="n">
        <v>6.1</v>
      </c>
      <c r="H910" t="n">
        <v>0</v>
      </c>
      <c r="I910" t="n">
        <v>0</v>
      </c>
      <c r="J910" t="n">
        <v>0</v>
      </c>
      <c r="K910" t="n">
        <v>0</v>
      </c>
      <c r="L910" t="n">
        <v>0</v>
      </c>
      <c r="M910" t="n">
        <v>0</v>
      </c>
      <c r="N910" t="n">
        <v>0</v>
      </c>
      <c r="O910" t="n">
        <v>0</v>
      </c>
      <c r="P910" t="n">
        <v>0</v>
      </c>
      <c r="Q910" t="n">
        <v>0</v>
      </c>
      <c r="R910" s="2" t="inlineStr"/>
    </row>
    <row r="911" ht="15" customHeight="1">
      <c r="A911" t="inlineStr">
        <is>
          <t>A 35542-2022</t>
        </is>
      </c>
      <c r="B911" s="1" t="n">
        <v>44799.36695601852</v>
      </c>
      <c r="C911" s="1" t="n">
        <v>46134</v>
      </c>
      <c r="D911" t="inlineStr">
        <is>
          <t>UPPSALA LÄN</t>
        </is>
      </c>
      <c r="E911" t="inlineStr">
        <is>
          <t>UPPSALA</t>
        </is>
      </c>
      <c r="G911" t="n">
        <v>3.2</v>
      </c>
      <c r="H911" t="n">
        <v>0</v>
      </c>
      <c r="I911" t="n">
        <v>0</v>
      </c>
      <c r="J911" t="n">
        <v>0</v>
      </c>
      <c r="K911" t="n">
        <v>0</v>
      </c>
      <c r="L911" t="n">
        <v>0</v>
      </c>
      <c r="M911" t="n">
        <v>0</v>
      </c>
      <c r="N911" t="n">
        <v>0</v>
      </c>
      <c r="O911" t="n">
        <v>0</v>
      </c>
      <c r="P911" t="n">
        <v>0</v>
      </c>
      <c r="Q911" t="n">
        <v>0</v>
      </c>
      <c r="R911" s="2" t="inlineStr"/>
    </row>
    <row r="912" ht="15" customHeight="1">
      <c r="A912" t="inlineStr">
        <is>
          <t>A 59585-2023</t>
        </is>
      </c>
      <c r="B912" s="1" t="n">
        <v>45254</v>
      </c>
      <c r="C912" s="1" t="n">
        <v>46134</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3813-2024</t>
        </is>
      </c>
      <c r="B913" s="1" t="n">
        <v>45321</v>
      </c>
      <c r="C913" s="1" t="n">
        <v>46134</v>
      </c>
      <c r="D913" t="inlineStr">
        <is>
          <t>UPPSALA LÄN</t>
        </is>
      </c>
      <c r="E913" t="inlineStr">
        <is>
          <t>UPPSALA</t>
        </is>
      </c>
      <c r="G913" t="n">
        <v>0.7</v>
      </c>
      <c r="H913" t="n">
        <v>0</v>
      </c>
      <c r="I913" t="n">
        <v>0</v>
      </c>
      <c r="J913" t="n">
        <v>0</v>
      </c>
      <c r="K913" t="n">
        <v>0</v>
      </c>
      <c r="L913" t="n">
        <v>0</v>
      </c>
      <c r="M913" t="n">
        <v>0</v>
      </c>
      <c r="N913" t="n">
        <v>0</v>
      </c>
      <c r="O913" t="n">
        <v>0</v>
      </c>
      <c r="P913" t="n">
        <v>0</v>
      </c>
      <c r="Q913" t="n">
        <v>0</v>
      </c>
      <c r="R913" s="2" t="inlineStr"/>
    </row>
    <row r="914" ht="15" customHeight="1">
      <c r="A914" t="inlineStr">
        <is>
          <t>A 3260-2024</t>
        </is>
      </c>
      <c r="B914" s="1" t="n">
        <v>45317</v>
      </c>
      <c r="C914" s="1" t="n">
        <v>46134</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9611-2024</t>
        </is>
      </c>
      <c r="B915" s="1" t="n">
        <v>45361.57299768519</v>
      </c>
      <c r="C915" s="1" t="n">
        <v>46134</v>
      </c>
      <c r="D915" t="inlineStr">
        <is>
          <t>UPPSALA LÄN</t>
        </is>
      </c>
      <c r="E915" t="inlineStr">
        <is>
          <t>UPPSALA</t>
        </is>
      </c>
      <c r="F915" t="inlineStr">
        <is>
          <t>Bergvik skog öst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39107-2023</t>
        </is>
      </c>
      <c r="B916" s="1" t="n">
        <v>45164.82913194445</v>
      </c>
      <c r="C916" s="1" t="n">
        <v>46134</v>
      </c>
      <c r="D916" t="inlineStr">
        <is>
          <t>UPPSALA LÄN</t>
        </is>
      </c>
      <c r="E916" t="inlineStr">
        <is>
          <t>UPPSALA</t>
        </is>
      </c>
      <c r="F916" t="inlineStr">
        <is>
          <t>Bergvik skog öst AB</t>
        </is>
      </c>
      <c r="G916" t="n">
        <v>1</v>
      </c>
      <c r="H916" t="n">
        <v>0</v>
      </c>
      <c r="I916" t="n">
        <v>0</v>
      </c>
      <c r="J916" t="n">
        <v>0</v>
      </c>
      <c r="K916" t="n">
        <v>0</v>
      </c>
      <c r="L916" t="n">
        <v>0</v>
      </c>
      <c r="M916" t="n">
        <v>0</v>
      </c>
      <c r="N916" t="n">
        <v>0</v>
      </c>
      <c r="O916" t="n">
        <v>0</v>
      </c>
      <c r="P916" t="n">
        <v>0</v>
      </c>
      <c r="Q916" t="n">
        <v>0</v>
      </c>
      <c r="R916" s="2" t="inlineStr"/>
    </row>
    <row r="917" ht="15" customHeight="1">
      <c r="A917" t="inlineStr">
        <is>
          <t>A 8109-2024</t>
        </is>
      </c>
      <c r="B917" s="1" t="n">
        <v>45351.48662037037</v>
      </c>
      <c r="C917" s="1" t="n">
        <v>46134</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554-2023</t>
        </is>
      </c>
      <c r="B918" s="1" t="n">
        <v>44930</v>
      </c>
      <c r="C918" s="1" t="n">
        <v>46134</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2357-2024</t>
        </is>
      </c>
      <c r="B919" s="1" t="n">
        <v>45310</v>
      </c>
      <c r="C919" s="1" t="n">
        <v>46134</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44781-2021</t>
        </is>
      </c>
      <c r="B920" s="1" t="n">
        <v>44438</v>
      </c>
      <c r="C920" s="1" t="n">
        <v>46134</v>
      </c>
      <c r="D920" t="inlineStr">
        <is>
          <t>UPPSALA LÄN</t>
        </is>
      </c>
      <c r="E920" t="inlineStr">
        <is>
          <t>UPPSALA</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26323-2023</t>
        </is>
      </c>
      <c r="B921" s="1" t="n">
        <v>45091.69766203704</v>
      </c>
      <c r="C921" s="1" t="n">
        <v>46134</v>
      </c>
      <c r="D921" t="inlineStr">
        <is>
          <t>UPPSALA LÄN</t>
        </is>
      </c>
      <c r="E921" t="inlineStr">
        <is>
          <t>UPPSALA</t>
        </is>
      </c>
      <c r="G921" t="n">
        <v>3.1</v>
      </c>
      <c r="H921" t="n">
        <v>0</v>
      </c>
      <c r="I921" t="n">
        <v>0</v>
      </c>
      <c r="J921" t="n">
        <v>0</v>
      </c>
      <c r="K921" t="n">
        <v>0</v>
      </c>
      <c r="L921" t="n">
        <v>0</v>
      </c>
      <c r="M921" t="n">
        <v>0</v>
      </c>
      <c r="N921" t="n">
        <v>0</v>
      </c>
      <c r="O921" t="n">
        <v>0</v>
      </c>
      <c r="P921" t="n">
        <v>0</v>
      </c>
      <c r="Q921" t="n">
        <v>0</v>
      </c>
      <c r="R921" s="2" t="inlineStr"/>
    </row>
    <row r="922" ht="15" customHeight="1">
      <c r="A922" t="inlineStr">
        <is>
          <t>A 16288-2025</t>
        </is>
      </c>
      <c r="B922" s="1" t="n">
        <v>45751.32001157408</v>
      </c>
      <c r="C922" s="1" t="n">
        <v>46134</v>
      </c>
      <c r="D922" t="inlineStr">
        <is>
          <t>UPPSALA LÄN</t>
        </is>
      </c>
      <c r="E922" t="inlineStr">
        <is>
          <t>UPPSALA</t>
        </is>
      </c>
      <c r="G922" t="n">
        <v>3.9</v>
      </c>
      <c r="H922" t="n">
        <v>0</v>
      </c>
      <c r="I922" t="n">
        <v>0</v>
      </c>
      <c r="J922" t="n">
        <v>0</v>
      </c>
      <c r="K922" t="n">
        <v>0</v>
      </c>
      <c r="L922" t="n">
        <v>0</v>
      </c>
      <c r="M922" t="n">
        <v>0</v>
      </c>
      <c r="N922" t="n">
        <v>0</v>
      </c>
      <c r="O922" t="n">
        <v>0</v>
      </c>
      <c r="P922" t="n">
        <v>0</v>
      </c>
      <c r="Q922" t="n">
        <v>0</v>
      </c>
      <c r="R922" s="2" t="inlineStr"/>
    </row>
    <row r="923" ht="15" customHeight="1">
      <c r="A923" t="inlineStr">
        <is>
          <t>A 5605-2025</t>
        </is>
      </c>
      <c r="B923" s="1" t="n">
        <v>45693</v>
      </c>
      <c r="C923" s="1" t="n">
        <v>46134</v>
      </c>
      <c r="D923" t="inlineStr">
        <is>
          <t>UPPSALA LÄN</t>
        </is>
      </c>
      <c r="E923" t="inlineStr">
        <is>
          <t>UPPSALA</t>
        </is>
      </c>
      <c r="G923" t="n">
        <v>1.3</v>
      </c>
      <c r="H923" t="n">
        <v>0</v>
      </c>
      <c r="I923" t="n">
        <v>0</v>
      </c>
      <c r="J923" t="n">
        <v>0</v>
      </c>
      <c r="K923" t="n">
        <v>0</v>
      </c>
      <c r="L923" t="n">
        <v>0</v>
      </c>
      <c r="M923" t="n">
        <v>0</v>
      </c>
      <c r="N923" t="n">
        <v>0</v>
      </c>
      <c r="O923" t="n">
        <v>0</v>
      </c>
      <c r="P923" t="n">
        <v>0</v>
      </c>
      <c r="Q923" t="n">
        <v>0</v>
      </c>
      <c r="R923" s="2" t="inlineStr"/>
    </row>
    <row r="924" ht="15" customHeight="1">
      <c r="A924" t="inlineStr">
        <is>
          <t>A 33332-2022</t>
        </is>
      </c>
      <c r="B924" s="1" t="n">
        <v>44788</v>
      </c>
      <c r="C924" s="1" t="n">
        <v>46134</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18054-2025</t>
        </is>
      </c>
      <c r="B925" s="1" t="n">
        <v>45761.47540509259</v>
      </c>
      <c r="C925" s="1" t="n">
        <v>46134</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18058-2025</t>
        </is>
      </c>
      <c r="B926" s="1" t="n">
        <v>45761.47748842592</v>
      </c>
      <c r="C926" s="1" t="n">
        <v>46134</v>
      </c>
      <c r="D926" t="inlineStr">
        <is>
          <t>UPPSALA LÄN</t>
        </is>
      </c>
      <c r="E926" t="inlineStr">
        <is>
          <t>UPPSALA</t>
        </is>
      </c>
      <c r="G926" t="n">
        <v>0.8</v>
      </c>
      <c r="H926" t="n">
        <v>0</v>
      </c>
      <c r="I926" t="n">
        <v>0</v>
      </c>
      <c r="J926" t="n">
        <v>0</v>
      </c>
      <c r="K926" t="n">
        <v>0</v>
      </c>
      <c r="L926" t="n">
        <v>0</v>
      </c>
      <c r="M926" t="n">
        <v>0</v>
      </c>
      <c r="N926" t="n">
        <v>0</v>
      </c>
      <c r="O926" t="n">
        <v>0</v>
      </c>
      <c r="P926" t="n">
        <v>0</v>
      </c>
      <c r="Q926" t="n">
        <v>0</v>
      </c>
      <c r="R926" s="2" t="inlineStr"/>
    </row>
    <row r="927" ht="15" customHeight="1">
      <c r="A927" t="inlineStr">
        <is>
          <t>A 6973-2025</t>
        </is>
      </c>
      <c r="B927" s="1" t="n">
        <v>45693</v>
      </c>
      <c r="C927" s="1" t="n">
        <v>46134</v>
      </c>
      <c r="D927" t="inlineStr">
        <is>
          <t>UPPSALA LÄN</t>
        </is>
      </c>
      <c r="E927" t="inlineStr">
        <is>
          <t>UPPSALA</t>
        </is>
      </c>
      <c r="G927" t="n">
        <v>1.3</v>
      </c>
      <c r="H927" t="n">
        <v>0</v>
      </c>
      <c r="I927" t="n">
        <v>0</v>
      </c>
      <c r="J927" t="n">
        <v>0</v>
      </c>
      <c r="K927" t="n">
        <v>0</v>
      </c>
      <c r="L927" t="n">
        <v>0</v>
      </c>
      <c r="M927" t="n">
        <v>0</v>
      </c>
      <c r="N927" t="n">
        <v>0</v>
      </c>
      <c r="O927" t="n">
        <v>0</v>
      </c>
      <c r="P927" t="n">
        <v>0</v>
      </c>
      <c r="Q927" t="n">
        <v>0</v>
      </c>
      <c r="R927" s="2" t="inlineStr"/>
    </row>
    <row r="928" ht="15" customHeight="1">
      <c r="A928" t="inlineStr">
        <is>
          <t>A 39608-2022</t>
        </is>
      </c>
      <c r="B928" s="1" t="n">
        <v>44817</v>
      </c>
      <c r="C928" s="1" t="n">
        <v>46134</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50267-2023</t>
        </is>
      </c>
      <c r="B929" s="1" t="n">
        <v>45216.39040509259</v>
      </c>
      <c r="C929" s="1" t="n">
        <v>46134</v>
      </c>
      <c r="D929" t="inlineStr">
        <is>
          <t>UPPSALA LÄN</t>
        </is>
      </c>
      <c r="E929" t="inlineStr">
        <is>
          <t>UPPSALA</t>
        </is>
      </c>
      <c r="G929" t="n">
        <v>1</v>
      </c>
      <c r="H929" t="n">
        <v>0</v>
      </c>
      <c r="I929" t="n">
        <v>0</v>
      </c>
      <c r="J929" t="n">
        <v>0</v>
      </c>
      <c r="K929" t="n">
        <v>0</v>
      </c>
      <c r="L929" t="n">
        <v>0</v>
      </c>
      <c r="M929" t="n">
        <v>0</v>
      </c>
      <c r="N929" t="n">
        <v>0</v>
      </c>
      <c r="O929" t="n">
        <v>0</v>
      </c>
      <c r="P929" t="n">
        <v>0</v>
      </c>
      <c r="Q929" t="n">
        <v>0</v>
      </c>
      <c r="R929" s="2" t="inlineStr"/>
    </row>
    <row r="930" ht="15" customHeight="1">
      <c r="A930" t="inlineStr">
        <is>
          <t>A 28825-2024</t>
        </is>
      </c>
      <c r="B930" s="1" t="n">
        <v>45478</v>
      </c>
      <c r="C930" s="1" t="n">
        <v>46134</v>
      </c>
      <c r="D930" t="inlineStr">
        <is>
          <t>UPPSALA LÄN</t>
        </is>
      </c>
      <c r="E930" t="inlineStr">
        <is>
          <t>UPPSALA</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50037-2024</t>
        </is>
      </c>
      <c r="B931" s="1" t="n">
        <v>45599</v>
      </c>
      <c r="C931" s="1" t="n">
        <v>46134</v>
      </c>
      <c r="D931" t="inlineStr">
        <is>
          <t>UPPSALA LÄN</t>
        </is>
      </c>
      <c r="E931" t="inlineStr">
        <is>
          <t>UPPSALA</t>
        </is>
      </c>
      <c r="G931" t="n">
        <v>13.7</v>
      </c>
      <c r="H931" t="n">
        <v>0</v>
      </c>
      <c r="I931" t="n">
        <v>0</v>
      </c>
      <c r="J931" t="n">
        <v>0</v>
      </c>
      <c r="K931" t="n">
        <v>0</v>
      </c>
      <c r="L931" t="n">
        <v>0</v>
      </c>
      <c r="M931" t="n">
        <v>0</v>
      </c>
      <c r="N931" t="n">
        <v>0</v>
      </c>
      <c r="O931" t="n">
        <v>0</v>
      </c>
      <c r="P931" t="n">
        <v>0</v>
      </c>
      <c r="Q931" t="n">
        <v>0</v>
      </c>
      <c r="R931" s="2" t="inlineStr"/>
    </row>
    <row r="932" ht="15" customHeight="1">
      <c r="A932" t="inlineStr">
        <is>
          <t>A 60167-2024</t>
        </is>
      </c>
      <c r="B932" s="1" t="n">
        <v>45642.63524305556</v>
      </c>
      <c r="C932" s="1" t="n">
        <v>46134</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61574-2024</t>
        </is>
      </c>
      <c r="B933" s="1" t="n">
        <v>45646.61892361111</v>
      </c>
      <c r="C933" s="1" t="n">
        <v>46134</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44984.69216435185</v>
      </c>
      <c r="C934" s="1" t="n">
        <v>46134</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34243-2021</t>
        </is>
      </c>
      <c r="B935" s="1" t="n">
        <v>44379.56163194445</v>
      </c>
      <c r="C935" s="1" t="n">
        <v>46134</v>
      </c>
      <c r="D935" t="inlineStr">
        <is>
          <t>UPPSALA LÄN</t>
        </is>
      </c>
      <c r="E935" t="inlineStr">
        <is>
          <t>UPPSALA</t>
        </is>
      </c>
      <c r="G935" t="n">
        <v>1.9</v>
      </c>
      <c r="H935" t="n">
        <v>0</v>
      </c>
      <c r="I935" t="n">
        <v>0</v>
      </c>
      <c r="J935" t="n">
        <v>0</v>
      </c>
      <c r="K935" t="n">
        <v>0</v>
      </c>
      <c r="L935" t="n">
        <v>0</v>
      </c>
      <c r="M935" t="n">
        <v>0</v>
      </c>
      <c r="N935" t="n">
        <v>0</v>
      </c>
      <c r="O935" t="n">
        <v>0</v>
      </c>
      <c r="P935" t="n">
        <v>0</v>
      </c>
      <c r="Q935" t="n">
        <v>0</v>
      </c>
      <c r="R935" s="2" t="inlineStr"/>
    </row>
    <row r="936" ht="15" customHeight="1">
      <c r="A936" t="inlineStr">
        <is>
          <t>A 13799-2024</t>
        </is>
      </c>
      <c r="B936" s="1" t="n">
        <v>45391.37361111111</v>
      </c>
      <c r="C936" s="1" t="n">
        <v>46134</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33816-2024</t>
        </is>
      </c>
      <c r="B937" s="1" t="n">
        <v>45520</v>
      </c>
      <c r="C937" s="1" t="n">
        <v>46134</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2927-2022</t>
        </is>
      </c>
      <c r="B938" s="1" t="n">
        <v>44581.60254629629</v>
      </c>
      <c r="C938" s="1" t="n">
        <v>46134</v>
      </c>
      <c r="D938" t="inlineStr">
        <is>
          <t>UPPSALA LÄN</t>
        </is>
      </c>
      <c r="E938" t="inlineStr">
        <is>
          <t>UPPSALA</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733-2022</t>
        </is>
      </c>
      <c r="B939" s="1" t="n">
        <v>44568.67040509259</v>
      </c>
      <c r="C939" s="1" t="n">
        <v>46134</v>
      </c>
      <c r="D939" t="inlineStr">
        <is>
          <t>UPPSALA LÄN</t>
        </is>
      </c>
      <c r="E939" t="inlineStr">
        <is>
          <t>UPPSALA</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59719-2022</t>
        </is>
      </c>
      <c r="B940" s="1" t="n">
        <v>44908.425625</v>
      </c>
      <c r="C940" s="1" t="n">
        <v>46134</v>
      </c>
      <c r="D940" t="inlineStr">
        <is>
          <t>UPPSALA LÄN</t>
        </is>
      </c>
      <c r="E940" t="inlineStr">
        <is>
          <t>UPPSALA</t>
        </is>
      </c>
      <c r="G940" t="n">
        <v>3.6</v>
      </c>
      <c r="H940" t="n">
        <v>0</v>
      </c>
      <c r="I940" t="n">
        <v>0</v>
      </c>
      <c r="J940" t="n">
        <v>0</v>
      </c>
      <c r="K940" t="n">
        <v>0</v>
      </c>
      <c r="L940" t="n">
        <v>0</v>
      </c>
      <c r="M940" t="n">
        <v>0</v>
      </c>
      <c r="N940" t="n">
        <v>0</v>
      </c>
      <c r="O940" t="n">
        <v>0</v>
      </c>
      <c r="P940" t="n">
        <v>0</v>
      </c>
      <c r="Q940" t="n">
        <v>0</v>
      </c>
      <c r="R940" s="2" t="inlineStr"/>
    </row>
    <row r="941" ht="15" customHeight="1">
      <c r="A941" t="inlineStr">
        <is>
          <t>A 29145-2021</t>
        </is>
      </c>
      <c r="B941" s="1" t="n">
        <v>44358.63490740741</v>
      </c>
      <c r="C941" s="1" t="n">
        <v>46134</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3353-2023</t>
        </is>
      </c>
      <c r="B942" s="1" t="n">
        <v>44949.4708912037</v>
      </c>
      <c r="C942" s="1" t="n">
        <v>46134</v>
      </c>
      <c r="D942" t="inlineStr">
        <is>
          <t>UPPSALA LÄN</t>
        </is>
      </c>
      <c r="E942" t="inlineStr">
        <is>
          <t>UPPSALA</t>
        </is>
      </c>
      <c r="G942" t="n">
        <v>3</v>
      </c>
      <c r="H942" t="n">
        <v>0</v>
      </c>
      <c r="I942" t="n">
        <v>0</v>
      </c>
      <c r="J942" t="n">
        <v>0</v>
      </c>
      <c r="K942" t="n">
        <v>0</v>
      </c>
      <c r="L942" t="n">
        <v>0</v>
      </c>
      <c r="M942" t="n">
        <v>0</v>
      </c>
      <c r="N942" t="n">
        <v>0</v>
      </c>
      <c r="O942" t="n">
        <v>0</v>
      </c>
      <c r="P942" t="n">
        <v>0</v>
      </c>
      <c r="Q942" t="n">
        <v>0</v>
      </c>
      <c r="R942" s="2" t="inlineStr"/>
    </row>
    <row r="943" ht="15" customHeight="1">
      <c r="A943" t="inlineStr">
        <is>
          <t>A 37819-2021</t>
        </is>
      </c>
      <c r="B943" s="1" t="n">
        <v>44403.29719907408</v>
      </c>
      <c r="C943" s="1" t="n">
        <v>46134</v>
      </c>
      <c r="D943" t="inlineStr">
        <is>
          <t>UPPSALA LÄN</t>
        </is>
      </c>
      <c r="E943" t="inlineStr">
        <is>
          <t>UPPSALA</t>
        </is>
      </c>
      <c r="F943" t="inlineStr">
        <is>
          <t>Bergvik skog öst AB</t>
        </is>
      </c>
      <c r="G943" t="n">
        <v>1.1</v>
      </c>
      <c r="H943" t="n">
        <v>0</v>
      </c>
      <c r="I943" t="n">
        <v>0</v>
      </c>
      <c r="J943" t="n">
        <v>0</v>
      </c>
      <c r="K943" t="n">
        <v>0</v>
      </c>
      <c r="L943" t="n">
        <v>0</v>
      </c>
      <c r="M943" t="n">
        <v>0</v>
      </c>
      <c r="N943" t="n">
        <v>0</v>
      </c>
      <c r="O943" t="n">
        <v>0</v>
      </c>
      <c r="P943" t="n">
        <v>0</v>
      </c>
      <c r="Q943" t="n">
        <v>0</v>
      </c>
      <c r="R943" s="2" t="inlineStr"/>
    </row>
    <row r="944" ht="15" customHeight="1">
      <c r="A944" t="inlineStr">
        <is>
          <t>A 3086-2023</t>
        </is>
      </c>
      <c r="B944" s="1" t="n">
        <v>44946.43564814814</v>
      </c>
      <c r="C944" s="1" t="n">
        <v>46134</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46134</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69436-2021</t>
        </is>
      </c>
      <c r="B946" s="1" t="n">
        <v>44531</v>
      </c>
      <c r="C946" s="1" t="n">
        <v>46134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5678-2023</t>
        </is>
      </c>
      <c r="B947" s="1" t="n">
        <v>44960</v>
      </c>
      <c r="C947" s="1" t="n">
        <v>46134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5028-2022</t>
        </is>
      </c>
      <c r="B948" s="1" t="n">
        <v>44593.64863425926</v>
      </c>
      <c r="C948" s="1" t="n">
        <v>46134</v>
      </c>
      <c r="D948" t="inlineStr">
        <is>
          <t>UPPSALA LÄN</t>
        </is>
      </c>
      <c r="E948" t="inlineStr">
        <is>
          <t>UPPSALA</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179-2023</t>
        </is>
      </c>
      <c r="B949" s="1" t="n">
        <v>44928</v>
      </c>
      <c r="C949" s="1" t="n">
        <v>46134</v>
      </c>
      <c r="D949" t="inlineStr">
        <is>
          <t>UPPSALA LÄN</t>
        </is>
      </c>
      <c r="E949" t="inlineStr">
        <is>
          <t>UPPSALA</t>
        </is>
      </c>
      <c r="F949" t="inlineStr">
        <is>
          <t>Kommuner</t>
        </is>
      </c>
      <c r="G949" t="n">
        <v>1.4</v>
      </c>
      <c r="H949" t="n">
        <v>0</v>
      </c>
      <c r="I949" t="n">
        <v>0</v>
      </c>
      <c r="J949" t="n">
        <v>0</v>
      </c>
      <c r="K949" t="n">
        <v>0</v>
      </c>
      <c r="L949" t="n">
        <v>0</v>
      </c>
      <c r="M949" t="n">
        <v>0</v>
      </c>
      <c r="N949" t="n">
        <v>0</v>
      </c>
      <c r="O949" t="n">
        <v>0</v>
      </c>
      <c r="P949" t="n">
        <v>0</v>
      </c>
      <c r="Q949" t="n">
        <v>0</v>
      </c>
      <c r="R949" s="2" t="inlineStr"/>
    </row>
    <row r="950" ht="15" customHeight="1">
      <c r="A950" t="inlineStr">
        <is>
          <t>A 39812-2024</t>
        </is>
      </c>
      <c r="B950" s="1" t="n">
        <v>45552</v>
      </c>
      <c r="C950" s="1" t="n">
        <v>46134</v>
      </c>
      <c r="D950" t="inlineStr">
        <is>
          <t>UPPSALA LÄN</t>
        </is>
      </c>
      <c r="E950" t="inlineStr">
        <is>
          <t>UPPSALA</t>
        </is>
      </c>
      <c r="G950" t="n">
        <v>7.9</v>
      </c>
      <c r="H950" t="n">
        <v>0</v>
      </c>
      <c r="I950" t="n">
        <v>0</v>
      </c>
      <c r="J950" t="n">
        <v>0</v>
      </c>
      <c r="K950" t="n">
        <v>0</v>
      </c>
      <c r="L950" t="n">
        <v>0</v>
      </c>
      <c r="M950" t="n">
        <v>0</v>
      </c>
      <c r="N950" t="n">
        <v>0</v>
      </c>
      <c r="O950" t="n">
        <v>0</v>
      </c>
      <c r="P950" t="n">
        <v>0</v>
      </c>
      <c r="Q950" t="n">
        <v>0</v>
      </c>
      <c r="R950" s="2" t="inlineStr"/>
    </row>
    <row r="951" ht="15" customHeight="1">
      <c r="A951" t="inlineStr">
        <is>
          <t>A 32688-2023</t>
        </is>
      </c>
      <c r="B951" s="1" t="n">
        <v>45121</v>
      </c>
      <c r="C951" s="1" t="n">
        <v>46134</v>
      </c>
      <c r="D951" t="inlineStr">
        <is>
          <t>UPPSALA LÄN</t>
        </is>
      </c>
      <c r="E951" t="inlineStr">
        <is>
          <t>UPPSALA</t>
        </is>
      </c>
      <c r="F951" t="inlineStr">
        <is>
          <t>Holmen skog AB</t>
        </is>
      </c>
      <c r="G951" t="n">
        <v>4.3</v>
      </c>
      <c r="H951" t="n">
        <v>0</v>
      </c>
      <c r="I951" t="n">
        <v>0</v>
      </c>
      <c r="J951" t="n">
        <v>0</v>
      </c>
      <c r="K951" t="n">
        <v>0</v>
      </c>
      <c r="L951" t="n">
        <v>0</v>
      </c>
      <c r="M951" t="n">
        <v>0</v>
      </c>
      <c r="N951" t="n">
        <v>0</v>
      </c>
      <c r="O951" t="n">
        <v>0</v>
      </c>
      <c r="P951" t="n">
        <v>0</v>
      </c>
      <c r="Q951" t="n">
        <v>0</v>
      </c>
      <c r="R951" s="2" t="inlineStr"/>
    </row>
    <row r="952" ht="15" customHeight="1">
      <c r="A952" t="inlineStr">
        <is>
          <t>A 39795-2022</t>
        </is>
      </c>
      <c r="B952" s="1" t="n">
        <v>44819.50233796296</v>
      </c>
      <c r="C952" s="1" t="n">
        <v>46134</v>
      </c>
      <c r="D952" t="inlineStr">
        <is>
          <t>UPPSALA LÄN</t>
        </is>
      </c>
      <c r="E952" t="inlineStr">
        <is>
          <t>UPPSALA</t>
        </is>
      </c>
      <c r="F952" t="inlineStr">
        <is>
          <t>Övriga Aktiebolag</t>
        </is>
      </c>
      <c r="G952" t="n">
        <v>3.5</v>
      </c>
      <c r="H952" t="n">
        <v>0</v>
      </c>
      <c r="I952" t="n">
        <v>0</v>
      </c>
      <c r="J952" t="n">
        <v>0</v>
      </c>
      <c r="K952" t="n">
        <v>0</v>
      </c>
      <c r="L952" t="n">
        <v>0</v>
      </c>
      <c r="M952" t="n">
        <v>0</v>
      </c>
      <c r="N952" t="n">
        <v>0</v>
      </c>
      <c r="O952" t="n">
        <v>0</v>
      </c>
      <c r="P952" t="n">
        <v>0</v>
      </c>
      <c r="Q952" t="n">
        <v>0</v>
      </c>
      <c r="R952" s="2" t="inlineStr"/>
    </row>
    <row r="953" ht="15" customHeight="1">
      <c r="A953" t="inlineStr">
        <is>
          <t>A 9206-2022</t>
        </is>
      </c>
      <c r="B953" s="1" t="n">
        <v>44616</v>
      </c>
      <c r="C953" s="1" t="n">
        <v>46134</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55021-2022</t>
        </is>
      </c>
      <c r="B954" s="1" t="n">
        <v>44886</v>
      </c>
      <c r="C954" s="1" t="n">
        <v>46134</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74495-2021</t>
        </is>
      </c>
      <c r="B955" s="1" t="n">
        <v>44560</v>
      </c>
      <c r="C955" s="1" t="n">
        <v>46134</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6408-2022</t>
        </is>
      </c>
      <c r="B956" s="1" t="n">
        <v>44600</v>
      </c>
      <c r="C956" s="1" t="n">
        <v>46134</v>
      </c>
      <c r="D956" t="inlineStr">
        <is>
          <t>UPPSALA LÄN</t>
        </is>
      </c>
      <c r="E956" t="inlineStr">
        <is>
          <t>UPPSALA</t>
        </is>
      </c>
      <c r="F956" t="inlineStr">
        <is>
          <t>Bergvik skog öst AB</t>
        </is>
      </c>
      <c r="G956" t="n">
        <v>1.8</v>
      </c>
      <c r="H956" t="n">
        <v>0</v>
      </c>
      <c r="I956" t="n">
        <v>0</v>
      </c>
      <c r="J956" t="n">
        <v>0</v>
      </c>
      <c r="K956" t="n">
        <v>0</v>
      </c>
      <c r="L956" t="n">
        <v>0</v>
      </c>
      <c r="M956" t="n">
        <v>0</v>
      </c>
      <c r="N956" t="n">
        <v>0</v>
      </c>
      <c r="O956" t="n">
        <v>0</v>
      </c>
      <c r="P956" t="n">
        <v>0</v>
      </c>
      <c r="Q956" t="n">
        <v>0</v>
      </c>
      <c r="R956" s="2" t="inlineStr"/>
    </row>
    <row r="957" ht="15" customHeight="1">
      <c r="A957" t="inlineStr">
        <is>
          <t>A 10383-2022</t>
        </is>
      </c>
      <c r="B957" s="1" t="n">
        <v>44623.41775462963</v>
      </c>
      <c r="C957" s="1" t="n">
        <v>46134</v>
      </c>
      <c r="D957" t="inlineStr">
        <is>
          <t>UPPSALA LÄN</t>
        </is>
      </c>
      <c r="E957" t="inlineStr">
        <is>
          <t>UPPSALA</t>
        </is>
      </c>
      <c r="F957" t="inlineStr">
        <is>
          <t>Övriga Aktiebolag</t>
        </is>
      </c>
      <c r="G957" t="n">
        <v>2.8</v>
      </c>
      <c r="H957" t="n">
        <v>0</v>
      </c>
      <c r="I957" t="n">
        <v>0</v>
      </c>
      <c r="J957" t="n">
        <v>0</v>
      </c>
      <c r="K957" t="n">
        <v>0</v>
      </c>
      <c r="L957" t="n">
        <v>0</v>
      </c>
      <c r="M957" t="n">
        <v>0</v>
      </c>
      <c r="N957" t="n">
        <v>0</v>
      </c>
      <c r="O957" t="n">
        <v>0</v>
      </c>
      <c r="P957" t="n">
        <v>0</v>
      </c>
      <c r="Q957" t="n">
        <v>0</v>
      </c>
      <c r="R957" s="2" t="inlineStr"/>
    </row>
    <row r="958" ht="15" customHeight="1">
      <c r="A958" t="inlineStr">
        <is>
          <t>A 10456-2022</t>
        </is>
      </c>
      <c r="B958" s="1" t="n">
        <v>44623.5571875</v>
      </c>
      <c r="C958" s="1" t="n">
        <v>46134</v>
      </c>
      <c r="D958" t="inlineStr">
        <is>
          <t>UPPSALA LÄN</t>
        </is>
      </c>
      <c r="E958" t="inlineStr">
        <is>
          <t>UPPSALA</t>
        </is>
      </c>
      <c r="F958" t="inlineStr">
        <is>
          <t>Övriga Aktiebolag</t>
        </is>
      </c>
      <c r="G958" t="n">
        <v>12.6</v>
      </c>
      <c r="H958" t="n">
        <v>0</v>
      </c>
      <c r="I958" t="n">
        <v>0</v>
      </c>
      <c r="J958" t="n">
        <v>0</v>
      </c>
      <c r="K958" t="n">
        <v>0</v>
      </c>
      <c r="L958" t="n">
        <v>0</v>
      </c>
      <c r="M958" t="n">
        <v>0</v>
      </c>
      <c r="N958" t="n">
        <v>0</v>
      </c>
      <c r="O958" t="n">
        <v>0</v>
      </c>
      <c r="P958" t="n">
        <v>0</v>
      </c>
      <c r="Q958" t="n">
        <v>0</v>
      </c>
      <c r="R958" s="2" t="inlineStr"/>
    </row>
    <row r="959" ht="15" customHeight="1">
      <c r="A959" t="inlineStr">
        <is>
          <t>A 39548-2023</t>
        </is>
      </c>
      <c r="B959" s="1" t="n">
        <v>45167.3721412037</v>
      </c>
      <c r="C959" s="1" t="n">
        <v>46134</v>
      </c>
      <c r="D959" t="inlineStr">
        <is>
          <t>UPPSALA LÄN</t>
        </is>
      </c>
      <c r="E959" t="inlineStr">
        <is>
          <t>UPPSALA</t>
        </is>
      </c>
      <c r="G959" t="n">
        <v>3.4</v>
      </c>
      <c r="H959" t="n">
        <v>0</v>
      </c>
      <c r="I959" t="n">
        <v>0</v>
      </c>
      <c r="J959" t="n">
        <v>0</v>
      </c>
      <c r="K959" t="n">
        <v>0</v>
      </c>
      <c r="L959" t="n">
        <v>0</v>
      </c>
      <c r="M959" t="n">
        <v>0</v>
      </c>
      <c r="N959" t="n">
        <v>0</v>
      </c>
      <c r="O959" t="n">
        <v>0</v>
      </c>
      <c r="P959" t="n">
        <v>0</v>
      </c>
      <c r="Q959" t="n">
        <v>0</v>
      </c>
      <c r="R959" s="2" t="inlineStr"/>
    </row>
    <row r="960" ht="15" customHeight="1">
      <c r="A960" t="inlineStr">
        <is>
          <t>A 6422-2023</t>
        </is>
      </c>
      <c r="B960" s="1" t="n">
        <v>44965</v>
      </c>
      <c r="C960" s="1" t="n">
        <v>46134</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6423-2023</t>
        </is>
      </c>
      <c r="B961" s="1" t="n">
        <v>44965</v>
      </c>
      <c r="C961" s="1" t="n">
        <v>46134</v>
      </c>
      <c r="D961" t="inlineStr">
        <is>
          <t>UPPSALA LÄN</t>
        </is>
      </c>
      <c r="E961" t="inlineStr">
        <is>
          <t>UPPSALA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1994-2024</t>
        </is>
      </c>
      <c r="B962" s="1" t="n">
        <v>45308.63298611111</v>
      </c>
      <c r="C962" s="1" t="n">
        <v>46134</v>
      </c>
      <c r="D962" t="inlineStr">
        <is>
          <t>UPPSALA LÄN</t>
        </is>
      </c>
      <c r="E962" t="inlineStr">
        <is>
          <t>UPPSALA</t>
        </is>
      </c>
      <c r="G962" t="n">
        <v>1.6</v>
      </c>
      <c r="H962" t="n">
        <v>0</v>
      </c>
      <c r="I962" t="n">
        <v>0</v>
      </c>
      <c r="J962" t="n">
        <v>0</v>
      </c>
      <c r="K962" t="n">
        <v>0</v>
      </c>
      <c r="L962" t="n">
        <v>0</v>
      </c>
      <c r="M962" t="n">
        <v>0</v>
      </c>
      <c r="N962" t="n">
        <v>0</v>
      </c>
      <c r="O962" t="n">
        <v>0</v>
      </c>
      <c r="P962" t="n">
        <v>0</v>
      </c>
      <c r="Q962" t="n">
        <v>0</v>
      </c>
      <c r="R962" s="2" t="inlineStr"/>
    </row>
    <row r="963" ht="15" customHeight="1">
      <c r="A963" t="inlineStr">
        <is>
          <t>A 49682-2023</t>
        </is>
      </c>
      <c r="B963" s="1" t="n">
        <v>45212.34997685185</v>
      </c>
      <c r="C963" s="1" t="n">
        <v>46134</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55073-2022</t>
        </is>
      </c>
      <c r="B964" s="1" t="n">
        <v>44886.5928125</v>
      </c>
      <c r="C964" s="1" t="n">
        <v>46134</v>
      </c>
      <c r="D964" t="inlineStr">
        <is>
          <t>UPPSALA LÄN</t>
        </is>
      </c>
      <c r="E964" t="inlineStr">
        <is>
          <t>UPPSALA</t>
        </is>
      </c>
      <c r="G964" t="n">
        <v>1</v>
      </c>
      <c r="H964" t="n">
        <v>0</v>
      </c>
      <c r="I964" t="n">
        <v>0</v>
      </c>
      <c r="J964" t="n">
        <v>0</v>
      </c>
      <c r="K964" t="n">
        <v>0</v>
      </c>
      <c r="L964" t="n">
        <v>0</v>
      </c>
      <c r="M964" t="n">
        <v>0</v>
      </c>
      <c r="N964" t="n">
        <v>0</v>
      </c>
      <c r="O964" t="n">
        <v>0</v>
      </c>
      <c r="P964" t="n">
        <v>0</v>
      </c>
      <c r="Q964" t="n">
        <v>0</v>
      </c>
      <c r="R964" s="2" t="inlineStr"/>
    </row>
    <row r="965" ht="15" customHeight="1">
      <c r="A965" t="inlineStr">
        <is>
          <t>A 43-2024</t>
        </is>
      </c>
      <c r="B965" s="1" t="n">
        <v>45293</v>
      </c>
      <c r="C965" s="1" t="n">
        <v>46134</v>
      </c>
      <c r="D965" t="inlineStr">
        <is>
          <t>UPPSALA LÄN</t>
        </is>
      </c>
      <c r="E965" t="inlineStr">
        <is>
          <t>UPPSALA</t>
        </is>
      </c>
      <c r="G965" t="n">
        <v>2.8</v>
      </c>
      <c r="H965" t="n">
        <v>0</v>
      </c>
      <c r="I965" t="n">
        <v>0</v>
      </c>
      <c r="J965" t="n">
        <v>0</v>
      </c>
      <c r="K965" t="n">
        <v>0</v>
      </c>
      <c r="L965" t="n">
        <v>0</v>
      </c>
      <c r="M965" t="n">
        <v>0</v>
      </c>
      <c r="N965" t="n">
        <v>0</v>
      </c>
      <c r="O965" t="n">
        <v>0</v>
      </c>
      <c r="P965" t="n">
        <v>0</v>
      </c>
      <c r="Q965" t="n">
        <v>0</v>
      </c>
      <c r="R965" s="2" t="inlineStr"/>
    </row>
    <row r="966" ht="15" customHeight="1">
      <c r="A966" t="inlineStr">
        <is>
          <t>A 42681-2023</t>
        </is>
      </c>
      <c r="B966" s="1" t="n">
        <v>45181.58055555556</v>
      </c>
      <c r="C966" s="1" t="n">
        <v>46134</v>
      </c>
      <c r="D966" t="inlineStr">
        <is>
          <t>UPPSALA LÄN</t>
        </is>
      </c>
      <c r="E966" t="inlineStr">
        <is>
          <t>UPPSALA</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1592-2025</t>
        </is>
      </c>
      <c r="B967" s="1" t="n">
        <v>45670</v>
      </c>
      <c r="C967" s="1" t="n">
        <v>46134</v>
      </c>
      <c r="D967" t="inlineStr">
        <is>
          <t>UPPSALA LÄN</t>
        </is>
      </c>
      <c r="E967" t="inlineStr">
        <is>
          <t>UPPSALA</t>
        </is>
      </c>
      <c r="F967" t="inlineStr">
        <is>
          <t>Bergvik skog väst AB</t>
        </is>
      </c>
      <c r="G967" t="n">
        <v>0.7</v>
      </c>
      <c r="H967" t="n">
        <v>0</v>
      </c>
      <c r="I967" t="n">
        <v>0</v>
      </c>
      <c r="J967" t="n">
        <v>0</v>
      </c>
      <c r="K967" t="n">
        <v>0</v>
      </c>
      <c r="L967" t="n">
        <v>0</v>
      </c>
      <c r="M967" t="n">
        <v>0</v>
      </c>
      <c r="N967" t="n">
        <v>0</v>
      </c>
      <c r="O967" t="n">
        <v>0</v>
      </c>
      <c r="P967" t="n">
        <v>0</v>
      </c>
      <c r="Q967" t="n">
        <v>0</v>
      </c>
      <c r="R967" s="2" t="inlineStr"/>
    </row>
    <row r="968" ht="15" customHeight="1">
      <c r="A968" t="inlineStr">
        <is>
          <t>A 27543-2022</t>
        </is>
      </c>
      <c r="B968" s="1" t="n">
        <v>44742</v>
      </c>
      <c r="C968" s="1" t="n">
        <v>46134</v>
      </c>
      <c r="D968" t="inlineStr">
        <is>
          <t>UPPSALA LÄN</t>
        </is>
      </c>
      <c r="E968" t="inlineStr">
        <is>
          <t>UPPSALA</t>
        </is>
      </c>
      <c r="F968" t="inlineStr">
        <is>
          <t>Kyrkan</t>
        </is>
      </c>
      <c r="G968" t="n">
        <v>2.6</v>
      </c>
      <c r="H968" t="n">
        <v>0</v>
      </c>
      <c r="I968" t="n">
        <v>0</v>
      </c>
      <c r="J968" t="n">
        <v>0</v>
      </c>
      <c r="K968" t="n">
        <v>0</v>
      </c>
      <c r="L968" t="n">
        <v>0</v>
      </c>
      <c r="M968" t="n">
        <v>0</v>
      </c>
      <c r="N968" t="n">
        <v>0</v>
      </c>
      <c r="O968" t="n">
        <v>0</v>
      </c>
      <c r="P968" t="n">
        <v>0</v>
      </c>
      <c r="Q968" t="n">
        <v>0</v>
      </c>
      <c r="R968" s="2" t="inlineStr"/>
    </row>
    <row r="969" ht="15" customHeight="1">
      <c r="A969" t="inlineStr">
        <is>
          <t>A 53893-2023</t>
        </is>
      </c>
      <c r="B969" s="1" t="n">
        <v>45231</v>
      </c>
      <c r="C969" s="1" t="n">
        <v>46134</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6679-2024</t>
        </is>
      </c>
      <c r="B970" s="1" t="n">
        <v>45341</v>
      </c>
      <c r="C970" s="1" t="n">
        <v>46134</v>
      </c>
      <c r="D970" t="inlineStr">
        <is>
          <t>UPPSALA LÄN</t>
        </is>
      </c>
      <c r="E970" t="inlineStr">
        <is>
          <t>UPPSALA</t>
        </is>
      </c>
      <c r="F970" t="inlineStr">
        <is>
          <t>Bergvik skog öst AB</t>
        </is>
      </c>
      <c r="G970" t="n">
        <v>0.4</v>
      </c>
      <c r="H970" t="n">
        <v>0</v>
      </c>
      <c r="I970" t="n">
        <v>0</v>
      </c>
      <c r="J970" t="n">
        <v>0</v>
      </c>
      <c r="K970" t="n">
        <v>0</v>
      </c>
      <c r="L970" t="n">
        <v>0</v>
      </c>
      <c r="M970" t="n">
        <v>0</v>
      </c>
      <c r="N970" t="n">
        <v>0</v>
      </c>
      <c r="O970" t="n">
        <v>0</v>
      </c>
      <c r="P970" t="n">
        <v>0</v>
      </c>
      <c r="Q970" t="n">
        <v>0</v>
      </c>
      <c r="R970" s="2" t="inlineStr"/>
    </row>
    <row r="971" ht="15" customHeight="1">
      <c r="A971" t="inlineStr">
        <is>
          <t>A 49050-2024</t>
        </is>
      </c>
      <c r="B971" s="1" t="n">
        <v>45594</v>
      </c>
      <c r="C971" s="1" t="n">
        <v>46134</v>
      </c>
      <c r="D971" t="inlineStr">
        <is>
          <t>UPPSALA LÄN</t>
        </is>
      </c>
      <c r="E971" t="inlineStr">
        <is>
          <t>UPPSALA</t>
        </is>
      </c>
      <c r="F971" t="inlineStr">
        <is>
          <t>Övriga statliga verk och myndigheter</t>
        </is>
      </c>
      <c r="G971" t="n">
        <v>3.9</v>
      </c>
      <c r="H971" t="n">
        <v>0</v>
      </c>
      <c r="I971" t="n">
        <v>0</v>
      </c>
      <c r="J971" t="n">
        <v>0</v>
      </c>
      <c r="K971" t="n">
        <v>0</v>
      </c>
      <c r="L971" t="n">
        <v>0</v>
      </c>
      <c r="M971" t="n">
        <v>0</v>
      </c>
      <c r="N971" t="n">
        <v>0</v>
      </c>
      <c r="O971" t="n">
        <v>0</v>
      </c>
      <c r="P971" t="n">
        <v>0</v>
      </c>
      <c r="Q971" t="n">
        <v>0</v>
      </c>
      <c r="R971" s="2" t="inlineStr"/>
    </row>
    <row r="972" ht="15" customHeight="1">
      <c r="A972" t="inlineStr">
        <is>
          <t>A 781-2024</t>
        </is>
      </c>
      <c r="B972" s="1" t="n">
        <v>45300.55028935185</v>
      </c>
      <c r="C972" s="1" t="n">
        <v>46134</v>
      </c>
      <c r="D972" t="inlineStr">
        <is>
          <t>UPPSALA LÄN</t>
        </is>
      </c>
      <c r="E972" t="inlineStr">
        <is>
          <t>UPPSALA</t>
        </is>
      </c>
      <c r="G972" t="n">
        <v>6.3</v>
      </c>
      <c r="H972" t="n">
        <v>0</v>
      </c>
      <c r="I972" t="n">
        <v>0</v>
      </c>
      <c r="J972" t="n">
        <v>0</v>
      </c>
      <c r="K972" t="n">
        <v>0</v>
      </c>
      <c r="L972" t="n">
        <v>0</v>
      </c>
      <c r="M972" t="n">
        <v>0</v>
      </c>
      <c r="N972" t="n">
        <v>0</v>
      </c>
      <c r="O972" t="n">
        <v>0</v>
      </c>
      <c r="P972" t="n">
        <v>0</v>
      </c>
      <c r="Q972" t="n">
        <v>0</v>
      </c>
      <c r="R972" s="2" t="inlineStr"/>
    </row>
    <row r="973" ht="15" customHeight="1">
      <c r="A973" t="inlineStr">
        <is>
          <t>A 27599-2023</t>
        </is>
      </c>
      <c r="B973" s="1" t="n">
        <v>45097</v>
      </c>
      <c r="C973" s="1" t="n">
        <v>46134</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7058-2023</t>
        </is>
      </c>
      <c r="B974" s="1" t="n">
        <v>44969</v>
      </c>
      <c r="C974" s="1" t="n">
        <v>46134</v>
      </c>
      <c r="D974" t="inlineStr">
        <is>
          <t>UPPSALA LÄN</t>
        </is>
      </c>
      <c r="E974" t="inlineStr">
        <is>
          <t>UPPSALA</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3214-2023</t>
        </is>
      </c>
      <c r="B975" s="1" t="n">
        <v>44944</v>
      </c>
      <c r="C975" s="1" t="n">
        <v>46134</v>
      </c>
      <c r="D975" t="inlineStr">
        <is>
          <t>UPPSALA LÄN</t>
        </is>
      </c>
      <c r="E975" t="inlineStr">
        <is>
          <t>UPPSALA</t>
        </is>
      </c>
      <c r="G975" t="n">
        <v>4.1</v>
      </c>
      <c r="H975" t="n">
        <v>0</v>
      </c>
      <c r="I975" t="n">
        <v>0</v>
      </c>
      <c r="J975" t="n">
        <v>0</v>
      </c>
      <c r="K975" t="n">
        <v>0</v>
      </c>
      <c r="L975" t="n">
        <v>0</v>
      </c>
      <c r="M975" t="n">
        <v>0</v>
      </c>
      <c r="N975" t="n">
        <v>0</v>
      </c>
      <c r="O975" t="n">
        <v>0</v>
      </c>
      <c r="P975" t="n">
        <v>0</v>
      </c>
      <c r="Q975" t="n">
        <v>0</v>
      </c>
      <c r="R975" s="2" t="inlineStr"/>
    </row>
    <row r="976" ht="15" customHeight="1">
      <c r="A976" t="inlineStr">
        <is>
          <t>A 50669-2024</t>
        </is>
      </c>
      <c r="B976" s="1" t="n">
        <v>45601</v>
      </c>
      <c r="C976" s="1" t="n">
        <v>46134</v>
      </c>
      <c r="D976" t="inlineStr">
        <is>
          <t>UPPSALA LÄN</t>
        </is>
      </c>
      <c r="E976" t="inlineStr">
        <is>
          <t>UPPSALA</t>
        </is>
      </c>
      <c r="G976" t="n">
        <v>1.2</v>
      </c>
      <c r="H976" t="n">
        <v>0</v>
      </c>
      <c r="I976" t="n">
        <v>0</v>
      </c>
      <c r="J976" t="n">
        <v>0</v>
      </c>
      <c r="K976" t="n">
        <v>0</v>
      </c>
      <c r="L976" t="n">
        <v>0</v>
      </c>
      <c r="M976" t="n">
        <v>0</v>
      </c>
      <c r="N976" t="n">
        <v>0</v>
      </c>
      <c r="O976" t="n">
        <v>0</v>
      </c>
      <c r="P976" t="n">
        <v>0</v>
      </c>
      <c r="Q976" t="n">
        <v>0</v>
      </c>
      <c r="R976" s="2" t="inlineStr"/>
    </row>
    <row r="977" ht="15" customHeight="1">
      <c r="A977" t="inlineStr">
        <is>
          <t>A 36782-2023</t>
        </is>
      </c>
      <c r="B977" s="1" t="n">
        <v>45154.35092592592</v>
      </c>
      <c r="C977" s="1" t="n">
        <v>46134</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14337-2022</t>
        </is>
      </c>
      <c r="B978" s="1" t="n">
        <v>44652</v>
      </c>
      <c r="C978" s="1" t="n">
        <v>46134</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2980-2025</t>
        </is>
      </c>
      <c r="B979" s="1" t="n">
        <v>45678</v>
      </c>
      <c r="C979" s="1" t="n">
        <v>46134</v>
      </c>
      <c r="D979" t="inlineStr">
        <is>
          <t>UPPSALA LÄN</t>
        </is>
      </c>
      <c r="E979" t="inlineStr">
        <is>
          <t>UPPSALA</t>
        </is>
      </c>
      <c r="G979" t="n">
        <v>5</v>
      </c>
      <c r="H979" t="n">
        <v>0</v>
      </c>
      <c r="I979" t="n">
        <v>0</v>
      </c>
      <c r="J979" t="n">
        <v>0</v>
      </c>
      <c r="K979" t="n">
        <v>0</v>
      </c>
      <c r="L979" t="n">
        <v>0</v>
      </c>
      <c r="M979" t="n">
        <v>0</v>
      </c>
      <c r="N979" t="n">
        <v>0</v>
      </c>
      <c r="O979" t="n">
        <v>0</v>
      </c>
      <c r="P979" t="n">
        <v>0</v>
      </c>
      <c r="Q979" t="n">
        <v>0</v>
      </c>
      <c r="R979" s="2" t="inlineStr"/>
    </row>
    <row r="980" ht="15" customHeight="1">
      <c r="A980" t="inlineStr">
        <is>
          <t>A 17448-2022</t>
        </is>
      </c>
      <c r="B980" s="1" t="n">
        <v>44679</v>
      </c>
      <c r="C980" s="1" t="n">
        <v>46134</v>
      </c>
      <c r="D980" t="inlineStr">
        <is>
          <t>UPPSALA LÄN</t>
        </is>
      </c>
      <c r="E980" t="inlineStr">
        <is>
          <t>UPPSALA</t>
        </is>
      </c>
      <c r="G980" t="n">
        <v>2.7</v>
      </c>
      <c r="H980" t="n">
        <v>0</v>
      </c>
      <c r="I980" t="n">
        <v>0</v>
      </c>
      <c r="J980" t="n">
        <v>0</v>
      </c>
      <c r="K980" t="n">
        <v>0</v>
      </c>
      <c r="L980" t="n">
        <v>0</v>
      </c>
      <c r="M980" t="n">
        <v>0</v>
      </c>
      <c r="N980" t="n">
        <v>0</v>
      </c>
      <c r="O980" t="n">
        <v>0</v>
      </c>
      <c r="P980" t="n">
        <v>0</v>
      </c>
      <c r="Q980" t="n">
        <v>0</v>
      </c>
      <c r="R980" s="2" t="inlineStr"/>
    </row>
    <row r="981" ht="15" customHeight="1">
      <c r="A981" t="inlineStr">
        <is>
          <t>A 62054-2024</t>
        </is>
      </c>
      <c r="B981" s="1" t="n">
        <v>45656</v>
      </c>
      <c r="C981" s="1" t="n">
        <v>46134</v>
      </c>
      <c r="D981" t="inlineStr">
        <is>
          <t>UPPSALA LÄN</t>
        </is>
      </c>
      <c r="E981" t="inlineStr">
        <is>
          <t>UPPSALA</t>
        </is>
      </c>
      <c r="F981" t="inlineStr">
        <is>
          <t>Övriga statliga verk och myndigheter</t>
        </is>
      </c>
      <c r="G981" t="n">
        <v>29.3</v>
      </c>
      <c r="H981" t="n">
        <v>0</v>
      </c>
      <c r="I981" t="n">
        <v>0</v>
      </c>
      <c r="J981" t="n">
        <v>0</v>
      </c>
      <c r="K981" t="n">
        <v>0</v>
      </c>
      <c r="L981" t="n">
        <v>0</v>
      </c>
      <c r="M981" t="n">
        <v>0</v>
      </c>
      <c r="N981" t="n">
        <v>0</v>
      </c>
      <c r="O981" t="n">
        <v>0</v>
      </c>
      <c r="P981" t="n">
        <v>0</v>
      </c>
      <c r="Q981" t="n">
        <v>0</v>
      </c>
      <c r="R981" s="2" t="inlineStr"/>
    </row>
    <row r="982" ht="15" customHeight="1">
      <c r="A982" t="inlineStr">
        <is>
          <t>A 5722-2025</t>
        </is>
      </c>
      <c r="B982" s="1" t="n">
        <v>45694</v>
      </c>
      <c r="C982" s="1" t="n">
        <v>46134</v>
      </c>
      <c r="D982" t="inlineStr">
        <is>
          <t>UPPSALA LÄN</t>
        </is>
      </c>
      <c r="E982" t="inlineStr">
        <is>
          <t>UPPSALA</t>
        </is>
      </c>
      <c r="G982" t="n">
        <v>2</v>
      </c>
      <c r="H982" t="n">
        <v>0</v>
      </c>
      <c r="I982" t="n">
        <v>0</v>
      </c>
      <c r="J982" t="n">
        <v>0</v>
      </c>
      <c r="K982" t="n">
        <v>0</v>
      </c>
      <c r="L982" t="n">
        <v>0</v>
      </c>
      <c r="M982" t="n">
        <v>0</v>
      </c>
      <c r="N982" t="n">
        <v>0</v>
      </c>
      <c r="O982" t="n">
        <v>0</v>
      </c>
      <c r="P982" t="n">
        <v>0</v>
      </c>
      <c r="Q982" t="n">
        <v>0</v>
      </c>
      <c r="R982" s="2" t="inlineStr"/>
    </row>
    <row r="983" ht="15" customHeight="1">
      <c r="A983" t="inlineStr">
        <is>
          <t>A 37316-2022</t>
        </is>
      </c>
      <c r="B983" s="1" t="n">
        <v>44806</v>
      </c>
      <c r="C983" s="1" t="n">
        <v>46134</v>
      </c>
      <c r="D983" t="inlineStr">
        <is>
          <t>UPPSALA LÄN</t>
        </is>
      </c>
      <c r="E983" t="inlineStr">
        <is>
          <t>UPPSALA</t>
        </is>
      </c>
      <c r="G983" t="n">
        <v>10.6</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45049.66025462963</v>
      </c>
      <c r="C984" s="1" t="n">
        <v>46134</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1731-2022</t>
        </is>
      </c>
      <c r="B985" s="1" t="n">
        <v>44574</v>
      </c>
      <c r="C985" s="1" t="n">
        <v>46134</v>
      </c>
      <c r="D985" t="inlineStr">
        <is>
          <t>UPPSALA LÄN</t>
        </is>
      </c>
      <c r="E985" t="inlineStr">
        <is>
          <t>UPPSALA</t>
        </is>
      </c>
      <c r="G985" t="n">
        <v>10.1</v>
      </c>
      <c r="H985" t="n">
        <v>0</v>
      </c>
      <c r="I985" t="n">
        <v>0</v>
      </c>
      <c r="J985" t="n">
        <v>0</v>
      </c>
      <c r="K985" t="n">
        <v>0</v>
      </c>
      <c r="L985" t="n">
        <v>0</v>
      </c>
      <c r="M985" t="n">
        <v>0</v>
      </c>
      <c r="N985" t="n">
        <v>0</v>
      </c>
      <c r="O985" t="n">
        <v>0</v>
      </c>
      <c r="P985" t="n">
        <v>0</v>
      </c>
      <c r="Q985" t="n">
        <v>0</v>
      </c>
      <c r="R985" s="2" t="inlineStr"/>
    </row>
    <row r="986" ht="15" customHeight="1">
      <c r="A986" t="inlineStr">
        <is>
          <t>A 13343-2022</t>
        </is>
      </c>
      <c r="B986" s="1" t="n">
        <v>44645.39157407408</v>
      </c>
      <c r="C986" s="1" t="n">
        <v>46134</v>
      </c>
      <c r="D986" t="inlineStr">
        <is>
          <t>UPPSALA LÄN</t>
        </is>
      </c>
      <c r="E986" t="inlineStr">
        <is>
          <t>UPPSALA</t>
        </is>
      </c>
      <c r="F986" t="inlineStr">
        <is>
          <t>Övriga Aktiebolag</t>
        </is>
      </c>
      <c r="G986" t="n">
        <v>1.9</v>
      </c>
      <c r="H986" t="n">
        <v>0</v>
      </c>
      <c r="I986" t="n">
        <v>0</v>
      </c>
      <c r="J986" t="n">
        <v>0</v>
      </c>
      <c r="K986" t="n">
        <v>0</v>
      </c>
      <c r="L986" t="n">
        <v>0</v>
      </c>
      <c r="M986" t="n">
        <v>0</v>
      </c>
      <c r="N986" t="n">
        <v>0</v>
      </c>
      <c r="O986" t="n">
        <v>0</v>
      </c>
      <c r="P986" t="n">
        <v>0</v>
      </c>
      <c r="Q986" t="n">
        <v>0</v>
      </c>
      <c r="R986" s="2" t="inlineStr"/>
    </row>
    <row r="987" ht="15" customHeight="1">
      <c r="A987" t="inlineStr">
        <is>
          <t>A 60925-2021</t>
        </is>
      </c>
      <c r="B987" s="1" t="n">
        <v>44497.4666087963</v>
      </c>
      <c r="C987" s="1" t="n">
        <v>46134</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36392-2023</t>
        </is>
      </c>
      <c r="B988" s="1" t="n">
        <v>45152</v>
      </c>
      <c r="C988" s="1" t="n">
        <v>46134</v>
      </c>
      <c r="D988" t="inlineStr">
        <is>
          <t>UPPSALA LÄN</t>
        </is>
      </c>
      <c r="E988" t="inlineStr">
        <is>
          <t>UPPSALA</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6155-2023</t>
        </is>
      </c>
      <c r="B989" s="1" t="n">
        <v>44964.65261574074</v>
      </c>
      <c r="C989" s="1" t="n">
        <v>46134</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6009-2022</t>
        </is>
      </c>
      <c r="B990" s="1" t="n">
        <v>44599.44832175926</v>
      </c>
      <c r="C990" s="1" t="n">
        <v>46134</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59549-2024</t>
        </is>
      </c>
      <c r="B991" s="1" t="n">
        <v>45638</v>
      </c>
      <c r="C991" s="1" t="n">
        <v>46134</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12606-2023</t>
        </is>
      </c>
      <c r="B992" s="1" t="n">
        <v>45000.44666666666</v>
      </c>
      <c r="C992" s="1" t="n">
        <v>46134</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18410-2025</t>
        </is>
      </c>
      <c r="B993" s="1" t="n">
        <v>45762.61341435185</v>
      </c>
      <c r="C993" s="1" t="n">
        <v>46134</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8931-2025</t>
        </is>
      </c>
      <c r="B994" s="1" t="n">
        <v>45713.44519675926</v>
      </c>
      <c r="C994" s="1" t="n">
        <v>46134</v>
      </c>
      <c r="D994" t="inlineStr">
        <is>
          <t>UPPSALA LÄN</t>
        </is>
      </c>
      <c r="E994" t="inlineStr">
        <is>
          <t>UPPSALA</t>
        </is>
      </c>
      <c r="G994" t="n">
        <v>1.2</v>
      </c>
      <c r="H994" t="n">
        <v>0</v>
      </c>
      <c r="I994" t="n">
        <v>0</v>
      </c>
      <c r="J994" t="n">
        <v>0</v>
      </c>
      <c r="K994" t="n">
        <v>0</v>
      </c>
      <c r="L994" t="n">
        <v>0</v>
      </c>
      <c r="M994" t="n">
        <v>0</v>
      </c>
      <c r="N994" t="n">
        <v>0</v>
      </c>
      <c r="O994" t="n">
        <v>0</v>
      </c>
      <c r="P994" t="n">
        <v>0</v>
      </c>
      <c r="Q994" t="n">
        <v>0</v>
      </c>
      <c r="R994" s="2" t="inlineStr"/>
    </row>
    <row r="995" ht="15" customHeight="1">
      <c r="A995" t="inlineStr">
        <is>
          <t>A 4503-2024</t>
        </is>
      </c>
      <c r="B995" s="1" t="n">
        <v>45327.61831018519</v>
      </c>
      <c r="C995" s="1" t="n">
        <v>46134</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8672-2024</t>
        </is>
      </c>
      <c r="B996" s="1" t="n">
        <v>45352</v>
      </c>
      <c r="C996" s="1" t="n">
        <v>46134</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5362-2023</t>
        </is>
      </c>
      <c r="B997" s="1" t="n">
        <v>44944</v>
      </c>
      <c r="C997" s="1" t="n">
        <v>46134</v>
      </c>
      <c r="D997" t="inlineStr">
        <is>
          <t>UPPSALA LÄN</t>
        </is>
      </c>
      <c r="E997" t="inlineStr">
        <is>
          <t>UPPSALA</t>
        </is>
      </c>
      <c r="G997" t="n">
        <v>2.3</v>
      </c>
      <c r="H997" t="n">
        <v>0</v>
      </c>
      <c r="I997" t="n">
        <v>0</v>
      </c>
      <c r="J997" t="n">
        <v>0</v>
      </c>
      <c r="K997" t="n">
        <v>0</v>
      </c>
      <c r="L997" t="n">
        <v>0</v>
      </c>
      <c r="M997" t="n">
        <v>0</v>
      </c>
      <c r="N997" t="n">
        <v>0</v>
      </c>
      <c r="O997" t="n">
        <v>0</v>
      </c>
      <c r="P997" t="n">
        <v>0</v>
      </c>
      <c r="Q997" t="n">
        <v>0</v>
      </c>
      <c r="R997" s="2" t="inlineStr"/>
    </row>
    <row r="998" ht="15" customHeight="1">
      <c r="A998" t="inlineStr">
        <is>
          <t>A 61947-2023</t>
        </is>
      </c>
      <c r="B998" s="1" t="n">
        <v>45266</v>
      </c>
      <c r="C998" s="1" t="n">
        <v>46134</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51661-2022</t>
        </is>
      </c>
      <c r="B999" s="1" t="n">
        <v>44872</v>
      </c>
      <c r="C999" s="1" t="n">
        <v>46134</v>
      </c>
      <c r="D999" t="inlineStr">
        <is>
          <t>UPPSALA LÄN</t>
        </is>
      </c>
      <c r="E999" t="inlineStr">
        <is>
          <t>UPPSALA</t>
        </is>
      </c>
      <c r="G999" t="n">
        <v>8.9</v>
      </c>
      <c r="H999" t="n">
        <v>0</v>
      </c>
      <c r="I999" t="n">
        <v>0</v>
      </c>
      <c r="J999" t="n">
        <v>0</v>
      </c>
      <c r="K999" t="n">
        <v>0</v>
      </c>
      <c r="L999" t="n">
        <v>0</v>
      </c>
      <c r="M999" t="n">
        <v>0</v>
      </c>
      <c r="N999" t="n">
        <v>0</v>
      </c>
      <c r="O999" t="n">
        <v>0</v>
      </c>
      <c r="P999" t="n">
        <v>0</v>
      </c>
      <c r="Q999" t="n">
        <v>0</v>
      </c>
      <c r="R999" s="2" t="inlineStr"/>
    </row>
    <row r="1000" ht="15" customHeight="1">
      <c r="A1000" t="inlineStr">
        <is>
          <t>A 32553-2024</t>
        </is>
      </c>
      <c r="B1000" s="1" t="n">
        <v>45513.51815972223</v>
      </c>
      <c r="C1000" s="1" t="n">
        <v>46134</v>
      </c>
      <c r="D1000" t="inlineStr">
        <is>
          <t>UPPSALA LÄN</t>
        </is>
      </c>
      <c r="E1000" t="inlineStr">
        <is>
          <t>UPPSALA</t>
        </is>
      </c>
      <c r="F1000" t="inlineStr">
        <is>
          <t>Bergvik skog öst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54512-2024</t>
        </is>
      </c>
      <c r="B1001" s="1" t="n">
        <v>45617.59006944444</v>
      </c>
      <c r="C1001" s="1" t="n">
        <v>46134</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19276-2023</t>
        </is>
      </c>
      <c r="B1002" s="1" t="n">
        <v>45049</v>
      </c>
      <c r="C1002" s="1" t="n">
        <v>46134</v>
      </c>
      <c r="D1002" t="inlineStr">
        <is>
          <t>UPPSALA LÄN</t>
        </is>
      </c>
      <c r="E1002" t="inlineStr">
        <is>
          <t>UPPSALA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74493-2021</t>
        </is>
      </c>
      <c r="B1003" s="1" t="n">
        <v>44560</v>
      </c>
      <c r="C1003" s="1" t="n">
        <v>46134</v>
      </c>
      <c r="D1003" t="inlineStr">
        <is>
          <t>UPPSALA LÄN</t>
        </is>
      </c>
      <c r="E1003" t="inlineStr">
        <is>
          <t>UPPSALA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5974-2024</t>
        </is>
      </c>
      <c r="B1004" s="1" t="n">
        <v>45336.53908564815</v>
      </c>
      <c r="C1004" s="1" t="n">
        <v>46134</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53589-2024</t>
        </is>
      </c>
      <c r="B1005" s="1" t="n">
        <v>45614.67020833334</v>
      </c>
      <c r="C1005" s="1" t="n">
        <v>46134</v>
      </c>
      <c r="D1005" t="inlineStr">
        <is>
          <t>UPPSALA LÄN</t>
        </is>
      </c>
      <c r="E1005" t="inlineStr">
        <is>
          <t>UPPSALA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19613-2025</t>
        </is>
      </c>
      <c r="B1006" s="1" t="n">
        <v>45770.61341435185</v>
      </c>
      <c r="C1006" s="1" t="n">
        <v>46134</v>
      </c>
      <c r="D1006" t="inlineStr">
        <is>
          <t>UPPSALA LÄN</t>
        </is>
      </c>
      <c r="E1006" t="inlineStr">
        <is>
          <t>UPPSALA</t>
        </is>
      </c>
      <c r="F1006" t="inlineStr">
        <is>
          <t>Övriga Aktiebolag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2695-2025</t>
        </is>
      </c>
      <c r="B1007" s="1" t="n">
        <v>45677.39440972222</v>
      </c>
      <c r="C1007" s="1" t="n">
        <v>46134</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40325-2023</t>
        </is>
      </c>
      <c r="B1008" s="1" t="n">
        <v>45169</v>
      </c>
      <c r="C1008" s="1" t="n">
        <v>46134</v>
      </c>
      <c r="D1008" t="inlineStr">
        <is>
          <t>UPPSALA LÄN</t>
        </is>
      </c>
      <c r="E1008" t="inlineStr">
        <is>
          <t>UPPSALA</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56872-2023</t>
        </is>
      </c>
      <c r="B1009" s="1" t="n">
        <v>45244.52202546296</v>
      </c>
      <c r="C1009" s="1" t="n">
        <v>46134</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20301-2024</t>
        </is>
      </c>
      <c r="B1010" s="1" t="n">
        <v>45435.34778935185</v>
      </c>
      <c r="C1010" s="1" t="n">
        <v>46134</v>
      </c>
      <c r="D1010" t="inlineStr">
        <is>
          <t>UPPSALA LÄN</t>
        </is>
      </c>
      <c r="E1010" t="inlineStr">
        <is>
          <t>UPPSALA</t>
        </is>
      </c>
      <c r="F1010" t="inlineStr">
        <is>
          <t>Kyrkan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18805-2025</t>
        </is>
      </c>
      <c r="B1011" s="1" t="n">
        <v>45763</v>
      </c>
      <c r="C1011" s="1" t="n">
        <v>46134</v>
      </c>
      <c r="D1011" t="inlineStr">
        <is>
          <t>UPPSALA LÄN</t>
        </is>
      </c>
      <c r="E1011" t="inlineStr">
        <is>
          <t>UPPSALA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39007-2024</t>
        </is>
      </c>
      <c r="B1012" s="1" t="n">
        <v>45548.42854166667</v>
      </c>
      <c r="C1012" s="1" t="n">
        <v>46134</v>
      </c>
      <c r="D1012" t="inlineStr">
        <is>
          <t>UPPSALA LÄN</t>
        </is>
      </c>
      <c r="E1012" t="inlineStr">
        <is>
          <t>UPPSALA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69595-2021</t>
        </is>
      </c>
      <c r="B1013" s="1" t="n">
        <v>44532</v>
      </c>
      <c r="C1013" s="1" t="n">
        <v>46134</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44830-2023</t>
        </is>
      </c>
      <c r="B1014" s="1" t="n">
        <v>45190</v>
      </c>
      <c r="C1014" s="1" t="n">
        <v>46134</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9426-2023</t>
        </is>
      </c>
      <c r="B1015" s="1" t="n">
        <v>44977</v>
      </c>
      <c r="C1015" s="1" t="n">
        <v>46134</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5975-2024</t>
        </is>
      </c>
      <c r="B1016" s="1" t="n">
        <v>45336.54270833333</v>
      </c>
      <c r="C1016" s="1" t="n">
        <v>46134</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32428-2023</t>
        </is>
      </c>
      <c r="B1017" s="1" t="n">
        <v>45110</v>
      </c>
      <c r="C1017" s="1" t="n">
        <v>46134</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45489-2023</t>
        </is>
      </c>
      <c r="B1018" s="1" t="n">
        <v>45194</v>
      </c>
      <c r="C1018" s="1" t="n">
        <v>46134</v>
      </c>
      <c r="D1018" t="inlineStr">
        <is>
          <t>UPPSALA LÄN</t>
        </is>
      </c>
      <c r="E1018" t="inlineStr">
        <is>
          <t>UPPSALA</t>
        </is>
      </c>
      <c r="F1018" t="inlineStr">
        <is>
          <t>Allmännings- och besparingsskogar</t>
        </is>
      </c>
      <c r="G1018" t="n">
        <v>15.8</v>
      </c>
      <c r="H1018" t="n">
        <v>0</v>
      </c>
      <c r="I1018" t="n">
        <v>0</v>
      </c>
      <c r="J1018" t="n">
        <v>0</v>
      </c>
      <c r="K1018" t="n">
        <v>0</v>
      </c>
      <c r="L1018" t="n">
        <v>0</v>
      </c>
      <c r="M1018" t="n">
        <v>0</v>
      </c>
      <c r="N1018" t="n">
        <v>0</v>
      </c>
      <c r="O1018" t="n">
        <v>0</v>
      </c>
      <c r="P1018" t="n">
        <v>0</v>
      </c>
      <c r="Q1018" t="n">
        <v>0</v>
      </c>
      <c r="R1018" s="2" t="inlineStr"/>
    </row>
    <row r="1019" ht="15" customHeight="1">
      <c r="A1019" t="inlineStr">
        <is>
          <t>A 27473-2024</t>
        </is>
      </c>
      <c r="B1019" s="1" t="n">
        <v>45474</v>
      </c>
      <c r="C1019" s="1" t="n">
        <v>46134</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53614-2024</t>
        </is>
      </c>
      <c r="B1020" s="1" t="n">
        <v>45611</v>
      </c>
      <c r="C1020" s="1" t="n">
        <v>46134</v>
      </c>
      <c r="D1020" t="inlineStr">
        <is>
          <t>UPPSALA LÄN</t>
        </is>
      </c>
      <c r="E1020" t="inlineStr">
        <is>
          <t>UPPSALA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784-2024</t>
        </is>
      </c>
      <c r="B1021" s="1" t="n">
        <v>45300.55680555556</v>
      </c>
      <c r="C1021" s="1" t="n">
        <v>46134</v>
      </c>
      <c r="D1021" t="inlineStr">
        <is>
          <t>UPPSALA LÄN</t>
        </is>
      </c>
      <c r="E1021" t="inlineStr">
        <is>
          <t>UPPSALA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48153-2024</t>
        </is>
      </c>
      <c r="B1022" s="1" t="n">
        <v>45589</v>
      </c>
      <c r="C1022" s="1" t="n">
        <v>46134</v>
      </c>
      <c r="D1022" t="inlineStr">
        <is>
          <t>UPPSALA LÄN</t>
        </is>
      </c>
      <c r="E1022" t="inlineStr">
        <is>
          <t>UPPSALA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48154-2024</t>
        </is>
      </c>
      <c r="B1023" s="1" t="n">
        <v>45589</v>
      </c>
      <c r="C1023" s="1" t="n">
        <v>46134</v>
      </c>
      <c r="D1023" t="inlineStr">
        <is>
          <t>UPPSALA LÄN</t>
        </is>
      </c>
      <c r="E1023" t="inlineStr">
        <is>
          <t>UPPSALA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8132-2022</t>
        </is>
      </c>
      <c r="B1024" s="1" t="n">
        <v>44609.60171296296</v>
      </c>
      <c r="C1024" s="1" t="n">
        <v>46134</v>
      </c>
      <c r="D1024" t="inlineStr">
        <is>
          <t>UPPSALA LÄN</t>
        </is>
      </c>
      <c r="E1024" t="inlineStr">
        <is>
          <t>UPPSALA</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62471-2021</t>
        </is>
      </c>
      <c r="B1025" s="1" t="n">
        <v>44503</v>
      </c>
      <c r="C1025" s="1" t="n">
        <v>46134</v>
      </c>
      <c r="D1025" t="inlineStr">
        <is>
          <t>UPPSALA LÄN</t>
        </is>
      </c>
      <c r="E1025" t="inlineStr">
        <is>
          <t>UPPSALA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10565-2022</t>
        </is>
      </c>
      <c r="B1026" s="1" t="n">
        <v>44624.35083333333</v>
      </c>
      <c r="C1026" s="1" t="n">
        <v>46134</v>
      </c>
      <c r="D1026" t="inlineStr">
        <is>
          <t>UPPSALA LÄN</t>
        </is>
      </c>
      <c r="E1026" t="inlineStr">
        <is>
          <t>UPPSALA</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24091-2024</t>
        </is>
      </c>
      <c r="B1027" s="1" t="n">
        <v>45456.58491898148</v>
      </c>
      <c r="C1027" s="1" t="n">
        <v>46134</v>
      </c>
      <c r="D1027" t="inlineStr">
        <is>
          <t>UPPSALA LÄN</t>
        </is>
      </c>
      <c r="E1027" t="inlineStr">
        <is>
          <t>UPPSALA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57714-2022</t>
        </is>
      </c>
      <c r="B1028" s="1" t="n">
        <v>44897</v>
      </c>
      <c r="C1028" s="1" t="n">
        <v>46134</v>
      </c>
      <c r="D1028" t="inlineStr">
        <is>
          <t>UPPSALA LÄN</t>
        </is>
      </c>
      <c r="E1028" t="inlineStr">
        <is>
          <t>UPPSALA</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12284-2025</t>
        </is>
      </c>
      <c r="B1029" s="1" t="n">
        <v>45729</v>
      </c>
      <c r="C1029" s="1" t="n">
        <v>46134</v>
      </c>
      <c r="D1029" t="inlineStr">
        <is>
          <t>UPPSALA LÄN</t>
        </is>
      </c>
      <c r="E1029" t="inlineStr">
        <is>
          <t>UPPSALA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12287-2025</t>
        </is>
      </c>
      <c r="B1030" s="1" t="n">
        <v>45729</v>
      </c>
      <c r="C1030" s="1" t="n">
        <v>46134</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4461-2024</t>
        </is>
      </c>
      <c r="B1031" s="1" t="n">
        <v>45327</v>
      </c>
      <c r="C1031" s="1" t="n">
        <v>46134</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14784-2023</t>
        </is>
      </c>
      <c r="B1032" s="1" t="n">
        <v>45014</v>
      </c>
      <c r="C1032" s="1" t="n">
        <v>46134</v>
      </c>
      <c r="D1032" t="inlineStr">
        <is>
          <t>UPPSALA LÄN</t>
        </is>
      </c>
      <c r="E1032" t="inlineStr">
        <is>
          <t>UPPSALA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51576-2023</t>
        </is>
      </c>
      <c r="B1033" s="1" t="n">
        <v>45222</v>
      </c>
      <c r="C1033" s="1" t="n">
        <v>46134</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4929-2022</t>
        </is>
      </c>
      <c r="B1034" s="1" t="n">
        <v>44593</v>
      </c>
      <c r="C1034" s="1" t="n">
        <v>46134</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4240-2025</t>
        </is>
      </c>
      <c r="B1035" s="1" t="n">
        <v>45685.5778125</v>
      </c>
      <c r="C1035" s="1" t="n">
        <v>46134</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6012-2025</t>
        </is>
      </c>
      <c r="B1036" s="1" t="n">
        <v>45695.59805555556</v>
      </c>
      <c r="C1036" s="1" t="n">
        <v>46134</v>
      </c>
      <c r="D1036" t="inlineStr">
        <is>
          <t>UPPSALA LÄN</t>
        </is>
      </c>
      <c r="E1036" t="inlineStr">
        <is>
          <t>UPPSALA</t>
        </is>
      </c>
      <c r="F1036" t="inlineStr">
        <is>
          <t>Övriga Aktiebolag</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24787-2024</t>
        </is>
      </c>
      <c r="B1037" s="1" t="n">
        <v>45460</v>
      </c>
      <c r="C1037" s="1" t="n">
        <v>46134</v>
      </c>
      <c r="D1037" t="inlineStr">
        <is>
          <t>UPPSALA LÄN</t>
        </is>
      </c>
      <c r="E1037" t="inlineStr">
        <is>
          <t>UPPSALA</t>
        </is>
      </c>
      <c r="F1037" t="inlineStr">
        <is>
          <t>Övriga Aktiebolag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7388-2024</t>
        </is>
      </c>
      <c r="B1038" s="1" t="n">
        <v>45345.56</v>
      </c>
      <c r="C1038" s="1" t="n">
        <v>46134</v>
      </c>
      <c r="D1038" t="inlineStr">
        <is>
          <t>UPPSALA LÄN</t>
        </is>
      </c>
      <c r="E1038" t="inlineStr">
        <is>
          <t>UPPSALA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60984-2022</t>
        </is>
      </c>
      <c r="B1039" s="1" t="n">
        <v>44914.67600694444</v>
      </c>
      <c r="C1039" s="1" t="n">
        <v>46134</v>
      </c>
      <c r="D1039" t="inlineStr">
        <is>
          <t>UPPSALA LÄN</t>
        </is>
      </c>
      <c r="E1039" t="inlineStr">
        <is>
          <t>UPPSALA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46134</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46743-2024</t>
        </is>
      </c>
      <c r="B1041" s="1" t="n">
        <v>45583.47836805556</v>
      </c>
      <c r="C1041" s="1" t="n">
        <v>46134</v>
      </c>
      <c r="D1041" t="inlineStr">
        <is>
          <t>UPPSALA LÄN</t>
        </is>
      </c>
      <c r="E1041" t="inlineStr">
        <is>
          <t>UPPSALA</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60701-2022</t>
        </is>
      </c>
      <c r="B1042" s="1" t="n">
        <v>44912</v>
      </c>
      <c r="C1042" s="1" t="n">
        <v>46134</v>
      </c>
      <c r="D1042" t="inlineStr">
        <is>
          <t>UPPSALA LÄN</t>
        </is>
      </c>
      <c r="E1042" t="inlineStr">
        <is>
          <t>UPPSALA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6997-2023</t>
        </is>
      </c>
      <c r="B1043" s="1" t="n">
        <v>44967.78984953704</v>
      </c>
      <c r="C1043" s="1" t="n">
        <v>46134</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45075.51982638889</v>
      </c>
      <c r="C1044" s="1" t="n">
        <v>46134</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6549-2025</t>
        </is>
      </c>
      <c r="B1045" s="1" t="n">
        <v>45699</v>
      </c>
      <c r="C1045" s="1" t="n">
        <v>46134</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12830-2025</t>
        </is>
      </c>
      <c r="B1046" s="1" t="n">
        <v>45733.63099537037</v>
      </c>
      <c r="C1046" s="1" t="n">
        <v>46134</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18808-2024</t>
        </is>
      </c>
      <c r="B1047" s="1" t="n">
        <v>45426.61569444444</v>
      </c>
      <c r="C1047" s="1" t="n">
        <v>46134</v>
      </c>
      <c r="D1047" t="inlineStr">
        <is>
          <t>UPPSALA LÄN</t>
        </is>
      </c>
      <c r="E1047" t="inlineStr">
        <is>
          <t>UPPSALA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28782-2024</t>
        </is>
      </c>
      <c r="B1048" s="1" t="n">
        <v>45478.60802083334</v>
      </c>
      <c r="C1048" s="1" t="n">
        <v>46134</v>
      </c>
      <c r="D1048" t="inlineStr">
        <is>
          <t>UPPSALA LÄN</t>
        </is>
      </c>
      <c r="E1048" t="inlineStr">
        <is>
          <t>UPPSALA</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9981-2025</t>
        </is>
      </c>
      <c r="B1049" s="1" t="n">
        <v>45719.40723379629</v>
      </c>
      <c r="C1049" s="1" t="n">
        <v>46134</v>
      </c>
      <c r="D1049" t="inlineStr">
        <is>
          <t>UPPSALA LÄN</t>
        </is>
      </c>
      <c r="E1049" t="inlineStr">
        <is>
          <t>UPPSALA</t>
        </is>
      </c>
      <c r="F1049" t="inlineStr">
        <is>
          <t>Kyrkan</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36781-2023</t>
        </is>
      </c>
      <c r="B1050" s="1" t="n">
        <v>45154.34931712963</v>
      </c>
      <c r="C1050" s="1" t="n">
        <v>46134</v>
      </c>
      <c r="D1050" t="inlineStr">
        <is>
          <t>UPPSALA LÄN</t>
        </is>
      </c>
      <c r="E1050" t="inlineStr">
        <is>
          <t>UPPSALA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6550-2025</t>
        </is>
      </c>
      <c r="B1051" s="1" t="n">
        <v>45699.71063657408</v>
      </c>
      <c r="C1051" s="1" t="n">
        <v>46134</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12282-2025</t>
        </is>
      </c>
      <c r="B1052" s="1" t="n">
        <v>45729</v>
      </c>
      <c r="C1052" s="1" t="n">
        <v>46134</v>
      </c>
      <c r="D1052" t="inlineStr">
        <is>
          <t>UPPSALA LÄN</t>
        </is>
      </c>
      <c r="E1052" t="inlineStr">
        <is>
          <t>UPPSALA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14907-2025</t>
        </is>
      </c>
      <c r="B1053" s="1" t="n">
        <v>45743.50744212963</v>
      </c>
      <c r="C1053" s="1" t="n">
        <v>46134</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41545-2023</t>
        </is>
      </c>
      <c r="B1054" s="1" t="n">
        <v>45175.57060185185</v>
      </c>
      <c r="C1054" s="1" t="n">
        <v>46134</v>
      </c>
      <c r="D1054" t="inlineStr">
        <is>
          <t>UPPSALA LÄN</t>
        </is>
      </c>
      <c r="E1054" t="inlineStr">
        <is>
          <t>UPPSALA</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6006-2025</t>
        </is>
      </c>
      <c r="B1055" s="1" t="n">
        <v>45695.59197916667</v>
      </c>
      <c r="C1055" s="1" t="n">
        <v>46134</v>
      </c>
      <c r="D1055" t="inlineStr">
        <is>
          <t>UPPSALA LÄN</t>
        </is>
      </c>
      <c r="E1055" t="inlineStr">
        <is>
          <t>UPPSALA</t>
        </is>
      </c>
      <c r="F1055" t="inlineStr">
        <is>
          <t>Övriga Aktiebolag</t>
        </is>
      </c>
      <c r="G1055" t="n">
        <v>13.8</v>
      </c>
      <c r="H1055" t="n">
        <v>0</v>
      </c>
      <c r="I1055" t="n">
        <v>0</v>
      </c>
      <c r="J1055" t="n">
        <v>0</v>
      </c>
      <c r="K1055" t="n">
        <v>0</v>
      </c>
      <c r="L1055" t="n">
        <v>0</v>
      </c>
      <c r="M1055" t="n">
        <v>0</v>
      </c>
      <c r="N1055" t="n">
        <v>0</v>
      </c>
      <c r="O1055" t="n">
        <v>0</v>
      </c>
      <c r="P1055" t="n">
        <v>0</v>
      </c>
      <c r="Q1055" t="n">
        <v>0</v>
      </c>
      <c r="R1055" s="2" t="inlineStr"/>
    </row>
    <row r="1056" ht="15" customHeight="1">
      <c r="A1056" t="inlineStr">
        <is>
          <t>A 60691-2024</t>
        </is>
      </c>
      <c r="B1056" s="1" t="n">
        <v>45644.47723379629</v>
      </c>
      <c r="C1056" s="1" t="n">
        <v>46134</v>
      </c>
      <c r="D1056" t="inlineStr">
        <is>
          <t>UPPSALA LÄN</t>
        </is>
      </c>
      <c r="E1056" t="inlineStr">
        <is>
          <t>UPPSALA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13526-2023</t>
        </is>
      </c>
      <c r="B1057" s="1" t="n">
        <v>45006</v>
      </c>
      <c r="C1057" s="1" t="n">
        <v>46134</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1825-2024</t>
        </is>
      </c>
      <c r="B1058" s="1" t="n">
        <v>45307</v>
      </c>
      <c r="C1058" s="1" t="n">
        <v>46134</v>
      </c>
      <c r="D1058" t="inlineStr">
        <is>
          <t>UPPSALA LÄN</t>
        </is>
      </c>
      <c r="E1058" t="inlineStr">
        <is>
          <t>UPPSALA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53266-2024</t>
        </is>
      </c>
      <c r="B1059" s="1" t="n">
        <v>45614</v>
      </c>
      <c r="C1059" s="1" t="n">
        <v>46134</v>
      </c>
      <c r="D1059" t="inlineStr">
        <is>
          <t>UPPSALA LÄN</t>
        </is>
      </c>
      <c r="E1059" t="inlineStr">
        <is>
          <t>UPPSALA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4412-2024</t>
        </is>
      </c>
      <c r="B1060" s="1" t="n">
        <v>45327</v>
      </c>
      <c r="C1060" s="1" t="n">
        <v>46134</v>
      </c>
      <c r="D1060" t="inlineStr">
        <is>
          <t>UPPSALA LÄN</t>
        </is>
      </c>
      <c r="E1060" t="inlineStr">
        <is>
          <t>UPPSALA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787-2024</t>
        </is>
      </c>
      <c r="B1061" s="1" t="n">
        <v>45300</v>
      </c>
      <c r="C1061" s="1" t="n">
        <v>46134</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1588-2025</t>
        </is>
      </c>
      <c r="B1062" s="1" t="n">
        <v>45670</v>
      </c>
      <c r="C1062" s="1" t="n">
        <v>46134</v>
      </c>
      <c r="D1062" t="inlineStr">
        <is>
          <t>UPPSALA LÄN</t>
        </is>
      </c>
      <c r="E1062" t="inlineStr">
        <is>
          <t>UPPSALA</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20703-2025</t>
        </is>
      </c>
      <c r="B1063" s="1" t="n">
        <v>45776.48275462963</v>
      </c>
      <c r="C1063" s="1" t="n">
        <v>46134</v>
      </c>
      <c r="D1063" t="inlineStr">
        <is>
          <t>UPPSALA LÄN</t>
        </is>
      </c>
      <c r="E1063" t="inlineStr">
        <is>
          <t>UPPSALA</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20712-2025</t>
        </is>
      </c>
      <c r="B1064" s="1" t="n">
        <v>45776</v>
      </c>
      <c r="C1064" s="1" t="n">
        <v>46134</v>
      </c>
      <c r="D1064" t="inlineStr">
        <is>
          <t>UPPSALA LÄN</t>
        </is>
      </c>
      <c r="E1064" t="inlineStr">
        <is>
          <t>UPPSALA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20686-2025</t>
        </is>
      </c>
      <c r="B1065" s="1" t="n">
        <v>45776.45263888889</v>
      </c>
      <c r="C1065" s="1" t="n">
        <v>46134</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29815-2023</t>
        </is>
      </c>
      <c r="B1066" s="1" t="n">
        <v>45107.55574074074</v>
      </c>
      <c r="C1066" s="1" t="n">
        <v>46134</v>
      </c>
      <c r="D1066" t="inlineStr">
        <is>
          <t>UPPSALA LÄN</t>
        </is>
      </c>
      <c r="E1066" t="inlineStr">
        <is>
          <t>UPPSALA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20797-2025</t>
        </is>
      </c>
      <c r="B1067" s="1" t="n">
        <v>45776.6415162037</v>
      </c>
      <c r="C1067" s="1" t="n">
        <v>46134</v>
      </c>
      <c r="D1067" t="inlineStr">
        <is>
          <t>UPPSALA LÄN</t>
        </is>
      </c>
      <c r="E1067" t="inlineStr">
        <is>
          <t>UPPSALA</t>
        </is>
      </c>
      <c r="F1067" t="inlineStr">
        <is>
          <t>Kommuner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20888-2025</t>
        </is>
      </c>
      <c r="B1068" s="1" t="n">
        <v>45777.37119212963</v>
      </c>
      <c r="C1068" s="1" t="n">
        <v>46134</v>
      </c>
      <c r="D1068" t="inlineStr">
        <is>
          <t>UPPSALA LÄN</t>
        </is>
      </c>
      <c r="E1068" t="inlineStr">
        <is>
          <t>UPPSALA</t>
        </is>
      </c>
      <c r="F1068" t="inlineStr">
        <is>
          <t>Övriga statliga verk och myndigheter</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20874-2025</t>
        </is>
      </c>
      <c r="B1069" s="1" t="n">
        <v>45777.34894675926</v>
      </c>
      <c r="C1069" s="1" t="n">
        <v>46134</v>
      </c>
      <c r="D1069" t="inlineStr">
        <is>
          <t>UPPSALA LÄN</t>
        </is>
      </c>
      <c r="E1069" t="inlineStr">
        <is>
          <t>UPPSALA</t>
        </is>
      </c>
      <c r="F1069" t="inlineStr">
        <is>
          <t>Övriga Aktiebolag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20858-2025</t>
        </is>
      </c>
      <c r="B1070" s="1" t="n">
        <v>45777.32731481481</v>
      </c>
      <c r="C1070" s="1" t="n">
        <v>46134</v>
      </c>
      <c r="D1070" t="inlineStr">
        <is>
          <t>UPPSALA LÄN</t>
        </is>
      </c>
      <c r="E1070" t="inlineStr">
        <is>
          <t>UPPSALA</t>
        </is>
      </c>
      <c r="F1070" t="inlineStr">
        <is>
          <t>Övriga Aktiebolag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21033-2025</t>
        </is>
      </c>
      <c r="B1071" s="1" t="n">
        <v>45777.52655092593</v>
      </c>
      <c r="C1071" s="1" t="n">
        <v>46134</v>
      </c>
      <c r="D1071" t="inlineStr">
        <is>
          <t>UPPSALA LÄN</t>
        </is>
      </c>
      <c r="E1071" t="inlineStr">
        <is>
          <t>UPPSALA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20928-2025</t>
        </is>
      </c>
      <c r="B1072" s="1" t="n">
        <v>45777</v>
      </c>
      <c r="C1072" s="1" t="n">
        <v>46134</v>
      </c>
      <c r="D1072" t="inlineStr">
        <is>
          <t>UPPSALA LÄN</t>
        </is>
      </c>
      <c r="E1072" t="inlineStr">
        <is>
          <t>UPPSALA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33667-2024</t>
        </is>
      </c>
      <c r="B1073" s="1" t="n">
        <v>45520</v>
      </c>
      <c r="C1073" s="1" t="n">
        <v>46134</v>
      </c>
      <c r="D1073" t="inlineStr">
        <is>
          <t>UPPSALA LÄN</t>
        </is>
      </c>
      <c r="E1073" t="inlineStr">
        <is>
          <t>UPPSALA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44847-2024</t>
        </is>
      </c>
      <c r="B1074" s="1" t="n">
        <v>45574</v>
      </c>
      <c r="C1074" s="1" t="n">
        <v>46134</v>
      </c>
      <c r="D1074" t="inlineStr">
        <is>
          <t>UPPSALA LÄN</t>
        </is>
      </c>
      <c r="E1074" t="inlineStr">
        <is>
          <t>UPPSALA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21281-2025</t>
        </is>
      </c>
      <c r="B1075" s="1" t="n">
        <v>45779.6665162037</v>
      </c>
      <c r="C1075" s="1" t="n">
        <v>46134</v>
      </c>
      <c r="D1075" t="inlineStr">
        <is>
          <t>UPPSALA LÄN</t>
        </is>
      </c>
      <c r="E1075" t="inlineStr">
        <is>
          <t>UPPSALA</t>
        </is>
      </c>
      <c r="F1075" t="inlineStr">
        <is>
          <t>Övriga Aktiebolag</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21279-2025</t>
        </is>
      </c>
      <c r="B1076" s="1" t="n">
        <v>45779.65787037037</v>
      </c>
      <c r="C1076" s="1" t="n">
        <v>46134</v>
      </c>
      <c r="D1076" t="inlineStr">
        <is>
          <t>UPPSALA LÄN</t>
        </is>
      </c>
      <c r="E1076" t="inlineStr">
        <is>
          <t>UPPSALA</t>
        </is>
      </c>
      <c r="F1076" t="inlineStr">
        <is>
          <t>Övriga Aktiebolag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21217-2025</t>
        </is>
      </c>
      <c r="B1077" s="1" t="n">
        <v>45779.49085648148</v>
      </c>
      <c r="C1077" s="1" t="n">
        <v>46134</v>
      </c>
      <c r="D1077" t="inlineStr">
        <is>
          <t>UPPSALA LÄN</t>
        </is>
      </c>
      <c r="E1077" t="inlineStr">
        <is>
          <t>UPPSALA</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21748-2025</t>
        </is>
      </c>
      <c r="B1078" s="1" t="n">
        <v>45783.61053240741</v>
      </c>
      <c r="C1078" s="1" t="n">
        <v>46134</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21936-2025</t>
        </is>
      </c>
      <c r="B1079" s="1" t="n">
        <v>45784.57266203704</v>
      </c>
      <c r="C1079" s="1" t="n">
        <v>46134</v>
      </c>
      <c r="D1079" t="inlineStr">
        <is>
          <t>UPPSALA LÄN</t>
        </is>
      </c>
      <c r="E1079" t="inlineStr">
        <is>
          <t>UPPSALA</t>
        </is>
      </c>
      <c r="F1079" t="inlineStr">
        <is>
          <t>Bergvik skog öst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750-2022</t>
        </is>
      </c>
      <c r="B1080" s="1" t="n">
        <v>44569.49344907407</v>
      </c>
      <c r="C1080" s="1" t="n">
        <v>46134</v>
      </c>
      <c r="D1080" t="inlineStr">
        <is>
          <t>UPPSALA LÄN</t>
        </is>
      </c>
      <c r="E1080" t="inlineStr">
        <is>
          <t>UPPSALA</t>
        </is>
      </c>
      <c r="F1080" t="inlineStr">
        <is>
          <t>Holmen skog AB</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16324-2024</t>
        </is>
      </c>
      <c r="B1081" s="1" t="n">
        <v>45407.49721064815</v>
      </c>
      <c r="C1081" s="1" t="n">
        <v>46134</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22018-2025</t>
        </is>
      </c>
      <c r="B1082" s="1" t="n">
        <v>45784.80497685185</v>
      </c>
      <c r="C1082" s="1" t="n">
        <v>46134</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4980-2024</t>
        </is>
      </c>
      <c r="B1083" s="1" t="n">
        <v>45329</v>
      </c>
      <c r="C1083" s="1" t="n">
        <v>46134</v>
      </c>
      <c r="D1083" t="inlineStr">
        <is>
          <t>UPPSALA LÄN</t>
        </is>
      </c>
      <c r="E1083" t="inlineStr">
        <is>
          <t>UPPSALA</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42131-2023</t>
        </is>
      </c>
      <c r="B1084" s="1" t="n">
        <v>45177.79766203704</v>
      </c>
      <c r="C1084" s="1" t="n">
        <v>46134</v>
      </c>
      <c r="D1084" t="inlineStr">
        <is>
          <t>UPPSALA LÄN</t>
        </is>
      </c>
      <c r="E1084" t="inlineStr">
        <is>
          <t>UPPSALA</t>
        </is>
      </c>
      <c r="F1084" t="inlineStr">
        <is>
          <t>Allmännings- och besparingsskogar</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40701-2024</t>
        </is>
      </c>
      <c r="B1085" s="1" t="n">
        <v>45558.42498842593</v>
      </c>
      <c r="C1085" s="1" t="n">
        <v>46134</v>
      </c>
      <c r="D1085" t="inlineStr">
        <is>
          <t>UPPSALA LÄN</t>
        </is>
      </c>
      <c r="E1085" t="inlineStr">
        <is>
          <t>UPPSALA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42276-2024</t>
        </is>
      </c>
      <c r="B1086" s="1" t="n">
        <v>45562</v>
      </c>
      <c r="C1086" s="1" t="n">
        <v>46134</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10650-2024</t>
        </is>
      </c>
      <c r="B1087" s="1" t="n">
        <v>45368.64787037037</v>
      </c>
      <c r="C1087" s="1" t="n">
        <v>46134</v>
      </c>
      <c r="D1087" t="inlineStr">
        <is>
          <t>UPPSALA LÄN</t>
        </is>
      </c>
      <c r="E1087" t="inlineStr">
        <is>
          <t>UPPSALA</t>
        </is>
      </c>
      <c r="F1087" t="inlineStr">
        <is>
          <t>Bergvik skog öst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758-2022</t>
        </is>
      </c>
      <c r="B1088" s="1" t="n">
        <v>44569.69358796296</v>
      </c>
      <c r="C1088" s="1" t="n">
        <v>46134</v>
      </c>
      <c r="D1088" t="inlineStr">
        <is>
          <t>UPPSALA LÄN</t>
        </is>
      </c>
      <c r="E1088" t="inlineStr">
        <is>
          <t>UPPSALA</t>
        </is>
      </c>
      <c r="F1088" t="inlineStr">
        <is>
          <t>Holmen skog AB</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3973-2025</t>
        </is>
      </c>
      <c r="B1089" s="1" t="n">
        <v>45684</v>
      </c>
      <c r="C1089" s="1" t="n">
        <v>46134</v>
      </c>
      <c r="D1089" t="inlineStr">
        <is>
          <t>UPPSALA LÄN</t>
        </is>
      </c>
      <c r="E1089" t="inlineStr">
        <is>
          <t>UPPSALA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59570-2023</t>
        </is>
      </c>
      <c r="B1090" s="1" t="n">
        <v>45254</v>
      </c>
      <c r="C1090" s="1" t="n">
        <v>46134</v>
      </c>
      <c r="D1090" t="inlineStr">
        <is>
          <t>UPPSALA LÄN</t>
        </is>
      </c>
      <c r="E1090" t="inlineStr">
        <is>
          <t>UPPSALA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11339-2025</t>
        </is>
      </c>
      <c r="B1091" s="1" t="n">
        <v>45726</v>
      </c>
      <c r="C1091" s="1" t="n">
        <v>46134</v>
      </c>
      <c r="D1091" t="inlineStr">
        <is>
          <t>UPPSALA LÄN</t>
        </is>
      </c>
      <c r="E1091" t="inlineStr">
        <is>
          <t>UPPSALA</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11260-2024</t>
        </is>
      </c>
      <c r="B1092" s="1" t="n">
        <v>45371.67368055556</v>
      </c>
      <c r="C1092" s="1" t="n">
        <v>46134</v>
      </c>
      <c r="D1092" t="inlineStr">
        <is>
          <t>UPPSALA LÄN</t>
        </is>
      </c>
      <c r="E1092" t="inlineStr">
        <is>
          <t>UPPSALA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22951-2025</t>
        </is>
      </c>
      <c r="B1093" s="1" t="n">
        <v>45790.51040509259</v>
      </c>
      <c r="C1093" s="1" t="n">
        <v>46134</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26208-2023</t>
        </is>
      </c>
      <c r="B1094" s="1" t="n">
        <v>45091</v>
      </c>
      <c r="C1094" s="1" t="n">
        <v>46134</v>
      </c>
      <c r="D1094" t="inlineStr">
        <is>
          <t>UPPSALA LÄN</t>
        </is>
      </c>
      <c r="E1094" t="inlineStr">
        <is>
          <t>UPPSALA</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22930-2025</t>
        </is>
      </c>
      <c r="B1095" s="1" t="n">
        <v>45790.44972222222</v>
      </c>
      <c r="C1095" s="1" t="n">
        <v>46134</v>
      </c>
      <c r="D1095" t="inlineStr">
        <is>
          <t>UPPSALA LÄN</t>
        </is>
      </c>
      <c r="E1095" t="inlineStr">
        <is>
          <t>UPPSALA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46751-2024</t>
        </is>
      </c>
      <c r="B1096" s="1" t="n">
        <v>45583.48449074074</v>
      </c>
      <c r="C1096" s="1" t="n">
        <v>46134</v>
      </c>
      <c r="D1096" t="inlineStr">
        <is>
          <t>UPPSALA LÄN</t>
        </is>
      </c>
      <c r="E1096" t="inlineStr">
        <is>
          <t>UPPSALA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46925-2024</t>
        </is>
      </c>
      <c r="B1097" s="1" t="n">
        <v>45584.60038194444</v>
      </c>
      <c r="C1097" s="1" t="n">
        <v>46134</v>
      </c>
      <c r="D1097" t="inlineStr">
        <is>
          <t>UPPSALA LÄN</t>
        </is>
      </c>
      <c r="E1097" t="inlineStr">
        <is>
          <t>UPPSALA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56564-2024</t>
        </is>
      </c>
      <c r="B1098" s="1" t="n">
        <v>45625.58501157408</v>
      </c>
      <c r="C1098" s="1" t="n">
        <v>46134</v>
      </c>
      <c r="D1098" t="inlineStr">
        <is>
          <t>UPPSALA LÄN</t>
        </is>
      </c>
      <c r="E1098" t="inlineStr">
        <is>
          <t>UPPSALA</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c r="A1099" t="inlineStr">
        <is>
          <t>A 34520-2024</t>
        </is>
      </c>
      <c r="B1099" s="1" t="n">
        <v>45525</v>
      </c>
      <c r="C1099" s="1" t="n">
        <v>46134</v>
      </c>
      <c r="D1099" t="inlineStr">
        <is>
          <t>UPPSALA LÄN</t>
        </is>
      </c>
      <c r="E1099" t="inlineStr">
        <is>
          <t>UPPSALA</t>
        </is>
      </c>
      <c r="G1099" t="n">
        <v>2.5</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2026-04-22T10:51:32Z</dcterms:created>
  <dcterms:modified xmlns:dcterms="http://purl.org/dc/terms/" xmlns:xsi="http://www.w3.org/2001/XMLSchema-instance" xsi:type="dcterms:W3CDTF">2026-04-22T10:51:33Z</dcterms:modified>
</cp:coreProperties>
</file>