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45568</v>
      </c>
      <c r="D2" t="inlineStr">
        <is>
          <t>UPPSALA LÄN</t>
        </is>
      </c>
      <c r="E2" t="inlineStr">
        <is>
          <t>UPPSALA</t>
        </is>
      </c>
      <c r="F2" t="inlineStr">
        <is>
          <t>Kommuner</t>
        </is>
      </c>
      <c r="G2" t="n">
        <v>32.8</v>
      </c>
      <c r="H2" t="n">
        <v>6</v>
      </c>
      <c r="I2" t="n">
        <v>15</v>
      </c>
      <c r="J2" t="n">
        <v>10</v>
      </c>
      <c r="K2" t="n">
        <v>5</v>
      </c>
      <c r="L2" t="n">
        <v>0</v>
      </c>
      <c r="M2" t="n">
        <v>0</v>
      </c>
      <c r="N2" t="n">
        <v>0</v>
      </c>
      <c r="O2" t="n">
        <v>15</v>
      </c>
      <c r="P2" t="n">
        <v>5</v>
      </c>
      <c r="Q2" t="n">
        <v>33</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45568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45568</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45568</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45568</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45568</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45568</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45568</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45568</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45568</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45568</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45568</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45568</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45568</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45568</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45568</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45568</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45568</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45568</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45568</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45568</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45568</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45568</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45568</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45568</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45568</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45568</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45568</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45568</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45568</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45568</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45568</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45568</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45568</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31628-2023</t>
        </is>
      </c>
      <c r="B36" s="1" t="n">
        <v>45117</v>
      </c>
      <c r="C36" s="1" t="n">
        <v>45568</v>
      </c>
      <c r="D36" t="inlineStr">
        <is>
          <t>UPPSALA LÄN</t>
        </is>
      </c>
      <c r="E36" t="inlineStr">
        <is>
          <t>UPPSALA</t>
        </is>
      </c>
      <c r="G36" t="n">
        <v>15</v>
      </c>
      <c r="H36" t="n">
        <v>1</v>
      </c>
      <c r="I36" t="n">
        <v>2</v>
      </c>
      <c r="J36" t="n">
        <v>4</v>
      </c>
      <c r="K36" t="n">
        <v>0</v>
      </c>
      <c r="L36" t="n">
        <v>0</v>
      </c>
      <c r="M36" t="n">
        <v>0</v>
      </c>
      <c r="N36" t="n">
        <v>0</v>
      </c>
      <c r="O36" t="n">
        <v>4</v>
      </c>
      <c r="P36" t="n">
        <v>0</v>
      </c>
      <c r="Q36" t="n">
        <v>6</v>
      </c>
      <c r="R36" s="2" t="inlineStr">
        <is>
          <t>Skogsklocka
Spillkråka
Tallticka
Vedtrappmossa
Grönpyrola
Stubbspretmossa</t>
        </is>
      </c>
      <c r="S36">
        <f>HYPERLINK("https://klasma.github.io/Logging_0380/artfynd/A 31628-2023 artfynd.xlsx", "A 31628-2023")</f>
        <v/>
      </c>
      <c r="T36">
        <f>HYPERLINK("https://klasma.github.io/Logging_0380/kartor/A 31628-2023 karta.png", "A 31628-2023")</f>
        <v/>
      </c>
      <c r="V36">
        <f>HYPERLINK("https://klasma.github.io/Logging_0380/klagomål/A 31628-2023 FSC-klagomål.docx", "A 31628-2023")</f>
        <v/>
      </c>
      <c r="W36">
        <f>HYPERLINK("https://klasma.github.io/Logging_0380/klagomålsmail/A 31628-2023 FSC-klagomål mail.docx", "A 31628-2023")</f>
        <v/>
      </c>
      <c r="X36">
        <f>HYPERLINK("https://klasma.github.io/Logging_0380/tillsyn/A 31628-2023 tillsynsbegäran.docx", "A 31628-2023")</f>
        <v/>
      </c>
      <c r="Y36">
        <f>HYPERLINK("https://klasma.github.io/Logging_0380/tillsynsmail/A 31628-2023 tillsynsbegäran mail.docx", "A 31628-2023")</f>
        <v/>
      </c>
      <c r="Z36">
        <f>HYPERLINK("https://klasma.github.io/Logging_0380/fåglar/A 31628-2023 prioriterade fågelarter.docx", "A 31628-2023")</f>
        <v/>
      </c>
    </row>
    <row r="37" ht="15" customHeight="1">
      <c r="A37" t="inlineStr">
        <is>
          <t>A 58015-2023</t>
        </is>
      </c>
      <c r="B37" s="1" t="n">
        <v>45245</v>
      </c>
      <c r="C37" s="1" t="n">
        <v>45568</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45568</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45568</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45568</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45568</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45568</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45568</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45568</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45568</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45568</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45568</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45568</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45568</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45568</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45568</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45568</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45568</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45568</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45568</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45568</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45568</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45568</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45568</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45568</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45568</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45568</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45568</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45568</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45568</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45568</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45568</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45568</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45568</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45568</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45568</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45568</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45568</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45568</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45568</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45568</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45568</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45568</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45568</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45568</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45568</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45568</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45568</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45568</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45568</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45568</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45568</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45568</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45568</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45568</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45568</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45568</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45568</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45568</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45568</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45568</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45568</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45568</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45568</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45568</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45568</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45568</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45568</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45568</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45568</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45568</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45568</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45568</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45568</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45568</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45568</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45568</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45568</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45568</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45568</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45568</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45568</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45568</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45568</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45568</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45568</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45568</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45568</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45568</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45568</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45568</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45568</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45568</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45568</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45568</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45568</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45568</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45568</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45568</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45568</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45568</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45568</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45568</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45568</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45568</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45568</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45568</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45568</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45568</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45568</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45568</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45568</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45568</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45568</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45568</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45568</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45568</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45568</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45568</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45568</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45568</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45568</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45568</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45568</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45568</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45568</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45568</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45568</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45568</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45568</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45568</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45568</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45568</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45568</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45568</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45568</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45568</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45568</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45568</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45568</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45568</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45568</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45568</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45568</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45568</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45568</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45568</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45568</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45568</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45568</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45568</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45568</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45568</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45568</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45568</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45568</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45568</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45568</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45568</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45568</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45568</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45568</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45568</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45568</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45568</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45568</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45568</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45568</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45568</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45568</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45568</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45568</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45568</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45568</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45568</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45568</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45568</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45568</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45568</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45568</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45568</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45568</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45568</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45568</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45568</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45568</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45568</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45568</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45568</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45568</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45568</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45568</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45568</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45568</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45568</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45568</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45568</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45568</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45568</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45568</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45568</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45568</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45568</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45568</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45568</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45568</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45568</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45568</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45568</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45568</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45568</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45568</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45568</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45568</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45568</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45568</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45568</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45568</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45568</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45568</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45568</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45568</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45568</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45568</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45568</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45568</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45568</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45568</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45568</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45568</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45568</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45568</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45568</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45568</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45568</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45568</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45568</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45568</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45568</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45568</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45568</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45568</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45568</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45568</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45568</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45568</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45568</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45568</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45568</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45568</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45568</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45568</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45568</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45568</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45568</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45568</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45568</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45568</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45568</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45568</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45568</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45568</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45568</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45568</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45568</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45568</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45568</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45568</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45568</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45568</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45568</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45568</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45568</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45568</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45568</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45568</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45568</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45568</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45568</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45568</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45568</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45568</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45568</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45568</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45568</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45568</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45568</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45568</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45568</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45568</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45568</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45568</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45568</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45568</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45568</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45568</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45568</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45568</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45568</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45568</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45568</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45568</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45568</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45568</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45568</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45568</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45568</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45568</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45568</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45568</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45568</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45568</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45568</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45568</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45568</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45568</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45568</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45568</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45568</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45568</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45568</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45568</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45568</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45568</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45568</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45568</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45568</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45568</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45568</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45568</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45568</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45568</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45568</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45568</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45568</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45568</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45568</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45568</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45568</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45568</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45568</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45568</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45568</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45568</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45568</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45568</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45568</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45568</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45568</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45568</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45568</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45568</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45568</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45568</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45568</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45568</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45568</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45568</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45568</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45568</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45568</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45568</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45568</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45568</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45568</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45568</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45568</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45568</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45568</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45568</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45568</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45568</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45568</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45568</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45568</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45568</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45568</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45568</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45568</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45568</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45568</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45568</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45568</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45568</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45568</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45568</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45568</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45568</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45568</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45568</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45568</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45568</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45568</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45568</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45568</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45568</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45568</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45568</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45568</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45568</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45568</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45568</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45568</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45568</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45568</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45568</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45568</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45568</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45568</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45568</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45568</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45568</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45568</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45568</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45568</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45568</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45568</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45568</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45568</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45568</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45568</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45568</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45568</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45568</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45568</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45568</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45568</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45568</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45568</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45568</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45568</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45568</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45568</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45568</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45568</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45568</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45568</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45568</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45568</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45568</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45568</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45568</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45568</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45568</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45568</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45568</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45568</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45568</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45568</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45568</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45568</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45568</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45568</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45568</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45568</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45568</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45568</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45568</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45568</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45568</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45568</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45568</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45568</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45568</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45568</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45568</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45568</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45568</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45568</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45568</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45568</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45568</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45568</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45568</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45568</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45568</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45568</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45568</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45568</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45568</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45568</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45568</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45568</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45568</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45568</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45568</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45568</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45568</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45568</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45568</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45568</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45568</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45568</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45568</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45568</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45568</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45568</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45568</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45568</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45568</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45568</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45568</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45568</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45568</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45568</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45568</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45568</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45568</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45568</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45568</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45568</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45568</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45568</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45568</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45568</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45568</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45568</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45568</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45568</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45568</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45568</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45568</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45568</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45568</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45568</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45568</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45568</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45568</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45568</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45568</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45568</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45568</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45568</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45568</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45568</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45568</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45568</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45568</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45568</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45568</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45568</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45568</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45568</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45568</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45568</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45568</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45568</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45568</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45568</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45568</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45568</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45568</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45568</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45568</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45568</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45568</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45568</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45568</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45568</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45568</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45568</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45568</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45568</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45568</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45568</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45568</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45568</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45568</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45568</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45568</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45568</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45568</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45568</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45568</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45568</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45568</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45568</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45568</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45568</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45568</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45568</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45568</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45568</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45568</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45568</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45568</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45568</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45568</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45568</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45568</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45568</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45568</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45568</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45568</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45568</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45568</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45568</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45568</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45568</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45568</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45568</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45568</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45568</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45568</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45568</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45568</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45568</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45568</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45568</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45568</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45568</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45568</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45568</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45568</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45568</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45568</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45568</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45568</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45568</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45568</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45568</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45568</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45568</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45568</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45568</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45568</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45568</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45568</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45568</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45568</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45568</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45568</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45568</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45568</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45568</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45568</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45568</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45568</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45568</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45568</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45568</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45568</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45568</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45568</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45568</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45568</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45568</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45568</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45568</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45568</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45568</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45568</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45568</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45568</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45568</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45568</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45568</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45568</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45568</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45568</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45568</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45568</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45568</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45568</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45568</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45568</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45568</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45568</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45568</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45568</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45568</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45568</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45568</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45568</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45568</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45568</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45568</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45568</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45568</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45568</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45568</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45568</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45568</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45568</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45568</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45568</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45568</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45568</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45568</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45568</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45568</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45568</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45568</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45568</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45568</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45568</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45568</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45568</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45568</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45568</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45568</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45568</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45568</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45568</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45568</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45568</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45568</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45568</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45568</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45568</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45568</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45568</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45568</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45568</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45568</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45568</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45568</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45568</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45568</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45568</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45568</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45568</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45568</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45568</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45568</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45568</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45568</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45568</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45568</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45568</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45568</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45568</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45568</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45568</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45568</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45568</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45568</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45568</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45568</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45568</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45568</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45568</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45568</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45568</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45568</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45568</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45568</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45568</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45568</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45568</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45568</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45568</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45568</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45568</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45568</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45568</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45568</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45568</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45568</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45568</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45568</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45568</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45568</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45568</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45568</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45568</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45568</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45568</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45568</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45568</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45568</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45568</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45568</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45568</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45568</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45568</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45568</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45568</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45568</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45568</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45568</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45568</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45568</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45568</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45568</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45568</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45568</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45568</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45568</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45568</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45568</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45568</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45568</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45568</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45568</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45568</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45568</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45568</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45568</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45568</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45568</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45568</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45568</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45568</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45568</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45568</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45568</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45568</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45568</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45568</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45568</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45568</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45568</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45568</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45568</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45568</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45568</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45568</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45568</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45568</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45568</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45568</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45568</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45568</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45568</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45568</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45568</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45568</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45568</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45568</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45568</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45568</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45568</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45568</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45568</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45568</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45568</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45568</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45568</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45568</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45568</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45568</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45568</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45568</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45568</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45568</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45568</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45568</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45568</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45568</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45568</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45568</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45568</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45568</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45568</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45568</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45568</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45568</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45568</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45568</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45568</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45568</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45568</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45568</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45568</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45568</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45568</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45568</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45568</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45568</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45568</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45568</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45568</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45568</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45568</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45568</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45568</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45568</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45568</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45568</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45568</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45568</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45568</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45568</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45568</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45568</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45568</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45568</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45568</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45568</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45568</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45568</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45568</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45568</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45568</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45568</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45568</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45568</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45568</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45568</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45568</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45568</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45568</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45568</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45568</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45568</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45568</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45568</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45568</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45568</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45568</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45568</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45568</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45568</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45568</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45568</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45568</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45568</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45568</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45568</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45568</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45568</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45568</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45568</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45568</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45568</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45568</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45568</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45568</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45568</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45568</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45568</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45568</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45568</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45568</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45568</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45568</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45568</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45568</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45568</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45568</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45568</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45568</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45568</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45568</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45568</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45568</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45568</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45568</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45568</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45568</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45568</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45568</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45568</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45568</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45568</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45568</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45568</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45568</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45568</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45568</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45568</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45568</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45568</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45568</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45568</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45568</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45568</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45568</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45568</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45568</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45568</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45568</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45568</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45568</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45568</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45568</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45568</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45568</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45568</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45568</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45568</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45568</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45568</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45568</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45568</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45568</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45568</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45568</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45568</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45568</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45568</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45568</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45568</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45568</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45568</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45568</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45568</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45568</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45568</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45568</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45568</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45568</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45568</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45568</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45568</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45568</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45568</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45568</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45568</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45568</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45568</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45568</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45568</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45568</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45568</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45568</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45568</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45568</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45568</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45568</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45568</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45568</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45568</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45568</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45568</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45568</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45568</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45568</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45568</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45568</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45568</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45568</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45568</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45568</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45568</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45568</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45568</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45568</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45568</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45568</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45568</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45568</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45568</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45568</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45568</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45568</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45568</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45568</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45568</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45568</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45568</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45568</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45568</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45568</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45568</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45568</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45568</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45568</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45568</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45568</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45568</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45568</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45568</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45568</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45568</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45568</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45568</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45568</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45568</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45568</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45568</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45568</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45568</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45568</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45568</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45568</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45568</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45568</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45568</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45568</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45568</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45568</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45568</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45568</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45568</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45568</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45568</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45568</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45568</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45568</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45568</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45568</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45568</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45568</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45568</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45568</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45568</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45568</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45568</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45568</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45568</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45568</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45568</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45568</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45568</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45568</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45568</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45568</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45568</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45568</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45568</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45568</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45568</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45568</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45568</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45568</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45568</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45568</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45568</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45568</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45568</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45568</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45568</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45568</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45568</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45568</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45568</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45568</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45568</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45568</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45568</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45568</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45568</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45568</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45568</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45568</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45568</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45568</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45568</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45568</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45568</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45568</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45568</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45568</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45568</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45568</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45568</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45568</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45568</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45568</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45568</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45568</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45568</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45568</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45568</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45568</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45568</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45568</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45568</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45568</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45568</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45568</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45568</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45568</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45568</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45568</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45568</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45568</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45568</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45568</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45568</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45568</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45568</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45568</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45568</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45568</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45568</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45568</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45568</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45568</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45568</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45568</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45568</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45568</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45568</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45568</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45568</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45568</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45568</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45568</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45568</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45568</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45568</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45568</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45568</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45568</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45568</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45568</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45568</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45568</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45568</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45568</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45568</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45568</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45568</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45568</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45568</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45568</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45568</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45568</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45568</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45568</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45568</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45568</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45568</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45568</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45568</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45568</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45568</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45568</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45568</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45568</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45568</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45568</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45568</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45568</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45568</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45568</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45568</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45568</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45568</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45568</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45568</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45568</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45568</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45568</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45568</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45568</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45568</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45568</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45568</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45568</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45568</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45568</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45568</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45568</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45568</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45568</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45568</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45568</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45568</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45568</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45568</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45568</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45568</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45568</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45568</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45568</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45568</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45568</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45568</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45568</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45568</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45568</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45568</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45568</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45568</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45568</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45568</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45568</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45568</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45568</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45568</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45568</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45568</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45568</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45568</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45568</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45568</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45568</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45568</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45568</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45568</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45568</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45568</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45568</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45568</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45568</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45568</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45568</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45568</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45568</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45568</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45568</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45568</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45568</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45568</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45568</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45568</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45568</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45568</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45568</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45568</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45568</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45568</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45568</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45568</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45568</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45568</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45568</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45568</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45568</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45568</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45568</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45568</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45568</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45568</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45568</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45568</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45568</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45568</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45568</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45568</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45568</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45568</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45568</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45568</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45568</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45568</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45568</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45568</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45568</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45568</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45568</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45568</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45568</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45568</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45568</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45568</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45568</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45568</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45568</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45568</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45568</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45568</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45568</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45568</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45568</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45568</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45568</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45568</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45568</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45568</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45568</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45568</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45568</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45568</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45568</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45568</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45568</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45568</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45568</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45568</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45568</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45568</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45568</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45568</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45568</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45568</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45568</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45568</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45568</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45568</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45568</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45568</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45568</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45568</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45568</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45568</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45568</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45568</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45568</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45568</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45568</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45568</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45568</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45568</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45568</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45568</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45568</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45568</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45568</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45568</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45568</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45568</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45568</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45568</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45568</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45568</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45568</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45568</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45568</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45568</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45568</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45568</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45568</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45568</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45568</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45568</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45568</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45568</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45568</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45568</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45568</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45568</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45568</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45568</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45568</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45568</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45568</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45568</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45568</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45568</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45568</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45568</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45568</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45568</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45568</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45568</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45568</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45568</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45568</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45568</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45568</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45568</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45568</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45568</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45568</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45568</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45568</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45568</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45568</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45568</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45568</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45568</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45568</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45568</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45568</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45568</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45568</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45568</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45568</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45568</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45568</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45568</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45568</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45568</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45568</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45568</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45568</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45568</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45568</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45568</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45568</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45568</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45568</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45568</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45568</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45568</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45568</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45568</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45568</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45568</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45568</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45568</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45568</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45568</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45568</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45568</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45568</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45568</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45568</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45568</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45568</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45568</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45568</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45568</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45568</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45568</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45568</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37579-2024</t>
        </is>
      </c>
      <c r="B1527" s="1" t="n">
        <v>45541</v>
      </c>
      <c r="C1527" s="1" t="n">
        <v>45568</v>
      </c>
      <c r="D1527" t="inlineStr">
        <is>
          <t>UPPSALA LÄN</t>
        </is>
      </c>
      <c r="E1527" t="inlineStr">
        <is>
          <t>UPPSALA</t>
        </is>
      </c>
      <c r="G1527" t="n">
        <v>22.8</v>
      </c>
      <c r="H1527" t="n">
        <v>0</v>
      </c>
      <c r="I1527" t="n">
        <v>0</v>
      </c>
      <c r="J1527" t="n">
        <v>0</v>
      </c>
      <c r="K1527" t="n">
        <v>0</v>
      </c>
      <c r="L1527" t="n">
        <v>0</v>
      </c>
      <c r="M1527" t="n">
        <v>0</v>
      </c>
      <c r="N1527" t="n">
        <v>0</v>
      </c>
      <c r="O1527" t="n">
        <v>0</v>
      </c>
      <c r="P1527" t="n">
        <v>0</v>
      </c>
      <c r="Q1527" t="n">
        <v>0</v>
      </c>
      <c r="R1527" s="2" t="inlineStr"/>
    </row>
    <row r="1528" ht="15" customHeight="1">
      <c r="A1528" t="inlineStr">
        <is>
          <t>A 37671-2024</t>
        </is>
      </c>
      <c r="B1528" s="1" t="n">
        <v>45541</v>
      </c>
      <c r="C1528" s="1" t="n">
        <v>45568</v>
      </c>
      <c r="D1528" t="inlineStr">
        <is>
          <t>UPPSALA LÄN</t>
        </is>
      </c>
      <c r="E1528" t="inlineStr">
        <is>
          <t>UPPSALA</t>
        </is>
      </c>
      <c r="F1528" t="inlineStr">
        <is>
          <t>Övriga Aktiebolag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37666-2024</t>
        </is>
      </c>
      <c r="B1529" s="1" t="n">
        <v>45541</v>
      </c>
      <c r="C1529" s="1" t="n">
        <v>45568</v>
      </c>
      <c r="D1529" t="inlineStr">
        <is>
          <t>UPPSALA LÄN</t>
        </is>
      </c>
      <c r="E1529" t="inlineStr">
        <is>
          <t>UPPSALA</t>
        </is>
      </c>
      <c r="F1529" t="inlineStr">
        <is>
          <t>Övriga Aktiebolag</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45568</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45568</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45568</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45568</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39818-2024</t>
        </is>
      </c>
      <c r="B1534" s="1" t="n">
        <v>45552</v>
      </c>
      <c r="C1534" s="1" t="n">
        <v>45568</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39812-2024</t>
        </is>
      </c>
      <c r="B1535" s="1" t="n">
        <v>45552</v>
      </c>
      <c r="C1535" s="1" t="n">
        <v>45568</v>
      </c>
      <c r="D1535" t="inlineStr">
        <is>
          <t>UPPSALA LÄN</t>
        </is>
      </c>
      <c r="E1535" t="inlineStr">
        <is>
          <t>UPPSALA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45568</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45568</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45568</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45568</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45568</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40753-2024</t>
        </is>
      </c>
      <c r="B1541" s="1" t="n">
        <v>45558</v>
      </c>
      <c r="C1541" s="1" t="n">
        <v>45568</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40701-2024</t>
        </is>
      </c>
      <c r="B1542" s="1" t="n">
        <v>45558</v>
      </c>
      <c r="C1542" s="1" t="n">
        <v>45568</v>
      </c>
      <c r="D1542" t="inlineStr">
        <is>
          <t>UPPSALA LÄN</t>
        </is>
      </c>
      <c r="E1542" t="inlineStr">
        <is>
          <t>UPPSALA</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42146-2024</t>
        </is>
      </c>
      <c r="B1543" s="1" t="n">
        <v>45562</v>
      </c>
      <c r="C1543" s="1" t="n">
        <v>45568</v>
      </c>
      <c r="D1543" t="inlineStr">
        <is>
          <t>UPPSALA LÄN</t>
        </is>
      </c>
      <c r="E1543" t="inlineStr">
        <is>
          <t>UPPSALA</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42143-2024</t>
        </is>
      </c>
      <c r="B1544" s="1" t="n">
        <v>45562</v>
      </c>
      <c r="C1544" s="1" t="n">
        <v>45568</v>
      </c>
      <c r="D1544" t="inlineStr">
        <is>
          <t>UPPSALA LÄN</t>
        </is>
      </c>
      <c r="E1544" t="inlineStr">
        <is>
          <t>UPPSALA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42259-2024</t>
        </is>
      </c>
      <c r="B1545" s="1" t="n">
        <v>45562</v>
      </c>
      <c r="C1545" s="1" t="n">
        <v>45568</v>
      </c>
      <c r="D1545" t="inlineStr">
        <is>
          <t>UPPSALA LÄN</t>
        </is>
      </c>
      <c r="E1545" t="inlineStr">
        <is>
          <t>UPPSALA</t>
        </is>
      </c>
      <c r="G1545" t="n">
        <v>1.6</v>
      </c>
      <c r="H1545" t="n">
        <v>0</v>
      </c>
      <c r="I1545" t="n">
        <v>0</v>
      </c>
      <c r="J1545" t="n">
        <v>0</v>
      </c>
      <c r="K1545" t="n">
        <v>0</v>
      </c>
      <c r="L1545" t="n">
        <v>0</v>
      </c>
      <c r="M1545" t="n">
        <v>0</v>
      </c>
      <c r="N1545" t="n">
        <v>0</v>
      </c>
      <c r="O1545" t="n">
        <v>0</v>
      </c>
      <c r="P1545" t="n">
        <v>0</v>
      </c>
      <c r="Q1545" t="n">
        <v>0</v>
      </c>
      <c r="R1545" s="2" t="inlineStr"/>
    </row>
    <row r="1546">
      <c r="A1546" t="inlineStr">
        <is>
          <t>A 42276-2024</t>
        </is>
      </c>
      <c r="B1546" s="1" t="n">
        <v>45562</v>
      </c>
      <c r="C1546" s="1" t="n">
        <v>45568</v>
      </c>
      <c r="D1546" t="inlineStr">
        <is>
          <t>UPPSALA LÄN</t>
        </is>
      </c>
      <c r="E1546" t="inlineStr">
        <is>
          <t>UPPSALA</t>
        </is>
      </c>
      <c r="G1546" t="n">
        <v>2.2</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2024-10-03T12:31:12Z</dcterms:created>
  <dcterms:modified xmlns:dcterms="http://purl.org/dc/terms/" xmlns:xsi="http://www.w3.org/2001/XMLSchema-instance" xsi:type="dcterms:W3CDTF">2024-10-03T12:31:14Z</dcterms:modified>
</cp:coreProperties>
</file>